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ish Database" sheetId="2" state="visible" r:id="rId4"/>
    <sheet name="Portion Nutrition" sheetId="3" state="visible" r:id="rId5"/>
    <sheet name="Meal Combos &amp; Thalis" sheetId="4" state="visible" r:id="rId6"/>
    <sheet name="Portion Guide" sheetId="5" state="visible" r:id="rId7"/>
    <sheet name="INDB Full Nutrients" sheetId="6" state="visible" r:id="rId8"/>
  </sheets>
  <definedNames>
    <definedName function="false" hidden="true" localSheetId="1" name="_xlnm._FilterDatabase" vbProcedure="false">'Dish Database'!$A$1:$AF$586</definedName>
    <definedName function="false" hidden="true" localSheetId="5" name="_xlnm._FilterDatabase" vbProcedure="false">'INDB Full Nutrients'!$A$1:$AL$1015</definedName>
    <definedName function="false" hidden="true" localSheetId="2" name="_xlnm._FilterDatabase" vbProcedure="false">'Portion Nutrition'!$A$1:$P$2170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Yes = vegan as typically made (no dairy/egg/meat). Check for ghee, butter or curd in your version.</t>
        </r>
      </text>
    </comment>
    <comment ref="J1" authorId="0">
      <text>
        <r>
          <rPr>
            <sz val="10"/>
            <rFont val="Arial"/>
            <family val="2"/>
          </rPr>
          <t xml:space="preserve">Energy = 4 x protein + 4 x (carbs - fibre) + 9 x fat + 2 x fibre (Atwater factors, as used on Indian &amp; US food labels).</t>
        </r>
      </text>
    </comment>
    <comment ref="L1" authorId="0">
      <text>
        <r>
          <rPr>
            <sz val="10"/>
            <rFont val="Arial"/>
            <family val="2"/>
          </rPr>
          <t xml:space="preserve">Total carbohydrate INCLUDING fibre. Net carbs = Carbs - Fibre.</t>
        </r>
      </text>
    </comment>
  </commentList>
</comments>
</file>

<file path=xl/sharedStrings.xml><?xml version="1.0" encoding="utf-8"?>
<sst xmlns="http://schemas.openxmlformats.org/spreadsheetml/2006/main" count="14536" uniqueCount="4789">
  <si>
    <t xml:space="preserve">Indian Food Nutrition Database</t>
  </si>
  <si>
    <t xml:space="preserve">Calories, protein, carbs, fat, fibre, sugar and sodium for Indian dishes - per 100 g/ml and per Small / Medium / Large and Half / Full plate portion.</t>
  </si>
  <si>
    <t xml:space="preserve">What's inside</t>
  </si>
  <si>
    <t xml:space="preserve">Dish Database</t>
  </si>
  <si>
    <t xml:space="preserve">Portion Nutrition</t>
  </si>
  <si>
    <t xml:space="preserve">Meal Combos &amp; Thalis</t>
  </si>
  <si>
    <t xml:space="preserve">32 ready-made meals (idli sambar, chole bhature, thalis, sadya...) built from the database - editable</t>
  </si>
  <si>
    <t xml:space="preserve">Portion Guide</t>
  </si>
  <si>
    <t xml:space="preserve">Exactly what Small / Medium / Large / Half / Full mean for each type of dish</t>
  </si>
  <si>
    <t xml:space="preserve">INDB Full Nutrients</t>
  </si>
  <si>
    <t xml:space="preserve">All 1014 recipes from the Indian Nutrient Databank (2024) with 35 nutrients incl. vitamins &amp; minerals, plus quality flags</t>
  </si>
  <si>
    <t xml:space="preserve">Coverage</t>
  </si>
  <si>
    <t xml:space="preserve">Hot beverages, cold drinks &amp; sharbat, all common fruit juices, vegetable juices, lassi (sweet, salted, mango...) &amp; chaas, milkshakes, North &amp; West breakfast, South Indian tiffin, breads, rice/pulao/khichdi, biryani, dals, veg gravies, dry sabzi, non-veg curries (chicken, mutton, fish, prawn, egg), veg &amp; non-veg starters/kebabs, snacks &amp; fritters, street food &amp; chaat, Indo-Chinese, soups, raita/salad/curd, chutneys/pickles/papad, namkeen, mithai, kheer/halwa/ice cream, and add-ons (ghee, oil, sugar, butter...).</t>
  </si>
  <si>
    <t xml:space="preserve">How the numbers were built</t>
  </si>
  <si>
    <t xml:space="preserve">1. Per-100 g values are for the dish AS SERVED (cooked, with typical oil/ghee/sugar). Drinks and soups are per 100 ml.</t>
  </si>
  <si>
    <t xml:space="preserve">2. Energy is calculated from the macros with Atwater factors: 4 x protein + 4 x (carbs - fibre) + 9 x fat + 2 x fibre. Carbs are TOTAL carbs (net carbs = carbs - fibre).</t>
  </si>
  <si>
    <t xml:space="preserve">3. Where the Indian Nutrient Databank (INDB, 2024; built on ICMR-NIN IFCT 2017) has the same dish and its value passed quality checks, the estimate was cross-checked against it ("Cross-check vs INDB" column). Within 20% = Confidence "High".</t>
  </si>
  <si>
    <t xml:space="preserve">4. Juices, milk, eggs, rice, bread and add-ons use single-ingredient composition data (USDA FoodData Central / IFCT 2017). Fresh juices assume NO added sugar.</t>
  </si>
  <si>
    <t xml:space="preserve">5. Other dishes are typical-recipe estimates compiled from standard ingredient composition data - Confidence "Medium". Real dishes vary by ±15-30% mainly with oil, ghee, cream and sugar.</t>
  </si>
  <si>
    <t xml:space="preserve">Important findings about INDB (why it is not copied blindly)</t>
  </si>
  <si>
    <t xml:space="preserve">Deep-fried recipes</t>
  </si>
  <si>
    <t xml:space="preserve">Whole-recipe servings</t>
  </si>
  <si>
    <t xml:space="preserve">Weight basis</t>
  </si>
  <si>
    <t xml:space="preserve">Some INDB per-100 g values include cooking/boiling water (boiled egg 45 kcal/100 g) or exclude it (poha 295, plain dosa 381). INDB home-science recipes are also lighter than typical home/restaurant cooking.</t>
  </si>
  <si>
    <t xml:space="preserve">Quick adjustments</t>
  </si>
  <si>
    <t xml:space="preserve">+1 tsp oil or ghee = +45 kcal, +5 g fat  |  +1 tsp butter = +36 kcal  |  +1 tsp sugar = +20 kcal, +5 g carbs  |  +1 tbsp fresh cream = +37 kcal  |  Shop juices usually add 2-4 tsp sugar per glass.</t>
  </si>
  <si>
    <t xml:space="preserve">Colour legend</t>
  </si>
  <si>
    <t xml:space="preserve">Blue numbers = source inputs you can edit (per-100 g values, portion weights, combo quantities). Black = formulas; everything recalculates.</t>
  </si>
  <si>
    <t xml:space="preserve">Sources</t>
  </si>
  <si>
    <t xml:space="preserve">Vijayakumar et al. (2024) Development of an Indian Food Composition Database, Current Developments in Nutrition - https://www.ncbi.nlm.nih.gov/pmc/articles/PMC11277795/</t>
  </si>
  <si>
    <t xml:space="preserve">INDB data files (Indian-Nutrient-Databank-INDB-, GitHub, lindsayjaacks) - https://github.com/lindsayjaacks/Indian-Nutrient-Databank-INDB-  |  Anuvaad INDB portal - https://www.anuvaad.org.in/indian-nutrient-databank/</t>
  </si>
  <si>
    <t xml:space="preserve">Longvah T. et al. (2017) Indian Food Composition Tables (IFCT 2017), ICMR-National Institute of Nutrition, Hyderabad.</t>
  </si>
  <si>
    <t xml:space="preserve">USDA FoodData Central (juices, milk, eggs, bread, rice reference values).</t>
  </si>
  <si>
    <t xml:space="preserve">Disclaimer</t>
  </si>
  <si>
    <t xml:space="preserve">Estimates for everyday tracking, not lab analysis. For medical diets (diabetes, kidney disease, etc.) confirm with a registered dietitian. Sodium values are approximate - restaurant food is often saltier.</t>
  </si>
  <si>
    <t xml:space="preserve">Dishes per category</t>
  </si>
  <si>
    <t xml:space="preserve">Hot Beverages</t>
  </si>
  <si>
    <t xml:space="preserve">Cold Beverages &amp; Sharbat</t>
  </si>
  <si>
    <t xml:space="preserve">Fruit Juices</t>
  </si>
  <si>
    <t xml:space="preserve">Vegetable Juices</t>
  </si>
  <si>
    <t xml:space="preserve">Lassi &amp; Buttermilk</t>
  </si>
  <si>
    <t xml:space="preserve">Milkshakes &amp; Milk</t>
  </si>
  <si>
    <t xml:space="preserve">Breakfast - North &amp; West</t>
  </si>
  <si>
    <t xml:space="preserve">Breakfast - South</t>
  </si>
  <si>
    <t xml:space="preserve">Breads</t>
  </si>
  <si>
    <t xml:space="preserve">Rice, Pulao &amp; Khichdi</t>
  </si>
  <si>
    <t xml:space="preserve">Biryani</t>
  </si>
  <si>
    <t xml:space="preserve">Dal &amp; Legumes</t>
  </si>
  <si>
    <t xml:space="preserve">Veg Curries (Gravy)</t>
  </si>
  <si>
    <t xml:space="preserve">Veg Dry Sabzi</t>
  </si>
  <si>
    <t xml:space="preserve">Non-Veg Curries</t>
  </si>
  <si>
    <t xml:space="preserve">Egg Dishes</t>
  </si>
  <si>
    <t xml:space="preserve">Veg Starters</t>
  </si>
  <si>
    <t xml:space="preserve">Non-Veg Starters &amp; Kebabs</t>
  </si>
  <si>
    <t xml:space="preserve">Snacks &amp; Fritters</t>
  </si>
  <si>
    <t xml:space="preserve">Street Food &amp; Chaat</t>
  </si>
  <si>
    <t xml:space="preserve">Indo-Chinese</t>
  </si>
  <si>
    <t xml:space="preserve">Soups</t>
  </si>
  <si>
    <t xml:space="preserve">Raita, Salad &amp; Curd</t>
  </si>
  <si>
    <t xml:space="preserve">Chutneys, Pickles &amp; Papad</t>
  </si>
  <si>
    <t xml:space="preserve">Namkeen &amp; Dry Snacks</t>
  </si>
  <si>
    <t xml:space="preserve">Sweets (Mithai)</t>
  </si>
  <si>
    <t xml:space="preserve">Desserts (Kheer, Halwa, Ice Cream)</t>
  </si>
  <si>
    <t xml:space="preserve">Basics &amp; Add-ons</t>
  </si>
  <si>
    <t xml:space="preserve">ID</t>
  </si>
  <si>
    <t xml:space="preserve">Dish</t>
  </si>
  <si>
    <t xml:space="preserve">Also known as</t>
  </si>
  <si>
    <t xml:space="preserve">Category</t>
  </si>
  <si>
    <t xml:space="preserve">Region</t>
  </si>
  <si>
    <t xml:space="preserve">Veg / Egg / Non-Veg</t>
  </si>
  <si>
    <t xml:space="preserve">Vegan</t>
  </si>
  <si>
    <t xml:space="preserve">Meal type</t>
  </si>
  <si>
    <t xml:space="preserve">Unit</t>
  </si>
  <si>
    <t xml:space="preserve">Energy (kcal) per 100</t>
  </si>
  <si>
    <t xml:space="preserve">Protein (g) per 100</t>
  </si>
  <si>
    <t xml:space="preserve">Carbs (g) per 100</t>
  </si>
  <si>
    <t xml:space="preserve">Fat (g) per 100</t>
  </si>
  <si>
    <t xml:space="preserve">Fibre (g) per 100</t>
  </si>
  <si>
    <t xml:space="preserve">Sugar (g) per 100</t>
  </si>
  <si>
    <t xml:space="preserve">Sodium (mg) per 100</t>
  </si>
  <si>
    <t xml:space="preserve">Small (g/ml)</t>
  </si>
  <si>
    <t xml:space="preserve">Medium (g/ml)</t>
  </si>
  <si>
    <t xml:space="preserve">Large (g/ml)</t>
  </si>
  <si>
    <t xml:space="preserve">Half plate (g)</t>
  </si>
  <si>
    <t xml:space="preserve">Full plate (g)</t>
  </si>
  <si>
    <t xml:space="preserve">kcal - Small</t>
  </si>
  <si>
    <t xml:space="preserve">kcal - Medium</t>
  </si>
  <si>
    <t xml:space="preserve">kcal - Large</t>
  </si>
  <si>
    <t xml:space="preserve">kcal - Half plate</t>
  </si>
  <si>
    <t xml:space="preserve">kcal - Full plate</t>
  </si>
  <si>
    <t xml:space="preserve">Confidence</t>
  </si>
  <si>
    <t xml:space="preserve">Basis</t>
  </si>
  <si>
    <t xml:space="preserve">INDB code</t>
  </si>
  <si>
    <t xml:space="preserve">INDB kcal per 100</t>
  </si>
  <si>
    <t xml:space="preserve">Cross-check vs INDB</t>
  </si>
  <si>
    <t xml:space="preserve">Notes</t>
  </si>
  <si>
    <t xml:space="preserve">D001</t>
  </si>
  <si>
    <t xml:space="preserve">Masala chai (milk + sugar)</t>
  </si>
  <si>
    <t xml:space="preserve">Tea, adrak chai, chai</t>
  </si>
  <si>
    <t xml:space="preserve">Pan-India</t>
  </si>
  <si>
    <t xml:space="preserve">Veg</t>
  </si>
  <si>
    <t xml:space="preserve">Beverage</t>
  </si>
  <si>
    <t xml:space="preserve">ml</t>
  </si>
  <si>
    <t xml:space="preserve">Medium</t>
  </si>
  <si>
    <t xml:space="preserve">Typical-recipe estimate (IFCT 2017 / USDA FDC ingredient data)</t>
  </si>
  <si>
    <t xml:space="preserve">ASC001</t>
  </si>
  <si>
    <t xml:space="preserve">INDB 16 kcal/100 g (+244%) - INDB lower: lighter/thinner recipe, or cooking water counted in weight</t>
  </si>
  <si>
    <t xml:space="preserve">INDB recipe has no added sugar; this assumes ~2 tsp sugar per 150 ml cup, toned milk ~50%</t>
  </si>
  <si>
    <t xml:space="preserve">D002</t>
  </si>
  <si>
    <t xml:space="preserve">Tea with milk, no sugar</t>
  </si>
  <si>
    <t xml:space="preserve">Chai without sugar</t>
  </si>
  <si>
    <t xml:space="preserve">D003</t>
  </si>
  <si>
    <t xml:space="preserve">Cutting chai (strong, extra milk &amp; sugar)</t>
  </si>
  <si>
    <t xml:space="preserve">Tapri chai</t>
  </si>
  <si>
    <t xml:space="preserve">West</t>
  </si>
  <si>
    <t xml:space="preserve">Street style</t>
  </si>
  <si>
    <t xml:space="preserve">D004</t>
  </si>
  <si>
    <t xml:space="preserve">Irani chai</t>
  </si>
  <si>
    <t xml:space="preserve">Hyderabadi Irani chai</t>
  </si>
  <si>
    <t xml:space="preserve">South</t>
  </si>
  <si>
    <t xml:space="preserve">Made with khoa/condensed milk</t>
  </si>
  <si>
    <t xml:space="preserve">D005</t>
  </si>
  <si>
    <t xml:space="preserve">Black tea, no sugar</t>
  </si>
  <si>
    <t xml:space="preserve">Kali chai, lal chai</t>
  </si>
  <si>
    <t xml:space="preserve">Yes</t>
  </si>
  <si>
    <t xml:space="preserve">High</t>
  </si>
  <si>
    <t xml:space="preserve">Ingredient composition data (USDA FDC / IFCT 2017)</t>
  </si>
  <si>
    <t xml:space="preserve">D006</t>
  </si>
  <si>
    <t xml:space="preserve">Lemon tea with sugar</t>
  </si>
  <si>
    <t xml:space="preserve">Nimbu chai</t>
  </si>
  <si>
    <t xml:space="preserve">D007</t>
  </si>
  <si>
    <t xml:space="preserve">Green tea, no sugar</t>
  </si>
  <si>
    <t xml:space="preserve">D008</t>
  </si>
  <si>
    <t xml:space="preserve">South Indian filter coffee (milk + sugar)</t>
  </si>
  <si>
    <t xml:space="preserve">Kaapi, degree coffee</t>
  </si>
  <si>
    <t xml:space="preserve">Mostly milk, ~2 tsp sugar per 150 ml</t>
  </si>
  <si>
    <t xml:space="preserve">D009</t>
  </si>
  <si>
    <t xml:space="preserve">Instant coffee with milk &amp; sugar</t>
  </si>
  <si>
    <t xml:space="preserve">Nescafe/Bru coffee</t>
  </si>
  <si>
    <t xml:space="preserve">ASC002</t>
  </si>
  <si>
    <t xml:space="preserve">INDB 23 kcal/100 g (+221%) - INDB lower: lighter/thinner recipe, or cooking water counted in weight</t>
  </si>
  <si>
    <t xml:space="preserve">D010</t>
  </si>
  <si>
    <t xml:space="preserve">Black coffee, no sugar</t>
  </si>
  <si>
    <t xml:space="preserve">Americano</t>
  </si>
  <si>
    <t xml:space="preserve">D011</t>
  </si>
  <si>
    <t xml:space="preserve">Hot chocolate / cocoa milk</t>
  </si>
  <si>
    <t xml:space="preserve">Bournvita/Horlicks style malted milk</t>
  </si>
  <si>
    <t xml:space="preserve">Agrees with INDB 2024 standard recipe (within 20%)</t>
  </si>
  <si>
    <t xml:space="preserve">BFP011</t>
  </si>
  <si>
    <t xml:space="preserve">INDB 90 kcal/100 g (+3%)</t>
  </si>
  <si>
    <t xml:space="preserve">D012</t>
  </si>
  <si>
    <t xml:space="preserve">Haldi doodh (turmeric milk)</t>
  </si>
  <si>
    <t xml:space="preserve">Golden milk</t>
  </si>
  <si>
    <t xml:space="preserve">Whole milk, little sugar/jaggery</t>
  </si>
  <si>
    <t xml:space="preserve">D013</t>
  </si>
  <si>
    <t xml:space="preserve">Badam milk (hot or cold)</t>
  </si>
  <si>
    <t xml:space="preserve">Almond milk drink</t>
  </si>
  <si>
    <t xml:space="preserve">With sugar and ground almonds</t>
  </si>
  <si>
    <t xml:space="preserve">D014</t>
  </si>
  <si>
    <t xml:space="preserve">Kesar doodh (saffron milk)</t>
  </si>
  <si>
    <t xml:space="preserve">Kesariya doodh</t>
  </si>
  <si>
    <t xml:space="preserve">North</t>
  </si>
  <si>
    <t xml:space="preserve">OSR010</t>
  </si>
  <si>
    <t xml:space="preserve">INDB 102 kcal/100 g (-17%)</t>
  </si>
  <si>
    <t xml:space="preserve">D015</t>
  </si>
  <si>
    <t xml:space="preserve">Kashmiri kahwa</t>
  </si>
  <si>
    <t xml:space="preserve">Kehwa</t>
  </si>
  <si>
    <t xml:space="preserve">BFP007</t>
  </si>
  <si>
    <t xml:space="preserve">INDB 25 kcal/100 g (+5%)</t>
  </si>
  <si>
    <t xml:space="preserve">With sugar/honey and almond slivers</t>
  </si>
  <si>
    <t xml:space="preserve">D016</t>
  </si>
  <si>
    <t xml:space="preserve">Nimbu pani - sweet</t>
  </si>
  <si>
    <t xml:space="preserve">Lemonade, shikanji (sweet)</t>
  </si>
  <si>
    <t xml:space="preserve">ASC008</t>
  </si>
  <si>
    <t xml:space="preserve">INDB 21 kcal/100 g (+26%) - INDB lower: lighter/thinner recipe, or cooking water counted in weight</t>
  </si>
  <si>
    <t xml:space="preserve">D017</t>
  </si>
  <si>
    <t xml:space="preserve">Nimbu pani - sweet &amp; salty</t>
  </si>
  <si>
    <t xml:space="preserve">Shikanji, masala lemonade</t>
  </si>
  <si>
    <t xml:space="preserve">D018</t>
  </si>
  <si>
    <t xml:space="preserve">Nimbu pani - salted, no sugar</t>
  </si>
  <si>
    <t xml:space="preserve">Salted lemon water</t>
  </si>
  <si>
    <t xml:space="preserve">D019</t>
  </si>
  <si>
    <t xml:space="preserve">Lemon soda (sweet)</t>
  </si>
  <si>
    <t xml:space="preserve">Fresh lime soda sweet</t>
  </si>
  <si>
    <t xml:space="preserve">D020</t>
  </si>
  <si>
    <t xml:space="preserve">Jaljeera</t>
  </si>
  <si>
    <t xml:space="preserve">Jal jeera</t>
  </si>
  <si>
    <t xml:space="preserve">BFP024</t>
  </si>
  <si>
    <t xml:space="preserve">INDB 30 kcal/100 g (-16%)</t>
  </si>
  <si>
    <t xml:space="preserve">D021</t>
  </si>
  <si>
    <t xml:space="preserve">Aam panna</t>
  </si>
  <si>
    <t xml:space="preserve">Raw mango drink</t>
  </si>
  <si>
    <t xml:space="preserve">ASC005</t>
  </si>
  <si>
    <t xml:space="preserve">INDB 36 kcal/100 g (+12%)</t>
  </si>
  <si>
    <t xml:space="preserve">D022</t>
  </si>
  <si>
    <t xml:space="preserve">Kokum sharbat</t>
  </si>
  <si>
    <t xml:space="preserve">Kokum juice</t>
  </si>
  <si>
    <t xml:space="preserve">D023</t>
  </si>
  <si>
    <t xml:space="preserve">Bael sharbat</t>
  </si>
  <si>
    <t xml:space="preserve">Wood apple sharbat</t>
  </si>
  <si>
    <t xml:space="preserve">OSR001</t>
  </si>
  <si>
    <t xml:space="preserve">INDB 34 kcal/100 g (+10%)</t>
  </si>
  <si>
    <t xml:space="preserve">D024</t>
  </si>
  <si>
    <t xml:space="preserve">Sattu sharbat (salted)</t>
  </si>
  <si>
    <t xml:space="preserve">Sattu drink</t>
  </si>
  <si>
    <t xml:space="preserve">East</t>
  </si>
  <si>
    <t xml:space="preserve">OSR002</t>
  </si>
  <si>
    <t xml:space="preserve">INDB 23 kcal/100 g (+60%) - INDB lower: lighter/thinner recipe, or cooking water counted in weight</t>
  </si>
  <si>
    <t xml:space="preserve">~2 tbsp sattu per glass</t>
  </si>
  <si>
    <t xml:space="preserve">D025</t>
  </si>
  <si>
    <t xml:space="preserve">Rose sharbat / Rooh Afza (with water)</t>
  </si>
  <si>
    <t xml:space="preserve">Gulab sharbat</t>
  </si>
  <si>
    <t xml:space="preserve">D026</t>
  </si>
  <si>
    <t xml:space="preserve">Rooh Afza milk</t>
  </si>
  <si>
    <t xml:space="preserve">Rose milk (Rooh Afza)</t>
  </si>
  <si>
    <t xml:space="preserve">D027</t>
  </si>
  <si>
    <t xml:space="preserve">Nannari sharbat</t>
  </si>
  <si>
    <t xml:space="preserve">Sarsaparilla sharbat</t>
  </si>
  <si>
    <t xml:space="preserve">OSR008</t>
  </si>
  <si>
    <t xml:space="preserve">INDB 89 kcal/100 g (-55%) - INDB higher: cooking water likely not counted in weight, or more oil</t>
  </si>
  <si>
    <t xml:space="preserve">D028</t>
  </si>
  <si>
    <t xml:space="preserve">Sol kadhi</t>
  </si>
  <si>
    <t xml:space="preserve">Kokum coconut milk drink</t>
  </si>
  <si>
    <t xml:space="preserve">D029</t>
  </si>
  <si>
    <t xml:space="preserve">Coconut water (tender coconut)</t>
  </si>
  <si>
    <t xml:space="preserve">Nariyal pani, elaneer</t>
  </si>
  <si>
    <t xml:space="preserve">Natural, no sugar</t>
  </si>
  <si>
    <t xml:space="preserve">D030</t>
  </si>
  <si>
    <t xml:space="preserve">Sugarcane juice</t>
  </si>
  <si>
    <t xml:space="preserve">Ganne ka ras, ganna juice</t>
  </si>
  <si>
    <t xml:space="preserve">Fresh pressed; ~70-75 kcal/100 ml</t>
  </si>
  <si>
    <t xml:space="preserve">D031</t>
  </si>
  <si>
    <t xml:space="preserve">Thandai</t>
  </si>
  <si>
    <t xml:space="preserve">OSR005</t>
  </si>
  <si>
    <t xml:space="preserve">INDB 101 kcal/100 g (+11%)</t>
  </si>
  <si>
    <t xml:space="preserve">Milk, nuts, seeds, sugar</t>
  </si>
  <si>
    <t xml:space="preserve">D032</t>
  </si>
  <si>
    <t xml:space="preserve">Jigarthanda</t>
  </si>
  <si>
    <t xml:space="preserve">Madurai jigarthanda</t>
  </si>
  <si>
    <t xml:space="preserve">Milk, almond gum, nannari, ice cream</t>
  </si>
  <si>
    <t xml:space="preserve">D033</t>
  </si>
  <si>
    <t xml:space="preserve">Falooda</t>
  </si>
  <si>
    <t xml:space="preserve">Royal falooda</t>
  </si>
  <si>
    <t xml:space="preserve">With ice cream, sabja, vermicelli, rose syrup</t>
  </si>
  <si>
    <t xml:space="preserve">D034</t>
  </si>
  <si>
    <t xml:space="preserve">Rose milk</t>
  </si>
  <si>
    <t xml:space="preserve">D035</t>
  </si>
  <si>
    <t xml:space="preserve">Cold coffee (milk + sugar)</t>
  </si>
  <si>
    <t xml:space="preserve">BFP013</t>
  </si>
  <si>
    <t xml:space="preserve">INDB 83 kcal/100 g (-3%)</t>
  </si>
  <si>
    <t xml:space="preserve">D036</t>
  </si>
  <si>
    <t xml:space="preserve">Cold coffee with ice cream</t>
  </si>
  <si>
    <t xml:space="preserve">Frappe</t>
  </si>
  <si>
    <t xml:space="preserve">ASC015</t>
  </si>
  <si>
    <t xml:space="preserve">INDB 68 kcal/100 g (+66%) - INDB lower: lighter/thinner recipe, or cooking water counted in weight</t>
  </si>
  <si>
    <t xml:space="preserve">D037</t>
  </si>
  <si>
    <t xml:space="preserve">Soft drink / cola</t>
  </si>
  <si>
    <t xml:space="preserve">Coke, Thums Up, Pepsi</t>
  </si>
  <si>
    <t xml:space="preserve">Regular, not diet</t>
  </si>
  <si>
    <t xml:space="preserve">D038</t>
  </si>
  <si>
    <t xml:space="preserve">Packaged mango drink</t>
  </si>
  <si>
    <t xml:space="preserve">Frooti, Maaza, Slice</t>
  </si>
  <si>
    <t xml:space="preserve">D039</t>
  </si>
  <si>
    <t xml:space="preserve">Orange juice</t>
  </si>
  <si>
    <t xml:space="preserve">Santra/narangi juice</t>
  </si>
  <si>
    <t xml:space="preserve">Fresh, no added sugar. Shop juices often add 2-4 tsp sugar/glass: +20 kcal &amp; +5 g carbs per tsp</t>
  </si>
  <si>
    <t xml:space="preserve">D040</t>
  </si>
  <si>
    <t xml:space="preserve">Mosambi juice</t>
  </si>
  <si>
    <t xml:space="preserve">Sweet lime juice, musambi</t>
  </si>
  <si>
    <t xml:space="preserve">D041</t>
  </si>
  <si>
    <t xml:space="preserve">Apple juice</t>
  </si>
  <si>
    <t xml:space="preserve">Seb ka juice</t>
  </si>
  <si>
    <t xml:space="preserve">D042</t>
  </si>
  <si>
    <t xml:space="preserve">Pomegranate juice</t>
  </si>
  <si>
    <t xml:space="preserve">Anar juice</t>
  </si>
  <si>
    <t xml:space="preserve">D043</t>
  </si>
  <si>
    <t xml:space="preserve">Grape juice (black/green)</t>
  </si>
  <si>
    <t xml:space="preserve">Angoor juice</t>
  </si>
  <si>
    <t xml:space="preserve">D044</t>
  </si>
  <si>
    <t xml:space="preserve">Pineapple juice</t>
  </si>
  <si>
    <t xml:space="preserve">Ananas juice</t>
  </si>
  <si>
    <t xml:space="preserve">D045</t>
  </si>
  <si>
    <t xml:space="preserve">Watermelon juice</t>
  </si>
  <si>
    <t xml:space="preserve">Tarbooz juice</t>
  </si>
  <si>
    <t xml:space="preserve">D046</t>
  </si>
  <si>
    <t xml:space="preserve">Muskmelon juice</t>
  </si>
  <si>
    <t xml:space="preserve">Kharbooja juice</t>
  </si>
  <si>
    <t xml:space="preserve">D047</t>
  </si>
  <si>
    <t xml:space="preserve">Papaya juice</t>
  </si>
  <si>
    <t xml:space="preserve">Papita juice</t>
  </si>
  <si>
    <t xml:space="preserve">Fresh, no added sugar. Shop juices often add 2-4 tsp sugar/glass: +20 kcal &amp; +5 g carbs per tsp; blended with some water</t>
  </si>
  <si>
    <t xml:space="preserve">D048</t>
  </si>
  <si>
    <t xml:space="preserve">Mango juice (fresh pulp + water)</t>
  </si>
  <si>
    <t xml:space="preserve">Aam juice</t>
  </si>
  <si>
    <t xml:space="preserve">Fresh, no added sugar. Shop juices often add 2-4 tsp sugar/glass: +20 kcal &amp; +5 g carbs per tsp; pulp:water ~1:1</t>
  </si>
  <si>
    <t xml:space="preserve">D049</t>
  </si>
  <si>
    <t xml:space="preserve">Aamras (thick mango pulp, no sugar)</t>
  </si>
  <si>
    <t xml:space="preserve">Aam ras</t>
  </si>
  <si>
    <t xml:space="preserve">g</t>
  </si>
  <si>
    <t xml:space="preserve">Served in katori with puri</t>
  </si>
  <si>
    <t xml:space="preserve">D050</t>
  </si>
  <si>
    <t xml:space="preserve">Aamras with sugar</t>
  </si>
  <si>
    <t xml:space="preserve">Aam ras sweetened</t>
  </si>
  <si>
    <t xml:space="preserve">D051</t>
  </si>
  <si>
    <t xml:space="preserve">Guava juice</t>
  </si>
  <si>
    <t xml:space="preserve">Amrood juice</t>
  </si>
  <si>
    <t xml:space="preserve">D052</t>
  </si>
  <si>
    <t xml:space="preserve">Strawberry juice</t>
  </si>
  <si>
    <t xml:space="preserve">D053</t>
  </si>
  <si>
    <t xml:space="preserve">Kiwi juice</t>
  </si>
  <si>
    <t xml:space="preserve">D054</t>
  </si>
  <si>
    <t xml:space="preserve">Litchi juice</t>
  </si>
  <si>
    <t xml:space="preserve">Lychee juice</t>
  </si>
  <si>
    <t xml:space="preserve">D055</t>
  </si>
  <si>
    <t xml:space="preserve">Jamun juice</t>
  </si>
  <si>
    <t xml:space="preserve">Java plum juice</t>
  </si>
  <si>
    <t xml:space="preserve">Fresh, no added sugar. Shop juices often add 2-4 tsp sugar/glass: +20 kcal &amp; +5 g carbs per tsp; diluted</t>
  </si>
  <si>
    <t xml:space="preserve">D056</t>
  </si>
  <si>
    <t xml:space="preserve">Pear juice</t>
  </si>
  <si>
    <t xml:space="preserve">Nashpati juice</t>
  </si>
  <si>
    <t xml:space="preserve">D057</t>
  </si>
  <si>
    <t xml:space="preserve">Plum juice</t>
  </si>
  <si>
    <t xml:space="preserve">Aloo bukhara juice</t>
  </si>
  <si>
    <t xml:space="preserve">D058</t>
  </si>
  <si>
    <t xml:space="preserve">Peach juice</t>
  </si>
  <si>
    <t xml:space="preserve">Aadu juice</t>
  </si>
  <si>
    <t xml:space="preserve">D059</t>
  </si>
  <si>
    <t xml:space="preserve">Cranberry juice (unsweetened)</t>
  </si>
  <si>
    <t xml:space="preserve">D060</t>
  </si>
  <si>
    <t xml:space="preserve">Mixed fruit juice</t>
  </si>
  <si>
    <t xml:space="preserve">Fruit punch (fresh)</t>
  </si>
  <si>
    <t xml:space="preserve">D061</t>
  </si>
  <si>
    <t xml:space="preserve">Amla juice (diluted)</t>
  </si>
  <si>
    <t xml:space="preserve">Indian gooseberry juice</t>
  </si>
  <si>
    <t xml:space="preserve">~30 ml amla juice in 100 ml water</t>
  </si>
  <si>
    <t xml:space="preserve">D062</t>
  </si>
  <si>
    <t xml:space="preserve">Carrot juice</t>
  </si>
  <si>
    <t xml:space="preserve">Gajar juice</t>
  </si>
  <si>
    <t xml:space="preserve">No added sugar</t>
  </si>
  <si>
    <t xml:space="preserve">D063</t>
  </si>
  <si>
    <t xml:space="preserve">Beetroot juice</t>
  </si>
  <si>
    <t xml:space="preserve">Chukandar juice</t>
  </si>
  <si>
    <t xml:space="preserve">D064</t>
  </si>
  <si>
    <t xml:space="preserve">ABC juice (apple-beetroot-carrot)</t>
  </si>
  <si>
    <t xml:space="preserve">D065</t>
  </si>
  <si>
    <t xml:space="preserve">Tomato juice (fresh)</t>
  </si>
  <si>
    <t xml:space="preserve">Tamatar juice</t>
  </si>
  <si>
    <t xml:space="preserve">Unsalted; add ~250 mg sodium if salted</t>
  </si>
  <si>
    <t xml:space="preserve">D066</t>
  </si>
  <si>
    <t xml:space="preserve">Cucumber juice</t>
  </si>
  <si>
    <t xml:space="preserve">Kheera juice</t>
  </si>
  <si>
    <t xml:space="preserve">D067</t>
  </si>
  <si>
    <t xml:space="preserve">Lauki juice (bottle gourd)</t>
  </si>
  <si>
    <t xml:space="preserve">Ghiya juice</t>
  </si>
  <si>
    <t xml:space="preserve">D068</t>
  </si>
  <si>
    <t xml:space="preserve">Karela juice (bitter gourd)</t>
  </si>
  <si>
    <t xml:space="preserve">D069</t>
  </si>
  <si>
    <t xml:space="preserve">Wheatgrass juice</t>
  </si>
  <si>
    <t xml:space="preserve">D070</t>
  </si>
  <si>
    <t xml:space="preserve">Green juice (spinach-cucumber-apple)</t>
  </si>
  <si>
    <t xml:space="preserve">Detox juice</t>
  </si>
  <si>
    <t xml:space="preserve">D071</t>
  </si>
  <si>
    <t xml:space="preserve">Mixed vegetable juice</t>
  </si>
  <si>
    <t xml:space="preserve">Lightly salted</t>
  </si>
  <si>
    <t xml:space="preserve">D072</t>
  </si>
  <si>
    <t xml:space="preserve">Sweet lassi</t>
  </si>
  <si>
    <t xml:space="preserve">Meethi lassi</t>
  </si>
  <si>
    <t xml:space="preserve">ASC021</t>
  </si>
  <si>
    <t xml:space="preserve">INDB 36 kcal/100 g (+142%) - INDB lower: lighter/thinner recipe, or cooking water counted in weight</t>
  </si>
  <si>
    <t xml:space="preserve">Full-fat curd + sugar (shop style)</t>
  </si>
  <si>
    <t xml:space="preserve">D073</t>
  </si>
  <si>
    <t xml:space="preserve">Salted lassi</t>
  </si>
  <si>
    <t xml:space="preserve">Namkeen lassi</t>
  </si>
  <si>
    <t xml:space="preserve">ASC022</t>
  </si>
  <si>
    <t xml:space="preserve">INDB 19 kcal/100 g (+89%) - INDB lower: lighter/thinner recipe, or cooking water counted in weight</t>
  </si>
  <si>
    <t xml:space="preserve">Curd + water ~60:40 + salt, jeera</t>
  </si>
  <si>
    <t xml:space="preserve">D074</t>
  </si>
  <si>
    <t xml:space="preserve">Mango lassi</t>
  </si>
  <si>
    <t xml:space="preserve">D075</t>
  </si>
  <si>
    <t xml:space="preserve">Rose lassi</t>
  </si>
  <si>
    <t xml:space="preserve">Gulab lassi</t>
  </si>
  <si>
    <t xml:space="preserve">D076</t>
  </si>
  <si>
    <t xml:space="preserve">Banana lassi</t>
  </si>
  <si>
    <t xml:space="preserve">D077</t>
  </si>
  <si>
    <t xml:space="preserve">Punjabi malai lassi (with cream)</t>
  </si>
  <si>
    <t xml:space="preserve">Kulhad lassi with malai</t>
  </si>
  <si>
    <t xml:space="preserve">Topped with malai</t>
  </si>
  <si>
    <t xml:space="preserve">D078</t>
  </si>
  <si>
    <t xml:space="preserve">Dry fruit lassi</t>
  </si>
  <si>
    <t xml:space="preserve">D079</t>
  </si>
  <si>
    <t xml:space="preserve">Chaas / plain buttermilk (salted)</t>
  </si>
  <si>
    <t xml:space="preserve">Chhachh, mattha, majjige</t>
  </si>
  <si>
    <t xml:space="preserve">Curd:water ~1:3</t>
  </si>
  <si>
    <t xml:space="preserve">D080</t>
  </si>
  <si>
    <t xml:space="preserve">Masala chaas</t>
  </si>
  <si>
    <t xml:space="preserve">Spiced buttermilk</t>
  </si>
  <si>
    <t xml:space="preserve">With jeera, mint, ginger, chilli</t>
  </si>
  <si>
    <t xml:space="preserve">D081</t>
  </si>
  <si>
    <t xml:space="preserve">Neer mor</t>
  </si>
  <si>
    <t xml:space="preserve">Kerala/TN spiced buttermilk, sambharam</t>
  </si>
  <si>
    <t xml:space="preserve">More diluted</t>
  </si>
  <si>
    <t xml:space="preserve">D082</t>
  </si>
  <si>
    <t xml:space="preserve">Banana milkshake</t>
  </si>
  <si>
    <t xml:space="preserve">Kela shake</t>
  </si>
  <si>
    <t xml:space="preserve">ASC016</t>
  </si>
  <si>
    <t xml:space="preserve">INDB 65 kcal/100 g (+18%)</t>
  </si>
  <si>
    <t xml:space="preserve">Toned milk + 1 banana + 2 tsp sugar per ~360 ml</t>
  </si>
  <si>
    <t xml:space="preserve">D083</t>
  </si>
  <si>
    <t xml:space="preserve">Mango milkshake</t>
  </si>
  <si>
    <t xml:space="preserve">Aam shake</t>
  </si>
  <si>
    <t xml:space="preserve">ASC017</t>
  </si>
  <si>
    <t xml:space="preserve">INDB 57 kcal/100 g (+29%) - INDB lower: lighter/thinner recipe, or cooking water counted in weight</t>
  </si>
  <si>
    <t xml:space="preserve">D084</t>
  </si>
  <si>
    <t xml:space="preserve">Chikoo milkshake</t>
  </si>
  <si>
    <t xml:space="preserve">Sapota shake</t>
  </si>
  <si>
    <t xml:space="preserve">D085</t>
  </si>
  <si>
    <t xml:space="preserve">Strawberry milkshake</t>
  </si>
  <si>
    <t xml:space="preserve">D086</t>
  </si>
  <si>
    <t xml:space="preserve">Chocolate milkshake</t>
  </si>
  <si>
    <t xml:space="preserve">D087</t>
  </si>
  <si>
    <t xml:space="preserve">Sitaphal (custard apple) milkshake</t>
  </si>
  <si>
    <t xml:space="preserve">D088</t>
  </si>
  <si>
    <t xml:space="preserve">Papaya milkshake</t>
  </si>
  <si>
    <t xml:space="preserve">D089</t>
  </si>
  <si>
    <t xml:space="preserve">Dry fruit milkshake</t>
  </si>
  <si>
    <t xml:space="preserve">D090</t>
  </si>
  <si>
    <t xml:space="preserve">Thick shake with ice cream (any flavour)</t>
  </si>
  <si>
    <t xml:space="preserve">BFP607</t>
  </si>
  <si>
    <t xml:space="preserve">INDB 68 kcal/100 g (+75%) - INDB lower: lighter/thinner recipe, or cooking water counted in weight</t>
  </si>
  <si>
    <t xml:space="preserve">D091</t>
  </si>
  <si>
    <t xml:space="preserve">Milk - toned (3% fat)</t>
  </si>
  <si>
    <t xml:space="preserve">Doodh</t>
  </si>
  <si>
    <t xml:space="preserve">Plain, no sugar</t>
  </si>
  <si>
    <t xml:space="preserve">D092</t>
  </si>
  <si>
    <t xml:space="preserve">Milk - full cream (6% fat)</t>
  </si>
  <si>
    <t xml:space="preserve">Buffalo/full cream milk</t>
  </si>
  <si>
    <t xml:space="preserve">D093</t>
  </si>
  <si>
    <t xml:space="preserve">Milk - double toned (1.5% fat)</t>
  </si>
  <si>
    <t xml:space="preserve">Skimmed-ish milk</t>
  </si>
  <si>
    <t xml:space="preserve">D094</t>
  </si>
  <si>
    <t xml:space="preserve">Poha (kanda/Indori, with peanuts)</t>
  </si>
  <si>
    <t xml:space="preserve">Aval, chivda poha</t>
  </si>
  <si>
    <t xml:space="preserve">Breakfast</t>
  </si>
  <si>
    <t xml:space="preserve">BFP044</t>
  </si>
  <si>
    <t xml:space="preserve">INDB 295 kcal/100 g (-44%) - INDB higher: cooking water likely not counted in weight, or more oil</t>
  </si>
  <si>
    <t xml:space="preserve">D095</t>
  </si>
  <si>
    <t xml:space="preserve">Upma (rava)</t>
  </si>
  <si>
    <t xml:space="preserve">Uppittu, khara bath</t>
  </si>
  <si>
    <t xml:space="preserve">BFP039</t>
  </si>
  <si>
    <t xml:space="preserve">INDB 148 kcal/100 g (+1%)</t>
  </si>
  <si>
    <t xml:space="preserve">D096</t>
  </si>
  <si>
    <t xml:space="preserve">Vegetable upma</t>
  </si>
  <si>
    <t xml:space="preserve">BFP043</t>
  </si>
  <si>
    <t xml:space="preserve">INDB 146 kcal/100 g (-7%)</t>
  </si>
  <si>
    <t xml:space="preserve">D097</t>
  </si>
  <si>
    <t xml:space="preserve">Sabudana khichdi</t>
  </si>
  <si>
    <t xml:space="preserve">Sago khichdi</t>
  </si>
  <si>
    <t xml:space="preserve">OSR099</t>
  </si>
  <si>
    <t xml:space="preserve">INDB 187 kcal/100 g (+9%)</t>
  </si>
  <si>
    <t xml:space="preserve">With peanuts, ghee/oil</t>
  </si>
  <si>
    <t xml:space="preserve">D098</t>
  </si>
  <si>
    <t xml:space="preserve">Daliya - namkeen (vegetable)</t>
  </si>
  <si>
    <t xml:space="preserve">Broken wheat upma</t>
  </si>
  <si>
    <t xml:space="preserve">BFP577</t>
  </si>
  <si>
    <t xml:space="preserve">INDB 295 kcal/100 g (-66%) - INDB higher: cooking water likely not counted in weight, or more oil</t>
  </si>
  <si>
    <t xml:space="preserve">D099</t>
  </si>
  <si>
    <t xml:space="preserve">Daliya - sweet (with milk)</t>
  </si>
  <si>
    <t xml:space="preserve">Meetha daliya</t>
  </si>
  <si>
    <t xml:space="preserve">ASC047</t>
  </si>
  <si>
    <t xml:space="preserve">INDB 82 kcal/100 g (+20%)</t>
  </si>
  <si>
    <t xml:space="preserve">D100</t>
  </si>
  <si>
    <t xml:space="preserve">Oats porridge (with milk &amp; sugar)</t>
  </si>
  <si>
    <t xml:space="preserve">ASC050</t>
  </si>
  <si>
    <t xml:space="preserve">INDB 73 kcal/100 g (+25%) - INDB lower: lighter/thinner recipe, or cooking water counted in weight</t>
  </si>
  <si>
    <t xml:space="preserve">D101</t>
  </si>
  <si>
    <t xml:space="preserve">Masala oats</t>
  </si>
  <si>
    <t xml:space="preserve">Savoury oats</t>
  </si>
  <si>
    <t xml:space="preserve">D102</t>
  </si>
  <si>
    <t xml:space="preserve">Besan chilla</t>
  </si>
  <si>
    <t xml:space="preserve">Besan cheela, gram flour pancake</t>
  </si>
  <si>
    <t xml:space="preserve">OSR100</t>
  </si>
  <si>
    <t xml:space="preserve">INDB 136 kcal/100 g (+30%) - INDB lower: lighter/thinner recipe, or cooking water counted in weight</t>
  </si>
  <si>
    <t xml:space="preserve">D103</t>
  </si>
  <si>
    <t xml:space="preserve">Moong dal chilla</t>
  </si>
  <si>
    <t xml:space="preserve">Moong dal cheela</t>
  </si>
  <si>
    <t xml:space="preserve">BFP046</t>
  </si>
  <si>
    <t xml:space="preserve">INDB 155 kcal/100 g (+4%)</t>
  </si>
  <si>
    <t xml:space="preserve">D104</t>
  </si>
  <si>
    <t xml:space="preserve">Paneer stuffed chilla</t>
  </si>
  <si>
    <t xml:space="preserve">BFP047</t>
  </si>
  <si>
    <t xml:space="preserve">INDB 205 kcal/100 g (-3%)</t>
  </si>
  <si>
    <t xml:space="preserve">D105</t>
  </si>
  <si>
    <t xml:space="preserve">Aloo paratha</t>
  </si>
  <si>
    <t xml:space="preserve">Potato paratha</t>
  </si>
  <si>
    <t xml:space="preserve">ASC098</t>
  </si>
  <si>
    <t xml:space="preserve">INDB 205 kcal/100 g (+14%)</t>
  </si>
  <si>
    <t xml:space="preserve">Tawa-cooked with oil/ghee; +45 kcal per tsp butter on top</t>
  </si>
  <si>
    <t xml:space="preserve">D106</t>
  </si>
  <si>
    <t xml:space="preserve">Gobi paratha</t>
  </si>
  <si>
    <t xml:space="preserve">Cauliflower paratha</t>
  </si>
  <si>
    <t xml:space="preserve">ASC100</t>
  </si>
  <si>
    <t xml:space="preserve">INDB 178 kcal/100 g (+21%) - INDB lower: lighter/thinner recipe, or cooking water counted in weight</t>
  </si>
  <si>
    <t xml:space="preserve">D107</t>
  </si>
  <si>
    <t xml:space="preserve">Paneer paratha</t>
  </si>
  <si>
    <t xml:space="preserve">ASC105</t>
  </si>
  <si>
    <t xml:space="preserve">INDB 263 kcal/100 g (-2%)</t>
  </si>
  <si>
    <t xml:space="preserve">D108</t>
  </si>
  <si>
    <t xml:space="preserve">Mooli paratha</t>
  </si>
  <si>
    <t xml:space="preserve">Radish paratha</t>
  </si>
  <si>
    <t xml:space="preserve">ASC099</t>
  </si>
  <si>
    <t xml:space="preserve">INDB 184 kcal/100 g (+15%)</t>
  </si>
  <si>
    <t xml:space="preserve">D109</t>
  </si>
  <si>
    <t xml:space="preserve">Methi paratha</t>
  </si>
  <si>
    <t xml:space="preserve">Fenugreek paratha</t>
  </si>
  <si>
    <t xml:space="preserve">BFP110</t>
  </si>
  <si>
    <t xml:space="preserve">INDB 148 kcal/100 g (+63%) - INDB lower: lighter/thinner recipe, or cooking water counted in weight</t>
  </si>
  <si>
    <t xml:space="preserve">D110</t>
  </si>
  <si>
    <t xml:space="preserve">Pyaaz paratha</t>
  </si>
  <si>
    <t xml:space="preserve">Onion paratha</t>
  </si>
  <si>
    <t xml:space="preserve">BFP108</t>
  </si>
  <si>
    <t xml:space="preserve">INDB 191 kcal/100 g (+25%) - INDB lower: lighter/thinner recipe, or cooking water counted in weight</t>
  </si>
  <si>
    <t xml:space="preserve">D111</t>
  </si>
  <si>
    <t xml:space="preserve">Plain paratha (tawa)</t>
  </si>
  <si>
    <t xml:space="preserve">Sada paratha</t>
  </si>
  <si>
    <t xml:space="preserve">ASC097</t>
  </si>
  <si>
    <t xml:space="preserve">INDB 298 kcal/100 g (+2%)</t>
  </si>
  <si>
    <t xml:space="preserve">D112</t>
  </si>
  <si>
    <t xml:space="preserve">Thepla (methi)</t>
  </si>
  <si>
    <t xml:space="preserve">Methi thepla</t>
  </si>
  <si>
    <t xml:space="preserve">OSR104</t>
  </si>
  <si>
    <t xml:space="preserve">INDB 346 kcal/100 g (-15%)</t>
  </si>
  <si>
    <t xml:space="preserve">D113</t>
  </si>
  <si>
    <t xml:space="preserve">Thalipeeth</t>
  </si>
  <si>
    <t xml:space="preserve">Multigrain flatbread</t>
  </si>
  <si>
    <t xml:space="preserve">D114</t>
  </si>
  <si>
    <t xml:space="preserve">Masala omelette (2 eggs)</t>
  </si>
  <si>
    <t xml:space="preserve">Egg omelette</t>
  </si>
  <si>
    <t xml:space="preserve">Egg</t>
  </si>
  <si>
    <t xml:space="preserve">ASC061</t>
  </si>
  <si>
    <t xml:space="preserve">INDB 272 kcal/100 g (-38%) - INDB higher: cooking water likely not counted in weight, or more oil</t>
  </si>
  <si>
    <t xml:space="preserve">With onion, chilli, ~1 tsp oil per egg</t>
  </si>
  <si>
    <t xml:space="preserve">D115</t>
  </si>
  <si>
    <t xml:space="preserve">Bread omelette</t>
  </si>
  <si>
    <t xml:space="preserve">Street bread omelette</t>
  </si>
  <si>
    <t xml:space="preserve">Butter-toasted bread</t>
  </si>
  <si>
    <t xml:space="preserve">D116</t>
  </si>
  <si>
    <t xml:space="preserve">Bread butter toast</t>
  </si>
  <si>
    <t xml:space="preserve">Butter toast</t>
  </si>
  <si>
    <t xml:space="preserve">D117</t>
  </si>
  <si>
    <t xml:space="preserve">Veg sandwich (Bombay style)</t>
  </si>
  <si>
    <t xml:space="preserve">Vegetable sandwich</t>
  </si>
  <si>
    <t xml:space="preserve">BFP460</t>
  </si>
  <si>
    <t xml:space="preserve">INDB 250 kcal/100 g (-24%) - INDB higher: cooking water likely not counted in weight, or more oil</t>
  </si>
  <si>
    <t xml:space="preserve">Buttered bread, green chutney, veggies, no cheese</t>
  </si>
  <si>
    <t xml:space="preserve">D118</t>
  </si>
  <si>
    <t xml:space="preserve">Veg grilled cheese sandwich</t>
  </si>
  <si>
    <t xml:space="preserve">Bombay grilled sandwich</t>
  </si>
  <si>
    <t xml:space="preserve">D119</t>
  </si>
  <si>
    <t xml:space="preserve">Cheese sandwich (grilled)</t>
  </si>
  <si>
    <t xml:space="preserve">Cheese toast sandwich</t>
  </si>
  <si>
    <t xml:space="preserve">ASC023</t>
  </si>
  <si>
    <t xml:space="preserve">INDB 218 kcal/100 g (+19%)</t>
  </si>
  <si>
    <t xml:space="preserve">D120</t>
  </si>
  <si>
    <t xml:space="preserve">Egg sandwich</t>
  </si>
  <si>
    <t xml:space="preserve">Anda sandwich</t>
  </si>
  <si>
    <t xml:space="preserve">ASC024</t>
  </si>
  <si>
    <t xml:space="preserve">INDB 286 kcal/100 g (-24%) - INDB higher: cooking water likely not counted in weight, or more oil</t>
  </si>
  <si>
    <t xml:space="preserve">D121</t>
  </si>
  <si>
    <t xml:space="preserve">Chicken sandwich</t>
  </si>
  <si>
    <t xml:space="preserve">Non-Veg</t>
  </si>
  <si>
    <t xml:space="preserve">ASC028</t>
  </si>
  <si>
    <t xml:space="preserve">INDB 253 kcal/100 g (-14%)</t>
  </si>
  <si>
    <t xml:space="preserve">D122</t>
  </si>
  <si>
    <t xml:space="preserve">Poori (wheat, deep fried)</t>
  </si>
  <si>
    <t xml:space="preserve">Puri</t>
  </si>
  <si>
    <t xml:space="preserve">ASC107</t>
  </si>
  <si>
    <t xml:space="preserve">INDB value not usable: Deep-frying oil appears fully counted - fat &amp; kcal overstated</t>
  </si>
  <si>
    <t xml:space="preserve">INDB value excluded (frying oil counted fully)</t>
  </si>
  <si>
    <t xml:space="preserve">D123</t>
  </si>
  <si>
    <t xml:space="preserve">Bedmi poori</t>
  </si>
  <si>
    <t xml:space="preserve">Bedmi puri</t>
  </si>
  <si>
    <t xml:space="preserve">Urad-dal stuffed</t>
  </si>
  <si>
    <t xml:space="preserve">D124</t>
  </si>
  <si>
    <t xml:space="preserve">Litti (baked, ghee-dipped)</t>
  </si>
  <si>
    <t xml:space="preserve">Litti</t>
  </si>
  <si>
    <t xml:space="preserve">Sattu-stuffed</t>
  </si>
  <si>
    <t xml:space="preserve">D125</t>
  </si>
  <si>
    <t xml:space="preserve">Chokha (baingan-aloo-tomato)</t>
  </si>
  <si>
    <t xml:space="preserve">Main</t>
  </si>
  <si>
    <t xml:space="preserve">Mustard oil</t>
  </si>
  <si>
    <t xml:space="preserve">D126</t>
  </si>
  <si>
    <t xml:space="preserve">Puran poli</t>
  </si>
  <si>
    <t xml:space="preserve">Holige, obbattu</t>
  </si>
  <si>
    <t xml:space="preserve">ASC467</t>
  </si>
  <si>
    <t xml:space="preserve">INDB 367 kcal/100 g (-11%)</t>
  </si>
  <si>
    <t xml:space="preserve">With ghee</t>
  </si>
  <si>
    <t xml:space="preserve">D127</t>
  </si>
  <si>
    <t xml:space="preserve">Misal (usal + farsan, without pav)</t>
  </si>
  <si>
    <t xml:space="preserve">Misal</t>
  </si>
  <si>
    <t xml:space="preserve">Pav listed separately</t>
  </si>
  <si>
    <t xml:space="preserve">D128</t>
  </si>
  <si>
    <t xml:space="preserve">Kachori (khasta, dal)</t>
  </si>
  <si>
    <t xml:space="preserve">Khasta kachori</t>
  </si>
  <si>
    <t xml:space="preserve">Snack</t>
  </si>
  <si>
    <t xml:space="preserve">ASC365</t>
  </si>
  <si>
    <t xml:space="preserve">D129</t>
  </si>
  <si>
    <t xml:space="preserve">Pyaaz kachori</t>
  </si>
  <si>
    <t xml:space="preserve">Onion kachori</t>
  </si>
  <si>
    <t xml:space="preserve">D130</t>
  </si>
  <si>
    <t xml:space="preserve">Matar kachori</t>
  </si>
  <si>
    <t xml:space="preserve">Peas kachori</t>
  </si>
  <si>
    <t xml:space="preserve">BFP118</t>
  </si>
  <si>
    <t xml:space="preserve">D131</t>
  </si>
  <si>
    <t xml:space="preserve">Dhokla (khaman)</t>
  </si>
  <si>
    <t xml:space="preserve">Khaman dhokla</t>
  </si>
  <si>
    <t xml:space="preserve">BFP439</t>
  </si>
  <si>
    <t xml:space="preserve">INDB 55 kcal/100 g (+180%) - INDB lower: lighter/thinner recipe, or cooking water counted in weight</t>
  </si>
  <si>
    <t xml:space="preserve">D132</t>
  </si>
  <si>
    <t xml:space="preserve">Rava dhokla</t>
  </si>
  <si>
    <t xml:space="preserve">Sooji dhokla</t>
  </si>
  <si>
    <t xml:space="preserve">OSR115</t>
  </si>
  <si>
    <t xml:space="preserve">INDB 195 kcal/100 g (-15%)</t>
  </si>
  <si>
    <t xml:space="preserve">D133</t>
  </si>
  <si>
    <t xml:space="preserve">Khandvi</t>
  </si>
  <si>
    <t xml:space="preserve">D134</t>
  </si>
  <si>
    <t xml:space="preserve">Handvo</t>
  </si>
  <si>
    <t xml:space="preserve">Gujarati handvo</t>
  </si>
  <si>
    <t xml:space="preserve">OSR146</t>
  </si>
  <si>
    <t xml:space="preserve">INDB value not usable: Serving size looks like the whole recipe</t>
  </si>
  <si>
    <t xml:space="preserve">D135</t>
  </si>
  <si>
    <t xml:space="preserve">Khakhra (plain/methi)</t>
  </si>
  <si>
    <t xml:space="preserve">Khakra</t>
  </si>
  <si>
    <t xml:space="preserve">OSR102</t>
  </si>
  <si>
    <t xml:space="preserve">INDB 178 kcal/100 g (+119%) - INDB lower: lighter/thinner recipe, or cooking water counted in weight</t>
  </si>
  <si>
    <t xml:space="preserve">D136</t>
  </si>
  <si>
    <t xml:space="preserve">Fafda</t>
  </si>
  <si>
    <t xml:space="preserve">D137</t>
  </si>
  <si>
    <t xml:space="preserve">Bun maska</t>
  </si>
  <si>
    <t xml:space="preserve">Irani bun maska</t>
  </si>
  <si>
    <t xml:space="preserve">D138</t>
  </si>
  <si>
    <t xml:space="preserve">Idli</t>
  </si>
  <si>
    <t xml:space="preserve">Plain idli</t>
  </si>
  <si>
    <t xml:space="preserve">ASC144</t>
  </si>
  <si>
    <t xml:space="preserve">INDB 138 kcal/100 g (-4%)</t>
  </si>
  <si>
    <t xml:space="preserve">Plain, without sambar/chutney</t>
  </si>
  <si>
    <t xml:space="preserve">D139</t>
  </si>
  <si>
    <t xml:space="preserve">Rava idli</t>
  </si>
  <si>
    <t xml:space="preserve">Sooji idli</t>
  </si>
  <si>
    <t xml:space="preserve">BFP579</t>
  </si>
  <si>
    <t xml:space="preserve">INDB 206 kcal/100 g (-14%)</t>
  </si>
  <si>
    <t xml:space="preserve">D140</t>
  </si>
  <si>
    <t xml:space="preserve">Mini ghee podi idli</t>
  </si>
  <si>
    <t xml:space="preserve">Podi idli</t>
  </si>
  <si>
    <t xml:space="preserve">Tossed in gunpowder + ghee</t>
  </si>
  <si>
    <t xml:space="preserve">D141</t>
  </si>
  <si>
    <t xml:space="preserve">Plain dosa</t>
  </si>
  <si>
    <t xml:space="preserve">Sada dosa</t>
  </si>
  <si>
    <t xml:space="preserve">BFP148</t>
  </si>
  <si>
    <t xml:space="preserve">INDB 381 kcal/100 g (-54%) - INDB higher: cooking water likely not counted in weight, or more oil</t>
  </si>
  <si>
    <t xml:space="preserve">With oil; INDB value looks too high</t>
  </si>
  <si>
    <t xml:space="preserve">D142</t>
  </si>
  <si>
    <t xml:space="preserve">Paper dosa</t>
  </si>
  <si>
    <t xml:space="preserve">Paper roast</t>
  </si>
  <si>
    <t xml:space="preserve">Large thin dosa</t>
  </si>
  <si>
    <t xml:space="preserve">D143</t>
  </si>
  <si>
    <t xml:space="preserve">Masala dosa</t>
  </si>
  <si>
    <t xml:space="preserve">ASC146</t>
  </si>
  <si>
    <t xml:space="preserve">INDB 165 kcal/100 g (+2%)</t>
  </si>
  <si>
    <t xml:space="preserve">Dosa + potato masala, without sambar/chutney</t>
  </si>
  <si>
    <t xml:space="preserve">D144</t>
  </si>
  <si>
    <t xml:space="preserve">Ghee roast dosa</t>
  </si>
  <si>
    <t xml:space="preserve">D145</t>
  </si>
  <si>
    <t xml:space="preserve">Mysore masala dosa</t>
  </si>
  <si>
    <t xml:space="preserve">Red chutney + masala + butter/ghee</t>
  </si>
  <si>
    <t xml:space="preserve">D146</t>
  </si>
  <si>
    <t xml:space="preserve">Rava dosa</t>
  </si>
  <si>
    <t xml:space="preserve">Sooji dosa</t>
  </si>
  <si>
    <t xml:space="preserve">ASC147</t>
  </si>
  <si>
    <t xml:space="preserve">INDB 227 kcal/100 g (-6%)</t>
  </si>
  <si>
    <t xml:space="preserve">D147</t>
  </si>
  <si>
    <t xml:space="preserve">Onion rava dosa</t>
  </si>
  <si>
    <t xml:space="preserve">D148</t>
  </si>
  <si>
    <t xml:space="preserve">Set dosa</t>
  </si>
  <si>
    <t xml:space="preserve">Sponge dosa</t>
  </si>
  <si>
    <t xml:space="preserve">Usually served as set of 3</t>
  </si>
  <si>
    <t xml:space="preserve">D149</t>
  </si>
  <si>
    <t xml:space="preserve">Neer dosa</t>
  </si>
  <si>
    <t xml:space="preserve">D150</t>
  </si>
  <si>
    <t xml:space="preserve">Cheese dosa</t>
  </si>
  <si>
    <t xml:space="preserve">D151</t>
  </si>
  <si>
    <t xml:space="preserve">Paneer dosa</t>
  </si>
  <si>
    <t xml:space="preserve">BFP151</t>
  </si>
  <si>
    <t xml:space="preserve">INDB 243 kcal/100 g (-17%)</t>
  </si>
  <si>
    <t xml:space="preserve">D152</t>
  </si>
  <si>
    <t xml:space="preserve">Egg dosa</t>
  </si>
  <si>
    <t xml:space="preserve">Mutta dosa</t>
  </si>
  <si>
    <t xml:space="preserve">D153</t>
  </si>
  <si>
    <t xml:space="preserve">Pesarattu (green moong dosa)</t>
  </si>
  <si>
    <t xml:space="preserve">Moong dosa</t>
  </si>
  <si>
    <t xml:space="preserve">OSR103</t>
  </si>
  <si>
    <t xml:space="preserve">INDB 286 kcal/100 g (-45%) - INDB higher: cooking water likely not counted in weight, or more oil</t>
  </si>
  <si>
    <t xml:space="preserve">D154</t>
  </si>
  <si>
    <t xml:space="preserve">Adai (mixed dal dosa)</t>
  </si>
  <si>
    <t xml:space="preserve">D155</t>
  </si>
  <si>
    <t xml:space="preserve">Ragi dosa</t>
  </si>
  <si>
    <t xml:space="preserve">Finger millet dosa</t>
  </si>
  <si>
    <t xml:space="preserve">D156</t>
  </si>
  <si>
    <t xml:space="preserve">Uttapam (onion/vegetable)</t>
  </si>
  <si>
    <t xml:space="preserve">Uthappam</t>
  </si>
  <si>
    <t xml:space="preserve">ASC148</t>
  </si>
  <si>
    <t xml:space="preserve">INDB 462 kcal/100 g (-62%) - INDB higher: cooking water likely not counted in weight, or more oil</t>
  </si>
  <si>
    <t xml:space="preserve">D157</t>
  </si>
  <si>
    <t xml:space="preserve">Appam</t>
  </si>
  <si>
    <t xml:space="preserve">Palappam</t>
  </si>
  <si>
    <t xml:space="preserve">BFP153</t>
  </si>
  <si>
    <t xml:space="preserve">INDB 268 kcal/100 g (-42%) - INDB higher: cooking water likely not counted in weight, or more oil</t>
  </si>
  <si>
    <t xml:space="preserve">D158</t>
  </si>
  <si>
    <t xml:space="preserve">Idiyappam</t>
  </si>
  <si>
    <t xml:space="preserve">String hoppers, nool puttu</t>
  </si>
  <si>
    <t xml:space="preserve">Plain</t>
  </si>
  <si>
    <t xml:space="preserve">D159</t>
  </si>
  <si>
    <t xml:space="preserve">Puttu (rice, with coconut)</t>
  </si>
  <si>
    <t xml:space="preserve">Ari puttu</t>
  </si>
  <si>
    <t xml:space="preserve">OSR105</t>
  </si>
  <si>
    <t xml:space="preserve">INDB 82 kcal/100 g (+106%) - INDB lower: lighter/thinner recipe, or cooking water counted in weight</t>
  </si>
  <si>
    <t xml:space="preserve">D160</t>
  </si>
  <si>
    <t xml:space="preserve">Kerala parotta</t>
  </si>
  <si>
    <t xml:space="preserve">Malabar parotta, porotta</t>
  </si>
  <si>
    <t xml:space="preserve">Maida, layered with oil</t>
  </si>
  <si>
    <t xml:space="preserve">D161</t>
  </si>
  <si>
    <t xml:space="preserve">Medu vada</t>
  </si>
  <si>
    <t xml:space="preserve">Uzhunnu vada, ulundu vadai</t>
  </si>
  <si>
    <t xml:space="preserve">BFP436</t>
  </si>
  <si>
    <t xml:space="preserve">D162</t>
  </si>
  <si>
    <t xml:space="preserve">Sambar vada (vada soaked in sambar)</t>
  </si>
  <si>
    <t xml:space="preserve">Sambar vadai</t>
  </si>
  <si>
    <t xml:space="preserve">D163</t>
  </si>
  <si>
    <t xml:space="preserve">Masala vada (chana dal)</t>
  </si>
  <si>
    <t xml:space="preserve">Paruppu vadai, ambode</t>
  </si>
  <si>
    <t xml:space="preserve">ASC378</t>
  </si>
  <si>
    <t xml:space="preserve">INDB value not usable: Serving size looks like the whole recipe; Deep-frying oil appears fully counted - fat &amp; kcal overstated</t>
  </si>
  <si>
    <t xml:space="preserve">D164</t>
  </si>
  <si>
    <t xml:space="preserve">Ven pongal</t>
  </si>
  <si>
    <t xml:space="preserve">Khara pongal</t>
  </si>
  <si>
    <t xml:space="preserve">With ghee, pepper, cashew</t>
  </si>
  <si>
    <t xml:space="preserve">D165</t>
  </si>
  <si>
    <t xml:space="preserve">Sakkarai pongal (sweet)</t>
  </si>
  <si>
    <t xml:space="preserve">Chakkara pongal</t>
  </si>
  <si>
    <t xml:space="preserve">Dessert</t>
  </si>
  <si>
    <t xml:space="preserve">Jaggery, ghee</t>
  </si>
  <si>
    <t xml:space="preserve">D166</t>
  </si>
  <si>
    <t xml:space="preserve">Kesari bath</t>
  </si>
  <si>
    <t xml:space="preserve">Rava kesari</t>
  </si>
  <si>
    <t xml:space="preserve">OSR014</t>
  </si>
  <si>
    <t xml:space="preserve">INDB 245 kcal/100 g (+22%) - INDB lower: lighter/thinner recipe, or cooking water counted in weight</t>
  </si>
  <si>
    <t xml:space="preserve">D167</t>
  </si>
  <si>
    <t xml:space="preserve">Bisi bele bath</t>
  </si>
  <si>
    <t xml:space="preserve">D168</t>
  </si>
  <si>
    <t xml:space="preserve">Ragi mudde</t>
  </si>
  <si>
    <t xml:space="preserve">Ragi ball, ragi sankati</t>
  </si>
  <si>
    <t xml:space="preserve">D169</t>
  </si>
  <si>
    <t xml:space="preserve">Akki roti</t>
  </si>
  <si>
    <t xml:space="preserve">Rice roti</t>
  </si>
  <si>
    <t xml:space="preserve">D170</t>
  </si>
  <si>
    <t xml:space="preserve">Kuzhi paniyaram</t>
  </si>
  <si>
    <t xml:space="preserve">Paddu, guliyappa</t>
  </si>
  <si>
    <t xml:space="preserve">D171</t>
  </si>
  <si>
    <t xml:space="preserve">Mysore bonda</t>
  </si>
  <si>
    <t xml:space="preserve">Goli baje</t>
  </si>
  <si>
    <t xml:space="preserve">D172</t>
  </si>
  <si>
    <t xml:space="preserve">Pazham pori</t>
  </si>
  <si>
    <t xml:space="preserve">Banana fritter, ethakka appam</t>
  </si>
  <si>
    <t xml:space="preserve">D173</t>
  </si>
  <si>
    <t xml:space="preserve">Unniyappam</t>
  </si>
  <si>
    <t xml:space="preserve">D174</t>
  </si>
  <si>
    <t xml:space="preserve">Chapati / phulka (no ghee)</t>
  </si>
  <si>
    <t xml:space="preserve">Roti, fulka</t>
  </si>
  <si>
    <t xml:space="preserve">ASC096</t>
  </si>
  <si>
    <t xml:space="preserve">INDB 202 kcal/100 g (+21%) - INDB lower: lighter/thinner recipe, or cooking water counted in weight</t>
  </si>
  <si>
    <t xml:space="preserve">Whole-wheat atta, no salt</t>
  </si>
  <si>
    <t xml:space="preserve">D175</t>
  </si>
  <si>
    <t xml:space="preserve">Chapati with ghee</t>
  </si>
  <si>
    <t xml:space="preserve">Ghee roti</t>
  </si>
  <si>
    <t xml:space="preserve">~½ tsp ghee per roti</t>
  </si>
  <si>
    <t xml:space="preserve">D176</t>
  </si>
  <si>
    <t xml:space="preserve">Tandoori roti (plain)</t>
  </si>
  <si>
    <t xml:space="preserve">D177</t>
  </si>
  <si>
    <t xml:space="preserve">Butter tandoori roti</t>
  </si>
  <si>
    <t xml:space="preserve">D178</t>
  </si>
  <si>
    <t xml:space="preserve">Plain naan</t>
  </si>
  <si>
    <t xml:space="preserve">Naan</t>
  </si>
  <si>
    <t xml:space="preserve">ASC142</t>
  </si>
  <si>
    <t xml:space="preserve">INDB 286 kcal/100 g (-2%)</t>
  </si>
  <si>
    <t xml:space="preserve">Maida</t>
  </si>
  <si>
    <t xml:space="preserve">D179</t>
  </si>
  <si>
    <t xml:space="preserve">Butter naan</t>
  </si>
  <si>
    <t xml:space="preserve">D180</t>
  </si>
  <si>
    <t xml:space="preserve">Garlic naan</t>
  </si>
  <si>
    <t xml:space="preserve">With butter</t>
  </si>
  <si>
    <t xml:space="preserve">D181</t>
  </si>
  <si>
    <t xml:space="preserve">Cheese naan</t>
  </si>
  <si>
    <t xml:space="preserve">D182</t>
  </si>
  <si>
    <t xml:space="preserve">Keema naan</t>
  </si>
  <si>
    <t xml:space="preserve">D183</t>
  </si>
  <si>
    <t xml:space="preserve">Kulcha (plain)</t>
  </si>
  <si>
    <t xml:space="preserve">D184</t>
  </si>
  <si>
    <t xml:space="preserve">Amritsari kulcha (stuffed, butter)</t>
  </si>
  <si>
    <t xml:space="preserve">Aloo/paneer kulcha</t>
  </si>
  <si>
    <t xml:space="preserve">D185</t>
  </si>
  <si>
    <t xml:space="preserve">Lachha paratha</t>
  </si>
  <si>
    <t xml:space="preserve">Laccha paratha</t>
  </si>
  <si>
    <t xml:space="preserve">D186</t>
  </si>
  <si>
    <t xml:space="preserve">Missi roti</t>
  </si>
  <si>
    <t xml:space="preserve">D187</t>
  </si>
  <si>
    <t xml:space="preserve">Makki di roti (with ghee)</t>
  </si>
  <si>
    <t xml:space="preserve">Makki ki roti, corn roti</t>
  </si>
  <si>
    <t xml:space="preserve">ASC150</t>
  </si>
  <si>
    <t xml:space="preserve">INDB 264 kcal/100 g (+9%)</t>
  </si>
  <si>
    <t xml:space="preserve">D188</t>
  </si>
  <si>
    <t xml:space="preserve">Bajra roti</t>
  </si>
  <si>
    <t xml:space="preserve">Bajra rotla, bhakri</t>
  </si>
  <si>
    <t xml:space="preserve">D189</t>
  </si>
  <si>
    <t xml:space="preserve">Jowar roti / bhakri</t>
  </si>
  <si>
    <t xml:space="preserve">Jolada rotti</t>
  </si>
  <si>
    <t xml:space="preserve">D190</t>
  </si>
  <si>
    <t xml:space="preserve">Ragi roti</t>
  </si>
  <si>
    <t xml:space="preserve">Nachni roti</t>
  </si>
  <si>
    <t xml:space="preserve">D191</t>
  </si>
  <si>
    <t xml:space="preserve">Rumali roti</t>
  </si>
  <si>
    <t xml:space="preserve">D192</t>
  </si>
  <si>
    <t xml:space="preserve">Luchi</t>
  </si>
  <si>
    <t xml:space="preserve">Maida puri (Bengali)</t>
  </si>
  <si>
    <t xml:space="preserve">D193</t>
  </si>
  <si>
    <t xml:space="preserve">Bhatura</t>
  </si>
  <si>
    <t xml:space="preserve">Bhature</t>
  </si>
  <si>
    <t xml:space="preserve">ASC143</t>
  </si>
  <si>
    <t xml:space="preserve">D194</t>
  </si>
  <si>
    <t xml:space="preserve">Baati (ghee-dipped)</t>
  </si>
  <si>
    <t xml:space="preserve">Dal baati</t>
  </si>
  <si>
    <t xml:space="preserve">Rajasthani</t>
  </si>
  <si>
    <t xml:space="preserve">D195</t>
  </si>
  <si>
    <t xml:space="preserve">Pav (ladi pav)</t>
  </si>
  <si>
    <t xml:space="preserve">Bread roll</t>
  </si>
  <si>
    <t xml:space="preserve">Plain, no butter</t>
  </si>
  <si>
    <t xml:space="preserve">D196</t>
  </si>
  <si>
    <t xml:space="preserve">Butter pav (toasted)</t>
  </si>
  <si>
    <t xml:space="preserve">Masala pav base</t>
  </si>
  <si>
    <t xml:space="preserve">D197</t>
  </si>
  <si>
    <t xml:space="preserve">White bread</t>
  </si>
  <si>
    <t xml:space="preserve">Sandwich bread</t>
  </si>
  <si>
    <t xml:space="preserve">D198</t>
  </si>
  <si>
    <t xml:space="preserve">Brown bread</t>
  </si>
  <si>
    <t xml:space="preserve">Whole wheat bread</t>
  </si>
  <si>
    <t xml:space="preserve">D199</t>
  </si>
  <si>
    <t xml:space="preserve">Steamed white rice</t>
  </si>
  <si>
    <t xml:space="preserve">Plain rice, boiled rice, chawal</t>
  </si>
  <si>
    <t xml:space="preserve">ASC113</t>
  </si>
  <si>
    <t xml:space="preserve">INDB 117 kcal/100 g (+7%)</t>
  </si>
  <si>
    <t xml:space="preserve">Unsalted</t>
  </si>
  <si>
    <t xml:space="preserve">D200</t>
  </si>
  <si>
    <t xml:space="preserve">Brown rice (cooked)</t>
  </si>
  <si>
    <t xml:space="preserve">D201</t>
  </si>
  <si>
    <t xml:space="preserve">Jeera rice</t>
  </si>
  <si>
    <t xml:space="preserve">Cumin rice</t>
  </si>
  <si>
    <t xml:space="preserve">BFP134</t>
  </si>
  <si>
    <t xml:space="preserve">INDB 135 kcal/100 g (+17%)</t>
  </si>
  <si>
    <t xml:space="preserve">D202</t>
  </si>
  <si>
    <t xml:space="preserve">Ghee rice</t>
  </si>
  <si>
    <t xml:space="preserve">Neychoru</t>
  </si>
  <si>
    <t xml:space="preserve">D203</t>
  </si>
  <si>
    <t xml:space="preserve">Veg pulao</t>
  </si>
  <si>
    <t xml:space="preserve">Vegetable pulao, pilaf</t>
  </si>
  <si>
    <t xml:space="preserve">ASC115</t>
  </si>
  <si>
    <t xml:space="preserve">INDB 113 kcal/100 g (+32%) - INDB lower: lighter/thinner recipe, or cooking water counted in weight</t>
  </si>
  <si>
    <t xml:space="preserve">D204</t>
  </si>
  <si>
    <t xml:space="preserve">Matar pulao</t>
  </si>
  <si>
    <t xml:space="preserve">Peas pulao</t>
  </si>
  <si>
    <t xml:space="preserve">BFP136</t>
  </si>
  <si>
    <t xml:space="preserve">INDB 109 kcal/100 g (+42%) - INDB lower: lighter/thinner recipe, or cooking water counted in weight</t>
  </si>
  <si>
    <t xml:space="preserve">D205</t>
  </si>
  <si>
    <t xml:space="preserve">Kashmiri pulao (with dry fruits)</t>
  </si>
  <si>
    <t xml:space="preserve">Sweetish, nuts &amp; fruits</t>
  </si>
  <si>
    <t xml:space="preserve">D206</t>
  </si>
  <si>
    <t xml:space="preserve">Lemon rice</t>
  </si>
  <si>
    <t xml:space="preserve">Chitranna, elumichai sadam, pulihora</t>
  </si>
  <si>
    <t xml:space="preserve">ASC124</t>
  </si>
  <si>
    <t xml:space="preserve">INDB 176 kcal/100 g (+4%)</t>
  </si>
  <si>
    <t xml:space="preserve">D207</t>
  </si>
  <si>
    <t xml:space="preserve">Tamarind rice</t>
  </si>
  <si>
    <t xml:space="preserve">Puliyogare, puliyodharai</t>
  </si>
  <si>
    <t xml:space="preserve">ASC127</t>
  </si>
  <si>
    <t xml:space="preserve">INDB 373 kcal/100 g (-44%) - INDB higher: cooking water likely not counted in weight, or more oil</t>
  </si>
  <si>
    <t xml:space="preserve">D208</t>
  </si>
  <si>
    <t xml:space="preserve">Curd rice</t>
  </si>
  <si>
    <t xml:space="preserve">Thayir sadam, dahi chawal, mosaranna</t>
  </si>
  <si>
    <t xml:space="preserve">ASC126</t>
  </si>
  <si>
    <t xml:space="preserve">INDB 196 kcal/100 g (-39%) - INDB higher: cooking water likely not counted in weight, or more oil</t>
  </si>
  <si>
    <t xml:space="preserve">D209</t>
  </si>
  <si>
    <t xml:space="preserve">Tomato rice</t>
  </si>
  <si>
    <t xml:space="preserve">Thakkali sadam</t>
  </si>
  <si>
    <t xml:space="preserve">D210</t>
  </si>
  <si>
    <t xml:space="preserve">Coconut rice</t>
  </si>
  <si>
    <t xml:space="preserve">Thengai sadam</t>
  </si>
  <si>
    <t xml:space="preserve">D211</t>
  </si>
  <si>
    <t xml:space="preserve">Vangi bath</t>
  </si>
  <si>
    <t xml:space="preserve">Brinjal rice</t>
  </si>
  <si>
    <t xml:space="preserve">BFP132</t>
  </si>
  <si>
    <t xml:space="preserve">INDB 185 kcal/100 g (-5%)</t>
  </si>
  <si>
    <t xml:space="preserve">D212</t>
  </si>
  <si>
    <t xml:space="preserve">Khichdi (moong dal, plain)</t>
  </si>
  <si>
    <t xml:space="preserve">Khichri, dal khichdi</t>
  </si>
  <si>
    <t xml:space="preserve">BFP144</t>
  </si>
  <si>
    <t xml:space="preserve">INDB 57 kcal/100 g (+88%) - INDB lower: lighter/thinner recipe, or cooking water counted in weight</t>
  </si>
  <si>
    <t xml:space="preserve">With a little ghee</t>
  </si>
  <si>
    <t xml:space="preserve">D213</t>
  </si>
  <si>
    <t xml:space="preserve">Masala / vegetable khichdi</t>
  </si>
  <si>
    <t xml:space="preserve">ASC487</t>
  </si>
  <si>
    <t xml:space="preserve">INDB 143 kcal/100 g (-22%) - INDB higher: cooking water likely not counted in weight, or more oil</t>
  </si>
  <si>
    <t xml:space="preserve">D214</t>
  </si>
  <si>
    <t xml:space="preserve">Chicken pulao</t>
  </si>
  <si>
    <t xml:space="preserve">Murgh pulao</t>
  </si>
  <si>
    <t xml:space="preserve">BFP142</t>
  </si>
  <si>
    <t xml:space="preserve">INDB value not usable: Energy inconsistent with macros</t>
  </si>
  <si>
    <t xml:space="preserve">D215</t>
  </si>
  <si>
    <t xml:space="preserve">Mutton pulao / yakhni pulao</t>
  </si>
  <si>
    <t xml:space="preserve">BFP141</t>
  </si>
  <si>
    <t xml:space="preserve">D216</t>
  </si>
  <si>
    <t xml:space="preserve">Veg biryani</t>
  </si>
  <si>
    <t xml:space="preserve">Vegetable dum biryani</t>
  </si>
  <si>
    <t xml:space="preserve">ASC123</t>
  </si>
  <si>
    <t xml:space="preserve">INDB 175 kcal/100 g (-6%)</t>
  </si>
  <si>
    <t xml:space="preserve">D217</t>
  </si>
  <si>
    <t xml:space="preserve">Paneer biryani</t>
  </si>
  <si>
    <t xml:space="preserve">D218</t>
  </si>
  <si>
    <t xml:space="preserve">Mushroom biryani</t>
  </si>
  <si>
    <t xml:space="preserve">D219</t>
  </si>
  <si>
    <t xml:space="preserve">Chicken biryani</t>
  </si>
  <si>
    <t xml:space="preserve">Chicken dum biryani</t>
  </si>
  <si>
    <t xml:space="preserve">Bone-in pieces counted as edible weight</t>
  </si>
  <si>
    <t xml:space="preserve">D220</t>
  </si>
  <si>
    <t xml:space="preserve">Hyderabadi chicken dum biryani</t>
  </si>
  <si>
    <t xml:space="preserve">Kacchi/pakki biryani</t>
  </si>
  <si>
    <t xml:space="preserve">More ghee than average</t>
  </si>
  <si>
    <t xml:space="preserve">D221</t>
  </si>
  <si>
    <t xml:space="preserve">Mutton biryani</t>
  </si>
  <si>
    <t xml:space="preserve">Gosht biryani</t>
  </si>
  <si>
    <t xml:space="preserve">ASC122</t>
  </si>
  <si>
    <t xml:space="preserve">INDB 191 kcal/100 g (+4%)</t>
  </si>
  <si>
    <t xml:space="preserve">D222</t>
  </si>
  <si>
    <t xml:space="preserve">Lucknowi (Awadhi) mutton biryani</t>
  </si>
  <si>
    <t xml:space="preserve">D223</t>
  </si>
  <si>
    <t xml:space="preserve">Kolkata chicken biryani (with aloo &amp; egg)</t>
  </si>
  <si>
    <t xml:space="preserve">D224</t>
  </si>
  <si>
    <t xml:space="preserve">Malabar / Thalassery chicken biryani</t>
  </si>
  <si>
    <t xml:space="preserve">D225</t>
  </si>
  <si>
    <t xml:space="preserve">Ambur / Dindigul chicken biryani</t>
  </si>
  <si>
    <t xml:space="preserve">Seeraga samba biryani</t>
  </si>
  <si>
    <t xml:space="preserve">D226</t>
  </si>
  <si>
    <t xml:space="preserve">Egg biryani</t>
  </si>
  <si>
    <t xml:space="preserve">Anda biryani</t>
  </si>
  <si>
    <t xml:space="preserve">D227</t>
  </si>
  <si>
    <t xml:space="preserve">Prawn biryani</t>
  </si>
  <si>
    <t xml:space="preserve">Jhinga biryani</t>
  </si>
  <si>
    <t xml:space="preserve">D228</t>
  </si>
  <si>
    <t xml:space="preserve">Fish biryani</t>
  </si>
  <si>
    <t xml:space="preserve">D229</t>
  </si>
  <si>
    <t xml:space="preserve">Toor / arhar dal (home, light tadka)</t>
  </si>
  <si>
    <t xml:space="preserve">Arhar dal, tuvar dal, paruppu</t>
  </si>
  <si>
    <t xml:space="preserve">D230</t>
  </si>
  <si>
    <t xml:space="preserve">Dal tadka (restaurant)</t>
  </si>
  <si>
    <t xml:space="preserve">Dal fry tadka</t>
  </si>
  <si>
    <t xml:space="preserve">Ghee/butter tadka</t>
  </si>
  <si>
    <t xml:space="preserve">D231</t>
  </si>
  <si>
    <t xml:space="preserve">Dal fry</t>
  </si>
  <si>
    <t xml:space="preserve">D232</t>
  </si>
  <si>
    <t xml:space="preserve">Moong dal (yellow)</t>
  </si>
  <si>
    <t xml:space="preserve">Dhuli moong dal</t>
  </si>
  <si>
    <t xml:space="preserve">ASC151</t>
  </si>
  <si>
    <t xml:space="preserve">INDB 50 kcal/100 g (+70%) - INDB lower: lighter/thinner recipe, or cooking water counted in weight</t>
  </si>
  <si>
    <t xml:space="preserve">D233</t>
  </si>
  <si>
    <t xml:space="preserve">Masoor dal (red lentil)</t>
  </si>
  <si>
    <t xml:space="preserve">Lal masoor</t>
  </si>
  <si>
    <t xml:space="preserve">D234</t>
  </si>
  <si>
    <t xml:space="preserve">Chana dal</t>
  </si>
  <si>
    <t xml:space="preserve">Split Bengal gram dal</t>
  </si>
  <si>
    <t xml:space="preserve">OSR142</t>
  </si>
  <si>
    <t xml:space="preserve">INDB 100 kcal/100 g (+7%)</t>
  </si>
  <si>
    <t xml:space="preserve">D235</t>
  </si>
  <si>
    <t xml:space="preserve">Urad dal (dhuli)</t>
  </si>
  <si>
    <t xml:space="preserve">Washed urad dal</t>
  </si>
  <si>
    <t xml:space="preserve">ASC152</t>
  </si>
  <si>
    <t xml:space="preserve">INDB 61 kcal/100 g (+53%) - INDB lower: lighter/thinner recipe, or cooking water counted in weight</t>
  </si>
  <si>
    <t xml:space="preserve">D236</t>
  </si>
  <si>
    <t xml:space="preserve">Whole moong dal</t>
  </si>
  <si>
    <t xml:space="preserve">Sabut moong</t>
  </si>
  <si>
    <t xml:space="preserve">BFP178</t>
  </si>
  <si>
    <t xml:space="preserve">INDB 63 kcal/100 g (+62%) - INDB lower: lighter/thinner recipe, or cooking water counted in weight</t>
  </si>
  <si>
    <t xml:space="preserve">D237</t>
  </si>
  <si>
    <t xml:space="preserve">Mixed dal / Panchmel dal</t>
  </si>
  <si>
    <t xml:space="preserve">Panchratna dal</t>
  </si>
  <si>
    <t xml:space="preserve">OSR144</t>
  </si>
  <si>
    <t xml:space="preserve">INDB 111 kcal/100 g (-7%)</t>
  </si>
  <si>
    <t xml:space="preserve">D238</t>
  </si>
  <si>
    <t xml:space="preserve">Dal makhani (restaurant)</t>
  </si>
  <si>
    <t xml:space="preserve">Butter + cream; home versions ~100 kcal/100 g</t>
  </si>
  <si>
    <t xml:space="preserve">D239</t>
  </si>
  <si>
    <t xml:space="preserve">Dal makhani (home, light)</t>
  </si>
  <si>
    <t xml:space="preserve">Maa ki dal</t>
  </si>
  <si>
    <t xml:space="preserve">OSR139</t>
  </si>
  <si>
    <t xml:space="preserve">INDB 74 kcal/100 g (+43%) - INDB lower: lighter/thinner recipe, or cooking water counted in weight</t>
  </si>
  <si>
    <t xml:space="preserve">D240</t>
  </si>
  <si>
    <t xml:space="preserve">Rajma masala</t>
  </si>
  <si>
    <t xml:space="preserve">Rajma, kidney bean curry</t>
  </si>
  <si>
    <t xml:space="preserve">ASC165</t>
  </si>
  <si>
    <t xml:space="preserve">INDB 144 kcal/100 g (-20%)</t>
  </si>
  <si>
    <t xml:space="preserve">D241</t>
  </si>
  <si>
    <t xml:space="preserve">Chole / Chana masala</t>
  </si>
  <si>
    <t xml:space="preserve">Kabuli chana curry, chickpea curry</t>
  </si>
  <si>
    <t xml:space="preserve">ASC162</t>
  </si>
  <si>
    <t xml:space="preserve">INDB 163 kcal/100 g (-11%)</t>
  </si>
  <si>
    <t xml:space="preserve">D242</t>
  </si>
  <si>
    <t xml:space="preserve">Pindi chole (dry style)</t>
  </si>
  <si>
    <t xml:space="preserve">Amritsari chole</t>
  </si>
  <si>
    <t xml:space="preserve">D243</t>
  </si>
  <si>
    <t xml:space="preserve">Kala chana curry</t>
  </si>
  <si>
    <t xml:space="preserve">Black chickpea curry</t>
  </si>
  <si>
    <t xml:space="preserve">ASC161</t>
  </si>
  <si>
    <t xml:space="preserve">INDB 141 kcal/100 g (-10%)</t>
  </si>
  <si>
    <t xml:space="preserve">D244</t>
  </si>
  <si>
    <t xml:space="preserve">Kadala curry</t>
  </si>
  <si>
    <t xml:space="preserve">Kerala black chana curry</t>
  </si>
  <si>
    <t xml:space="preserve">Coconut-based</t>
  </si>
  <si>
    <t xml:space="preserve">D245</t>
  </si>
  <si>
    <t xml:space="preserve">Lobia curry</t>
  </si>
  <si>
    <t xml:space="preserve">Black-eyed pea curry</t>
  </si>
  <si>
    <t xml:space="preserve">ASC163</t>
  </si>
  <si>
    <t xml:space="preserve">INDB 149 kcal/100 g (-20%) - INDB higher: cooking water likely not counted in weight, or more oil</t>
  </si>
  <si>
    <t xml:space="preserve">D246</t>
  </si>
  <si>
    <t xml:space="preserve">Kadhi pakora (Punjabi)</t>
  </si>
  <si>
    <t xml:space="preserve">Kadhi pakodi</t>
  </si>
  <si>
    <t xml:space="preserve">ASC168</t>
  </si>
  <si>
    <t xml:space="preserve">D247</t>
  </si>
  <si>
    <t xml:space="preserve">Gujarati kadhi</t>
  </si>
  <si>
    <t xml:space="preserve">Sweet kadhi (no pakora)</t>
  </si>
  <si>
    <t xml:space="preserve">D248</t>
  </si>
  <si>
    <t xml:space="preserve">Gujarati dal (sweet-sour)</t>
  </si>
  <si>
    <t xml:space="preserve">Khatti meethi dal</t>
  </si>
  <si>
    <t xml:space="preserve">D249</t>
  </si>
  <si>
    <t xml:space="preserve">Dal dhokli</t>
  </si>
  <si>
    <t xml:space="preserve">OSR145</t>
  </si>
  <si>
    <t xml:space="preserve">INDB 69 kcal/100 g (+52%) - INDB lower: lighter/thinner recipe, or cooking water counted in weight</t>
  </si>
  <si>
    <t xml:space="preserve">D250</t>
  </si>
  <si>
    <t xml:space="preserve">Sambar</t>
  </si>
  <si>
    <t xml:space="preserve">Sambhar</t>
  </si>
  <si>
    <t xml:space="preserve">ASC167</t>
  </si>
  <si>
    <t xml:space="preserve">INDB 97 kcal/100 g (-22%) - INDB higher: cooking water likely not counted in weight, or more oil</t>
  </si>
  <si>
    <t xml:space="preserve">D251</t>
  </si>
  <si>
    <t xml:space="preserve">Rasam</t>
  </si>
  <si>
    <t xml:space="preserve">Saaru, charu</t>
  </si>
  <si>
    <t xml:space="preserve">BFP176</t>
  </si>
  <si>
    <t xml:space="preserve">INDB 27 kcal/100 g (+11%)</t>
  </si>
  <si>
    <t xml:space="preserve">D252</t>
  </si>
  <si>
    <t xml:space="preserve">Dalma (Odia)</t>
  </si>
  <si>
    <t xml:space="preserve">OSR141</t>
  </si>
  <si>
    <t xml:space="preserve">INDB 119 kcal/100 g (-24%) - INDB higher: cooking water likely not counted in weight, or more oil</t>
  </si>
  <si>
    <t xml:space="preserve">Dal with vegetables</t>
  </si>
  <si>
    <t xml:space="preserve">D253</t>
  </si>
  <si>
    <t xml:space="preserve">Cholar dal (Bengali)</t>
  </si>
  <si>
    <t xml:space="preserve">With coconut, slightly sweet</t>
  </si>
  <si>
    <t xml:space="preserve">D254</t>
  </si>
  <si>
    <t xml:space="preserve">Kulthi (horse gram) dal</t>
  </si>
  <si>
    <t xml:space="preserve">Kollu</t>
  </si>
  <si>
    <t xml:space="preserve">OSR143</t>
  </si>
  <si>
    <t xml:space="preserve">INDB 56 kcal/100 g (+63%) - INDB lower: lighter/thinner recipe, or cooking water counted in weight</t>
  </si>
  <si>
    <t xml:space="preserve">D255</t>
  </si>
  <si>
    <t xml:space="preserve">Usal (sprouted matki curry)</t>
  </si>
  <si>
    <t xml:space="preserve">Matki usal</t>
  </si>
  <si>
    <t xml:space="preserve">D256</t>
  </si>
  <si>
    <t xml:space="preserve">Ghugni</t>
  </si>
  <si>
    <t xml:space="preserve">Yellow pea curry</t>
  </si>
  <si>
    <t xml:space="preserve">D257</t>
  </si>
  <si>
    <t xml:space="preserve">Ragda (white peas curry)</t>
  </si>
  <si>
    <t xml:space="preserve">D258</t>
  </si>
  <si>
    <t xml:space="preserve">Soya chunks curry</t>
  </si>
  <si>
    <t xml:space="preserve">Nutrela/meal maker curry</t>
  </si>
  <si>
    <t xml:space="preserve">BFP206</t>
  </si>
  <si>
    <t xml:space="preserve">INDB 83 kcal/100 g (+34%) - INDB lower: lighter/thinner recipe, or cooking water counted in weight</t>
  </si>
  <si>
    <t xml:space="preserve">D259</t>
  </si>
  <si>
    <t xml:space="preserve">Gatte ki sabzi</t>
  </si>
  <si>
    <t xml:space="preserve">Besan gatte curry</t>
  </si>
  <si>
    <t xml:space="preserve">BFP187</t>
  </si>
  <si>
    <t xml:space="preserve">INDB 189 kcal/100 g (-18%)</t>
  </si>
  <si>
    <t xml:space="preserve">D260</t>
  </si>
  <si>
    <t xml:space="preserve">Paneer butter masala</t>
  </si>
  <si>
    <t xml:space="preserve">Paneer makhani</t>
  </si>
  <si>
    <t xml:space="preserve">ASC222</t>
  </si>
  <si>
    <t xml:space="preserve">INDB 146 kcal/100 g (+34%) - INDB lower: lighter/thinner recipe, or cooking water counted in weight</t>
  </si>
  <si>
    <t xml:space="preserve">Restaurant style, butter + cream</t>
  </si>
  <si>
    <t xml:space="preserve">D261</t>
  </si>
  <si>
    <t xml:space="preserve">Shahi paneer</t>
  </si>
  <si>
    <t xml:space="preserve">ASC221</t>
  </si>
  <si>
    <t xml:space="preserve">INDB 156 kcal/100 g (+32%) - INDB lower: lighter/thinner recipe, or cooking water counted in weight</t>
  </si>
  <si>
    <t xml:space="preserve">D262</t>
  </si>
  <si>
    <t xml:space="preserve">Kadai paneer</t>
  </si>
  <si>
    <t xml:space="preserve">Karahi paneer</t>
  </si>
  <si>
    <t xml:space="preserve">ASC226</t>
  </si>
  <si>
    <t xml:space="preserve">INDB 108 kcal/100 g (+56%) - INDB lower: lighter/thinner recipe, or cooking water counted in weight</t>
  </si>
  <si>
    <t xml:space="preserve">D263</t>
  </si>
  <si>
    <t xml:space="preserve">Palak paneer</t>
  </si>
  <si>
    <t xml:space="preserve">Saag paneer</t>
  </si>
  <si>
    <t xml:space="preserve">ASC215</t>
  </si>
  <si>
    <t xml:space="preserve">INDB 78 kcal/100 g (+75%) - INDB lower: lighter/thinner recipe, or cooking water counted in weight</t>
  </si>
  <si>
    <t xml:space="preserve">D264</t>
  </si>
  <si>
    <t xml:space="preserve">Matar paneer</t>
  </si>
  <si>
    <t xml:space="preserve">Mutter paneer</t>
  </si>
  <si>
    <t xml:space="preserve">ASC191</t>
  </si>
  <si>
    <t xml:space="preserve">INDB 135 kcal/100 g (+11%)</t>
  </si>
  <si>
    <t xml:space="preserve">D265</t>
  </si>
  <si>
    <t xml:space="preserve">Paneer tikka masala</t>
  </si>
  <si>
    <t xml:space="preserve">D266</t>
  </si>
  <si>
    <t xml:space="preserve">Paneer do pyaza</t>
  </si>
  <si>
    <t xml:space="preserve">OSR074</t>
  </si>
  <si>
    <t xml:space="preserve">INDB 128 kcal/100 g (+31%) - INDB lower: lighter/thinner recipe, or cooking water counted in weight</t>
  </si>
  <si>
    <t xml:space="preserve">D267</t>
  </si>
  <si>
    <t xml:space="preserve">Paneer lababdar</t>
  </si>
  <si>
    <t xml:space="preserve">OSR077</t>
  </si>
  <si>
    <t xml:space="preserve">INDB 105 kcal/100 g (+78%) - INDB lower: lighter/thinner recipe, or cooking water counted in weight</t>
  </si>
  <si>
    <t xml:space="preserve">D268</t>
  </si>
  <si>
    <t xml:space="preserve">Methi malai paneer</t>
  </si>
  <si>
    <t xml:space="preserve">ASC223</t>
  </si>
  <si>
    <t xml:space="preserve">INDB 195 kcal/100 g (-7%)</t>
  </si>
  <si>
    <t xml:space="preserve">D269</t>
  </si>
  <si>
    <t xml:space="preserve">Methi malai matar</t>
  </si>
  <si>
    <t xml:space="preserve">D270</t>
  </si>
  <si>
    <t xml:space="preserve">Malai kofta</t>
  </si>
  <si>
    <t xml:space="preserve">ASC200</t>
  </si>
  <si>
    <t xml:space="preserve">INDB kofta values excluded (frying oil counted fully)</t>
  </si>
  <si>
    <t xml:space="preserve">D271</t>
  </si>
  <si>
    <t xml:space="preserve">Dum aloo</t>
  </si>
  <si>
    <t xml:space="preserve">Kashmiri/Punjabi dum aloo</t>
  </si>
  <si>
    <t xml:space="preserve">ASC214</t>
  </si>
  <si>
    <t xml:space="preserve">D272</t>
  </si>
  <si>
    <t xml:space="preserve">Aloo matar</t>
  </si>
  <si>
    <t xml:space="preserve">Potato peas curry</t>
  </si>
  <si>
    <t xml:space="preserve">ASC190</t>
  </si>
  <si>
    <t xml:space="preserve">INDB 101 kcal/100 g (+2%)</t>
  </si>
  <si>
    <t xml:space="preserve">D273</t>
  </si>
  <si>
    <t xml:space="preserve">Aloo tamatar (rasedar aloo)</t>
  </si>
  <si>
    <t xml:space="preserve">Potato curry, aloo ki sabzi (gravy)</t>
  </si>
  <si>
    <t xml:space="preserve">BFP239</t>
  </si>
  <si>
    <t xml:space="preserve">INDB 90 kcal/100 g (-2%)</t>
  </si>
  <si>
    <t xml:space="preserve">Also the bhaji in poori-bhaji</t>
  </si>
  <si>
    <t xml:space="preserve">D274</t>
  </si>
  <si>
    <t xml:space="preserve">Mix veg curry</t>
  </si>
  <si>
    <t xml:space="preserve">Mixed vegetable</t>
  </si>
  <si>
    <t xml:space="preserve">D275</t>
  </si>
  <si>
    <t xml:space="preserve">Veg kolhapuri</t>
  </si>
  <si>
    <t xml:space="preserve">D276</t>
  </si>
  <si>
    <t xml:space="preserve">Navratan korma</t>
  </si>
  <si>
    <t xml:space="preserve">D277</t>
  </si>
  <si>
    <t xml:space="preserve">Mushroom masala</t>
  </si>
  <si>
    <t xml:space="preserve">Matar mushroom, kadai mushroom</t>
  </si>
  <si>
    <t xml:space="preserve">ASC192</t>
  </si>
  <si>
    <t xml:space="preserve">INDB 93 kcal/100 g (+6%)</t>
  </si>
  <si>
    <t xml:space="preserve">D278</t>
  </si>
  <si>
    <t xml:space="preserve">Malai kofta - lauki</t>
  </si>
  <si>
    <t xml:space="preserve">Lauki kofta</t>
  </si>
  <si>
    <t xml:space="preserve">ASC205</t>
  </si>
  <si>
    <t xml:space="preserve">D279</t>
  </si>
  <si>
    <t xml:space="preserve">Sarson ka saag</t>
  </si>
  <si>
    <t xml:space="preserve">Saag</t>
  </si>
  <si>
    <t xml:space="preserve">ASC217</t>
  </si>
  <si>
    <t xml:space="preserve">INDB 88 kcal/100 g (+0%)</t>
  </si>
  <si>
    <t xml:space="preserve">With ghee/butter</t>
  </si>
  <si>
    <t xml:space="preserve">D280</t>
  </si>
  <si>
    <t xml:space="preserve">Baingan bharta</t>
  </si>
  <si>
    <t xml:space="preserve">Brinjal bharta</t>
  </si>
  <si>
    <t xml:space="preserve">ASC177</t>
  </si>
  <si>
    <t xml:space="preserve">INDB 65 kcal/100 g (+27%) - INDB lower: lighter/thinner recipe, or cooking water counted in weight</t>
  </si>
  <si>
    <t xml:space="preserve">D281</t>
  </si>
  <si>
    <t xml:space="preserve">Kathal (jackfruit) curry</t>
  </si>
  <si>
    <t xml:space="preserve">Kathal ki sabzi</t>
  </si>
  <si>
    <t xml:space="preserve">D282</t>
  </si>
  <si>
    <t xml:space="preserve">Undhiyu</t>
  </si>
  <si>
    <t xml:space="preserve">D283</t>
  </si>
  <si>
    <t xml:space="preserve">Sev tamatar</t>
  </si>
  <si>
    <t xml:space="preserve">Sev tameta nu shaak</t>
  </si>
  <si>
    <t xml:space="preserve">D284</t>
  </si>
  <si>
    <t xml:space="preserve">Pav bhaji - bhaji only</t>
  </si>
  <si>
    <t xml:space="preserve">Bhaji</t>
  </si>
  <si>
    <t xml:space="preserve">OSR112</t>
  </si>
  <si>
    <t xml:space="preserve">INDB 97 kcal/100 g (+28%) - INDB lower: lighter/thinner recipe, or cooking water counted in weight</t>
  </si>
  <si>
    <t xml:space="preserve">With butter; pav separate</t>
  </si>
  <si>
    <t xml:space="preserve">D285</t>
  </si>
  <si>
    <t xml:space="preserve">Mirchi ka salan</t>
  </si>
  <si>
    <t xml:space="preserve">Hyderabadi</t>
  </si>
  <si>
    <t xml:space="preserve">D286</t>
  </si>
  <si>
    <t xml:space="preserve">Bagara baingan</t>
  </si>
  <si>
    <t xml:space="preserve">D287</t>
  </si>
  <si>
    <t xml:space="preserve">Gutti vankaya (stuffed brinjal curry)</t>
  </si>
  <si>
    <t xml:space="preserve">Ennai kathirikai</t>
  </si>
  <si>
    <t xml:space="preserve">D288</t>
  </si>
  <si>
    <t xml:space="preserve">Avial</t>
  </si>
  <si>
    <t xml:space="preserve">Aviyal</t>
  </si>
  <si>
    <t xml:space="preserve">ASC219</t>
  </si>
  <si>
    <t xml:space="preserve">INDB 125 kcal/100 g (-9%)</t>
  </si>
  <si>
    <t xml:space="preserve">Coconut + curd</t>
  </si>
  <si>
    <t xml:space="preserve">D289</t>
  </si>
  <si>
    <t xml:space="preserve">Kerala vegetable stew</t>
  </si>
  <si>
    <t xml:space="preserve">Veg ishtu</t>
  </si>
  <si>
    <t xml:space="preserve">Coconut milk</t>
  </si>
  <si>
    <t xml:space="preserve">D290</t>
  </si>
  <si>
    <t xml:space="preserve">Olan</t>
  </si>
  <si>
    <t xml:space="preserve">D291</t>
  </si>
  <si>
    <t xml:space="preserve">Kootu</t>
  </si>
  <si>
    <t xml:space="preserve">Kootu curry</t>
  </si>
  <si>
    <t xml:space="preserve">Veg + moong dal + coconut</t>
  </si>
  <si>
    <t xml:space="preserve">D292</t>
  </si>
  <si>
    <t xml:space="preserve">Shukto</t>
  </si>
  <si>
    <t xml:space="preserve">D293</t>
  </si>
  <si>
    <t xml:space="preserve">Dahi aloo</t>
  </si>
  <si>
    <t xml:space="preserve">Curd potato curry</t>
  </si>
  <si>
    <t xml:space="preserve">BFP242</t>
  </si>
  <si>
    <t xml:space="preserve">INDB 60 kcal/100 g (+38%) - INDB lower: lighter/thinner recipe, or cooking water counted in weight</t>
  </si>
  <si>
    <t xml:space="preserve">D294</t>
  </si>
  <si>
    <t xml:space="preserve">Aloo gobi</t>
  </si>
  <si>
    <t xml:space="preserve">Potato cauliflower</t>
  </si>
  <si>
    <t xml:space="preserve">ASC171</t>
  </si>
  <si>
    <t xml:space="preserve">INDB 106 kcal/100 g (-3%)</t>
  </si>
  <si>
    <t xml:space="preserve">D295</t>
  </si>
  <si>
    <t xml:space="preserve">Jeera aloo</t>
  </si>
  <si>
    <t xml:space="preserve">Cumin potatoes, sookhe aloo</t>
  </si>
  <si>
    <t xml:space="preserve">ASC178</t>
  </si>
  <si>
    <t xml:space="preserve">INDB 103 kcal/100 g (+22%) - INDB lower: lighter/thinner recipe, or cooking water counted in weight</t>
  </si>
  <si>
    <t xml:space="preserve">D296</t>
  </si>
  <si>
    <t xml:space="preserve">Aloo methi</t>
  </si>
  <si>
    <t xml:space="preserve">ASC175</t>
  </si>
  <si>
    <t xml:space="preserve">INDB 135 kcal/100 g (-9%)</t>
  </si>
  <si>
    <t xml:space="preserve">D297</t>
  </si>
  <si>
    <t xml:space="preserve">Bhindi masala / bhindi fry</t>
  </si>
  <si>
    <t xml:space="preserve">Okra sabzi</t>
  </si>
  <si>
    <t xml:space="preserve">BFP269</t>
  </si>
  <si>
    <t xml:space="preserve">INDB 111 kcal/100 g (-4%)</t>
  </si>
  <si>
    <t xml:space="preserve">D298</t>
  </si>
  <si>
    <t xml:space="preserve">Kurkuri bhindi</t>
  </si>
  <si>
    <t xml:space="preserve">Crispy okra</t>
  </si>
  <si>
    <t xml:space="preserve">BFP270</t>
  </si>
  <si>
    <t xml:space="preserve">Deep fried; INDB value excluded</t>
  </si>
  <si>
    <t xml:space="preserve">D299</t>
  </si>
  <si>
    <t xml:space="preserve">Cabbage matar sabzi</t>
  </si>
  <si>
    <t xml:space="preserve">Patta gobhi</t>
  </si>
  <si>
    <t xml:space="preserve">ASC173</t>
  </si>
  <si>
    <t xml:space="preserve">INDB 64 kcal/100 g (+4%)</t>
  </si>
  <si>
    <t xml:space="preserve">D300</t>
  </si>
  <si>
    <t xml:space="preserve">Gajar matar</t>
  </si>
  <si>
    <t xml:space="preserve">Carrot peas</t>
  </si>
  <si>
    <t xml:space="preserve">D301</t>
  </si>
  <si>
    <t xml:space="preserve">Lauki sabzi</t>
  </si>
  <si>
    <t xml:space="preserve">Bottle gourd, ghiya</t>
  </si>
  <si>
    <t xml:space="preserve">D302</t>
  </si>
  <si>
    <t xml:space="preserve">Tinda masala</t>
  </si>
  <si>
    <t xml:space="preserve">Round gourd</t>
  </si>
  <si>
    <t xml:space="preserve">ASC185</t>
  </si>
  <si>
    <t xml:space="preserve">INDB 73 kcal/100 g (-22%) - INDB higher: cooking water likely not counted in weight, or more oil</t>
  </si>
  <si>
    <t xml:space="preserve">D303</t>
  </si>
  <si>
    <t xml:space="preserve">Karela sabzi (fry / bharwa)</t>
  </si>
  <si>
    <t xml:space="preserve">Bitter gourd</t>
  </si>
  <si>
    <t xml:space="preserve">BFP273</t>
  </si>
  <si>
    <t xml:space="preserve">INDB 162 kcal/100 g (-21%) - INDB higher: cooking water likely not counted in weight, or more oil</t>
  </si>
  <si>
    <t xml:space="preserve">D304</t>
  </si>
  <si>
    <t xml:space="preserve">Arbi masala</t>
  </si>
  <si>
    <t xml:space="preserve">Colocasia dry</t>
  </si>
  <si>
    <t xml:space="preserve">BFP264</t>
  </si>
  <si>
    <t xml:space="preserve">INDB 185 kcal/100 g (-26%) - INDB higher: cooking water likely not counted in weight, or more oil</t>
  </si>
  <si>
    <t xml:space="preserve">D305</t>
  </si>
  <si>
    <t xml:space="preserve">Palak aloo</t>
  </si>
  <si>
    <t xml:space="preserve">Spinach potato</t>
  </si>
  <si>
    <t xml:space="preserve">BFP257</t>
  </si>
  <si>
    <t xml:space="preserve">INDB 57 kcal/100 g (+49%) - INDB lower: lighter/thinner recipe, or cooking water counted in weight</t>
  </si>
  <si>
    <t xml:space="preserve">D306</t>
  </si>
  <si>
    <t xml:space="preserve">Mix veg dry</t>
  </si>
  <si>
    <t xml:space="preserve">Mixed vegetable sabzi</t>
  </si>
  <si>
    <t xml:space="preserve">D307</t>
  </si>
  <si>
    <t xml:space="preserve">Beans / carrot poriyal</t>
  </si>
  <si>
    <t xml:space="preserve">Poriyal</t>
  </si>
  <si>
    <t xml:space="preserve">With grated coconut</t>
  </si>
  <si>
    <t xml:space="preserve">D308</t>
  </si>
  <si>
    <t xml:space="preserve">Cabbage thoran</t>
  </si>
  <si>
    <t xml:space="preserve">Thoran</t>
  </si>
  <si>
    <t xml:space="preserve">ASC181</t>
  </si>
  <si>
    <t xml:space="preserve">INDB 107 kcal/100 g (-1%)</t>
  </si>
  <si>
    <t xml:space="preserve">Coconut</t>
  </si>
  <si>
    <t xml:space="preserve">D309</t>
  </si>
  <si>
    <t xml:space="preserve">Aloo posto</t>
  </si>
  <si>
    <t xml:space="preserve">Poppy seed</t>
  </si>
  <si>
    <t xml:space="preserve">D310</t>
  </si>
  <si>
    <t xml:space="preserve">Begun bhaja</t>
  </si>
  <si>
    <t xml:space="preserve">Fried brinjal slices</t>
  </si>
  <si>
    <t xml:space="preserve">Side</t>
  </si>
  <si>
    <t xml:space="preserve">D311</t>
  </si>
  <si>
    <t xml:space="preserve">Zunka / pithla</t>
  </si>
  <si>
    <t xml:space="preserve">Besan sabzi</t>
  </si>
  <si>
    <t xml:space="preserve">D312</t>
  </si>
  <si>
    <t xml:space="preserve">Ker sangri</t>
  </si>
  <si>
    <t xml:space="preserve">D313</t>
  </si>
  <si>
    <t xml:space="preserve">Soya chunks dry / chilli soya</t>
  </si>
  <si>
    <t xml:space="preserve">D314</t>
  </si>
  <si>
    <t xml:space="preserve">Paneer bhurji</t>
  </si>
  <si>
    <t xml:space="preserve">Scrambled paneer</t>
  </si>
  <si>
    <t xml:space="preserve">D315</t>
  </si>
  <si>
    <t xml:space="preserve">Butter chicken</t>
  </si>
  <si>
    <t xml:space="preserve">Murgh makhani</t>
  </si>
  <si>
    <t xml:space="preserve">ASC242</t>
  </si>
  <si>
    <t xml:space="preserve">INDB 137 kcal/100 g (+30%) - INDB lower: lighter/thinner recipe, or cooking water counted in weight</t>
  </si>
  <si>
    <t xml:space="preserve">Per 100 g of curry as served (gravy + boneless meat); bone weight excluded</t>
  </si>
  <si>
    <t xml:space="preserve">D316</t>
  </si>
  <si>
    <t xml:space="preserve">Chicken tikka masala</t>
  </si>
  <si>
    <t xml:space="preserve">D317</t>
  </si>
  <si>
    <t xml:space="preserve">Kadai chicken</t>
  </si>
  <si>
    <t xml:space="preserve">Karahi chicken</t>
  </si>
  <si>
    <t xml:space="preserve">D318</t>
  </si>
  <si>
    <t xml:space="preserve">Chicken curry (home style)</t>
  </si>
  <si>
    <t xml:space="preserve">Murgh curry, kozhi kuzhambu</t>
  </si>
  <si>
    <t xml:space="preserve">ASC240</t>
  </si>
  <si>
    <t xml:space="preserve">INDB 129 kcal/100 g (+7%)</t>
  </si>
  <si>
    <t xml:space="preserve">D319</t>
  </si>
  <si>
    <t xml:space="preserve">Chicken curry (restaurant / dhaba)</t>
  </si>
  <si>
    <t xml:space="preserve">D320</t>
  </si>
  <si>
    <t xml:space="preserve">Chicken korma</t>
  </si>
  <si>
    <t xml:space="preserve">BFP222</t>
  </si>
  <si>
    <t xml:space="preserve">INDB 148 kcal/100 g (+23%) - INDB lower: lighter/thinner recipe, or cooking water counted in weight</t>
  </si>
  <si>
    <t xml:space="preserve">D321</t>
  </si>
  <si>
    <t xml:space="preserve">Chicken do pyaza</t>
  </si>
  <si>
    <t xml:space="preserve">D322</t>
  </si>
  <si>
    <t xml:space="preserve">Chicken handi</t>
  </si>
  <si>
    <t xml:space="preserve">OSR066</t>
  </si>
  <si>
    <t xml:space="preserve">INDB 166 kcal/100 g (+2%)</t>
  </si>
  <si>
    <t xml:space="preserve">D323</t>
  </si>
  <si>
    <t xml:space="preserve">Palak chicken / chicken saagwala</t>
  </si>
  <si>
    <t xml:space="preserve">D324</t>
  </si>
  <si>
    <t xml:space="preserve">Chicken chettinad</t>
  </si>
  <si>
    <t xml:space="preserve">D325</t>
  </si>
  <si>
    <t xml:space="preserve">Andhra chicken curry</t>
  </si>
  <si>
    <t xml:space="preserve">Kodi kura</t>
  </si>
  <si>
    <t xml:space="preserve">D326</t>
  </si>
  <si>
    <t xml:space="preserve">Gongura chicken / mutton</t>
  </si>
  <si>
    <t xml:space="preserve">D327</t>
  </si>
  <si>
    <t xml:space="preserve">Chicken stew (Kerala)</t>
  </si>
  <si>
    <t xml:space="preserve">Chicken ishtu</t>
  </si>
  <si>
    <t xml:space="preserve">BFP090</t>
  </si>
  <si>
    <t xml:space="preserve">INDB 128 kcal/100 g (+9%)</t>
  </si>
  <si>
    <t xml:space="preserve">Coconut milk; Per 100 g of curry as served (gravy + boneless meat); bone weight excluded</t>
  </si>
  <si>
    <t xml:space="preserve">D328</t>
  </si>
  <si>
    <t xml:space="preserve">Chicken keema</t>
  </si>
  <si>
    <t xml:space="preserve">Minced chicken curry</t>
  </si>
  <si>
    <t xml:space="preserve">D329</t>
  </si>
  <si>
    <t xml:space="preserve">Chicken vindaloo</t>
  </si>
  <si>
    <t xml:space="preserve">Goan</t>
  </si>
  <si>
    <t xml:space="preserve">D330</t>
  </si>
  <si>
    <t xml:space="preserve">Chicken xacuti</t>
  </si>
  <si>
    <t xml:space="preserve">Goan, coconut</t>
  </si>
  <si>
    <t xml:space="preserve">D331</t>
  </si>
  <si>
    <t xml:space="preserve">Chicken kolhapuri</t>
  </si>
  <si>
    <t xml:space="preserve">D332</t>
  </si>
  <si>
    <t xml:space="preserve">Kosha chicken / kosha mangsho (mutton)</t>
  </si>
  <si>
    <t xml:space="preserve">Bengali kosha</t>
  </si>
  <si>
    <t xml:space="preserve">Mustard oil; Per 100 g of curry as served (gravy + boneless meat); bone weight excluded</t>
  </si>
  <si>
    <t xml:space="preserve">D333</t>
  </si>
  <si>
    <t xml:space="preserve">Afghani chicken (creamy)</t>
  </si>
  <si>
    <t xml:space="preserve">OSR062</t>
  </si>
  <si>
    <t xml:space="preserve">INDB 152 kcal/100 g (+12%)</t>
  </si>
  <si>
    <t xml:space="preserve">D334</t>
  </si>
  <si>
    <t xml:space="preserve">Mutton curry (home style)</t>
  </si>
  <si>
    <t xml:space="preserve">Gosht curry</t>
  </si>
  <si>
    <t xml:space="preserve">D335</t>
  </si>
  <si>
    <t xml:space="preserve">Mutton rogan josh</t>
  </si>
  <si>
    <t xml:space="preserve">Rogan josh</t>
  </si>
  <si>
    <t xml:space="preserve">ASC227</t>
  </si>
  <si>
    <t xml:space="preserve">INDB 140 kcal/100 g (+29%) - INDB lower: lighter/thinner recipe, or cooking water counted in weight</t>
  </si>
  <si>
    <t xml:space="preserve">D336</t>
  </si>
  <si>
    <t xml:space="preserve">Mutton korma</t>
  </si>
  <si>
    <t xml:space="preserve">BFP194</t>
  </si>
  <si>
    <t xml:space="preserve">INDB 116 kcal/100 g (+71%) - INDB lower: lighter/thinner recipe, or cooking water counted in weight</t>
  </si>
  <si>
    <t xml:space="preserve">D337</t>
  </si>
  <si>
    <t xml:space="preserve">Bhuna gosht</t>
  </si>
  <si>
    <t xml:space="preserve">D338</t>
  </si>
  <si>
    <t xml:space="preserve">Keema matar (mutton)</t>
  </si>
  <si>
    <t xml:space="preserve">Mutton keema</t>
  </si>
  <si>
    <t xml:space="preserve">ASC229</t>
  </si>
  <si>
    <t xml:space="preserve">INDB 133 kcal/100 g (+42%) - INDB lower: lighter/thinner recipe, or cooking water counted in weight</t>
  </si>
  <si>
    <t xml:space="preserve">D339</t>
  </si>
  <si>
    <t xml:space="preserve">Laal maas</t>
  </si>
  <si>
    <t xml:space="preserve">Rajasthani; Per 100 g of curry as served (gravy + boneless meat); bone weight excluded</t>
  </si>
  <si>
    <t xml:space="preserve">D340</t>
  </si>
  <si>
    <t xml:space="preserve">Mutton yakhni</t>
  </si>
  <si>
    <t xml:space="preserve">Kashmiri yakhni</t>
  </si>
  <si>
    <t xml:space="preserve">ASC232</t>
  </si>
  <si>
    <t xml:space="preserve">INDB 104 kcal/100 g (+39%) - INDB lower: lighter/thinner recipe, or cooking water counted in weight</t>
  </si>
  <si>
    <t xml:space="preserve">Yogurt-based</t>
  </si>
  <si>
    <t xml:space="preserve">D341</t>
  </si>
  <si>
    <t xml:space="preserve">Nihari</t>
  </si>
  <si>
    <t xml:space="preserve">D342</t>
  </si>
  <si>
    <t xml:space="preserve">Haleem</t>
  </si>
  <si>
    <t xml:space="preserve">Hyderabadi; wheat + lentils + meat</t>
  </si>
  <si>
    <t xml:space="preserve">D343</t>
  </si>
  <si>
    <t xml:space="preserve">Mutton sukka</t>
  </si>
  <si>
    <t xml:space="preserve">Mutton chukka, dry mutton</t>
  </si>
  <si>
    <t xml:space="preserve">D344</t>
  </si>
  <si>
    <t xml:space="preserve">Kerala beef fry</t>
  </si>
  <si>
    <t xml:space="preserve">Beef ularthiyathu</t>
  </si>
  <si>
    <t xml:space="preserve">Coconut slivers, coconut oil</t>
  </si>
  <si>
    <t xml:space="preserve">D345</t>
  </si>
  <si>
    <t xml:space="preserve">Beef curry (Kerala)</t>
  </si>
  <si>
    <t xml:space="preserve">D346</t>
  </si>
  <si>
    <t xml:space="preserve">Pork vindaloo</t>
  </si>
  <si>
    <t xml:space="preserve">D347</t>
  </si>
  <si>
    <t xml:space="preserve">Fish curry (Kerala / coconut)</t>
  </si>
  <si>
    <t xml:space="preserve">Meen curry, machli curry</t>
  </si>
  <si>
    <t xml:space="preserve">ASC246</t>
  </si>
  <si>
    <t xml:space="preserve">INDB 111 kcal/100 g (+9%)</t>
  </si>
  <si>
    <t xml:space="preserve">D348</t>
  </si>
  <si>
    <t xml:space="preserve">Macher jhol (Bengali fish curry)</t>
  </si>
  <si>
    <t xml:space="preserve">Bengali fish curry</t>
  </si>
  <si>
    <t xml:space="preserve">BFP223</t>
  </si>
  <si>
    <t xml:space="preserve">INDB 109 kcal/100 g (+17%)</t>
  </si>
  <si>
    <t xml:space="preserve">D349</t>
  </si>
  <si>
    <t xml:space="preserve">Goan fish curry</t>
  </si>
  <si>
    <t xml:space="preserve">D350</t>
  </si>
  <si>
    <t xml:space="preserve">Fish moilee</t>
  </si>
  <si>
    <t xml:space="preserve">Meen molee</t>
  </si>
  <si>
    <t xml:space="preserve">BFP229</t>
  </si>
  <si>
    <t xml:space="preserve">INDB 86 kcal/100 g (+58%) - INDB lower: lighter/thinner recipe, or cooking water counted in weight</t>
  </si>
  <si>
    <t xml:space="preserve">D351</t>
  </si>
  <si>
    <t xml:space="preserve">Prawn masala</t>
  </si>
  <si>
    <t xml:space="preserve">Jhinga masala</t>
  </si>
  <si>
    <t xml:space="preserve">D352</t>
  </si>
  <si>
    <t xml:space="preserve">Prawn curry (coconut)</t>
  </si>
  <si>
    <t xml:space="preserve">Jhinga curry, chemmeen curry</t>
  </si>
  <si>
    <t xml:space="preserve">BFP230</t>
  </si>
  <si>
    <t xml:space="preserve">INDB 110 kcal/100 g (+17%)</t>
  </si>
  <si>
    <t xml:space="preserve">D353</t>
  </si>
  <si>
    <t xml:space="preserve">Chingri malai curry</t>
  </si>
  <si>
    <t xml:space="preserve">Prawn malai curry</t>
  </si>
  <si>
    <t xml:space="preserve">D354</t>
  </si>
  <si>
    <t xml:space="preserve">Crab masala</t>
  </si>
  <si>
    <t xml:space="preserve">Nandu masala, kekda</t>
  </si>
  <si>
    <t xml:space="preserve">Edible portion</t>
  </si>
  <si>
    <t xml:space="preserve">D355</t>
  </si>
  <si>
    <t xml:space="preserve">Boiled egg</t>
  </si>
  <si>
    <t xml:space="preserve">Ubla anda</t>
  </si>
  <si>
    <t xml:space="preserve">Any</t>
  </si>
  <si>
    <t xml:space="preserve">ASC056</t>
  </si>
  <si>
    <t xml:space="preserve">INDB 45 kcal/100 g (+231%) - INDB lower: lighter/thinner recipe, or cooking water counted in weight</t>
  </si>
  <si>
    <t xml:space="preserve">D356</t>
  </si>
  <si>
    <t xml:space="preserve">Boiled egg white</t>
  </si>
  <si>
    <t xml:space="preserve">Anda safedi</t>
  </si>
  <si>
    <t xml:space="preserve">D357</t>
  </si>
  <si>
    <t xml:space="preserve">Fried egg / half fry</t>
  </si>
  <si>
    <t xml:space="preserve">Bull's eye, sunny side up</t>
  </si>
  <si>
    <t xml:space="preserve">ASC057</t>
  </si>
  <si>
    <t xml:space="preserve">INDB 224 kcal/100 g (-15%)</t>
  </si>
  <si>
    <t xml:space="preserve">Includes ~3 g oil</t>
  </si>
  <si>
    <t xml:space="preserve">D358</t>
  </si>
  <si>
    <t xml:space="preserve">Egg bhurji</t>
  </si>
  <si>
    <t xml:space="preserve">Anda bhurji, scrambled egg Indian style</t>
  </si>
  <si>
    <t xml:space="preserve">ASC059</t>
  </si>
  <si>
    <t xml:space="preserve">INDB 156 kcal/100 g (+15%)</t>
  </si>
  <si>
    <t xml:space="preserve">With onion, tomato, oil</t>
  </si>
  <si>
    <t xml:space="preserve">D359</t>
  </si>
  <si>
    <t xml:space="preserve">Egg curry</t>
  </si>
  <si>
    <t xml:space="preserve">Anda curry, egg masala</t>
  </si>
  <si>
    <t xml:space="preserve">BFP240</t>
  </si>
  <si>
    <t xml:space="preserve">INDB 118 kcal/100 g (+11%)</t>
  </si>
  <si>
    <t xml:space="preserve">~2 eggs per 250 g</t>
  </si>
  <si>
    <t xml:space="preserve">D360</t>
  </si>
  <si>
    <t xml:space="preserve">Kerala egg roast</t>
  </si>
  <si>
    <t xml:space="preserve">Mutta roast</t>
  </si>
  <si>
    <t xml:space="preserve">D361</t>
  </si>
  <si>
    <t xml:space="preserve">Paneer tikka</t>
  </si>
  <si>
    <t xml:space="preserve">Tandoori paneer tikka</t>
  </si>
  <si>
    <t xml:space="preserve">Starter</t>
  </si>
  <si>
    <t xml:space="preserve">ASC381</t>
  </si>
  <si>
    <t xml:space="preserve">INDB 94 kcal/100 g (+137%) - INDB lower: lighter/thinner recipe, or cooking water counted in weight</t>
  </si>
  <si>
    <t xml:space="preserve">With capsicum/onion; ~25 g per piece</t>
  </si>
  <si>
    <t xml:space="preserve">D362</t>
  </si>
  <si>
    <t xml:space="preserve">Malai paneer tikka</t>
  </si>
  <si>
    <t xml:space="preserve">Achari/malai tikka</t>
  </si>
  <si>
    <t xml:space="preserve">D363</t>
  </si>
  <si>
    <t xml:space="preserve">Hara bhara kebab</t>
  </si>
  <si>
    <t xml:space="preserve">~30 g per piece, shallow fried</t>
  </si>
  <si>
    <t xml:space="preserve">D364</t>
  </si>
  <si>
    <t xml:space="preserve">Veg seekh kebab</t>
  </si>
  <si>
    <t xml:space="preserve">ASC377</t>
  </si>
  <si>
    <t xml:space="preserve">D365</t>
  </si>
  <si>
    <t xml:space="preserve">Dahi ke kebab</t>
  </si>
  <si>
    <t xml:space="preserve">D366</t>
  </si>
  <si>
    <t xml:space="preserve">Tandoori aloo</t>
  </si>
  <si>
    <t xml:space="preserve">D367</t>
  </si>
  <si>
    <t xml:space="preserve">Mushroom tikka</t>
  </si>
  <si>
    <t xml:space="preserve">Tandoori mushroom</t>
  </si>
  <si>
    <t xml:space="preserve">D368</t>
  </si>
  <si>
    <t xml:space="preserve">Tandoori soya chaap</t>
  </si>
  <si>
    <t xml:space="preserve">Soya chaap tikka</t>
  </si>
  <si>
    <t xml:space="preserve">D369</t>
  </si>
  <si>
    <t xml:space="preserve">Malai soya chaap</t>
  </si>
  <si>
    <t xml:space="preserve">Afghani chaap</t>
  </si>
  <si>
    <t xml:space="preserve">D370</t>
  </si>
  <si>
    <t xml:space="preserve">Paneer 65</t>
  </si>
  <si>
    <t xml:space="preserve">Deep fried</t>
  </si>
  <si>
    <t xml:space="preserve">D371</t>
  </si>
  <si>
    <t xml:space="preserve">Gobi 65</t>
  </si>
  <si>
    <t xml:space="preserve">Cauliflower 65</t>
  </si>
  <si>
    <t xml:space="preserve">OSR076</t>
  </si>
  <si>
    <t xml:space="preserve">D372</t>
  </si>
  <si>
    <t xml:space="preserve">Veg cutlet</t>
  </si>
  <si>
    <t xml:space="preserve">Vegetable cutlet</t>
  </si>
  <si>
    <t xml:space="preserve">ASC366</t>
  </si>
  <si>
    <t xml:space="preserve">D373</t>
  </si>
  <si>
    <t xml:space="preserve">Aloo tikki</t>
  </si>
  <si>
    <t xml:space="preserve">Potato patty</t>
  </si>
  <si>
    <t xml:space="preserve">Shallow fried, plain (no chole/curd)</t>
  </si>
  <si>
    <t xml:space="preserve">D374</t>
  </si>
  <si>
    <t xml:space="preserve">Corn cheese balls</t>
  </si>
  <si>
    <t xml:space="preserve">D375</t>
  </si>
  <si>
    <t xml:space="preserve">Veg spring roll (fried)</t>
  </si>
  <si>
    <t xml:space="preserve">Spring roll</t>
  </si>
  <si>
    <t xml:space="preserve">ASC383</t>
  </si>
  <si>
    <t xml:space="preserve">D376</t>
  </si>
  <si>
    <t xml:space="preserve">Paneer pakora</t>
  </si>
  <si>
    <t xml:space="preserve">Paneer pakoda</t>
  </si>
  <si>
    <t xml:space="preserve">ASC359</t>
  </si>
  <si>
    <t xml:space="preserve">D377</t>
  </si>
  <si>
    <t xml:space="preserve">Chicken tikka</t>
  </si>
  <si>
    <t xml:space="preserve">Boneless tandoori tikka</t>
  </si>
  <si>
    <t xml:space="preserve">~25-30 g per piece</t>
  </si>
  <si>
    <t xml:space="preserve">D378</t>
  </si>
  <si>
    <t xml:space="preserve">Tandoori chicken</t>
  </si>
  <si>
    <t xml:space="preserve">ASC241</t>
  </si>
  <si>
    <t xml:space="preserve">Edible meat, skinless; weigh without bone</t>
  </si>
  <si>
    <t xml:space="preserve">D379</t>
  </si>
  <si>
    <t xml:space="preserve">Chicken malai / reshmi tikka</t>
  </si>
  <si>
    <t xml:space="preserve">Murgh malai tikka</t>
  </si>
  <si>
    <t xml:space="preserve">D380</t>
  </si>
  <si>
    <t xml:space="preserve">Chicken Afghani / kalmi kebab</t>
  </si>
  <si>
    <t xml:space="preserve">D381</t>
  </si>
  <si>
    <t xml:space="preserve">Chicken seekh kebab</t>
  </si>
  <si>
    <t xml:space="preserve">ASC243</t>
  </si>
  <si>
    <t xml:space="preserve">D382</t>
  </si>
  <si>
    <t xml:space="preserve">Mutton seekh kebab</t>
  </si>
  <si>
    <t xml:space="preserve">BFP199</t>
  </si>
  <si>
    <t xml:space="preserve">INDB 134 kcal/100 g (+82%) - INDB lower: lighter/thinner recipe, or cooking water counted in weight</t>
  </si>
  <si>
    <t xml:space="preserve">D383</t>
  </si>
  <si>
    <t xml:space="preserve">Galouti kebab</t>
  </si>
  <si>
    <t xml:space="preserve">D384</t>
  </si>
  <si>
    <t xml:space="preserve">Shami kebab</t>
  </si>
  <si>
    <t xml:space="preserve">ASC237</t>
  </si>
  <si>
    <t xml:space="preserve">Pan fried; INDB value excluded</t>
  </si>
  <si>
    <t xml:space="preserve">D385</t>
  </si>
  <si>
    <t xml:space="preserve">Mutton boti kebab</t>
  </si>
  <si>
    <t xml:space="preserve">BFP198</t>
  </si>
  <si>
    <t xml:space="preserve">INDB 133 kcal/100 g (+56%) - INDB lower: lighter/thinner recipe, or cooking water counted in weight</t>
  </si>
  <si>
    <t xml:space="preserve">D386</t>
  </si>
  <si>
    <t xml:space="preserve">Chicken 65</t>
  </si>
  <si>
    <t xml:space="preserve">Deep fried, boneless</t>
  </si>
  <si>
    <t xml:space="preserve">D387</t>
  </si>
  <si>
    <t xml:space="preserve">Chilli chicken (dry)</t>
  </si>
  <si>
    <t xml:space="preserve">ASC244</t>
  </si>
  <si>
    <t xml:space="preserve">INDB 199 kcal/100 g (+12%)</t>
  </si>
  <si>
    <t xml:space="preserve">D388</t>
  </si>
  <si>
    <t xml:space="preserve">Chicken lollipop</t>
  </si>
  <si>
    <t xml:space="preserve">D389</t>
  </si>
  <si>
    <t xml:space="preserve">Drums of heaven</t>
  </si>
  <si>
    <t xml:space="preserve">D390</t>
  </si>
  <si>
    <t xml:space="preserve">Chicken pakora</t>
  </si>
  <si>
    <t xml:space="preserve">Chicken pakoda</t>
  </si>
  <si>
    <t xml:space="preserve">BFP420</t>
  </si>
  <si>
    <t xml:space="preserve">D391</t>
  </si>
  <si>
    <t xml:space="preserve">Fish tikka</t>
  </si>
  <si>
    <t xml:space="preserve">Tandoori fish tikka</t>
  </si>
  <si>
    <t xml:space="preserve">ASC251</t>
  </si>
  <si>
    <t xml:space="preserve">INDB 117 kcal/100 g (+24%) - INDB lower: lighter/thinner recipe, or cooking water counted in weight</t>
  </si>
  <si>
    <t xml:space="preserve">D392</t>
  </si>
  <si>
    <t xml:space="preserve">Fish fry (masala / rava, shallow fried)</t>
  </si>
  <si>
    <t xml:space="preserve">Meen varuval, fish tawa fry</t>
  </si>
  <si>
    <t xml:space="preserve">ASC247</t>
  </si>
  <si>
    <t xml:space="preserve">D393</t>
  </si>
  <si>
    <t xml:space="preserve">Amritsari fish (batter fried)</t>
  </si>
  <si>
    <t xml:space="preserve">D394</t>
  </si>
  <si>
    <t xml:space="preserve">Fish pakora</t>
  </si>
  <si>
    <t xml:space="preserve">Fish pakoda</t>
  </si>
  <si>
    <t xml:space="preserve">BFP421</t>
  </si>
  <si>
    <t xml:space="preserve">D395</t>
  </si>
  <si>
    <t xml:space="preserve">Tandoori prawns</t>
  </si>
  <si>
    <t xml:space="preserve">Prawn tikka</t>
  </si>
  <si>
    <t xml:space="preserve">D396</t>
  </si>
  <si>
    <t xml:space="preserve">Prawn koliwada / prawn fry</t>
  </si>
  <si>
    <t xml:space="preserve">D397</t>
  </si>
  <si>
    <t xml:space="preserve">Chicken cutlet</t>
  </si>
  <si>
    <t xml:space="preserve">BFP430</t>
  </si>
  <si>
    <t xml:space="preserve">D398</t>
  </si>
  <si>
    <t xml:space="preserve">Fish cutlet</t>
  </si>
  <si>
    <t xml:space="preserve">ASC369</t>
  </si>
  <si>
    <t xml:space="preserve">D399</t>
  </si>
  <si>
    <t xml:space="preserve">Egg pakora</t>
  </si>
  <si>
    <t xml:space="preserve">Anda pakoda</t>
  </si>
  <si>
    <t xml:space="preserve">ASC357</t>
  </si>
  <si>
    <t xml:space="preserve">Boiled egg halves in besan batter</t>
  </si>
  <si>
    <t xml:space="preserve">D400</t>
  </si>
  <si>
    <t xml:space="preserve">Samosa (aloo)</t>
  </si>
  <si>
    <t xml:space="preserve">Punjabi samosa</t>
  </si>
  <si>
    <t xml:space="preserve">ASC361</t>
  </si>
  <si>
    <t xml:space="preserve">D401</t>
  </si>
  <si>
    <t xml:space="preserve">Keema samosa</t>
  </si>
  <si>
    <t xml:space="preserve">Mutton/chicken samosa</t>
  </si>
  <si>
    <t xml:space="preserve">ASC362</t>
  </si>
  <si>
    <t xml:space="preserve">D402</t>
  </si>
  <si>
    <t xml:space="preserve">Onion samosa (patti samosa)</t>
  </si>
  <si>
    <t xml:space="preserve">Irani samosa</t>
  </si>
  <si>
    <t xml:space="preserve">D403</t>
  </si>
  <si>
    <t xml:space="preserve">Onion pakora / bhajji</t>
  </si>
  <si>
    <t xml:space="preserve">Pyaaz pakoda, kanda bhaji</t>
  </si>
  <si>
    <t xml:space="preserve">ASC352</t>
  </si>
  <si>
    <t xml:space="preserve">D404</t>
  </si>
  <si>
    <t xml:space="preserve">Mixed veg pakora</t>
  </si>
  <si>
    <t xml:space="preserve">Pakoda</t>
  </si>
  <si>
    <t xml:space="preserve">ASC354</t>
  </si>
  <si>
    <t xml:space="preserve">D405</t>
  </si>
  <si>
    <t xml:space="preserve">Aloo pakora</t>
  </si>
  <si>
    <t xml:space="preserve">Potato bhajji</t>
  </si>
  <si>
    <t xml:space="preserve">ASC351</t>
  </si>
  <si>
    <t xml:space="preserve">D406</t>
  </si>
  <si>
    <t xml:space="preserve">Palak pakora</t>
  </si>
  <si>
    <t xml:space="preserve">Spinach pakoda</t>
  </si>
  <si>
    <t xml:space="preserve">ASC355</t>
  </si>
  <si>
    <t xml:space="preserve">D407</t>
  </si>
  <si>
    <t xml:space="preserve">Gobi pakora</t>
  </si>
  <si>
    <t xml:space="preserve">Cauliflower pakoda</t>
  </si>
  <si>
    <t xml:space="preserve">ASC353</t>
  </si>
  <si>
    <t xml:space="preserve">D408</t>
  </si>
  <si>
    <t xml:space="preserve">Mirchi bajji / mirchi vada</t>
  </si>
  <si>
    <t xml:space="preserve">Chilli fritter</t>
  </si>
  <si>
    <t xml:space="preserve">BFP416</t>
  </si>
  <si>
    <t xml:space="preserve">D409</t>
  </si>
  <si>
    <t xml:space="preserve">Bread pakora (aloo stuffed)</t>
  </si>
  <si>
    <t xml:space="preserve">ASC358</t>
  </si>
  <si>
    <t xml:space="preserve">D410</t>
  </si>
  <si>
    <t xml:space="preserve">Batata vada / aloo bonda</t>
  </si>
  <si>
    <t xml:space="preserve">Potato bonda</t>
  </si>
  <si>
    <t xml:space="preserve">ASC360</t>
  </si>
  <si>
    <t xml:space="preserve">D411</t>
  </si>
  <si>
    <t xml:space="preserve">Sabudana vada</t>
  </si>
  <si>
    <t xml:space="preserve">ASC379</t>
  </si>
  <si>
    <t xml:space="preserve">D412</t>
  </si>
  <si>
    <t xml:space="preserve">Dahi vada / dahi bhalla</t>
  </si>
  <si>
    <t xml:space="preserve">Thayir vadai</t>
  </si>
  <si>
    <t xml:space="preserve">ASC279</t>
  </si>
  <si>
    <t xml:space="preserve">With sweet &amp; green chutney; INDB value excluded</t>
  </si>
  <si>
    <t xml:space="preserve">D413</t>
  </si>
  <si>
    <t xml:space="preserve">Veg puff (bakery)</t>
  </si>
  <si>
    <t xml:space="preserve">Vegetable puff</t>
  </si>
  <si>
    <t xml:space="preserve">Puff pastry</t>
  </si>
  <si>
    <t xml:space="preserve">D414</t>
  </si>
  <si>
    <t xml:space="preserve">Egg puff (bakery)</t>
  </si>
  <si>
    <t xml:space="preserve">D415</t>
  </si>
  <si>
    <t xml:space="preserve">Chicken puff (bakery)</t>
  </si>
  <si>
    <t xml:space="preserve">D416</t>
  </si>
  <si>
    <t xml:space="preserve">Veg burger (aloo tikki burger)</t>
  </si>
  <si>
    <t xml:space="preserve">ASC375</t>
  </si>
  <si>
    <t xml:space="preserve">D417</t>
  </si>
  <si>
    <t xml:space="preserve">Pani puri / golgappa / puchka</t>
  </si>
  <si>
    <t xml:space="preserve">Gupchup</t>
  </si>
  <si>
    <t xml:space="preserve">With aloo-chana filling and pani</t>
  </si>
  <si>
    <t xml:space="preserve">D418</t>
  </si>
  <si>
    <t xml:space="preserve">Bhel puri</t>
  </si>
  <si>
    <t xml:space="preserve">Bhel</t>
  </si>
  <si>
    <t xml:space="preserve">OSR114</t>
  </si>
  <si>
    <t xml:space="preserve">INDB value is for dry mix</t>
  </si>
  <si>
    <t xml:space="preserve">D419</t>
  </si>
  <si>
    <t xml:space="preserve">Jhal muri</t>
  </si>
  <si>
    <t xml:space="preserve">Puffed rice + mustard oil</t>
  </si>
  <si>
    <t xml:space="preserve">D420</t>
  </si>
  <si>
    <t xml:space="preserve">Sev puri</t>
  </si>
  <si>
    <t xml:space="preserve">D421</t>
  </si>
  <si>
    <t xml:space="preserve">Dahi puri</t>
  </si>
  <si>
    <t xml:space="preserve">D422</t>
  </si>
  <si>
    <t xml:space="preserve">Papdi chaat</t>
  </si>
  <si>
    <t xml:space="preserve">D423</t>
  </si>
  <si>
    <t xml:space="preserve">Aloo tikki chaat</t>
  </si>
  <si>
    <t xml:space="preserve">With chole, curd, chutneys</t>
  </si>
  <si>
    <t xml:space="preserve">D424</t>
  </si>
  <si>
    <t xml:space="preserve">Samosa chaat</t>
  </si>
  <si>
    <t xml:space="preserve">D425</t>
  </si>
  <si>
    <t xml:space="preserve">Raj kachori</t>
  </si>
  <si>
    <t xml:space="preserve">D426</t>
  </si>
  <si>
    <t xml:space="preserve">Ragda pattice</t>
  </si>
  <si>
    <t xml:space="preserve">D427</t>
  </si>
  <si>
    <t xml:space="preserve">Vada pav</t>
  </si>
  <si>
    <t xml:space="preserve">Pav + batata vada + chutneys</t>
  </si>
  <si>
    <t xml:space="preserve">D428</t>
  </si>
  <si>
    <t xml:space="preserve">Dabeli</t>
  </si>
  <si>
    <t xml:space="preserve">Kutchi dabeli</t>
  </si>
  <si>
    <t xml:space="preserve">D429</t>
  </si>
  <si>
    <t xml:space="preserve">Paneer kathi roll</t>
  </si>
  <si>
    <t xml:space="preserve">Paneer frankie</t>
  </si>
  <si>
    <t xml:space="preserve">ASC149</t>
  </si>
  <si>
    <t xml:space="preserve">INDB 286 kcal/100 g (-19%)</t>
  </si>
  <si>
    <t xml:space="preserve">D430</t>
  </si>
  <si>
    <t xml:space="preserve">Chicken kathi roll</t>
  </si>
  <si>
    <t xml:space="preserve">Chicken frankie</t>
  </si>
  <si>
    <t xml:space="preserve">D431</t>
  </si>
  <si>
    <t xml:space="preserve">Egg roll (Kolkata)</t>
  </si>
  <si>
    <t xml:space="preserve">Anda roll</t>
  </si>
  <si>
    <t xml:space="preserve">D432</t>
  </si>
  <si>
    <t xml:space="preserve">Chicken shawarma roll</t>
  </si>
  <si>
    <t xml:space="preserve">Shawarma</t>
  </si>
  <si>
    <t xml:space="preserve">D433</t>
  </si>
  <si>
    <t xml:space="preserve">Corn chaat / masala bhutta</t>
  </si>
  <si>
    <t xml:space="preserve">Sweet corn cup</t>
  </si>
  <si>
    <t xml:space="preserve">With butter &amp; masala; INDB corn chaat is dry mix</t>
  </si>
  <si>
    <t xml:space="preserve">D434</t>
  </si>
  <si>
    <t xml:space="preserve">Sprouts chaat</t>
  </si>
  <si>
    <t xml:space="preserve">Moong sprout chaat</t>
  </si>
  <si>
    <t xml:space="preserve">ASC170</t>
  </si>
  <si>
    <t xml:space="preserve">INDB 32 kcal/100 g (+112%) - INDB lower: lighter/thinner recipe, or cooking water counted in weight</t>
  </si>
  <si>
    <t xml:space="preserve">D435</t>
  </si>
  <si>
    <t xml:space="preserve">Chana chaat (kabuli)</t>
  </si>
  <si>
    <t xml:space="preserve">D436</t>
  </si>
  <si>
    <t xml:space="preserve">Boiled peanut chaat</t>
  </si>
  <si>
    <t xml:space="preserve">Moongphali chaat</t>
  </si>
  <si>
    <t xml:space="preserve">D437</t>
  </si>
  <si>
    <t xml:space="preserve">Fruit chaat</t>
  </si>
  <si>
    <t xml:space="preserve">Fruit salad with chaat masala</t>
  </si>
  <si>
    <t xml:space="preserve">D438</t>
  </si>
  <si>
    <t xml:space="preserve">Momos - veg, steamed</t>
  </si>
  <si>
    <t xml:space="preserve">Veg dumplings</t>
  </si>
  <si>
    <t xml:space="preserve">~25 g per momo; chutney extra</t>
  </si>
  <si>
    <t xml:space="preserve">D439</t>
  </si>
  <si>
    <t xml:space="preserve">Momos - veg, fried</t>
  </si>
  <si>
    <t xml:space="preserve">D440</t>
  </si>
  <si>
    <t xml:space="preserve">Momos - paneer, steamed</t>
  </si>
  <si>
    <t xml:space="preserve">D441</t>
  </si>
  <si>
    <t xml:space="preserve">Momos - chicken, steamed</t>
  </si>
  <si>
    <t xml:space="preserve">D442</t>
  </si>
  <si>
    <t xml:space="preserve">Momos - chicken, fried</t>
  </si>
  <si>
    <t xml:space="preserve">D443</t>
  </si>
  <si>
    <t xml:space="preserve">Maggi / instant masala noodles (cooked)</t>
  </si>
  <si>
    <t xml:space="preserve">Instant noodles</t>
  </si>
  <si>
    <t xml:space="preserve">Prepared with water as per pack</t>
  </si>
  <si>
    <t xml:space="preserve">D444</t>
  </si>
  <si>
    <t xml:space="preserve">Thukpa (veg / chicken)</t>
  </si>
  <si>
    <t xml:space="preserve">Noodle soup</t>
  </si>
  <si>
    <t xml:space="preserve">D445</t>
  </si>
  <si>
    <t xml:space="preserve">Veg fried rice</t>
  </si>
  <si>
    <t xml:space="preserve">Fried rice</t>
  </si>
  <si>
    <t xml:space="preserve">ASC129</t>
  </si>
  <si>
    <t xml:space="preserve">INDB 121 kcal/100 g (+47%) - INDB lower: lighter/thinner recipe, or cooking water counted in weight</t>
  </si>
  <si>
    <t xml:space="preserve">D446</t>
  </si>
  <si>
    <t xml:space="preserve">Egg fried rice</t>
  </si>
  <si>
    <t xml:space="preserve">D447</t>
  </si>
  <si>
    <t xml:space="preserve">Chicken fried rice</t>
  </si>
  <si>
    <t xml:space="preserve">D448</t>
  </si>
  <si>
    <t xml:space="preserve">Schezwan fried rice (veg)</t>
  </si>
  <si>
    <t xml:space="preserve">D449</t>
  </si>
  <si>
    <t xml:space="preserve">Veg hakka noodles</t>
  </si>
  <si>
    <t xml:space="preserve">Veg chowmein</t>
  </si>
  <si>
    <t xml:space="preserve">ASC134</t>
  </si>
  <si>
    <t xml:space="preserve">INDB 130 kcal/100 g (+39%) - INDB lower: lighter/thinner recipe, or cooking water counted in weight</t>
  </si>
  <si>
    <t xml:space="preserve">D450</t>
  </si>
  <si>
    <t xml:space="preserve">Chicken hakka noodles</t>
  </si>
  <si>
    <t xml:space="preserve">Chicken chowmein</t>
  </si>
  <si>
    <t xml:space="preserve">ASC135</t>
  </si>
  <si>
    <t xml:space="preserve">INDB 151 kcal/100 g (+24%) - INDB lower: lighter/thinner recipe, or cooking water counted in weight</t>
  </si>
  <si>
    <t xml:space="preserve">D451</t>
  </si>
  <si>
    <t xml:space="preserve">Egg noodles</t>
  </si>
  <si>
    <t xml:space="preserve">Egg chowmein</t>
  </si>
  <si>
    <t xml:space="preserve">D452</t>
  </si>
  <si>
    <t xml:space="preserve">Schezwan noodles (veg)</t>
  </si>
  <si>
    <t xml:space="preserve">D453</t>
  </si>
  <si>
    <t xml:space="preserve">American chopsuey</t>
  </si>
  <si>
    <t xml:space="preserve">Crispy noodles + sweet-sour sauce</t>
  </si>
  <si>
    <t xml:space="preserve">D454</t>
  </si>
  <si>
    <t xml:space="preserve">Gobi manchurian (dry)</t>
  </si>
  <si>
    <t xml:space="preserve">D455</t>
  </si>
  <si>
    <t xml:space="preserve">Veg manchurian (dry)</t>
  </si>
  <si>
    <t xml:space="preserve">OSR111</t>
  </si>
  <si>
    <t xml:space="preserve">D456</t>
  </si>
  <si>
    <t xml:space="preserve">Veg manchurian (gravy)</t>
  </si>
  <si>
    <t xml:space="preserve">D457</t>
  </si>
  <si>
    <t xml:space="preserve">Chilli paneer (dry)</t>
  </si>
  <si>
    <t xml:space="preserve">ASC224</t>
  </si>
  <si>
    <t xml:space="preserve">D458</t>
  </si>
  <si>
    <t xml:space="preserve">Chilli paneer (gravy)</t>
  </si>
  <si>
    <t xml:space="preserve">D459</t>
  </si>
  <si>
    <t xml:space="preserve">Chilli chicken (gravy)</t>
  </si>
  <si>
    <t xml:space="preserve">D460</t>
  </si>
  <si>
    <t xml:space="preserve">Chicken manchurian (gravy)</t>
  </si>
  <si>
    <t xml:space="preserve">OSR065</t>
  </si>
  <si>
    <t xml:space="preserve">D461</t>
  </si>
  <si>
    <t xml:space="preserve">Crispy corn (salt &amp; pepper)</t>
  </si>
  <si>
    <t xml:space="preserve">D462</t>
  </si>
  <si>
    <t xml:space="preserve">Honey chilli potato</t>
  </si>
  <si>
    <t xml:space="preserve">D463</t>
  </si>
  <si>
    <t xml:space="preserve">Chilli mushroom (dry)</t>
  </si>
  <si>
    <t xml:space="preserve">D464</t>
  </si>
  <si>
    <t xml:space="preserve">Baby corn chilli / manchurian</t>
  </si>
  <si>
    <t xml:space="preserve">D465</t>
  </si>
  <si>
    <t xml:space="preserve">Tomato soup (restaurant)</t>
  </si>
  <si>
    <t xml:space="preserve">Cream of tomato</t>
  </si>
  <si>
    <t xml:space="preserve">ASC082</t>
  </si>
  <si>
    <t xml:space="preserve">With butter/cream</t>
  </si>
  <si>
    <t xml:space="preserve">D466</t>
  </si>
  <si>
    <t xml:space="preserve">Sweet corn soup (veg)</t>
  </si>
  <si>
    <t xml:space="preserve">OSR133</t>
  </si>
  <si>
    <t xml:space="preserve">INDB 32 kcal/100 g (+80%) - INDB lower: lighter/thinner recipe, or cooking water counted in weight</t>
  </si>
  <si>
    <t xml:space="preserve">D467</t>
  </si>
  <si>
    <t xml:space="preserve">Chicken sweet corn soup</t>
  </si>
  <si>
    <t xml:space="preserve">ASC087</t>
  </si>
  <si>
    <t xml:space="preserve">D468</t>
  </si>
  <si>
    <t xml:space="preserve">Hot &amp; sour soup (veg)</t>
  </si>
  <si>
    <t xml:space="preserve">ASC092</t>
  </si>
  <si>
    <t xml:space="preserve">INDB 32 kcal/100 g (+33%) - INDB lower: lighter/thinner recipe, or cooking water counted in weight</t>
  </si>
  <si>
    <t xml:space="preserve">D469</t>
  </si>
  <si>
    <t xml:space="preserve">Hot &amp; sour soup (chicken)</t>
  </si>
  <si>
    <t xml:space="preserve">D470</t>
  </si>
  <si>
    <t xml:space="preserve">Manchow soup (veg)</t>
  </si>
  <si>
    <t xml:space="preserve">With fried noodles</t>
  </si>
  <si>
    <t xml:space="preserve">D471</t>
  </si>
  <si>
    <t xml:space="preserve">Manchow soup (chicken)</t>
  </si>
  <si>
    <t xml:space="preserve">D472</t>
  </si>
  <si>
    <t xml:space="preserve">Lemon coriander soup</t>
  </si>
  <si>
    <t xml:space="preserve">OSR137</t>
  </si>
  <si>
    <t xml:space="preserve">INDB 108 kcal/100 g (-72%) - INDB higher: cooking water likely not counted in weight, or more oil</t>
  </si>
  <si>
    <t xml:space="preserve">D473</t>
  </si>
  <si>
    <t xml:space="preserve">Clear vegetable soup</t>
  </si>
  <si>
    <t xml:space="preserve">D474</t>
  </si>
  <si>
    <t xml:space="preserve">Chicken clear soup</t>
  </si>
  <si>
    <t xml:space="preserve">Chicken consomme</t>
  </si>
  <si>
    <t xml:space="preserve">ASC081</t>
  </si>
  <si>
    <t xml:space="preserve">D475</t>
  </si>
  <si>
    <t xml:space="preserve">Mulligatawny soup</t>
  </si>
  <si>
    <t xml:space="preserve">BFP076</t>
  </si>
  <si>
    <t xml:space="preserve">D476</t>
  </si>
  <si>
    <t xml:space="preserve">Cream of mushroom soup</t>
  </si>
  <si>
    <t xml:space="preserve">D477</t>
  </si>
  <si>
    <t xml:space="preserve">Dal shorba / lentil soup</t>
  </si>
  <si>
    <t xml:space="preserve">ASC080</t>
  </si>
  <si>
    <t xml:space="preserve">D478</t>
  </si>
  <si>
    <t xml:space="preserve">Palak (spinach) soup</t>
  </si>
  <si>
    <t xml:space="preserve">BFP073</t>
  </si>
  <si>
    <t xml:space="preserve">D479</t>
  </si>
  <si>
    <t xml:space="preserve">Mutton paya soup</t>
  </si>
  <si>
    <t xml:space="preserve">Paya shorba, bone soup</t>
  </si>
  <si>
    <t xml:space="preserve">D480</t>
  </si>
  <si>
    <t xml:space="preserve">Plain curd (dahi, whole milk)</t>
  </si>
  <si>
    <t xml:space="preserve">Yogurt, thayir, mosaru</t>
  </si>
  <si>
    <t xml:space="preserve">D481</t>
  </si>
  <si>
    <t xml:space="preserve">Low-fat curd</t>
  </si>
  <si>
    <t xml:space="preserve">Toned milk dahi</t>
  </si>
  <si>
    <t xml:space="preserve">D482</t>
  </si>
  <si>
    <t xml:space="preserve">Boondi raita</t>
  </si>
  <si>
    <t xml:space="preserve">ASC277</t>
  </si>
  <si>
    <t xml:space="preserve">D483</t>
  </si>
  <si>
    <t xml:space="preserve">Cucumber raita</t>
  </si>
  <si>
    <t xml:space="preserve">Kheera raita</t>
  </si>
  <si>
    <t xml:space="preserve">ASC273</t>
  </si>
  <si>
    <t xml:space="preserve">INDB 59 kcal/100 g (-6%)</t>
  </si>
  <si>
    <t xml:space="preserve">D484</t>
  </si>
  <si>
    <t xml:space="preserve">Mixed veg raita</t>
  </si>
  <si>
    <t xml:space="preserve">Onion-tomato raita</t>
  </si>
  <si>
    <t xml:space="preserve">ASC269</t>
  </si>
  <si>
    <t xml:space="preserve">INDB 59 kcal/100 g (-3%)</t>
  </si>
  <si>
    <t xml:space="preserve">D485</t>
  </si>
  <si>
    <t xml:space="preserve">Pineapple raita</t>
  </si>
  <si>
    <t xml:space="preserve">BFP325</t>
  </si>
  <si>
    <t xml:space="preserve">INDB 68 kcal/100 g (+16%)</t>
  </si>
  <si>
    <t xml:space="preserve">D486</t>
  </si>
  <si>
    <t xml:space="preserve">Pachadi (South curd pachadi)</t>
  </si>
  <si>
    <t xml:space="preserve">Vellarikka pachadi</t>
  </si>
  <si>
    <t xml:space="preserve">D487</t>
  </si>
  <si>
    <t xml:space="preserve">Green salad</t>
  </si>
  <si>
    <t xml:space="preserve">Cucumber-tomato-onion-carrot</t>
  </si>
  <si>
    <t xml:space="preserve">No dressing</t>
  </si>
  <si>
    <t xml:space="preserve">D488</t>
  </si>
  <si>
    <t xml:space="preserve">Kachumber salad</t>
  </si>
  <si>
    <t xml:space="preserve">Lemon &amp; salt</t>
  </si>
  <si>
    <t xml:space="preserve">D489</t>
  </si>
  <si>
    <t xml:space="preserve">Sprouts salad</t>
  </si>
  <si>
    <t xml:space="preserve">Moong sprout salad</t>
  </si>
  <si>
    <t xml:space="preserve">ASC259</t>
  </si>
  <si>
    <t xml:space="preserve">INDB 38 kcal/100 g (+20%)</t>
  </si>
  <si>
    <t xml:space="preserve">D490</t>
  </si>
  <si>
    <t xml:space="preserve">Fruit salad (plain)</t>
  </si>
  <si>
    <t xml:space="preserve">Mixed fruit bowl</t>
  </si>
  <si>
    <t xml:space="preserve">ASC265</t>
  </si>
  <si>
    <t xml:space="preserve">INDB 78 kcal/100 g (-21%) - INDB higher: cooking water likely not counted in weight, or more oil</t>
  </si>
  <si>
    <t xml:space="preserve">D491</t>
  </si>
  <si>
    <t xml:space="preserve">Koshimbir</t>
  </si>
  <si>
    <t xml:space="preserve">Maharashtrian salad</t>
  </si>
  <si>
    <t xml:space="preserve">With peanuts &amp; tempering</t>
  </si>
  <si>
    <t xml:space="preserve">D492</t>
  </si>
  <si>
    <t xml:space="preserve">Coconut chutney</t>
  </si>
  <si>
    <t xml:space="preserve">Thengai chutney</t>
  </si>
  <si>
    <t xml:space="preserve">ASC386</t>
  </si>
  <si>
    <t xml:space="preserve">INDB 266 kcal/100 g (-18%)</t>
  </si>
  <si>
    <t xml:space="preserve">D493</t>
  </si>
  <si>
    <t xml:space="preserve">Tomato chutney (South)</t>
  </si>
  <si>
    <t xml:space="preserve">Thakkali chutney</t>
  </si>
  <si>
    <t xml:space="preserve">BFP442</t>
  </si>
  <si>
    <t xml:space="preserve">INDB 45 kcal/100 g (+138%) - INDB lower: lighter/thinner recipe, or cooking water counted in weight</t>
  </si>
  <si>
    <t xml:space="preserve">D494</t>
  </si>
  <si>
    <t xml:space="preserve">Peanut chutney</t>
  </si>
  <si>
    <t xml:space="preserve">Shenga chutney</t>
  </si>
  <si>
    <t xml:space="preserve">ASC385</t>
  </si>
  <si>
    <t xml:space="preserve">INDB 258 kcal/100 g (-4%)</t>
  </si>
  <si>
    <t xml:space="preserve">D495</t>
  </si>
  <si>
    <t xml:space="preserve">Green chutney (mint-coriander)</t>
  </si>
  <si>
    <t xml:space="preserve">Hari chutney, pudina chutney</t>
  </si>
  <si>
    <t xml:space="preserve">ASC387</t>
  </si>
  <si>
    <t xml:space="preserve">INDB 103 kcal/100 g (-60%) - INDB higher: cooking water likely not counted in weight, or more oil</t>
  </si>
  <si>
    <t xml:space="preserve">D496</t>
  </si>
  <si>
    <t xml:space="preserve">Imli / saunth chutney (sweet tamarind)</t>
  </si>
  <si>
    <t xml:space="preserve">Meethi chutney</t>
  </si>
  <si>
    <t xml:space="preserve">ASC281</t>
  </si>
  <si>
    <t xml:space="preserve">INDB 142 kcal/100 g (+0%)</t>
  </si>
  <si>
    <t xml:space="preserve">D497</t>
  </si>
  <si>
    <t xml:space="preserve">Gunpowder (podi)</t>
  </si>
  <si>
    <t xml:space="preserve">Milagai podi</t>
  </si>
  <si>
    <t xml:space="preserve">BFP448</t>
  </si>
  <si>
    <t xml:space="preserve">INDB 312 kcal/100 g (+2%)</t>
  </si>
  <si>
    <t xml:space="preserve">Add 45 kcal per tsp of oil/ghee mixed in</t>
  </si>
  <si>
    <t xml:space="preserve">D498</t>
  </si>
  <si>
    <t xml:space="preserve">Dry garlic chutney</t>
  </si>
  <si>
    <t xml:space="preserve">Vada pav lasun chutney</t>
  </si>
  <si>
    <t xml:space="preserve">D499</t>
  </si>
  <si>
    <t xml:space="preserve">Mango pickle (in oil)</t>
  </si>
  <si>
    <t xml:space="preserve">Aam ka achaar, avakaya</t>
  </si>
  <si>
    <t xml:space="preserve">ASC507</t>
  </si>
  <si>
    <t xml:space="preserve">INDB 192 kcal/100 g (-14%)</t>
  </si>
  <si>
    <t xml:space="preserve">Very high sodium</t>
  </si>
  <si>
    <t xml:space="preserve">D500</t>
  </si>
  <si>
    <t xml:space="preserve">Lime pickle</t>
  </si>
  <si>
    <t xml:space="preserve">Nimbu ka achaar</t>
  </si>
  <si>
    <t xml:space="preserve">D501</t>
  </si>
  <si>
    <t xml:space="preserve">Papad (roasted)</t>
  </si>
  <si>
    <t xml:space="preserve">Appalam, pappadam</t>
  </si>
  <si>
    <t xml:space="preserve">D502</t>
  </si>
  <si>
    <t xml:space="preserve">Papad (fried)</t>
  </si>
  <si>
    <t xml:space="preserve">D503</t>
  </si>
  <si>
    <t xml:space="preserve">Masala papad</t>
  </si>
  <si>
    <t xml:space="preserve">Fried papad + onion-tomato topping</t>
  </si>
  <si>
    <t xml:space="preserve">D504</t>
  </si>
  <si>
    <t xml:space="preserve">Aloo bhujia</t>
  </si>
  <si>
    <t xml:space="preserve">Bhujia sev</t>
  </si>
  <si>
    <t xml:space="preserve">Packaged-style</t>
  </si>
  <si>
    <t xml:space="preserve">D505</t>
  </si>
  <si>
    <t xml:space="preserve">Mixture / mixed namkeen</t>
  </si>
  <si>
    <t xml:space="preserve">Chivda mix, Bombay mix</t>
  </si>
  <si>
    <t xml:space="preserve">D506</t>
  </si>
  <si>
    <t xml:space="preserve">Poha chivda (light)</t>
  </si>
  <si>
    <t xml:space="preserve">Chiwda</t>
  </si>
  <si>
    <t xml:space="preserve">D507</t>
  </si>
  <si>
    <t xml:space="preserve">Sev (besan)</t>
  </si>
  <si>
    <t xml:space="preserve">Omapodi, gathiya</t>
  </si>
  <si>
    <t xml:space="preserve">OSR147</t>
  </si>
  <si>
    <t xml:space="preserve">D508</t>
  </si>
  <si>
    <t xml:space="preserve">Mathri</t>
  </si>
  <si>
    <t xml:space="preserve">ASC364</t>
  </si>
  <si>
    <t xml:space="preserve">D509</t>
  </si>
  <si>
    <t xml:space="preserve">Namak para</t>
  </si>
  <si>
    <t xml:space="preserve">Namak pare</t>
  </si>
  <si>
    <t xml:space="preserve">D510</t>
  </si>
  <si>
    <t xml:space="preserve">Chakli / murukku</t>
  </si>
  <si>
    <t xml:space="preserve">Chakri</t>
  </si>
  <si>
    <t xml:space="preserve">OSR113</t>
  </si>
  <si>
    <t xml:space="preserve">D511</t>
  </si>
  <si>
    <t xml:space="preserve">Banana chips (Kerala)</t>
  </si>
  <si>
    <t xml:space="preserve">Nendran chips</t>
  </si>
  <si>
    <t xml:space="preserve">OSR119</t>
  </si>
  <si>
    <t xml:space="preserve">Coconut oil</t>
  </si>
  <si>
    <t xml:space="preserve">D512</t>
  </si>
  <si>
    <t xml:space="preserve">Roasted chana (bhuna chana)</t>
  </si>
  <si>
    <t xml:space="preserve">Futana, pottukadalai</t>
  </si>
  <si>
    <t xml:space="preserve">D513</t>
  </si>
  <si>
    <t xml:space="preserve">Roasted makhana (lightly salted, ghee)</t>
  </si>
  <si>
    <t xml:space="preserve">Fox nut, phool makhana</t>
  </si>
  <si>
    <t xml:space="preserve">D514</t>
  </si>
  <si>
    <t xml:space="preserve">Roasted peanuts (salted)</t>
  </si>
  <si>
    <t xml:space="preserve">Moongphali</t>
  </si>
  <si>
    <t xml:space="preserve">D515</t>
  </si>
  <si>
    <t xml:space="preserve">Chana jor garam</t>
  </si>
  <si>
    <t xml:space="preserve">D516</t>
  </si>
  <si>
    <t xml:space="preserve">Murmura (puffed rice, plain)</t>
  </si>
  <si>
    <t xml:space="preserve">Kurmura, muri, pori</t>
  </si>
  <si>
    <t xml:space="preserve">D517</t>
  </si>
  <si>
    <t xml:space="preserve">Gulab jamun</t>
  </si>
  <si>
    <t xml:space="preserve">ASC348</t>
  </si>
  <si>
    <t xml:space="preserve">Weight incl. syrup; INDB value excluded (frying oil counted fully)</t>
  </si>
  <si>
    <t xml:space="preserve">D518</t>
  </si>
  <si>
    <t xml:space="preserve">Rasgulla</t>
  </si>
  <si>
    <t xml:space="preserve">Rosogolla</t>
  </si>
  <si>
    <t xml:space="preserve">BFP392</t>
  </si>
  <si>
    <t xml:space="preserve">INDB 119 kcal/100 g (+63%) - INDB lower: lighter/thinner recipe, or cooking water counted in weight</t>
  </si>
  <si>
    <t xml:space="preserve">Weight incl. syrup</t>
  </si>
  <si>
    <t xml:space="preserve">D519</t>
  </si>
  <si>
    <t xml:space="preserve">Rasmalai</t>
  </si>
  <si>
    <t xml:space="preserve">BFP393</t>
  </si>
  <si>
    <t xml:space="preserve">INDB 136 kcal/100 g (+60%) - INDB lower: lighter/thinner recipe, or cooking water counted in weight</t>
  </si>
  <si>
    <t xml:space="preserve">D520</t>
  </si>
  <si>
    <t xml:space="preserve">Cham cham</t>
  </si>
  <si>
    <t xml:space="preserve">BFP388</t>
  </si>
  <si>
    <t xml:space="preserve">INDB 130 kcal/100 g (+73%) - INDB lower: lighter/thinner recipe, or cooking water counted in weight</t>
  </si>
  <si>
    <t xml:space="preserve">D521</t>
  </si>
  <si>
    <t xml:space="preserve">Sandesh</t>
  </si>
  <si>
    <t xml:space="preserve">D522</t>
  </si>
  <si>
    <t xml:space="preserve">Mishti doi</t>
  </si>
  <si>
    <t xml:space="preserve">Sweet curd</t>
  </si>
  <si>
    <t xml:space="preserve">D523</t>
  </si>
  <si>
    <t xml:space="preserve">Chhena poda</t>
  </si>
  <si>
    <t xml:space="preserve">OSR022</t>
  </si>
  <si>
    <t xml:space="preserve">INDB 345 kcal/100 g (-14%)</t>
  </si>
  <si>
    <t xml:space="preserve">D524</t>
  </si>
  <si>
    <t xml:space="preserve">Jalebi</t>
  </si>
  <si>
    <t xml:space="preserve">D525</t>
  </si>
  <si>
    <t xml:space="preserve">Imarti</t>
  </si>
  <si>
    <t xml:space="preserve">Jhangiri</t>
  </si>
  <si>
    <t xml:space="preserve">D526</t>
  </si>
  <si>
    <t xml:space="preserve">Kaju katli</t>
  </si>
  <si>
    <t xml:space="preserve">Kaju barfi</t>
  </si>
  <si>
    <t xml:space="preserve">ASC339</t>
  </si>
  <si>
    <t xml:space="preserve">INDB 422 kcal/100 g (+14%)</t>
  </si>
  <si>
    <t xml:space="preserve">D527</t>
  </si>
  <si>
    <t xml:space="preserve">Besan ladoo</t>
  </si>
  <si>
    <t xml:space="preserve">ASC343</t>
  </si>
  <si>
    <t xml:space="preserve">INDB 477 kcal/100 g (+4%)</t>
  </si>
  <si>
    <t xml:space="preserve">D528</t>
  </si>
  <si>
    <t xml:space="preserve">Motichoor ladoo</t>
  </si>
  <si>
    <t xml:space="preserve">D529</t>
  </si>
  <si>
    <t xml:space="preserve">Boondi ladoo</t>
  </si>
  <si>
    <t xml:space="preserve">D530</t>
  </si>
  <si>
    <t xml:space="preserve">Coconut ladoo</t>
  </si>
  <si>
    <t xml:space="preserve">Nariyal ladoo</t>
  </si>
  <si>
    <t xml:space="preserve">With condensed milk</t>
  </si>
  <si>
    <t xml:space="preserve">D531</t>
  </si>
  <si>
    <t xml:space="preserve">Rava ladoo</t>
  </si>
  <si>
    <t xml:space="preserve">Suji ladoo</t>
  </si>
  <si>
    <t xml:space="preserve">BFP407</t>
  </si>
  <si>
    <t xml:space="preserve">INDB 442 kcal/100 g (-4%)</t>
  </si>
  <si>
    <t xml:space="preserve">D532</t>
  </si>
  <si>
    <t xml:space="preserve">Til ladoo</t>
  </si>
  <si>
    <t xml:space="preserve">Sesame ladoo</t>
  </si>
  <si>
    <t xml:space="preserve">ASC344</t>
  </si>
  <si>
    <t xml:space="preserve">INDB 397 kcal/100 g (+21%) - INDB lower: lighter/thinner recipe, or cooking water counted in weight</t>
  </si>
  <si>
    <t xml:space="preserve">D533</t>
  </si>
  <si>
    <t xml:space="preserve">Dry fruit / dates ladoo (no sugar)</t>
  </si>
  <si>
    <t xml:space="preserve">Khajur ladoo</t>
  </si>
  <si>
    <t xml:space="preserve">D534</t>
  </si>
  <si>
    <t xml:space="preserve">Peda (milk)</t>
  </si>
  <si>
    <t xml:space="preserve">Doodh peda, Mathura peda</t>
  </si>
  <si>
    <t xml:space="preserve">D535</t>
  </si>
  <si>
    <t xml:space="preserve">Milk barfi (plain)</t>
  </si>
  <si>
    <t xml:space="preserve">Burfi</t>
  </si>
  <si>
    <t xml:space="preserve">ASC335</t>
  </si>
  <si>
    <t xml:space="preserve">INDB 408 kcal/100 g (-2%)</t>
  </si>
  <si>
    <t xml:space="preserve">D536</t>
  </si>
  <si>
    <t xml:space="preserve">Kalakand</t>
  </si>
  <si>
    <t xml:space="preserve">D537</t>
  </si>
  <si>
    <t xml:space="preserve">Besan barfi</t>
  </si>
  <si>
    <t xml:space="preserve">Besan chakki</t>
  </si>
  <si>
    <t xml:space="preserve">ASC340</t>
  </si>
  <si>
    <t xml:space="preserve">INDB 422 kcal/100 g (+11%)</t>
  </si>
  <si>
    <t xml:space="preserve">D538</t>
  </si>
  <si>
    <t xml:space="preserve">Soan papdi</t>
  </si>
  <si>
    <t xml:space="preserve">Son papdi</t>
  </si>
  <si>
    <t xml:space="preserve">D539</t>
  </si>
  <si>
    <t xml:space="preserve">Mysore pak</t>
  </si>
  <si>
    <t xml:space="preserve">Ghee version</t>
  </si>
  <si>
    <t xml:space="preserve">D540</t>
  </si>
  <si>
    <t xml:space="preserve">Malpua</t>
  </si>
  <si>
    <t xml:space="preserve">ASC349</t>
  </si>
  <si>
    <t xml:space="preserve">INDB 567 kcal/100 g (-36%) - INDB higher: cooking water likely not counted in weight, or more oil</t>
  </si>
  <si>
    <t xml:space="preserve">D541</t>
  </si>
  <si>
    <t xml:space="preserve">Ghewar</t>
  </si>
  <si>
    <t xml:space="preserve">D542</t>
  </si>
  <si>
    <t xml:space="preserve">Churma</t>
  </si>
  <si>
    <t xml:space="preserve">Rajasthani churma</t>
  </si>
  <si>
    <t xml:space="preserve">Served with dal baati</t>
  </si>
  <si>
    <t xml:space="preserve">D543</t>
  </si>
  <si>
    <t xml:space="preserve">Balushahi</t>
  </si>
  <si>
    <t xml:space="preserve">Badusha</t>
  </si>
  <si>
    <t xml:space="preserve">D544</t>
  </si>
  <si>
    <t xml:space="preserve">Gujiya</t>
  </si>
  <si>
    <t xml:space="preserve">Karanji, ghughra</t>
  </si>
  <si>
    <t xml:space="preserve">ASC280</t>
  </si>
  <si>
    <t xml:space="preserve">D545</t>
  </si>
  <si>
    <t xml:space="preserve">Shahi tukda / double ka meetha</t>
  </si>
  <si>
    <t xml:space="preserve">ASC350</t>
  </si>
  <si>
    <t xml:space="preserve">INDB 190 kcal/100 g (+62%) - INDB lower: lighter/thinner recipe, or cooking water counted in weight</t>
  </si>
  <si>
    <t xml:space="preserve">D546</t>
  </si>
  <si>
    <t xml:space="preserve">Qubani ka meetha</t>
  </si>
  <si>
    <t xml:space="preserve">Apricot dessert</t>
  </si>
  <si>
    <t xml:space="preserve">D547</t>
  </si>
  <si>
    <t xml:space="preserve">Modak (steamed)</t>
  </si>
  <si>
    <t xml:space="preserve">Ukadiche modak</t>
  </si>
  <si>
    <t xml:space="preserve">D548</t>
  </si>
  <si>
    <t xml:space="preserve">Modak (fried)</t>
  </si>
  <si>
    <t xml:space="preserve">D549</t>
  </si>
  <si>
    <t xml:space="preserve">Chikki (peanut)</t>
  </si>
  <si>
    <t xml:space="preserve">Peanut brittle</t>
  </si>
  <si>
    <t xml:space="preserve">ASC382</t>
  </si>
  <si>
    <t xml:space="preserve">INDB 320 kcal/100 g (+53%) - INDB lower: lighter/thinner recipe, or cooking water counted in weight</t>
  </si>
  <si>
    <t xml:space="preserve">D550</t>
  </si>
  <si>
    <t xml:space="preserve">Petha (Agra)</t>
  </si>
  <si>
    <t xml:space="preserve">D551</t>
  </si>
  <si>
    <t xml:space="preserve">Karachi halwa (Bombay ice halwa)</t>
  </si>
  <si>
    <t xml:space="preserve">D552</t>
  </si>
  <si>
    <t xml:space="preserve">Bebinca</t>
  </si>
  <si>
    <t xml:space="preserve">Goan layered cake</t>
  </si>
  <si>
    <t xml:space="preserve">D553</t>
  </si>
  <si>
    <t xml:space="preserve">Patishapta / pitha</t>
  </si>
  <si>
    <t xml:space="preserve">Patishapta pitha</t>
  </si>
  <si>
    <t xml:space="preserve">D554</t>
  </si>
  <si>
    <t xml:space="preserve">Gajar halwa</t>
  </si>
  <si>
    <t xml:space="preserve">Carrot halwa</t>
  </si>
  <si>
    <t xml:space="preserve">ASC295</t>
  </si>
  <si>
    <t xml:space="preserve">INDB 173 kcal/100 g (+41%) - INDB lower: lighter/thinner recipe, or cooking water counted in weight</t>
  </si>
  <si>
    <t xml:space="preserve">With khoya/ghee</t>
  </si>
  <si>
    <t xml:space="preserve">D555</t>
  </si>
  <si>
    <t xml:space="preserve">Moong dal halwa</t>
  </si>
  <si>
    <t xml:space="preserve">ASC299</t>
  </si>
  <si>
    <t xml:space="preserve">INDB 350 kcal/100 g (+11%)</t>
  </si>
  <si>
    <t xml:space="preserve">D556</t>
  </si>
  <si>
    <t xml:space="preserve">Sooji halwa / sheera</t>
  </si>
  <si>
    <t xml:space="preserve">Rava sheera</t>
  </si>
  <si>
    <t xml:space="preserve">ASC293</t>
  </si>
  <si>
    <t xml:space="preserve">INDB 226 kcal/100 g (+28%) - INDB lower: lighter/thinner recipe, or cooking water counted in weight</t>
  </si>
  <si>
    <t xml:space="preserve">D557</t>
  </si>
  <si>
    <t xml:space="preserve">Atta halwa / kada prasad</t>
  </si>
  <si>
    <t xml:space="preserve">D558</t>
  </si>
  <si>
    <t xml:space="preserve">Lauki halwa</t>
  </si>
  <si>
    <t xml:space="preserve">Doodhi halwa</t>
  </si>
  <si>
    <t xml:space="preserve">D559</t>
  </si>
  <si>
    <t xml:space="preserve">Badam halwa</t>
  </si>
  <si>
    <t xml:space="preserve">Almond halwa</t>
  </si>
  <si>
    <t xml:space="preserve">D560</t>
  </si>
  <si>
    <t xml:space="preserve">Besan halwa</t>
  </si>
  <si>
    <t xml:space="preserve">OSR026</t>
  </si>
  <si>
    <t xml:space="preserve">INDB 277 kcal/100 g (+31%) - INDB lower: lighter/thinner recipe, or cooking water counted in weight</t>
  </si>
  <si>
    <t xml:space="preserve">D561</t>
  </si>
  <si>
    <t xml:space="preserve">Rice kheer</t>
  </si>
  <si>
    <t xml:space="preserve">Chawal ki kheer, payesh</t>
  </si>
  <si>
    <t xml:space="preserve">ASC282</t>
  </si>
  <si>
    <t xml:space="preserve">INDB 75 kcal/100 g (+73%) - INDB lower: lighter/thinner recipe, or cooking water counted in weight</t>
  </si>
  <si>
    <t xml:space="preserve">D562</t>
  </si>
  <si>
    <t xml:space="preserve">Seviyan kheer</t>
  </si>
  <si>
    <t xml:space="preserve">Vermicelli kheer, sheer khurma (lighter)</t>
  </si>
  <si>
    <t xml:space="preserve">ASC285</t>
  </si>
  <si>
    <t xml:space="preserve">INDB 120 kcal/100 g (+8%)</t>
  </si>
  <si>
    <t xml:space="preserve">D563</t>
  </si>
  <si>
    <t xml:space="preserve">Sheer khurma</t>
  </si>
  <si>
    <t xml:space="preserve">With dates &amp; nuts</t>
  </si>
  <si>
    <t xml:space="preserve">D564</t>
  </si>
  <si>
    <t xml:space="preserve">Phirni</t>
  </si>
  <si>
    <t xml:space="preserve">Firni</t>
  </si>
  <si>
    <t xml:space="preserve">ASC292</t>
  </si>
  <si>
    <t xml:space="preserve">INDB 116 kcal/100 g (+1%)</t>
  </si>
  <si>
    <t xml:space="preserve">D565</t>
  </si>
  <si>
    <t xml:space="preserve">Semiya payasam</t>
  </si>
  <si>
    <t xml:space="preserve">Vermicelli payasam</t>
  </si>
  <si>
    <t xml:space="preserve">D566</t>
  </si>
  <si>
    <t xml:space="preserve">Palada payasam</t>
  </si>
  <si>
    <t xml:space="preserve">Paal ada payasam</t>
  </si>
  <si>
    <t xml:space="preserve">D567</t>
  </si>
  <si>
    <t xml:space="preserve">Ada pradhaman</t>
  </si>
  <si>
    <t xml:space="preserve">Jaggery coconut-milk payasam</t>
  </si>
  <si>
    <t xml:space="preserve">D568</t>
  </si>
  <si>
    <t xml:space="preserve">Parippu payasam</t>
  </si>
  <si>
    <t xml:space="preserve">Moong dal payasam</t>
  </si>
  <si>
    <t xml:space="preserve">D569</t>
  </si>
  <si>
    <t xml:space="preserve">Sabudana kheer</t>
  </si>
  <si>
    <t xml:space="preserve">Sago kheer</t>
  </si>
  <si>
    <t xml:space="preserve">D570</t>
  </si>
  <si>
    <t xml:space="preserve">Rabri</t>
  </si>
  <si>
    <t xml:space="preserve">Rabdi</t>
  </si>
  <si>
    <t xml:space="preserve">OSR025</t>
  </si>
  <si>
    <t xml:space="preserve">INDB 103 kcal/100 g (+135%) - INDB lower: lighter/thinner recipe, or cooking water counted in weight</t>
  </si>
  <si>
    <t xml:space="preserve">D571</t>
  </si>
  <si>
    <t xml:space="preserve">Basundi</t>
  </si>
  <si>
    <t xml:space="preserve">D572</t>
  </si>
  <si>
    <t xml:space="preserve">Shrikhand</t>
  </si>
  <si>
    <t xml:space="preserve">OSR024</t>
  </si>
  <si>
    <t xml:space="preserve">INDB 107 kcal/100 g (+136%) - INDB lower: lighter/thinner recipe, or cooking water counted in weight</t>
  </si>
  <si>
    <t xml:space="preserve">D573</t>
  </si>
  <si>
    <t xml:space="preserve">Kulfi (malai)</t>
  </si>
  <si>
    <t xml:space="preserve">ASC321</t>
  </si>
  <si>
    <t xml:space="preserve">INDB 98 kcal/100 g (+118%) - INDB lower: lighter/thinner recipe, or cooking water counted in weight</t>
  </si>
  <si>
    <t xml:space="preserve">D574</t>
  </si>
  <si>
    <t xml:space="preserve">Ice cream (vanilla)</t>
  </si>
  <si>
    <t xml:space="preserve">BFP346</t>
  </si>
  <si>
    <t xml:space="preserve">INDB 229 kcal/100 g (-9%)</t>
  </si>
  <si>
    <t xml:space="preserve">D575</t>
  </si>
  <si>
    <t xml:space="preserve">Fruit custard</t>
  </si>
  <si>
    <t xml:space="preserve">D576</t>
  </si>
  <si>
    <t xml:space="preserve">Caramel custard</t>
  </si>
  <si>
    <t xml:space="preserve">ASC300</t>
  </si>
  <si>
    <t xml:space="preserve">INDB 122 kcal/100 g (+10%)</t>
  </si>
  <si>
    <t xml:space="preserve">D577</t>
  </si>
  <si>
    <t xml:space="preserve">Ghee</t>
  </si>
  <si>
    <t xml:space="preserve">Clarified butter</t>
  </si>
  <si>
    <t xml:space="preserve">Add-on</t>
  </si>
  <si>
    <t xml:space="preserve">D578</t>
  </si>
  <si>
    <t xml:space="preserve">Cooking oil (any)</t>
  </si>
  <si>
    <t xml:space="preserve">Mustard/groundnut/sunflower oil</t>
  </si>
  <si>
    <t xml:space="preserve">D579</t>
  </si>
  <si>
    <t xml:space="preserve">Butter (salted)</t>
  </si>
  <si>
    <t xml:space="preserve">Amul-type butter</t>
  </si>
  <si>
    <t xml:space="preserve">D580</t>
  </si>
  <si>
    <t xml:space="preserve">White sugar</t>
  </si>
  <si>
    <t xml:space="preserve">Cheeni</t>
  </si>
  <si>
    <t xml:space="preserve">1 level tsp ~5 g</t>
  </si>
  <si>
    <t xml:space="preserve">D581</t>
  </si>
  <si>
    <t xml:space="preserve">Jaggery</t>
  </si>
  <si>
    <t xml:space="preserve">Gur, bellam, vellam</t>
  </si>
  <si>
    <t xml:space="preserve">D582</t>
  </si>
  <si>
    <t xml:space="preserve">Honey</t>
  </si>
  <si>
    <t xml:space="preserve">Shahad</t>
  </si>
  <si>
    <t xml:space="preserve">D583</t>
  </si>
  <si>
    <t xml:space="preserve">Fresh cream / malai</t>
  </si>
  <si>
    <t xml:space="preserve">Malai</t>
  </si>
  <si>
    <t xml:space="preserve">D584</t>
  </si>
  <si>
    <t xml:space="preserve">Cheese slice (processed)</t>
  </si>
  <si>
    <t xml:space="preserve">D585</t>
  </si>
  <si>
    <t xml:space="preserve">Paneer (raw, full-fat)</t>
  </si>
  <si>
    <t xml:space="preserve">Cottage cheese</t>
  </si>
  <si>
    <t xml:space="preserve">Portion</t>
  </si>
  <si>
    <t xml:space="preserve">Portion description</t>
  </si>
  <si>
    <t xml:space="preserve">Quantity</t>
  </si>
  <si>
    <t xml:space="preserve">Energy (kcal)</t>
  </si>
  <si>
    <t xml:space="preserve">Protein (g)</t>
  </si>
  <si>
    <t xml:space="preserve">Carbs (g)</t>
  </si>
  <si>
    <t xml:space="preserve">Fat (g)</t>
  </si>
  <si>
    <t xml:space="preserve">Fibre (g)</t>
  </si>
  <si>
    <t xml:space="preserve">Sugar (g)</t>
  </si>
  <si>
    <t xml:space="preserve">Sodium (mg)</t>
  </si>
  <si>
    <t xml:space="preserve">Small</t>
  </si>
  <si>
    <t xml:space="preserve">Cutting / small cup (75 ml)</t>
  </si>
  <si>
    <t xml:space="preserve">1 cup (150 ml)</t>
  </si>
  <si>
    <t xml:space="preserve">Large</t>
  </si>
  <si>
    <t xml:space="preserve">Mug (250 ml)</t>
  </si>
  <si>
    <t xml:space="preserve">Small glass (150 ml)</t>
  </si>
  <si>
    <t xml:space="preserve">1 glass (200 ml)</t>
  </si>
  <si>
    <t xml:space="preserve">Large glass (300 ml)</t>
  </si>
  <si>
    <t xml:space="preserve">1 glass (250 ml)</t>
  </si>
  <si>
    <t xml:space="preserve">Large glass (350 ml)</t>
  </si>
  <si>
    <t xml:space="preserve">Small glass (200 ml)</t>
  </si>
  <si>
    <t xml:space="preserve">Regular glass (300 ml)</t>
  </si>
  <si>
    <t xml:space="preserve">Large / tall glass (400 ml)</t>
  </si>
  <si>
    <t xml:space="preserve">Small coconut (~200 ml)</t>
  </si>
  <si>
    <t xml:space="preserve">Medium coconut (~300 ml)</t>
  </si>
  <si>
    <t xml:space="preserve">Large coconut (~400 ml)</t>
  </si>
  <si>
    <t xml:space="preserve">Small katori</t>
  </si>
  <si>
    <t xml:space="preserve">1 katori</t>
  </si>
  <si>
    <t xml:space="preserve">Large bowl</t>
  </si>
  <si>
    <t xml:space="preserve">1 shot (30 ml)</t>
  </si>
  <si>
    <t xml:space="preserve">Double shot (60 ml)</t>
  </si>
  <si>
    <t xml:space="preserve">Small glass (100 ml)</t>
  </si>
  <si>
    <t xml:space="preserve">Small plate</t>
  </si>
  <si>
    <t xml:space="preserve">1 plate</t>
  </si>
  <si>
    <t xml:space="preserve">Large plate</t>
  </si>
  <si>
    <t xml:space="preserve">1 small chilla (~50 g)</t>
  </si>
  <si>
    <t xml:space="preserve">1 medium chilla (~75 g)</t>
  </si>
  <si>
    <t xml:space="preserve">1 large chilla (~100 g)</t>
  </si>
  <si>
    <t xml:space="preserve">1 small chilla (~70 g)</t>
  </si>
  <si>
    <t xml:space="preserve">1 medium chilla (~100 g)</t>
  </si>
  <si>
    <t xml:space="preserve">1 large chilla (~140 g)</t>
  </si>
  <si>
    <t xml:space="preserve">1 small paratha (~90 g)</t>
  </si>
  <si>
    <t xml:space="preserve">1 medium paratha (~120 g)</t>
  </si>
  <si>
    <t xml:space="preserve">1 large paratha (~160 g)</t>
  </si>
  <si>
    <t xml:space="preserve">1 small paratha (~50 g)</t>
  </si>
  <si>
    <t xml:space="preserve">1 medium paratha (~70 g)</t>
  </si>
  <si>
    <t xml:space="preserve">1 large paratha (~90 g)</t>
  </si>
  <si>
    <t xml:space="preserve">1 small paratha (~80 g)</t>
  </si>
  <si>
    <t xml:space="preserve">1 medium paratha (~110 g)</t>
  </si>
  <si>
    <t xml:space="preserve">1 large paratha (~140 g)</t>
  </si>
  <si>
    <t xml:space="preserve">1 small paratha (~45 g)</t>
  </si>
  <si>
    <t xml:space="preserve">1 medium paratha (~60 g)</t>
  </si>
  <si>
    <t xml:space="preserve">1 large paratha (~80 g)</t>
  </si>
  <si>
    <t xml:space="preserve">1 small thepla (~30 g)</t>
  </si>
  <si>
    <t xml:space="preserve">1 medium thepla (~40 g)</t>
  </si>
  <si>
    <t xml:space="preserve">1 large thepla (~55 g)</t>
  </si>
  <si>
    <t xml:space="preserve">1 small thalipeeth (~60 g)</t>
  </si>
  <si>
    <t xml:space="preserve">1 medium thalipeeth (~80 g)</t>
  </si>
  <si>
    <t xml:space="preserve">1 large thalipeeth (~100 g)</t>
  </si>
  <si>
    <t xml:space="preserve">1-egg omelette (~70 g)</t>
  </si>
  <si>
    <t xml:space="preserve">2-egg omelette (~125 g)</t>
  </si>
  <si>
    <t xml:space="preserve">3-egg omelette (~185 g)</t>
  </si>
  <si>
    <t xml:space="preserve">1 egg + 1 slice</t>
  </si>
  <si>
    <t xml:space="preserve">2 eggs + 2 slices</t>
  </si>
  <si>
    <t xml:space="preserve">3 eggs + 3 slices</t>
  </si>
  <si>
    <t xml:space="preserve">1 slice + 5 g butter</t>
  </si>
  <si>
    <t xml:space="preserve">2 slices + 10 g butter</t>
  </si>
  <si>
    <t xml:space="preserve">3 slices + 15 g butter</t>
  </si>
  <si>
    <t xml:space="preserve">1 small sandwich (~100 g)</t>
  </si>
  <si>
    <t xml:space="preserve">1 medium sandwich (~140 g)</t>
  </si>
  <si>
    <t xml:space="preserve">1 large sandwich (~200 g)</t>
  </si>
  <si>
    <t xml:space="preserve">1 small sandwich (~110 g)</t>
  </si>
  <si>
    <t xml:space="preserve">1 medium sandwich (~160 g)</t>
  </si>
  <si>
    <t xml:space="preserve">1 large sandwich (~220 g)</t>
  </si>
  <si>
    <t xml:space="preserve">1 small sandwich (~90 g)</t>
  </si>
  <si>
    <t xml:space="preserve">1 medium sandwich (~130 g)</t>
  </si>
  <si>
    <t xml:space="preserve">1 large sandwich (~180 g)</t>
  </si>
  <si>
    <t xml:space="preserve">1 medium sandwich (~150 g)</t>
  </si>
  <si>
    <t xml:space="preserve">1 small poori (~20 g)</t>
  </si>
  <si>
    <t xml:space="preserve">1 medium poori (~30 g)</t>
  </si>
  <si>
    <t xml:space="preserve">1 large poori (~40 g)</t>
  </si>
  <si>
    <t xml:space="preserve">1 small poori (~30 g)</t>
  </si>
  <si>
    <t xml:space="preserve">1 medium poori (~45 g)</t>
  </si>
  <si>
    <t xml:space="preserve">1 large poori (~60 g)</t>
  </si>
  <si>
    <t xml:space="preserve">1 small litti (~50 g)</t>
  </si>
  <si>
    <t xml:space="preserve">1 medium litti (~75 g)</t>
  </si>
  <si>
    <t xml:space="preserve">1 large litti (~100 g)</t>
  </si>
  <si>
    <t xml:space="preserve">½ katori</t>
  </si>
  <si>
    <t xml:space="preserve">¾ katori (1 serving)</t>
  </si>
  <si>
    <t xml:space="preserve">1 katori heaped</t>
  </si>
  <si>
    <t xml:space="preserve">Half plate</t>
  </si>
  <si>
    <t xml:space="preserve">Restaurant half</t>
  </si>
  <si>
    <t xml:space="preserve">Full plate</t>
  </si>
  <si>
    <t xml:space="preserve">Restaurant full</t>
  </si>
  <si>
    <t xml:space="preserve">1 small puran poli (~60 g)</t>
  </si>
  <si>
    <t xml:space="preserve">1 medium puran poli (~80 g)</t>
  </si>
  <si>
    <t xml:space="preserve">1 large puran poli (~100 g)</t>
  </si>
  <si>
    <t xml:space="preserve">Small bowl</t>
  </si>
  <si>
    <t xml:space="preserve">1 bowl</t>
  </si>
  <si>
    <t xml:space="preserve">1 small kachori (~40 g)</t>
  </si>
  <si>
    <t xml:space="preserve">1 medium kachori (~60 g)</t>
  </si>
  <si>
    <t xml:space="preserve">1 large kachori (~80 g)</t>
  </si>
  <si>
    <t xml:space="preserve">1 small kachori (~60 g)</t>
  </si>
  <si>
    <t xml:space="preserve">1 medium kachori (~80 g)</t>
  </si>
  <si>
    <t xml:space="preserve">1 large kachori (~100 g)</t>
  </si>
  <si>
    <t xml:space="preserve">1 small kachori (~30 g)</t>
  </si>
  <si>
    <t xml:space="preserve">1 medium kachori (~45 g)</t>
  </si>
  <si>
    <t xml:space="preserve">1 large kachori (~60 g)</t>
  </si>
  <si>
    <t xml:space="preserve">1 small piece (~25 g)</t>
  </si>
  <si>
    <t xml:space="preserve">1 medium piece (~40 g)</t>
  </si>
  <si>
    <t xml:space="preserve">1 large piece (~60 g)</t>
  </si>
  <si>
    <t xml:space="preserve">~3 rolls</t>
  </si>
  <si>
    <t xml:space="preserve">~6 rolls</t>
  </si>
  <si>
    <t xml:space="preserve">~9 rolls</t>
  </si>
  <si>
    <t xml:space="preserve">1 small slice (~60 g)</t>
  </si>
  <si>
    <t xml:space="preserve">1 medium slice (~100 g)</t>
  </si>
  <si>
    <t xml:space="preserve">1 large slice (~150 g)</t>
  </si>
  <si>
    <t xml:space="preserve">1 small khakhra (~15 g)</t>
  </si>
  <si>
    <t xml:space="preserve">1 medium khakhra (~20 g)</t>
  </si>
  <si>
    <t xml:space="preserve">1 large khakhra (~30 g)</t>
  </si>
  <si>
    <t xml:space="preserve">2-3 strips</t>
  </si>
  <si>
    <t xml:space="preserve">5 strips</t>
  </si>
  <si>
    <t xml:space="preserve">1 small bun (~60 g)</t>
  </si>
  <si>
    <t xml:space="preserve">1 medium bun (~80 g)</t>
  </si>
  <si>
    <t xml:space="preserve">1 large bun (~100 g)</t>
  </si>
  <si>
    <t xml:space="preserve">1 small idli (~30 g)</t>
  </si>
  <si>
    <t xml:space="preserve">1 medium idli (~40 g)</t>
  </si>
  <si>
    <t xml:space="preserve">1 large idli (~55 g)</t>
  </si>
  <si>
    <t xml:space="preserve">1 small idli (~40 g)</t>
  </si>
  <si>
    <t xml:space="preserve">1 medium idli (~55 g)</t>
  </si>
  <si>
    <t xml:space="preserve">1 large idli (~70 g)</t>
  </si>
  <si>
    <t xml:space="preserve">~5 mini idli</t>
  </si>
  <si>
    <t xml:space="preserve">~8 mini idli</t>
  </si>
  <si>
    <t xml:space="preserve">~12 mini idli</t>
  </si>
  <si>
    <t xml:space="preserve">1 small dosa (~60 g)</t>
  </si>
  <si>
    <t xml:space="preserve">1 medium dosa (~85 g)</t>
  </si>
  <si>
    <t xml:space="preserve">1 large dosa (~120 g)</t>
  </si>
  <si>
    <t xml:space="preserve">1 small dosa (~70 g)</t>
  </si>
  <si>
    <t xml:space="preserve">1 medium dosa (~100 g)</t>
  </si>
  <si>
    <t xml:space="preserve">1 large dosa (~140 g)</t>
  </si>
  <si>
    <t xml:space="preserve">1 small dosa (~120 g)</t>
  </si>
  <si>
    <t xml:space="preserve">1 medium dosa (~170 g)</t>
  </si>
  <si>
    <t xml:space="preserve">1 large dosa (~230 g)</t>
  </si>
  <si>
    <t xml:space="preserve">1 small dosa (~130 g)</t>
  </si>
  <si>
    <t xml:space="preserve">1 medium dosa (~180 g)</t>
  </si>
  <si>
    <t xml:space="preserve">1 large dosa (~240 g)</t>
  </si>
  <si>
    <t xml:space="preserve">1 large dosa (~130 g)</t>
  </si>
  <si>
    <t xml:space="preserve">1 small dosa (~80 g)</t>
  </si>
  <si>
    <t xml:space="preserve">1 medium dosa (~110 g)</t>
  </si>
  <si>
    <t xml:space="preserve">1 small dosa (~40 g)</t>
  </si>
  <si>
    <t xml:space="preserve">1 medium dosa (~55 g)</t>
  </si>
  <si>
    <t xml:space="preserve">1 large dosa (~70 g)</t>
  </si>
  <si>
    <t xml:space="preserve">1 medium dosa (~50 g)</t>
  </si>
  <si>
    <t xml:space="preserve">1 large dosa (~65 g)</t>
  </si>
  <si>
    <t xml:space="preserve">1 small dosa (~100 g)</t>
  </si>
  <si>
    <t xml:space="preserve">1 medium dosa (~140 g)</t>
  </si>
  <si>
    <t xml:space="preserve">1 large dosa (~180 g)</t>
  </si>
  <si>
    <t xml:space="preserve">1 large dosa (~220 g)</t>
  </si>
  <si>
    <t xml:space="preserve">1 small dosa (~90 g)</t>
  </si>
  <si>
    <t xml:space="preserve">1 medium dosa (~120 g)</t>
  </si>
  <si>
    <t xml:space="preserve">1 large dosa (~160 g)</t>
  </si>
  <si>
    <t xml:space="preserve">1 small adai (~70 g)</t>
  </si>
  <si>
    <t xml:space="preserve">1 medium adai (~100 g)</t>
  </si>
  <si>
    <t xml:space="preserve">1 large adai (~130 g)</t>
  </si>
  <si>
    <t xml:space="preserve">1 large dosa (~110 g)</t>
  </si>
  <si>
    <t xml:space="preserve">1 small uttapam (~100 g)</t>
  </si>
  <si>
    <t xml:space="preserve">1 medium uttapam (~140 g)</t>
  </si>
  <si>
    <t xml:space="preserve">1 large uttapam (~180 g)</t>
  </si>
  <si>
    <t xml:space="preserve">1 small appam (~50 g)</t>
  </si>
  <si>
    <t xml:space="preserve">1 medium appam (~70 g)</t>
  </si>
  <si>
    <t xml:space="preserve">1 large appam (~90 g)</t>
  </si>
  <si>
    <t xml:space="preserve">1 small idiyappam (~30 g)</t>
  </si>
  <si>
    <t xml:space="preserve">1 medium idiyappam (~40 g)</t>
  </si>
  <si>
    <t xml:space="preserve">1 large idiyappam (~55 g)</t>
  </si>
  <si>
    <t xml:space="preserve">1 small cylinder</t>
  </si>
  <si>
    <t xml:space="preserve">1 cylinder</t>
  </si>
  <si>
    <t xml:space="preserve">1 large cylinder</t>
  </si>
  <si>
    <t xml:space="preserve">1 small parotta (~70 g)</t>
  </si>
  <si>
    <t xml:space="preserve">1 medium parotta (~90 g)</t>
  </si>
  <si>
    <t xml:space="preserve">1 large parotta (~120 g)</t>
  </si>
  <si>
    <t xml:space="preserve">1 small vada (~35 g)</t>
  </si>
  <si>
    <t xml:space="preserve">1 medium vada (~50 g)</t>
  </si>
  <si>
    <t xml:space="preserve">1 large vada (~70 g)</t>
  </si>
  <si>
    <t xml:space="preserve">1 vada + sambar</t>
  </si>
  <si>
    <t xml:space="preserve">2 vada + sambar</t>
  </si>
  <si>
    <t xml:space="preserve">3 vada + sambar</t>
  </si>
  <si>
    <t xml:space="preserve">1 small vada (~25 g)</t>
  </si>
  <si>
    <t xml:space="preserve">1 medium vada (~40 g)</t>
  </si>
  <si>
    <t xml:space="preserve">1 large vada (~55 g)</t>
  </si>
  <si>
    <t xml:space="preserve">2-3 tbsp</t>
  </si>
  <si>
    <t xml:space="preserve">1 plate (home)</t>
  </si>
  <si>
    <t xml:space="preserve">Small ball</t>
  </si>
  <si>
    <t xml:space="preserve">1 ball</t>
  </si>
  <si>
    <t xml:space="preserve">Large ball</t>
  </si>
  <si>
    <t xml:space="preserve">1 small roti (~60 g)</t>
  </si>
  <si>
    <t xml:space="preserve">1 medium roti (~80 g)</t>
  </si>
  <si>
    <t xml:space="preserve">1 large roti (~100 g)</t>
  </si>
  <si>
    <t xml:space="preserve">~4 pieces</t>
  </si>
  <si>
    <t xml:space="preserve">~6 pieces</t>
  </si>
  <si>
    <t xml:space="preserve">~9 pieces</t>
  </si>
  <si>
    <t xml:space="preserve">1 small bonda (~25 g)</t>
  </si>
  <si>
    <t xml:space="preserve">1 medium bonda (~35 g)</t>
  </si>
  <si>
    <t xml:space="preserve">1 large bonda (~50 g)</t>
  </si>
  <si>
    <t xml:space="preserve">1 small piece (~50 g)</t>
  </si>
  <si>
    <t xml:space="preserve">1 medium piece (~70 g)</t>
  </si>
  <si>
    <t xml:space="preserve">1 large piece (~90 g)</t>
  </si>
  <si>
    <t xml:space="preserve">1 small piece (~20 g)</t>
  </si>
  <si>
    <t xml:space="preserve">1 medium piece (~30 g)</t>
  </si>
  <si>
    <t xml:space="preserve">1 large piece (~40 g)</t>
  </si>
  <si>
    <t xml:space="preserve">1 small roti (~25 g)</t>
  </si>
  <si>
    <t xml:space="preserve">1 medium roti (~35 g)</t>
  </si>
  <si>
    <t xml:space="preserve">1 large roti (~45 g)</t>
  </si>
  <si>
    <t xml:space="preserve">1 small roti (~30 g)</t>
  </si>
  <si>
    <t xml:space="preserve">1 medium roti (~40 g)</t>
  </si>
  <si>
    <t xml:space="preserve">1 large roti (~50 g)</t>
  </si>
  <si>
    <t xml:space="preserve">1 small roti (~40 g)</t>
  </si>
  <si>
    <t xml:space="preserve">1 medium roti (~55 g)</t>
  </si>
  <si>
    <t xml:space="preserve">1 large roti (~70 g)</t>
  </si>
  <si>
    <t xml:space="preserve">1 small roti (~45 g)</t>
  </si>
  <si>
    <t xml:space="preserve">1 medium roti (~60 g)</t>
  </si>
  <si>
    <t xml:space="preserve">1 large roti (~75 g)</t>
  </si>
  <si>
    <t xml:space="preserve">1 small naan (~60 g)</t>
  </si>
  <si>
    <t xml:space="preserve">1 medium naan (~90 g)</t>
  </si>
  <si>
    <t xml:space="preserve">1 large naan (~120 g)</t>
  </si>
  <si>
    <t xml:space="preserve">1 small naan (~65 g)</t>
  </si>
  <si>
    <t xml:space="preserve">1 medium naan (~95 g)</t>
  </si>
  <si>
    <t xml:space="preserve">1 large naan (~125 g)</t>
  </si>
  <si>
    <t xml:space="preserve">1 small naan (~90 g)</t>
  </si>
  <si>
    <t xml:space="preserve">1 medium naan (~120 g)</t>
  </si>
  <si>
    <t xml:space="preserve">1 large naan (~150 g)</t>
  </si>
  <si>
    <t xml:space="preserve">1 small naan (~100 g)</t>
  </si>
  <si>
    <t xml:space="preserve">1 medium naan (~140 g)</t>
  </si>
  <si>
    <t xml:space="preserve">1 large naan (~180 g)</t>
  </si>
  <si>
    <t xml:space="preserve">1 small kulcha (~60 g)</t>
  </si>
  <si>
    <t xml:space="preserve">1 medium kulcha (~80 g)</t>
  </si>
  <si>
    <t xml:space="preserve">1 large kulcha (~100 g)</t>
  </si>
  <si>
    <t xml:space="preserve">1 small kulcha (~100 g)</t>
  </si>
  <si>
    <t xml:space="preserve">1 medium kulcha (~140 g)</t>
  </si>
  <si>
    <t xml:space="preserve">1 large kulcha (~180 g)</t>
  </si>
  <si>
    <t xml:space="preserve">1 small paratha (~60 g)</t>
  </si>
  <si>
    <t xml:space="preserve">1 medium paratha (~80 g)</t>
  </si>
  <si>
    <t xml:space="preserve">1 large paratha (~100 g)</t>
  </si>
  <si>
    <t xml:space="preserve">1 large roti (~80 g)</t>
  </si>
  <si>
    <t xml:space="preserve">1 small roti (~50 g)</t>
  </si>
  <si>
    <t xml:space="preserve">1 medium roti (~70 g)</t>
  </si>
  <si>
    <t xml:space="preserve">1 large roti (~90 g)</t>
  </si>
  <si>
    <t xml:space="preserve">1 small luchi (~15 g)</t>
  </si>
  <si>
    <t xml:space="preserve">1 medium luchi (~25 g)</t>
  </si>
  <si>
    <t xml:space="preserve">1 large luchi (~35 g)</t>
  </si>
  <si>
    <t xml:space="preserve">1 small bhatura (~60 g)</t>
  </si>
  <si>
    <t xml:space="preserve">1 medium bhatura (~80 g)</t>
  </si>
  <si>
    <t xml:space="preserve">1 large bhatura (~110 g)</t>
  </si>
  <si>
    <t xml:space="preserve">1 small baati (~60 g)</t>
  </si>
  <si>
    <t xml:space="preserve">1 medium baati (~80 g)</t>
  </si>
  <si>
    <t xml:space="preserve">1 large baati (~100 g)</t>
  </si>
  <si>
    <t xml:space="preserve">1 small pav (~30 g)</t>
  </si>
  <si>
    <t xml:space="preserve">1 medium pav (~40 g)</t>
  </si>
  <si>
    <t xml:space="preserve">1 large pav (~50 g)</t>
  </si>
  <si>
    <t xml:space="preserve">1 small pav (~35 g)</t>
  </si>
  <si>
    <t xml:space="preserve">1 medium pav (~45 g)</t>
  </si>
  <si>
    <t xml:space="preserve">1 large pav (~55 g)</t>
  </si>
  <si>
    <t xml:space="preserve">1 small slice (~20 g)</t>
  </si>
  <si>
    <t xml:space="preserve">1 medium slice (~25 g)</t>
  </si>
  <si>
    <t xml:space="preserve">1 large slice (~30 g)</t>
  </si>
  <si>
    <t xml:space="preserve">½ cup cooked</t>
  </si>
  <si>
    <t xml:space="preserve">1 katori / 1 cup</t>
  </si>
  <si>
    <t xml:space="preserve">1½ cups</t>
  </si>
  <si>
    <t xml:space="preserve">Small katori (100 ml)</t>
  </si>
  <si>
    <t xml:space="preserve">1 standard katori (150 ml)</t>
  </si>
  <si>
    <t xml:space="preserve">Large bowl (200 ml)</t>
  </si>
  <si>
    <t xml:space="preserve">Restaurant half (~1 person)</t>
  </si>
  <si>
    <t xml:space="preserve">Restaurant full (~2 persons)</t>
  </si>
  <si>
    <t xml:space="preserve">Small cup (150 ml)</t>
  </si>
  <si>
    <t xml:space="preserve">1 soup bowl (250 ml)</t>
  </si>
  <si>
    <t xml:space="preserve">Large bowl (350 ml)</t>
  </si>
  <si>
    <t xml:space="preserve">1 small egg (edible ~40 g)</t>
  </si>
  <si>
    <t xml:space="preserve">1 medium egg (~50 g)</t>
  </si>
  <si>
    <t xml:space="preserve">1 large egg (~60 g)</t>
  </si>
  <si>
    <t xml:space="preserve">1 small egg white</t>
  </si>
  <si>
    <t xml:space="preserve">1 medium egg white</t>
  </si>
  <si>
    <t xml:space="preserve">1 large egg white</t>
  </si>
  <si>
    <t xml:space="preserve">1 small egg fried</t>
  </si>
  <si>
    <t xml:space="preserve">1 medium egg fried</t>
  </si>
  <si>
    <t xml:space="preserve">1 large egg fried</t>
  </si>
  <si>
    <t xml:space="preserve">1 egg bhurji</t>
  </si>
  <si>
    <t xml:space="preserve">2 egg bhurji</t>
  </si>
  <si>
    <t xml:space="preserve">3 egg bhurji</t>
  </si>
  <si>
    <t xml:space="preserve">~8 pieces</t>
  </si>
  <si>
    <t xml:space="preserve">1 small cutlet (~40 g)</t>
  </si>
  <si>
    <t xml:space="preserve">1 medium cutlet (~60 g)</t>
  </si>
  <si>
    <t xml:space="preserve">1 large cutlet (~80 g)</t>
  </si>
  <si>
    <t xml:space="preserve">1 small tikki (~40 g)</t>
  </si>
  <si>
    <t xml:space="preserve">1 medium tikki (~60 g)</t>
  </si>
  <si>
    <t xml:space="preserve">1 large tikki (~80 g)</t>
  </si>
  <si>
    <t xml:space="preserve">~3 balls</t>
  </si>
  <si>
    <t xml:space="preserve">~5 balls</t>
  </si>
  <si>
    <t xml:space="preserve">~8 balls</t>
  </si>
  <si>
    <t xml:space="preserve">1 small roll (~40 g)</t>
  </si>
  <si>
    <t xml:space="preserve">1 medium roll (~60 g)</t>
  </si>
  <si>
    <t xml:space="preserve">1 large roll (~90 g)</t>
  </si>
  <si>
    <t xml:space="preserve">~2 pieces</t>
  </si>
  <si>
    <t xml:space="preserve">1 drumstick (edible ~60 g)</t>
  </si>
  <si>
    <t xml:space="preserve">1 leg quarter (edible ~120 g)</t>
  </si>
  <si>
    <t xml:space="preserve">2 pieces (edible ~180 g)</t>
  </si>
  <si>
    <t xml:space="preserve">Half chicken (edible ~250 g)</t>
  </si>
  <si>
    <t xml:space="preserve">Full chicken (edible ~500 g)</t>
  </si>
  <si>
    <t xml:space="preserve">~1 seekh</t>
  </si>
  <si>
    <t xml:space="preserve">~2 seekh</t>
  </si>
  <si>
    <t xml:space="preserve">~3 seekh</t>
  </si>
  <si>
    <t xml:space="preserve">Restaurant half (~3 seekh)</t>
  </si>
  <si>
    <t xml:space="preserve">Restaurant full (~6 seekh)</t>
  </si>
  <si>
    <t xml:space="preserve">1 small kebab (~30 g)</t>
  </si>
  <si>
    <t xml:space="preserve">1 medium kebab (~40 g)</t>
  </si>
  <si>
    <t xml:space="preserve">1 large kebab (~55 g)</t>
  </si>
  <si>
    <t xml:space="preserve">1 small kebab (~35 g)</t>
  </si>
  <si>
    <t xml:space="preserve">1 medium kebab (~50 g)</t>
  </si>
  <si>
    <t xml:space="preserve">1 large kebab (~70 g)</t>
  </si>
  <si>
    <t xml:space="preserve">2 pieces (edible ~80 g)</t>
  </si>
  <si>
    <t xml:space="preserve">4 pieces (edible ~160 g)</t>
  </si>
  <si>
    <t xml:space="preserve">6 pieces (edible ~240 g)</t>
  </si>
  <si>
    <t xml:space="preserve">Restaurant half (4 pcs)</t>
  </si>
  <si>
    <t xml:space="preserve">Restaurant full (8 pcs)</t>
  </si>
  <si>
    <t xml:space="preserve">1 small piece (~60 g)</t>
  </si>
  <si>
    <t xml:space="preserve">1 medium piece (~90 g)</t>
  </si>
  <si>
    <t xml:space="preserve">1 large piece (~120 g)</t>
  </si>
  <si>
    <t xml:space="preserve">2 halves</t>
  </si>
  <si>
    <t xml:space="preserve">4 halves</t>
  </si>
  <si>
    <t xml:space="preserve">6 halves</t>
  </si>
  <si>
    <t xml:space="preserve">1 small samosa (~40 g)</t>
  </si>
  <si>
    <t xml:space="preserve">1 medium samosa (~70 g)</t>
  </si>
  <si>
    <t xml:space="preserve">1 large samosa (~100 g)</t>
  </si>
  <si>
    <t xml:space="preserve">1 small samosa (~30 g)</t>
  </si>
  <si>
    <t xml:space="preserve">1 medium samosa (~50 g)</t>
  </si>
  <si>
    <t xml:space="preserve">1 large samosa (~70 g)</t>
  </si>
  <si>
    <t xml:space="preserve">1 small samosa (~15 g)</t>
  </si>
  <si>
    <t xml:space="preserve">1 medium samosa (~25 g)</t>
  </si>
  <si>
    <t xml:space="preserve">1 large samosa (~35 g)</t>
  </si>
  <si>
    <t xml:space="preserve">1 small mirchi (~30 g)</t>
  </si>
  <si>
    <t xml:space="preserve">1 medium mirchi (~45 g)</t>
  </si>
  <si>
    <t xml:space="preserve">1 large mirchi (~70 g)</t>
  </si>
  <si>
    <t xml:space="preserve">1 small piece (~70 g)</t>
  </si>
  <si>
    <t xml:space="preserve">1 medium piece (~100 g)</t>
  </si>
  <si>
    <t xml:space="preserve">1 large piece (~130 g)</t>
  </si>
  <si>
    <t xml:space="preserve">1 small vada (~40 g)</t>
  </si>
  <si>
    <t xml:space="preserve">1 medium vada (~60 g)</t>
  </si>
  <si>
    <t xml:space="preserve">1 large vada (~80 g)</t>
  </si>
  <si>
    <t xml:space="preserve">1 small vada (~30 g)</t>
  </si>
  <si>
    <t xml:space="preserve">1 medium vada (~45 g)</t>
  </si>
  <si>
    <t xml:space="preserve">1 large vada (~60 g)</t>
  </si>
  <si>
    <t xml:space="preserve">1 vada with curd</t>
  </si>
  <si>
    <t xml:space="preserve">2 vada with curd</t>
  </si>
  <si>
    <t xml:space="preserve">3 vada with curd</t>
  </si>
  <si>
    <t xml:space="preserve">1 small puff (~60 g)</t>
  </si>
  <si>
    <t xml:space="preserve">1 medium puff (~80 g)</t>
  </si>
  <si>
    <t xml:space="preserve">1 large puff (~100 g)</t>
  </si>
  <si>
    <t xml:space="preserve">1 small puff (~70 g)</t>
  </si>
  <si>
    <t xml:space="preserve">1 medium puff (~90 g)</t>
  </si>
  <si>
    <t xml:space="preserve">1 large puff (~110 g)</t>
  </si>
  <si>
    <t xml:space="preserve">1 small burger (~120 g)</t>
  </si>
  <si>
    <t xml:space="preserve">1 medium burger (~150 g)</t>
  </si>
  <si>
    <t xml:space="preserve">1 large burger (~200 g)</t>
  </si>
  <si>
    <t xml:space="preserve">4 pieces</t>
  </si>
  <si>
    <t xml:space="preserve">6 pieces (1 plate)</t>
  </si>
  <si>
    <t xml:space="preserve">10 pieces</t>
  </si>
  <si>
    <t xml:space="preserve">Small paper cone</t>
  </si>
  <si>
    <t xml:space="preserve">1 cone / thonga</t>
  </si>
  <si>
    <t xml:space="preserve">Large bag</t>
  </si>
  <si>
    <t xml:space="preserve">9 pieces</t>
  </si>
  <si>
    <t xml:space="preserve">1 small vada pav (~110 g)</t>
  </si>
  <si>
    <t xml:space="preserve">1 medium vada pav (~140 g)</t>
  </si>
  <si>
    <t xml:space="preserve">1 large vada pav (~170 g)</t>
  </si>
  <si>
    <t xml:space="preserve">1 small dabeli (~100 g)</t>
  </si>
  <si>
    <t xml:space="preserve">1 medium dabeli (~130 g)</t>
  </si>
  <si>
    <t xml:space="preserve">1 large dabeli (~160 g)</t>
  </si>
  <si>
    <t xml:space="preserve">1 small roll (~150 g)</t>
  </si>
  <si>
    <t xml:space="preserve">1 medium roll (~200 g)</t>
  </si>
  <si>
    <t xml:space="preserve">1 large roll (~250 g)</t>
  </si>
  <si>
    <t xml:space="preserve">1 small roll (~120 g)</t>
  </si>
  <si>
    <t xml:space="preserve">1 medium roll (~160 g)</t>
  </si>
  <si>
    <t xml:space="preserve">1 large roll (~220 g)</t>
  </si>
  <si>
    <t xml:space="preserve">1 large roll (~280 g)</t>
  </si>
  <si>
    <t xml:space="preserve">6 pieces (half plate)</t>
  </si>
  <si>
    <t xml:space="preserve">10 pieces (full plate)</t>
  </si>
  <si>
    <t xml:space="preserve">½ pack (35 g dry)</t>
  </si>
  <si>
    <t xml:space="preserve">1 pack (70 g dry)</t>
  </si>
  <si>
    <t xml:space="preserve">2 packs (140 g dry)</t>
  </si>
  <si>
    <t xml:space="preserve">Side portion</t>
  </si>
  <si>
    <t xml:space="preserve">1 tbsp</t>
  </si>
  <si>
    <t xml:space="preserve">2 tbsp</t>
  </si>
  <si>
    <t xml:space="preserve">1 tsp</t>
  </si>
  <si>
    <t xml:space="preserve">2 tsp</t>
  </si>
  <si>
    <t xml:space="preserve">1 heaped tbsp</t>
  </si>
  <si>
    <t xml:space="preserve">1 small papad (~8 g)</t>
  </si>
  <si>
    <t xml:space="preserve">1 medium papad (~12 g)</t>
  </si>
  <si>
    <t xml:space="preserve">1 large papad (~16 g)</t>
  </si>
  <si>
    <t xml:space="preserve">1 small papad (~10 g)</t>
  </si>
  <si>
    <t xml:space="preserve">1 medium papad (~15 g)</t>
  </si>
  <si>
    <t xml:space="preserve">1 large papad (~20 g)</t>
  </si>
  <si>
    <t xml:space="preserve">1 small papad (~25 g)</t>
  </si>
  <si>
    <t xml:space="preserve">1 medium papad (~35 g)</t>
  </si>
  <si>
    <t xml:space="preserve">1 large papad (~50 g)</t>
  </si>
  <si>
    <t xml:space="preserve">Small handful</t>
  </si>
  <si>
    <t xml:space="preserve">1 handful / small bowl</t>
  </si>
  <si>
    <t xml:space="preserve">1 small mathri (~10 g)</t>
  </si>
  <si>
    <t xml:space="preserve">1 medium mathri (~15 g)</t>
  </si>
  <si>
    <t xml:space="preserve">1 large mathri (~25 g)</t>
  </si>
  <si>
    <t xml:space="preserve">1 small piece (~10 g)</t>
  </si>
  <si>
    <t xml:space="preserve">1 medium piece (~15 g)</t>
  </si>
  <si>
    <t xml:space="preserve">1 large piece (~25 g)</t>
  </si>
  <si>
    <t xml:space="preserve">1 handful</t>
  </si>
  <si>
    <t xml:space="preserve">1 small bowl</t>
  </si>
  <si>
    <t xml:space="preserve">1 cup</t>
  </si>
  <si>
    <t xml:space="preserve">2 cups</t>
  </si>
  <si>
    <t xml:space="preserve">3 cups</t>
  </si>
  <si>
    <t xml:space="preserve">1 small piece (~30 g)</t>
  </si>
  <si>
    <t xml:space="preserve">1 medium piece (~50 g)</t>
  </si>
  <si>
    <t xml:space="preserve">1 large piece (~70 g)</t>
  </si>
  <si>
    <t xml:space="preserve">1 small piece with rabri (~60 g)</t>
  </si>
  <si>
    <t xml:space="preserve">1 medium piece with rabri (~90 g)</t>
  </si>
  <si>
    <t xml:space="preserve">1 large piece with rabri (~120 g)</t>
  </si>
  <si>
    <t xml:space="preserve">1 small piece (~40 g)</t>
  </si>
  <si>
    <t xml:space="preserve">1 medium piece (~60 g)</t>
  </si>
  <si>
    <t xml:space="preserve">1 large piece (~80 g)</t>
  </si>
  <si>
    <t xml:space="preserve">1 large piece (~45 g)</t>
  </si>
  <si>
    <t xml:space="preserve">Small cup</t>
  </si>
  <si>
    <t xml:space="preserve">Large cup</t>
  </si>
  <si>
    <t xml:space="preserve">1 small slice (~40 g)</t>
  </si>
  <si>
    <t xml:space="preserve">1 medium slice (~60 g)</t>
  </si>
  <si>
    <t xml:space="preserve">1 large slice (~90 g)</t>
  </si>
  <si>
    <t xml:space="preserve">1 medium piece (~35 g)</t>
  </si>
  <si>
    <t xml:space="preserve">1 large piece (~50 g)</t>
  </si>
  <si>
    <t xml:space="preserve">1 medium piece (~45 g)</t>
  </si>
  <si>
    <t xml:space="preserve">1 large piece (~20 g)</t>
  </si>
  <si>
    <t xml:space="preserve">1 small ladoo (~25 g)</t>
  </si>
  <si>
    <t xml:space="preserve">1 medium ladoo (~35 g)</t>
  </si>
  <si>
    <t xml:space="preserve">1 large ladoo (~50 g)</t>
  </si>
  <si>
    <t xml:space="preserve">1 medium ladoo (~40 g)</t>
  </si>
  <si>
    <t xml:space="preserve">1 large ladoo (~55 g)</t>
  </si>
  <si>
    <t xml:space="preserve">1 small ladoo (~20 g)</t>
  </si>
  <si>
    <t xml:space="preserve">1 medium ladoo (~30 g)</t>
  </si>
  <si>
    <t xml:space="preserve">1 large ladoo (~40 g)</t>
  </si>
  <si>
    <t xml:space="preserve">1 large ladoo (~45 g)</t>
  </si>
  <si>
    <t xml:space="preserve">1 small ladoo (~15 g)</t>
  </si>
  <si>
    <t xml:space="preserve">1 medium ladoo (~25 g)</t>
  </si>
  <si>
    <t xml:space="preserve">1 large ladoo (~35 g)</t>
  </si>
  <si>
    <t xml:space="preserve">1 small peda (~15 g)</t>
  </si>
  <si>
    <t xml:space="preserve">1 medium peda (~25 g)</t>
  </si>
  <si>
    <t xml:space="preserve">1 large peda (~35 g)</t>
  </si>
  <si>
    <t xml:space="preserve">1 large piece (~55 g)</t>
  </si>
  <si>
    <t xml:space="preserve">1 small piece (~15 g)</t>
  </si>
  <si>
    <t xml:space="preserve">1 medium piece (~25 g)</t>
  </si>
  <si>
    <t xml:space="preserve">1 small malpua (~40 g)</t>
  </si>
  <si>
    <t xml:space="preserve">1 medium malpua (~60 g)</t>
  </si>
  <si>
    <t xml:space="preserve">1 large malpua (~90 g)</t>
  </si>
  <si>
    <t xml:space="preserve">¼ ghewar</t>
  </si>
  <si>
    <t xml:space="preserve">½ ghewar</t>
  </si>
  <si>
    <t xml:space="preserve">Large piece</t>
  </si>
  <si>
    <t xml:space="preserve">1 small gujiya (~30 g)</t>
  </si>
  <si>
    <t xml:space="preserve">1 medium gujiya (~45 g)</t>
  </si>
  <si>
    <t xml:space="preserve">1 large gujiya (~60 g)</t>
  </si>
  <si>
    <t xml:space="preserve">1 small modak (~25 g)</t>
  </si>
  <si>
    <t xml:space="preserve">1 medium modak (~40 g)</t>
  </si>
  <si>
    <t xml:space="preserve">1 large modak (~50 g)</t>
  </si>
  <si>
    <t xml:space="preserve">1 large slice (~80 g)</t>
  </si>
  <si>
    <t xml:space="preserve">1 small kulfi (~50 g)</t>
  </si>
  <si>
    <t xml:space="preserve">1 medium kulfi (~70 g)</t>
  </si>
  <si>
    <t xml:space="preserve">1 large kulfi (~100 g)</t>
  </si>
  <si>
    <t xml:space="preserve">1 small scoop</t>
  </si>
  <si>
    <t xml:space="preserve">1 regular scoop</t>
  </si>
  <si>
    <t xml:space="preserve">1 large scoop / cup</t>
  </si>
  <si>
    <t xml:space="preserve">1 small slice (~15 g)</t>
  </si>
  <si>
    <t xml:space="preserve">1 medium slice (~20 g)</t>
  </si>
  <si>
    <t xml:space="preserve">1 large slice (~25 g)</t>
  </si>
  <si>
    <t xml:space="preserve">50 g (~2 cubes)</t>
  </si>
  <si>
    <t xml:space="preserve">100 g</t>
  </si>
  <si>
    <t xml:space="preserve">150 g</t>
  </si>
  <si>
    <t xml:space="preserve">Meal / combo</t>
  </si>
  <si>
    <t xml:space="preserve">Item</t>
  </si>
  <si>
    <t xml:space="preserve">Dish ID</t>
  </si>
  <si>
    <t xml:space="preserve">Quantity (g/ml)</t>
  </si>
  <si>
    <t xml:space="preserve">Idli sambar (2 idli)</t>
  </si>
  <si>
    <t xml:space="preserve">TOTAL</t>
  </si>
  <si>
    <t xml:space="preserve">Masala dosa with sambar &amp; chutney</t>
  </si>
  <si>
    <t xml:space="preserve">Medu vada sambar (2 vada)</t>
  </si>
  <si>
    <t xml:space="preserve">Pongal vada</t>
  </si>
  <si>
    <t xml:space="preserve">Upma with filter coffee</t>
  </si>
  <si>
    <t xml:space="preserve">Poha with masala chai</t>
  </si>
  <si>
    <t xml:space="preserve">Aloo paratha breakfast (2 parathas, curd, butter, pickle)</t>
  </si>
  <si>
    <t xml:space="preserve">Chole bhature (2 bhature)</t>
  </si>
  <si>
    <t xml:space="preserve">Poori bhaji (4 poori)</t>
  </si>
  <si>
    <t xml:space="preserve">Pav bhaji (2 butter pav)</t>
  </si>
  <si>
    <t xml:space="preserve">Misal pav (2 pav)</t>
  </si>
  <si>
    <t xml:space="preserve">Vada pav with cutting chai</t>
  </si>
  <si>
    <t xml:space="preserve">Samosa with masala chai</t>
  </si>
  <si>
    <t xml:space="preserve">Bread omelette with chai</t>
  </si>
  <si>
    <t xml:space="preserve">Rajma chawal</t>
  </si>
  <si>
    <t xml:space="preserve">Dal chawal with ghee</t>
  </si>
  <si>
    <t xml:space="preserve">Kadhi chawal</t>
  </si>
  <si>
    <t xml:space="preserve">Curd rice with pickle</t>
  </si>
  <si>
    <t xml:space="preserve">Sarson da saag &amp; makki di roti (2)</t>
  </si>
  <si>
    <t xml:space="preserve">Dal baati churma (2 baati)</t>
  </si>
  <si>
    <t xml:space="preserve">Litti chokha (2 litti)</t>
  </si>
  <si>
    <t xml:space="preserve">Paneer butter masala with 2 roti</t>
  </si>
  <si>
    <t xml:space="preserve">Butter chicken with 2 butter naan</t>
  </si>
  <si>
    <t xml:space="preserve">Chicken biryani meal (half plate + salan + raita)</t>
  </si>
  <si>
    <t xml:space="preserve">Egg curry rice</t>
  </si>
  <si>
    <t xml:space="preserve">Kerala fish curry meal</t>
  </si>
  <si>
    <t xml:space="preserve">Bengali fish meal</t>
  </si>
  <si>
    <t xml:space="preserve">North Indian veg thali</t>
  </si>
  <si>
    <t xml:space="preserve">North Indian non-veg thali</t>
  </si>
  <si>
    <t xml:space="preserve">South Indian veg meals</t>
  </si>
  <si>
    <t xml:space="preserve">Kerala sadya (simplified)</t>
  </si>
  <si>
    <t xml:space="preserve">Gujarati thali</t>
  </si>
  <si>
    <t xml:space="preserve">Change any blue Dish ID or quantity to build your own meal; totals recalculate automatically.</t>
  </si>
  <si>
    <t xml:space="preserve">Portion scheme</t>
  </si>
  <si>
    <t xml:space="preserve">Used for</t>
  </si>
  <si>
    <t xml:space="preserve">Half plate (restaurant)</t>
  </si>
  <si>
    <t xml:space="preserve">Full plate (restaurant)</t>
  </si>
  <si>
    <t xml:space="preserve">curry</t>
  </si>
  <si>
    <t xml:space="preserve">Dal, gravies, curries</t>
  </si>
  <si>
    <t xml:space="preserve">100 - Small katori (100 ml)</t>
  </si>
  <si>
    <t xml:space="preserve">150 - 1 standard katori (150 ml)</t>
  </si>
  <si>
    <t xml:space="preserve">200 - Large bowl (200 ml)</t>
  </si>
  <si>
    <t xml:space="preserve">250 - Restaurant half (~1 person)</t>
  </si>
  <si>
    <t xml:space="preserve">500 - Restaurant full (~2 persons)</t>
  </si>
  <si>
    <t xml:space="preserve">dry</t>
  </si>
  <si>
    <t xml:space="preserve">Dry sabzi, sukka/fry</t>
  </si>
  <si>
    <t xml:space="preserve">75 - ½ katori</t>
  </si>
  <si>
    <t xml:space="preserve">100 - ¾ katori (1 serving)</t>
  </si>
  <si>
    <t xml:space="preserve">150 - 1 katori heaped</t>
  </si>
  <si>
    <t xml:space="preserve">200 - Restaurant half</t>
  </si>
  <si>
    <t xml:space="preserve">400 - Restaurant full</t>
  </si>
  <si>
    <t xml:space="preserve">rice</t>
  </si>
  <si>
    <t xml:space="preserve">Plain/brown rice</t>
  </si>
  <si>
    <t xml:space="preserve">100 - ½ cup cooked</t>
  </si>
  <si>
    <t xml:space="preserve">150 - 1 katori / 1 cup</t>
  </si>
  <si>
    <t xml:space="preserve">200 - 1½ cups</t>
  </si>
  <si>
    <t xml:space="preserve">250 - Restaurant half</t>
  </si>
  <si>
    <t xml:space="preserve">450 - Restaurant full</t>
  </si>
  <si>
    <t xml:space="preserve">mixed_rice</t>
  </si>
  <si>
    <t xml:space="preserve">Pulao, flavoured rice, khichdi, fried rice</t>
  </si>
  <si>
    <t xml:space="preserve">150 - Small plate</t>
  </si>
  <si>
    <t xml:space="preserve">250 - 1 plate (home)</t>
  </si>
  <si>
    <t xml:space="preserve">350 - Large plate</t>
  </si>
  <si>
    <t xml:space="preserve">300 - Restaurant half</t>
  </si>
  <si>
    <t xml:space="preserve">550 - Restaurant full</t>
  </si>
  <si>
    <t xml:space="preserve">biryani</t>
  </si>
  <si>
    <t xml:space="preserve">Biryani, meat pulao</t>
  </si>
  <si>
    <t xml:space="preserve">200 - Small plate</t>
  </si>
  <si>
    <t xml:space="preserve">300 - 1 plate</t>
  </si>
  <si>
    <t xml:space="preserve">400 - Large plate</t>
  </si>
  <si>
    <t xml:space="preserve">350 - Restaurant half</t>
  </si>
  <si>
    <t xml:space="preserve">650 - Restaurant full</t>
  </si>
  <si>
    <t xml:space="preserve">noodles</t>
  </si>
  <si>
    <t xml:space="preserve">Noodles, chopsuey</t>
  </si>
  <si>
    <t xml:space="preserve">250 - 1 plate</t>
  </si>
  <si>
    <t xml:space="preserve">bfast</t>
  </si>
  <si>
    <t xml:space="preserve">Poha, upma, pongal, daliya, sabudana khichdi</t>
  </si>
  <si>
    <t xml:space="preserve">100 - Small plate</t>
  </si>
  <si>
    <t xml:space="preserve">175 - 1 plate</t>
  </si>
  <si>
    <t xml:space="preserve">250 - Large plate</t>
  </si>
  <si>
    <t xml:space="preserve">starter</t>
  </si>
  <si>
    <t xml:space="preserve">Tikka, 65, manchurian, kebab plates</t>
  </si>
  <si>
    <t xml:space="preserve">100 - ~4 pieces</t>
  </si>
  <si>
    <t xml:space="preserve">150 - ~6 pieces</t>
  </si>
  <si>
    <t xml:space="preserve">200 - ~8 pieces</t>
  </si>
  <si>
    <t xml:space="preserve">180 - Restaurant half</t>
  </si>
  <si>
    <t xml:space="preserve">350 - Restaurant full</t>
  </si>
  <si>
    <t xml:space="preserve">chaat</t>
  </si>
  <si>
    <t xml:space="preserve">Chaat &amp; bhel plates</t>
  </si>
  <si>
    <t xml:space="preserve">150 - 1 plate</t>
  </si>
  <si>
    <t xml:space="preserve">200 - Large plate</t>
  </si>
  <si>
    <t xml:space="preserve">soup</t>
  </si>
  <si>
    <t xml:space="preserve">Soups, rasam, thukpa</t>
  </si>
  <si>
    <t xml:space="preserve">150 - Small cup (150 ml)</t>
  </si>
  <si>
    <t xml:space="preserve">250 - 1 soup bowl (250 ml)</t>
  </si>
  <si>
    <t xml:space="preserve">350 - Large bowl (350 ml)</t>
  </si>
  <si>
    <t xml:space="preserve">tea</t>
  </si>
  <si>
    <t xml:space="preserve">Tea &amp; coffee</t>
  </si>
  <si>
    <t xml:space="preserve">75 - Cutting / small cup (75 ml)</t>
  </si>
  <si>
    <t xml:space="preserve">150 - 1 cup (150 ml)</t>
  </si>
  <si>
    <t xml:space="preserve">250 - Mug (250 ml)</t>
  </si>
  <si>
    <t xml:space="preserve">glass</t>
  </si>
  <si>
    <t xml:space="preserve">Juices, shakes, lassi</t>
  </si>
  <si>
    <t xml:space="preserve">200 - Small glass (200 ml)</t>
  </si>
  <si>
    <t xml:space="preserve">300 - Regular glass (300 ml)</t>
  </si>
  <si>
    <t xml:space="preserve">400 - Large / tall glass (400 ml)</t>
  </si>
  <si>
    <t xml:space="preserve">glass_light</t>
  </si>
  <si>
    <t xml:space="preserve">Chaas, nimbu pani, sharbat</t>
  </si>
  <si>
    <t xml:space="preserve">150 - Small glass (150 ml)</t>
  </si>
  <si>
    <t xml:space="preserve">250 - 1 glass (250 ml)</t>
  </si>
  <si>
    <t xml:space="preserve">350 - Large glass (350 ml)</t>
  </si>
  <si>
    <t xml:space="preserve">milk</t>
  </si>
  <si>
    <t xml:space="preserve">Milk &amp; milk drinks</t>
  </si>
  <si>
    <t xml:space="preserve">200 - 1 glass (200 ml)</t>
  </si>
  <si>
    <t xml:space="preserve">300 - Large glass (300 ml)</t>
  </si>
  <si>
    <t xml:space="preserve">coconut</t>
  </si>
  <si>
    <t xml:space="preserve">Tender coconut water</t>
  </si>
  <si>
    <t xml:space="preserve">200 - Small coconut (~200 ml)</t>
  </si>
  <si>
    <t xml:space="preserve">300 - Medium coconut (~300 ml)</t>
  </si>
  <si>
    <t xml:space="preserve">400 - Large coconut (~400 ml)</t>
  </si>
  <si>
    <t xml:space="preserve">shot</t>
  </si>
  <si>
    <t xml:space="preserve">Wheatgrass/amla/karela shots</t>
  </si>
  <si>
    <t xml:space="preserve">30 - 1 shot (30 ml)</t>
  </si>
  <si>
    <t xml:space="preserve">60 - Double shot (60 ml)</t>
  </si>
  <si>
    <t xml:space="preserve">100 - Small glass (100 ml)</t>
  </si>
  <si>
    <t xml:space="preserve">raita</t>
  </si>
  <si>
    <t xml:space="preserve">Raita</t>
  </si>
  <si>
    <t xml:space="preserve">50 - 2-3 tbsp</t>
  </si>
  <si>
    <t xml:space="preserve">100 - Small katori</t>
  </si>
  <si>
    <t xml:space="preserve">150 - 1 katori</t>
  </si>
  <si>
    <t xml:space="preserve">salad</t>
  </si>
  <si>
    <t xml:space="preserve">Salads</t>
  </si>
  <si>
    <t xml:space="preserve">50 - Side portion</t>
  </si>
  <si>
    <t xml:space="preserve">100 - Small bowl</t>
  </si>
  <si>
    <t xml:space="preserve">150 - 1 bowl</t>
  </si>
  <si>
    <t xml:space="preserve">curd</t>
  </si>
  <si>
    <t xml:space="preserve">Curd / dahi</t>
  </si>
  <si>
    <t xml:space="preserve">200 - Large bowl</t>
  </si>
  <si>
    <t xml:space="preserve">chutney</t>
  </si>
  <si>
    <t xml:space="preserve">Wet chutneys</t>
  </si>
  <si>
    <t xml:space="preserve">15 - 1 tbsp</t>
  </si>
  <si>
    <t xml:space="preserve">30 - 2 tbsp</t>
  </si>
  <si>
    <t xml:space="preserve">50 - Small katori</t>
  </si>
  <si>
    <t xml:space="preserve">condiment</t>
  </si>
  <si>
    <t xml:space="preserve">Pickle, podi, dry chutney</t>
  </si>
  <si>
    <t xml:space="preserve">5 - 1 tsp</t>
  </si>
  <si>
    <t xml:space="preserve">10 - 2 tsp</t>
  </si>
  <si>
    <t xml:space="preserve">20 - 1 heaped tbsp</t>
  </si>
  <si>
    <t xml:space="preserve">dessert_bowl</t>
  </si>
  <si>
    <t xml:space="preserve">Kheer, payasam, custard</t>
  </si>
  <si>
    <t xml:space="preserve">dessert_rich</t>
  </si>
  <si>
    <t xml:space="preserve">Halwa, rabri, shrikhand</t>
  </si>
  <si>
    <t xml:space="preserve">namkeen</t>
  </si>
  <si>
    <t xml:space="preserve">Bhujia, mixture, chips</t>
  </si>
  <si>
    <t xml:space="preserve">15 - Small handful</t>
  </si>
  <si>
    <t xml:space="preserve">30 - 1 handful / small bowl</t>
  </si>
  <si>
    <t xml:space="preserve">50 - 1 bowl</t>
  </si>
  <si>
    <t xml:space="preserve">nuts</t>
  </si>
  <si>
    <t xml:space="preserve">Peanuts, chana, murmura</t>
  </si>
  <si>
    <t xml:space="preserve">30 - 1 handful</t>
  </si>
  <si>
    <t xml:space="preserve">50 - 1 small bowl</t>
  </si>
  <si>
    <t xml:space="preserve">momos</t>
  </si>
  <si>
    <t xml:space="preserve">Momos</t>
  </si>
  <si>
    <t xml:space="preserve">100 - 4 pieces</t>
  </si>
  <si>
    <t xml:space="preserve">150 - 6 pieces (half plate)</t>
  </si>
  <si>
    <t xml:space="preserve">250 - 10 pieces (full plate)</t>
  </si>
  <si>
    <t xml:space="preserve">panipuri</t>
  </si>
  <si>
    <t xml:space="preserve">Pani puri</t>
  </si>
  <si>
    <t xml:space="preserve">150 - 6 pieces (1 plate)</t>
  </si>
  <si>
    <t xml:space="preserve">250 - 10 pieces</t>
  </si>
  <si>
    <t xml:space="preserve">icecream</t>
  </si>
  <si>
    <t xml:space="preserve">Ice cream</t>
  </si>
  <si>
    <t xml:space="preserve">50 - 1 small scoop</t>
  </si>
  <si>
    <t xml:space="preserve">75 - 1 regular scoop</t>
  </si>
  <si>
    <t xml:space="preserve">100 - 1 large scoop / cup</t>
  </si>
  <si>
    <t xml:space="preserve">Piece-based items (roti, dosa, idli, samosa, sweets, etc.) use per-piece sizes: Small / Medium / Large = weight of ONE piece of that size. Multiply by the number of pieces eaten.</t>
  </si>
  <si>
    <t xml:space="preserve">1 standard katori = 150 ml (small 100 ml, large 200 ml). 1 tsp = 5 g, 1 tbsp = 15 g.</t>
  </si>
  <si>
    <t xml:space="preserve">Half / Full plate sizes are typical Indian restaurant / dhaba portions (half ~1 person, full ~2 persons). Actual restaurant portions vary a lot - weigh once if you can.</t>
  </si>
  <si>
    <t xml:space="preserve">Weights are as served. For bone-in meat, use the edible (boneless) weight.</t>
  </si>
  <si>
    <t xml:space="preserve">Recipe name</t>
  </si>
  <si>
    <t xml:space="preserve">INDB serving unit</t>
  </si>
  <si>
    <t xml:space="preserve">Available carbs (g)</t>
  </si>
  <si>
    <t xml:space="preserve">Free sugar (g)</t>
  </si>
  <si>
    <t xml:space="preserve">Saturated fat (g)</t>
  </si>
  <si>
    <t xml:space="preserve">MUFA (g)</t>
  </si>
  <si>
    <t xml:space="preserve">PUFA (g)</t>
  </si>
  <si>
    <t xml:space="preserve">Cholesterol (mg)</t>
  </si>
  <si>
    <t xml:space="preserve">Potassium (mg)</t>
  </si>
  <si>
    <t xml:space="preserve">Calcium (mg)</t>
  </si>
  <si>
    <t xml:space="preserve">Phosphorus (mg)</t>
  </si>
  <si>
    <t xml:space="preserve">Magnesium (mg)</t>
  </si>
  <si>
    <t xml:space="preserve">Iron (mg)</t>
  </si>
  <si>
    <t xml:space="preserve">Zinc (mg)</t>
  </si>
  <si>
    <t xml:space="preserve">Copper (mg)</t>
  </si>
  <si>
    <t xml:space="preserve">Selenium (µg)</t>
  </si>
  <si>
    <t xml:space="preserve">Manganese (mg)</t>
  </si>
  <si>
    <t xml:space="preserve">Vitamin A (µg)</t>
  </si>
  <si>
    <t xml:space="preserve">Carotenoids (µg)</t>
  </si>
  <si>
    <t xml:space="preserve">Vitamin E (mg)</t>
  </si>
  <si>
    <t xml:space="preserve">Vitamin K1 (µg)</t>
  </si>
  <si>
    <t xml:space="preserve">Vitamin C (mg)</t>
  </si>
  <si>
    <t xml:space="preserve">Thiamin B1 (mg)</t>
  </si>
  <si>
    <t xml:space="preserve">Riboflavin B2 (mg)</t>
  </si>
  <si>
    <t xml:space="preserve">Niacin B3 (mg)</t>
  </si>
  <si>
    <t xml:space="preserve">Pantothenic B5 (mg)</t>
  </si>
  <si>
    <t xml:space="preserve">Vitamin B6 (mg)</t>
  </si>
  <si>
    <t xml:space="preserve">Biotin B7 (µg)</t>
  </si>
  <si>
    <t xml:space="preserve">Folate (µg)</t>
  </si>
  <si>
    <t xml:space="preserve">Derived serving weight (g)</t>
  </si>
  <si>
    <t xml:space="preserve">kcal per INDB serving</t>
  </si>
  <si>
    <t xml:space="preserve">QC flag (added by this workbook)</t>
  </si>
  <si>
    <t xml:space="preserve">Hot tea (Garam Chai)</t>
  </si>
  <si>
    <t xml:space="preserve">tea cup</t>
  </si>
  <si>
    <t xml:space="preserve">Instant coffee</t>
  </si>
  <si>
    <t xml:space="preserve">ASC003</t>
  </si>
  <si>
    <t xml:space="preserve">Espreso coffee</t>
  </si>
  <si>
    <t xml:space="preserve">ASC004</t>
  </si>
  <si>
    <t xml:space="preserve">Iced tea</t>
  </si>
  <si>
    <t xml:space="preserve">tall glass</t>
  </si>
  <si>
    <t xml:space="preserve">Raw mango drink (Aam panna)</t>
  </si>
  <si>
    <t xml:space="preserve">ASC006</t>
  </si>
  <si>
    <t xml:space="preserve">Fruit Punch (with fresh juices)</t>
  </si>
  <si>
    <t xml:space="preserve">ASC007</t>
  </si>
  <si>
    <t xml:space="preserve">Fruit Punch (with squashes)</t>
  </si>
  <si>
    <t xml:space="preserve">Lemonade</t>
  </si>
  <si>
    <t xml:space="preserve">ASC009</t>
  </si>
  <si>
    <t xml:space="preserve">Lem-o-gin</t>
  </si>
  <si>
    <t xml:space="preserve">ASC010</t>
  </si>
  <si>
    <t xml:space="preserve">Cumin infused water (Jeere/Zeere ka pani)</t>
  </si>
  <si>
    <t xml:space="preserve">ASC011</t>
  </si>
  <si>
    <t xml:space="preserve">Coco pine cooler</t>
  </si>
  <si>
    <t xml:space="preserve">ASC012</t>
  </si>
  <si>
    <t xml:space="preserve">Summer cooler</t>
  </si>
  <si>
    <t xml:space="preserve">ASC014</t>
  </si>
  <si>
    <t xml:space="preserve">Hot cocoa</t>
  </si>
  <si>
    <t xml:space="preserve">cup</t>
  </si>
  <si>
    <t xml:space="preserve">Banana milkshake (Kele milkshake)</t>
  </si>
  <si>
    <t xml:space="preserve">Mango milkshake (Aam milkshake)</t>
  </si>
  <si>
    <t xml:space="preserve">ASC018</t>
  </si>
  <si>
    <t xml:space="preserve">Pineapple milkshake (Ananas milkshake)</t>
  </si>
  <si>
    <t xml:space="preserve">ASC019</t>
  </si>
  <si>
    <t xml:space="preserve">Orange milkshake (Narangi milkshake)</t>
  </si>
  <si>
    <t xml:space="preserve">ASC020</t>
  </si>
  <si>
    <t xml:space="preserve">Egg nog</t>
  </si>
  <si>
    <t xml:space="preserve">Sweet Lassi (Meethi lassi)</t>
  </si>
  <si>
    <t xml:space="preserve">Lassi (salted)</t>
  </si>
  <si>
    <t xml:space="preserve">Cheese and chilli sandwich </t>
  </si>
  <si>
    <t xml:space="preserve">triangle</t>
  </si>
  <si>
    <t xml:space="preserve">Egg sandwich (Ande ka sandwich)</t>
  </si>
  <si>
    <t xml:space="preserve">ASC025</t>
  </si>
  <si>
    <t xml:space="preserve">Cucumber sandwich (Kheere ka sandwich)</t>
  </si>
  <si>
    <t xml:space="preserve">ASC026</t>
  </si>
  <si>
    <t xml:space="preserve">Cheese and pineapple sandwich (Cheese aur ananas ka sandwich)</t>
  </si>
  <si>
    <t xml:space="preserve">ASC027</t>
  </si>
  <si>
    <t xml:space="preserve">Cheese and tomato sandwich (Cheese aur tamatar ke sandwich)</t>
  </si>
  <si>
    <t xml:space="preserve">ASC029</t>
  </si>
  <si>
    <t xml:space="preserve">Peanut and tomato sandwich (Moongfali aur tamatar ka sandwich)</t>
  </si>
  <si>
    <t xml:space="preserve">ASC030</t>
  </si>
  <si>
    <t xml:space="preserve">Rainbow sandwich</t>
  </si>
  <si>
    <t xml:space="preserve">ASC031</t>
  </si>
  <si>
    <t xml:space="preserve">Club sandwich </t>
  </si>
  <si>
    <t xml:space="preserve">ASC032</t>
  </si>
  <si>
    <t xml:space="preserve">Vegetarian club sandwich</t>
  </si>
  <si>
    <t xml:space="preserve">ASC033</t>
  </si>
  <si>
    <t xml:space="preserve">Pin wheel sandwich</t>
  </si>
  <si>
    <t xml:space="preserve">ASC034</t>
  </si>
  <si>
    <t xml:space="preserve">Carrot apple sandwich (Gajar aur seb ka sandwich)</t>
  </si>
  <si>
    <t xml:space="preserve">ASC035</t>
  </si>
  <si>
    <t xml:space="preserve">Salami sandwich</t>
  </si>
  <si>
    <t xml:space="preserve">ASC036</t>
  </si>
  <si>
    <t xml:space="preserve">Vegetable and mayonnaise sandwich</t>
  </si>
  <si>
    <t xml:space="preserve">ASC037</t>
  </si>
  <si>
    <t xml:space="preserve">Egg and tomato sandwich (Ande aur tamatar ka sandwich)</t>
  </si>
  <si>
    <t xml:space="preserve">ASC038</t>
  </si>
  <si>
    <t xml:space="preserve">Sweet open sandwich</t>
  </si>
  <si>
    <t xml:space="preserve">ASC039</t>
  </si>
  <si>
    <t xml:space="preserve">Mushroom and cheese sandwich (toasted)</t>
  </si>
  <si>
    <t xml:space="preserve">ASC040</t>
  </si>
  <si>
    <t xml:space="preserve">Cheese and tomato sandwich (toasted) (Cheese aur tamatar ke sandwich (toasted))</t>
  </si>
  <si>
    <t xml:space="preserve">ASC041</t>
  </si>
  <si>
    <t xml:space="preserve">Pea potato sandwich (toasted) (Matar aloo ka sandwich)</t>
  </si>
  <si>
    <t xml:space="preserve">toasted triangle</t>
  </si>
  <si>
    <t xml:space="preserve">ASC042</t>
  </si>
  <si>
    <t xml:space="preserve">Paneer pea sandwich (toasted) (Paneer matar ka sandwich)</t>
  </si>
  <si>
    <t xml:space="preserve">ASC043</t>
  </si>
  <si>
    <t xml:space="preserve">Chicken sandwich (toasted)</t>
  </si>
  <si>
    <t xml:space="preserve">ASC044</t>
  </si>
  <si>
    <t xml:space="preserve">Pea keema sandwich (toasted) (Matar aur keema ka sandwich)</t>
  </si>
  <si>
    <t xml:space="preserve">ASC045</t>
  </si>
  <si>
    <t xml:space="preserve">Classic club sandwich</t>
  </si>
  <si>
    <t xml:space="preserve">ASC046</t>
  </si>
  <si>
    <t xml:space="preserve">Sesame toast</t>
  </si>
  <si>
    <t xml:space="preserve">Cracked wheat porridge (Meetha daliya)</t>
  </si>
  <si>
    <t xml:space="preserve">bowl</t>
  </si>
  <si>
    <t xml:space="preserve">ASC048</t>
  </si>
  <si>
    <t xml:space="preserve">Semolina porridge (Suji/Rava daliya)</t>
  </si>
  <si>
    <t xml:space="preserve">Oatmeal Porridge</t>
  </si>
  <si>
    <t xml:space="preserve">ASC051</t>
  </si>
  <si>
    <t xml:space="preserve">Cornflakes with milk</t>
  </si>
  <si>
    <t xml:space="preserve">ASC052</t>
  </si>
  <si>
    <t xml:space="preserve">Rice flakes (Chiwda/Aval)</t>
  </si>
  <si>
    <t xml:space="preserve">ASC053</t>
  </si>
  <si>
    <t xml:space="preserve">Wheat flakes</t>
  </si>
  <si>
    <t xml:space="preserve">ASC054</t>
  </si>
  <si>
    <t xml:space="preserve">Murmura (Puffed rice)</t>
  </si>
  <si>
    <t xml:space="preserve">ASC055</t>
  </si>
  <si>
    <t xml:space="preserve">Puffed wheat (Murmure/Moori)</t>
  </si>
  <si>
    <t xml:space="preserve">Boiled egg (Ubla anda)</t>
  </si>
  <si>
    <t xml:space="preserve">egg</t>
  </si>
  <si>
    <t xml:space="preserve">Fried Egg </t>
  </si>
  <si>
    <t xml:space="preserve">ASC058</t>
  </si>
  <si>
    <t xml:space="preserve">Poached egg</t>
  </si>
  <si>
    <t xml:space="preserve">Scrambled egg (Ande ki bhurji)</t>
  </si>
  <si>
    <t xml:space="preserve">ASC060</t>
  </si>
  <si>
    <t xml:space="preserve">Baked egg </t>
  </si>
  <si>
    <t xml:space="preserve">Plain omelette/omlet</t>
  </si>
  <si>
    <t xml:space="preserve">omelette</t>
  </si>
  <si>
    <t xml:space="preserve">ASC062</t>
  </si>
  <si>
    <t xml:space="preserve">Stuffed egg omelette/omlet</t>
  </si>
  <si>
    <t xml:space="preserve">ASC063</t>
  </si>
  <si>
    <t xml:space="preserve">Pancake</t>
  </si>
  <si>
    <t xml:space="preserve">pancake</t>
  </si>
  <si>
    <t xml:space="preserve">ASC064</t>
  </si>
  <si>
    <t xml:space="preserve">Keema pancake</t>
  </si>
  <si>
    <t xml:space="preserve">ASC065</t>
  </si>
  <si>
    <t xml:space="preserve">Vegetable pancake</t>
  </si>
  <si>
    <t xml:space="preserve">ASC066</t>
  </si>
  <si>
    <t xml:space="preserve">Jam and fruit pancake</t>
  </si>
  <si>
    <t xml:space="preserve">ASC067</t>
  </si>
  <si>
    <t xml:space="preserve">Khoa and coconut pancake</t>
  </si>
  <si>
    <t xml:space="preserve">ASC068</t>
  </si>
  <si>
    <t xml:space="preserve">Brown stock</t>
  </si>
  <si>
    <t xml:space="preserve">ASC069</t>
  </si>
  <si>
    <t xml:space="preserve">Vegetable stock</t>
  </si>
  <si>
    <t xml:space="preserve">ASC070</t>
  </si>
  <si>
    <t xml:space="preserve">Chicken stock</t>
  </si>
  <si>
    <t xml:space="preserve">ASC079</t>
  </si>
  <si>
    <t xml:space="preserve">Clear tomato soup (Tamatar ka soup)</t>
  </si>
  <si>
    <t xml:space="preserve">soup bowl</t>
  </si>
  <si>
    <t xml:space="preserve">Energy inconsistent with macros</t>
  </si>
  <si>
    <t xml:space="preserve">Lentil soup</t>
  </si>
  <si>
    <t xml:space="preserve">Chicken consomme (Clear chicken soup)</t>
  </si>
  <si>
    <t xml:space="preserve">Cream of tomato soup</t>
  </si>
  <si>
    <t xml:space="preserve">ASC083</t>
  </si>
  <si>
    <t xml:space="preserve">Cream of green peas soup</t>
  </si>
  <si>
    <t xml:space="preserve">ASC084</t>
  </si>
  <si>
    <t xml:space="preserve">Cream of spinach soup</t>
  </si>
  <si>
    <t xml:space="preserve">ASC085</t>
  </si>
  <si>
    <t xml:space="preserve">Cream of mixed vegetable soup</t>
  </si>
  <si>
    <t xml:space="preserve">ASC086</t>
  </si>
  <si>
    <t xml:space="preserve">ASC088</t>
  </si>
  <si>
    <t xml:space="preserve">Minestrone soup</t>
  </si>
  <si>
    <t xml:space="preserve">ASC089</t>
  </si>
  <si>
    <t xml:space="preserve">Egg drop soup</t>
  </si>
  <si>
    <t xml:space="preserve">ASC090</t>
  </si>
  <si>
    <t xml:space="preserve">Chinese cabbage and meat ball soup</t>
  </si>
  <si>
    <t xml:space="preserve">Serving size looks like the whole recipe</t>
  </si>
  <si>
    <t xml:space="preserve">ASC091</t>
  </si>
  <si>
    <t xml:space="preserve">French onion soup</t>
  </si>
  <si>
    <t xml:space="preserve">Hot and sour soup</t>
  </si>
  <si>
    <t xml:space="preserve">ASC093</t>
  </si>
  <si>
    <t xml:space="preserve">Talaumein soup</t>
  </si>
  <si>
    <t xml:space="preserve">ASC094</t>
  </si>
  <si>
    <t xml:space="preserve">Cold cucumber soup (Thanda kheere ka soup)</t>
  </si>
  <si>
    <t xml:space="preserve">ASC095</t>
  </si>
  <si>
    <t xml:space="preserve">Cold summer garden soup</t>
  </si>
  <si>
    <t xml:space="preserve">Chapati/Roti</t>
  </si>
  <si>
    <t xml:space="preserve">chapati</t>
  </si>
  <si>
    <t xml:space="preserve">Plain parantha/paratha</t>
  </si>
  <si>
    <t xml:space="preserve">parantha</t>
  </si>
  <si>
    <t xml:space="preserve">Potato parantha/paratha (Aloo ka parantha/paratha)</t>
  </si>
  <si>
    <t xml:space="preserve">Radish parantha/paratha (Mooli ka parantha/paratha)</t>
  </si>
  <si>
    <t xml:space="preserve">Cauliflower parantha/paratha (Phoolgobhi ka parantha/paratha)</t>
  </si>
  <si>
    <t xml:space="preserve">ASC101</t>
  </si>
  <si>
    <t xml:space="preserve">Dal parantha/paratha</t>
  </si>
  <si>
    <t xml:space="preserve">ASC102</t>
  </si>
  <si>
    <t xml:space="preserve">Sprouted moong parantha/paratha</t>
  </si>
  <si>
    <t xml:space="preserve">ASC103</t>
  </si>
  <si>
    <t xml:space="preserve">Pea parantha/paratha (Matar ka parantha/paratha)</t>
  </si>
  <si>
    <t xml:space="preserve">ASC104</t>
  </si>
  <si>
    <t xml:space="preserve">Keema parantha/paratha</t>
  </si>
  <si>
    <t xml:space="preserve">Paneer parantha/paratha</t>
  </si>
  <si>
    <t xml:space="preserve">ASC106</t>
  </si>
  <si>
    <t xml:space="preserve">Besan and spinach parantha/paratha (Besan aur palak ka parantha/paratha)</t>
  </si>
  <si>
    <t xml:space="preserve">Poori</t>
  </si>
  <si>
    <t xml:space="preserve">poori</t>
  </si>
  <si>
    <t xml:space="preserve">Deep-frying oil appears fully counted - fat &amp; kcal overstated</t>
  </si>
  <si>
    <t xml:space="preserve">ASC108</t>
  </si>
  <si>
    <t xml:space="preserve">Spinach poori (Palak poori)</t>
  </si>
  <si>
    <t xml:space="preserve">ASC109</t>
  </si>
  <si>
    <t xml:space="preserve">Methi poori</t>
  </si>
  <si>
    <t xml:space="preserve">ASC110</t>
  </si>
  <si>
    <t xml:space="preserve">Dal stuffed poori</t>
  </si>
  <si>
    <t xml:space="preserve">ASC111</t>
  </si>
  <si>
    <t xml:space="preserve">Potato stuffed poori (Aloo ki poori)</t>
  </si>
  <si>
    <t xml:space="preserve">ASC112</t>
  </si>
  <si>
    <t xml:space="preserve">Tandoori parantha/paratha</t>
  </si>
  <si>
    <t xml:space="preserve">Boiled rice (Uble chawal)</t>
  </si>
  <si>
    <t xml:space="preserve">plate</t>
  </si>
  <si>
    <t xml:space="preserve">ASC114</t>
  </si>
  <si>
    <t xml:space="preserve">Plain pulao</t>
  </si>
  <si>
    <t xml:space="preserve">Mixed vegetable pulao</t>
  </si>
  <si>
    <t xml:space="preserve">ASC116</t>
  </si>
  <si>
    <t xml:space="preserve">Mushroom pulao</t>
  </si>
  <si>
    <t xml:space="preserve">ASC117</t>
  </si>
  <si>
    <t xml:space="preserve">Sprouted moong pulao</t>
  </si>
  <si>
    <t xml:space="preserve">ASC118</t>
  </si>
  <si>
    <t xml:space="preserve">Paneer pulao</t>
  </si>
  <si>
    <t xml:space="preserve">ASC119</t>
  </si>
  <si>
    <t xml:space="preserve">Peanut pulao </t>
  </si>
  <si>
    <t xml:space="preserve">ASC120</t>
  </si>
  <si>
    <t xml:space="preserve">Navratan pulao</t>
  </si>
  <si>
    <t xml:space="preserve">ASC121</t>
  </si>
  <si>
    <t xml:space="preserve">Green chickpeas pulao (Choliya pulao/Hare chane ka pulao)</t>
  </si>
  <si>
    <t xml:space="preserve">Mutton biryani/biriyani</t>
  </si>
  <si>
    <t xml:space="preserve">Vegetable biryani/biriyani</t>
  </si>
  <si>
    <t xml:space="preserve">Lemon rice (Pulihora, Elumichai sadam, Chitranna)</t>
  </si>
  <si>
    <t xml:space="preserve">ASC125</t>
  </si>
  <si>
    <t xml:space="preserve">Sweet rice (Meethe chawal)</t>
  </si>
  <si>
    <t xml:space="preserve">Curd rice (Dahi bhaat/Dahi chawal/ Perugu annam/Daddojanam/Thayir saadam)</t>
  </si>
  <si>
    <t xml:space="preserve">Tamarind rice (Chintapandu pulihora/Puliyodharai/Puli sadam/Huli anna)</t>
  </si>
  <si>
    <t xml:space="preserve">ASC128</t>
  </si>
  <si>
    <t xml:space="preserve">Spanish rice</t>
  </si>
  <si>
    <t xml:space="preserve">Chinese fried rice</t>
  </si>
  <si>
    <t xml:space="preserve">ASC133</t>
  </si>
  <si>
    <t xml:space="preserve">Macroni cheese pie</t>
  </si>
  <si>
    <t xml:space="preserve">casserole dish</t>
  </si>
  <si>
    <t xml:space="preserve">Vegetable chowmein</t>
  </si>
  <si>
    <t xml:space="preserve">ASC136</t>
  </si>
  <si>
    <t xml:space="preserve">Cheese noodle ring</t>
  </si>
  <si>
    <t xml:space="preserve">ASC137</t>
  </si>
  <si>
    <t xml:space="preserve">Spaghetti and cheese balls in tomato sauce</t>
  </si>
  <si>
    <t xml:space="preserve">Serving size looks like the whole recipe; Deep-frying oil appears fully counted - fat &amp; kcal overstated</t>
  </si>
  <si>
    <t xml:space="preserve">ASC138</t>
  </si>
  <si>
    <t xml:space="preserve">Penne platter</t>
  </si>
  <si>
    <t xml:space="preserve">ASC139</t>
  </si>
  <si>
    <t xml:space="preserve">Pasta hot pot</t>
  </si>
  <si>
    <t xml:space="preserve">ASC140</t>
  </si>
  <si>
    <t xml:space="preserve">Chicken lasagne</t>
  </si>
  <si>
    <t xml:space="preserve">ASC141</t>
  </si>
  <si>
    <t xml:space="preserve">Fettuccine with spinach sauce</t>
  </si>
  <si>
    <t xml:space="preserve">naan</t>
  </si>
  <si>
    <t xml:space="preserve">bhatura</t>
  </si>
  <si>
    <t xml:space="preserve">idli</t>
  </si>
  <si>
    <t xml:space="preserve">dosa</t>
  </si>
  <si>
    <t xml:space="preserve">Semolina dosa (Suji/Rava dosa)</t>
  </si>
  <si>
    <t xml:space="preserve">Onion tomato uttapam</t>
  </si>
  <si>
    <t xml:space="preserve">uttapam</t>
  </si>
  <si>
    <t xml:space="preserve">Paneer kaathi roll</t>
  </si>
  <si>
    <t xml:space="preserve">kaathi roll</t>
  </si>
  <si>
    <t xml:space="preserve">Makki ki roti</t>
  </si>
  <si>
    <t xml:space="preserve">roti</t>
  </si>
  <si>
    <t xml:space="preserve">Washed moong dal (Dhuli moong ki dal)</t>
  </si>
  <si>
    <t xml:space="preserve">Washed urad dal (Dhuli urad ki dal)</t>
  </si>
  <si>
    <t xml:space="preserve">ASC153</t>
  </si>
  <si>
    <t xml:space="preserve">Split bengal gram with bottle gourd (Channa dal with ghiya/lauki)</t>
  </si>
  <si>
    <t xml:space="preserve">ASC154</t>
  </si>
  <si>
    <t xml:space="preserve">Dry washed urad</t>
  </si>
  <si>
    <t xml:space="preserve">ASC155</t>
  </si>
  <si>
    <t xml:space="preserve">Mixed dal</t>
  </si>
  <si>
    <t xml:space="preserve">ASC156</t>
  </si>
  <si>
    <t xml:space="preserve">Whole moong (Moong ki dal)</t>
  </si>
  <si>
    <t xml:space="preserve">ASC157</t>
  </si>
  <si>
    <t xml:space="preserve">Whole masoor (Masoor ki dal)</t>
  </si>
  <si>
    <t xml:space="preserve">ASC158</t>
  </si>
  <si>
    <t xml:space="preserve">Whole moth (Moth ki dal)</t>
  </si>
  <si>
    <t xml:space="preserve">ASC159</t>
  </si>
  <si>
    <t xml:space="preserve">Whole urad (Urad ki dal)</t>
  </si>
  <si>
    <t xml:space="preserve">ASC160</t>
  </si>
  <si>
    <t xml:space="preserve">Moti mahal dal (Urad rajmah mix dal)</t>
  </si>
  <si>
    <t xml:space="preserve">Black channa curry/Bengal gram curry (Kale chane ki curry)</t>
  </si>
  <si>
    <t xml:space="preserve">Chickpeas curry (Safed channa curry)</t>
  </si>
  <si>
    <t xml:space="preserve">ASC164</t>
  </si>
  <si>
    <t xml:space="preserve">Soyabean curry</t>
  </si>
  <si>
    <t xml:space="preserve">Kidney bean curry (Rajmah curry)</t>
  </si>
  <si>
    <t xml:space="preserve">Besan kadhi with pakodies</t>
  </si>
  <si>
    <t xml:space="preserve">ASC169</t>
  </si>
  <si>
    <t xml:space="preserve">Khatta channa</t>
  </si>
  <si>
    <t xml:space="preserve">Sprouted moong dal chat</t>
  </si>
  <si>
    <t xml:space="preserve">Potato cauliflower (Aloo gobhi)</t>
  </si>
  <si>
    <t xml:space="preserve">ASC172</t>
  </si>
  <si>
    <t xml:space="preserve">Potato capsicum (Shimla mirch aloo)</t>
  </si>
  <si>
    <t xml:space="preserve">Cabbage and peas (Pattagobhi aur matar)</t>
  </si>
  <si>
    <t xml:space="preserve">ASC174</t>
  </si>
  <si>
    <t xml:space="preserve">Carrot and fenugreek leaves (Gajar methi)</t>
  </si>
  <si>
    <t xml:space="preserve">Potato fenugreek (Aloo methi)</t>
  </si>
  <si>
    <t xml:space="preserve">Brinjal bhartha (Baingan ka bhartha)</t>
  </si>
  <si>
    <t xml:space="preserve">Dry potato (Sookhe aloo)</t>
  </si>
  <si>
    <t xml:space="preserve">ASC179</t>
  </si>
  <si>
    <t xml:space="preserve">Beans with coconut (Nariyal aur sem/phali; Beans thoran)</t>
  </si>
  <si>
    <t xml:space="preserve">ASC180</t>
  </si>
  <si>
    <t xml:space="preserve">Cauliflower with coconut (Nariyal ke saath phoolgobhi)</t>
  </si>
  <si>
    <t xml:space="preserve">Carrot and cabbage with coconut (Nariyal ke saath pattagobhi aur gajar)</t>
  </si>
  <si>
    <t xml:space="preserve">ASC182</t>
  </si>
  <si>
    <t xml:space="preserve">Raw turnip with coconut </t>
  </si>
  <si>
    <t xml:space="preserve">ASC183</t>
  </si>
  <si>
    <t xml:space="preserve">Raw papaya with coconut (Papaya thoran)</t>
  </si>
  <si>
    <t xml:space="preserve">ASC184</t>
  </si>
  <si>
    <t xml:space="preserve">Stuffed okra (Bharwa bhindi)</t>
  </si>
  <si>
    <t xml:space="preserve">Stuffed round gourd (Bharwa tinde)</t>
  </si>
  <si>
    <t xml:space="preserve">ASC186</t>
  </si>
  <si>
    <t xml:space="preserve">Stuffed capsicum (Bharwa shimla mirch)</t>
  </si>
  <si>
    <t xml:space="preserve">capsicum</t>
  </si>
  <si>
    <t xml:space="preserve">ASC187</t>
  </si>
  <si>
    <t xml:space="preserve">Stuffed brinjal (Bharwa baingan)</t>
  </si>
  <si>
    <t xml:space="preserve">brinjal</t>
  </si>
  <si>
    <t xml:space="preserve">ASC189</t>
  </si>
  <si>
    <t xml:space="preserve">Stuffed tomatoes (Bharwa tamatar)</t>
  </si>
  <si>
    <t xml:space="preserve">tomato</t>
  </si>
  <si>
    <t xml:space="preserve">Pea potato curry (Aloo matar)</t>
  </si>
  <si>
    <t xml:space="preserve">Pea paneer curry (Matar paneer)</t>
  </si>
  <si>
    <t xml:space="preserve">Pea mushroom curry (Matar mushroom)</t>
  </si>
  <si>
    <t xml:space="preserve">ASC193</t>
  </si>
  <si>
    <t xml:space="preserve">Pea curry (Matar ki sabzi)</t>
  </si>
  <si>
    <t xml:space="preserve">ASC194</t>
  </si>
  <si>
    <t xml:space="preserve">Pea vadi curry</t>
  </si>
  <si>
    <t xml:space="preserve">ASC195</t>
  </si>
  <si>
    <t xml:space="preserve">Paneer curry</t>
  </si>
  <si>
    <t xml:space="preserve">ASC196</t>
  </si>
  <si>
    <t xml:space="preserve">Lotus stem curry (Kamal kakdi curry)</t>
  </si>
  <si>
    <t xml:space="preserve">ASC197</t>
  </si>
  <si>
    <t xml:space="preserve">Gravy for kofta</t>
  </si>
  <si>
    <t xml:space="preserve">ASC198</t>
  </si>
  <si>
    <t xml:space="preserve">Pea kofta curry (Matar kofta curry)</t>
  </si>
  <si>
    <t xml:space="preserve">ASC199</t>
  </si>
  <si>
    <t xml:space="preserve">Spinach kofta curry (Palak kofta curry)</t>
  </si>
  <si>
    <t xml:space="preserve">Paneer kofta curry</t>
  </si>
  <si>
    <t xml:space="preserve">ASC201</t>
  </si>
  <si>
    <t xml:space="preserve">Lotus stem kofta curry (Kamal kakdi kofta curry)</t>
  </si>
  <si>
    <t xml:space="preserve">ASC202</t>
  </si>
  <si>
    <t xml:space="preserve">Raw banana kofta curry (Kela kofta curry)</t>
  </si>
  <si>
    <t xml:space="preserve">ASC203</t>
  </si>
  <si>
    <t xml:space="preserve">Cauliflower kofta curry (Phoolgobhi kofta curry)</t>
  </si>
  <si>
    <t xml:space="preserve">ASC204</t>
  </si>
  <si>
    <t xml:space="preserve">Cabbage kofta curry (Pattagobhi kofta curry)</t>
  </si>
  <si>
    <t xml:space="preserve">Ghiya/Lauki Kofta Curry</t>
  </si>
  <si>
    <t xml:space="preserve">ASC206</t>
  </si>
  <si>
    <t xml:space="preserve">Spinach paneer kofta curry (Palak paneer kofta curry)</t>
  </si>
  <si>
    <t xml:space="preserve">ASC207</t>
  </si>
  <si>
    <t xml:space="preserve">Vegetarian egg kofta curry</t>
  </si>
  <si>
    <t xml:space="preserve">ASC208</t>
  </si>
  <si>
    <t xml:space="preserve">Baked vegetables</t>
  </si>
  <si>
    <t xml:space="preserve">ASC209</t>
  </si>
  <si>
    <t xml:space="preserve">Cauliflower musallam (Phoolgobhi musallam)</t>
  </si>
  <si>
    <t xml:space="preserve">ASC210</t>
  </si>
  <si>
    <t xml:space="preserve">Baked vegetables with spinach </t>
  </si>
  <si>
    <t xml:space="preserve">ASC211</t>
  </si>
  <si>
    <t xml:space="preserve">Baked potato with skin </t>
  </si>
  <si>
    <t xml:space="preserve">ASC212</t>
  </si>
  <si>
    <t xml:space="preserve">Shepherd's pie (vegetarian)</t>
  </si>
  <si>
    <t xml:space="preserve">ASC213</t>
  </si>
  <si>
    <t xml:space="preserve">Baked brinjal in tomato sauce</t>
  </si>
  <si>
    <t xml:space="preserve">Spinach paneer (Palak paneer)</t>
  </si>
  <si>
    <t xml:space="preserve">ASC216</t>
  </si>
  <si>
    <t xml:space="preserve">Methi chaman</t>
  </si>
  <si>
    <t xml:space="preserve">ASC218</t>
  </si>
  <si>
    <t xml:space="preserve">Jackfruit sabzi (Kathal ki sabzi)</t>
  </si>
  <si>
    <t xml:space="preserve">ASC220</t>
  </si>
  <si>
    <t xml:space="preserve">Al yakhani</t>
  </si>
  <si>
    <t xml:space="preserve">Paneer in butter sauce</t>
  </si>
  <si>
    <t xml:space="preserve">Chilli paneer</t>
  </si>
  <si>
    <t xml:space="preserve">ASC225</t>
  </si>
  <si>
    <t xml:space="preserve">Paneer makhana korma</t>
  </si>
  <si>
    <t xml:space="preserve">Kadhai Paneer</t>
  </si>
  <si>
    <t xml:space="preserve">Roghan josh</t>
  </si>
  <si>
    <t xml:space="preserve">ASC228</t>
  </si>
  <si>
    <t xml:space="preserve">Spinach mutton (Palak mutton)</t>
  </si>
  <si>
    <t xml:space="preserve">Pea keema curry (Matar keema ki sabzi)</t>
  </si>
  <si>
    <t xml:space="preserve">ASC230</t>
  </si>
  <si>
    <t xml:space="preserve">Keema kofta curry</t>
  </si>
  <si>
    <t xml:space="preserve">kofta</t>
  </si>
  <si>
    <t xml:space="preserve">ASC231</t>
  </si>
  <si>
    <t xml:space="preserve">Kashmiri mutton koftas (Gushtaba)</t>
  </si>
  <si>
    <t xml:space="preserve">gushtaba</t>
  </si>
  <si>
    <t xml:space="preserve">ASC233</t>
  </si>
  <si>
    <t xml:space="preserve">Chicken yakhni</t>
  </si>
  <si>
    <t xml:space="preserve">ASC234</t>
  </si>
  <si>
    <t xml:space="preserve">Mutton do piaza</t>
  </si>
  <si>
    <t xml:space="preserve">ASC236</t>
  </si>
  <si>
    <t xml:space="preserve">Mutton chops</t>
  </si>
  <si>
    <t xml:space="preserve">chop</t>
  </si>
  <si>
    <t xml:space="preserve">Shammi kebab</t>
  </si>
  <si>
    <t xml:space="preserve">kabab</t>
  </si>
  <si>
    <t xml:space="preserve">ASC238</t>
  </si>
  <si>
    <t xml:space="preserve">Scotch egg</t>
  </si>
  <si>
    <t xml:space="preserve">piece</t>
  </si>
  <si>
    <t xml:space="preserve">ASC239</t>
  </si>
  <si>
    <t xml:space="preserve">Shepherd's pie (with minced meat)</t>
  </si>
  <si>
    <t xml:space="preserve">dish</t>
  </si>
  <si>
    <t xml:space="preserve">Chicken curry</t>
  </si>
  <si>
    <t xml:space="preserve">chicken</t>
  </si>
  <si>
    <t xml:space="preserve">large piece</t>
  </si>
  <si>
    <t xml:space="preserve">Chicken kebab</t>
  </si>
  <si>
    <t xml:space="preserve">Chilli chicken</t>
  </si>
  <si>
    <t xml:space="preserve">ASC245</t>
  </si>
  <si>
    <t xml:space="preserve">Fried chicken with tomato sauce (Fried chicken tamatar ki chutney kay saath)</t>
  </si>
  <si>
    <t xml:space="preserve">Fish curry (Machli curry)</t>
  </si>
  <si>
    <t xml:space="preserve">Fried fish (Indian style) (Tali hui machli)</t>
  </si>
  <si>
    <t xml:space="preserve">ASC248</t>
  </si>
  <si>
    <t xml:space="preserve">Fried fish and Chips (English Style) (Tali hui machli aur chips)</t>
  </si>
  <si>
    <t xml:space="preserve">fillet</t>
  </si>
  <si>
    <t xml:space="preserve">ASC249</t>
  </si>
  <si>
    <t xml:space="preserve">Tomato fish</t>
  </si>
  <si>
    <t xml:space="preserve">ASC250</t>
  </si>
  <si>
    <t xml:space="preserve">Baked fish with cheese sauce</t>
  </si>
  <si>
    <t xml:space="preserve">ASC252</t>
  </si>
  <si>
    <t xml:space="preserve">Tandoori fish</t>
  </si>
  <si>
    <t xml:space="preserve">ASC253</t>
  </si>
  <si>
    <t xml:space="preserve">Paneer, apple and pineapple salad</t>
  </si>
  <si>
    <t xml:space="preserve">ASC254</t>
  </si>
  <si>
    <t xml:space="preserve">Russian salad</t>
  </si>
  <si>
    <t xml:space="preserve">ASC255</t>
  </si>
  <si>
    <t xml:space="preserve">Pasta salad</t>
  </si>
  <si>
    <t xml:space="preserve">ASC256</t>
  </si>
  <si>
    <t xml:space="preserve">Deviled egg</t>
  </si>
  <si>
    <t xml:space="preserve">ASC257</t>
  </si>
  <si>
    <t xml:space="preserve">Hawain salad</t>
  </si>
  <si>
    <t xml:space="preserve">ASC258</t>
  </si>
  <si>
    <t xml:space="preserve">Mixed pulse and vegetable salad</t>
  </si>
  <si>
    <t xml:space="preserve">Sprouted moong salad </t>
  </si>
  <si>
    <t xml:space="preserve">ASC260</t>
  </si>
  <si>
    <t xml:space="preserve">Tossed salad</t>
  </si>
  <si>
    <t xml:space="preserve">ASC261</t>
  </si>
  <si>
    <t xml:space="preserve">Mixed vegetable salad with curd sauce</t>
  </si>
  <si>
    <t xml:space="preserve">ASC262</t>
  </si>
  <si>
    <t xml:space="preserve">Potato salad (Aloo ka salaad)</t>
  </si>
  <si>
    <t xml:space="preserve">ASC263</t>
  </si>
  <si>
    <t xml:space="preserve">Waldroff salad</t>
  </si>
  <si>
    <t xml:space="preserve">ASC264</t>
  </si>
  <si>
    <t xml:space="preserve">Coleslaw</t>
  </si>
  <si>
    <t xml:space="preserve">Fruit salad (Phalon ka salaad)</t>
  </si>
  <si>
    <t xml:space="preserve">Tomato onion raita (Tamatar aur pyaaz ka raita)</t>
  </si>
  <si>
    <t xml:space="preserve">ASC270</t>
  </si>
  <si>
    <t xml:space="preserve">Peanut raita (Mungfali ka raita)</t>
  </si>
  <si>
    <t xml:space="preserve">ASC271</t>
  </si>
  <si>
    <t xml:space="preserve">Sprouted moong raita </t>
  </si>
  <si>
    <t xml:space="preserve">ASC272</t>
  </si>
  <si>
    <t xml:space="preserve">Bottle gourd raita (Ghiya/Lauki ka raita)</t>
  </si>
  <si>
    <t xml:space="preserve">Cucumber raita (Kheere ka raita)</t>
  </si>
  <si>
    <t xml:space="preserve">ASC274</t>
  </si>
  <si>
    <t xml:space="preserve">Carrot and spinach raita (Gajar aur palak ka raita)</t>
  </si>
  <si>
    <t xml:space="preserve">ASC275</t>
  </si>
  <si>
    <t xml:space="preserve">Mint raita (Pudinay ka raita)</t>
  </si>
  <si>
    <t xml:space="preserve">ASC276</t>
  </si>
  <si>
    <t xml:space="preserve">Potato raita (Aloo ka raita)</t>
  </si>
  <si>
    <t xml:space="preserve">ASC278</t>
  </si>
  <si>
    <t xml:space="preserve">Sweet raita (Meetha raita)</t>
  </si>
  <si>
    <t xml:space="preserve">Dahi vadas/Dahi bhalla</t>
  </si>
  <si>
    <t xml:space="preserve">vada</t>
  </si>
  <si>
    <t xml:space="preserve">Gunjia</t>
  </si>
  <si>
    <t xml:space="preserve">gunjia</t>
  </si>
  <si>
    <t xml:space="preserve">Saunth/Sonth chutney with tamarind/imli</t>
  </si>
  <si>
    <t xml:space="preserve">teaspoon</t>
  </si>
  <si>
    <t xml:space="preserve">Rice kheer (Chawal ki kheer)</t>
  </si>
  <si>
    <t xml:space="preserve">ASC283</t>
  </si>
  <si>
    <t xml:space="preserve">Makhana kheer</t>
  </si>
  <si>
    <t xml:space="preserve">Vermicelli kheer (Semiya/Seviyan ki kheer)</t>
  </si>
  <si>
    <t xml:space="preserve">ASC286</t>
  </si>
  <si>
    <t xml:space="preserve">Semolina kheer (Suji/Rava kheer)</t>
  </si>
  <si>
    <t xml:space="preserve">ASC287</t>
  </si>
  <si>
    <t xml:space="preserve">Paneer kheer</t>
  </si>
  <si>
    <t xml:space="preserve">ASC288</t>
  </si>
  <si>
    <t xml:space="preserve">Cabbage kheer (Pattagobhi ki kheer)</t>
  </si>
  <si>
    <t xml:space="preserve">ASC289</t>
  </si>
  <si>
    <t xml:space="preserve">Carrot kheer (Gajar ki kheer)</t>
  </si>
  <si>
    <t xml:space="preserve">ASC290</t>
  </si>
  <si>
    <t xml:space="preserve">Cauliflower kheer (Phoolgobhi ki kheer)</t>
  </si>
  <si>
    <t xml:space="preserve">ASC291</t>
  </si>
  <si>
    <t xml:space="preserve">Moong dal kheer</t>
  </si>
  <si>
    <t xml:space="preserve">Semolina halwa (Suji ka halwa)</t>
  </si>
  <si>
    <t xml:space="preserve">ASC294</t>
  </si>
  <si>
    <t xml:space="preserve">Shahi suji halwa</t>
  </si>
  <si>
    <t xml:space="preserve">Carrot halwa (Gajar ka halwa)</t>
  </si>
  <si>
    <t xml:space="preserve">ASC296</t>
  </si>
  <si>
    <t xml:space="preserve">Egg halwa (Ande ka halwa)</t>
  </si>
  <si>
    <t xml:space="preserve">ASC297</t>
  </si>
  <si>
    <t xml:space="preserve">Potato halwa (Aloo ka halwa)</t>
  </si>
  <si>
    <t xml:space="preserve">ASC298</t>
  </si>
  <si>
    <t xml:space="preserve">Pumpkin halwa (Kaddu ka halwa)</t>
  </si>
  <si>
    <t xml:space="preserve">Caramel custard (steamed)</t>
  </si>
  <si>
    <t xml:space="preserve">ASC301</t>
  </si>
  <si>
    <t xml:space="preserve">Baked custard</t>
  </si>
  <si>
    <t xml:space="preserve">ASC302</t>
  </si>
  <si>
    <t xml:space="preserve">Soft Custard (stirred)</t>
  </si>
  <si>
    <t xml:space="preserve">ASC304</t>
  </si>
  <si>
    <t xml:space="preserve">Chocolate ice cream</t>
  </si>
  <si>
    <t xml:space="preserve">ice-cream cup</t>
  </si>
  <si>
    <t xml:space="preserve">ASC305</t>
  </si>
  <si>
    <t xml:space="preserve">Mango ice cream</t>
  </si>
  <si>
    <t xml:space="preserve">ASC307</t>
  </si>
  <si>
    <t xml:space="preserve">Fruit Ice cream (Phalon ka Ice cream)</t>
  </si>
  <si>
    <t xml:space="preserve">ASC308</t>
  </si>
  <si>
    <t xml:space="preserve">Caramel ice cream</t>
  </si>
  <si>
    <t xml:space="preserve">ASC309</t>
  </si>
  <si>
    <t xml:space="preserve">Lemon souffle</t>
  </si>
  <si>
    <t xml:space="preserve">souffle cup</t>
  </si>
  <si>
    <t xml:space="preserve">ASC310</t>
  </si>
  <si>
    <t xml:space="preserve">Orange souffle</t>
  </si>
  <si>
    <t xml:space="preserve">ASC311</t>
  </si>
  <si>
    <t xml:space="preserve">Vanilla souffle</t>
  </si>
  <si>
    <t xml:space="preserve">ASC312</t>
  </si>
  <si>
    <t xml:space="preserve">Chocolate souffle</t>
  </si>
  <si>
    <t xml:space="preserve">ASC313</t>
  </si>
  <si>
    <t xml:space="preserve">Pineapple souffle </t>
  </si>
  <si>
    <t xml:space="preserve">ASC314</t>
  </si>
  <si>
    <t xml:space="preserve">Apple mousse</t>
  </si>
  <si>
    <t xml:space="preserve">ASC315</t>
  </si>
  <si>
    <t xml:space="preserve">Rich chocolate mousse</t>
  </si>
  <si>
    <t xml:space="preserve">ASC316</t>
  </si>
  <si>
    <t xml:space="preserve">Mango mousse</t>
  </si>
  <si>
    <t xml:space="preserve">ASC317</t>
  </si>
  <si>
    <t xml:space="preserve">Orange and pineapple cream</t>
  </si>
  <si>
    <t xml:space="preserve">ASC318</t>
  </si>
  <si>
    <t xml:space="preserve">Charlotte rousse</t>
  </si>
  <si>
    <t xml:space="preserve">ASC319</t>
  </si>
  <si>
    <t xml:space="preserve">Triffle pudding</t>
  </si>
  <si>
    <t xml:space="preserve">ASC320</t>
  </si>
  <si>
    <t xml:space="preserve">Snow flakes pudding</t>
  </si>
  <si>
    <t xml:space="preserve">Kulfi</t>
  </si>
  <si>
    <t xml:space="preserve">kulfi</t>
  </si>
  <si>
    <t xml:space="preserve">ASC322</t>
  </si>
  <si>
    <t xml:space="preserve">Steamed orange pudding</t>
  </si>
  <si>
    <t xml:space="preserve">large slice</t>
  </si>
  <si>
    <t xml:space="preserve">ASC323</t>
  </si>
  <si>
    <t xml:space="preserve">Meringue and rice pudding</t>
  </si>
  <si>
    <t xml:space="preserve">ASC324</t>
  </si>
  <si>
    <t xml:space="preserve">Cheese pudding</t>
  </si>
  <si>
    <t xml:space="preserve">ASC325</t>
  </si>
  <si>
    <t xml:space="preserve">Chocolate pudding</t>
  </si>
  <si>
    <t xml:space="preserve">ASC326</t>
  </si>
  <si>
    <t xml:space="preserve">Bread and butter pudding </t>
  </si>
  <si>
    <t xml:space="preserve">ASC327</t>
  </si>
  <si>
    <t xml:space="preserve">Queen of pudding</t>
  </si>
  <si>
    <t xml:space="preserve">ASC328</t>
  </si>
  <si>
    <t xml:space="preserve">Pineapple upside down pudding</t>
  </si>
  <si>
    <t xml:space="preserve">ASC329</t>
  </si>
  <si>
    <t xml:space="preserve">Date and nut pie</t>
  </si>
  <si>
    <t xml:space="preserve">ASC330</t>
  </si>
  <si>
    <t xml:space="preserve">Stewed apple with custard</t>
  </si>
  <si>
    <t xml:space="preserve">ASC331</t>
  </si>
  <si>
    <t xml:space="preserve">Apple snowballs</t>
  </si>
  <si>
    <t xml:space="preserve">ASC332</t>
  </si>
  <si>
    <t xml:space="preserve">Hot orange souffle</t>
  </si>
  <si>
    <t xml:space="preserve">ASC333</t>
  </si>
  <si>
    <t xml:space="preserve">Hot chocolate souffle</t>
  </si>
  <si>
    <t xml:space="preserve">ASC334</t>
  </si>
  <si>
    <t xml:space="preserve">Hot vanilla souffle</t>
  </si>
  <si>
    <t xml:space="preserve">Plain burfi (Burfi)</t>
  </si>
  <si>
    <t xml:space="preserve">burfi</t>
  </si>
  <si>
    <t xml:space="preserve">ASC336</t>
  </si>
  <si>
    <t xml:space="preserve">Coconut burfi (Nariyal ki burfi)</t>
  </si>
  <si>
    <t xml:space="preserve">ASC337</t>
  </si>
  <si>
    <t xml:space="preserve">Bottle gourd burfi (Ghiya/Lauki burfi)</t>
  </si>
  <si>
    <t xml:space="preserve">ASC338</t>
  </si>
  <si>
    <t xml:space="preserve">Chocolate burfi</t>
  </si>
  <si>
    <t xml:space="preserve">Cashewnut burfi (Kaju burfi/Kaju katli)</t>
  </si>
  <si>
    <t xml:space="preserve">Gram flour burfi (Besan burfi)</t>
  </si>
  <si>
    <t xml:space="preserve">ASC341</t>
  </si>
  <si>
    <t xml:space="preserve">Semolina ladoo with khoya (Suji/Rava aur khoye ke ladoo )</t>
  </si>
  <si>
    <t xml:space="preserve">ladoo</t>
  </si>
  <si>
    <t xml:space="preserve">ASC342</t>
  </si>
  <si>
    <t xml:space="preserve">Semolina ladoo with coconut (Suji/Rava aur nariyal ke ladoo )</t>
  </si>
  <si>
    <t xml:space="preserve">Gram flour ladoo (Besan ladoo)</t>
  </si>
  <si>
    <t xml:space="preserve">Sesame ladoo (Til ke ladoo)</t>
  </si>
  <si>
    <t xml:space="preserve">ASC345</t>
  </si>
  <si>
    <t xml:space="preserve">Chenna murki</t>
  </si>
  <si>
    <t xml:space="preserve">ASC346</t>
  </si>
  <si>
    <t xml:space="preserve">Milk cake</t>
  </si>
  <si>
    <t xml:space="preserve">slice</t>
  </si>
  <si>
    <t xml:space="preserve">ASC347</t>
  </si>
  <si>
    <t xml:space="preserve">Ghujia/Lavang latika</t>
  </si>
  <si>
    <t xml:space="preserve">Gulab Jamun with khoya</t>
  </si>
  <si>
    <t xml:space="preserve">gulab jamun</t>
  </si>
  <si>
    <t xml:space="preserve">Mal pua</t>
  </si>
  <si>
    <t xml:space="preserve">malqura</t>
  </si>
  <si>
    <t xml:space="preserve">Shahi tukre</t>
  </si>
  <si>
    <t xml:space="preserve">tukra</t>
  </si>
  <si>
    <t xml:space="preserve">Potato pakora/pakoda (Aloo pakoda)</t>
  </si>
  <si>
    <t xml:space="preserve">Onion pakora/pakoda (Pyaaz ke pakode)</t>
  </si>
  <si>
    <t xml:space="preserve">Cauliflower pakora/pakoda (Phoolgobhi ke pakode)</t>
  </si>
  <si>
    <t xml:space="preserve">Mixed vegetable pakora/pakoda</t>
  </si>
  <si>
    <t xml:space="preserve">Spinach pakora/pakoda (Palak pakoda)</t>
  </si>
  <si>
    <t xml:space="preserve">ASC356</t>
  </si>
  <si>
    <t xml:space="preserve">Methi pakora/pakoda (Methi ke pakode)</t>
  </si>
  <si>
    <t xml:space="preserve">Egg pakora/pakoda (Ande ke pakode)</t>
  </si>
  <si>
    <t xml:space="preserve">Bread pakora/pakoda</t>
  </si>
  <si>
    <t xml:space="preserve">Paneer pakora/pakoda</t>
  </si>
  <si>
    <t xml:space="preserve">Potato bonda (Aloo bonda)</t>
  </si>
  <si>
    <t xml:space="preserve">bonda</t>
  </si>
  <si>
    <t xml:space="preserve">Potato samosa (Aloo ka samosa)</t>
  </si>
  <si>
    <t xml:space="preserve">samosa</t>
  </si>
  <si>
    <t xml:space="preserve">Minced meat samosa (Keema ka samosa)</t>
  </si>
  <si>
    <t xml:space="preserve">ASC363</t>
  </si>
  <si>
    <t xml:space="preserve">Paneer and pea samosa (Paneer matar ka samosa)</t>
  </si>
  <si>
    <t xml:space="preserve">kachori</t>
  </si>
  <si>
    <t xml:space="preserve">cutlet</t>
  </si>
  <si>
    <t xml:space="preserve">ASC367</t>
  </si>
  <si>
    <t xml:space="preserve">Flattened rice cutlet (Chirwa cutlet/Chivda cutlet/Poha cutlet)</t>
  </si>
  <si>
    <t xml:space="preserve">ASC368</t>
  </si>
  <si>
    <t xml:space="preserve">Peanut cutlet (Mungfali ke cutlet)</t>
  </si>
  <si>
    <t xml:space="preserve">Fish cutlet (Machli ka cutlet)</t>
  </si>
  <si>
    <t xml:space="preserve">ASC370</t>
  </si>
  <si>
    <t xml:space="preserve">Paneer potato cutlet (Paneer aloo cutlet)</t>
  </si>
  <si>
    <t xml:space="preserve">ASC371</t>
  </si>
  <si>
    <t xml:space="preserve">Spinach chickpeas cutlet (Palak channa dal cutlet)</t>
  </si>
  <si>
    <t xml:space="preserve">ASC372</t>
  </si>
  <si>
    <t xml:space="preserve">Cheese toast</t>
  </si>
  <si>
    <t xml:space="preserve">toast</t>
  </si>
  <si>
    <t xml:space="preserve">Vegetable burger</t>
  </si>
  <si>
    <t xml:space="preserve">burger</t>
  </si>
  <si>
    <t xml:space="preserve">ASC376</t>
  </si>
  <si>
    <t xml:space="preserve">Cheese pizza</t>
  </si>
  <si>
    <t xml:space="preserve">Vegetable seekh kebab</t>
  </si>
  <si>
    <t xml:space="preserve">Masala vada</t>
  </si>
  <si>
    <t xml:space="preserve">Peanut sago vada (Sabudana mungfali vada)</t>
  </si>
  <si>
    <t xml:space="preserve">ASC380</t>
  </si>
  <si>
    <t xml:space="preserve">Vegeterian scotch egg</t>
  </si>
  <si>
    <t xml:space="preserve">Paneer shaslik/tikka</t>
  </si>
  <si>
    <t xml:space="preserve">Peanut brittle (Moongfali ki chikki)</t>
  </si>
  <si>
    <t xml:space="preserve">spring roll</t>
  </si>
  <si>
    <t xml:space="preserve">ASC384</t>
  </si>
  <si>
    <t xml:space="preserve">Dry mango chutney (Sookhe aam ki chutney)</t>
  </si>
  <si>
    <t xml:space="preserve">tablespoon</t>
  </si>
  <si>
    <t xml:space="preserve">Peanut chutney (Mungfali ki chutney)</t>
  </si>
  <si>
    <t xml:space="preserve">Coconut chutney (Nariyal ki chutney)</t>
  </si>
  <si>
    <t xml:space="preserve">Mint and coriander chutney (Pudinay aur dhaniye ki chutney)</t>
  </si>
  <si>
    <t xml:space="preserve">ASC395</t>
  </si>
  <si>
    <t xml:space="preserve">Custard tart</t>
  </si>
  <si>
    <t xml:space="preserve">tart</t>
  </si>
  <si>
    <t xml:space="preserve">ASC396</t>
  </si>
  <si>
    <t xml:space="preserve">Lemon tart</t>
  </si>
  <si>
    <t xml:space="preserve">ASC397</t>
  </si>
  <si>
    <t xml:space="preserve">Jam tart</t>
  </si>
  <si>
    <t xml:space="preserve">ASC398</t>
  </si>
  <si>
    <t xml:space="preserve">Orange cream tart</t>
  </si>
  <si>
    <t xml:space="preserve">ASC399</t>
  </si>
  <si>
    <t xml:space="preserve">Pineapple tart</t>
  </si>
  <si>
    <t xml:space="preserve">ASC400</t>
  </si>
  <si>
    <t xml:space="preserve">Cheese and mushroom tart</t>
  </si>
  <si>
    <t xml:space="preserve">ASC401</t>
  </si>
  <si>
    <t xml:space="preserve">Cottage cheese pie</t>
  </si>
  <si>
    <t xml:space="preserve">pie</t>
  </si>
  <si>
    <t xml:space="preserve">ASC402</t>
  </si>
  <si>
    <t xml:space="preserve">Minced meat pie</t>
  </si>
  <si>
    <t xml:space="preserve">ASC403</t>
  </si>
  <si>
    <t xml:space="preserve">Apple cinnamon pie</t>
  </si>
  <si>
    <t xml:space="preserve">ASC404</t>
  </si>
  <si>
    <t xml:space="preserve">Lemon meringue pie</t>
  </si>
  <si>
    <t xml:space="preserve">ASC405</t>
  </si>
  <si>
    <t xml:space="preserve">Chocolate meringue pie</t>
  </si>
  <si>
    <t xml:space="preserve">ASC407</t>
  </si>
  <si>
    <t xml:space="preserve">Cream puffs</t>
  </si>
  <si>
    <t xml:space="preserve">puff</t>
  </si>
  <si>
    <t xml:space="preserve">ASC408</t>
  </si>
  <si>
    <t xml:space="preserve">Chocolate eclairs</t>
  </si>
  <si>
    <t xml:space="preserve">éclair</t>
  </si>
  <si>
    <t xml:space="preserve">ASC409</t>
  </si>
  <si>
    <t xml:space="preserve">Cheese balls</t>
  </si>
  <si>
    <t xml:space="preserve">ASC411</t>
  </si>
  <si>
    <t xml:space="preserve">Minced meat patties</t>
  </si>
  <si>
    <t xml:space="preserve">patty</t>
  </si>
  <si>
    <t xml:space="preserve">ASC412</t>
  </si>
  <si>
    <t xml:space="preserve">Cheese patties</t>
  </si>
  <si>
    <t xml:space="preserve">ASC413</t>
  </si>
  <si>
    <t xml:space="preserve">Hot cheese souffle</t>
  </si>
  <si>
    <t xml:space="preserve">ASC414</t>
  </si>
  <si>
    <t xml:space="preserve">Hot potato souffle</t>
  </si>
  <si>
    <t xml:space="preserve">ASC415</t>
  </si>
  <si>
    <t xml:space="preserve">Hot fish souffle</t>
  </si>
  <si>
    <t xml:space="preserve">ASC416</t>
  </si>
  <si>
    <t xml:space="preserve">Hot spinach souffle</t>
  </si>
  <si>
    <t xml:space="preserve">ASC417</t>
  </si>
  <si>
    <t xml:space="preserve">Plain cream cake</t>
  </si>
  <si>
    <t xml:space="preserve">ASC418</t>
  </si>
  <si>
    <t xml:space="preserve">Apple cake (Seb ka cake)</t>
  </si>
  <si>
    <t xml:space="preserve">ASC419</t>
  </si>
  <si>
    <t xml:space="preserve">Marble cake</t>
  </si>
  <si>
    <t xml:space="preserve">ASC420</t>
  </si>
  <si>
    <t xml:space="preserve">Chocolate cake</t>
  </si>
  <si>
    <t xml:space="preserve">ASC421</t>
  </si>
  <si>
    <t xml:space="preserve">Orange cake</t>
  </si>
  <si>
    <t xml:space="preserve">ASC422</t>
  </si>
  <si>
    <t xml:space="preserve">Fruit Loaf </t>
  </si>
  <si>
    <t xml:space="preserve">ASC423</t>
  </si>
  <si>
    <t xml:space="preserve">Banana cake (Kele ka cake)</t>
  </si>
  <si>
    <t xml:space="preserve">ASC424</t>
  </si>
  <si>
    <t xml:space="preserve">Chocolate chiffon cake</t>
  </si>
  <si>
    <t xml:space="preserve">ASC425</t>
  </si>
  <si>
    <t xml:space="preserve">Christmas cake</t>
  </si>
  <si>
    <t xml:space="preserve">ASC426</t>
  </si>
  <si>
    <t xml:space="preserve">Strawberry and vanilla cake with butter icing</t>
  </si>
  <si>
    <t xml:space="preserve">ASC427</t>
  </si>
  <si>
    <t xml:space="preserve">Eggless cake</t>
  </si>
  <si>
    <t xml:space="preserve">ASC429</t>
  </si>
  <si>
    <t xml:space="preserve">Swiss roll</t>
  </si>
  <si>
    <t xml:space="preserve">swiss roll</t>
  </si>
  <si>
    <t xml:space="preserve">ASC430</t>
  </si>
  <si>
    <t xml:space="preserve">Pineapple pastry </t>
  </si>
  <si>
    <t xml:space="preserve">pastry</t>
  </si>
  <si>
    <t xml:space="preserve">ASC431</t>
  </si>
  <si>
    <t xml:space="preserve">Black forest pastry</t>
  </si>
  <si>
    <t xml:space="preserve">ASC432</t>
  </si>
  <si>
    <t xml:space="preserve">Coconut finger</t>
  </si>
  <si>
    <t xml:space="preserve">finger</t>
  </si>
  <si>
    <t xml:space="preserve">ASC433</t>
  </si>
  <si>
    <t xml:space="preserve">Pineapple cake </t>
  </si>
  <si>
    <t xml:space="preserve">ASC439</t>
  </si>
  <si>
    <t xml:space="preserve">Chocolate walnut cookies (Chocolate aur akhrot ke cookies)</t>
  </si>
  <si>
    <t xml:space="preserve">cookie</t>
  </si>
  <si>
    <t xml:space="preserve">ASC440</t>
  </si>
  <si>
    <t xml:space="preserve">Chocolate chip cookies</t>
  </si>
  <si>
    <t xml:space="preserve">ASC441</t>
  </si>
  <si>
    <t xml:space="preserve">Sweet plain biscuit</t>
  </si>
  <si>
    <t xml:space="preserve">biscuit</t>
  </si>
  <si>
    <t xml:space="preserve">ASC442</t>
  </si>
  <si>
    <t xml:space="preserve">Chocolate biscuit</t>
  </si>
  <si>
    <t xml:space="preserve">ASC443</t>
  </si>
  <si>
    <t xml:space="preserve">Coconut biscuit (Nariyal ke biscuit)</t>
  </si>
  <si>
    <t xml:space="preserve">ASC444</t>
  </si>
  <si>
    <t xml:space="preserve">Sweet and salty biscuit (Meethay aur namkeen biscuit)</t>
  </si>
  <si>
    <t xml:space="preserve">ASC445</t>
  </si>
  <si>
    <t xml:space="preserve">Peanut biscuit</t>
  </si>
  <si>
    <t xml:space="preserve">ASC446</t>
  </si>
  <si>
    <t xml:space="preserve">Pin wheel biscuit</t>
  </si>
  <si>
    <t xml:space="preserve">ASC447</t>
  </si>
  <si>
    <t xml:space="preserve">Saffron biscuit (Kesar biscuit)</t>
  </si>
  <si>
    <t xml:space="preserve">ASC448</t>
  </si>
  <si>
    <t xml:space="preserve">Masala biscuit</t>
  </si>
  <si>
    <t xml:space="preserve">ASC449</t>
  </si>
  <si>
    <t xml:space="preserve">Ice box cookies</t>
  </si>
  <si>
    <t xml:space="preserve">ASC450</t>
  </si>
  <si>
    <t xml:space="preserve">Ginger bread man</t>
  </si>
  <si>
    <t xml:space="preserve">ASC451</t>
  </si>
  <si>
    <t xml:space="preserve">Danish cookies</t>
  </si>
  <si>
    <t xml:space="preserve">ASC452</t>
  </si>
  <si>
    <t xml:space="preserve">Short bread cookies</t>
  </si>
  <si>
    <t xml:space="preserve">ASC453</t>
  </si>
  <si>
    <t xml:space="preserve">Coffee biscuit</t>
  </si>
  <si>
    <t xml:space="preserve">ASC454</t>
  </si>
  <si>
    <t xml:space="preserve">Melting moments</t>
  </si>
  <si>
    <t xml:space="preserve">ASC455</t>
  </si>
  <si>
    <t xml:space="preserve">Ginger biscuit (Adarak ke biscuit)</t>
  </si>
  <si>
    <t xml:space="preserve">ASC456</t>
  </si>
  <si>
    <t xml:space="preserve">Soyabean muthias</t>
  </si>
  <si>
    <t xml:space="preserve">muthia</t>
  </si>
  <si>
    <t xml:space="preserve">ASC457</t>
  </si>
  <si>
    <t xml:space="preserve">Soyabean tikki</t>
  </si>
  <si>
    <t xml:space="preserve">tikki</t>
  </si>
  <si>
    <t xml:space="preserve">ASC458</t>
  </si>
  <si>
    <t xml:space="preserve">Soyabean namak paras</t>
  </si>
  <si>
    <t xml:space="preserve">ASC459</t>
  </si>
  <si>
    <t xml:space="preserve">Peanut burfi (Moongfali ki burfi)</t>
  </si>
  <si>
    <t xml:space="preserve">ASC460</t>
  </si>
  <si>
    <t xml:space="preserve">Spinach peanut namak paras (Palak moongfali namak paras)</t>
  </si>
  <si>
    <t xml:space="preserve">ASC461</t>
  </si>
  <si>
    <t xml:space="preserve">Gram flour and semolina chilla/cheela/savory pancake (Besan suji chilla/cheela)</t>
  </si>
  <si>
    <t xml:space="preserve">cheela</t>
  </si>
  <si>
    <t xml:space="preserve">ASC462</t>
  </si>
  <si>
    <t xml:space="preserve">Rice moong dal cheela (Chawal aur moong dal ka cheela)</t>
  </si>
  <si>
    <t xml:space="preserve">ASC463</t>
  </si>
  <si>
    <t xml:space="preserve">Split bengal gram sweet rice (Channa dal sweet rice)</t>
  </si>
  <si>
    <t xml:space="preserve">ASC464</t>
  </si>
  <si>
    <t xml:space="preserve">Sweet poori (Meethi poori)</t>
  </si>
  <si>
    <t xml:space="preserve">ASC465</t>
  </si>
  <si>
    <t xml:space="preserve">Wheat flour and moong dal burfi (Atta aur moong dal ki burfi)</t>
  </si>
  <si>
    <t xml:space="preserve">ASC466</t>
  </si>
  <si>
    <t xml:space="preserve">Spinach burfi (Palak burfi)</t>
  </si>
  <si>
    <t xml:space="preserve">Sweet split chickpea roti (Sweet channa dal roti/Puranpoli)</t>
  </si>
  <si>
    <t xml:space="preserve">ASC468</t>
  </si>
  <si>
    <t xml:space="preserve">Sprouted moong daliya </t>
  </si>
  <si>
    <t xml:space="preserve">ASC469</t>
  </si>
  <si>
    <t xml:space="preserve">Sprouted moong poha </t>
  </si>
  <si>
    <t xml:space="preserve">ASC470</t>
  </si>
  <si>
    <t xml:space="preserve">Pearl millet ladoo (Bajra ladoo)</t>
  </si>
  <si>
    <t xml:space="preserve">ASC471</t>
  </si>
  <si>
    <t xml:space="preserve">Paushtik ladoo</t>
  </si>
  <si>
    <t xml:space="preserve">ASC472</t>
  </si>
  <si>
    <t xml:space="preserve">Paushtik roti</t>
  </si>
  <si>
    <t xml:space="preserve">ASC473</t>
  </si>
  <si>
    <t xml:space="preserve">Semolina carrot vada (Suji gajar vada)</t>
  </si>
  <si>
    <t xml:space="preserve">ASC474</t>
  </si>
  <si>
    <t xml:space="preserve">Dhokla</t>
  </si>
  <si>
    <t xml:space="preserve">Kashmiri tea (Kehwa)</t>
  </si>
  <si>
    <t xml:space="preserve">BFP008</t>
  </si>
  <si>
    <t xml:space="preserve">Steeped hot coffee</t>
  </si>
  <si>
    <t xml:space="preserve">Hot chocolate</t>
  </si>
  <si>
    <t xml:space="preserve">Cold coffee (with cream)</t>
  </si>
  <si>
    <t xml:space="preserve">BFP015</t>
  </si>
  <si>
    <t xml:space="preserve">Banana milkshake with ice cream (Kele ka milkshake ice cream ke saath)</t>
  </si>
  <si>
    <t xml:space="preserve">BFP019</t>
  </si>
  <si>
    <t xml:space="preserve">Flavoured milkshake</t>
  </si>
  <si>
    <t xml:space="preserve">juice glass</t>
  </si>
  <si>
    <t xml:space="preserve">BFP026</t>
  </si>
  <si>
    <t xml:space="preserve">Gingo</t>
  </si>
  <si>
    <t xml:space="preserve">BFP027</t>
  </si>
  <si>
    <t xml:space="preserve">Mintade</t>
  </si>
  <si>
    <t xml:space="preserve">BFP029</t>
  </si>
  <si>
    <t xml:space="preserve">Canjee</t>
  </si>
  <si>
    <t xml:space="preserve">BFP030</t>
  </si>
  <si>
    <t xml:space="preserve">Cauliflower canjee (Phoolgobhi ki canjee)</t>
  </si>
  <si>
    <t xml:space="preserve">BFP031</t>
  </si>
  <si>
    <t xml:space="preserve">Potato canjee (Aloo canjee)</t>
  </si>
  <si>
    <t xml:space="preserve">BFP036</t>
  </si>
  <si>
    <t xml:space="preserve">Vermicelli porridge (Semiya/Seviyan porridge)</t>
  </si>
  <si>
    <t xml:space="preserve">Semolina upma (Suji/Rava upma)</t>
  </si>
  <si>
    <t xml:space="preserve">BFP040</t>
  </si>
  <si>
    <t xml:space="preserve">Vermicelli upma (Semiya/Seviyan upma)</t>
  </si>
  <si>
    <t xml:space="preserve">BFP041</t>
  </si>
  <si>
    <t xml:space="preserve">Rice upma</t>
  </si>
  <si>
    <t xml:space="preserve">BFP042</t>
  </si>
  <si>
    <t xml:space="preserve">Bread upma</t>
  </si>
  <si>
    <t xml:space="preserve">Poha</t>
  </si>
  <si>
    <t xml:space="preserve">BFP045</t>
  </si>
  <si>
    <t xml:space="preserve">Vegetable poha</t>
  </si>
  <si>
    <t xml:space="preserve">Moong dal stuffed cheela/chilla (Moong dal ka cheela/chilla)</t>
  </si>
  <si>
    <t xml:space="preserve">Paneer stuffed cheela/chilla</t>
  </si>
  <si>
    <t xml:space="preserve">BFP052</t>
  </si>
  <si>
    <t xml:space="preserve">Indian style egg bhujia (Anda bhujia (Indian style))</t>
  </si>
  <si>
    <t xml:space="preserve">small bowl</t>
  </si>
  <si>
    <t xml:space="preserve">BFP054</t>
  </si>
  <si>
    <t xml:space="preserve">French omelette/omlet</t>
  </si>
  <si>
    <t xml:space="preserve">BFP055</t>
  </si>
  <si>
    <t xml:space="preserve">Puffy omelette/omlet</t>
  </si>
  <si>
    <t xml:space="preserve">BFP056</t>
  </si>
  <si>
    <t xml:space="preserve">Orange omelette/omlet</t>
  </si>
  <si>
    <t xml:space="preserve">BFP057</t>
  </si>
  <si>
    <t xml:space="preserve">Cheese and mushroom omelette/omlet</t>
  </si>
  <si>
    <t xml:space="preserve">BFP058</t>
  </si>
  <si>
    <t xml:space="preserve">Spanish omelette/omlet</t>
  </si>
  <si>
    <t xml:space="preserve">BFP059</t>
  </si>
  <si>
    <t xml:space="preserve">Mixed stock</t>
  </si>
  <si>
    <t xml:space="preserve">BFP060</t>
  </si>
  <si>
    <t xml:space="preserve">Meat stock</t>
  </si>
  <si>
    <t xml:space="preserve">BFP062</t>
  </si>
  <si>
    <t xml:space="preserve">White stock</t>
  </si>
  <si>
    <t xml:space="preserve">BFP065</t>
  </si>
  <si>
    <t xml:space="preserve">Meat consomme (with mutton)</t>
  </si>
  <si>
    <t xml:space="preserve">BFP066</t>
  </si>
  <si>
    <t xml:space="preserve">Consomme au julienne</t>
  </si>
  <si>
    <t xml:space="preserve">BFP067</t>
  </si>
  <si>
    <t xml:space="preserve">Consomme au vermicelli</t>
  </si>
  <si>
    <t xml:space="preserve">BFP072</t>
  </si>
  <si>
    <t xml:space="preserve">Green pea soup (Matar ka soup)</t>
  </si>
  <si>
    <t xml:space="preserve">Spinach soup (Palak ka soup)</t>
  </si>
  <si>
    <t xml:space="preserve">BFP074</t>
  </si>
  <si>
    <t xml:space="preserve">Mixed vegetable soup</t>
  </si>
  <si>
    <t xml:space="preserve">BFP075</t>
  </si>
  <si>
    <t xml:space="preserve">Cheese soup</t>
  </si>
  <si>
    <t xml:space="preserve">BFP079</t>
  </si>
  <si>
    <t xml:space="preserve">Cream of carrot soup</t>
  </si>
  <si>
    <t xml:space="preserve">BFP080</t>
  </si>
  <si>
    <t xml:space="preserve">Cream of broccoli soup</t>
  </si>
  <si>
    <t xml:space="preserve">BFP082</t>
  </si>
  <si>
    <t xml:space="preserve">Cream of potato soup</t>
  </si>
  <si>
    <t xml:space="preserve">BFP087</t>
  </si>
  <si>
    <t xml:space="preserve">Almond soup (Badam ka soup)</t>
  </si>
  <si>
    <t xml:space="preserve">BFP088</t>
  </si>
  <si>
    <t xml:space="preserve">Cold cucumber cream soup </t>
  </si>
  <si>
    <t xml:space="preserve">BFP089</t>
  </si>
  <si>
    <t xml:space="preserve">Cold tomato soup</t>
  </si>
  <si>
    <t xml:space="preserve">Chicken stew</t>
  </si>
  <si>
    <t xml:space="preserve">BFP091</t>
  </si>
  <si>
    <t xml:space="preserve">Veg paneer stew</t>
  </si>
  <si>
    <t xml:space="preserve">Onion-green chilli parantha/paratha (Pyaaz aur hari mirch ka parantha/paratha)</t>
  </si>
  <si>
    <t xml:space="preserve">Methi parantha/paratha</t>
  </si>
  <si>
    <t xml:space="preserve">BFP114</t>
  </si>
  <si>
    <t xml:space="preserve">Bathua poori</t>
  </si>
  <si>
    <t xml:space="preserve">BFP115</t>
  </si>
  <si>
    <t xml:space="preserve">Gram flour poori (Besan poori)</t>
  </si>
  <si>
    <t xml:space="preserve">BFP116</t>
  </si>
  <si>
    <t xml:space="preserve">Beetroot poori (Chukandar ki poori)</t>
  </si>
  <si>
    <t xml:space="preserve">BFP117</t>
  </si>
  <si>
    <t xml:space="preserve">Peas poori (Matar ki poori)</t>
  </si>
  <si>
    <t xml:space="preserve">Peas kachori (Matar kachori)</t>
  </si>
  <si>
    <t xml:space="preserve">BFP122</t>
  </si>
  <si>
    <t xml:space="preserve">Pizza</t>
  </si>
  <si>
    <t xml:space="preserve">BFP124</t>
  </si>
  <si>
    <t xml:space="preserve">Bacon and mushroom pancake</t>
  </si>
  <si>
    <t xml:space="preserve">BFP125</t>
  </si>
  <si>
    <t xml:space="preserve">Cheese and tomato pancake</t>
  </si>
  <si>
    <t xml:space="preserve">BFP127</t>
  </si>
  <si>
    <t xml:space="preserve">Minced meat pancake (with chicken)</t>
  </si>
  <si>
    <t xml:space="preserve">Eggplant/Brinjal rice (Vangi bhat)</t>
  </si>
  <si>
    <t xml:space="preserve">BFP133</t>
  </si>
  <si>
    <t xml:space="preserve">Kashmiri 'tahar'</t>
  </si>
  <si>
    <t xml:space="preserve">Cumin pulao (Jeera/Zeera pulao)</t>
  </si>
  <si>
    <t xml:space="preserve">Peas pulao (Matar pulao)</t>
  </si>
  <si>
    <t xml:space="preserve">BFP137</t>
  </si>
  <si>
    <t xml:space="preserve">Split bengal gram dal and vegetable pulao (Channa dal and vegetable pulao)</t>
  </si>
  <si>
    <t xml:space="preserve">BFP138</t>
  </si>
  <si>
    <t xml:space="preserve">Black channa pulao/ Bengal gram pulao (Kale chane ka pulao)</t>
  </si>
  <si>
    <t xml:space="preserve">Mutton pulao</t>
  </si>
  <si>
    <t xml:space="preserve">BFP143</t>
  </si>
  <si>
    <t xml:space="preserve">Mexican rice</t>
  </si>
  <si>
    <t xml:space="preserve">Plain khitchdi (Plain khichri/khichdi)</t>
  </si>
  <si>
    <t xml:space="preserve">BFP147</t>
  </si>
  <si>
    <t xml:space="preserve">Instant idli (with semolina)</t>
  </si>
  <si>
    <t xml:space="preserve">BFP150</t>
  </si>
  <si>
    <t xml:space="preserve">Masala dosa mixed vegetable fillings</t>
  </si>
  <si>
    <t xml:space="preserve">Masala dosa paneer fillings</t>
  </si>
  <si>
    <t xml:space="preserve">BFP152</t>
  </si>
  <si>
    <t xml:space="preserve">Uttapam</t>
  </si>
  <si>
    <t xml:space="preserve">appam</t>
  </si>
  <si>
    <t xml:space="preserve">BFP154</t>
  </si>
  <si>
    <t xml:space="preserve">Beans and macaroni</t>
  </si>
  <si>
    <t xml:space="preserve">BFP155</t>
  </si>
  <si>
    <t xml:space="preserve">Spaghetti bolognese</t>
  </si>
  <si>
    <t xml:space="preserve">shallow dish</t>
  </si>
  <si>
    <t xml:space="preserve">BFP157</t>
  </si>
  <si>
    <t xml:space="preserve">Meat and macaroni casserole</t>
  </si>
  <si>
    <t xml:space="preserve">small casserole dish</t>
  </si>
  <si>
    <t xml:space="preserve">BFP158</t>
  </si>
  <si>
    <t xml:space="preserve">Spaghetti with meat balls and tomato sauce</t>
  </si>
  <si>
    <t xml:space="preserve">BFP159</t>
  </si>
  <si>
    <t xml:space="preserve">Spaghetti with paneer balls and tomato sauce</t>
  </si>
  <si>
    <t xml:space="preserve">BFP161</t>
  </si>
  <si>
    <t xml:space="preserve">Lasagne with meat sauce</t>
  </si>
  <si>
    <t xml:space="preserve">BFP162</t>
  </si>
  <si>
    <t xml:space="preserve">Lasagne with vegetables</t>
  </si>
  <si>
    <t xml:space="preserve">BFP165</t>
  </si>
  <si>
    <t xml:space="preserve">Home made egg noodles</t>
  </si>
  <si>
    <t xml:space="preserve">curry bowl</t>
  </si>
  <si>
    <t xml:space="preserve">BFP170</t>
  </si>
  <si>
    <t xml:space="preserve">Sour lentils (Khatti dal)</t>
  </si>
  <si>
    <t xml:space="preserve">BFP171</t>
  </si>
  <si>
    <t xml:space="preserve">Urad special dehusked</t>
  </si>
  <si>
    <t xml:space="preserve">BFP172</t>
  </si>
  <si>
    <t xml:space="preserve">Arhar with spinach (Arhar dal aur palak)</t>
  </si>
  <si>
    <t xml:space="preserve">BFP174</t>
  </si>
  <si>
    <t xml:space="preserve">Moong dal with vadi</t>
  </si>
  <si>
    <t xml:space="preserve">Rasam with tamarind (Puli rasam/ Chintapandu rasam/ Charu/Saaru)</t>
  </si>
  <si>
    <t xml:space="preserve">BFP177</t>
  </si>
  <si>
    <t xml:space="preserve">Rasam with lemon (Nimmakaya rasam/Nimmakaya charu/Elumichai rasam/Nimbe hannina saaru)</t>
  </si>
  <si>
    <t xml:space="preserve">Green gram whole with baghar (Sabut moong dal with tadka)</t>
  </si>
  <si>
    <t xml:space="preserve">BFP179</t>
  </si>
  <si>
    <t xml:space="preserve">Urad sabut special</t>
  </si>
  <si>
    <t xml:space="preserve">BFP185</t>
  </si>
  <si>
    <t xml:space="preserve">Kabuli channa curry</t>
  </si>
  <si>
    <t xml:space="preserve">BFP190</t>
  </si>
  <si>
    <t xml:space="preserve">Dry masala chops</t>
  </si>
  <si>
    <t xml:space="preserve">chops</t>
  </si>
  <si>
    <t xml:space="preserve">BFP196</t>
  </si>
  <si>
    <t xml:space="preserve">Shahi keema kofta curry</t>
  </si>
  <si>
    <t xml:space="preserve">BFP197</t>
  </si>
  <si>
    <t xml:space="preserve">Minced meat ball curry</t>
  </si>
  <si>
    <t xml:space="preserve">Boti kebab</t>
  </si>
  <si>
    <t xml:space="preserve">kebab</t>
  </si>
  <si>
    <t xml:space="preserve">BFP201</t>
  </si>
  <si>
    <t xml:space="preserve">Indian lamb and egg curry (Nargisi kofta)</t>
  </si>
  <si>
    <t xml:space="preserve">BFP203</t>
  </si>
  <si>
    <t xml:space="preserve">Soya chunks sweet and sour (Nutrinugget sweet and sour)</t>
  </si>
  <si>
    <t xml:space="preserve">BFP204</t>
  </si>
  <si>
    <t xml:space="preserve">Soya chunks korma (Nutrinugget korma)</t>
  </si>
  <si>
    <t xml:space="preserve">BFP205</t>
  </si>
  <si>
    <t xml:space="preserve">Mushroom matar</t>
  </si>
  <si>
    <t xml:space="preserve">Soya chunks and peas (Nutrinugget matar)</t>
  </si>
  <si>
    <t xml:space="preserve">BFP207</t>
  </si>
  <si>
    <t xml:space="preserve">Vegetable yakhni</t>
  </si>
  <si>
    <t xml:space="preserve">BFP208</t>
  </si>
  <si>
    <t xml:space="preserve">Spinach mushroom (Palak mushroom)</t>
  </si>
  <si>
    <t xml:space="preserve">BFP210</t>
  </si>
  <si>
    <t xml:space="preserve">Vegetarian nargisi kofta curry</t>
  </si>
  <si>
    <t xml:space="preserve">BFP212</t>
  </si>
  <si>
    <t xml:space="preserve">Roast chicken</t>
  </si>
  <si>
    <t xml:space="preserve">joint</t>
  </si>
  <si>
    <t xml:space="preserve">BFP214</t>
  </si>
  <si>
    <t xml:space="preserve">Shahi chicken masala</t>
  </si>
  <si>
    <t xml:space="preserve">BFP216</t>
  </si>
  <si>
    <t xml:space="preserve">Tomato chicken</t>
  </si>
  <si>
    <t xml:space="preserve">BFP217</t>
  </si>
  <si>
    <t xml:space="preserve">Creamy chicken</t>
  </si>
  <si>
    <t xml:space="preserve">BFP218</t>
  </si>
  <si>
    <t xml:space="preserve">Broccoli chicken ala king</t>
  </si>
  <si>
    <t xml:space="preserve">BFP220</t>
  </si>
  <si>
    <t xml:space="preserve">Ginger chicken</t>
  </si>
  <si>
    <t xml:space="preserve">BFP221</t>
  </si>
  <si>
    <t xml:space="preserve">Chicken sweet and sour</t>
  </si>
  <si>
    <t xml:space="preserve">Bengal fish curry (Bengali machli curry)</t>
  </si>
  <si>
    <t xml:space="preserve">BFP226</t>
  </si>
  <si>
    <t xml:space="preserve">Fish finger</t>
  </si>
  <si>
    <t xml:space="preserve">Fish in coconut milk (Nariyal ke doodh ke saath machli)</t>
  </si>
  <si>
    <t xml:space="preserve">Prawn curry (with coconut) (Jhinga curry)</t>
  </si>
  <si>
    <t xml:space="preserve">BFP231</t>
  </si>
  <si>
    <t xml:space="preserve">Baked stuffed fish</t>
  </si>
  <si>
    <t xml:space="preserve">fish</t>
  </si>
  <si>
    <t xml:space="preserve">BFP232</t>
  </si>
  <si>
    <t xml:space="preserve">Fish pie</t>
  </si>
  <si>
    <t xml:space="preserve">BFP233</t>
  </si>
  <si>
    <t xml:space="preserve">Crispy baked fish</t>
  </si>
  <si>
    <t xml:space="preserve">BFP234</t>
  </si>
  <si>
    <t xml:space="preserve">Fish souffle</t>
  </si>
  <si>
    <t xml:space="preserve">Potato curry (Aloo ki sabzi)</t>
  </si>
  <si>
    <t xml:space="preserve">Egg curry (Anda curry)</t>
  </si>
  <si>
    <t xml:space="preserve">BFP241</t>
  </si>
  <si>
    <t xml:space="preserve">Vegetable curry with coconut </t>
  </si>
  <si>
    <t xml:space="preserve">Curd with potatoes (Dahi aloo)</t>
  </si>
  <si>
    <t xml:space="preserve">BFP246</t>
  </si>
  <si>
    <t xml:space="preserve">Potato kofta curry (Aloo kofta curry)</t>
  </si>
  <si>
    <t xml:space="preserve">BFP249</t>
  </si>
  <si>
    <t xml:space="preserve">Yam kofta curry (Zimikand/Suran kofta curry)</t>
  </si>
  <si>
    <t xml:space="preserve">BFP250</t>
  </si>
  <si>
    <t xml:space="preserve">Jackfruit kofta curry (Kathal ka kofta curry)</t>
  </si>
  <si>
    <t xml:space="preserve">Spinach and potato (Palak aloo)</t>
  </si>
  <si>
    <t xml:space="preserve">BFP258</t>
  </si>
  <si>
    <t xml:space="preserve">Mooli bhujia</t>
  </si>
  <si>
    <t xml:space="preserve">BFP259</t>
  </si>
  <si>
    <t xml:space="preserve">Bathua bhujia</t>
  </si>
  <si>
    <t xml:space="preserve">BFP261</t>
  </si>
  <si>
    <t xml:space="preserve">Cabbage rolls (dry) ((Pattagobhi rolls) (dry))</t>
  </si>
  <si>
    <t xml:space="preserve">roll</t>
  </si>
  <si>
    <t xml:space="preserve">BFP262</t>
  </si>
  <si>
    <t xml:space="preserve">Cabbage rolls (curry) ((Pattagobhi rolls)(curry))</t>
  </si>
  <si>
    <t xml:space="preserve">BFP263</t>
  </si>
  <si>
    <t xml:space="preserve">Dry arbi (Sookhi arbi)</t>
  </si>
  <si>
    <t xml:space="preserve">Masala arbi</t>
  </si>
  <si>
    <t xml:space="preserve">BFP266</t>
  </si>
  <si>
    <t xml:space="preserve">Peas brinjal bhartha (Matar baingan bhartha)</t>
  </si>
  <si>
    <t xml:space="preserve">Okra/Lady's fingers fry (Bhindi sabzi/sabji/subji)</t>
  </si>
  <si>
    <t xml:space="preserve">Crispy okra/Crispy lady's fingers (Karare bhindi)</t>
  </si>
  <si>
    <t xml:space="preserve">BFP272</t>
  </si>
  <si>
    <t xml:space="preserve">Beans foogath</t>
  </si>
  <si>
    <t xml:space="preserve">Stuffed bittergourd (wet) (Bharwa karele)</t>
  </si>
  <si>
    <t xml:space="preserve">BFP274</t>
  </si>
  <si>
    <t xml:space="preserve">Jackfruit/Kathal (dry)</t>
  </si>
  <si>
    <t xml:space="preserve">BFP275</t>
  </si>
  <si>
    <t xml:space="preserve">Yam fried (Zimikand/Suran fried)</t>
  </si>
  <si>
    <t xml:space="preserve">BFP276</t>
  </si>
  <si>
    <t xml:space="preserve">Cauliflower, pea and potato bhujia (Phoolgobhi, matar aur aloo bhujia)</t>
  </si>
  <si>
    <t xml:space="preserve">BFP277</t>
  </si>
  <si>
    <t xml:space="preserve">Vegetable jalfrezi</t>
  </si>
  <si>
    <t xml:space="preserve">BFP278</t>
  </si>
  <si>
    <t xml:space="preserve">Vegetables stir fry </t>
  </si>
  <si>
    <t xml:space="preserve">BFP279</t>
  </si>
  <si>
    <t xml:space="preserve">Broccoli delight</t>
  </si>
  <si>
    <t xml:space="preserve">BFP280</t>
  </si>
  <si>
    <t xml:space="preserve">Dhansak (vegetarian)</t>
  </si>
  <si>
    <t xml:space="preserve">BFP282</t>
  </si>
  <si>
    <t xml:space="preserve">Cauliflower basket</t>
  </si>
  <si>
    <t xml:space="preserve">portion</t>
  </si>
  <si>
    <t xml:space="preserve">BFP284</t>
  </si>
  <si>
    <t xml:space="preserve">Stuffed bottle gourd (Stuffed ghiya/lauki)</t>
  </si>
  <si>
    <t xml:space="preserve">BFP286</t>
  </si>
  <si>
    <t xml:space="preserve">Ducheese potato</t>
  </si>
  <si>
    <t xml:space="preserve">potato</t>
  </si>
  <si>
    <t xml:space="preserve">BFP287</t>
  </si>
  <si>
    <t xml:space="preserve">Roast potatoes </t>
  </si>
  <si>
    <t xml:space="preserve">BFP288</t>
  </si>
  <si>
    <t xml:space="preserve">Stuffed baked potatoes </t>
  </si>
  <si>
    <t xml:space="preserve">BFP289</t>
  </si>
  <si>
    <t xml:space="preserve">Potato nests</t>
  </si>
  <si>
    <t xml:space="preserve">nest</t>
  </si>
  <si>
    <t xml:space="preserve">BFP290</t>
  </si>
  <si>
    <t xml:space="preserve">Parsley potato</t>
  </si>
  <si>
    <t xml:space="preserve">BFP291</t>
  </si>
  <si>
    <t xml:space="preserve">Creamed spinach and mushroom</t>
  </si>
  <si>
    <t xml:space="preserve">BFP292</t>
  </si>
  <si>
    <t xml:space="preserve">Fricassee of Mushroom</t>
  </si>
  <si>
    <t xml:space="preserve">BFP293</t>
  </si>
  <si>
    <t xml:space="preserve">Cauliflower au gratin</t>
  </si>
  <si>
    <t xml:space="preserve">BFP294</t>
  </si>
  <si>
    <t xml:space="preserve">Vegetable and cheese pie</t>
  </si>
  <si>
    <t xml:space="preserve">BFP296</t>
  </si>
  <si>
    <t xml:space="preserve">Spinach souffle </t>
  </si>
  <si>
    <t xml:space="preserve">BFP299</t>
  </si>
  <si>
    <t xml:space="preserve">Beetroot and egg salad (Chukandar aur ande ka salad)</t>
  </si>
  <si>
    <t xml:space="preserve">BFP300</t>
  </si>
  <si>
    <t xml:space="preserve">Sour cream potato salad</t>
  </si>
  <si>
    <t xml:space="preserve">BFP301</t>
  </si>
  <si>
    <t xml:space="preserve">Tossed green salad</t>
  </si>
  <si>
    <t xml:space="preserve">BFP302</t>
  </si>
  <si>
    <t xml:space="preserve">Spring basket salad</t>
  </si>
  <si>
    <t xml:space="preserve">basket</t>
  </si>
  <si>
    <t xml:space="preserve">BFP303</t>
  </si>
  <si>
    <t xml:space="preserve">Cucumber and yogurt salad (Kheere aur dahi ka salad)</t>
  </si>
  <si>
    <t xml:space="preserve">small plate</t>
  </si>
  <si>
    <t xml:space="preserve">BFP305</t>
  </si>
  <si>
    <t xml:space="preserve">Chicken and tomato towers</t>
  </si>
  <si>
    <t xml:space="preserve">stuffed tomato</t>
  </si>
  <si>
    <t xml:space="preserve">BFP306</t>
  </si>
  <si>
    <t xml:space="preserve">Jellied sunshine fruit salad</t>
  </si>
  <si>
    <t xml:space="preserve">small mould</t>
  </si>
  <si>
    <t xml:space="preserve">BFP307</t>
  </si>
  <si>
    <t xml:space="preserve">Tomato aspic</t>
  </si>
  <si>
    <t xml:space="preserve">BFP308</t>
  </si>
  <si>
    <t xml:space="preserve">Frozen frosty fruit salad (Phalon ka salaad)</t>
  </si>
  <si>
    <t xml:space="preserve">BFP310</t>
  </si>
  <si>
    <t xml:space="preserve">French dressing</t>
  </si>
  <si>
    <t xml:space="preserve">BFP312</t>
  </si>
  <si>
    <t xml:space="preserve">Mayonnaise without eggs</t>
  </si>
  <si>
    <t xml:space="preserve">BFP313</t>
  </si>
  <si>
    <t xml:space="preserve">Curd dressing </t>
  </si>
  <si>
    <t xml:space="preserve">BFP316</t>
  </si>
  <si>
    <t xml:space="preserve">Carrot raita (Gajar ka raita)</t>
  </si>
  <si>
    <t xml:space="preserve">BFP318</t>
  </si>
  <si>
    <t xml:space="preserve">Pumpkin raita (Kaddu ka raita)</t>
  </si>
  <si>
    <t xml:space="preserve">BFP320</t>
  </si>
  <si>
    <t xml:space="preserve">Mint and peanut raita (Pudinay aur moongfali ka raita)</t>
  </si>
  <si>
    <t xml:space="preserve">BFP321</t>
  </si>
  <si>
    <t xml:space="preserve">Spinach raita (Palak ka raita)</t>
  </si>
  <si>
    <t xml:space="preserve">BFP322</t>
  </si>
  <si>
    <t xml:space="preserve">Bathua raita</t>
  </si>
  <si>
    <t xml:space="preserve">Pineapple raita (Ananas ka raita)</t>
  </si>
  <si>
    <t xml:space="preserve">BFP326</t>
  </si>
  <si>
    <t xml:space="preserve">Banana raita (Kele ka raita)</t>
  </si>
  <si>
    <t xml:space="preserve">BFP327</t>
  </si>
  <si>
    <t xml:space="preserve">Mango raita (Aam ka raita)</t>
  </si>
  <si>
    <t xml:space="preserve">BFP328</t>
  </si>
  <si>
    <t xml:space="preserve">Guava raita (Amarood ka raita)</t>
  </si>
  <si>
    <t xml:space="preserve">BFP329</t>
  </si>
  <si>
    <t xml:space="preserve">Grapes raita (Angoor ka raita)</t>
  </si>
  <si>
    <t xml:space="preserve">BFP334</t>
  </si>
  <si>
    <t xml:space="preserve">Bottle gourd kheer (Ghiya/Lauki kheer)</t>
  </si>
  <si>
    <t xml:space="preserve">BFP336</t>
  </si>
  <si>
    <t xml:space="preserve">Pumpkin kheer (Kaddu ki kheer)</t>
  </si>
  <si>
    <t xml:space="preserve">BFP338</t>
  </si>
  <si>
    <t xml:space="preserve">Apple kheer (Seb ki kheer)</t>
  </si>
  <si>
    <t xml:space="preserve">BFP345</t>
  </si>
  <si>
    <t xml:space="preserve">Caramel custard (baked)</t>
  </si>
  <si>
    <t xml:space="preserve">Vanilla ice cream without egg</t>
  </si>
  <si>
    <t xml:space="preserve">ice cream cup</t>
  </si>
  <si>
    <t xml:space="preserve">BFP347</t>
  </si>
  <si>
    <t xml:space="preserve">Vanilla ice cream with egg</t>
  </si>
  <si>
    <t xml:space="preserve">BFP348</t>
  </si>
  <si>
    <t xml:space="preserve">Strawberry ice cream</t>
  </si>
  <si>
    <t xml:space="preserve">BFP350</t>
  </si>
  <si>
    <t xml:space="preserve">Chocochip ice cream</t>
  </si>
  <si>
    <t xml:space="preserve">BFP351</t>
  </si>
  <si>
    <t xml:space="preserve">Choconut ice cream</t>
  </si>
  <si>
    <t xml:space="preserve">sundae glass</t>
  </si>
  <si>
    <t xml:space="preserve">BFP352</t>
  </si>
  <si>
    <t xml:space="preserve">Pear chocholate sunday</t>
  </si>
  <si>
    <t xml:space="preserve">BFP353</t>
  </si>
  <si>
    <t xml:space="preserve">Chocolate sauce</t>
  </si>
  <si>
    <t xml:space="preserve">BFP354</t>
  </si>
  <si>
    <t xml:space="preserve">Coffee ice cream</t>
  </si>
  <si>
    <t xml:space="preserve">BFP355</t>
  </si>
  <si>
    <t xml:space="preserve">Coffee pear alaska</t>
  </si>
  <si>
    <t xml:space="preserve">BFP356</t>
  </si>
  <si>
    <t xml:space="preserve">Crunchy butterscotch</t>
  </si>
  <si>
    <t xml:space="preserve">BFP358</t>
  </si>
  <si>
    <t xml:space="preserve">Peach melba ice cream</t>
  </si>
  <si>
    <t xml:space="preserve">BFP359</t>
  </si>
  <si>
    <t xml:space="preserve">Vanilla ice cream with apples in hot cherry sauce</t>
  </si>
  <si>
    <t xml:space="preserve">BFP361</t>
  </si>
  <si>
    <t xml:space="preserve">Grape and orange whip</t>
  </si>
  <si>
    <t xml:space="preserve">orange case</t>
  </si>
  <si>
    <t xml:space="preserve">BFP362</t>
  </si>
  <si>
    <t xml:space="preserve">Honey banana cream</t>
  </si>
  <si>
    <t xml:space="preserve">tall stemmed glass</t>
  </si>
  <si>
    <t xml:space="preserve">BFP363</t>
  </si>
  <si>
    <t xml:space="preserve">Raspberry bavarian cream</t>
  </si>
  <si>
    <t xml:space="preserve">BFP364</t>
  </si>
  <si>
    <t xml:space="preserve">Fruit delight</t>
  </si>
  <si>
    <t xml:space="preserve">BFP365</t>
  </si>
  <si>
    <t xml:space="preserve">Creamy chocolate mousse</t>
  </si>
  <si>
    <t xml:space="preserve">BFP366</t>
  </si>
  <si>
    <t xml:space="preserve">Cold lemon souffle</t>
  </si>
  <si>
    <t xml:space="preserve">souffle dish</t>
  </si>
  <si>
    <t xml:space="preserve">BFP367</t>
  </si>
  <si>
    <t xml:space="preserve">Cold orange souffle</t>
  </si>
  <si>
    <t xml:space="preserve">BFP368</t>
  </si>
  <si>
    <t xml:space="preserve">Cold pineapple souffle</t>
  </si>
  <si>
    <t xml:space="preserve">BFP369</t>
  </si>
  <si>
    <t xml:space="preserve">Cold vanilla souffle</t>
  </si>
  <si>
    <t xml:space="preserve">BFP370</t>
  </si>
  <si>
    <t xml:space="preserve">Cold chocolate souffle</t>
  </si>
  <si>
    <t xml:space="preserve">BFP371</t>
  </si>
  <si>
    <t xml:space="preserve">Stewed fruit (with pear)</t>
  </si>
  <si>
    <t xml:space="preserve">BFP372</t>
  </si>
  <si>
    <t xml:space="preserve">Apricot fool</t>
  </si>
  <si>
    <t xml:space="preserve">BFP373</t>
  </si>
  <si>
    <t xml:space="preserve">Pavlova</t>
  </si>
  <si>
    <t xml:space="preserve">meringue</t>
  </si>
  <si>
    <t xml:space="preserve">BFP379</t>
  </si>
  <si>
    <t xml:space="preserve">Apple crumb pudding</t>
  </si>
  <si>
    <t xml:space="preserve">BFP380</t>
  </si>
  <si>
    <t xml:space="preserve">Steamed cake with chocolate sauce</t>
  </si>
  <si>
    <t xml:space="preserve">BFP382</t>
  </si>
  <si>
    <t xml:space="preserve">Hot lemon souffle</t>
  </si>
  <si>
    <t xml:space="preserve">BFP386</t>
  </si>
  <si>
    <t xml:space="preserve">Gulab jamun with milk powder</t>
  </si>
  <si>
    <t xml:space="preserve">Chum chum</t>
  </si>
  <si>
    <t xml:space="preserve">BFP389</t>
  </si>
  <si>
    <t xml:space="preserve">Dil bahar</t>
  </si>
  <si>
    <t xml:space="preserve">BFP390</t>
  </si>
  <si>
    <t xml:space="preserve">Rasbhari</t>
  </si>
  <si>
    <t xml:space="preserve">BFP391</t>
  </si>
  <si>
    <t xml:space="preserve">Rajbogh</t>
  </si>
  <si>
    <t xml:space="preserve">BFP396</t>
  </si>
  <si>
    <t xml:space="preserve">Khoa coconut burfi</t>
  </si>
  <si>
    <t xml:space="preserve">BFP397</t>
  </si>
  <si>
    <t xml:space="preserve">Danedar burfi</t>
  </si>
  <si>
    <t xml:space="preserve">BFP401</t>
  </si>
  <si>
    <t xml:space="preserve">Semolina burfi (Suji/Rava burfi)</t>
  </si>
  <si>
    <t xml:space="preserve">BFP403</t>
  </si>
  <si>
    <t xml:space="preserve">Pumpkin coconut burfi (Kaddu aur nariyal ki burfi)</t>
  </si>
  <si>
    <t xml:space="preserve">BFP404</t>
  </si>
  <si>
    <t xml:space="preserve">Khoa ladoo</t>
  </si>
  <si>
    <t xml:space="preserve">BFP406</t>
  </si>
  <si>
    <t xml:space="preserve">Wheat and gram flour ladoo (Atta besan ladoo)</t>
  </si>
  <si>
    <t xml:space="preserve">Semolina ladoo with nuts (Suji/Rava ladoo with nuts)</t>
  </si>
  <si>
    <t xml:space="preserve">BFP412</t>
  </si>
  <si>
    <t xml:space="preserve">Sesame chickpeas brittle (Til aur channe ki chikki)</t>
  </si>
  <si>
    <t xml:space="preserve">BFP413</t>
  </si>
  <si>
    <t xml:space="preserve">Murmura chikki</t>
  </si>
  <si>
    <t xml:space="preserve">BFP415</t>
  </si>
  <si>
    <t xml:space="preserve">Masala onion pakora/pakoda (Pyaaz ke pakode)</t>
  </si>
  <si>
    <t xml:space="preserve">pakora</t>
  </si>
  <si>
    <t xml:space="preserve">Masala green chilli pakora/pakoda (Hari mirch kay pakode)</t>
  </si>
  <si>
    <t xml:space="preserve">Chicken pakora/pakoda</t>
  </si>
  <si>
    <t xml:space="preserve">Fish pakora/pakoda</t>
  </si>
  <si>
    <t xml:space="preserve">BFP424</t>
  </si>
  <si>
    <t xml:space="preserve">Paneer cutlet</t>
  </si>
  <si>
    <t xml:space="preserve">BFP425</t>
  </si>
  <si>
    <t xml:space="preserve">Sago cutlet/vadas (Sabudana cutlet/vadas)</t>
  </si>
  <si>
    <t xml:space="preserve">BFP427</t>
  </si>
  <si>
    <t xml:space="preserve">Poshtik cutlet</t>
  </si>
  <si>
    <t xml:space="preserve">BFP428</t>
  </si>
  <si>
    <t xml:space="preserve">Egg cutlet (Anda cutlet)</t>
  </si>
  <si>
    <t xml:space="preserve">Minced meat cutlet</t>
  </si>
  <si>
    <t xml:space="preserve">BFP431</t>
  </si>
  <si>
    <t xml:space="preserve">Vegetable samosa</t>
  </si>
  <si>
    <t xml:space="preserve">Plain urad dal vada (Uzunne vada/Minapa garelu/Ulundu vadai/Medu vada)</t>
  </si>
  <si>
    <t xml:space="preserve">BFP437</t>
  </si>
  <si>
    <t xml:space="preserve">Masala urad dal vada</t>
  </si>
  <si>
    <t xml:space="preserve">Khaman (dhokla)</t>
  </si>
  <si>
    <t xml:space="preserve">dhokla</t>
  </si>
  <si>
    <t xml:space="preserve">BFP440</t>
  </si>
  <si>
    <t xml:space="preserve">Instant dhokla</t>
  </si>
  <si>
    <t xml:space="preserve">Tomato ginger chutney (Tamatar adarak ki chutney)</t>
  </si>
  <si>
    <t xml:space="preserve">BFP443</t>
  </si>
  <si>
    <t xml:space="preserve">Mint tomato chutney (Pudinay aur tamatar ki chutney)</t>
  </si>
  <si>
    <t xml:space="preserve">BFP444</t>
  </si>
  <si>
    <t xml:space="preserve">Coriander chutney (Hare dhaniye ki chutney)</t>
  </si>
  <si>
    <t xml:space="preserve">BFP445</t>
  </si>
  <si>
    <t xml:space="preserve">Gooseberry chutney (Amla chutney)</t>
  </si>
  <si>
    <t xml:space="preserve">BFP446</t>
  </si>
  <si>
    <t xml:space="preserve">Walnut chutney (Akhrot ki chutney)</t>
  </si>
  <si>
    <t xml:space="preserve">BFP447</t>
  </si>
  <si>
    <t xml:space="preserve">Saunth/Sonth chutney with ginger</t>
  </si>
  <si>
    <t xml:space="preserve">Gun powder chutney</t>
  </si>
  <si>
    <t xml:space="preserve">BFP450</t>
  </si>
  <si>
    <t xml:space="preserve">Dessicated coconut chutney (Sookhe kase nariyal ki chutney) </t>
  </si>
  <si>
    <t xml:space="preserve">BFP451</t>
  </si>
  <si>
    <t xml:space="preserve">Curd mint dip </t>
  </si>
  <si>
    <t xml:space="preserve">BFP452</t>
  </si>
  <si>
    <t xml:space="preserve">Curd vegetable dip</t>
  </si>
  <si>
    <t xml:space="preserve">BFP453</t>
  </si>
  <si>
    <t xml:space="preserve">Mayonnaise vegetable dip</t>
  </si>
  <si>
    <t xml:space="preserve">BFP455</t>
  </si>
  <si>
    <t xml:space="preserve">Tomato and cucumber sandwich (Tamatar aur kheere ka sandwich)</t>
  </si>
  <si>
    <t xml:space="preserve">sandwich</t>
  </si>
  <si>
    <t xml:space="preserve">BFP456</t>
  </si>
  <si>
    <t xml:space="preserve">Tomato sandwich (grilled)</t>
  </si>
  <si>
    <t xml:space="preserve">BFP457</t>
  </si>
  <si>
    <t xml:space="preserve">French sandwich (toasted)</t>
  </si>
  <si>
    <t xml:space="preserve">BFP458</t>
  </si>
  <si>
    <t xml:space="preserve">Peanut butter cucumber sandwich</t>
  </si>
  <si>
    <t xml:space="preserve">BFP459</t>
  </si>
  <si>
    <t xml:space="preserve">Mint and peanut sandwich</t>
  </si>
  <si>
    <t xml:space="preserve">Spicy chutney sandwich</t>
  </si>
  <si>
    <t xml:space="preserve">BFP461</t>
  </si>
  <si>
    <t xml:space="preserve">Chicken walnut sandwich (Chicken aur akhrot ke sandwich)</t>
  </si>
  <si>
    <t xml:space="preserve">BFP463</t>
  </si>
  <si>
    <t xml:space="preserve">Rolled sandwich</t>
  </si>
  <si>
    <t xml:space="preserve">BFP466</t>
  </si>
  <si>
    <t xml:space="preserve">Ribbon sandwich</t>
  </si>
  <si>
    <t xml:space="preserve">ribbon</t>
  </si>
  <si>
    <t xml:space="preserve">BFP467</t>
  </si>
  <si>
    <t xml:space="preserve">Checker board sandwich</t>
  </si>
  <si>
    <t xml:space="preserve">square</t>
  </si>
  <si>
    <t xml:space="preserve">BFP468</t>
  </si>
  <si>
    <t xml:space="preserve">Submarine sandwich</t>
  </si>
  <si>
    <t xml:space="preserve">hot dog bun</t>
  </si>
  <si>
    <t xml:space="preserve">BFP470</t>
  </si>
  <si>
    <t xml:space="preserve">Cheese open sandwich</t>
  </si>
  <si>
    <t xml:space="preserve">BFP471</t>
  </si>
  <si>
    <t xml:space="preserve">Sunset and sunrise open sandwich</t>
  </si>
  <si>
    <t xml:space="preserve">BFP472</t>
  </si>
  <si>
    <t xml:space="preserve">Danish luncheon sandwich</t>
  </si>
  <si>
    <t xml:space="preserve">BFP473</t>
  </si>
  <si>
    <t xml:space="preserve">Chicken and corn open sandwich</t>
  </si>
  <si>
    <t xml:space="preserve">BFP476</t>
  </si>
  <si>
    <t xml:space="preserve">Chocolate sponge cake</t>
  </si>
  <si>
    <t xml:space="preserve">BFP478</t>
  </si>
  <si>
    <t xml:space="preserve">Chocolate swiss roll</t>
  </si>
  <si>
    <t xml:space="preserve">BFP479</t>
  </si>
  <si>
    <t xml:space="preserve">Lemon curd filling</t>
  </si>
  <si>
    <t xml:space="preserve">BFP480</t>
  </si>
  <si>
    <t xml:space="preserve">Jam filling</t>
  </si>
  <si>
    <t xml:space="preserve">BFP482</t>
  </si>
  <si>
    <t xml:space="preserve">Chocolate pastry</t>
  </si>
  <si>
    <t xml:space="preserve">BFP483</t>
  </si>
  <si>
    <t xml:space="preserve">Assorted pastry</t>
  </si>
  <si>
    <t xml:space="preserve">BFP484</t>
  </si>
  <si>
    <t xml:space="preserve">Orange gateau</t>
  </si>
  <si>
    <t xml:space="preserve">BFP485</t>
  </si>
  <si>
    <t xml:space="preserve">Black forest gateau</t>
  </si>
  <si>
    <t xml:space="preserve">BFP489</t>
  </si>
  <si>
    <t xml:space="preserve">Lemon cake</t>
  </si>
  <si>
    <t xml:space="preserve">BFP491</t>
  </si>
  <si>
    <t xml:space="preserve">Dundee cake</t>
  </si>
  <si>
    <t xml:space="preserve">BFP492</t>
  </si>
  <si>
    <t xml:space="preserve">Victorian sandwich cake</t>
  </si>
  <si>
    <t xml:space="preserve">BFP495</t>
  </si>
  <si>
    <t xml:space="preserve">Chocolate eggless cake</t>
  </si>
  <si>
    <t xml:space="preserve">BFP496</t>
  </si>
  <si>
    <t xml:space="preserve">Orange eggless cake</t>
  </si>
  <si>
    <t xml:space="preserve">BFP498</t>
  </si>
  <si>
    <t xml:space="preserve">Chocolate glace icing</t>
  </si>
  <si>
    <t xml:space="preserve">BFP499</t>
  </si>
  <si>
    <t xml:space="preserve">Butter icing</t>
  </si>
  <si>
    <t xml:space="preserve">BFP500</t>
  </si>
  <si>
    <t xml:space="preserve">Chocolate butter icing</t>
  </si>
  <si>
    <t xml:space="preserve">BFP502</t>
  </si>
  <si>
    <t xml:space="preserve">Almond biscuit (Badam ke biscuit)</t>
  </si>
  <si>
    <t xml:space="preserve">BFP505</t>
  </si>
  <si>
    <t xml:space="preserve">Orange biscuit</t>
  </si>
  <si>
    <t xml:space="preserve">BFP506</t>
  </si>
  <si>
    <t xml:space="preserve">Gingerman biscuit</t>
  </si>
  <si>
    <t xml:space="preserve">gingerman</t>
  </si>
  <si>
    <t xml:space="preserve">BFP507</t>
  </si>
  <si>
    <t xml:space="preserve">Coffee drops</t>
  </si>
  <si>
    <t xml:space="preserve">small</t>
  </si>
  <si>
    <t xml:space="preserve">BFP508</t>
  </si>
  <si>
    <t xml:space="preserve">Christmas biscuit</t>
  </si>
  <si>
    <t xml:space="preserve">BFP509</t>
  </si>
  <si>
    <t xml:space="preserve">Christmas wreath biscuit</t>
  </si>
  <si>
    <t xml:space="preserve">BFP510</t>
  </si>
  <si>
    <t xml:space="preserve">Christmas bell biscuit</t>
  </si>
  <si>
    <t xml:space="preserve">BFP511</t>
  </si>
  <si>
    <t xml:space="preserve">Christmas star biscuit</t>
  </si>
  <si>
    <t xml:space="preserve">BFP512</t>
  </si>
  <si>
    <t xml:space="preserve">Christmas tree biscuit</t>
  </si>
  <si>
    <t xml:space="preserve">BFP513</t>
  </si>
  <si>
    <t xml:space="preserve">Chocolate cream shells</t>
  </si>
  <si>
    <t xml:space="preserve">shell</t>
  </si>
  <si>
    <t xml:space="preserve">BFP516</t>
  </si>
  <si>
    <t xml:space="preserve">Jelly biscuit</t>
  </si>
  <si>
    <t xml:space="preserve">BFP517</t>
  </si>
  <si>
    <t xml:space="preserve">Cherry and walnut cookies</t>
  </si>
  <si>
    <t xml:space="preserve">cookies</t>
  </si>
  <si>
    <t xml:space="preserve">BFP518</t>
  </si>
  <si>
    <t xml:space="preserve">Cheese straws</t>
  </si>
  <si>
    <t xml:space="preserve">straw</t>
  </si>
  <si>
    <t xml:space="preserve">BFP519</t>
  </si>
  <si>
    <t xml:space="preserve">Butterfly biscuit</t>
  </si>
  <si>
    <t xml:space="preserve">BFP521</t>
  </si>
  <si>
    <t xml:space="preserve">Flan pastry</t>
  </si>
  <si>
    <t xml:space="preserve">BFP522</t>
  </si>
  <si>
    <t xml:space="preserve">Fruit flan</t>
  </si>
  <si>
    <t xml:space="preserve">flan</t>
  </si>
  <si>
    <t xml:space="preserve">BFP523</t>
  </si>
  <si>
    <t xml:space="preserve">Orange cream flan</t>
  </si>
  <si>
    <t xml:space="preserve">BFP527</t>
  </si>
  <si>
    <t xml:space="preserve">Fruit puree tart</t>
  </si>
  <si>
    <t xml:space="preserve">BFP529</t>
  </si>
  <si>
    <t xml:space="preserve">Apple banana pie</t>
  </si>
  <si>
    <t xml:space="preserve">BFP531</t>
  </si>
  <si>
    <t xml:space="preserve">Lemon chiffon pie</t>
  </si>
  <si>
    <t xml:space="preserve">BFP532</t>
  </si>
  <si>
    <t xml:space="preserve">Orange chiffon pie</t>
  </si>
  <si>
    <t xml:space="preserve">BFP534</t>
  </si>
  <si>
    <t xml:space="preserve">Cream buns</t>
  </si>
  <si>
    <t xml:space="preserve">bun</t>
  </si>
  <si>
    <t xml:space="preserve">BFP535</t>
  </si>
  <si>
    <t xml:space="preserve">Savoury puffs</t>
  </si>
  <si>
    <t xml:space="preserve">BFP536</t>
  </si>
  <si>
    <t xml:space="preserve">Choux swans</t>
  </si>
  <si>
    <t xml:space="preserve">swan</t>
  </si>
  <si>
    <t xml:space="preserve">BFP539</t>
  </si>
  <si>
    <t xml:space="preserve">Potato aigrettes</t>
  </si>
  <si>
    <t xml:space="preserve">aigrette</t>
  </si>
  <si>
    <t xml:space="preserve">BFP541</t>
  </si>
  <si>
    <t xml:space="preserve">Cream horns</t>
  </si>
  <si>
    <t xml:space="preserve">horn</t>
  </si>
  <si>
    <t xml:space="preserve">BFP542</t>
  </si>
  <si>
    <t xml:space="preserve">Savoury cheese horns</t>
  </si>
  <si>
    <t xml:space="preserve">BFP544</t>
  </si>
  <si>
    <t xml:space="preserve">Paneer patties</t>
  </si>
  <si>
    <t xml:space="preserve">BFP545</t>
  </si>
  <si>
    <t xml:space="preserve">Vegetable patties </t>
  </si>
  <si>
    <t xml:space="preserve">BFP546</t>
  </si>
  <si>
    <t xml:space="preserve">Pearl millet infant food (Bajra shishu aahaar)</t>
  </si>
  <si>
    <t xml:space="preserve">BFP547</t>
  </si>
  <si>
    <t xml:space="preserve">Sajina</t>
  </si>
  <si>
    <t xml:space="preserve">BFP548</t>
  </si>
  <si>
    <t xml:space="preserve">Cereal mix </t>
  </si>
  <si>
    <t xml:space="preserve">BFP549</t>
  </si>
  <si>
    <t xml:space="preserve">Pulse mix</t>
  </si>
  <si>
    <t xml:space="preserve">BFP550</t>
  </si>
  <si>
    <t xml:space="preserve">Shishu ahar</t>
  </si>
  <si>
    <t xml:space="preserve">BFP552</t>
  </si>
  <si>
    <t xml:space="preserve">Cereal pulse mix with amylase rice flour</t>
  </si>
  <si>
    <t xml:space="preserve">BFP553</t>
  </si>
  <si>
    <t xml:space="preserve">Banana groundnut paste/puree</t>
  </si>
  <si>
    <t xml:space="preserve">BFP554</t>
  </si>
  <si>
    <t xml:space="preserve">Rice dal porridge (Chawal dal ki khichdi/khichri)</t>
  </si>
  <si>
    <t xml:space="preserve">BFP555</t>
  </si>
  <si>
    <t xml:space="preserve">Lentils and semolina porridge (Dal suji porridge/daliya)</t>
  </si>
  <si>
    <t xml:space="preserve">BFP556</t>
  </si>
  <si>
    <t xml:space="preserve">Spinach khichri (Palak khichri/khichdi)</t>
  </si>
  <si>
    <t xml:space="preserve">BFP557</t>
  </si>
  <si>
    <t xml:space="preserve">Vegetable mix</t>
  </si>
  <si>
    <t xml:space="preserve">BFP558</t>
  </si>
  <si>
    <t xml:space="preserve">Lentils and wheat porridge (Dal wheat porridge/daliya )</t>
  </si>
  <si>
    <t xml:space="preserve">BFP559</t>
  </si>
  <si>
    <t xml:space="preserve">Maize porridge</t>
  </si>
  <si>
    <t xml:space="preserve">BFP560</t>
  </si>
  <si>
    <t xml:space="preserve">Spinach peanut burfi (Palak aur mungfali ki burfi)</t>
  </si>
  <si>
    <t xml:space="preserve">BFP561</t>
  </si>
  <si>
    <t xml:space="preserve">Split bengal gram burfi/fudge (Channa dal burfi)</t>
  </si>
  <si>
    <t xml:space="preserve">BFP563</t>
  </si>
  <si>
    <t xml:space="preserve">Chickpea flour cookies (Sweet besan rounds/cookies)</t>
  </si>
  <si>
    <t xml:space="preserve">BFP564</t>
  </si>
  <si>
    <t xml:space="preserve">Pearl millet mathri (Bajra mathri)</t>
  </si>
  <si>
    <t xml:space="preserve">BFP565</t>
  </si>
  <si>
    <t xml:space="preserve">Sesame biscuit (Til ke biscuit)</t>
  </si>
  <si>
    <t xml:space="preserve">BFP566</t>
  </si>
  <si>
    <t xml:space="preserve">Fermented bengal gram vada (Khameerikrit/Ufna hua channa dal ka vada)</t>
  </si>
  <si>
    <t xml:space="preserve">BFP568</t>
  </si>
  <si>
    <t xml:space="preserve">Poshtik namak paras</t>
  </si>
  <si>
    <t xml:space="preserve">BFP569</t>
  </si>
  <si>
    <t xml:space="preserve">Soya chikki</t>
  </si>
  <si>
    <t xml:space="preserve">BFP570</t>
  </si>
  <si>
    <t xml:space="preserve">Besan bathua chilla/cheela</t>
  </si>
  <si>
    <t xml:space="preserve">BFP571</t>
  </si>
  <si>
    <t xml:space="preserve">Wheat flour and nuts ladoos (Atta nuts ladoos)</t>
  </si>
  <si>
    <t xml:space="preserve">BFP573</t>
  </si>
  <si>
    <t xml:space="preserve">Gram flour and semolina dhokla (Besan suji dhokla)</t>
  </si>
  <si>
    <t xml:space="preserve">BFP574</t>
  </si>
  <si>
    <t xml:space="preserve">Atta dal burfi </t>
  </si>
  <si>
    <t xml:space="preserve">BFP575</t>
  </si>
  <si>
    <t xml:space="preserve">Soya roti</t>
  </si>
  <si>
    <t xml:space="preserve">BFP576</t>
  </si>
  <si>
    <t xml:space="preserve">Poshtik khichdi/khichri</t>
  </si>
  <si>
    <t xml:space="preserve">Namkeen daliya</t>
  </si>
  <si>
    <t xml:space="preserve">BFP578</t>
  </si>
  <si>
    <t xml:space="preserve">Sprouts upma </t>
  </si>
  <si>
    <t xml:space="preserve">Semolina idli (Suji/Rava idli)</t>
  </si>
  <si>
    <t xml:space="preserve">BFP580</t>
  </si>
  <si>
    <t xml:space="preserve">Poshtik chilla/cheela</t>
  </si>
  <si>
    <t xml:space="preserve">BFP604</t>
  </si>
  <si>
    <t xml:space="preserve">Stuffed bittergourd (dry) (Bharwa karela)</t>
  </si>
  <si>
    <t xml:space="preserve">BFP605</t>
  </si>
  <si>
    <t xml:space="preserve">Cauliflower potato canjee</t>
  </si>
  <si>
    <t xml:space="preserve">BFP606</t>
  </si>
  <si>
    <t xml:space="preserve">Creamed spinach</t>
  </si>
  <si>
    <t xml:space="preserve">Mango milkshake with ice cream (Aam milkshake ice cream ke saath)</t>
  </si>
  <si>
    <t xml:space="preserve">BFP608</t>
  </si>
  <si>
    <t xml:space="preserve">Pineapple milkshake with ice cream (Ananas milkshake ice cream ke saath)</t>
  </si>
  <si>
    <t xml:space="preserve">BFP609</t>
  </si>
  <si>
    <t xml:space="preserve">Orange milkshake with ice cream (Narangi milkshake ice cream ke saath)</t>
  </si>
  <si>
    <t xml:space="preserve">Woodapple juice (Bel ka sharbat)</t>
  </si>
  <si>
    <t xml:space="preserve">OSR004</t>
  </si>
  <si>
    <t xml:space="preserve">Apple and honey sorbet (Seb aur shehad ka sharbat)</t>
  </si>
  <si>
    <t xml:space="preserve">OSR006</t>
  </si>
  <si>
    <t xml:space="preserve">Cucumber sharbat (Kheere ka sharbat)</t>
  </si>
  <si>
    <t xml:space="preserve">OSR007</t>
  </si>
  <si>
    <t xml:space="preserve">Apple oats chia seed smoothie</t>
  </si>
  <si>
    <t xml:space="preserve">OSR009</t>
  </si>
  <si>
    <t xml:space="preserve">Semolina milk drink (Thari kanji)</t>
  </si>
  <si>
    <t xml:space="preserve">Saffron milk (Kesariya doodh)</t>
  </si>
  <si>
    <t xml:space="preserve">OSR011</t>
  </si>
  <si>
    <t xml:space="preserve">Black rice kheer (Chak-hao kheer)</t>
  </si>
  <si>
    <t xml:space="preserve">OSR012</t>
  </si>
  <si>
    <t xml:space="preserve">Coconut kheer (Nariyal ki kheer)</t>
  </si>
  <si>
    <t xml:space="preserve">OSR013</t>
  </si>
  <si>
    <t xml:space="preserve">Apple sago payasam (Seb aur sabudana ki kheer)</t>
  </si>
  <si>
    <t xml:space="preserve">OSR015</t>
  </si>
  <si>
    <t xml:space="preserve">Putharekulu</t>
  </si>
  <si>
    <t xml:space="preserve">OSR016</t>
  </si>
  <si>
    <t xml:space="preserve">Mango malpua</t>
  </si>
  <si>
    <t xml:space="preserve">OSR017</t>
  </si>
  <si>
    <t xml:space="preserve">Mango vanilla custard</t>
  </si>
  <si>
    <t xml:space="preserve">OSR018</t>
  </si>
  <si>
    <t xml:space="preserve">Kiwi granola pudding</t>
  </si>
  <si>
    <t xml:space="preserve">OSR019</t>
  </si>
  <si>
    <t xml:space="preserve">Oats burfi</t>
  </si>
  <si>
    <t xml:space="preserve">OSR020</t>
  </si>
  <si>
    <t xml:space="preserve">Lotus seed halwa (Kamal gattay ka halwa)</t>
  </si>
  <si>
    <t xml:space="preserve">OSR021</t>
  </si>
  <si>
    <t xml:space="preserve">Amaranth ladoo (Rajgira ladoo)</t>
  </si>
  <si>
    <t xml:space="preserve">OSR023</t>
  </si>
  <si>
    <t xml:space="preserve">Sweet couscous dessert</t>
  </si>
  <si>
    <t xml:space="preserve">Sweetened yogurt (Shrikhand)</t>
  </si>
  <si>
    <t xml:space="preserve">Thickened sweetened milk (Rabri)</t>
  </si>
  <si>
    <t xml:space="preserve">Gram flour halwa (Besan halwa)</t>
  </si>
  <si>
    <t xml:space="preserve">OSR027</t>
  </si>
  <si>
    <t xml:space="preserve">Prawn sandwich</t>
  </si>
  <si>
    <t xml:space="preserve">OSR028</t>
  </si>
  <si>
    <t xml:space="preserve">Watercress sandwich</t>
  </si>
  <si>
    <t xml:space="preserve">OSR029</t>
  </si>
  <si>
    <t xml:space="preserve">Fish sandwich </t>
  </si>
  <si>
    <t xml:space="preserve">OSR030</t>
  </si>
  <si>
    <t xml:space="preserve">Kidney bean sandwich with cottage cheese</t>
  </si>
  <si>
    <t xml:space="preserve">OSR031</t>
  </si>
  <si>
    <t xml:space="preserve">Finger millet biscuit (Ragi biscuit)</t>
  </si>
  <si>
    <t xml:space="preserve">OSR032</t>
  </si>
  <si>
    <t xml:space="preserve">Buttermilk biscuit</t>
  </si>
  <si>
    <t xml:space="preserve">OSR033</t>
  </si>
  <si>
    <t xml:space="preserve">Lemon cookies</t>
  </si>
  <si>
    <t xml:space="preserve">OSR034</t>
  </si>
  <si>
    <t xml:space="preserve">Sweet potato biscuit (Shakarkand ke biscuit)</t>
  </si>
  <si>
    <t xml:space="preserve">OSR035</t>
  </si>
  <si>
    <t xml:space="preserve">Raspberry shortbread cookies</t>
  </si>
  <si>
    <t xml:space="preserve">OSR036</t>
  </si>
  <si>
    <t xml:space="preserve">Pumpkin cookies </t>
  </si>
  <si>
    <t xml:space="preserve">OSR037</t>
  </si>
  <si>
    <t xml:space="preserve">Greenpea cookies</t>
  </si>
  <si>
    <t xml:space="preserve">OSR038</t>
  </si>
  <si>
    <t xml:space="preserve">Sunflower cookies</t>
  </si>
  <si>
    <t xml:space="preserve">OSR039</t>
  </si>
  <si>
    <t xml:space="preserve">Cardamom cookies (Elaichi cookies)</t>
  </si>
  <si>
    <t xml:space="preserve">OSR040</t>
  </si>
  <si>
    <t xml:space="preserve">Hazelnut cookies</t>
  </si>
  <si>
    <t xml:space="preserve">OSR041</t>
  </si>
  <si>
    <t xml:space="preserve">Milk cookies</t>
  </si>
  <si>
    <t xml:space="preserve">OSR042</t>
  </si>
  <si>
    <t xml:space="preserve">Cranberry cookies</t>
  </si>
  <si>
    <t xml:space="preserve">OSR043</t>
  </si>
  <si>
    <t xml:space="preserve">Olive biscuit</t>
  </si>
  <si>
    <t xml:space="preserve">OSR045</t>
  </si>
  <si>
    <t xml:space="preserve">Tutti fruitti biscuit</t>
  </si>
  <si>
    <t xml:space="preserve">OSR046</t>
  </si>
  <si>
    <t xml:space="preserve">Peach blueberry preserves</t>
  </si>
  <si>
    <t xml:space="preserve">half-pints</t>
  </si>
  <si>
    <t xml:space="preserve">OSR047</t>
  </si>
  <si>
    <t xml:space="preserve">Pear preserves (Naashpati ka murabba)</t>
  </si>
  <si>
    <t xml:space="preserve">OSR048</t>
  </si>
  <si>
    <t xml:space="preserve">Starfruit preserves </t>
  </si>
  <si>
    <t xml:space="preserve">jar</t>
  </si>
  <si>
    <t xml:space="preserve">OSR049</t>
  </si>
  <si>
    <t xml:space="preserve">Gooseberry pickle (Amla ka achaar)</t>
  </si>
  <si>
    <t xml:space="preserve">OSR050</t>
  </si>
  <si>
    <t xml:space="preserve">Lotus stem pickle (Kamal kakdi ka achar)</t>
  </si>
  <si>
    <t xml:space="preserve">OSR051</t>
  </si>
  <si>
    <t xml:space="preserve">Date pickle (Khajoor ka achaar)</t>
  </si>
  <si>
    <t xml:space="preserve">OSR052</t>
  </si>
  <si>
    <t xml:space="preserve">Garlic pickle (Lahasun ka achar)</t>
  </si>
  <si>
    <t xml:space="preserve">OSR053</t>
  </si>
  <si>
    <t xml:space="preserve">Fermented bamboo shoot pickle (Mesu pickle)</t>
  </si>
  <si>
    <t xml:space="preserve">OSR054</t>
  </si>
  <si>
    <t xml:space="preserve">Sweet peach pickle (Aadoo ka achaar)</t>
  </si>
  <si>
    <t xml:space="preserve">OSR055</t>
  </si>
  <si>
    <t xml:space="preserve">Pickled mustard greens </t>
  </si>
  <si>
    <t xml:space="preserve">OSR056</t>
  </si>
  <si>
    <t xml:space="preserve">Small onion pickle </t>
  </si>
  <si>
    <t xml:space="preserve">OSR057</t>
  </si>
  <si>
    <t xml:space="preserve">Green tomato pickle (Haray tamatar ka achaar)</t>
  </si>
  <si>
    <t xml:space="preserve">OSR058</t>
  </si>
  <si>
    <t xml:space="preserve">Pickled cabbage </t>
  </si>
  <si>
    <t xml:space="preserve">OSR059</t>
  </si>
  <si>
    <t xml:space="preserve">Coconut pickle (Nariyal ka aachar)</t>
  </si>
  <si>
    <t xml:space="preserve">OSR060</t>
  </si>
  <si>
    <t xml:space="preserve">Potato pickle (Aloo ka achaar)</t>
  </si>
  <si>
    <t xml:space="preserve">OSR061</t>
  </si>
  <si>
    <t xml:space="preserve">Mango murabba candy</t>
  </si>
  <si>
    <t xml:space="preserve">candy</t>
  </si>
  <si>
    <t xml:space="preserve">Afghani chicken</t>
  </si>
  <si>
    <t xml:space="preserve">OSR063</t>
  </si>
  <si>
    <t xml:space="preserve">Fish orly</t>
  </si>
  <si>
    <t xml:space="preserve">OSR064</t>
  </si>
  <si>
    <t xml:space="preserve">Hariyali Fish Tikka</t>
  </si>
  <si>
    <t xml:space="preserve">Chicken manchurian</t>
  </si>
  <si>
    <t xml:space="preserve">Handi chicken</t>
  </si>
  <si>
    <t xml:space="preserve">OSR067</t>
  </si>
  <si>
    <t xml:space="preserve">Lemon chicken</t>
  </si>
  <si>
    <t xml:space="preserve">OSR068</t>
  </si>
  <si>
    <t xml:space="preserve">Lemon butter fish</t>
  </si>
  <si>
    <t xml:space="preserve">OSR069</t>
  </si>
  <si>
    <t xml:space="preserve">Baked eggs in tomato sauce</t>
  </si>
  <si>
    <t xml:space="preserve">OSR070</t>
  </si>
  <si>
    <t xml:space="preserve">Egg in a pepper</t>
  </si>
  <si>
    <t xml:space="preserve">OSR071</t>
  </si>
  <si>
    <t xml:space="preserve">Spinach mushroom scrambled egg (Palak mushroom bhurji)</t>
  </si>
  <si>
    <t xml:space="preserve">OSR072</t>
  </si>
  <si>
    <t xml:space="preserve">Corn omelette/omlet</t>
  </si>
  <si>
    <t xml:space="preserve">OSR073</t>
  </si>
  <si>
    <t xml:space="preserve">Cajun chicken</t>
  </si>
  <si>
    <t xml:space="preserve">chicken breast</t>
  </si>
  <si>
    <t xml:space="preserve">Paaner do pyaza</t>
  </si>
  <si>
    <t xml:space="preserve">OSR075</t>
  </si>
  <si>
    <t xml:space="preserve">Cabbage manchurian (Pattagobhi manchurian)</t>
  </si>
  <si>
    <t xml:space="preserve">OSR078</t>
  </si>
  <si>
    <t xml:space="preserve">Roasted cauliflower steak</t>
  </si>
  <si>
    <t xml:space="preserve">cauliflower steak</t>
  </si>
  <si>
    <t xml:space="preserve">OSR079</t>
  </si>
  <si>
    <t xml:space="preserve">Sauteed radishes with green beans</t>
  </si>
  <si>
    <t xml:space="preserve">OSR080</t>
  </si>
  <si>
    <t xml:space="preserve">Garlic chutney/Poondu chutney (Lahasun ki chutney)</t>
  </si>
  <si>
    <t xml:space="preserve">OSR081</t>
  </si>
  <si>
    <t xml:space="preserve">Schezwan chutney</t>
  </si>
  <si>
    <t xml:space="preserve">box</t>
  </si>
  <si>
    <t xml:space="preserve">OSR083</t>
  </si>
  <si>
    <t xml:space="preserve">Onion chutney (Pyaaz ki chutney/Vengaya chutney)</t>
  </si>
  <si>
    <t xml:space="preserve">OSR085</t>
  </si>
  <si>
    <t xml:space="preserve">Dates chutney (Khajoor ki chutney)</t>
  </si>
  <si>
    <t xml:space="preserve">OSR086</t>
  </si>
  <si>
    <t xml:space="preserve">Chicken salad</t>
  </si>
  <si>
    <t xml:space="preserve">OSR087</t>
  </si>
  <si>
    <t xml:space="preserve">Macaroni salad</t>
  </si>
  <si>
    <t xml:space="preserve">OSR088</t>
  </si>
  <si>
    <t xml:space="preserve">Cabbage raita (Pattagobhi raita)</t>
  </si>
  <si>
    <t xml:space="preserve">OSR089</t>
  </si>
  <si>
    <t xml:space="preserve">Pomegranate raita (Anaar ka raita)</t>
  </si>
  <si>
    <t xml:space="preserve">OSR090</t>
  </si>
  <si>
    <t xml:space="preserve">Onion raita (Pyaaz ka raita)</t>
  </si>
  <si>
    <t xml:space="preserve">OSR091</t>
  </si>
  <si>
    <t xml:space="preserve">Green chilli raita (Hari mirch ka raita)</t>
  </si>
  <si>
    <t xml:space="preserve">OSR092</t>
  </si>
  <si>
    <t xml:space="preserve">Kale salad</t>
  </si>
  <si>
    <t xml:space="preserve">OSR093</t>
  </si>
  <si>
    <t xml:space="preserve">Spinach and paneer souffle </t>
  </si>
  <si>
    <t xml:space="preserve">OSR094</t>
  </si>
  <si>
    <t xml:space="preserve">Masala souffle </t>
  </si>
  <si>
    <t xml:space="preserve">OSR095</t>
  </si>
  <si>
    <t xml:space="preserve">Chicken and cheese souffle</t>
  </si>
  <si>
    <t xml:space="preserve">OSR096</t>
  </si>
  <si>
    <t xml:space="preserve">Tamarind chutney (Chintapandu pachadi/Puli chutney)</t>
  </si>
  <si>
    <t xml:space="preserve">OSR097</t>
  </si>
  <si>
    <t xml:space="preserve">Pav bhaji masala</t>
  </si>
  <si>
    <t xml:space="preserve">gm</t>
  </si>
  <si>
    <t xml:space="preserve">OSR098</t>
  </si>
  <si>
    <t xml:space="preserve">Green chutney</t>
  </si>
  <si>
    <t xml:space="preserve">glass jar</t>
  </si>
  <si>
    <t xml:space="preserve">Sago khitchdi/khichri (Sabudana khitchdi/khichri)</t>
  </si>
  <si>
    <t xml:space="preserve">Gram flour chilla/cheela (Besan chilla/cheela)</t>
  </si>
  <si>
    <t xml:space="preserve">OSR101</t>
  </si>
  <si>
    <t xml:space="preserve">Vegetable namkeen jave</t>
  </si>
  <si>
    <t xml:space="preserve">Khakhra</t>
  </si>
  <si>
    <t xml:space="preserve">khakhra</t>
  </si>
  <si>
    <t xml:space="preserve">Moong bean dosa (Pesarattu)</t>
  </si>
  <si>
    <t xml:space="preserve">pesarattu</t>
  </si>
  <si>
    <t xml:space="preserve">thepla</t>
  </si>
  <si>
    <t xml:space="preserve">Rice puttu (Ari puttu)</t>
  </si>
  <si>
    <t xml:space="preserve">puttu</t>
  </si>
  <si>
    <t xml:space="preserve">OSR106</t>
  </si>
  <si>
    <t xml:space="preserve">Buckwheat pancake (Khura)</t>
  </si>
  <si>
    <t xml:space="preserve">OSR107</t>
  </si>
  <si>
    <t xml:space="preserve">Quinoa khichdi/khichri</t>
  </si>
  <si>
    <t xml:space="preserve">OSR108</t>
  </si>
  <si>
    <t xml:space="preserve">Khakhra chaat</t>
  </si>
  <si>
    <t xml:space="preserve">OSR110</t>
  </si>
  <si>
    <t xml:space="preserve">Banana appam</t>
  </si>
  <si>
    <t xml:space="preserve">Veg manchurian</t>
  </si>
  <si>
    <t xml:space="preserve">Pav bhaji</t>
  </si>
  <si>
    <t xml:space="preserve">Rice murukku</t>
  </si>
  <si>
    <t xml:space="preserve">Bhel puri </t>
  </si>
  <si>
    <t xml:space="preserve">Semolina dhokla (Suji/Rava dhokla)</t>
  </si>
  <si>
    <t xml:space="preserve">OSR116</t>
  </si>
  <si>
    <t xml:space="preserve">Spicy corn chaat </t>
  </si>
  <si>
    <t xml:space="preserve">OSR118</t>
  </si>
  <si>
    <t xml:space="preserve">Jackfruit fritters (Ponsa mulik/Kathal ka pakora)</t>
  </si>
  <si>
    <t xml:space="preserve">mulik/fritter</t>
  </si>
  <si>
    <t xml:space="preserve">Banana chips (Kele ke chips)</t>
  </si>
  <si>
    <t xml:space="preserve">OSR120</t>
  </si>
  <si>
    <t xml:space="preserve">Wheat cake</t>
  </si>
  <si>
    <t xml:space="preserve">OSR121</t>
  </si>
  <si>
    <t xml:space="preserve">Mango cheesecake</t>
  </si>
  <si>
    <t xml:space="preserve">OSR122</t>
  </si>
  <si>
    <t xml:space="preserve">Carrot cake (Gajar ka cake)</t>
  </si>
  <si>
    <t xml:space="preserve">OSR123</t>
  </si>
  <si>
    <t xml:space="preserve">Semolina cake (Suji/Rava cake)</t>
  </si>
  <si>
    <t xml:space="preserve">OSR124</t>
  </si>
  <si>
    <t xml:space="preserve">Finger millet cake (Ragi cake)</t>
  </si>
  <si>
    <t xml:space="preserve">OSR125</t>
  </si>
  <si>
    <t xml:space="preserve">Honey cake</t>
  </si>
  <si>
    <t xml:space="preserve">OSR126</t>
  </si>
  <si>
    <t xml:space="preserve">Almond cardamom cake (Badam elaichi cake)</t>
  </si>
  <si>
    <t xml:space="preserve">OSR127</t>
  </si>
  <si>
    <t xml:space="preserve">Tutti frutti cake</t>
  </si>
  <si>
    <t xml:space="preserve">cake</t>
  </si>
  <si>
    <t xml:space="preserve">OSR128</t>
  </si>
  <si>
    <t xml:space="preserve">Ham and Bean soup</t>
  </si>
  <si>
    <t xml:space="preserve">OSR129</t>
  </si>
  <si>
    <t xml:space="preserve">Whey soup</t>
  </si>
  <si>
    <t xml:space="preserve">OSR130</t>
  </si>
  <si>
    <t xml:space="preserve">Bottle gourd soup (Ghiya/Lauki soup)</t>
  </si>
  <si>
    <t xml:space="preserve">OSR131</t>
  </si>
  <si>
    <t xml:space="preserve">Baked potato soup</t>
  </si>
  <si>
    <t xml:space="preserve">OSR132</t>
  </si>
  <si>
    <t xml:space="preserve">Pumpkin soup</t>
  </si>
  <si>
    <t xml:space="preserve">Sweet corn soup</t>
  </si>
  <si>
    <t xml:space="preserve">OSR134</t>
  </si>
  <si>
    <t xml:space="preserve">Paneer soup</t>
  </si>
  <si>
    <t xml:space="preserve">OSR135</t>
  </si>
  <si>
    <t xml:space="preserve">Curried Cauliflower soup</t>
  </si>
  <si>
    <t xml:space="preserve">OSR136</t>
  </si>
  <si>
    <t xml:space="preserve">Millet soup</t>
  </si>
  <si>
    <t xml:space="preserve">OSR138</t>
  </si>
  <si>
    <t xml:space="preserve">Garlic soup</t>
  </si>
  <si>
    <t xml:space="preserve">Dal makhani</t>
  </si>
  <si>
    <t xml:space="preserve">Dalma</t>
  </si>
  <si>
    <t xml:space="preserve">Split bengal gram dal (Channa dal)</t>
  </si>
  <si>
    <t xml:space="preserve">Horsegram dal (Kulthi dal) </t>
  </si>
  <si>
    <t xml:space="preserve">Panchmel dal</t>
  </si>
  <si>
    <t xml:space="preserve">Gujarati handvo </t>
  </si>
  <si>
    <t xml:space="preserve">Sev (Omapodi/Karapusa)</t>
  </si>
  <si>
    <t xml:space="preserve">OSR148</t>
  </si>
  <si>
    <t xml:space="preserve">Papdi</t>
  </si>
  <si>
    <t xml:space="preserve">OSR151</t>
  </si>
  <si>
    <t xml:space="preserve">Jowar dosa</t>
  </si>
  <si>
    <t xml:space="preserve">OSR152</t>
  </si>
  <si>
    <t xml:space="preserve">bread roll</t>
  </si>
  <si>
    <t xml:space="preserve">OSR153</t>
  </si>
  <si>
    <t xml:space="preserve">Soya seekh kebab</t>
  </si>
  <si>
    <t xml:space="preserve">OSR154</t>
  </si>
  <si>
    <t xml:space="preserve">Classic seasoned black beans</t>
  </si>
  <si>
    <t xml:space="preserve">OSR155</t>
  </si>
  <si>
    <t xml:space="preserve">Maa chaane ki dal</t>
  </si>
  <si>
    <t xml:space="preserve">OSR156</t>
  </si>
  <si>
    <t xml:space="preserve">Garlic chickpea soup (Lahasun aur chane ka shoraba)</t>
  </si>
  <si>
    <t xml:space="preserve">ASC071</t>
  </si>
  <si>
    <t xml:space="preserve">White sauce (thin)</t>
  </si>
  <si>
    <t xml:space="preserve">ASC072</t>
  </si>
  <si>
    <t xml:space="preserve">White sauce (medium)</t>
  </si>
  <si>
    <t xml:space="preserve">ASC073</t>
  </si>
  <si>
    <t xml:space="preserve">White sauce (thick)</t>
  </si>
  <si>
    <t xml:space="preserve">ASC074</t>
  </si>
  <si>
    <t xml:space="preserve">Cheese sauce</t>
  </si>
  <si>
    <t xml:space="preserve">ASC075</t>
  </si>
  <si>
    <t xml:space="preserve">Egg sauce</t>
  </si>
  <si>
    <t xml:space="preserve">ASC076</t>
  </si>
  <si>
    <t xml:space="preserve">Mushroom sauce</t>
  </si>
  <si>
    <t xml:space="preserve">ASC077</t>
  </si>
  <si>
    <t xml:space="preserve">Mustard sauce</t>
  </si>
  <si>
    <t xml:space="preserve">ASC078</t>
  </si>
  <si>
    <t xml:space="preserve">Brown sauce</t>
  </si>
  <si>
    <t xml:space="preserve">ASC130</t>
  </si>
  <si>
    <t xml:space="preserve">Classic italian pasta</t>
  </si>
  <si>
    <t xml:space="preserve">ASC131</t>
  </si>
  <si>
    <t xml:space="preserve">Pasta spinach sauce</t>
  </si>
  <si>
    <t xml:space="preserve">ASC132</t>
  </si>
  <si>
    <t xml:space="preserve">Pasta cheese sauce</t>
  </si>
  <si>
    <t xml:space="preserve">ASC266</t>
  </si>
  <si>
    <t xml:space="preserve">Mayonnaise</t>
  </si>
  <si>
    <t xml:space="preserve">ASC267</t>
  </si>
  <si>
    <t xml:space="preserve">Low calorie quick mayonnaise</t>
  </si>
  <si>
    <t xml:space="preserve">ASC268</t>
  </si>
  <si>
    <t xml:space="preserve">Thousand island dressing</t>
  </si>
  <si>
    <t xml:space="preserve">ASC388</t>
  </si>
  <si>
    <t xml:space="preserve">Curd dip</t>
  </si>
  <si>
    <t xml:space="preserve">ASC394</t>
  </si>
  <si>
    <t xml:space="preserve">Short crust pastry</t>
  </si>
  <si>
    <t xml:space="preserve">ASC406</t>
  </si>
  <si>
    <t xml:space="preserve">Choux pastry</t>
  </si>
  <si>
    <t xml:space="preserve">ASC410</t>
  </si>
  <si>
    <t xml:space="preserve">Flaky pastry</t>
  </si>
  <si>
    <t xml:space="preserve">ASC428</t>
  </si>
  <si>
    <t xml:space="preserve">Sponge cake </t>
  </si>
  <si>
    <t xml:space="preserve">ASC434</t>
  </si>
  <si>
    <t xml:space="preserve">Glace icing</t>
  </si>
  <si>
    <t xml:space="preserve">ASC436</t>
  </si>
  <si>
    <t xml:space="preserve">Royal icing</t>
  </si>
  <si>
    <t xml:space="preserve">ASC437</t>
  </si>
  <si>
    <t xml:space="preserve">American frosting</t>
  </si>
  <si>
    <t xml:space="preserve">ASC438</t>
  </si>
  <si>
    <t xml:space="preserve">Gum icing</t>
  </si>
  <si>
    <t xml:space="preserve">ASC475</t>
  </si>
  <si>
    <t xml:space="preserve">Channa murmura premix</t>
  </si>
  <si>
    <t xml:space="preserve">ASC476</t>
  </si>
  <si>
    <t xml:space="preserve">Cracked wheat and green gram dal premix (Dalia moong dal premix)</t>
  </si>
  <si>
    <t xml:space="preserve">ASC477</t>
  </si>
  <si>
    <t xml:space="preserve">Rice flakes and roasted channa </t>
  </si>
  <si>
    <t xml:space="preserve">ASC479</t>
  </si>
  <si>
    <t xml:space="preserve">Spinach soup in milk </t>
  </si>
  <si>
    <t xml:space="preserve">ASC480</t>
  </si>
  <si>
    <t xml:space="preserve">Vegetable soup</t>
  </si>
  <si>
    <t xml:space="preserve">ASC481</t>
  </si>
  <si>
    <t xml:space="preserve">Mashed banana with milk</t>
  </si>
  <si>
    <t xml:space="preserve">ASC484</t>
  </si>
  <si>
    <t xml:space="preserve">Poha with curd (Poha aur dahi)</t>
  </si>
  <si>
    <t xml:space="preserve">ASC485</t>
  </si>
  <si>
    <t xml:space="preserve">Potato with curd</t>
  </si>
  <si>
    <t xml:space="preserve">ASC486</t>
  </si>
  <si>
    <t xml:space="preserve">Sweet wheat porridge (Sweet dalia)</t>
  </si>
  <si>
    <t xml:space="preserve">Vegetable khichdi/khichri</t>
  </si>
  <si>
    <t xml:space="preserve">ASC489</t>
  </si>
  <si>
    <t xml:space="preserve">Moong dal mixture</t>
  </si>
  <si>
    <t xml:space="preserve">ASC490</t>
  </si>
  <si>
    <t xml:space="preserve">Cracked wheat khichri/khichdi (Dalia khichri/khichdi)</t>
  </si>
  <si>
    <t xml:space="preserve">ASC492</t>
  </si>
  <si>
    <t xml:space="preserve">Stewed apple</t>
  </si>
  <si>
    <t xml:space="preserve">ASC493</t>
  </si>
  <si>
    <t xml:space="preserve">Lemon squash (Nimbu ka squash)</t>
  </si>
  <si>
    <t xml:space="preserve">ASC494</t>
  </si>
  <si>
    <t xml:space="preserve">Orange squash (Santre ka squash)</t>
  </si>
  <si>
    <t xml:space="preserve">ASC495</t>
  </si>
  <si>
    <t xml:space="preserve">Lichi squash</t>
  </si>
  <si>
    <t xml:space="preserve">ASC496</t>
  </si>
  <si>
    <t xml:space="preserve">Mango squash (Aam ka squash)</t>
  </si>
  <si>
    <t xml:space="preserve">ASC497</t>
  </si>
  <si>
    <t xml:space="preserve">Pineapple squash (Ananas ka squash)</t>
  </si>
  <si>
    <t xml:space="preserve">ASC498</t>
  </si>
  <si>
    <t xml:space="preserve">Lemon and ginger squash (Nimbu aur adrak ka squash)</t>
  </si>
  <si>
    <t xml:space="preserve">ASC499</t>
  </si>
  <si>
    <t xml:space="preserve">Apple jam (Seb ka murabba)</t>
  </si>
  <si>
    <t xml:space="preserve">ASC500</t>
  </si>
  <si>
    <t xml:space="preserve">Plum jam (Aloo bukhara jam)</t>
  </si>
  <si>
    <t xml:space="preserve">ASC501</t>
  </si>
  <si>
    <t xml:space="preserve">Pineapple jam </t>
  </si>
  <si>
    <t xml:space="preserve">ASC502</t>
  </si>
  <si>
    <t xml:space="preserve">Guava jelly (Amrood ki jelly)</t>
  </si>
  <si>
    <t xml:space="preserve">ASC503</t>
  </si>
  <si>
    <t xml:space="preserve">Orange marmalade (Santray ka murabba)</t>
  </si>
  <si>
    <t xml:space="preserve">ASC504</t>
  </si>
  <si>
    <t xml:space="preserve">Carrot murabba (Gajar ka murabba)</t>
  </si>
  <si>
    <t xml:space="preserve">ASC505</t>
  </si>
  <si>
    <t xml:space="preserve">Gooseberry marmalade (Amla murabba)</t>
  </si>
  <si>
    <t xml:space="preserve">ASC506</t>
  </si>
  <si>
    <t xml:space="preserve">Ginger candy (Adrak ki candy)</t>
  </si>
  <si>
    <t xml:space="preserve">Mango pickle (Aam ka achaar)</t>
  </si>
  <si>
    <t xml:space="preserve">ASC509</t>
  </si>
  <si>
    <t xml:space="preserve">Mixed vegetable pickle (Sabziyoon ka achaar)</t>
  </si>
  <si>
    <t xml:space="preserve">ASC511</t>
  </si>
  <si>
    <t xml:space="preserve">Sweet lemon pickle (Neembu ka meetha achaar)</t>
  </si>
  <si>
    <t xml:space="preserve">ASC512</t>
  </si>
  <si>
    <t xml:space="preserve">Plum chutney (Aloo bukhara ki chutney)</t>
  </si>
  <si>
    <t xml:space="preserve">ASC513</t>
  </si>
  <si>
    <t xml:space="preserve">Raw mango chutney (Kachhe aam/Kairi ki chutney)</t>
  </si>
  <si>
    <t xml:space="preserve">ASC514</t>
  </si>
  <si>
    <t xml:space="preserve">Tomato sauce</t>
  </si>
  <si>
    <t xml:space="preserve">ASC515</t>
  </si>
  <si>
    <t xml:space="preserve">Tomato puree</t>
  </si>
  <si>
    <t xml:space="preserve">BFP001</t>
  </si>
  <si>
    <t xml:space="preserve">Garam masala</t>
  </si>
  <si>
    <t xml:space="preserve">BFP002</t>
  </si>
  <si>
    <t xml:space="preserve">Chat masala</t>
  </si>
  <si>
    <t xml:space="preserve">BFP003</t>
  </si>
  <si>
    <t xml:space="preserve">Kashmiri masala</t>
  </si>
  <si>
    <t xml:space="preserve">BFP004</t>
  </si>
  <si>
    <t xml:space="preserve">Rasam powder (Rasam masala)</t>
  </si>
  <si>
    <t xml:space="preserve">BFP005</t>
  </si>
  <si>
    <t xml:space="preserve">Sambar powder (Sambar masala)</t>
  </si>
  <si>
    <t xml:space="preserve">BFP095</t>
  </si>
  <si>
    <t xml:space="preserve">Tartare sauce</t>
  </si>
  <si>
    <t xml:space="preserve">BFP096</t>
  </si>
  <si>
    <t xml:space="preserve">Barbeque sauce</t>
  </si>
  <si>
    <t xml:space="preserve">BFP097</t>
  </si>
  <si>
    <t xml:space="preserve">Bread sauce</t>
  </si>
  <si>
    <t xml:space="preserve">BFP163</t>
  </si>
  <si>
    <t xml:space="preserve">Green chilli sauce</t>
  </si>
  <si>
    <t xml:space="preserve">BFP164</t>
  </si>
  <si>
    <t xml:space="preserve">Home made plain noodles</t>
  </si>
  <si>
    <t xml:space="preserve">BFP166</t>
  </si>
  <si>
    <t xml:space="preserve">Dal moong</t>
  </si>
  <si>
    <t xml:space="preserve">BFP167</t>
  </si>
  <si>
    <t xml:space="preserve">Cumin seeds baghar (Jeera baghar/tadka)</t>
  </si>
  <si>
    <t xml:space="preserve">BFP168</t>
  </si>
  <si>
    <t xml:space="preserve">Onion tomato baghar (Pyaaz tamatar ka tadka)</t>
  </si>
  <si>
    <t xml:space="preserve">BFP169</t>
  </si>
  <si>
    <t xml:space="preserve">Mustard seeds baghar (Mustard seed tadka)</t>
  </si>
  <si>
    <t xml:space="preserve">BFP360</t>
  </si>
  <si>
    <t xml:space="preserve">Hot cherry sauce</t>
  </si>
  <si>
    <t xml:space="preserve">BFP583</t>
  </si>
  <si>
    <t xml:space="preserve">Apple jelly (Seb ki jelly)</t>
  </si>
  <si>
    <t xml:space="preserve">BFP585</t>
  </si>
  <si>
    <t xml:space="preserve">Marmalade (Murabba)</t>
  </si>
  <si>
    <t xml:space="preserve">BFP589</t>
  </si>
  <si>
    <t xml:space="preserve">Plum squash (Aloo bukhara squash)</t>
  </si>
  <si>
    <t xml:space="preserve">BFP595</t>
  </si>
  <si>
    <t xml:space="preserve">Lemon green chilli pickle (Nimboo aur hari mirch ka achaar)</t>
  </si>
  <si>
    <t xml:space="preserve">BFP597</t>
  </si>
  <si>
    <t xml:space="preserve">Brinjal pickle (Baingan ka achaar)</t>
  </si>
  <si>
    <t xml:space="preserve">BFP598</t>
  </si>
  <si>
    <t xml:space="preserve">Sweet and sour tomato pickle (Khatta meetha tamatar ka achaar)</t>
  </si>
  <si>
    <t xml:space="preserve">BFP599</t>
  </si>
  <si>
    <t xml:space="preserve">Jhatpat achar with carrot (Jhatpat achaar gajar ke saath)</t>
  </si>
  <si>
    <t xml:space="preserve">BFP601</t>
  </si>
  <si>
    <t xml:space="preserve">Tomato chutney (Tamatar ki chutney)</t>
  </si>
  <si>
    <t xml:space="preserve">BFP602</t>
  </si>
  <si>
    <t xml:space="preserve">Tomato ketchup</t>
  </si>
  <si>
    <t xml:space="preserve">OSR082</t>
  </si>
  <si>
    <t xml:space="preserve">Bengal 5 Spice Blend (Panch Phoran)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</si>
</sst>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"/>
    <numFmt numFmtId="167" formatCode="0.0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10"/>
      <name val="Arial"/>
      <family val="0"/>
      <charset val="1"/>
    </font>
    <font>
      <sz val="10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C55A11"/>
        <bgColor rgb="FF993300"/>
      </patternFill>
    </fill>
    <fill>
      <patternFill patternType="solid">
        <fgColor rgb="FF7F7F7F"/>
        <bgColor rgb="FF96969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27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5" t="str">
        <f aca="false">COUNTA('Dish Database'!A2:A586)&amp;" dishes, per 100 g/ml + portion sizes + kcal per portion (filter by category, region, veg/non-veg, meal type)"</f>
        <v>585 dishes, per 100 g/ml + portion sizes + kcal per portion (filter by category, region, veg/non-veg, meal type)</v>
      </c>
    </row>
    <row r="6" customFormat="false" ht="30" hidden="false" customHeight="true" outlineLevel="0" collapsed="false">
      <c r="A6" s="4" t="s">
        <v>4</v>
      </c>
      <c r="B6" s="5" t="str">
        <f aca="false">COUNTA('Portion Nutrition'!A2:A2170)&amp;" rows: every dish x every portion size, with all macros (best sheet for logging/importing)"</f>
        <v>2169 rows: every dish x every portion size, with all macros (best sheet for logging/importing)</v>
      </c>
    </row>
    <row r="7" customFormat="false" ht="30" hidden="false" customHeight="true" outlineLevel="0" collapsed="false">
      <c r="A7" s="4" t="s">
        <v>5</v>
      </c>
      <c r="B7" s="5" t="s">
        <v>6</v>
      </c>
    </row>
    <row r="8" customFormat="false" ht="30" hidden="false" customHeight="true" outlineLevel="0" collapsed="false">
      <c r="A8" s="4" t="s">
        <v>7</v>
      </c>
      <c r="B8" s="5" t="s">
        <v>8</v>
      </c>
    </row>
    <row r="9" customFormat="false" ht="30" hidden="false" customHeight="true" outlineLevel="0" collapsed="false">
      <c r="A9" s="4" t="s">
        <v>9</v>
      </c>
      <c r="B9" s="5" t="s">
        <v>10</v>
      </c>
    </row>
    <row r="11" customFormat="false" ht="15" hidden="false" customHeight="false" outlineLevel="0" collapsed="false">
      <c r="A11" s="3" t="s">
        <v>11</v>
      </c>
    </row>
    <row r="12" customFormat="false" ht="75" hidden="false" customHeight="true" outlineLevel="0" collapsed="false">
      <c r="A12" s="2" t="s">
        <v>12</v>
      </c>
      <c r="B12" s="2"/>
    </row>
    <row r="14" customFormat="false" ht="15" hidden="false" customHeight="false" outlineLevel="0" collapsed="false">
      <c r="A14" s="3" t="s">
        <v>13</v>
      </c>
    </row>
    <row r="15" customFormat="false" ht="15" hidden="false" customHeight="true" outlineLevel="0" collapsed="false">
      <c r="A15" s="2" t="s">
        <v>14</v>
      </c>
      <c r="B15" s="2"/>
    </row>
    <row r="16" customFormat="false" ht="30" hidden="false" customHeight="true" outlineLevel="0" collapsed="false">
      <c r="A16" s="2" t="s">
        <v>15</v>
      </c>
      <c r="B16" s="2"/>
    </row>
    <row r="17" customFormat="false" ht="45" hidden="false" customHeight="true" outlineLevel="0" collapsed="false">
      <c r="A17" s="2" t="s">
        <v>16</v>
      </c>
      <c r="B17" s="2"/>
    </row>
    <row r="18" customFormat="false" ht="30" hidden="false" customHeight="true" outlineLevel="0" collapsed="false">
      <c r="A18" s="2" t="s">
        <v>17</v>
      </c>
      <c r="B18" s="2"/>
    </row>
    <row r="19" customFormat="false" ht="30" hidden="false" customHeight="true" outlineLevel="0" collapsed="false">
      <c r="A19" s="2" t="s">
        <v>18</v>
      </c>
      <c r="B19" s="2"/>
    </row>
    <row r="21" customFormat="false" ht="15" hidden="false" customHeight="false" outlineLevel="0" collapsed="false">
      <c r="A21" s="3" t="s">
        <v>19</v>
      </c>
    </row>
    <row r="22" customFormat="false" ht="30" hidden="false" customHeight="true" outlineLevel="0" collapsed="false">
      <c r="A22" s="4" t="s">
        <v>20</v>
      </c>
      <c r="B22" s="5" t="str">
        <f aca="false">COUNTIF('INDB Full Nutrients'!AL2:AL1015,"*Deep-frying*")&amp;" INDB recipes appear to count the full frying oil (e.g. samosa ~577, pakora ~675, poori ~738 kcal/100 g). Realistic values are ~250-330."</f>
        <v>113 INDB recipes appear to count the full frying oil (e.g. samosa ~577, pakora ~675, poori ~738 kcal/100 g). Realistic values are ~250-330.</v>
      </c>
    </row>
    <row r="23" customFormat="false" ht="30" hidden="false" customHeight="true" outlineLevel="0" collapsed="false">
      <c r="A23" s="4" t="s">
        <v>21</v>
      </c>
      <c r="B23" s="5" t="str">
        <f aca="false">COUNTIF('INDB Full Nutrients'!AL2:AL1015,"*whole recipe*")&amp;" INDB recipes list a 'serving' over 1,200 kcal - the serving is effectively the whole batch."</f>
        <v>84 INDB recipes list a 'serving' over 1,200 kcal - the serving is effectively the whole batch.</v>
      </c>
    </row>
    <row r="24" customFormat="false" ht="30" hidden="false" customHeight="true" outlineLevel="0" collapsed="false">
      <c r="A24" s="4" t="s">
        <v>22</v>
      </c>
      <c r="B24" s="5" t="s">
        <v>23</v>
      </c>
    </row>
    <row r="26" customFormat="false" ht="15" hidden="false" customHeight="false" outlineLevel="0" collapsed="false">
      <c r="A26" s="3" t="s">
        <v>24</v>
      </c>
    </row>
    <row r="27" customFormat="false" ht="30" hidden="false" customHeight="true" outlineLevel="0" collapsed="false">
      <c r="A27" s="2" t="s">
        <v>25</v>
      </c>
      <c r="B27" s="2"/>
    </row>
    <row r="29" customFormat="false" ht="15" hidden="false" customHeight="false" outlineLevel="0" collapsed="false">
      <c r="A29" s="3" t="s">
        <v>26</v>
      </c>
    </row>
    <row r="30" customFormat="false" ht="30" hidden="false" customHeight="true" outlineLevel="0" collapsed="false">
      <c r="A30" s="2" t="s">
        <v>27</v>
      </c>
      <c r="B30" s="2"/>
    </row>
    <row r="32" customFormat="false" ht="15" hidden="false" customHeight="false" outlineLevel="0" collapsed="false">
      <c r="A32" s="3" t="s">
        <v>28</v>
      </c>
    </row>
    <row r="33" customFormat="false" ht="30" hidden="false" customHeight="true" outlineLevel="0" collapsed="false">
      <c r="A33" s="2" t="s">
        <v>29</v>
      </c>
      <c r="B33" s="2"/>
    </row>
    <row r="34" customFormat="false" ht="30" hidden="false" customHeight="true" outlineLevel="0" collapsed="false">
      <c r="A34" s="2" t="s">
        <v>30</v>
      </c>
      <c r="B34" s="2"/>
    </row>
    <row r="35" customFormat="false" ht="15" hidden="false" customHeight="true" outlineLevel="0" collapsed="false">
      <c r="A35" s="2" t="s">
        <v>31</v>
      </c>
      <c r="B35" s="2"/>
    </row>
    <row r="36" customFormat="false" ht="15" hidden="false" customHeight="true" outlineLevel="0" collapsed="false">
      <c r="A36" s="2" t="s">
        <v>32</v>
      </c>
      <c r="B36" s="2"/>
    </row>
    <row r="38" customFormat="false" ht="15" hidden="false" customHeight="false" outlineLevel="0" collapsed="false">
      <c r="A38" s="3" t="s">
        <v>33</v>
      </c>
    </row>
    <row r="39" customFormat="false" ht="30" hidden="false" customHeight="true" outlineLevel="0" collapsed="false">
      <c r="A39" s="2" t="s">
        <v>34</v>
      </c>
      <c r="B39" s="2"/>
    </row>
    <row r="41" customFormat="false" ht="15" hidden="false" customHeight="false" outlineLevel="0" collapsed="false">
      <c r="A41" s="3" t="s">
        <v>35</v>
      </c>
    </row>
    <row r="42" customFormat="false" ht="15" hidden="false" customHeight="false" outlineLevel="0" collapsed="false">
      <c r="A42" s="6" t="s">
        <v>36</v>
      </c>
      <c r="B42" s="7" t="n">
        <f aca="false">COUNTIF('Dish Database'!D2:D586,A42)</f>
        <v>15</v>
      </c>
    </row>
    <row r="43" customFormat="false" ht="15" hidden="false" customHeight="false" outlineLevel="0" collapsed="false">
      <c r="A43" s="6" t="s">
        <v>37</v>
      </c>
      <c r="B43" s="7" t="n">
        <f aca="false">COUNTIF('Dish Database'!D2:D586,A43)</f>
        <v>23</v>
      </c>
    </row>
    <row r="44" customFormat="false" ht="15" hidden="false" customHeight="false" outlineLevel="0" collapsed="false">
      <c r="A44" s="6" t="s">
        <v>38</v>
      </c>
      <c r="B44" s="7" t="n">
        <f aca="false">COUNTIF('Dish Database'!D2:D586,A44)</f>
        <v>23</v>
      </c>
    </row>
    <row r="45" customFormat="false" ht="15" hidden="false" customHeight="false" outlineLevel="0" collapsed="false">
      <c r="A45" s="6" t="s">
        <v>39</v>
      </c>
      <c r="B45" s="7" t="n">
        <f aca="false">COUNTIF('Dish Database'!D2:D586,A45)</f>
        <v>10</v>
      </c>
    </row>
    <row r="46" customFormat="false" ht="15" hidden="false" customHeight="false" outlineLevel="0" collapsed="false">
      <c r="A46" s="6" t="s">
        <v>40</v>
      </c>
      <c r="B46" s="7" t="n">
        <f aca="false">COUNTIF('Dish Database'!D2:D586,A46)</f>
        <v>10</v>
      </c>
    </row>
    <row r="47" customFormat="false" ht="15" hidden="false" customHeight="false" outlineLevel="0" collapsed="false">
      <c r="A47" s="6" t="s">
        <v>41</v>
      </c>
      <c r="B47" s="7" t="n">
        <f aca="false">COUNTIF('Dish Database'!D2:D586,A47)</f>
        <v>12</v>
      </c>
    </row>
    <row r="48" customFormat="false" ht="15" hidden="false" customHeight="false" outlineLevel="0" collapsed="false">
      <c r="A48" s="6" t="s">
        <v>42</v>
      </c>
      <c r="B48" s="7" t="n">
        <f aca="false">COUNTIF('Dish Database'!D2:D586,A48)</f>
        <v>44</v>
      </c>
    </row>
    <row r="49" customFormat="false" ht="15" hidden="false" customHeight="false" outlineLevel="0" collapsed="false">
      <c r="A49" s="6" t="s">
        <v>43</v>
      </c>
      <c r="B49" s="7" t="n">
        <f aca="false">COUNTIF('Dish Database'!D2:D586,A49)</f>
        <v>36</v>
      </c>
    </row>
    <row r="50" customFormat="false" ht="15" hidden="false" customHeight="false" outlineLevel="0" collapsed="false">
      <c r="A50" s="6" t="s">
        <v>44</v>
      </c>
      <c r="B50" s="7" t="n">
        <f aca="false">COUNTIF('Dish Database'!D2:D586,A50)</f>
        <v>25</v>
      </c>
    </row>
    <row r="51" customFormat="false" ht="15" hidden="false" customHeight="false" outlineLevel="0" collapsed="false">
      <c r="A51" s="6" t="s">
        <v>45</v>
      </c>
      <c r="B51" s="7" t="n">
        <f aca="false">COUNTIF('Dish Database'!D2:D586,A51)</f>
        <v>17</v>
      </c>
    </row>
    <row r="52" customFormat="false" ht="15" hidden="false" customHeight="false" outlineLevel="0" collapsed="false">
      <c r="A52" s="6" t="s">
        <v>46</v>
      </c>
      <c r="B52" s="7" t="n">
        <f aca="false">COUNTIF('Dish Database'!D2:D586,A52)</f>
        <v>13</v>
      </c>
    </row>
    <row r="53" customFormat="false" ht="15" hidden="false" customHeight="false" outlineLevel="0" collapsed="false">
      <c r="A53" s="6" t="s">
        <v>47</v>
      </c>
      <c r="B53" s="7" t="n">
        <f aca="false">COUNTIF('Dish Database'!D2:D586,A53)</f>
        <v>31</v>
      </c>
    </row>
    <row r="54" customFormat="false" ht="15" hidden="false" customHeight="false" outlineLevel="0" collapsed="false">
      <c r="A54" s="6" t="s">
        <v>48</v>
      </c>
      <c r="B54" s="7" t="n">
        <f aca="false">COUNTIF('Dish Database'!D2:D586,A54)</f>
        <v>34</v>
      </c>
    </row>
    <row r="55" customFormat="false" ht="15" hidden="false" customHeight="false" outlineLevel="0" collapsed="false">
      <c r="A55" s="6" t="s">
        <v>49</v>
      </c>
      <c r="B55" s="7" t="n">
        <f aca="false">COUNTIF('Dish Database'!D2:D586,A55)</f>
        <v>21</v>
      </c>
    </row>
    <row r="56" customFormat="false" ht="15" hidden="false" customHeight="false" outlineLevel="0" collapsed="false">
      <c r="A56" s="6" t="s">
        <v>50</v>
      </c>
      <c r="B56" s="7" t="n">
        <f aca="false">COUNTIF('Dish Database'!D2:D586,A56)</f>
        <v>40</v>
      </c>
    </row>
    <row r="57" customFormat="false" ht="15" hidden="false" customHeight="false" outlineLevel="0" collapsed="false">
      <c r="A57" s="6" t="s">
        <v>51</v>
      </c>
      <c r="B57" s="7" t="n">
        <f aca="false">COUNTIF('Dish Database'!D2:D586,A57)</f>
        <v>6</v>
      </c>
    </row>
    <row r="58" customFormat="false" ht="15" hidden="false" customHeight="false" outlineLevel="0" collapsed="false">
      <c r="A58" s="6" t="s">
        <v>52</v>
      </c>
      <c r="B58" s="7" t="n">
        <f aca="false">COUNTIF('Dish Database'!D2:D586,A58)</f>
        <v>16</v>
      </c>
    </row>
    <row r="59" customFormat="false" ht="15" hidden="false" customHeight="false" outlineLevel="0" collapsed="false">
      <c r="A59" s="6" t="s">
        <v>53</v>
      </c>
      <c r="B59" s="7" t="n">
        <f aca="false">COUNTIF('Dish Database'!D2:D586,A59)</f>
        <v>23</v>
      </c>
    </row>
    <row r="60" customFormat="false" ht="15" hidden="false" customHeight="false" outlineLevel="0" collapsed="false">
      <c r="A60" s="6" t="s">
        <v>54</v>
      </c>
      <c r="B60" s="7" t="n">
        <f aca="false">COUNTIF('Dish Database'!D2:D586,A60)</f>
        <v>17</v>
      </c>
    </row>
    <row r="61" customFormat="false" ht="15" hidden="false" customHeight="false" outlineLevel="0" collapsed="false">
      <c r="A61" s="6" t="s">
        <v>55</v>
      </c>
      <c r="B61" s="7" t="n">
        <f aca="false">COUNTIF('Dish Database'!D2:D586,A61)</f>
        <v>28</v>
      </c>
    </row>
    <row r="62" customFormat="false" ht="15" hidden="false" customHeight="false" outlineLevel="0" collapsed="false">
      <c r="A62" s="6" t="s">
        <v>56</v>
      </c>
      <c r="B62" s="7" t="n">
        <f aca="false">COUNTIF('Dish Database'!D2:D586,A62)</f>
        <v>20</v>
      </c>
    </row>
    <row r="63" customFormat="false" ht="15" hidden="false" customHeight="false" outlineLevel="0" collapsed="false">
      <c r="A63" s="6" t="s">
        <v>57</v>
      </c>
      <c r="B63" s="7" t="n">
        <f aca="false">COUNTIF('Dish Database'!D2:D586,A63)</f>
        <v>15</v>
      </c>
    </row>
    <row r="64" customFormat="false" ht="15" hidden="false" customHeight="false" outlineLevel="0" collapsed="false">
      <c r="A64" s="6" t="s">
        <v>58</v>
      </c>
      <c r="B64" s="7" t="n">
        <f aca="false">COUNTIF('Dish Database'!D2:D586,A64)</f>
        <v>12</v>
      </c>
    </row>
    <row r="65" customFormat="false" ht="15" hidden="false" customHeight="false" outlineLevel="0" collapsed="false">
      <c r="A65" s="6" t="s">
        <v>59</v>
      </c>
      <c r="B65" s="7" t="n">
        <f aca="false">COUNTIF('Dish Database'!D2:D586,A65)</f>
        <v>12</v>
      </c>
    </row>
    <row r="66" customFormat="false" ht="15" hidden="false" customHeight="false" outlineLevel="0" collapsed="false">
      <c r="A66" s="6" t="s">
        <v>60</v>
      </c>
      <c r="B66" s="7" t="n">
        <f aca="false">COUNTIF('Dish Database'!D2:D586,A66)</f>
        <v>13</v>
      </c>
    </row>
    <row r="67" customFormat="false" ht="15" hidden="false" customHeight="false" outlineLevel="0" collapsed="false">
      <c r="A67" s="6" t="s">
        <v>61</v>
      </c>
      <c r="B67" s="7" t="n">
        <f aca="false">COUNTIF('Dish Database'!D2:D586,A67)</f>
        <v>37</v>
      </c>
    </row>
    <row r="68" customFormat="false" ht="15" hidden="false" customHeight="false" outlineLevel="0" collapsed="false">
      <c r="A68" s="6" t="s">
        <v>62</v>
      </c>
      <c r="B68" s="7" t="n">
        <f aca="false">COUNTIF('Dish Database'!D2:D586,A68)</f>
        <v>23</v>
      </c>
    </row>
    <row r="69" customFormat="false" ht="15" hidden="false" customHeight="false" outlineLevel="0" collapsed="false">
      <c r="A69" s="6" t="s">
        <v>63</v>
      </c>
      <c r="B69" s="7" t="n">
        <f aca="false">COUNTIF('Dish Database'!D2:D586,A69)</f>
        <v>9</v>
      </c>
    </row>
  </sheetData>
  <mergeCells count="14">
    <mergeCell ref="A2:B2"/>
    <mergeCell ref="A12:B12"/>
    <mergeCell ref="A15:B15"/>
    <mergeCell ref="A16:B16"/>
    <mergeCell ref="A17:B17"/>
    <mergeCell ref="A18:B18"/>
    <mergeCell ref="A19:B19"/>
    <mergeCell ref="A27:B27"/>
    <mergeCell ref="A30:B30"/>
    <mergeCell ref="A33:B33"/>
    <mergeCell ref="A34:B34"/>
    <mergeCell ref="A35:B35"/>
    <mergeCell ref="A36:B36"/>
    <mergeCell ref="A39:B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6" min="10" style="0" width="9"/>
    <col collapsed="false" customWidth="true" hidden="false" outlineLevel="0" max="26" min="17" style="0" width="8"/>
    <col collapsed="false" customWidth="true" hidden="false" outlineLevel="0" max="27" min="27" style="0" width="10"/>
    <col collapsed="false" customWidth="true" hidden="false" outlineLevel="0" max="28" min="28" style="0" width="34"/>
    <col collapsed="false" customWidth="true" hidden="false" outlineLevel="0" max="30" min="29" style="0" width="9"/>
    <col collapsed="false" customWidth="true" hidden="false" outlineLevel="0" max="31" min="31" style="0" width="40"/>
    <col collapsed="false" customWidth="true" hidden="false" outlineLevel="0" max="32" min="32" style="0" width="45"/>
  </cols>
  <sheetData>
    <row r="1" customFormat="false" ht="42" hidden="false" customHeight="true" outlineLevel="0" collapsed="false">
      <c r="A1" s="8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71</v>
      </c>
      <c r="I1" s="8" t="s">
        <v>72</v>
      </c>
      <c r="J1" s="9" t="s">
        <v>73</v>
      </c>
      <c r="K1" s="9" t="s">
        <v>74</v>
      </c>
      <c r="L1" s="9" t="s">
        <v>75</v>
      </c>
      <c r="M1" s="9" t="s">
        <v>76</v>
      </c>
      <c r="N1" s="9" t="s">
        <v>77</v>
      </c>
      <c r="O1" s="9" t="s">
        <v>78</v>
      </c>
      <c r="P1" s="9" t="s">
        <v>79</v>
      </c>
      <c r="Q1" s="10" t="s">
        <v>80</v>
      </c>
      <c r="R1" s="10" t="s">
        <v>81</v>
      </c>
      <c r="S1" s="10" t="s">
        <v>82</v>
      </c>
      <c r="T1" s="10" t="s">
        <v>83</v>
      </c>
      <c r="U1" s="10" t="s">
        <v>84</v>
      </c>
      <c r="V1" s="11" t="s">
        <v>85</v>
      </c>
      <c r="W1" s="11" t="s">
        <v>86</v>
      </c>
      <c r="X1" s="11" t="s">
        <v>87</v>
      </c>
      <c r="Y1" s="11" t="s">
        <v>88</v>
      </c>
      <c r="Z1" s="11" t="s">
        <v>89</v>
      </c>
      <c r="AA1" s="12" t="s">
        <v>90</v>
      </c>
      <c r="AB1" s="12" t="s">
        <v>91</v>
      </c>
      <c r="AC1" s="12" t="s">
        <v>92</v>
      </c>
      <c r="AD1" s="12" t="s">
        <v>93</v>
      </c>
      <c r="AE1" s="12" t="s">
        <v>94</v>
      </c>
      <c r="AF1" s="12" t="s">
        <v>95</v>
      </c>
    </row>
    <row r="2" customFormat="false" ht="15" hidden="false" customHeight="false" outlineLevel="0" collapsed="false">
      <c r="A2" s="6" t="s">
        <v>96</v>
      </c>
      <c r="B2" s="6" t="s">
        <v>97</v>
      </c>
      <c r="C2" s="6" t="s">
        <v>98</v>
      </c>
      <c r="D2" s="6" t="s">
        <v>36</v>
      </c>
      <c r="E2" s="6" t="s">
        <v>99</v>
      </c>
      <c r="F2" s="6" t="s">
        <v>100</v>
      </c>
      <c r="G2" s="6"/>
      <c r="H2" s="6" t="s">
        <v>101</v>
      </c>
      <c r="I2" s="6" t="s">
        <v>102</v>
      </c>
      <c r="J2" s="13" t="n">
        <f aca="false">4*K2+4*(L2-N2)+9*M2+2*N2</f>
        <v>55.5</v>
      </c>
      <c r="K2" s="14" t="n">
        <v>1.6</v>
      </c>
      <c r="L2" s="14" t="n">
        <v>8.9</v>
      </c>
      <c r="M2" s="14" t="n">
        <v>1.5</v>
      </c>
      <c r="N2" s="14" t="n">
        <v>0</v>
      </c>
      <c r="O2" s="14" t="n">
        <v>8.9</v>
      </c>
      <c r="P2" s="15" t="n">
        <v>22</v>
      </c>
      <c r="Q2" s="16" t="n">
        <v>75</v>
      </c>
      <c r="R2" s="16" t="n">
        <v>150</v>
      </c>
      <c r="S2" s="16" t="n">
        <v>250</v>
      </c>
      <c r="T2" s="6"/>
      <c r="U2" s="6"/>
      <c r="V2" s="13" t="n">
        <f aca="false">IF(Q2="","",J2*Q2/100)</f>
        <v>41.625</v>
      </c>
      <c r="W2" s="13" t="n">
        <f aca="false">IF(R2="","",J2*R2/100)</f>
        <v>83.25</v>
      </c>
      <c r="X2" s="13" t="n">
        <f aca="false">IF(S2="","",J2*S2/100)</f>
        <v>138.75</v>
      </c>
      <c r="Y2" s="13" t="str">
        <f aca="false">IF(T2="","",J2*T2/100)</f>
        <v/>
      </c>
      <c r="Z2" s="13" t="str">
        <f aca="false">IF(U2="","",J2*U2/100)</f>
        <v/>
      </c>
      <c r="AA2" s="6" t="s">
        <v>103</v>
      </c>
      <c r="AB2" s="6" t="s">
        <v>104</v>
      </c>
      <c r="AC2" s="6" t="s">
        <v>105</v>
      </c>
      <c r="AD2" s="13" t="n">
        <f aca="false">IF(AC2="","",IFERROR(INDEX('INDB Full Nutrients'!$D:$D,MATCH(AC2,'INDB Full Nutrients'!$A:$A,0)),""))</f>
        <v>16.1442985534668</v>
      </c>
      <c r="AE2" s="6" t="s">
        <v>106</v>
      </c>
      <c r="AF2" s="6" t="s">
        <v>107</v>
      </c>
    </row>
    <row r="3" customFormat="false" ht="15" hidden="false" customHeight="false" outlineLevel="0" collapsed="false">
      <c r="A3" s="6" t="s">
        <v>108</v>
      </c>
      <c r="B3" s="6" t="s">
        <v>109</v>
      </c>
      <c r="C3" s="6" t="s">
        <v>110</v>
      </c>
      <c r="D3" s="6" t="s">
        <v>36</v>
      </c>
      <c r="E3" s="6" t="s">
        <v>99</v>
      </c>
      <c r="F3" s="6" t="s">
        <v>100</v>
      </c>
      <c r="G3" s="6"/>
      <c r="H3" s="6" t="s">
        <v>101</v>
      </c>
      <c r="I3" s="6" t="s">
        <v>102</v>
      </c>
      <c r="J3" s="13" t="n">
        <f aca="false">4*K3+4*(L3-N3)+9*M3+2*N3</f>
        <v>29.5</v>
      </c>
      <c r="K3" s="14" t="n">
        <v>1.6</v>
      </c>
      <c r="L3" s="14" t="n">
        <v>2.4</v>
      </c>
      <c r="M3" s="14" t="n">
        <v>1.5</v>
      </c>
      <c r="N3" s="14" t="n">
        <v>0</v>
      </c>
      <c r="O3" s="14" t="n">
        <v>2.4</v>
      </c>
      <c r="P3" s="15" t="n">
        <v>22</v>
      </c>
      <c r="Q3" s="16" t="n">
        <v>75</v>
      </c>
      <c r="R3" s="16" t="n">
        <v>150</v>
      </c>
      <c r="S3" s="16" t="n">
        <v>250</v>
      </c>
      <c r="T3" s="6"/>
      <c r="U3" s="6"/>
      <c r="V3" s="13" t="n">
        <f aca="false">IF(Q3="","",J3*Q3/100)</f>
        <v>22.125</v>
      </c>
      <c r="W3" s="13" t="n">
        <f aca="false">IF(R3="","",J3*R3/100)</f>
        <v>44.25</v>
      </c>
      <c r="X3" s="13" t="n">
        <f aca="false">IF(S3="","",J3*S3/100)</f>
        <v>73.75</v>
      </c>
      <c r="Y3" s="13" t="str">
        <f aca="false">IF(T3="","",J3*T3/100)</f>
        <v/>
      </c>
      <c r="Z3" s="13" t="str">
        <f aca="false">IF(U3="","",J3*U3/100)</f>
        <v/>
      </c>
      <c r="AA3" s="6" t="s">
        <v>103</v>
      </c>
      <c r="AB3" s="6" t="s">
        <v>104</v>
      </c>
      <c r="AC3" s="6"/>
      <c r="AD3" s="13" t="str">
        <f aca="false">IF(AC3="","",IFERROR(INDEX('INDB Full Nutrients'!$D:$D,MATCH(AC3,'INDB Full Nutrients'!$A:$A,0)),""))</f>
        <v/>
      </c>
      <c r="AE3" s="6"/>
      <c r="AF3" s="6"/>
    </row>
    <row r="4" customFormat="false" ht="15" hidden="false" customHeight="false" outlineLevel="0" collapsed="false">
      <c r="A4" s="6" t="s">
        <v>111</v>
      </c>
      <c r="B4" s="6" t="s">
        <v>112</v>
      </c>
      <c r="C4" s="6" t="s">
        <v>113</v>
      </c>
      <c r="D4" s="6" t="s">
        <v>36</v>
      </c>
      <c r="E4" s="6" t="s">
        <v>114</v>
      </c>
      <c r="F4" s="6" t="s">
        <v>100</v>
      </c>
      <c r="G4" s="6"/>
      <c r="H4" s="6" t="s">
        <v>101</v>
      </c>
      <c r="I4" s="6" t="s">
        <v>102</v>
      </c>
      <c r="J4" s="13" t="n">
        <f aca="false">4*K4+4*(L4-N4)+9*M4+2*N4</f>
        <v>68</v>
      </c>
      <c r="K4" s="14" t="n">
        <v>2</v>
      </c>
      <c r="L4" s="14" t="n">
        <v>10.5</v>
      </c>
      <c r="M4" s="14" t="n">
        <v>2</v>
      </c>
      <c r="N4" s="14" t="n">
        <v>0</v>
      </c>
      <c r="O4" s="14" t="n">
        <v>10.5</v>
      </c>
      <c r="P4" s="15" t="n">
        <v>28</v>
      </c>
      <c r="Q4" s="16" t="n">
        <v>75</v>
      </c>
      <c r="R4" s="16" t="n">
        <v>150</v>
      </c>
      <c r="S4" s="16" t="n">
        <v>250</v>
      </c>
      <c r="T4" s="6"/>
      <c r="U4" s="6"/>
      <c r="V4" s="13" t="n">
        <f aca="false">IF(Q4="","",J4*Q4/100)</f>
        <v>51</v>
      </c>
      <c r="W4" s="13" t="n">
        <f aca="false">IF(R4="","",J4*R4/100)</f>
        <v>102</v>
      </c>
      <c r="X4" s="13" t="n">
        <f aca="false">IF(S4="","",J4*S4/100)</f>
        <v>170</v>
      </c>
      <c r="Y4" s="13" t="str">
        <f aca="false">IF(T4="","",J4*T4/100)</f>
        <v/>
      </c>
      <c r="Z4" s="13" t="str">
        <f aca="false">IF(U4="","",J4*U4/100)</f>
        <v/>
      </c>
      <c r="AA4" s="6" t="s">
        <v>103</v>
      </c>
      <c r="AB4" s="6" t="s">
        <v>104</v>
      </c>
      <c r="AC4" s="6"/>
      <c r="AD4" s="13" t="str">
        <f aca="false">IF(AC4="","",IFERROR(INDEX('INDB Full Nutrients'!$D:$D,MATCH(AC4,'INDB Full Nutrients'!$A:$A,0)),""))</f>
        <v/>
      </c>
      <c r="AE4" s="6"/>
      <c r="AF4" s="6" t="s">
        <v>115</v>
      </c>
    </row>
    <row r="5" customFormat="false" ht="15" hidden="false" customHeight="false" outlineLevel="0" collapsed="false">
      <c r="A5" s="6" t="s">
        <v>116</v>
      </c>
      <c r="B5" s="6" t="s">
        <v>117</v>
      </c>
      <c r="C5" s="6" t="s">
        <v>118</v>
      </c>
      <c r="D5" s="6" t="s">
        <v>36</v>
      </c>
      <c r="E5" s="6" t="s">
        <v>119</v>
      </c>
      <c r="F5" s="6" t="s">
        <v>100</v>
      </c>
      <c r="G5" s="6"/>
      <c r="H5" s="6" t="s">
        <v>101</v>
      </c>
      <c r="I5" s="6" t="s">
        <v>102</v>
      </c>
      <c r="J5" s="13" t="n">
        <f aca="false">4*K5+4*(L5-N5)+9*M5+2*N5</f>
        <v>85</v>
      </c>
      <c r="K5" s="14" t="n">
        <v>2.5</v>
      </c>
      <c r="L5" s="14" t="n">
        <v>12</v>
      </c>
      <c r="M5" s="14" t="n">
        <v>3</v>
      </c>
      <c r="N5" s="14" t="n">
        <v>0</v>
      </c>
      <c r="O5" s="14" t="n">
        <v>12</v>
      </c>
      <c r="P5" s="15" t="n">
        <v>35</v>
      </c>
      <c r="Q5" s="16" t="n">
        <v>75</v>
      </c>
      <c r="R5" s="16" t="n">
        <v>150</v>
      </c>
      <c r="S5" s="16" t="n">
        <v>250</v>
      </c>
      <c r="T5" s="6"/>
      <c r="U5" s="6"/>
      <c r="V5" s="13" t="n">
        <f aca="false">IF(Q5="","",J5*Q5/100)</f>
        <v>63.75</v>
      </c>
      <c r="W5" s="13" t="n">
        <f aca="false">IF(R5="","",J5*R5/100)</f>
        <v>127.5</v>
      </c>
      <c r="X5" s="13" t="n">
        <f aca="false">IF(S5="","",J5*S5/100)</f>
        <v>212.5</v>
      </c>
      <c r="Y5" s="13" t="str">
        <f aca="false">IF(T5="","",J5*T5/100)</f>
        <v/>
      </c>
      <c r="Z5" s="13" t="str">
        <f aca="false">IF(U5="","",J5*U5/100)</f>
        <v/>
      </c>
      <c r="AA5" s="6" t="s">
        <v>103</v>
      </c>
      <c r="AB5" s="6" t="s">
        <v>104</v>
      </c>
      <c r="AC5" s="6"/>
      <c r="AD5" s="13" t="str">
        <f aca="false">IF(AC5="","",IFERROR(INDEX('INDB Full Nutrients'!$D:$D,MATCH(AC5,'INDB Full Nutrients'!$A:$A,0)),""))</f>
        <v/>
      </c>
      <c r="AE5" s="6"/>
      <c r="AF5" s="6" t="s">
        <v>120</v>
      </c>
    </row>
    <row r="6" customFormat="false" ht="15" hidden="false" customHeight="false" outlineLevel="0" collapsed="false">
      <c r="A6" s="6" t="s">
        <v>121</v>
      </c>
      <c r="B6" s="6" t="s">
        <v>122</v>
      </c>
      <c r="C6" s="6" t="s">
        <v>123</v>
      </c>
      <c r="D6" s="6" t="s">
        <v>36</v>
      </c>
      <c r="E6" s="6" t="s">
        <v>99</v>
      </c>
      <c r="F6" s="6" t="s">
        <v>100</v>
      </c>
      <c r="G6" s="6" t="s">
        <v>124</v>
      </c>
      <c r="H6" s="6" t="s">
        <v>101</v>
      </c>
      <c r="I6" s="6" t="s">
        <v>102</v>
      </c>
      <c r="J6" s="13" t="n">
        <f aca="false">4*K6+4*(L6-N6)+9*M6+2*N6</f>
        <v>1.2</v>
      </c>
      <c r="K6" s="14" t="n">
        <v>0</v>
      </c>
      <c r="L6" s="14" t="n">
        <v>0.3</v>
      </c>
      <c r="M6" s="14" t="n">
        <v>0</v>
      </c>
      <c r="N6" s="14" t="n">
        <v>0</v>
      </c>
      <c r="O6" s="14" t="n">
        <v>0</v>
      </c>
      <c r="P6" s="15" t="n">
        <v>3</v>
      </c>
      <c r="Q6" s="16" t="n">
        <v>75</v>
      </c>
      <c r="R6" s="16" t="n">
        <v>150</v>
      </c>
      <c r="S6" s="16" t="n">
        <v>250</v>
      </c>
      <c r="T6" s="6"/>
      <c r="U6" s="6"/>
      <c r="V6" s="13" t="n">
        <f aca="false">IF(Q6="","",J6*Q6/100)</f>
        <v>0.9</v>
      </c>
      <c r="W6" s="13" t="n">
        <f aca="false">IF(R6="","",J6*R6/100)</f>
        <v>1.8</v>
      </c>
      <c r="X6" s="13" t="n">
        <f aca="false">IF(S6="","",J6*S6/100)</f>
        <v>3</v>
      </c>
      <c r="Y6" s="13" t="str">
        <f aca="false">IF(T6="","",J6*T6/100)</f>
        <v/>
      </c>
      <c r="Z6" s="13" t="str">
        <f aca="false">IF(U6="","",J6*U6/100)</f>
        <v/>
      </c>
      <c r="AA6" s="6" t="s">
        <v>125</v>
      </c>
      <c r="AB6" s="6" t="s">
        <v>126</v>
      </c>
      <c r="AC6" s="6"/>
      <c r="AD6" s="13" t="str">
        <f aca="false">IF(AC6="","",IFERROR(INDEX('INDB Full Nutrients'!$D:$D,MATCH(AC6,'INDB Full Nutrients'!$A:$A,0)),""))</f>
        <v/>
      </c>
      <c r="AE6" s="6"/>
      <c r="AF6" s="6"/>
    </row>
    <row r="7" customFormat="false" ht="15" hidden="false" customHeight="false" outlineLevel="0" collapsed="false">
      <c r="A7" s="6" t="s">
        <v>127</v>
      </c>
      <c r="B7" s="6" t="s">
        <v>128</v>
      </c>
      <c r="C7" s="6" t="s">
        <v>129</v>
      </c>
      <c r="D7" s="6" t="s">
        <v>36</v>
      </c>
      <c r="E7" s="6" t="s">
        <v>99</v>
      </c>
      <c r="F7" s="6" t="s">
        <v>100</v>
      </c>
      <c r="G7" s="6" t="s">
        <v>124</v>
      </c>
      <c r="H7" s="6" t="s">
        <v>101</v>
      </c>
      <c r="I7" s="6" t="s">
        <v>102</v>
      </c>
      <c r="J7" s="13" t="n">
        <f aca="false">4*K7+4*(L7-N7)+9*M7+2*N7</f>
        <v>20</v>
      </c>
      <c r="K7" s="14" t="n">
        <v>0</v>
      </c>
      <c r="L7" s="14" t="n">
        <v>5</v>
      </c>
      <c r="M7" s="14" t="n">
        <v>0</v>
      </c>
      <c r="N7" s="14" t="n">
        <v>0</v>
      </c>
      <c r="O7" s="14" t="n">
        <v>5</v>
      </c>
      <c r="P7" s="15" t="n">
        <v>3</v>
      </c>
      <c r="Q7" s="16" t="n">
        <v>75</v>
      </c>
      <c r="R7" s="16" t="n">
        <v>150</v>
      </c>
      <c r="S7" s="16" t="n">
        <v>250</v>
      </c>
      <c r="T7" s="6"/>
      <c r="U7" s="6"/>
      <c r="V7" s="13" t="n">
        <f aca="false">IF(Q7="","",J7*Q7/100)</f>
        <v>15</v>
      </c>
      <c r="W7" s="13" t="n">
        <f aca="false">IF(R7="","",J7*R7/100)</f>
        <v>30</v>
      </c>
      <c r="X7" s="13" t="n">
        <f aca="false">IF(S7="","",J7*S7/100)</f>
        <v>50</v>
      </c>
      <c r="Y7" s="13" t="str">
        <f aca="false">IF(T7="","",J7*T7/100)</f>
        <v/>
      </c>
      <c r="Z7" s="13" t="str">
        <f aca="false">IF(U7="","",J7*U7/100)</f>
        <v/>
      </c>
      <c r="AA7" s="6" t="s">
        <v>103</v>
      </c>
      <c r="AB7" s="6" t="s">
        <v>104</v>
      </c>
      <c r="AC7" s="6"/>
      <c r="AD7" s="13" t="str">
        <f aca="false">IF(AC7="","",IFERROR(INDEX('INDB Full Nutrients'!$D:$D,MATCH(AC7,'INDB Full Nutrients'!$A:$A,0)),""))</f>
        <v/>
      </c>
      <c r="AE7" s="6"/>
      <c r="AF7" s="6"/>
    </row>
    <row r="8" customFormat="false" ht="15" hidden="false" customHeight="false" outlineLevel="0" collapsed="false">
      <c r="A8" s="6" t="s">
        <v>130</v>
      </c>
      <c r="B8" s="6" t="s">
        <v>131</v>
      </c>
      <c r="C8" s="6"/>
      <c r="D8" s="6" t="s">
        <v>36</v>
      </c>
      <c r="E8" s="6" t="s">
        <v>99</v>
      </c>
      <c r="F8" s="6" t="s">
        <v>100</v>
      </c>
      <c r="G8" s="6" t="s">
        <v>124</v>
      </c>
      <c r="H8" s="6" t="s">
        <v>101</v>
      </c>
      <c r="I8" s="6" t="s">
        <v>102</v>
      </c>
      <c r="J8" s="13" t="n">
        <f aca="false">4*K8+4*(L8-N8)+9*M8+2*N8</f>
        <v>0.8</v>
      </c>
      <c r="K8" s="14" t="n">
        <v>0.2</v>
      </c>
      <c r="L8" s="14" t="n">
        <v>0</v>
      </c>
      <c r="M8" s="14" t="n">
        <v>0</v>
      </c>
      <c r="N8" s="14" t="n">
        <v>0</v>
      </c>
      <c r="O8" s="14" t="n">
        <v>0</v>
      </c>
      <c r="P8" s="15" t="n">
        <v>1</v>
      </c>
      <c r="Q8" s="16" t="n">
        <v>75</v>
      </c>
      <c r="R8" s="16" t="n">
        <v>150</v>
      </c>
      <c r="S8" s="16" t="n">
        <v>250</v>
      </c>
      <c r="T8" s="6"/>
      <c r="U8" s="6"/>
      <c r="V8" s="13" t="n">
        <f aca="false">IF(Q8="","",J8*Q8/100)</f>
        <v>0.6</v>
      </c>
      <c r="W8" s="13" t="n">
        <f aca="false">IF(R8="","",J8*R8/100)</f>
        <v>1.2</v>
      </c>
      <c r="X8" s="13" t="n">
        <f aca="false">IF(S8="","",J8*S8/100)</f>
        <v>2</v>
      </c>
      <c r="Y8" s="13" t="str">
        <f aca="false">IF(T8="","",J8*T8/100)</f>
        <v/>
      </c>
      <c r="Z8" s="13" t="str">
        <f aca="false">IF(U8="","",J8*U8/100)</f>
        <v/>
      </c>
      <c r="AA8" s="6" t="s">
        <v>125</v>
      </c>
      <c r="AB8" s="6" t="s">
        <v>126</v>
      </c>
      <c r="AC8" s="6"/>
      <c r="AD8" s="13" t="str">
        <f aca="false">IF(AC8="","",IFERROR(INDEX('INDB Full Nutrients'!$D:$D,MATCH(AC8,'INDB Full Nutrients'!$A:$A,0)),""))</f>
        <v/>
      </c>
      <c r="AE8" s="6"/>
      <c r="AF8" s="6"/>
    </row>
    <row r="9" customFormat="false" ht="15" hidden="false" customHeight="false" outlineLevel="0" collapsed="false">
      <c r="A9" s="6" t="s">
        <v>132</v>
      </c>
      <c r="B9" s="6" t="s">
        <v>133</v>
      </c>
      <c r="C9" s="6" t="s">
        <v>134</v>
      </c>
      <c r="D9" s="6" t="s">
        <v>36</v>
      </c>
      <c r="E9" s="6" t="s">
        <v>119</v>
      </c>
      <c r="F9" s="6" t="s">
        <v>100</v>
      </c>
      <c r="G9" s="6"/>
      <c r="H9" s="6" t="s">
        <v>101</v>
      </c>
      <c r="I9" s="6" t="s">
        <v>102</v>
      </c>
      <c r="J9" s="13" t="n">
        <f aca="false">4*K9+4*(L9-N9)+9*M9+2*N9</f>
        <v>70.9</v>
      </c>
      <c r="K9" s="14" t="n">
        <v>2.6</v>
      </c>
      <c r="L9" s="14" t="n">
        <v>9.5</v>
      </c>
      <c r="M9" s="14" t="n">
        <v>2.5</v>
      </c>
      <c r="N9" s="14" t="n">
        <v>0</v>
      </c>
      <c r="O9" s="14" t="n">
        <v>9.5</v>
      </c>
      <c r="P9" s="15" t="n">
        <v>35</v>
      </c>
      <c r="Q9" s="16" t="n">
        <v>75</v>
      </c>
      <c r="R9" s="16" t="n">
        <v>150</v>
      </c>
      <c r="S9" s="16" t="n">
        <v>250</v>
      </c>
      <c r="T9" s="6"/>
      <c r="U9" s="6"/>
      <c r="V9" s="13" t="n">
        <f aca="false">IF(Q9="","",J9*Q9/100)</f>
        <v>53.175</v>
      </c>
      <c r="W9" s="13" t="n">
        <f aca="false">IF(R9="","",J9*R9/100)</f>
        <v>106.35</v>
      </c>
      <c r="X9" s="13" t="n">
        <f aca="false">IF(S9="","",J9*S9/100)</f>
        <v>177.25</v>
      </c>
      <c r="Y9" s="13" t="str">
        <f aca="false">IF(T9="","",J9*T9/100)</f>
        <v/>
      </c>
      <c r="Z9" s="13" t="str">
        <f aca="false">IF(U9="","",J9*U9/100)</f>
        <v/>
      </c>
      <c r="AA9" s="6" t="s">
        <v>103</v>
      </c>
      <c r="AB9" s="6" t="s">
        <v>104</v>
      </c>
      <c r="AC9" s="6"/>
      <c r="AD9" s="13" t="str">
        <f aca="false">IF(AC9="","",IFERROR(INDEX('INDB Full Nutrients'!$D:$D,MATCH(AC9,'INDB Full Nutrients'!$A:$A,0)),""))</f>
        <v/>
      </c>
      <c r="AE9" s="6"/>
      <c r="AF9" s="6" t="s">
        <v>135</v>
      </c>
    </row>
    <row r="10" customFormat="false" ht="15" hidden="false" customHeight="false" outlineLevel="0" collapsed="false">
      <c r="A10" s="6" t="s">
        <v>136</v>
      </c>
      <c r="B10" s="6" t="s">
        <v>137</v>
      </c>
      <c r="C10" s="6" t="s">
        <v>138</v>
      </c>
      <c r="D10" s="6" t="s">
        <v>36</v>
      </c>
      <c r="E10" s="6" t="s">
        <v>99</v>
      </c>
      <c r="F10" s="6" t="s">
        <v>100</v>
      </c>
      <c r="G10" s="6"/>
      <c r="H10" s="6" t="s">
        <v>101</v>
      </c>
      <c r="I10" s="6" t="s">
        <v>102</v>
      </c>
      <c r="J10" s="13" t="n">
        <f aca="false">4*K10+4*(L10-N10)+9*M10+2*N10</f>
        <v>74.4</v>
      </c>
      <c r="K10" s="14" t="n">
        <v>2.8</v>
      </c>
      <c r="L10" s="14" t="n">
        <v>9.5</v>
      </c>
      <c r="M10" s="14" t="n">
        <v>2.8</v>
      </c>
      <c r="N10" s="14" t="n">
        <v>0</v>
      </c>
      <c r="O10" s="14" t="n">
        <v>9.5</v>
      </c>
      <c r="P10" s="15" t="n">
        <v>40</v>
      </c>
      <c r="Q10" s="16" t="n">
        <v>75</v>
      </c>
      <c r="R10" s="16" t="n">
        <v>150</v>
      </c>
      <c r="S10" s="16" t="n">
        <v>250</v>
      </c>
      <c r="T10" s="6"/>
      <c r="U10" s="6"/>
      <c r="V10" s="13" t="n">
        <f aca="false">IF(Q10="","",J10*Q10/100)</f>
        <v>55.8</v>
      </c>
      <c r="W10" s="13" t="n">
        <f aca="false">IF(R10="","",J10*R10/100)</f>
        <v>111.6</v>
      </c>
      <c r="X10" s="13" t="n">
        <f aca="false">IF(S10="","",J10*S10/100)</f>
        <v>186</v>
      </c>
      <c r="Y10" s="13" t="str">
        <f aca="false">IF(T10="","",J10*T10/100)</f>
        <v/>
      </c>
      <c r="Z10" s="13" t="str">
        <f aca="false">IF(U10="","",J10*U10/100)</f>
        <v/>
      </c>
      <c r="AA10" s="6" t="s">
        <v>103</v>
      </c>
      <c r="AB10" s="6" t="s">
        <v>104</v>
      </c>
      <c r="AC10" s="6" t="s">
        <v>139</v>
      </c>
      <c r="AD10" s="13" t="n">
        <f aca="false">IF(AC10="","",IFERROR(INDEX('INDB Full Nutrients'!$D:$D,MATCH(AC10,'INDB Full Nutrients'!$A:$A,0)),""))</f>
        <v>23.1558322906494</v>
      </c>
      <c r="AE10" s="6" t="s">
        <v>140</v>
      </c>
      <c r="AF10" s="6"/>
    </row>
    <row r="11" customFormat="false" ht="15" hidden="false" customHeight="false" outlineLevel="0" collapsed="false">
      <c r="A11" s="6" t="s">
        <v>141</v>
      </c>
      <c r="B11" s="6" t="s">
        <v>142</v>
      </c>
      <c r="C11" s="6" t="s">
        <v>143</v>
      </c>
      <c r="D11" s="6" t="s">
        <v>36</v>
      </c>
      <c r="E11" s="6" t="s">
        <v>99</v>
      </c>
      <c r="F11" s="6" t="s">
        <v>100</v>
      </c>
      <c r="G11" s="6" t="s">
        <v>124</v>
      </c>
      <c r="H11" s="6" t="s">
        <v>101</v>
      </c>
      <c r="I11" s="6" t="s">
        <v>102</v>
      </c>
      <c r="J11" s="13" t="n">
        <f aca="false">4*K11+4*(L11-N11)+9*M11+2*N11</f>
        <v>0.8</v>
      </c>
      <c r="K11" s="14" t="n">
        <v>0.1</v>
      </c>
      <c r="L11" s="14" t="n">
        <v>0.1</v>
      </c>
      <c r="M11" s="14" t="n">
        <v>0</v>
      </c>
      <c r="N11" s="14" t="n">
        <v>0</v>
      </c>
      <c r="O11" s="14" t="n">
        <v>0</v>
      </c>
      <c r="P11" s="15" t="n">
        <v>2</v>
      </c>
      <c r="Q11" s="16" t="n">
        <v>75</v>
      </c>
      <c r="R11" s="16" t="n">
        <v>150</v>
      </c>
      <c r="S11" s="16" t="n">
        <v>250</v>
      </c>
      <c r="T11" s="6"/>
      <c r="U11" s="6"/>
      <c r="V11" s="13" t="n">
        <f aca="false">IF(Q11="","",J11*Q11/100)</f>
        <v>0.6</v>
      </c>
      <c r="W11" s="13" t="n">
        <f aca="false">IF(R11="","",J11*R11/100)</f>
        <v>1.2</v>
      </c>
      <c r="X11" s="13" t="n">
        <f aca="false">IF(S11="","",J11*S11/100)</f>
        <v>2</v>
      </c>
      <c r="Y11" s="13" t="str">
        <f aca="false">IF(T11="","",J11*T11/100)</f>
        <v/>
      </c>
      <c r="Z11" s="13" t="str">
        <f aca="false">IF(U11="","",J11*U11/100)</f>
        <v/>
      </c>
      <c r="AA11" s="6" t="s">
        <v>125</v>
      </c>
      <c r="AB11" s="6" t="s">
        <v>126</v>
      </c>
      <c r="AC11" s="6"/>
      <c r="AD11" s="13" t="str">
        <f aca="false">IF(AC11="","",IFERROR(INDEX('INDB Full Nutrients'!$D:$D,MATCH(AC11,'INDB Full Nutrients'!$A:$A,0)),""))</f>
        <v/>
      </c>
      <c r="AE11" s="6"/>
      <c r="AF11" s="6"/>
    </row>
    <row r="12" customFormat="false" ht="15" hidden="false" customHeight="false" outlineLevel="0" collapsed="false">
      <c r="A12" s="6" t="s">
        <v>144</v>
      </c>
      <c r="B12" s="6" t="s">
        <v>145</v>
      </c>
      <c r="C12" s="6" t="s">
        <v>146</v>
      </c>
      <c r="D12" s="6" t="s">
        <v>36</v>
      </c>
      <c r="E12" s="6" t="s">
        <v>99</v>
      </c>
      <c r="F12" s="6" t="s">
        <v>100</v>
      </c>
      <c r="G12" s="6"/>
      <c r="H12" s="6" t="s">
        <v>101</v>
      </c>
      <c r="I12" s="6" t="s">
        <v>102</v>
      </c>
      <c r="J12" s="13" t="n">
        <f aca="false">4*K12+4*(L12-N12)+9*M12+2*N12</f>
        <v>93.1</v>
      </c>
      <c r="K12" s="14" t="n">
        <v>3.2</v>
      </c>
      <c r="L12" s="14" t="n">
        <v>12.5</v>
      </c>
      <c r="M12" s="14" t="n">
        <v>3.5</v>
      </c>
      <c r="N12" s="14" t="n">
        <v>0.6</v>
      </c>
      <c r="O12" s="14" t="n">
        <v>11</v>
      </c>
      <c r="P12" s="15" t="n">
        <v>50</v>
      </c>
      <c r="Q12" s="16" t="n">
        <v>75</v>
      </c>
      <c r="R12" s="16" t="n">
        <v>150</v>
      </c>
      <c r="S12" s="16" t="n">
        <v>250</v>
      </c>
      <c r="T12" s="6"/>
      <c r="U12" s="6"/>
      <c r="V12" s="13" t="n">
        <f aca="false">IF(Q12="","",J12*Q12/100)</f>
        <v>69.825</v>
      </c>
      <c r="W12" s="13" t="n">
        <f aca="false">IF(R12="","",J12*R12/100)</f>
        <v>139.65</v>
      </c>
      <c r="X12" s="13" t="n">
        <f aca="false">IF(S12="","",J12*S12/100)</f>
        <v>232.75</v>
      </c>
      <c r="Y12" s="13" t="str">
        <f aca="false">IF(T12="","",J12*T12/100)</f>
        <v/>
      </c>
      <c r="Z12" s="13" t="str">
        <f aca="false">IF(U12="","",J12*U12/100)</f>
        <v/>
      </c>
      <c r="AA12" s="6" t="s">
        <v>125</v>
      </c>
      <c r="AB12" s="6" t="s">
        <v>147</v>
      </c>
      <c r="AC12" s="6" t="s">
        <v>148</v>
      </c>
      <c r="AD12" s="13" t="n">
        <f aca="false">IF(AC12="","",IFERROR(INDEX('INDB Full Nutrients'!$D:$D,MATCH(AC12,'INDB Full Nutrients'!$A:$A,0)),""))</f>
        <v>90.0057754516602</v>
      </c>
      <c r="AE12" s="6" t="s">
        <v>149</v>
      </c>
      <c r="AF12" s="6"/>
    </row>
    <row r="13" customFormat="false" ht="15" hidden="false" customHeight="false" outlineLevel="0" collapsed="false">
      <c r="A13" s="6" t="s">
        <v>150</v>
      </c>
      <c r="B13" s="6" t="s">
        <v>151</v>
      </c>
      <c r="C13" s="6" t="s">
        <v>152</v>
      </c>
      <c r="D13" s="6" t="s">
        <v>36</v>
      </c>
      <c r="E13" s="6" t="s">
        <v>99</v>
      </c>
      <c r="F13" s="6" t="s">
        <v>100</v>
      </c>
      <c r="G13" s="6"/>
      <c r="H13" s="6" t="s">
        <v>101</v>
      </c>
      <c r="I13" s="6" t="s">
        <v>102</v>
      </c>
      <c r="J13" s="13" t="n">
        <f aca="false">4*K13+4*(L13-N13)+9*M13+2*N13</f>
        <v>73.4</v>
      </c>
      <c r="K13" s="14" t="n">
        <v>3.2</v>
      </c>
      <c r="L13" s="14" t="n">
        <v>7.5</v>
      </c>
      <c r="M13" s="14" t="n">
        <v>3.4</v>
      </c>
      <c r="N13" s="14" t="n">
        <v>0</v>
      </c>
      <c r="O13" s="14" t="n">
        <v>7.3</v>
      </c>
      <c r="P13" s="15" t="n">
        <v>43</v>
      </c>
      <c r="Q13" s="16" t="n">
        <v>150</v>
      </c>
      <c r="R13" s="16" t="n">
        <v>200</v>
      </c>
      <c r="S13" s="16" t="n">
        <v>300</v>
      </c>
      <c r="T13" s="6"/>
      <c r="U13" s="6"/>
      <c r="V13" s="13" t="n">
        <f aca="false">IF(Q13="","",J13*Q13/100)</f>
        <v>110.1</v>
      </c>
      <c r="W13" s="13" t="n">
        <f aca="false">IF(R13="","",J13*R13/100)</f>
        <v>146.8</v>
      </c>
      <c r="X13" s="13" t="n">
        <f aca="false">IF(S13="","",J13*S13/100)</f>
        <v>220.2</v>
      </c>
      <c r="Y13" s="13" t="str">
        <f aca="false">IF(T13="","",J13*T13/100)</f>
        <v/>
      </c>
      <c r="Z13" s="13" t="str">
        <f aca="false">IF(U13="","",J13*U13/100)</f>
        <v/>
      </c>
      <c r="AA13" s="6" t="s">
        <v>103</v>
      </c>
      <c r="AB13" s="6" t="s">
        <v>104</v>
      </c>
      <c r="AC13" s="6"/>
      <c r="AD13" s="13" t="str">
        <f aca="false">IF(AC13="","",IFERROR(INDEX('INDB Full Nutrients'!$D:$D,MATCH(AC13,'INDB Full Nutrients'!$A:$A,0)),""))</f>
        <v/>
      </c>
      <c r="AE13" s="6"/>
      <c r="AF13" s="6" t="s">
        <v>153</v>
      </c>
    </row>
    <row r="14" customFormat="false" ht="15" hidden="false" customHeight="false" outlineLevel="0" collapsed="false">
      <c r="A14" s="6" t="s">
        <v>154</v>
      </c>
      <c r="B14" s="6" t="s">
        <v>155</v>
      </c>
      <c r="C14" s="6" t="s">
        <v>156</v>
      </c>
      <c r="D14" s="6" t="s">
        <v>36</v>
      </c>
      <c r="E14" s="6" t="s">
        <v>119</v>
      </c>
      <c r="F14" s="6" t="s">
        <v>100</v>
      </c>
      <c r="G14" s="6"/>
      <c r="H14" s="6" t="s">
        <v>101</v>
      </c>
      <c r="I14" s="6" t="s">
        <v>102</v>
      </c>
      <c r="J14" s="13" t="n">
        <f aca="false">4*K14+4*(L14-N14)+9*M14+2*N14</f>
        <v>102.9</v>
      </c>
      <c r="K14" s="14" t="n">
        <v>3.8</v>
      </c>
      <c r="L14" s="14" t="n">
        <v>12</v>
      </c>
      <c r="M14" s="14" t="n">
        <v>4.5</v>
      </c>
      <c r="N14" s="14" t="n">
        <v>0.4</v>
      </c>
      <c r="O14" s="14" t="n">
        <v>11.5</v>
      </c>
      <c r="P14" s="15" t="n">
        <v>42</v>
      </c>
      <c r="Q14" s="16" t="n">
        <v>150</v>
      </c>
      <c r="R14" s="16" t="n">
        <v>200</v>
      </c>
      <c r="S14" s="16" t="n">
        <v>300</v>
      </c>
      <c r="T14" s="6"/>
      <c r="U14" s="6"/>
      <c r="V14" s="13" t="n">
        <f aca="false">IF(Q14="","",J14*Q14/100)</f>
        <v>154.35</v>
      </c>
      <c r="W14" s="13" t="n">
        <f aca="false">IF(R14="","",J14*R14/100)</f>
        <v>205.8</v>
      </c>
      <c r="X14" s="13" t="n">
        <f aca="false">IF(S14="","",J14*S14/100)</f>
        <v>308.7</v>
      </c>
      <c r="Y14" s="13" t="str">
        <f aca="false">IF(T14="","",J14*T14/100)</f>
        <v/>
      </c>
      <c r="Z14" s="13" t="str">
        <f aca="false">IF(U14="","",J14*U14/100)</f>
        <v/>
      </c>
      <c r="AA14" s="6" t="s">
        <v>103</v>
      </c>
      <c r="AB14" s="6" t="s">
        <v>104</v>
      </c>
      <c r="AC14" s="6"/>
      <c r="AD14" s="13" t="str">
        <f aca="false">IF(AC14="","",IFERROR(INDEX('INDB Full Nutrients'!$D:$D,MATCH(AC14,'INDB Full Nutrients'!$A:$A,0)),""))</f>
        <v/>
      </c>
      <c r="AE14" s="6"/>
      <c r="AF14" s="6" t="s">
        <v>157</v>
      </c>
    </row>
    <row r="15" customFormat="false" ht="15" hidden="false" customHeight="false" outlineLevel="0" collapsed="false">
      <c r="A15" s="6" t="s">
        <v>158</v>
      </c>
      <c r="B15" s="6" t="s">
        <v>159</v>
      </c>
      <c r="C15" s="6" t="s">
        <v>160</v>
      </c>
      <c r="D15" s="6" t="s">
        <v>36</v>
      </c>
      <c r="E15" s="6" t="s">
        <v>161</v>
      </c>
      <c r="F15" s="6" t="s">
        <v>100</v>
      </c>
      <c r="G15" s="6"/>
      <c r="H15" s="6" t="s">
        <v>101</v>
      </c>
      <c r="I15" s="6" t="s">
        <v>102</v>
      </c>
      <c r="J15" s="13" t="n">
        <f aca="false">4*K15+4*(L15-N15)+9*M15+2*N15</f>
        <v>84.7</v>
      </c>
      <c r="K15" s="14" t="n">
        <v>3.3</v>
      </c>
      <c r="L15" s="14" t="n">
        <v>10</v>
      </c>
      <c r="M15" s="14" t="n">
        <v>3.5</v>
      </c>
      <c r="N15" s="14" t="n">
        <v>0</v>
      </c>
      <c r="O15" s="14" t="n">
        <v>9.5</v>
      </c>
      <c r="P15" s="15" t="n">
        <v>42</v>
      </c>
      <c r="Q15" s="16" t="n">
        <v>150</v>
      </c>
      <c r="R15" s="16" t="n">
        <v>200</v>
      </c>
      <c r="S15" s="16" t="n">
        <v>300</v>
      </c>
      <c r="T15" s="6"/>
      <c r="U15" s="6"/>
      <c r="V15" s="13" t="n">
        <f aca="false">IF(Q15="","",J15*Q15/100)</f>
        <v>127.05</v>
      </c>
      <c r="W15" s="13" t="n">
        <f aca="false">IF(R15="","",J15*R15/100)</f>
        <v>169.4</v>
      </c>
      <c r="X15" s="13" t="n">
        <f aca="false">IF(S15="","",J15*S15/100)</f>
        <v>254.1</v>
      </c>
      <c r="Y15" s="13" t="str">
        <f aca="false">IF(T15="","",J15*T15/100)</f>
        <v/>
      </c>
      <c r="Z15" s="13" t="str">
        <f aca="false">IF(U15="","",J15*U15/100)</f>
        <v/>
      </c>
      <c r="AA15" s="6" t="s">
        <v>125</v>
      </c>
      <c r="AB15" s="6" t="s">
        <v>147</v>
      </c>
      <c r="AC15" s="6" t="s">
        <v>162</v>
      </c>
      <c r="AD15" s="13" t="n">
        <f aca="false">IF(AC15="","",IFERROR(INDEX('INDB Full Nutrients'!$D:$D,MATCH(AC15,'INDB Full Nutrients'!$A:$A,0)),""))</f>
        <v>102.181037902832</v>
      </c>
      <c r="AE15" s="6" t="s">
        <v>163</v>
      </c>
      <c r="AF15" s="6"/>
    </row>
    <row r="16" customFormat="false" ht="15" hidden="false" customHeight="false" outlineLevel="0" collapsed="false">
      <c r="A16" s="6" t="s">
        <v>164</v>
      </c>
      <c r="B16" s="6" t="s">
        <v>165</v>
      </c>
      <c r="C16" s="6" t="s">
        <v>166</v>
      </c>
      <c r="D16" s="6" t="s">
        <v>36</v>
      </c>
      <c r="E16" s="6" t="s">
        <v>161</v>
      </c>
      <c r="F16" s="6" t="s">
        <v>100</v>
      </c>
      <c r="G16" s="6" t="s">
        <v>124</v>
      </c>
      <c r="H16" s="6" t="s">
        <v>101</v>
      </c>
      <c r="I16" s="6" t="s">
        <v>102</v>
      </c>
      <c r="J16" s="13" t="n">
        <f aca="false">4*K16+4*(L16-N16)+9*M16+2*N16</f>
        <v>26.2</v>
      </c>
      <c r="K16" s="14" t="n">
        <v>0.3</v>
      </c>
      <c r="L16" s="14" t="n">
        <v>4.5</v>
      </c>
      <c r="M16" s="14" t="n">
        <v>0.8</v>
      </c>
      <c r="N16" s="14" t="n">
        <v>0.1</v>
      </c>
      <c r="O16" s="14" t="n">
        <v>4.2</v>
      </c>
      <c r="P16" s="15" t="n">
        <v>3</v>
      </c>
      <c r="Q16" s="16" t="n">
        <v>75</v>
      </c>
      <c r="R16" s="16" t="n">
        <v>150</v>
      </c>
      <c r="S16" s="16" t="n">
        <v>250</v>
      </c>
      <c r="T16" s="6"/>
      <c r="U16" s="6"/>
      <c r="V16" s="13" t="n">
        <f aca="false">IF(Q16="","",J16*Q16/100)</f>
        <v>19.65</v>
      </c>
      <c r="W16" s="13" t="n">
        <f aca="false">IF(R16="","",J16*R16/100)</f>
        <v>39.3</v>
      </c>
      <c r="X16" s="13" t="n">
        <f aca="false">IF(S16="","",J16*S16/100)</f>
        <v>65.5</v>
      </c>
      <c r="Y16" s="13" t="str">
        <f aca="false">IF(T16="","",J16*T16/100)</f>
        <v/>
      </c>
      <c r="Z16" s="13" t="str">
        <f aca="false">IF(U16="","",J16*U16/100)</f>
        <v/>
      </c>
      <c r="AA16" s="6" t="s">
        <v>125</v>
      </c>
      <c r="AB16" s="6" t="s">
        <v>147</v>
      </c>
      <c r="AC16" s="6" t="s">
        <v>167</v>
      </c>
      <c r="AD16" s="13" t="n">
        <f aca="false">IF(AC16="","",IFERROR(INDEX('INDB Full Nutrients'!$D:$D,MATCH(AC16,'INDB Full Nutrients'!$A:$A,0)),""))</f>
        <v>24.9036655426025</v>
      </c>
      <c r="AE16" s="6" t="s">
        <v>168</v>
      </c>
      <c r="AF16" s="6" t="s">
        <v>169</v>
      </c>
    </row>
    <row r="17" customFormat="false" ht="15" hidden="false" customHeight="false" outlineLevel="0" collapsed="false">
      <c r="A17" s="6" t="s">
        <v>170</v>
      </c>
      <c r="B17" s="6" t="s">
        <v>171</v>
      </c>
      <c r="C17" s="6" t="s">
        <v>172</v>
      </c>
      <c r="D17" s="6" t="s">
        <v>37</v>
      </c>
      <c r="E17" s="6" t="s">
        <v>99</v>
      </c>
      <c r="F17" s="6" t="s">
        <v>100</v>
      </c>
      <c r="G17" s="6" t="s">
        <v>124</v>
      </c>
      <c r="H17" s="6" t="s">
        <v>101</v>
      </c>
      <c r="I17" s="6" t="s">
        <v>102</v>
      </c>
      <c r="J17" s="13" t="n">
        <f aca="false">4*K17+4*(L17-N17)+9*M17+2*N17</f>
        <v>26.3</v>
      </c>
      <c r="K17" s="14" t="n">
        <v>0.1</v>
      </c>
      <c r="L17" s="14" t="n">
        <v>6.5</v>
      </c>
      <c r="M17" s="14" t="n">
        <v>0</v>
      </c>
      <c r="N17" s="14" t="n">
        <v>0.05</v>
      </c>
      <c r="O17" s="14" t="n">
        <v>6.2</v>
      </c>
      <c r="P17" s="15" t="n">
        <v>5</v>
      </c>
      <c r="Q17" s="16" t="n">
        <v>150</v>
      </c>
      <c r="R17" s="16" t="n">
        <v>250</v>
      </c>
      <c r="S17" s="16" t="n">
        <v>350</v>
      </c>
      <c r="T17" s="6"/>
      <c r="U17" s="6"/>
      <c r="V17" s="13" t="n">
        <f aca="false">IF(Q17="","",J17*Q17/100)</f>
        <v>39.45</v>
      </c>
      <c r="W17" s="13" t="n">
        <f aca="false">IF(R17="","",J17*R17/100)</f>
        <v>65.75</v>
      </c>
      <c r="X17" s="13" t="n">
        <f aca="false">IF(S17="","",J17*S17/100)</f>
        <v>92.05</v>
      </c>
      <c r="Y17" s="13" t="str">
        <f aca="false">IF(T17="","",J17*T17/100)</f>
        <v/>
      </c>
      <c r="Z17" s="13" t="str">
        <f aca="false">IF(U17="","",J17*U17/100)</f>
        <v/>
      </c>
      <c r="AA17" s="6" t="s">
        <v>103</v>
      </c>
      <c r="AB17" s="6" t="s">
        <v>104</v>
      </c>
      <c r="AC17" s="6" t="s">
        <v>173</v>
      </c>
      <c r="AD17" s="13" t="n">
        <f aca="false">IF(AC17="","",IFERROR(INDEX('INDB Full Nutrients'!$D:$D,MATCH(AC17,'INDB Full Nutrients'!$A:$A,0)),""))</f>
        <v>20.7989826202393</v>
      </c>
      <c r="AE17" s="6" t="s">
        <v>174</v>
      </c>
      <c r="AF17" s="6"/>
    </row>
    <row r="18" customFormat="false" ht="15" hidden="false" customHeight="false" outlineLevel="0" collapsed="false">
      <c r="A18" s="6" t="s">
        <v>175</v>
      </c>
      <c r="B18" s="6" t="s">
        <v>176</v>
      </c>
      <c r="C18" s="6" t="s">
        <v>177</v>
      </c>
      <c r="D18" s="6" t="s">
        <v>37</v>
      </c>
      <c r="E18" s="6" t="s">
        <v>161</v>
      </c>
      <c r="F18" s="6" t="s">
        <v>100</v>
      </c>
      <c r="G18" s="6" t="s">
        <v>124</v>
      </c>
      <c r="H18" s="6" t="s">
        <v>101</v>
      </c>
      <c r="I18" s="6" t="s">
        <v>102</v>
      </c>
      <c r="J18" s="13" t="n">
        <f aca="false">4*K18+4*(L18-N18)+9*M18+2*N18</f>
        <v>22.3</v>
      </c>
      <c r="K18" s="14" t="n">
        <v>0.1</v>
      </c>
      <c r="L18" s="14" t="n">
        <v>5.5</v>
      </c>
      <c r="M18" s="14" t="n">
        <v>0</v>
      </c>
      <c r="N18" s="14" t="n">
        <v>0.05</v>
      </c>
      <c r="O18" s="14" t="n">
        <v>5.2</v>
      </c>
      <c r="P18" s="15" t="n">
        <v>150</v>
      </c>
      <c r="Q18" s="16" t="n">
        <v>150</v>
      </c>
      <c r="R18" s="16" t="n">
        <v>250</v>
      </c>
      <c r="S18" s="16" t="n">
        <v>350</v>
      </c>
      <c r="T18" s="6"/>
      <c r="U18" s="6"/>
      <c r="V18" s="13" t="n">
        <f aca="false">IF(Q18="","",J18*Q18/100)</f>
        <v>33.45</v>
      </c>
      <c r="W18" s="13" t="n">
        <f aca="false">IF(R18="","",J18*R18/100)</f>
        <v>55.75</v>
      </c>
      <c r="X18" s="13" t="n">
        <f aca="false">IF(S18="","",J18*S18/100)</f>
        <v>78.05</v>
      </c>
      <c r="Y18" s="13" t="str">
        <f aca="false">IF(T18="","",J18*T18/100)</f>
        <v/>
      </c>
      <c r="Z18" s="13" t="str">
        <f aca="false">IF(U18="","",J18*U18/100)</f>
        <v/>
      </c>
      <c r="AA18" s="6" t="s">
        <v>103</v>
      </c>
      <c r="AB18" s="6" t="s">
        <v>104</v>
      </c>
      <c r="AC18" s="6"/>
      <c r="AD18" s="13" t="str">
        <f aca="false">IF(AC18="","",IFERROR(INDEX('INDB Full Nutrients'!$D:$D,MATCH(AC18,'INDB Full Nutrients'!$A:$A,0)),""))</f>
        <v/>
      </c>
      <c r="AE18" s="6"/>
      <c r="AF18" s="6"/>
    </row>
    <row r="19" customFormat="false" ht="15" hidden="false" customHeight="false" outlineLevel="0" collapsed="false">
      <c r="A19" s="6" t="s">
        <v>178</v>
      </c>
      <c r="B19" s="6" t="s">
        <v>179</v>
      </c>
      <c r="C19" s="6" t="s">
        <v>180</v>
      </c>
      <c r="D19" s="6" t="s">
        <v>37</v>
      </c>
      <c r="E19" s="6" t="s">
        <v>99</v>
      </c>
      <c r="F19" s="6" t="s">
        <v>100</v>
      </c>
      <c r="G19" s="6" t="s">
        <v>124</v>
      </c>
      <c r="H19" s="6" t="s">
        <v>101</v>
      </c>
      <c r="I19" s="6" t="s">
        <v>102</v>
      </c>
      <c r="J19" s="13" t="n">
        <f aca="false">4*K19+4*(L19-N19)+9*M19+2*N19</f>
        <v>3.5</v>
      </c>
      <c r="K19" s="14" t="n">
        <v>0.1</v>
      </c>
      <c r="L19" s="14" t="n">
        <v>0.8</v>
      </c>
      <c r="M19" s="14" t="n">
        <v>0</v>
      </c>
      <c r="N19" s="14" t="n">
        <v>0.05</v>
      </c>
      <c r="O19" s="14" t="n">
        <v>0.3</v>
      </c>
      <c r="P19" s="15" t="n">
        <v>200</v>
      </c>
      <c r="Q19" s="16" t="n">
        <v>150</v>
      </c>
      <c r="R19" s="16" t="n">
        <v>250</v>
      </c>
      <c r="S19" s="16" t="n">
        <v>350</v>
      </c>
      <c r="T19" s="6"/>
      <c r="U19" s="6"/>
      <c r="V19" s="13" t="n">
        <f aca="false">IF(Q19="","",J19*Q19/100)</f>
        <v>5.25</v>
      </c>
      <c r="W19" s="13" t="n">
        <f aca="false">IF(R19="","",J19*R19/100)</f>
        <v>8.75</v>
      </c>
      <c r="X19" s="13" t="n">
        <f aca="false">IF(S19="","",J19*S19/100)</f>
        <v>12.25</v>
      </c>
      <c r="Y19" s="13" t="str">
        <f aca="false">IF(T19="","",J19*T19/100)</f>
        <v/>
      </c>
      <c r="Z19" s="13" t="str">
        <f aca="false">IF(U19="","",J19*U19/100)</f>
        <v/>
      </c>
      <c r="AA19" s="6" t="s">
        <v>103</v>
      </c>
      <c r="AB19" s="6" t="s">
        <v>104</v>
      </c>
      <c r="AC19" s="6"/>
      <c r="AD19" s="13" t="str">
        <f aca="false">IF(AC19="","",IFERROR(INDEX('INDB Full Nutrients'!$D:$D,MATCH(AC19,'INDB Full Nutrients'!$A:$A,0)),""))</f>
        <v/>
      </c>
      <c r="AE19" s="6"/>
      <c r="AF19" s="6"/>
    </row>
    <row r="20" customFormat="false" ht="15" hidden="false" customHeight="false" outlineLevel="0" collapsed="false">
      <c r="A20" s="6" t="s">
        <v>181</v>
      </c>
      <c r="B20" s="6" t="s">
        <v>182</v>
      </c>
      <c r="C20" s="6" t="s">
        <v>183</v>
      </c>
      <c r="D20" s="6" t="s">
        <v>37</v>
      </c>
      <c r="E20" s="6" t="s">
        <v>99</v>
      </c>
      <c r="F20" s="6" t="s">
        <v>100</v>
      </c>
      <c r="G20" s="6" t="s">
        <v>124</v>
      </c>
      <c r="H20" s="6" t="s">
        <v>101</v>
      </c>
      <c r="I20" s="6" t="s">
        <v>102</v>
      </c>
      <c r="J20" s="13" t="n">
        <f aca="false">4*K20+4*(L20-N20)+9*M20+2*N20</f>
        <v>28.4</v>
      </c>
      <c r="K20" s="14" t="n">
        <v>0.1</v>
      </c>
      <c r="L20" s="14" t="n">
        <v>7</v>
      </c>
      <c r="M20" s="14" t="n">
        <v>0</v>
      </c>
      <c r="N20" s="14" t="n">
        <v>0</v>
      </c>
      <c r="O20" s="14" t="n">
        <v>6.8</v>
      </c>
      <c r="P20" s="15" t="n">
        <v>50</v>
      </c>
      <c r="Q20" s="16" t="n">
        <v>150</v>
      </c>
      <c r="R20" s="16" t="n">
        <v>250</v>
      </c>
      <c r="S20" s="16" t="n">
        <v>350</v>
      </c>
      <c r="T20" s="6"/>
      <c r="U20" s="6"/>
      <c r="V20" s="13" t="n">
        <f aca="false">IF(Q20="","",J20*Q20/100)</f>
        <v>42.6</v>
      </c>
      <c r="W20" s="13" t="n">
        <f aca="false">IF(R20="","",J20*R20/100)</f>
        <v>71</v>
      </c>
      <c r="X20" s="13" t="n">
        <f aca="false">IF(S20="","",J20*S20/100)</f>
        <v>99.4</v>
      </c>
      <c r="Y20" s="13" t="str">
        <f aca="false">IF(T20="","",J20*T20/100)</f>
        <v/>
      </c>
      <c r="Z20" s="13" t="str">
        <f aca="false">IF(U20="","",J20*U20/100)</f>
        <v/>
      </c>
      <c r="AA20" s="6" t="s">
        <v>103</v>
      </c>
      <c r="AB20" s="6" t="s">
        <v>104</v>
      </c>
      <c r="AC20" s="6"/>
      <c r="AD20" s="13" t="str">
        <f aca="false">IF(AC20="","",IFERROR(INDEX('INDB Full Nutrients'!$D:$D,MATCH(AC20,'INDB Full Nutrients'!$A:$A,0)),""))</f>
        <v/>
      </c>
      <c r="AE20" s="6"/>
      <c r="AF20" s="6"/>
    </row>
    <row r="21" customFormat="false" ht="15" hidden="false" customHeight="false" outlineLevel="0" collapsed="false">
      <c r="A21" s="6" t="s">
        <v>184</v>
      </c>
      <c r="B21" s="6" t="s">
        <v>185</v>
      </c>
      <c r="C21" s="6" t="s">
        <v>186</v>
      </c>
      <c r="D21" s="6" t="s">
        <v>37</v>
      </c>
      <c r="E21" s="6" t="s">
        <v>161</v>
      </c>
      <c r="F21" s="6" t="s">
        <v>100</v>
      </c>
      <c r="G21" s="6" t="s">
        <v>124</v>
      </c>
      <c r="H21" s="6" t="s">
        <v>101</v>
      </c>
      <c r="I21" s="6" t="s">
        <v>102</v>
      </c>
      <c r="J21" s="13" t="n">
        <f aca="false">4*K21+4*(L21-N21)+9*M21+2*N21</f>
        <v>25.5</v>
      </c>
      <c r="K21" s="14" t="n">
        <v>0.2</v>
      </c>
      <c r="L21" s="14" t="n">
        <v>6</v>
      </c>
      <c r="M21" s="14" t="n">
        <v>0.1</v>
      </c>
      <c r="N21" s="14" t="n">
        <v>0.1</v>
      </c>
      <c r="O21" s="14" t="n">
        <v>5</v>
      </c>
      <c r="P21" s="15" t="n">
        <v>300</v>
      </c>
      <c r="Q21" s="16" t="n">
        <v>150</v>
      </c>
      <c r="R21" s="16" t="n">
        <v>250</v>
      </c>
      <c r="S21" s="16" t="n">
        <v>350</v>
      </c>
      <c r="T21" s="6"/>
      <c r="U21" s="6"/>
      <c r="V21" s="13" t="n">
        <f aca="false">IF(Q21="","",J21*Q21/100)</f>
        <v>38.25</v>
      </c>
      <c r="W21" s="13" t="n">
        <f aca="false">IF(R21="","",J21*R21/100)</f>
        <v>63.75</v>
      </c>
      <c r="X21" s="13" t="n">
        <f aca="false">IF(S21="","",J21*S21/100)</f>
        <v>89.25</v>
      </c>
      <c r="Y21" s="13" t="str">
        <f aca="false">IF(T21="","",J21*T21/100)</f>
        <v/>
      </c>
      <c r="Z21" s="13" t="str">
        <f aca="false">IF(U21="","",J21*U21/100)</f>
        <v/>
      </c>
      <c r="AA21" s="6" t="s">
        <v>125</v>
      </c>
      <c r="AB21" s="6" t="s">
        <v>147</v>
      </c>
      <c r="AC21" s="6" t="s">
        <v>187</v>
      </c>
      <c r="AD21" s="13" t="n">
        <f aca="false">IF(AC21="","",IFERROR(INDEX('INDB Full Nutrients'!$D:$D,MATCH(AC21,'INDB Full Nutrients'!$A:$A,0)),""))</f>
        <v>30.2408065795898</v>
      </c>
      <c r="AE21" s="6" t="s">
        <v>188</v>
      </c>
      <c r="AF21" s="6"/>
    </row>
    <row r="22" customFormat="false" ht="15" hidden="false" customHeight="false" outlineLevel="0" collapsed="false">
      <c r="A22" s="6" t="s">
        <v>189</v>
      </c>
      <c r="B22" s="6" t="s">
        <v>190</v>
      </c>
      <c r="C22" s="6" t="s">
        <v>191</v>
      </c>
      <c r="D22" s="6" t="s">
        <v>37</v>
      </c>
      <c r="E22" s="6" t="s">
        <v>161</v>
      </c>
      <c r="F22" s="6" t="s">
        <v>100</v>
      </c>
      <c r="G22" s="6" t="s">
        <v>124</v>
      </c>
      <c r="H22" s="6" t="s">
        <v>101</v>
      </c>
      <c r="I22" s="6" t="s">
        <v>102</v>
      </c>
      <c r="J22" s="13" t="n">
        <f aca="false">4*K22+4*(L22-N22)+9*M22+2*N22</f>
        <v>40.2</v>
      </c>
      <c r="K22" s="14" t="n">
        <v>0.2</v>
      </c>
      <c r="L22" s="14" t="n">
        <v>10</v>
      </c>
      <c r="M22" s="14" t="n">
        <v>0</v>
      </c>
      <c r="N22" s="14" t="n">
        <v>0.3</v>
      </c>
      <c r="O22" s="14" t="n">
        <v>8.5</v>
      </c>
      <c r="P22" s="15" t="n">
        <v>120</v>
      </c>
      <c r="Q22" s="16" t="n">
        <v>150</v>
      </c>
      <c r="R22" s="16" t="n">
        <v>250</v>
      </c>
      <c r="S22" s="16" t="n">
        <v>350</v>
      </c>
      <c r="T22" s="6"/>
      <c r="U22" s="6"/>
      <c r="V22" s="13" t="n">
        <f aca="false">IF(Q22="","",J22*Q22/100)</f>
        <v>60.3</v>
      </c>
      <c r="W22" s="13" t="n">
        <f aca="false">IF(R22="","",J22*R22/100)</f>
        <v>100.5</v>
      </c>
      <c r="X22" s="13" t="n">
        <f aca="false">IF(S22="","",J22*S22/100)</f>
        <v>140.7</v>
      </c>
      <c r="Y22" s="13" t="str">
        <f aca="false">IF(T22="","",J22*T22/100)</f>
        <v/>
      </c>
      <c r="Z22" s="13" t="str">
        <f aca="false">IF(U22="","",J22*U22/100)</f>
        <v/>
      </c>
      <c r="AA22" s="6" t="s">
        <v>125</v>
      </c>
      <c r="AB22" s="6" t="s">
        <v>147</v>
      </c>
      <c r="AC22" s="6" t="s">
        <v>192</v>
      </c>
      <c r="AD22" s="13" t="n">
        <f aca="false">IF(AC22="","",IFERROR(INDEX('INDB Full Nutrients'!$D:$D,MATCH(AC22,'INDB Full Nutrients'!$A:$A,0)),""))</f>
        <v>35.9182205200195</v>
      </c>
      <c r="AE22" s="6" t="s">
        <v>193</v>
      </c>
      <c r="AF22" s="6"/>
    </row>
    <row r="23" customFormat="false" ht="15" hidden="false" customHeight="false" outlineLevel="0" collapsed="false">
      <c r="A23" s="6" t="s">
        <v>194</v>
      </c>
      <c r="B23" s="6" t="s">
        <v>195</v>
      </c>
      <c r="C23" s="6" t="s">
        <v>196</v>
      </c>
      <c r="D23" s="6" t="s">
        <v>37</v>
      </c>
      <c r="E23" s="6" t="s">
        <v>114</v>
      </c>
      <c r="F23" s="6" t="s">
        <v>100</v>
      </c>
      <c r="G23" s="6" t="s">
        <v>124</v>
      </c>
      <c r="H23" s="6" t="s">
        <v>101</v>
      </c>
      <c r="I23" s="6" t="s">
        <v>102</v>
      </c>
      <c r="J23" s="13" t="n">
        <f aca="false">4*K23+4*(L23-N23)+9*M23+2*N23</f>
        <v>44.4</v>
      </c>
      <c r="K23" s="14" t="n">
        <v>0.1</v>
      </c>
      <c r="L23" s="14" t="n">
        <v>11</v>
      </c>
      <c r="M23" s="14" t="n">
        <v>0</v>
      </c>
      <c r="N23" s="14" t="n">
        <v>0</v>
      </c>
      <c r="O23" s="14" t="n">
        <v>10.5</v>
      </c>
      <c r="P23" s="15" t="n">
        <v>60</v>
      </c>
      <c r="Q23" s="16" t="n">
        <v>150</v>
      </c>
      <c r="R23" s="16" t="n">
        <v>250</v>
      </c>
      <c r="S23" s="16" t="n">
        <v>350</v>
      </c>
      <c r="T23" s="6"/>
      <c r="U23" s="6"/>
      <c r="V23" s="13" t="n">
        <f aca="false">IF(Q23="","",J23*Q23/100)</f>
        <v>66.6</v>
      </c>
      <c r="W23" s="13" t="n">
        <f aca="false">IF(R23="","",J23*R23/100)</f>
        <v>111</v>
      </c>
      <c r="X23" s="13" t="n">
        <f aca="false">IF(S23="","",J23*S23/100)</f>
        <v>155.4</v>
      </c>
      <c r="Y23" s="13" t="str">
        <f aca="false">IF(T23="","",J23*T23/100)</f>
        <v/>
      </c>
      <c r="Z23" s="13" t="str">
        <f aca="false">IF(U23="","",J23*U23/100)</f>
        <v/>
      </c>
      <c r="AA23" s="6" t="s">
        <v>103</v>
      </c>
      <c r="AB23" s="6" t="s">
        <v>104</v>
      </c>
      <c r="AC23" s="6"/>
      <c r="AD23" s="13" t="str">
        <f aca="false">IF(AC23="","",IFERROR(INDEX('INDB Full Nutrients'!$D:$D,MATCH(AC23,'INDB Full Nutrients'!$A:$A,0)),""))</f>
        <v/>
      </c>
      <c r="AE23" s="6"/>
      <c r="AF23" s="6"/>
    </row>
    <row r="24" customFormat="false" ht="15" hidden="false" customHeight="false" outlineLevel="0" collapsed="false">
      <c r="A24" s="6" t="s">
        <v>197</v>
      </c>
      <c r="B24" s="6" t="s">
        <v>198</v>
      </c>
      <c r="C24" s="6" t="s">
        <v>199</v>
      </c>
      <c r="D24" s="6" t="s">
        <v>37</v>
      </c>
      <c r="E24" s="6" t="s">
        <v>161</v>
      </c>
      <c r="F24" s="6" t="s">
        <v>100</v>
      </c>
      <c r="G24" s="6" t="s">
        <v>124</v>
      </c>
      <c r="H24" s="6" t="s">
        <v>101</v>
      </c>
      <c r="I24" s="6" t="s">
        <v>102</v>
      </c>
      <c r="J24" s="13" t="n">
        <f aca="false">4*K24+4*(L24-N24)+9*M24+2*N24</f>
        <v>37.7</v>
      </c>
      <c r="K24" s="14" t="n">
        <v>0.6</v>
      </c>
      <c r="L24" s="14" t="n">
        <v>9</v>
      </c>
      <c r="M24" s="14" t="n">
        <v>0.1</v>
      </c>
      <c r="N24" s="14" t="n">
        <v>0.8</v>
      </c>
      <c r="O24" s="14" t="n">
        <v>8</v>
      </c>
      <c r="P24" s="15" t="n">
        <v>5</v>
      </c>
      <c r="Q24" s="16" t="n">
        <v>150</v>
      </c>
      <c r="R24" s="16" t="n">
        <v>250</v>
      </c>
      <c r="S24" s="16" t="n">
        <v>350</v>
      </c>
      <c r="T24" s="6"/>
      <c r="U24" s="6"/>
      <c r="V24" s="13" t="n">
        <f aca="false">IF(Q24="","",J24*Q24/100)</f>
        <v>56.55</v>
      </c>
      <c r="W24" s="13" t="n">
        <f aca="false">IF(R24="","",J24*R24/100)</f>
        <v>94.25</v>
      </c>
      <c r="X24" s="13" t="n">
        <f aca="false">IF(S24="","",J24*S24/100)</f>
        <v>131.95</v>
      </c>
      <c r="Y24" s="13" t="str">
        <f aca="false">IF(T24="","",J24*T24/100)</f>
        <v/>
      </c>
      <c r="Z24" s="13" t="str">
        <f aca="false">IF(U24="","",J24*U24/100)</f>
        <v/>
      </c>
      <c r="AA24" s="6" t="s">
        <v>125</v>
      </c>
      <c r="AB24" s="6" t="s">
        <v>147</v>
      </c>
      <c r="AC24" s="6" t="s">
        <v>200</v>
      </c>
      <c r="AD24" s="13" t="n">
        <f aca="false">IF(AC24="","",IFERROR(INDEX('INDB Full Nutrients'!$D:$D,MATCH(AC24,'INDB Full Nutrients'!$A:$A,0)),""))</f>
        <v>34.1768836975098</v>
      </c>
      <c r="AE24" s="6" t="s">
        <v>201</v>
      </c>
      <c r="AF24" s="6"/>
    </row>
    <row r="25" customFormat="false" ht="15" hidden="false" customHeight="false" outlineLevel="0" collapsed="false">
      <c r="A25" s="6" t="s">
        <v>202</v>
      </c>
      <c r="B25" s="6" t="s">
        <v>203</v>
      </c>
      <c r="C25" s="6" t="s">
        <v>204</v>
      </c>
      <c r="D25" s="6" t="s">
        <v>37</v>
      </c>
      <c r="E25" s="6" t="s">
        <v>205</v>
      </c>
      <c r="F25" s="6" t="s">
        <v>100</v>
      </c>
      <c r="G25" s="6" t="s">
        <v>124</v>
      </c>
      <c r="H25" s="6" t="s">
        <v>101</v>
      </c>
      <c r="I25" s="6" t="s">
        <v>102</v>
      </c>
      <c r="J25" s="13" t="n">
        <f aca="false">4*K25+4*(L25-N25)+9*M25+2*N25</f>
        <v>37.4</v>
      </c>
      <c r="K25" s="14" t="n">
        <v>2.2</v>
      </c>
      <c r="L25" s="14" t="n">
        <v>6.5</v>
      </c>
      <c r="M25" s="14" t="n">
        <v>0.6</v>
      </c>
      <c r="N25" s="14" t="n">
        <v>1.4</v>
      </c>
      <c r="O25" s="14" t="n">
        <v>0.5</v>
      </c>
      <c r="P25" s="15" t="n">
        <v>150</v>
      </c>
      <c r="Q25" s="16" t="n">
        <v>150</v>
      </c>
      <c r="R25" s="16" t="n">
        <v>250</v>
      </c>
      <c r="S25" s="16" t="n">
        <v>350</v>
      </c>
      <c r="T25" s="6"/>
      <c r="U25" s="6"/>
      <c r="V25" s="13" t="n">
        <f aca="false">IF(Q25="","",J25*Q25/100)</f>
        <v>56.1</v>
      </c>
      <c r="W25" s="13" t="n">
        <f aca="false">IF(R25="","",J25*R25/100)</f>
        <v>93.5</v>
      </c>
      <c r="X25" s="13" t="n">
        <f aca="false">IF(S25="","",J25*S25/100)</f>
        <v>130.9</v>
      </c>
      <c r="Y25" s="13" t="str">
        <f aca="false">IF(T25="","",J25*T25/100)</f>
        <v/>
      </c>
      <c r="Z25" s="13" t="str">
        <f aca="false">IF(U25="","",J25*U25/100)</f>
        <v/>
      </c>
      <c r="AA25" s="6" t="s">
        <v>103</v>
      </c>
      <c r="AB25" s="6" t="s">
        <v>104</v>
      </c>
      <c r="AC25" s="6" t="s">
        <v>206</v>
      </c>
      <c r="AD25" s="13" t="n">
        <f aca="false">IF(AC25="","",IFERROR(INDEX('INDB Full Nutrients'!$D:$D,MATCH(AC25,'INDB Full Nutrients'!$A:$A,0)),""))</f>
        <v>23.3774261474609</v>
      </c>
      <c r="AE25" s="6" t="s">
        <v>207</v>
      </c>
      <c r="AF25" s="6" t="s">
        <v>208</v>
      </c>
    </row>
    <row r="26" customFormat="false" ht="15" hidden="false" customHeight="false" outlineLevel="0" collapsed="false">
      <c r="A26" s="6" t="s">
        <v>209</v>
      </c>
      <c r="B26" s="6" t="s">
        <v>210</v>
      </c>
      <c r="C26" s="6" t="s">
        <v>211</v>
      </c>
      <c r="D26" s="6" t="s">
        <v>37</v>
      </c>
      <c r="E26" s="6" t="s">
        <v>99</v>
      </c>
      <c r="F26" s="6" t="s">
        <v>100</v>
      </c>
      <c r="G26" s="6" t="s">
        <v>124</v>
      </c>
      <c r="H26" s="6" t="s">
        <v>101</v>
      </c>
      <c r="I26" s="6" t="s">
        <v>102</v>
      </c>
      <c r="J26" s="13" t="n">
        <f aca="false">4*K26+4*(L26-N26)+9*M26+2*N26</f>
        <v>36</v>
      </c>
      <c r="K26" s="14" t="n">
        <v>0</v>
      </c>
      <c r="L26" s="14" t="n">
        <v>9</v>
      </c>
      <c r="M26" s="14" t="n">
        <v>0</v>
      </c>
      <c r="N26" s="14" t="n">
        <v>0</v>
      </c>
      <c r="O26" s="14" t="n">
        <v>9</v>
      </c>
      <c r="P26" s="15" t="n">
        <v>3</v>
      </c>
      <c r="Q26" s="16" t="n">
        <v>150</v>
      </c>
      <c r="R26" s="16" t="n">
        <v>250</v>
      </c>
      <c r="S26" s="16" t="n">
        <v>350</v>
      </c>
      <c r="T26" s="6"/>
      <c r="U26" s="6"/>
      <c r="V26" s="13" t="n">
        <f aca="false">IF(Q26="","",J26*Q26/100)</f>
        <v>54</v>
      </c>
      <c r="W26" s="13" t="n">
        <f aca="false">IF(R26="","",J26*R26/100)</f>
        <v>90</v>
      </c>
      <c r="X26" s="13" t="n">
        <f aca="false">IF(S26="","",J26*S26/100)</f>
        <v>126</v>
      </c>
      <c r="Y26" s="13" t="str">
        <f aca="false">IF(T26="","",J26*T26/100)</f>
        <v/>
      </c>
      <c r="Z26" s="13" t="str">
        <f aca="false">IF(U26="","",J26*U26/100)</f>
        <v/>
      </c>
      <c r="AA26" s="6" t="s">
        <v>103</v>
      </c>
      <c r="AB26" s="6" t="s">
        <v>104</v>
      </c>
      <c r="AC26" s="6"/>
      <c r="AD26" s="13" t="str">
        <f aca="false">IF(AC26="","",IFERROR(INDEX('INDB Full Nutrients'!$D:$D,MATCH(AC26,'INDB Full Nutrients'!$A:$A,0)),""))</f>
        <v/>
      </c>
      <c r="AE26" s="6"/>
      <c r="AF26" s="6"/>
    </row>
    <row r="27" customFormat="false" ht="15" hidden="false" customHeight="false" outlineLevel="0" collapsed="false">
      <c r="A27" s="6" t="s">
        <v>212</v>
      </c>
      <c r="B27" s="6" t="s">
        <v>213</v>
      </c>
      <c r="C27" s="6" t="s">
        <v>214</v>
      </c>
      <c r="D27" s="6" t="s">
        <v>37</v>
      </c>
      <c r="E27" s="6" t="s">
        <v>161</v>
      </c>
      <c r="F27" s="6" t="s">
        <v>100</v>
      </c>
      <c r="G27" s="6"/>
      <c r="H27" s="6" t="s">
        <v>101</v>
      </c>
      <c r="I27" s="6" t="s">
        <v>102</v>
      </c>
      <c r="J27" s="13" t="n">
        <f aca="false">4*K27+4*(L27-N27)+9*M27+2*N27</f>
        <v>89</v>
      </c>
      <c r="K27" s="14" t="n">
        <v>3</v>
      </c>
      <c r="L27" s="14" t="n">
        <v>12.5</v>
      </c>
      <c r="M27" s="14" t="n">
        <v>3</v>
      </c>
      <c r="N27" s="14" t="n">
        <v>0</v>
      </c>
      <c r="O27" s="14" t="n">
        <v>12.5</v>
      </c>
      <c r="P27" s="15" t="n">
        <v>42</v>
      </c>
      <c r="Q27" s="16" t="n">
        <v>200</v>
      </c>
      <c r="R27" s="16" t="n">
        <v>300</v>
      </c>
      <c r="S27" s="16" t="n">
        <v>400</v>
      </c>
      <c r="T27" s="6"/>
      <c r="U27" s="6"/>
      <c r="V27" s="13" t="n">
        <f aca="false">IF(Q27="","",J27*Q27/100)</f>
        <v>178</v>
      </c>
      <c r="W27" s="13" t="n">
        <f aca="false">IF(R27="","",J27*R27/100)</f>
        <v>267</v>
      </c>
      <c r="X27" s="13" t="n">
        <f aca="false">IF(S27="","",J27*S27/100)</f>
        <v>356</v>
      </c>
      <c r="Y27" s="13" t="str">
        <f aca="false">IF(T27="","",J27*T27/100)</f>
        <v/>
      </c>
      <c r="Z27" s="13" t="str">
        <f aca="false">IF(U27="","",J27*U27/100)</f>
        <v/>
      </c>
      <c r="AA27" s="6" t="s">
        <v>103</v>
      </c>
      <c r="AB27" s="6" t="s">
        <v>104</v>
      </c>
      <c r="AC27" s="6"/>
      <c r="AD27" s="13" t="str">
        <f aca="false">IF(AC27="","",IFERROR(INDEX('INDB Full Nutrients'!$D:$D,MATCH(AC27,'INDB Full Nutrients'!$A:$A,0)),""))</f>
        <v/>
      </c>
      <c r="AE27" s="6"/>
      <c r="AF27" s="6"/>
    </row>
    <row r="28" customFormat="false" ht="15" hidden="false" customHeight="false" outlineLevel="0" collapsed="false">
      <c r="A28" s="6" t="s">
        <v>215</v>
      </c>
      <c r="B28" s="6" t="s">
        <v>216</v>
      </c>
      <c r="C28" s="6" t="s">
        <v>217</v>
      </c>
      <c r="D28" s="6" t="s">
        <v>37</v>
      </c>
      <c r="E28" s="6" t="s">
        <v>119</v>
      </c>
      <c r="F28" s="6" t="s">
        <v>100</v>
      </c>
      <c r="G28" s="6" t="s">
        <v>124</v>
      </c>
      <c r="H28" s="6" t="s">
        <v>101</v>
      </c>
      <c r="I28" s="6" t="s">
        <v>102</v>
      </c>
      <c r="J28" s="13" t="n">
        <f aca="false">4*K28+4*(L28-N28)+9*M28+2*N28</f>
        <v>40</v>
      </c>
      <c r="K28" s="14" t="n">
        <v>0</v>
      </c>
      <c r="L28" s="14" t="n">
        <v>10</v>
      </c>
      <c r="M28" s="14" t="n">
        <v>0</v>
      </c>
      <c r="N28" s="14" t="n">
        <v>0</v>
      </c>
      <c r="O28" s="14" t="n">
        <v>10</v>
      </c>
      <c r="P28" s="15" t="n">
        <v>5</v>
      </c>
      <c r="Q28" s="16" t="n">
        <v>150</v>
      </c>
      <c r="R28" s="16" t="n">
        <v>250</v>
      </c>
      <c r="S28" s="16" t="n">
        <v>350</v>
      </c>
      <c r="T28" s="6"/>
      <c r="U28" s="6"/>
      <c r="V28" s="13" t="n">
        <f aca="false">IF(Q28="","",J28*Q28/100)</f>
        <v>60</v>
      </c>
      <c r="W28" s="13" t="n">
        <f aca="false">IF(R28="","",J28*R28/100)</f>
        <v>100</v>
      </c>
      <c r="X28" s="13" t="n">
        <f aca="false">IF(S28="","",J28*S28/100)</f>
        <v>140</v>
      </c>
      <c r="Y28" s="13" t="str">
        <f aca="false">IF(T28="","",J28*T28/100)</f>
        <v/>
      </c>
      <c r="Z28" s="13" t="str">
        <f aca="false">IF(U28="","",J28*U28/100)</f>
        <v/>
      </c>
      <c r="AA28" s="6" t="s">
        <v>103</v>
      </c>
      <c r="AB28" s="6" t="s">
        <v>104</v>
      </c>
      <c r="AC28" s="6" t="s">
        <v>218</v>
      </c>
      <c r="AD28" s="13" t="n">
        <f aca="false">IF(AC28="","",IFERROR(INDEX('INDB Full Nutrients'!$D:$D,MATCH(AC28,'INDB Full Nutrients'!$A:$A,0)),""))</f>
        <v>88.7898406982422</v>
      </c>
      <c r="AE28" s="6" t="s">
        <v>219</v>
      </c>
      <c r="AF28" s="6"/>
    </row>
    <row r="29" customFormat="false" ht="15" hidden="false" customHeight="false" outlineLevel="0" collapsed="false">
      <c r="A29" s="6" t="s">
        <v>220</v>
      </c>
      <c r="B29" s="6" t="s">
        <v>221</v>
      </c>
      <c r="C29" s="6" t="s">
        <v>222</v>
      </c>
      <c r="D29" s="6" t="s">
        <v>37</v>
      </c>
      <c r="E29" s="6" t="s">
        <v>114</v>
      </c>
      <c r="F29" s="6" t="s">
        <v>100</v>
      </c>
      <c r="G29" s="6" t="s">
        <v>124</v>
      </c>
      <c r="H29" s="6" t="s">
        <v>101</v>
      </c>
      <c r="I29" s="6" t="s">
        <v>102</v>
      </c>
      <c r="J29" s="13" t="n">
        <f aca="false">4*K29+4*(L29-N29)+9*M29+2*N29</f>
        <v>51.8</v>
      </c>
      <c r="K29" s="14" t="n">
        <v>0.6</v>
      </c>
      <c r="L29" s="14" t="n">
        <v>3.5</v>
      </c>
      <c r="M29" s="14" t="n">
        <v>4</v>
      </c>
      <c r="N29" s="14" t="n">
        <v>0.3</v>
      </c>
      <c r="O29" s="14" t="n">
        <v>2</v>
      </c>
      <c r="P29" s="15" t="n">
        <v>200</v>
      </c>
      <c r="Q29" s="16" t="n">
        <v>150</v>
      </c>
      <c r="R29" s="16" t="n">
        <v>250</v>
      </c>
      <c r="S29" s="16" t="n">
        <v>350</v>
      </c>
      <c r="T29" s="6"/>
      <c r="U29" s="6"/>
      <c r="V29" s="13" t="n">
        <f aca="false">IF(Q29="","",J29*Q29/100)</f>
        <v>77.7</v>
      </c>
      <c r="W29" s="13" t="n">
        <f aca="false">IF(R29="","",J29*R29/100)</f>
        <v>129.5</v>
      </c>
      <c r="X29" s="13" t="n">
        <f aca="false">IF(S29="","",J29*S29/100)</f>
        <v>181.3</v>
      </c>
      <c r="Y29" s="13" t="str">
        <f aca="false">IF(T29="","",J29*T29/100)</f>
        <v/>
      </c>
      <c r="Z29" s="13" t="str">
        <f aca="false">IF(U29="","",J29*U29/100)</f>
        <v/>
      </c>
      <c r="AA29" s="6" t="s">
        <v>103</v>
      </c>
      <c r="AB29" s="6" t="s">
        <v>104</v>
      </c>
      <c r="AC29" s="6"/>
      <c r="AD29" s="13" t="str">
        <f aca="false">IF(AC29="","",IFERROR(INDEX('INDB Full Nutrients'!$D:$D,MATCH(AC29,'INDB Full Nutrients'!$A:$A,0)),""))</f>
        <v/>
      </c>
      <c r="AE29" s="6"/>
      <c r="AF29" s="6"/>
    </row>
    <row r="30" customFormat="false" ht="15" hidden="false" customHeight="false" outlineLevel="0" collapsed="false">
      <c r="A30" s="6" t="s">
        <v>223</v>
      </c>
      <c r="B30" s="6" t="s">
        <v>224</v>
      </c>
      <c r="C30" s="6" t="s">
        <v>225</v>
      </c>
      <c r="D30" s="6" t="s">
        <v>37</v>
      </c>
      <c r="E30" s="6" t="s">
        <v>99</v>
      </c>
      <c r="F30" s="6" t="s">
        <v>100</v>
      </c>
      <c r="G30" s="6" t="s">
        <v>124</v>
      </c>
      <c r="H30" s="6" t="s">
        <v>101</v>
      </c>
      <c r="I30" s="6" t="s">
        <v>102</v>
      </c>
      <c r="J30" s="13" t="n">
        <f aca="false">4*K30+4*(L30-N30)+9*M30+2*N30</f>
        <v>17.2</v>
      </c>
      <c r="K30" s="14" t="n">
        <v>0.7</v>
      </c>
      <c r="L30" s="14" t="n">
        <v>3.7</v>
      </c>
      <c r="M30" s="14" t="n">
        <v>0.2</v>
      </c>
      <c r="N30" s="14" t="n">
        <v>1.1</v>
      </c>
      <c r="O30" s="14" t="n">
        <v>2.6</v>
      </c>
      <c r="P30" s="15" t="n">
        <v>105</v>
      </c>
      <c r="Q30" s="16" t="n">
        <v>200</v>
      </c>
      <c r="R30" s="16" t="n">
        <v>300</v>
      </c>
      <c r="S30" s="16" t="n">
        <v>400</v>
      </c>
      <c r="T30" s="6"/>
      <c r="U30" s="6"/>
      <c r="V30" s="13" t="n">
        <f aca="false">IF(Q30="","",J30*Q30/100)</f>
        <v>34.4</v>
      </c>
      <c r="W30" s="13" t="n">
        <f aca="false">IF(R30="","",J30*R30/100)</f>
        <v>51.6</v>
      </c>
      <c r="X30" s="13" t="n">
        <f aca="false">IF(S30="","",J30*S30/100)</f>
        <v>68.8</v>
      </c>
      <c r="Y30" s="13" t="str">
        <f aca="false">IF(T30="","",J30*T30/100)</f>
        <v/>
      </c>
      <c r="Z30" s="13" t="str">
        <f aca="false">IF(U30="","",J30*U30/100)</f>
        <v/>
      </c>
      <c r="AA30" s="6" t="s">
        <v>125</v>
      </c>
      <c r="AB30" s="6" t="s">
        <v>126</v>
      </c>
      <c r="AC30" s="6"/>
      <c r="AD30" s="13" t="str">
        <f aca="false">IF(AC30="","",IFERROR(INDEX('INDB Full Nutrients'!$D:$D,MATCH(AC30,'INDB Full Nutrients'!$A:$A,0)),""))</f>
        <v/>
      </c>
      <c r="AE30" s="6"/>
      <c r="AF30" s="6" t="s">
        <v>226</v>
      </c>
    </row>
    <row r="31" customFormat="false" ht="15" hidden="false" customHeight="false" outlineLevel="0" collapsed="false">
      <c r="A31" s="6" t="s">
        <v>227</v>
      </c>
      <c r="B31" s="6" t="s">
        <v>228</v>
      </c>
      <c r="C31" s="6" t="s">
        <v>229</v>
      </c>
      <c r="D31" s="6" t="s">
        <v>37</v>
      </c>
      <c r="E31" s="6" t="s">
        <v>99</v>
      </c>
      <c r="F31" s="6" t="s">
        <v>100</v>
      </c>
      <c r="G31" s="6" t="s">
        <v>124</v>
      </c>
      <c r="H31" s="6" t="s">
        <v>101</v>
      </c>
      <c r="I31" s="6" t="s">
        <v>102</v>
      </c>
      <c r="J31" s="13" t="n">
        <f aca="false">4*K31+4*(L31-N31)+9*M31+2*N31</f>
        <v>73.7</v>
      </c>
      <c r="K31" s="14" t="n">
        <v>0.2</v>
      </c>
      <c r="L31" s="14" t="n">
        <v>18</v>
      </c>
      <c r="M31" s="14" t="n">
        <v>0.1</v>
      </c>
      <c r="N31" s="14" t="n">
        <v>0</v>
      </c>
      <c r="O31" s="14" t="n">
        <v>16</v>
      </c>
      <c r="P31" s="15" t="n">
        <v>10</v>
      </c>
      <c r="Q31" s="16" t="n">
        <v>150</v>
      </c>
      <c r="R31" s="16" t="n">
        <v>250</v>
      </c>
      <c r="S31" s="16" t="n">
        <v>350</v>
      </c>
      <c r="T31" s="6"/>
      <c r="U31" s="6"/>
      <c r="V31" s="13" t="n">
        <f aca="false">IF(Q31="","",J31*Q31/100)</f>
        <v>110.55</v>
      </c>
      <c r="W31" s="13" t="n">
        <f aca="false">IF(R31="","",J31*R31/100)</f>
        <v>184.25</v>
      </c>
      <c r="X31" s="13" t="n">
        <f aca="false">IF(S31="","",J31*S31/100)</f>
        <v>257.95</v>
      </c>
      <c r="Y31" s="13" t="str">
        <f aca="false">IF(T31="","",J31*T31/100)</f>
        <v/>
      </c>
      <c r="Z31" s="13" t="str">
        <f aca="false">IF(U31="","",J31*U31/100)</f>
        <v/>
      </c>
      <c r="AA31" s="6" t="s">
        <v>125</v>
      </c>
      <c r="AB31" s="6" t="s">
        <v>126</v>
      </c>
      <c r="AC31" s="6"/>
      <c r="AD31" s="13" t="str">
        <f aca="false">IF(AC31="","",IFERROR(INDEX('INDB Full Nutrients'!$D:$D,MATCH(AC31,'INDB Full Nutrients'!$A:$A,0)),""))</f>
        <v/>
      </c>
      <c r="AE31" s="6"/>
      <c r="AF31" s="6" t="s">
        <v>230</v>
      </c>
    </row>
    <row r="32" customFormat="false" ht="15" hidden="false" customHeight="false" outlineLevel="0" collapsed="false">
      <c r="A32" s="6" t="s">
        <v>231</v>
      </c>
      <c r="B32" s="6" t="s">
        <v>232</v>
      </c>
      <c r="C32" s="6"/>
      <c r="D32" s="6" t="s">
        <v>37</v>
      </c>
      <c r="E32" s="6" t="s">
        <v>161</v>
      </c>
      <c r="F32" s="6" t="s">
        <v>100</v>
      </c>
      <c r="G32" s="6"/>
      <c r="H32" s="6" t="s">
        <v>101</v>
      </c>
      <c r="I32" s="6" t="s">
        <v>102</v>
      </c>
      <c r="J32" s="13" t="n">
        <f aca="false">4*K32+4*(L32-N32)+9*M32+2*N32</f>
        <v>112</v>
      </c>
      <c r="K32" s="14" t="n">
        <v>3.5</v>
      </c>
      <c r="L32" s="14" t="n">
        <v>13.5</v>
      </c>
      <c r="M32" s="14" t="n">
        <v>5</v>
      </c>
      <c r="N32" s="14" t="n">
        <v>0.5</v>
      </c>
      <c r="O32" s="14" t="n">
        <v>12</v>
      </c>
      <c r="P32" s="15" t="n">
        <v>40</v>
      </c>
      <c r="Q32" s="16" t="n">
        <v>150</v>
      </c>
      <c r="R32" s="16" t="n">
        <v>250</v>
      </c>
      <c r="S32" s="16" t="n">
        <v>350</v>
      </c>
      <c r="T32" s="6"/>
      <c r="U32" s="6"/>
      <c r="V32" s="13" t="n">
        <f aca="false">IF(Q32="","",J32*Q32/100)</f>
        <v>168</v>
      </c>
      <c r="W32" s="13" t="n">
        <f aca="false">IF(R32="","",J32*R32/100)</f>
        <v>280</v>
      </c>
      <c r="X32" s="13" t="n">
        <f aca="false">IF(S32="","",J32*S32/100)</f>
        <v>392</v>
      </c>
      <c r="Y32" s="13" t="str">
        <f aca="false">IF(T32="","",J32*T32/100)</f>
        <v/>
      </c>
      <c r="Z32" s="13" t="str">
        <f aca="false">IF(U32="","",J32*U32/100)</f>
        <v/>
      </c>
      <c r="AA32" s="6" t="s">
        <v>125</v>
      </c>
      <c r="AB32" s="6" t="s">
        <v>147</v>
      </c>
      <c r="AC32" s="6" t="s">
        <v>233</v>
      </c>
      <c r="AD32" s="13" t="n">
        <f aca="false">IF(AC32="","",IFERROR(INDEX('INDB Full Nutrients'!$D:$D,MATCH(AC32,'INDB Full Nutrients'!$A:$A,0)),""))</f>
        <v>101.176902770996</v>
      </c>
      <c r="AE32" s="6" t="s">
        <v>234</v>
      </c>
      <c r="AF32" s="6" t="s">
        <v>235</v>
      </c>
    </row>
    <row r="33" customFormat="false" ht="15" hidden="false" customHeight="false" outlineLevel="0" collapsed="false">
      <c r="A33" s="6" t="s">
        <v>236</v>
      </c>
      <c r="B33" s="6" t="s">
        <v>237</v>
      </c>
      <c r="C33" s="6" t="s">
        <v>238</v>
      </c>
      <c r="D33" s="6" t="s">
        <v>37</v>
      </c>
      <c r="E33" s="6" t="s">
        <v>119</v>
      </c>
      <c r="F33" s="6" t="s">
        <v>100</v>
      </c>
      <c r="G33" s="6"/>
      <c r="H33" s="6" t="s">
        <v>101</v>
      </c>
      <c r="I33" s="6" t="s">
        <v>102</v>
      </c>
      <c r="J33" s="13" t="n">
        <f aca="false">4*K33+4*(L33-N33)+9*M33+2*N33</f>
        <v>138.8</v>
      </c>
      <c r="K33" s="14" t="n">
        <v>3.5</v>
      </c>
      <c r="L33" s="14" t="n">
        <v>20</v>
      </c>
      <c r="M33" s="14" t="n">
        <v>5</v>
      </c>
      <c r="N33" s="14" t="n">
        <v>0.1</v>
      </c>
      <c r="O33" s="14" t="n">
        <v>18</v>
      </c>
      <c r="P33" s="15" t="n">
        <v>50</v>
      </c>
      <c r="Q33" s="16" t="n">
        <v>200</v>
      </c>
      <c r="R33" s="16" t="n">
        <v>300</v>
      </c>
      <c r="S33" s="16" t="n">
        <v>400</v>
      </c>
      <c r="T33" s="6"/>
      <c r="U33" s="6"/>
      <c r="V33" s="13" t="n">
        <f aca="false">IF(Q33="","",J33*Q33/100)</f>
        <v>277.6</v>
      </c>
      <c r="W33" s="13" t="n">
        <f aca="false">IF(R33="","",J33*R33/100)</f>
        <v>416.4</v>
      </c>
      <c r="X33" s="13" t="n">
        <f aca="false">IF(S33="","",J33*S33/100)</f>
        <v>555.2</v>
      </c>
      <c r="Y33" s="13" t="str">
        <f aca="false">IF(T33="","",J33*T33/100)</f>
        <v/>
      </c>
      <c r="Z33" s="13" t="str">
        <f aca="false">IF(U33="","",J33*U33/100)</f>
        <v/>
      </c>
      <c r="AA33" s="6" t="s">
        <v>103</v>
      </c>
      <c r="AB33" s="6" t="s">
        <v>104</v>
      </c>
      <c r="AC33" s="6"/>
      <c r="AD33" s="13" t="str">
        <f aca="false">IF(AC33="","",IFERROR(INDEX('INDB Full Nutrients'!$D:$D,MATCH(AC33,'INDB Full Nutrients'!$A:$A,0)),""))</f>
        <v/>
      </c>
      <c r="AE33" s="6"/>
      <c r="AF33" s="6" t="s">
        <v>239</v>
      </c>
    </row>
    <row r="34" customFormat="false" ht="15" hidden="false" customHeight="false" outlineLevel="0" collapsed="false">
      <c r="A34" s="6" t="s">
        <v>240</v>
      </c>
      <c r="B34" s="6" t="s">
        <v>241</v>
      </c>
      <c r="C34" s="6" t="s">
        <v>242</v>
      </c>
      <c r="D34" s="6" t="s">
        <v>37</v>
      </c>
      <c r="E34" s="6" t="s">
        <v>99</v>
      </c>
      <c r="F34" s="6" t="s">
        <v>100</v>
      </c>
      <c r="G34" s="6"/>
      <c r="H34" s="6" t="s">
        <v>101</v>
      </c>
      <c r="I34" s="6" t="s">
        <v>102</v>
      </c>
      <c r="J34" s="13" t="n">
        <f aca="false">4*K34+4*(L34-N34)+9*M34+2*N34</f>
        <v>137.6</v>
      </c>
      <c r="K34" s="14" t="n">
        <v>3.2</v>
      </c>
      <c r="L34" s="14" t="n">
        <v>22</v>
      </c>
      <c r="M34" s="14" t="n">
        <v>4.2</v>
      </c>
      <c r="N34" s="14" t="n">
        <v>0.5</v>
      </c>
      <c r="O34" s="14" t="n">
        <v>17</v>
      </c>
      <c r="P34" s="15" t="n">
        <v>45</v>
      </c>
      <c r="Q34" s="16" t="n">
        <v>200</v>
      </c>
      <c r="R34" s="16" t="n">
        <v>300</v>
      </c>
      <c r="S34" s="16" t="n">
        <v>400</v>
      </c>
      <c r="T34" s="6"/>
      <c r="U34" s="6"/>
      <c r="V34" s="13" t="n">
        <f aca="false">IF(Q34="","",J34*Q34/100)</f>
        <v>275.2</v>
      </c>
      <c r="W34" s="13" t="n">
        <f aca="false">IF(R34="","",J34*R34/100)</f>
        <v>412.8</v>
      </c>
      <c r="X34" s="13" t="n">
        <f aca="false">IF(S34="","",J34*S34/100)</f>
        <v>550.4</v>
      </c>
      <c r="Y34" s="13" t="str">
        <f aca="false">IF(T34="","",J34*T34/100)</f>
        <v/>
      </c>
      <c r="Z34" s="13" t="str">
        <f aca="false">IF(U34="","",J34*U34/100)</f>
        <v/>
      </c>
      <c r="AA34" s="6" t="s">
        <v>103</v>
      </c>
      <c r="AB34" s="6" t="s">
        <v>104</v>
      </c>
      <c r="AC34" s="6"/>
      <c r="AD34" s="13" t="str">
        <f aca="false">IF(AC34="","",IFERROR(INDEX('INDB Full Nutrients'!$D:$D,MATCH(AC34,'INDB Full Nutrients'!$A:$A,0)),""))</f>
        <v/>
      </c>
      <c r="AE34" s="6"/>
      <c r="AF34" s="6" t="s">
        <v>243</v>
      </c>
    </row>
    <row r="35" customFormat="false" ht="15" hidden="false" customHeight="false" outlineLevel="0" collapsed="false">
      <c r="A35" s="6" t="s">
        <v>244</v>
      </c>
      <c r="B35" s="6" t="s">
        <v>245</v>
      </c>
      <c r="C35" s="6"/>
      <c r="D35" s="6" t="s">
        <v>37</v>
      </c>
      <c r="E35" s="6" t="s">
        <v>119</v>
      </c>
      <c r="F35" s="6" t="s">
        <v>100</v>
      </c>
      <c r="G35" s="6"/>
      <c r="H35" s="6" t="s">
        <v>101</v>
      </c>
      <c r="I35" s="6" t="s">
        <v>102</v>
      </c>
      <c r="J35" s="13" t="n">
        <f aca="false">4*K35+4*(L35-N35)+9*M35+2*N35</f>
        <v>91</v>
      </c>
      <c r="K35" s="14" t="n">
        <v>3</v>
      </c>
      <c r="L35" s="14" t="n">
        <v>13</v>
      </c>
      <c r="M35" s="14" t="n">
        <v>3</v>
      </c>
      <c r="N35" s="14" t="n">
        <v>0</v>
      </c>
      <c r="O35" s="14" t="n">
        <v>12.8</v>
      </c>
      <c r="P35" s="15" t="n">
        <v>42</v>
      </c>
      <c r="Q35" s="16" t="n">
        <v>200</v>
      </c>
      <c r="R35" s="16" t="n">
        <v>300</v>
      </c>
      <c r="S35" s="16" t="n">
        <v>400</v>
      </c>
      <c r="T35" s="6"/>
      <c r="U35" s="6"/>
      <c r="V35" s="13" t="n">
        <f aca="false">IF(Q35="","",J35*Q35/100)</f>
        <v>182</v>
      </c>
      <c r="W35" s="13" t="n">
        <f aca="false">IF(R35="","",J35*R35/100)</f>
        <v>273</v>
      </c>
      <c r="X35" s="13" t="n">
        <f aca="false">IF(S35="","",J35*S35/100)</f>
        <v>364</v>
      </c>
      <c r="Y35" s="13" t="str">
        <f aca="false">IF(T35="","",J35*T35/100)</f>
        <v/>
      </c>
      <c r="Z35" s="13" t="str">
        <f aca="false">IF(U35="","",J35*U35/100)</f>
        <v/>
      </c>
      <c r="AA35" s="6" t="s">
        <v>103</v>
      </c>
      <c r="AB35" s="6" t="s">
        <v>104</v>
      </c>
      <c r="AC35" s="6"/>
      <c r="AD35" s="13" t="str">
        <f aca="false">IF(AC35="","",IFERROR(INDEX('INDB Full Nutrients'!$D:$D,MATCH(AC35,'INDB Full Nutrients'!$A:$A,0)),""))</f>
        <v/>
      </c>
      <c r="AE35" s="6"/>
      <c r="AF35" s="6"/>
    </row>
    <row r="36" customFormat="false" ht="15" hidden="false" customHeight="false" outlineLevel="0" collapsed="false">
      <c r="A36" s="6" t="s">
        <v>246</v>
      </c>
      <c r="B36" s="6" t="s">
        <v>247</v>
      </c>
      <c r="C36" s="6"/>
      <c r="D36" s="6" t="s">
        <v>37</v>
      </c>
      <c r="E36" s="6" t="s">
        <v>99</v>
      </c>
      <c r="F36" s="6" t="s">
        <v>100</v>
      </c>
      <c r="G36" s="6"/>
      <c r="H36" s="6" t="s">
        <v>101</v>
      </c>
      <c r="I36" s="6" t="s">
        <v>102</v>
      </c>
      <c r="J36" s="13" t="n">
        <f aca="false">4*K36+4*(L36-N36)+9*M36+2*N36</f>
        <v>80.4</v>
      </c>
      <c r="K36" s="14" t="n">
        <v>2.8</v>
      </c>
      <c r="L36" s="14" t="n">
        <v>11</v>
      </c>
      <c r="M36" s="14" t="n">
        <v>2.8</v>
      </c>
      <c r="N36" s="14" t="n">
        <v>0</v>
      </c>
      <c r="O36" s="14" t="n">
        <v>11</v>
      </c>
      <c r="P36" s="15" t="n">
        <v>40</v>
      </c>
      <c r="Q36" s="16" t="n">
        <v>200</v>
      </c>
      <c r="R36" s="16" t="n">
        <v>300</v>
      </c>
      <c r="S36" s="16" t="n">
        <v>400</v>
      </c>
      <c r="T36" s="6"/>
      <c r="U36" s="6"/>
      <c r="V36" s="13" t="n">
        <f aca="false">IF(Q36="","",J36*Q36/100)</f>
        <v>160.8</v>
      </c>
      <c r="W36" s="13" t="n">
        <f aca="false">IF(R36="","",J36*R36/100)</f>
        <v>241.2</v>
      </c>
      <c r="X36" s="13" t="n">
        <f aca="false">IF(S36="","",J36*S36/100)</f>
        <v>321.6</v>
      </c>
      <c r="Y36" s="13" t="str">
        <f aca="false">IF(T36="","",J36*T36/100)</f>
        <v/>
      </c>
      <c r="Z36" s="13" t="str">
        <f aca="false">IF(U36="","",J36*U36/100)</f>
        <v/>
      </c>
      <c r="AA36" s="6" t="s">
        <v>125</v>
      </c>
      <c r="AB36" s="6" t="s">
        <v>147</v>
      </c>
      <c r="AC36" s="6" t="s">
        <v>248</v>
      </c>
      <c r="AD36" s="13" t="n">
        <f aca="false">IF(AC36="","",IFERROR(INDEX('INDB Full Nutrients'!$D:$D,MATCH(AC36,'INDB Full Nutrients'!$A:$A,0)),""))</f>
        <v>82.7640686035156</v>
      </c>
      <c r="AE36" s="6" t="s">
        <v>249</v>
      </c>
      <c r="AF36" s="6"/>
    </row>
    <row r="37" customFormat="false" ht="15" hidden="false" customHeight="false" outlineLevel="0" collapsed="false">
      <c r="A37" s="6" t="s">
        <v>250</v>
      </c>
      <c r="B37" s="6" t="s">
        <v>251</v>
      </c>
      <c r="C37" s="6" t="s">
        <v>252</v>
      </c>
      <c r="D37" s="6" t="s">
        <v>37</v>
      </c>
      <c r="E37" s="6" t="s">
        <v>99</v>
      </c>
      <c r="F37" s="6" t="s">
        <v>100</v>
      </c>
      <c r="G37" s="6"/>
      <c r="H37" s="6" t="s">
        <v>101</v>
      </c>
      <c r="I37" s="6" t="s">
        <v>102</v>
      </c>
      <c r="J37" s="13" t="n">
        <f aca="false">4*K37+4*(L37-N37)+9*M37+2*N37</f>
        <v>112.5</v>
      </c>
      <c r="K37" s="14" t="n">
        <v>3</v>
      </c>
      <c r="L37" s="14" t="n">
        <v>15</v>
      </c>
      <c r="M37" s="14" t="n">
        <v>4.5</v>
      </c>
      <c r="N37" s="14" t="n">
        <v>0</v>
      </c>
      <c r="O37" s="14" t="n">
        <v>14.5</v>
      </c>
      <c r="P37" s="15" t="n">
        <v>45</v>
      </c>
      <c r="Q37" s="16" t="n">
        <v>200</v>
      </c>
      <c r="R37" s="16" t="n">
        <v>300</v>
      </c>
      <c r="S37" s="16" t="n">
        <v>400</v>
      </c>
      <c r="T37" s="6"/>
      <c r="U37" s="6"/>
      <c r="V37" s="13" t="n">
        <f aca="false">IF(Q37="","",J37*Q37/100)</f>
        <v>225</v>
      </c>
      <c r="W37" s="13" t="n">
        <f aca="false">IF(R37="","",J37*R37/100)</f>
        <v>337.5</v>
      </c>
      <c r="X37" s="13" t="n">
        <f aca="false">IF(S37="","",J37*S37/100)</f>
        <v>450</v>
      </c>
      <c r="Y37" s="13" t="str">
        <f aca="false">IF(T37="","",J37*T37/100)</f>
        <v/>
      </c>
      <c r="Z37" s="13" t="str">
        <f aca="false">IF(U37="","",J37*U37/100)</f>
        <v/>
      </c>
      <c r="AA37" s="6" t="s">
        <v>103</v>
      </c>
      <c r="AB37" s="6" t="s">
        <v>104</v>
      </c>
      <c r="AC37" s="6" t="s">
        <v>253</v>
      </c>
      <c r="AD37" s="13" t="n">
        <f aca="false">IF(AC37="","",IFERROR(INDEX('INDB Full Nutrients'!$D:$D,MATCH(AC37,'INDB Full Nutrients'!$A:$A,0)),""))</f>
        <v>67.8487548828125</v>
      </c>
      <c r="AE37" s="6" t="s">
        <v>254</v>
      </c>
      <c r="AF37" s="6"/>
    </row>
    <row r="38" customFormat="false" ht="15" hidden="false" customHeight="false" outlineLevel="0" collapsed="false">
      <c r="A38" s="6" t="s">
        <v>255</v>
      </c>
      <c r="B38" s="6" t="s">
        <v>256</v>
      </c>
      <c r="C38" s="6" t="s">
        <v>257</v>
      </c>
      <c r="D38" s="6" t="s">
        <v>37</v>
      </c>
      <c r="E38" s="6" t="s">
        <v>99</v>
      </c>
      <c r="F38" s="6" t="s">
        <v>100</v>
      </c>
      <c r="G38" s="6" t="s">
        <v>124</v>
      </c>
      <c r="H38" s="6" t="s">
        <v>101</v>
      </c>
      <c r="I38" s="6" t="s">
        <v>102</v>
      </c>
      <c r="J38" s="13" t="n">
        <f aca="false">4*K38+4*(L38-N38)+9*M38+2*N38</f>
        <v>42.4</v>
      </c>
      <c r="K38" s="14" t="n">
        <v>0</v>
      </c>
      <c r="L38" s="14" t="n">
        <v>10.6</v>
      </c>
      <c r="M38" s="14" t="n">
        <v>0</v>
      </c>
      <c r="N38" s="14" t="n">
        <v>0</v>
      </c>
      <c r="O38" s="14" t="n">
        <v>10.6</v>
      </c>
      <c r="P38" s="15" t="n">
        <v>10</v>
      </c>
      <c r="Q38" s="16" t="n">
        <v>150</v>
      </c>
      <c r="R38" s="16" t="n">
        <v>250</v>
      </c>
      <c r="S38" s="16" t="n">
        <v>350</v>
      </c>
      <c r="T38" s="6"/>
      <c r="U38" s="6"/>
      <c r="V38" s="13" t="n">
        <f aca="false">IF(Q38="","",J38*Q38/100)</f>
        <v>63.6</v>
      </c>
      <c r="W38" s="13" t="n">
        <f aca="false">IF(R38="","",J38*R38/100)</f>
        <v>106</v>
      </c>
      <c r="X38" s="13" t="n">
        <f aca="false">IF(S38="","",J38*S38/100)</f>
        <v>148.4</v>
      </c>
      <c r="Y38" s="13" t="str">
        <f aca="false">IF(T38="","",J38*T38/100)</f>
        <v/>
      </c>
      <c r="Z38" s="13" t="str">
        <f aca="false">IF(U38="","",J38*U38/100)</f>
        <v/>
      </c>
      <c r="AA38" s="6" t="s">
        <v>125</v>
      </c>
      <c r="AB38" s="6" t="s">
        <v>126</v>
      </c>
      <c r="AC38" s="6"/>
      <c r="AD38" s="13" t="str">
        <f aca="false">IF(AC38="","",IFERROR(INDEX('INDB Full Nutrients'!$D:$D,MATCH(AC38,'INDB Full Nutrients'!$A:$A,0)),""))</f>
        <v/>
      </c>
      <c r="AE38" s="6"/>
      <c r="AF38" s="6" t="s">
        <v>258</v>
      </c>
    </row>
    <row r="39" customFormat="false" ht="15" hidden="false" customHeight="false" outlineLevel="0" collapsed="false">
      <c r="A39" s="6" t="s">
        <v>259</v>
      </c>
      <c r="B39" s="6" t="s">
        <v>260</v>
      </c>
      <c r="C39" s="6" t="s">
        <v>261</v>
      </c>
      <c r="D39" s="6" t="s">
        <v>37</v>
      </c>
      <c r="E39" s="6" t="s">
        <v>99</v>
      </c>
      <c r="F39" s="6" t="s">
        <v>100</v>
      </c>
      <c r="G39" s="6" t="s">
        <v>124</v>
      </c>
      <c r="H39" s="6" t="s">
        <v>101</v>
      </c>
      <c r="I39" s="6" t="s">
        <v>102</v>
      </c>
      <c r="J39" s="13" t="n">
        <f aca="false">4*K39+4*(L39-N39)+9*M39+2*N39</f>
        <v>62.2</v>
      </c>
      <c r="K39" s="14" t="n">
        <v>0.1</v>
      </c>
      <c r="L39" s="14" t="n">
        <v>15.5</v>
      </c>
      <c r="M39" s="14" t="n">
        <v>0</v>
      </c>
      <c r="N39" s="14" t="n">
        <v>0.1</v>
      </c>
      <c r="O39" s="14" t="n">
        <v>15</v>
      </c>
      <c r="P39" s="15" t="n">
        <v>15</v>
      </c>
      <c r="Q39" s="16" t="n">
        <v>150</v>
      </c>
      <c r="R39" s="16" t="n">
        <v>250</v>
      </c>
      <c r="S39" s="16" t="n">
        <v>350</v>
      </c>
      <c r="T39" s="6"/>
      <c r="U39" s="6"/>
      <c r="V39" s="13" t="n">
        <f aca="false">IF(Q39="","",J39*Q39/100)</f>
        <v>93.3</v>
      </c>
      <c r="W39" s="13" t="n">
        <f aca="false">IF(R39="","",J39*R39/100)</f>
        <v>155.5</v>
      </c>
      <c r="X39" s="13" t="n">
        <f aca="false">IF(S39="","",J39*S39/100)</f>
        <v>217.7</v>
      </c>
      <c r="Y39" s="13" t="str">
        <f aca="false">IF(T39="","",J39*T39/100)</f>
        <v/>
      </c>
      <c r="Z39" s="13" t="str">
        <f aca="false">IF(U39="","",J39*U39/100)</f>
        <v/>
      </c>
      <c r="AA39" s="6" t="s">
        <v>103</v>
      </c>
      <c r="AB39" s="6" t="s">
        <v>104</v>
      </c>
      <c r="AC39" s="6"/>
      <c r="AD39" s="13" t="str">
        <f aca="false">IF(AC39="","",IFERROR(INDEX('INDB Full Nutrients'!$D:$D,MATCH(AC39,'INDB Full Nutrients'!$A:$A,0)),""))</f>
        <v/>
      </c>
      <c r="AE39" s="6"/>
      <c r="AF39" s="6"/>
    </row>
    <row r="40" customFormat="false" ht="15" hidden="false" customHeight="false" outlineLevel="0" collapsed="false">
      <c r="A40" s="6" t="s">
        <v>262</v>
      </c>
      <c r="B40" s="6" t="s">
        <v>263</v>
      </c>
      <c r="C40" s="6" t="s">
        <v>264</v>
      </c>
      <c r="D40" s="6" t="s">
        <v>38</v>
      </c>
      <c r="E40" s="6" t="s">
        <v>99</v>
      </c>
      <c r="F40" s="6" t="s">
        <v>100</v>
      </c>
      <c r="G40" s="6" t="s">
        <v>124</v>
      </c>
      <c r="H40" s="6" t="s">
        <v>101</v>
      </c>
      <c r="I40" s="6" t="s">
        <v>102</v>
      </c>
      <c r="J40" s="13" t="n">
        <f aca="false">4*K40+4*(L40-N40)+9*M40+2*N40</f>
        <v>45.8</v>
      </c>
      <c r="K40" s="14" t="n">
        <v>0.7</v>
      </c>
      <c r="L40" s="14" t="n">
        <v>10.4</v>
      </c>
      <c r="M40" s="14" t="n">
        <v>0.2</v>
      </c>
      <c r="N40" s="14" t="n">
        <v>0.2</v>
      </c>
      <c r="O40" s="14" t="n">
        <v>8.4</v>
      </c>
      <c r="P40" s="15" t="n">
        <v>1</v>
      </c>
      <c r="Q40" s="16" t="n">
        <v>200</v>
      </c>
      <c r="R40" s="16" t="n">
        <v>300</v>
      </c>
      <c r="S40" s="16" t="n">
        <v>400</v>
      </c>
      <c r="T40" s="6"/>
      <c r="U40" s="6"/>
      <c r="V40" s="13" t="n">
        <f aca="false">IF(Q40="","",J40*Q40/100)</f>
        <v>91.6</v>
      </c>
      <c r="W40" s="13" t="n">
        <f aca="false">IF(R40="","",J40*R40/100)</f>
        <v>137.4</v>
      </c>
      <c r="X40" s="13" t="n">
        <f aca="false">IF(S40="","",J40*S40/100)</f>
        <v>183.2</v>
      </c>
      <c r="Y40" s="13" t="str">
        <f aca="false">IF(T40="","",J40*T40/100)</f>
        <v/>
      </c>
      <c r="Z40" s="13" t="str">
        <f aca="false">IF(U40="","",J40*U40/100)</f>
        <v/>
      </c>
      <c r="AA40" s="6" t="s">
        <v>125</v>
      </c>
      <c r="AB40" s="6" t="s">
        <v>126</v>
      </c>
      <c r="AC40" s="6"/>
      <c r="AD40" s="13" t="str">
        <f aca="false">IF(AC40="","",IFERROR(INDEX('INDB Full Nutrients'!$D:$D,MATCH(AC40,'INDB Full Nutrients'!$A:$A,0)),""))</f>
        <v/>
      </c>
      <c r="AE40" s="6"/>
      <c r="AF40" s="6" t="s">
        <v>265</v>
      </c>
    </row>
    <row r="41" customFormat="false" ht="15" hidden="false" customHeight="false" outlineLevel="0" collapsed="false">
      <c r="A41" s="6" t="s">
        <v>266</v>
      </c>
      <c r="B41" s="6" t="s">
        <v>267</v>
      </c>
      <c r="C41" s="6" t="s">
        <v>268</v>
      </c>
      <c r="D41" s="6" t="s">
        <v>38</v>
      </c>
      <c r="E41" s="6" t="s">
        <v>99</v>
      </c>
      <c r="F41" s="6" t="s">
        <v>100</v>
      </c>
      <c r="G41" s="6" t="s">
        <v>124</v>
      </c>
      <c r="H41" s="6" t="s">
        <v>101</v>
      </c>
      <c r="I41" s="6" t="s">
        <v>102</v>
      </c>
      <c r="J41" s="13" t="n">
        <f aca="false">4*K41+4*(L41-N41)+9*M41+2*N41</f>
        <v>37.7</v>
      </c>
      <c r="K41" s="14" t="n">
        <v>0.5</v>
      </c>
      <c r="L41" s="14" t="n">
        <v>8.8</v>
      </c>
      <c r="M41" s="14" t="n">
        <v>0.1</v>
      </c>
      <c r="N41" s="14" t="n">
        <v>0.2</v>
      </c>
      <c r="O41" s="14" t="n">
        <v>7</v>
      </c>
      <c r="P41" s="15" t="n">
        <v>1</v>
      </c>
      <c r="Q41" s="16" t="n">
        <v>200</v>
      </c>
      <c r="R41" s="16" t="n">
        <v>300</v>
      </c>
      <c r="S41" s="16" t="n">
        <v>400</v>
      </c>
      <c r="T41" s="6"/>
      <c r="U41" s="6"/>
      <c r="V41" s="13" t="n">
        <f aca="false">IF(Q41="","",J41*Q41/100)</f>
        <v>75.4</v>
      </c>
      <c r="W41" s="13" t="n">
        <f aca="false">IF(R41="","",J41*R41/100)</f>
        <v>113.1</v>
      </c>
      <c r="X41" s="13" t="n">
        <f aca="false">IF(S41="","",J41*S41/100)</f>
        <v>150.8</v>
      </c>
      <c r="Y41" s="13" t="str">
        <f aca="false">IF(T41="","",J41*T41/100)</f>
        <v/>
      </c>
      <c r="Z41" s="13" t="str">
        <f aca="false">IF(U41="","",J41*U41/100)</f>
        <v/>
      </c>
      <c r="AA41" s="6" t="s">
        <v>125</v>
      </c>
      <c r="AB41" s="6" t="s">
        <v>126</v>
      </c>
      <c r="AC41" s="6"/>
      <c r="AD41" s="13" t="str">
        <f aca="false">IF(AC41="","",IFERROR(INDEX('INDB Full Nutrients'!$D:$D,MATCH(AC41,'INDB Full Nutrients'!$A:$A,0)),""))</f>
        <v/>
      </c>
      <c r="AE41" s="6"/>
      <c r="AF41" s="6" t="s">
        <v>265</v>
      </c>
    </row>
    <row r="42" customFormat="false" ht="15" hidden="false" customHeight="false" outlineLevel="0" collapsed="false">
      <c r="A42" s="6" t="s">
        <v>269</v>
      </c>
      <c r="B42" s="6" t="s">
        <v>270</v>
      </c>
      <c r="C42" s="6" t="s">
        <v>271</v>
      </c>
      <c r="D42" s="6" t="s">
        <v>38</v>
      </c>
      <c r="E42" s="6" t="s">
        <v>99</v>
      </c>
      <c r="F42" s="6" t="s">
        <v>100</v>
      </c>
      <c r="G42" s="6" t="s">
        <v>124</v>
      </c>
      <c r="H42" s="6" t="s">
        <v>101</v>
      </c>
      <c r="I42" s="6" t="s">
        <v>102</v>
      </c>
      <c r="J42" s="13" t="n">
        <f aca="false">4*K42+4*(L42-N42)+9*M42+2*N42</f>
        <v>46.1</v>
      </c>
      <c r="K42" s="14" t="n">
        <v>0.1</v>
      </c>
      <c r="L42" s="14" t="n">
        <v>11.3</v>
      </c>
      <c r="M42" s="14" t="n">
        <v>0.1</v>
      </c>
      <c r="N42" s="14" t="n">
        <v>0.2</v>
      </c>
      <c r="O42" s="14" t="n">
        <v>9.6</v>
      </c>
      <c r="P42" s="15" t="n">
        <v>4</v>
      </c>
      <c r="Q42" s="16" t="n">
        <v>200</v>
      </c>
      <c r="R42" s="16" t="n">
        <v>300</v>
      </c>
      <c r="S42" s="16" t="n">
        <v>400</v>
      </c>
      <c r="T42" s="6"/>
      <c r="U42" s="6"/>
      <c r="V42" s="13" t="n">
        <f aca="false">IF(Q42="","",J42*Q42/100)</f>
        <v>92.2</v>
      </c>
      <c r="W42" s="13" t="n">
        <f aca="false">IF(R42="","",J42*R42/100)</f>
        <v>138.3</v>
      </c>
      <c r="X42" s="13" t="n">
        <f aca="false">IF(S42="","",J42*S42/100)</f>
        <v>184.4</v>
      </c>
      <c r="Y42" s="13" t="str">
        <f aca="false">IF(T42="","",J42*T42/100)</f>
        <v/>
      </c>
      <c r="Z42" s="13" t="str">
        <f aca="false">IF(U42="","",J42*U42/100)</f>
        <v/>
      </c>
      <c r="AA42" s="6" t="s">
        <v>125</v>
      </c>
      <c r="AB42" s="6" t="s">
        <v>126</v>
      </c>
      <c r="AC42" s="6"/>
      <c r="AD42" s="13" t="str">
        <f aca="false">IF(AC42="","",IFERROR(INDEX('INDB Full Nutrients'!$D:$D,MATCH(AC42,'INDB Full Nutrients'!$A:$A,0)),""))</f>
        <v/>
      </c>
      <c r="AE42" s="6"/>
      <c r="AF42" s="6" t="s">
        <v>265</v>
      </c>
    </row>
    <row r="43" customFormat="false" ht="15" hidden="false" customHeight="false" outlineLevel="0" collapsed="false">
      <c r="A43" s="6" t="s">
        <v>272</v>
      </c>
      <c r="B43" s="6" t="s">
        <v>273</v>
      </c>
      <c r="C43" s="6" t="s">
        <v>274</v>
      </c>
      <c r="D43" s="6" t="s">
        <v>38</v>
      </c>
      <c r="E43" s="6" t="s">
        <v>99</v>
      </c>
      <c r="F43" s="6" t="s">
        <v>100</v>
      </c>
      <c r="G43" s="6" t="s">
        <v>124</v>
      </c>
      <c r="H43" s="6" t="s">
        <v>101</v>
      </c>
      <c r="I43" s="6" t="s">
        <v>102</v>
      </c>
      <c r="J43" s="13" t="n">
        <f aca="false">4*K43+4*(L43-N43)+9*M43+2*N43</f>
        <v>55.7</v>
      </c>
      <c r="K43" s="14" t="n">
        <v>0.2</v>
      </c>
      <c r="L43" s="14" t="n">
        <v>13.1</v>
      </c>
      <c r="M43" s="14" t="n">
        <v>0.3</v>
      </c>
      <c r="N43" s="14" t="n">
        <v>0.1</v>
      </c>
      <c r="O43" s="14" t="n">
        <v>12.7</v>
      </c>
      <c r="P43" s="15" t="n">
        <v>9</v>
      </c>
      <c r="Q43" s="16" t="n">
        <v>200</v>
      </c>
      <c r="R43" s="16" t="n">
        <v>300</v>
      </c>
      <c r="S43" s="16" t="n">
        <v>400</v>
      </c>
      <c r="T43" s="6"/>
      <c r="U43" s="6"/>
      <c r="V43" s="13" t="n">
        <f aca="false">IF(Q43="","",J43*Q43/100)</f>
        <v>111.4</v>
      </c>
      <c r="W43" s="13" t="n">
        <f aca="false">IF(R43="","",J43*R43/100)</f>
        <v>167.1</v>
      </c>
      <c r="X43" s="13" t="n">
        <f aca="false">IF(S43="","",J43*S43/100)</f>
        <v>222.8</v>
      </c>
      <c r="Y43" s="13" t="str">
        <f aca="false">IF(T43="","",J43*T43/100)</f>
        <v/>
      </c>
      <c r="Z43" s="13" t="str">
        <f aca="false">IF(U43="","",J43*U43/100)</f>
        <v/>
      </c>
      <c r="AA43" s="6" t="s">
        <v>125</v>
      </c>
      <c r="AB43" s="6" t="s">
        <v>126</v>
      </c>
      <c r="AC43" s="6"/>
      <c r="AD43" s="13" t="str">
        <f aca="false">IF(AC43="","",IFERROR(INDEX('INDB Full Nutrients'!$D:$D,MATCH(AC43,'INDB Full Nutrients'!$A:$A,0)),""))</f>
        <v/>
      </c>
      <c r="AE43" s="6"/>
      <c r="AF43" s="6" t="s">
        <v>265</v>
      </c>
    </row>
    <row r="44" customFormat="false" ht="15" hidden="false" customHeight="false" outlineLevel="0" collapsed="false">
      <c r="A44" s="6" t="s">
        <v>275</v>
      </c>
      <c r="B44" s="6" t="s">
        <v>276</v>
      </c>
      <c r="C44" s="6" t="s">
        <v>277</v>
      </c>
      <c r="D44" s="6" t="s">
        <v>38</v>
      </c>
      <c r="E44" s="6" t="s">
        <v>99</v>
      </c>
      <c r="F44" s="6" t="s">
        <v>100</v>
      </c>
      <c r="G44" s="6" t="s">
        <v>124</v>
      </c>
      <c r="H44" s="6" t="s">
        <v>101</v>
      </c>
      <c r="I44" s="6" t="s">
        <v>102</v>
      </c>
      <c r="J44" s="13" t="n">
        <f aca="false">4*K44+4*(L44-N44)+9*M44+2*N44</f>
        <v>61.3</v>
      </c>
      <c r="K44" s="14" t="n">
        <v>0.4</v>
      </c>
      <c r="L44" s="14" t="n">
        <v>14.8</v>
      </c>
      <c r="M44" s="14" t="n">
        <v>0.1</v>
      </c>
      <c r="N44" s="14" t="n">
        <v>0.2</v>
      </c>
      <c r="O44" s="14" t="n">
        <v>14.2</v>
      </c>
      <c r="P44" s="15" t="n">
        <v>5</v>
      </c>
      <c r="Q44" s="16" t="n">
        <v>200</v>
      </c>
      <c r="R44" s="16" t="n">
        <v>300</v>
      </c>
      <c r="S44" s="16" t="n">
        <v>400</v>
      </c>
      <c r="T44" s="6"/>
      <c r="U44" s="6"/>
      <c r="V44" s="13" t="n">
        <f aca="false">IF(Q44="","",J44*Q44/100)</f>
        <v>122.6</v>
      </c>
      <c r="W44" s="13" t="n">
        <f aca="false">IF(R44="","",J44*R44/100)</f>
        <v>183.9</v>
      </c>
      <c r="X44" s="13" t="n">
        <f aca="false">IF(S44="","",J44*S44/100)</f>
        <v>245.2</v>
      </c>
      <c r="Y44" s="13" t="str">
        <f aca="false">IF(T44="","",J44*T44/100)</f>
        <v/>
      </c>
      <c r="Z44" s="13" t="str">
        <f aca="false">IF(U44="","",J44*U44/100)</f>
        <v/>
      </c>
      <c r="AA44" s="6" t="s">
        <v>125</v>
      </c>
      <c r="AB44" s="6" t="s">
        <v>126</v>
      </c>
      <c r="AC44" s="6"/>
      <c r="AD44" s="13" t="str">
        <f aca="false">IF(AC44="","",IFERROR(INDEX('INDB Full Nutrients'!$D:$D,MATCH(AC44,'INDB Full Nutrients'!$A:$A,0)),""))</f>
        <v/>
      </c>
      <c r="AE44" s="6"/>
      <c r="AF44" s="6" t="s">
        <v>265</v>
      </c>
    </row>
    <row r="45" customFormat="false" ht="15" hidden="false" customHeight="false" outlineLevel="0" collapsed="false">
      <c r="A45" s="6" t="s">
        <v>278</v>
      </c>
      <c r="B45" s="6" t="s">
        <v>279</v>
      </c>
      <c r="C45" s="6" t="s">
        <v>280</v>
      </c>
      <c r="D45" s="6" t="s">
        <v>38</v>
      </c>
      <c r="E45" s="6" t="s">
        <v>99</v>
      </c>
      <c r="F45" s="6" t="s">
        <v>100</v>
      </c>
      <c r="G45" s="6" t="s">
        <v>124</v>
      </c>
      <c r="H45" s="6" t="s">
        <v>101</v>
      </c>
      <c r="I45" s="6" t="s">
        <v>102</v>
      </c>
      <c r="J45" s="13" t="n">
        <f aca="false">4*K45+4*(L45-N45)+9*M45+2*N45</f>
        <v>53.7</v>
      </c>
      <c r="K45" s="14" t="n">
        <v>0.4</v>
      </c>
      <c r="L45" s="14" t="n">
        <v>12.9</v>
      </c>
      <c r="M45" s="14" t="n">
        <v>0.1</v>
      </c>
      <c r="N45" s="14" t="n">
        <v>0.2</v>
      </c>
      <c r="O45" s="14" t="n">
        <v>10</v>
      </c>
      <c r="P45" s="15" t="n">
        <v>2</v>
      </c>
      <c r="Q45" s="16" t="n">
        <v>200</v>
      </c>
      <c r="R45" s="16" t="n">
        <v>300</v>
      </c>
      <c r="S45" s="16" t="n">
        <v>400</v>
      </c>
      <c r="T45" s="6"/>
      <c r="U45" s="6"/>
      <c r="V45" s="13" t="n">
        <f aca="false">IF(Q45="","",J45*Q45/100)</f>
        <v>107.4</v>
      </c>
      <c r="W45" s="13" t="n">
        <f aca="false">IF(R45="","",J45*R45/100)</f>
        <v>161.1</v>
      </c>
      <c r="X45" s="13" t="n">
        <f aca="false">IF(S45="","",J45*S45/100)</f>
        <v>214.8</v>
      </c>
      <c r="Y45" s="13" t="str">
        <f aca="false">IF(T45="","",J45*T45/100)</f>
        <v/>
      </c>
      <c r="Z45" s="13" t="str">
        <f aca="false">IF(U45="","",J45*U45/100)</f>
        <v/>
      </c>
      <c r="AA45" s="6" t="s">
        <v>125</v>
      </c>
      <c r="AB45" s="6" t="s">
        <v>126</v>
      </c>
      <c r="AC45" s="6"/>
      <c r="AD45" s="13" t="str">
        <f aca="false">IF(AC45="","",IFERROR(INDEX('INDB Full Nutrients'!$D:$D,MATCH(AC45,'INDB Full Nutrients'!$A:$A,0)),""))</f>
        <v/>
      </c>
      <c r="AE45" s="6"/>
      <c r="AF45" s="6" t="s">
        <v>265</v>
      </c>
    </row>
    <row r="46" customFormat="false" ht="15" hidden="false" customHeight="false" outlineLevel="0" collapsed="false">
      <c r="A46" s="6" t="s">
        <v>281</v>
      </c>
      <c r="B46" s="6" t="s">
        <v>282</v>
      </c>
      <c r="C46" s="6" t="s">
        <v>283</v>
      </c>
      <c r="D46" s="6" t="s">
        <v>38</v>
      </c>
      <c r="E46" s="6" t="s">
        <v>99</v>
      </c>
      <c r="F46" s="6" t="s">
        <v>100</v>
      </c>
      <c r="G46" s="6" t="s">
        <v>124</v>
      </c>
      <c r="H46" s="6" t="s">
        <v>101</v>
      </c>
      <c r="I46" s="6" t="s">
        <v>102</v>
      </c>
      <c r="J46" s="13" t="n">
        <f aca="false">4*K46+4*(L46-N46)+9*M46+2*N46</f>
        <v>33.2</v>
      </c>
      <c r="K46" s="14" t="n">
        <v>0.6</v>
      </c>
      <c r="L46" s="14" t="n">
        <v>7.4</v>
      </c>
      <c r="M46" s="14" t="n">
        <v>0.2</v>
      </c>
      <c r="N46" s="14" t="n">
        <v>0.3</v>
      </c>
      <c r="O46" s="14" t="n">
        <v>6.2</v>
      </c>
      <c r="P46" s="15" t="n">
        <v>1</v>
      </c>
      <c r="Q46" s="16" t="n">
        <v>200</v>
      </c>
      <c r="R46" s="16" t="n">
        <v>300</v>
      </c>
      <c r="S46" s="16" t="n">
        <v>400</v>
      </c>
      <c r="T46" s="6"/>
      <c r="U46" s="6"/>
      <c r="V46" s="13" t="n">
        <f aca="false">IF(Q46="","",J46*Q46/100)</f>
        <v>66.4</v>
      </c>
      <c r="W46" s="13" t="n">
        <f aca="false">IF(R46="","",J46*R46/100)</f>
        <v>99.6</v>
      </c>
      <c r="X46" s="13" t="n">
        <f aca="false">IF(S46="","",J46*S46/100)</f>
        <v>132.8</v>
      </c>
      <c r="Y46" s="13" t="str">
        <f aca="false">IF(T46="","",J46*T46/100)</f>
        <v/>
      </c>
      <c r="Z46" s="13" t="str">
        <f aca="false">IF(U46="","",J46*U46/100)</f>
        <v/>
      </c>
      <c r="AA46" s="6" t="s">
        <v>125</v>
      </c>
      <c r="AB46" s="6" t="s">
        <v>126</v>
      </c>
      <c r="AC46" s="6"/>
      <c r="AD46" s="13" t="str">
        <f aca="false">IF(AC46="","",IFERROR(INDEX('INDB Full Nutrients'!$D:$D,MATCH(AC46,'INDB Full Nutrients'!$A:$A,0)),""))</f>
        <v/>
      </c>
      <c r="AE46" s="6"/>
      <c r="AF46" s="6" t="s">
        <v>265</v>
      </c>
    </row>
    <row r="47" customFormat="false" ht="15" hidden="false" customHeight="false" outlineLevel="0" collapsed="false">
      <c r="A47" s="6" t="s">
        <v>284</v>
      </c>
      <c r="B47" s="6" t="s">
        <v>285</v>
      </c>
      <c r="C47" s="6" t="s">
        <v>286</v>
      </c>
      <c r="D47" s="6" t="s">
        <v>38</v>
      </c>
      <c r="E47" s="6" t="s">
        <v>99</v>
      </c>
      <c r="F47" s="6" t="s">
        <v>100</v>
      </c>
      <c r="G47" s="6" t="s">
        <v>124</v>
      </c>
      <c r="H47" s="6" t="s">
        <v>101</v>
      </c>
      <c r="I47" s="6" t="s">
        <v>102</v>
      </c>
      <c r="J47" s="13" t="n">
        <f aca="false">4*K47+4*(L47-N47)+9*M47+2*N47</f>
        <v>36.8</v>
      </c>
      <c r="K47" s="14" t="n">
        <v>0.8</v>
      </c>
      <c r="L47" s="14" t="n">
        <v>8.2</v>
      </c>
      <c r="M47" s="14" t="n">
        <v>0.2</v>
      </c>
      <c r="N47" s="14" t="n">
        <v>0.5</v>
      </c>
      <c r="O47" s="14" t="n">
        <v>7.9</v>
      </c>
      <c r="P47" s="15" t="n">
        <v>16</v>
      </c>
      <c r="Q47" s="16" t="n">
        <v>200</v>
      </c>
      <c r="R47" s="16" t="n">
        <v>300</v>
      </c>
      <c r="S47" s="16" t="n">
        <v>400</v>
      </c>
      <c r="T47" s="6"/>
      <c r="U47" s="6"/>
      <c r="V47" s="13" t="n">
        <f aca="false">IF(Q47="","",J47*Q47/100)</f>
        <v>73.6</v>
      </c>
      <c r="W47" s="13" t="n">
        <f aca="false">IF(R47="","",J47*R47/100)</f>
        <v>110.4</v>
      </c>
      <c r="X47" s="13" t="n">
        <f aca="false">IF(S47="","",J47*S47/100)</f>
        <v>147.2</v>
      </c>
      <c r="Y47" s="13" t="str">
        <f aca="false">IF(T47="","",J47*T47/100)</f>
        <v/>
      </c>
      <c r="Z47" s="13" t="str">
        <f aca="false">IF(U47="","",J47*U47/100)</f>
        <v/>
      </c>
      <c r="AA47" s="6" t="s">
        <v>125</v>
      </c>
      <c r="AB47" s="6" t="s">
        <v>126</v>
      </c>
      <c r="AC47" s="6"/>
      <c r="AD47" s="13" t="str">
        <f aca="false">IF(AC47="","",IFERROR(INDEX('INDB Full Nutrients'!$D:$D,MATCH(AC47,'INDB Full Nutrients'!$A:$A,0)),""))</f>
        <v/>
      </c>
      <c r="AE47" s="6"/>
      <c r="AF47" s="6" t="s">
        <v>265</v>
      </c>
    </row>
    <row r="48" customFormat="false" ht="15" hidden="false" customHeight="false" outlineLevel="0" collapsed="false">
      <c r="A48" s="6" t="s">
        <v>287</v>
      </c>
      <c r="B48" s="6" t="s">
        <v>288</v>
      </c>
      <c r="C48" s="6" t="s">
        <v>289</v>
      </c>
      <c r="D48" s="6" t="s">
        <v>38</v>
      </c>
      <c r="E48" s="6" t="s">
        <v>99</v>
      </c>
      <c r="F48" s="6" t="s">
        <v>100</v>
      </c>
      <c r="G48" s="6" t="s">
        <v>124</v>
      </c>
      <c r="H48" s="6" t="s">
        <v>101</v>
      </c>
      <c r="I48" s="6" t="s">
        <v>102</v>
      </c>
      <c r="J48" s="13" t="n">
        <f aca="false">4*K48+4*(L48-N48)+9*M48+2*N48</f>
        <v>37.4</v>
      </c>
      <c r="K48" s="14" t="n">
        <v>0.4</v>
      </c>
      <c r="L48" s="14" t="n">
        <v>9</v>
      </c>
      <c r="M48" s="14" t="n">
        <v>0.2</v>
      </c>
      <c r="N48" s="14" t="n">
        <v>1</v>
      </c>
      <c r="O48" s="14" t="n">
        <v>7</v>
      </c>
      <c r="P48" s="15" t="n">
        <v>6</v>
      </c>
      <c r="Q48" s="16" t="n">
        <v>200</v>
      </c>
      <c r="R48" s="16" t="n">
        <v>300</v>
      </c>
      <c r="S48" s="16" t="n">
        <v>400</v>
      </c>
      <c r="T48" s="6"/>
      <c r="U48" s="6"/>
      <c r="V48" s="13" t="n">
        <f aca="false">IF(Q48="","",J48*Q48/100)</f>
        <v>74.8</v>
      </c>
      <c r="W48" s="13" t="n">
        <f aca="false">IF(R48="","",J48*R48/100)</f>
        <v>112.2</v>
      </c>
      <c r="X48" s="13" t="n">
        <f aca="false">IF(S48="","",J48*S48/100)</f>
        <v>149.6</v>
      </c>
      <c r="Y48" s="13" t="str">
        <f aca="false">IF(T48="","",J48*T48/100)</f>
        <v/>
      </c>
      <c r="Z48" s="13" t="str">
        <f aca="false">IF(U48="","",J48*U48/100)</f>
        <v/>
      </c>
      <c r="AA48" s="6" t="s">
        <v>125</v>
      </c>
      <c r="AB48" s="6" t="s">
        <v>126</v>
      </c>
      <c r="AC48" s="6"/>
      <c r="AD48" s="13" t="str">
        <f aca="false">IF(AC48="","",IFERROR(INDEX('INDB Full Nutrients'!$D:$D,MATCH(AC48,'INDB Full Nutrients'!$A:$A,0)),""))</f>
        <v/>
      </c>
      <c r="AE48" s="6"/>
      <c r="AF48" s="6" t="s">
        <v>290</v>
      </c>
    </row>
    <row r="49" customFormat="false" ht="15" hidden="false" customHeight="false" outlineLevel="0" collapsed="false">
      <c r="A49" s="6" t="s">
        <v>291</v>
      </c>
      <c r="B49" s="6" t="s">
        <v>292</v>
      </c>
      <c r="C49" s="6" t="s">
        <v>293</v>
      </c>
      <c r="D49" s="6" t="s">
        <v>38</v>
      </c>
      <c r="E49" s="6" t="s">
        <v>99</v>
      </c>
      <c r="F49" s="6" t="s">
        <v>100</v>
      </c>
      <c r="G49" s="6" t="s">
        <v>124</v>
      </c>
      <c r="H49" s="6" t="s">
        <v>101</v>
      </c>
      <c r="I49" s="6" t="s">
        <v>102</v>
      </c>
      <c r="J49" s="13" t="n">
        <f aca="false">4*K49+4*(L49-N49)+9*M49+2*N49</f>
        <v>31.8</v>
      </c>
      <c r="K49" s="14" t="n">
        <v>0.4</v>
      </c>
      <c r="L49" s="14" t="n">
        <v>7.5</v>
      </c>
      <c r="M49" s="14" t="n">
        <v>0.2</v>
      </c>
      <c r="N49" s="14" t="n">
        <v>0.8</v>
      </c>
      <c r="O49" s="14" t="n">
        <v>6.8</v>
      </c>
      <c r="P49" s="15" t="n">
        <v>1</v>
      </c>
      <c r="Q49" s="16" t="n">
        <v>200</v>
      </c>
      <c r="R49" s="16" t="n">
        <v>300</v>
      </c>
      <c r="S49" s="16" t="n">
        <v>400</v>
      </c>
      <c r="T49" s="6"/>
      <c r="U49" s="6"/>
      <c r="V49" s="13" t="n">
        <f aca="false">IF(Q49="","",J49*Q49/100)</f>
        <v>63.6</v>
      </c>
      <c r="W49" s="13" t="n">
        <f aca="false">IF(R49="","",J49*R49/100)</f>
        <v>95.4</v>
      </c>
      <c r="X49" s="13" t="n">
        <f aca="false">IF(S49="","",J49*S49/100)</f>
        <v>127.2</v>
      </c>
      <c r="Y49" s="13" t="str">
        <f aca="false">IF(T49="","",J49*T49/100)</f>
        <v/>
      </c>
      <c r="Z49" s="13" t="str">
        <f aca="false">IF(U49="","",J49*U49/100)</f>
        <v/>
      </c>
      <c r="AA49" s="6" t="s">
        <v>125</v>
      </c>
      <c r="AB49" s="6" t="s">
        <v>126</v>
      </c>
      <c r="AC49" s="6"/>
      <c r="AD49" s="13" t="str">
        <f aca="false">IF(AC49="","",IFERROR(INDEX('INDB Full Nutrients'!$D:$D,MATCH(AC49,'INDB Full Nutrients'!$A:$A,0)),""))</f>
        <v/>
      </c>
      <c r="AE49" s="6"/>
      <c r="AF49" s="6" t="s">
        <v>294</v>
      </c>
    </row>
    <row r="50" customFormat="false" ht="15" hidden="false" customHeight="false" outlineLevel="0" collapsed="false">
      <c r="A50" s="6" t="s">
        <v>295</v>
      </c>
      <c r="B50" s="6" t="s">
        <v>296</v>
      </c>
      <c r="C50" s="6" t="s">
        <v>297</v>
      </c>
      <c r="D50" s="6" t="s">
        <v>38</v>
      </c>
      <c r="E50" s="6" t="s">
        <v>114</v>
      </c>
      <c r="F50" s="6" t="s">
        <v>100</v>
      </c>
      <c r="G50" s="6" t="s">
        <v>124</v>
      </c>
      <c r="H50" s="6" t="s">
        <v>101</v>
      </c>
      <c r="I50" s="6" t="s">
        <v>298</v>
      </c>
      <c r="J50" s="13" t="n">
        <f aca="false">4*K50+4*(L50-N50)+9*M50+2*N50</f>
        <v>63.6</v>
      </c>
      <c r="K50" s="14" t="n">
        <v>0.8</v>
      </c>
      <c r="L50" s="14" t="n">
        <v>15</v>
      </c>
      <c r="M50" s="14" t="n">
        <v>0.4</v>
      </c>
      <c r="N50" s="14" t="n">
        <v>1.6</v>
      </c>
      <c r="O50" s="14" t="n">
        <v>13.7</v>
      </c>
      <c r="P50" s="15" t="n">
        <v>1</v>
      </c>
      <c r="Q50" s="16" t="n">
        <v>100</v>
      </c>
      <c r="R50" s="16" t="n">
        <v>150</v>
      </c>
      <c r="S50" s="16" t="n">
        <v>200</v>
      </c>
      <c r="T50" s="6"/>
      <c r="U50" s="6"/>
      <c r="V50" s="13" t="n">
        <f aca="false">IF(Q50="","",J50*Q50/100)</f>
        <v>63.6</v>
      </c>
      <c r="W50" s="13" t="n">
        <f aca="false">IF(R50="","",J50*R50/100)</f>
        <v>95.4</v>
      </c>
      <c r="X50" s="13" t="n">
        <f aca="false">IF(S50="","",J50*S50/100)</f>
        <v>127.2</v>
      </c>
      <c r="Y50" s="13" t="str">
        <f aca="false">IF(T50="","",J50*T50/100)</f>
        <v/>
      </c>
      <c r="Z50" s="13" t="str">
        <f aca="false">IF(U50="","",J50*U50/100)</f>
        <v/>
      </c>
      <c r="AA50" s="6" t="s">
        <v>125</v>
      </c>
      <c r="AB50" s="6" t="s">
        <v>126</v>
      </c>
      <c r="AC50" s="6"/>
      <c r="AD50" s="13" t="str">
        <f aca="false">IF(AC50="","",IFERROR(INDEX('INDB Full Nutrients'!$D:$D,MATCH(AC50,'INDB Full Nutrients'!$A:$A,0)),""))</f>
        <v/>
      </c>
      <c r="AE50" s="6"/>
      <c r="AF50" s="6" t="s">
        <v>299</v>
      </c>
    </row>
    <row r="51" customFormat="false" ht="15" hidden="false" customHeight="false" outlineLevel="0" collapsed="false">
      <c r="A51" s="6" t="s">
        <v>300</v>
      </c>
      <c r="B51" s="6" t="s">
        <v>301</v>
      </c>
      <c r="C51" s="6" t="s">
        <v>302</v>
      </c>
      <c r="D51" s="6" t="s">
        <v>38</v>
      </c>
      <c r="E51" s="6" t="s">
        <v>114</v>
      </c>
      <c r="F51" s="6" t="s">
        <v>100</v>
      </c>
      <c r="G51" s="6" t="s">
        <v>124</v>
      </c>
      <c r="H51" s="6" t="s">
        <v>101</v>
      </c>
      <c r="I51" s="6" t="s">
        <v>298</v>
      </c>
      <c r="J51" s="13" t="n">
        <f aca="false">4*K51+4*(L51-N51)+9*M51+2*N51</f>
        <v>83.6</v>
      </c>
      <c r="K51" s="14" t="n">
        <v>0.8</v>
      </c>
      <c r="L51" s="14" t="n">
        <v>20</v>
      </c>
      <c r="M51" s="14" t="n">
        <v>0.4</v>
      </c>
      <c r="N51" s="14" t="n">
        <v>1.6</v>
      </c>
      <c r="O51" s="14" t="n">
        <v>18.5</v>
      </c>
      <c r="P51" s="15" t="n">
        <v>1</v>
      </c>
      <c r="Q51" s="16" t="n">
        <v>100</v>
      </c>
      <c r="R51" s="16" t="n">
        <v>150</v>
      </c>
      <c r="S51" s="16" t="n">
        <v>200</v>
      </c>
      <c r="T51" s="6"/>
      <c r="U51" s="6"/>
      <c r="V51" s="13" t="n">
        <f aca="false">IF(Q51="","",J51*Q51/100)</f>
        <v>83.6</v>
      </c>
      <c r="W51" s="13" t="n">
        <f aca="false">IF(R51="","",J51*R51/100)</f>
        <v>125.4</v>
      </c>
      <c r="X51" s="13" t="n">
        <f aca="false">IF(S51="","",J51*S51/100)</f>
        <v>167.2</v>
      </c>
      <c r="Y51" s="13" t="str">
        <f aca="false">IF(T51="","",J51*T51/100)</f>
        <v/>
      </c>
      <c r="Z51" s="13" t="str">
        <f aca="false">IF(U51="","",J51*U51/100)</f>
        <v/>
      </c>
      <c r="AA51" s="6" t="s">
        <v>125</v>
      </c>
      <c r="AB51" s="6" t="s">
        <v>126</v>
      </c>
      <c r="AC51" s="6"/>
      <c r="AD51" s="13" t="str">
        <f aca="false">IF(AC51="","",IFERROR(INDEX('INDB Full Nutrients'!$D:$D,MATCH(AC51,'INDB Full Nutrients'!$A:$A,0)),""))</f>
        <v/>
      </c>
      <c r="AE51" s="6"/>
      <c r="AF51" s="6"/>
    </row>
    <row r="52" customFormat="false" ht="15" hidden="false" customHeight="false" outlineLevel="0" collapsed="false">
      <c r="A52" s="6" t="s">
        <v>303</v>
      </c>
      <c r="B52" s="6" t="s">
        <v>304</v>
      </c>
      <c r="C52" s="6" t="s">
        <v>305</v>
      </c>
      <c r="D52" s="6" t="s">
        <v>38</v>
      </c>
      <c r="E52" s="6" t="s">
        <v>99</v>
      </c>
      <c r="F52" s="6" t="s">
        <v>100</v>
      </c>
      <c r="G52" s="6" t="s">
        <v>124</v>
      </c>
      <c r="H52" s="6" t="s">
        <v>101</v>
      </c>
      <c r="I52" s="6" t="s">
        <v>102</v>
      </c>
      <c r="J52" s="13" t="n">
        <f aca="false">4*K52+4*(L52-N52)+9*M52+2*N52</f>
        <v>35.2</v>
      </c>
      <c r="K52" s="14" t="n">
        <v>0.6</v>
      </c>
      <c r="L52" s="14" t="n">
        <v>8.5</v>
      </c>
      <c r="M52" s="14" t="n">
        <v>0.2</v>
      </c>
      <c r="N52" s="14" t="n">
        <v>1.5</v>
      </c>
      <c r="O52" s="14" t="n">
        <v>5</v>
      </c>
      <c r="P52" s="15" t="n">
        <v>2</v>
      </c>
      <c r="Q52" s="16" t="n">
        <v>200</v>
      </c>
      <c r="R52" s="16" t="n">
        <v>300</v>
      </c>
      <c r="S52" s="16" t="n">
        <v>400</v>
      </c>
      <c r="T52" s="6"/>
      <c r="U52" s="6"/>
      <c r="V52" s="13" t="n">
        <f aca="false">IF(Q52="","",J52*Q52/100)</f>
        <v>70.4</v>
      </c>
      <c r="W52" s="13" t="n">
        <f aca="false">IF(R52="","",J52*R52/100)</f>
        <v>105.6</v>
      </c>
      <c r="X52" s="13" t="n">
        <f aca="false">IF(S52="","",J52*S52/100)</f>
        <v>140.8</v>
      </c>
      <c r="Y52" s="13" t="str">
        <f aca="false">IF(T52="","",J52*T52/100)</f>
        <v/>
      </c>
      <c r="Z52" s="13" t="str">
        <f aca="false">IF(U52="","",J52*U52/100)</f>
        <v/>
      </c>
      <c r="AA52" s="6" t="s">
        <v>125</v>
      </c>
      <c r="AB52" s="6" t="s">
        <v>126</v>
      </c>
      <c r="AC52" s="6"/>
      <c r="AD52" s="13" t="str">
        <f aca="false">IF(AC52="","",IFERROR(INDEX('INDB Full Nutrients'!$D:$D,MATCH(AC52,'INDB Full Nutrients'!$A:$A,0)),""))</f>
        <v/>
      </c>
      <c r="AE52" s="6"/>
      <c r="AF52" s="6" t="s">
        <v>265</v>
      </c>
    </row>
    <row r="53" customFormat="false" ht="15" hidden="false" customHeight="false" outlineLevel="0" collapsed="false">
      <c r="A53" s="6" t="s">
        <v>306</v>
      </c>
      <c r="B53" s="6" t="s">
        <v>307</v>
      </c>
      <c r="C53" s="6"/>
      <c r="D53" s="6" t="s">
        <v>38</v>
      </c>
      <c r="E53" s="6" t="s">
        <v>99</v>
      </c>
      <c r="F53" s="6" t="s">
        <v>100</v>
      </c>
      <c r="G53" s="6" t="s">
        <v>124</v>
      </c>
      <c r="H53" s="6" t="s">
        <v>101</v>
      </c>
      <c r="I53" s="6" t="s">
        <v>102</v>
      </c>
      <c r="J53" s="13" t="n">
        <f aca="false">4*K53+4*(L53-N53)+9*M53+2*N53</f>
        <v>33.5</v>
      </c>
      <c r="K53" s="14" t="n">
        <v>0.6</v>
      </c>
      <c r="L53" s="14" t="n">
        <v>7.7</v>
      </c>
      <c r="M53" s="14" t="n">
        <v>0.3</v>
      </c>
      <c r="N53" s="14" t="n">
        <v>1.2</v>
      </c>
      <c r="O53" s="14" t="n">
        <v>4.9</v>
      </c>
      <c r="P53" s="15" t="n">
        <v>1</v>
      </c>
      <c r="Q53" s="16" t="n">
        <v>200</v>
      </c>
      <c r="R53" s="16" t="n">
        <v>300</v>
      </c>
      <c r="S53" s="16" t="n">
        <v>400</v>
      </c>
      <c r="T53" s="6"/>
      <c r="U53" s="6"/>
      <c r="V53" s="13" t="n">
        <f aca="false">IF(Q53="","",J53*Q53/100)</f>
        <v>67</v>
      </c>
      <c r="W53" s="13" t="n">
        <f aca="false">IF(R53="","",J53*R53/100)</f>
        <v>100.5</v>
      </c>
      <c r="X53" s="13" t="n">
        <f aca="false">IF(S53="","",J53*S53/100)</f>
        <v>134</v>
      </c>
      <c r="Y53" s="13" t="str">
        <f aca="false">IF(T53="","",J53*T53/100)</f>
        <v/>
      </c>
      <c r="Z53" s="13" t="str">
        <f aca="false">IF(U53="","",J53*U53/100)</f>
        <v/>
      </c>
      <c r="AA53" s="6" t="s">
        <v>125</v>
      </c>
      <c r="AB53" s="6" t="s">
        <v>126</v>
      </c>
      <c r="AC53" s="6"/>
      <c r="AD53" s="13" t="str">
        <f aca="false">IF(AC53="","",IFERROR(INDEX('INDB Full Nutrients'!$D:$D,MATCH(AC53,'INDB Full Nutrients'!$A:$A,0)),""))</f>
        <v/>
      </c>
      <c r="AE53" s="6"/>
      <c r="AF53" s="6" t="s">
        <v>265</v>
      </c>
    </row>
    <row r="54" customFormat="false" ht="15" hidden="false" customHeight="false" outlineLevel="0" collapsed="false">
      <c r="A54" s="6" t="s">
        <v>308</v>
      </c>
      <c r="B54" s="6" t="s">
        <v>309</v>
      </c>
      <c r="C54" s="6"/>
      <c r="D54" s="6" t="s">
        <v>38</v>
      </c>
      <c r="E54" s="6" t="s">
        <v>99</v>
      </c>
      <c r="F54" s="6" t="s">
        <v>100</v>
      </c>
      <c r="G54" s="6" t="s">
        <v>124</v>
      </c>
      <c r="H54" s="6" t="s">
        <v>101</v>
      </c>
      <c r="I54" s="6" t="s">
        <v>102</v>
      </c>
      <c r="J54" s="13" t="n">
        <f aca="false">4*K54+4*(L54-N54)+9*M54+2*N54</f>
        <v>52.4</v>
      </c>
      <c r="K54" s="14" t="n">
        <v>0.8</v>
      </c>
      <c r="L54" s="14" t="n">
        <v>12</v>
      </c>
      <c r="M54" s="14" t="n">
        <v>0.4</v>
      </c>
      <c r="N54" s="14" t="n">
        <v>1.2</v>
      </c>
      <c r="O54" s="14" t="n">
        <v>8.5</v>
      </c>
      <c r="P54" s="15" t="n">
        <v>3</v>
      </c>
      <c r="Q54" s="16" t="n">
        <v>200</v>
      </c>
      <c r="R54" s="16" t="n">
        <v>300</v>
      </c>
      <c r="S54" s="16" t="n">
        <v>400</v>
      </c>
      <c r="T54" s="6"/>
      <c r="U54" s="6"/>
      <c r="V54" s="13" t="n">
        <f aca="false">IF(Q54="","",J54*Q54/100)</f>
        <v>104.8</v>
      </c>
      <c r="W54" s="13" t="n">
        <f aca="false">IF(R54="","",J54*R54/100)</f>
        <v>157.2</v>
      </c>
      <c r="X54" s="13" t="n">
        <f aca="false">IF(S54="","",J54*S54/100)</f>
        <v>209.6</v>
      </c>
      <c r="Y54" s="13" t="str">
        <f aca="false">IF(T54="","",J54*T54/100)</f>
        <v/>
      </c>
      <c r="Z54" s="13" t="str">
        <f aca="false">IF(U54="","",J54*U54/100)</f>
        <v/>
      </c>
      <c r="AA54" s="6" t="s">
        <v>125</v>
      </c>
      <c r="AB54" s="6" t="s">
        <v>126</v>
      </c>
      <c r="AC54" s="6"/>
      <c r="AD54" s="13" t="str">
        <f aca="false">IF(AC54="","",IFERROR(INDEX('INDB Full Nutrients'!$D:$D,MATCH(AC54,'INDB Full Nutrients'!$A:$A,0)),""))</f>
        <v/>
      </c>
      <c r="AE54" s="6"/>
      <c r="AF54" s="6" t="s">
        <v>265</v>
      </c>
    </row>
    <row r="55" customFormat="false" ht="15" hidden="false" customHeight="false" outlineLevel="0" collapsed="false">
      <c r="A55" s="6" t="s">
        <v>310</v>
      </c>
      <c r="B55" s="6" t="s">
        <v>311</v>
      </c>
      <c r="C55" s="6" t="s">
        <v>312</v>
      </c>
      <c r="D55" s="6" t="s">
        <v>38</v>
      </c>
      <c r="E55" s="6" t="s">
        <v>99</v>
      </c>
      <c r="F55" s="6" t="s">
        <v>100</v>
      </c>
      <c r="G55" s="6" t="s">
        <v>124</v>
      </c>
      <c r="H55" s="6" t="s">
        <v>101</v>
      </c>
      <c r="I55" s="6" t="s">
        <v>102</v>
      </c>
      <c r="J55" s="13" t="n">
        <f aca="false">4*K55+4*(L55-N55)+9*M55+2*N55</f>
        <v>66.1</v>
      </c>
      <c r="K55" s="14" t="n">
        <v>0.6</v>
      </c>
      <c r="L55" s="14" t="n">
        <v>15.5</v>
      </c>
      <c r="M55" s="14" t="n">
        <v>0.3</v>
      </c>
      <c r="N55" s="14" t="n">
        <v>0.5</v>
      </c>
      <c r="O55" s="14" t="n">
        <v>14</v>
      </c>
      <c r="P55" s="15" t="n">
        <v>1</v>
      </c>
      <c r="Q55" s="16" t="n">
        <v>200</v>
      </c>
      <c r="R55" s="16" t="n">
        <v>300</v>
      </c>
      <c r="S55" s="16" t="n">
        <v>400</v>
      </c>
      <c r="T55" s="6"/>
      <c r="U55" s="6"/>
      <c r="V55" s="13" t="n">
        <f aca="false">IF(Q55="","",J55*Q55/100)</f>
        <v>132.2</v>
      </c>
      <c r="W55" s="13" t="n">
        <f aca="false">IF(R55="","",J55*R55/100)</f>
        <v>198.3</v>
      </c>
      <c r="X55" s="13" t="n">
        <f aca="false">IF(S55="","",J55*S55/100)</f>
        <v>264.4</v>
      </c>
      <c r="Y55" s="13" t="str">
        <f aca="false">IF(T55="","",J55*T55/100)</f>
        <v/>
      </c>
      <c r="Z55" s="13" t="str">
        <f aca="false">IF(U55="","",J55*U55/100)</f>
        <v/>
      </c>
      <c r="AA55" s="6" t="s">
        <v>125</v>
      </c>
      <c r="AB55" s="6" t="s">
        <v>126</v>
      </c>
      <c r="AC55" s="6"/>
      <c r="AD55" s="13" t="str">
        <f aca="false">IF(AC55="","",IFERROR(INDEX('INDB Full Nutrients'!$D:$D,MATCH(AC55,'INDB Full Nutrients'!$A:$A,0)),""))</f>
        <v/>
      </c>
      <c r="AE55" s="6"/>
      <c r="AF55" s="6" t="s">
        <v>265</v>
      </c>
    </row>
    <row r="56" customFormat="false" ht="15" hidden="false" customHeight="false" outlineLevel="0" collapsed="false">
      <c r="A56" s="6" t="s">
        <v>313</v>
      </c>
      <c r="B56" s="6" t="s">
        <v>314</v>
      </c>
      <c r="C56" s="6" t="s">
        <v>315</v>
      </c>
      <c r="D56" s="6" t="s">
        <v>38</v>
      </c>
      <c r="E56" s="6" t="s">
        <v>99</v>
      </c>
      <c r="F56" s="6" t="s">
        <v>100</v>
      </c>
      <c r="G56" s="6" t="s">
        <v>124</v>
      </c>
      <c r="H56" s="6" t="s">
        <v>101</v>
      </c>
      <c r="I56" s="6" t="s">
        <v>102</v>
      </c>
      <c r="J56" s="13" t="n">
        <f aca="false">4*K56+4*(L56-N56)+9*M56+2*N56</f>
        <v>33.9</v>
      </c>
      <c r="K56" s="14" t="n">
        <v>0.4</v>
      </c>
      <c r="L56" s="14" t="n">
        <v>8</v>
      </c>
      <c r="M56" s="14" t="n">
        <v>0.1</v>
      </c>
      <c r="N56" s="14" t="n">
        <v>0.3</v>
      </c>
      <c r="O56" s="14" t="n">
        <v>7</v>
      </c>
      <c r="P56" s="15" t="n">
        <v>7</v>
      </c>
      <c r="Q56" s="16" t="n">
        <v>200</v>
      </c>
      <c r="R56" s="16" t="n">
        <v>300</v>
      </c>
      <c r="S56" s="16" t="n">
        <v>400</v>
      </c>
      <c r="T56" s="6"/>
      <c r="U56" s="6"/>
      <c r="V56" s="13" t="n">
        <f aca="false">IF(Q56="","",J56*Q56/100)</f>
        <v>67.8</v>
      </c>
      <c r="W56" s="13" t="n">
        <f aca="false">IF(R56="","",J56*R56/100)</f>
        <v>101.7</v>
      </c>
      <c r="X56" s="13" t="n">
        <f aca="false">IF(S56="","",J56*S56/100)</f>
        <v>135.6</v>
      </c>
      <c r="Y56" s="13" t="str">
        <f aca="false">IF(T56="","",J56*T56/100)</f>
        <v/>
      </c>
      <c r="Z56" s="13" t="str">
        <f aca="false">IF(U56="","",J56*U56/100)</f>
        <v/>
      </c>
      <c r="AA56" s="6" t="s">
        <v>125</v>
      </c>
      <c r="AB56" s="6" t="s">
        <v>126</v>
      </c>
      <c r="AC56" s="6"/>
      <c r="AD56" s="13" t="str">
        <f aca="false">IF(AC56="","",IFERROR(INDEX('INDB Full Nutrients'!$D:$D,MATCH(AC56,'INDB Full Nutrients'!$A:$A,0)),""))</f>
        <v/>
      </c>
      <c r="AE56" s="6"/>
      <c r="AF56" s="6" t="s">
        <v>316</v>
      </c>
    </row>
    <row r="57" customFormat="false" ht="15" hidden="false" customHeight="false" outlineLevel="0" collapsed="false">
      <c r="A57" s="6" t="s">
        <v>317</v>
      </c>
      <c r="B57" s="6" t="s">
        <v>318</v>
      </c>
      <c r="C57" s="6" t="s">
        <v>319</v>
      </c>
      <c r="D57" s="6" t="s">
        <v>38</v>
      </c>
      <c r="E57" s="6" t="s">
        <v>99</v>
      </c>
      <c r="F57" s="6" t="s">
        <v>100</v>
      </c>
      <c r="G57" s="6" t="s">
        <v>124</v>
      </c>
      <c r="H57" s="6" t="s">
        <v>101</v>
      </c>
      <c r="I57" s="6" t="s">
        <v>102</v>
      </c>
      <c r="J57" s="13" t="n">
        <f aca="false">4*K57+4*(L57-N57)+9*M57+2*N57</f>
        <v>48.7</v>
      </c>
      <c r="K57" s="14" t="n">
        <v>0.1</v>
      </c>
      <c r="L57" s="14" t="n">
        <v>12</v>
      </c>
      <c r="M57" s="14" t="n">
        <v>0.1</v>
      </c>
      <c r="N57" s="14" t="n">
        <v>0.3</v>
      </c>
      <c r="O57" s="14" t="n">
        <v>10</v>
      </c>
      <c r="P57" s="15" t="n">
        <v>4</v>
      </c>
      <c r="Q57" s="16" t="n">
        <v>200</v>
      </c>
      <c r="R57" s="16" t="n">
        <v>300</v>
      </c>
      <c r="S57" s="16" t="n">
        <v>400</v>
      </c>
      <c r="T57" s="6"/>
      <c r="U57" s="6"/>
      <c r="V57" s="13" t="n">
        <f aca="false">IF(Q57="","",J57*Q57/100)</f>
        <v>97.4</v>
      </c>
      <c r="W57" s="13" t="n">
        <f aca="false">IF(R57="","",J57*R57/100)</f>
        <v>146.1</v>
      </c>
      <c r="X57" s="13" t="n">
        <f aca="false">IF(S57="","",J57*S57/100)</f>
        <v>194.8</v>
      </c>
      <c r="Y57" s="13" t="str">
        <f aca="false">IF(T57="","",J57*T57/100)</f>
        <v/>
      </c>
      <c r="Z57" s="13" t="str">
        <f aca="false">IF(U57="","",J57*U57/100)</f>
        <v/>
      </c>
      <c r="AA57" s="6" t="s">
        <v>125</v>
      </c>
      <c r="AB57" s="6" t="s">
        <v>126</v>
      </c>
      <c r="AC57" s="6"/>
      <c r="AD57" s="13" t="str">
        <f aca="false">IF(AC57="","",IFERROR(INDEX('INDB Full Nutrients'!$D:$D,MATCH(AC57,'INDB Full Nutrients'!$A:$A,0)),""))</f>
        <v/>
      </c>
      <c r="AE57" s="6"/>
      <c r="AF57" s="6" t="s">
        <v>265</v>
      </c>
    </row>
    <row r="58" customFormat="false" ht="15" hidden="false" customHeight="false" outlineLevel="0" collapsed="false">
      <c r="A58" s="6" t="s">
        <v>320</v>
      </c>
      <c r="B58" s="6" t="s">
        <v>321</v>
      </c>
      <c r="C58" s="6" t="s">
        <v>322</v>
      </c>
      <c r="D58" s="6" t="s">
        <v>38</v>
      </c>
      <c r="E58" s="6" t="s">
        <v>99</v>
      </c>
      <c r="F58" s="6" t="s">
        <v>100</v>
      </c>
      <c r="G58" s="6" t="s">
        <v>124</v>
      </c>
      <c r="H58" s="6" t="s">
        <v>101</v>
      </c>
      <c r="I58" s="6" t="s">
        <v>102</v>
      </c>
      <c r="J58" s="13" t="n">
        <f aca="false">4*K58+4*(L58-N58)+9*M58+2*N58</f>
        <v>46.6</v>
      </c>
      <c r="K58" s="14" t="n">
        <v>0.4</v>
      </c>
      <c r="L58" s="14" t="n">
        <v>11</v>
      </c>
      <c r="M58" s="14" t="n">
        <v>0.2</v>
      </c>
      <c r="N58" s="14" t="n">
        <v>0.4</v>
      </c>
      <c r="O58" s="14" t="n">
        <v>10</v>
      </c>
      <c r="P58" s="15" t="n">
        <v>1</v>
      </c>
      <c r="Q58" s="16" t="n">
        <v>200</v>
      </c>
      <c r="R58" s="16" t="n">
        <v>300</v>
      </c>
      <c r="S58" s="16" t="n">
        <v>400</v>
      </c>
      <c r="T58" s="6"/>
      <c r="U58" s="6"/>
      <c r="V58" s="13" t="n">
        <f aca="false">IF(Q58="","",J58*Q58/100)</f>
        <v>93.2</v>
      </c>
      <c r="W58" s="13" t="n">
        <f aca="false">IF(R58="","",J58*R58/100)</f>
        <v>139.8</v>
      </c>
      <c r="X58" s="13" t="n">
        <f aca="false">IF(S58="","",J58*S58/100)</f>
        <v>186.4</v>
      </c>
      <c r="Y58" s="13" t="str">
        <f aca="false">IF(T58="","",J58*T58/100)</f>
        <v/>
      </c>
      <c r="Z58" s="13" t="str">
        <f aca="false">IF(U58="","",J58*U58/100)</f>
        <v/>
      </c>
      <c r="AA58" s="6" t="s">
        <v>125</v>
      </c>
      <c r="AB58" s="6" t="s">
        <v>126</v>
      </c>
      <c r="AC58" s="6"/>
      <c r="AD58" s="13" t="str">
        <f aca="false">IF(AC58="","",IFERROR(INDEX('INDB Full Nutrients'!$D:$D,MATCH(AC58,'INDB Full Nutrients'!$A:$A,0)),""))</f>
        <v/>
      </c>
      <c r="AE58" s="6"/>
      <c r="AF58" s="6" t="s">
        <v>265</v>
      </c>
    </row>
    <row r="59" customFormat="false" ht="15" hidden="false" customHeight="false" outlineLevel="0" collapsed="false">
      <c r="A59" s="6" t="s">
        <v>323</v>
      </c>
      <c r="B59" s="6" t="s">
        <v>324</v>
      </c>
      <c r="C59" s="6" t="s">
        <v>325</v>
      </c>
      <c r="D59" s="6" t="s">
        <v>38</v>
      </c>
      <c r="E59" s="6" t="s">
        <v>99</v>
      </c>
      <c r="F59" s="6" t="s">
        <v>100</v>
      </c>
      <c r="G59" s="6" t="s">
        <v>124</v>
      </c>
      <c r="H59" s="6" t="s">
        <v>101</v>
      </c>
      <c r="I59" s="6" t="s">
        <v>102</v>
      </c>
      <c r="J59" s="13" t="n">
        <f aca="false">4*K59+4*(L59-N59)+9*M59+2*N59</f>
        <v>41.2</v>
      </c>
      <c r="K59" s="14" t="n">
        <v>0.6</v>
      </c>
      <c r="L59" s="14" t="n">
        <v>9.5</v>
      </c>
      <c r="M59" s="14" t="n">
        <v>0.2</v>
      </c>
      <c r="N59" s="14" t="n">
        <v>0.5</v>
      </c>
      <c r="O59" s="14" t="n">
        <v>8.4</v>
      </c>
      <c r="P59" s="15" t="n">
        <v>1</v>
      </c>
      <c r="Q59" s="16" t="n">
        <v>200</v>
      </c>
      <c r="R59" s="16" t="n">
        <v>300</v>
      </c>
      <c r="S59" s="16" t="n">
        <v>400</v>
      </c>
      <c r="T59" s="6"/>
      <c r="U59" s="6"/>
      <c r="V59" s="13" t="n">
        <f aca="false">IF(Q59="","",J59*Q59/100)</f>
        <v>82.4</v>
      </c>
      <c r="W59" s="13" t="n">
        <f aca="false">IF(R59="","",J59*R59/100)</f>
        <v>123.6</v>
      </c>
      <c r="X59" s="13" t="n">
        <f aca="false">IF(S59="","",J59*S59/100)</f>
        <v>164.8</v>
      </c>
      <c r="Y59" s="13" t="str">
        <f aca="false">IF(T59="","",J59*T59/100)</f>
        <v/>
      </c>
      <c r="Z59" s="13" t="str">
        <f aca="false">IF(U59="","",J59*U59/100)</f>
        <v/>
      </c>
      <c r="AA59" s="6" t="s">
        <v>125</v>
      </c>
      <c r="AB59" s="6" t="s">
        <v>126</v>
      </c>
      <c r="AC59" s="6"/>
      <c r="AD59" s="13" t="str">
        <f aca="false">IF(AC59="","",IFERROR(INDEX('INDB Full Nutrients'!$D:$D,MATCH(AC59,'INDB Full Nutrients'!$A:$A,0)),""))</f>
        <v/>
      </c>
      <c r="AE59" s="6"/>
      <c r="AF59" s="6" t="s">
        <v>265</v>
      </c>
    </row>
    <row r="60" customFormat="false" ht="15" hidden="false" customHeight="false" outlineLevel="0" collapsed="false">
      <c r="A60" s="6" t="s">
        <v>326</v>
      </c>
      <c r="B60" s="6" t="s">
        <v>327</v>
      </c>
      <c r="C60" s="6"/>
      <c r="D60" s="6" t="s">
        <v>38</v>
      </c>
      <c r="E60" s="6" t="s">
        <v>99</v>
      </c>
      <c r="F60" s="6" t="s">
        <v>100</v>
      </c>
      <c r="G60" s="6" t="s">
        <v>124</v>
      </c>
      <c r="H60" s="6" t="s">
        <v>101</v>
      </c>
      <c r="I60" s="6" t="s">
        <v>102</v>
      </c>
      <c r="J60" s="13" t="n">
        <f aca="false">4*K60+4*(L60-N60)+9*M60+2*N60</f>
        <v>51.1</v>
      </c>
      <c r="K60" s="14" t="n">
        <v>0.4</v>
      </c>
      <c r="L60" s="14" t="n">
        <v>12.2</v>
      </c>
      <c r="M60" s="14" t="n">
        <v>0.1</v>
      </c>
      <c r="N60" s="14" t="n">
        <v>0.1</v>
      </c>
      <c r="O60" s="14" t="n">
        <v>12.1</v>
      </c>
      <c r="P60" s="15" t="n">
        <v>5</v>
      </c>
      <c r="Q60" s="16" t="n">
        <v>200</v>
      </c>
      <c r="R60" s="16" t="n">
        <v>300</v>
      </c>
      <c r="S60" s="16" t="n">
        <v>400</v>
      </c>
      <c r="T60" s="6"/>
      <c r="U60" s="6"/>
      <c r="V60" s="13" t="n">
        <f aca="false">IF(Q60="","",J60*Q60/100)</f>
        <v>102.2</v>
      </c>
      <c r="W60" s="13" t="n">
        <f aca="false">IF(R60="","",J60*R60/100)</f>
        <v>153.3</v>
      </c>
      <c r="X60" s="13" t="n">
        <f aca="false">IF(S60="","",J60*S60/100)</f>
        <v>204.4</v>
      </c>
      <c r="Y60" s="13" t="str">
        <f aca="false">IF(T60="","",J60*T60/100)</f>
        <v/>
      </c>
      <c r="Z60" s="13" t="str">
        <f aca="false">IF(U60="","",J60*U60/100)</f>
        <v/>
      </c>
      <c r="AA60" s="6" t="s">
        <v>125</v>
      </c>
      <c r="AB60" s="6" t="s">
        <v>126</v>
      </c>
      <c r="AC60" s="6"/>
      <c r="AD60" s="13" t="str">
        <f aca="false">IF(AC60="","",IFERROR(INDEX('INDB Full Nutrients'!$D:$D,MATCH(AC60,'INDB Full Nutrients'!$A:$A,0)),""))</f>
        <v/>
      </c>
      <c r="AE60" s="6"/>
      <c r="AF60" s="6" t="s">
        <v>265</v>
      </c>
    </row>
    <row r="61" customFormat="false" ht="15" hidden="false" customHeight="false" outlineLevel="0" collapsed="false">
      <c r="A61" s="6" t="s">
        <v>328</v>
      </c>
      <c r="B61" s="6" t="s">
        <v>329</v>
      </c>
      <c r="C61" s="6" t="s">
        <v>330</v>
      </c>
      <c r="D61" s="6" t="s">
        <v>38</v>
      </c>
      <c r="E61" s="6" t="s">
        <v>99</v>
      </c>
      <c r="F61" s="6" t="s">
        <v>100</v>
      </c>
      <c r="G61" s="6" t="s">
        <v>124</v>
      </c>
      <c r="H61" s="6" t="s">
        <v>101</v>
      </c>
      <c r="I61" s="6" t="s">
        <v>102</v>
      </c>
      <c r="J61" s="13" t="n">
        <f aca="false">4*K61+4*(L61-N61)+9*M61+2*N61</f>
        <v>50</v>
      </c>
      <c r="K61" s="14" t="n">
        <v>0.4</v>
      </c>
      <c r="L61" s="14" t="n">
        <v>11.8</v>
      </c>
      <c r="M61" s="14" t="n">
        <v>0.2</v>
      </c>
      <c r="N61" s="14" t="n">
        <v>0.3</v>
      </c>
      <c r="O61" s="14" t="n">
        <v>10.5</v>
      </c>
      <c r="P61" s="15" t="n">
        <v>3</v>
      </c>
      <c r="Q61" s="16" t="n">
        <v>200</v>
      </c>
      <c r="R61" s="16" t="n">
        <v>300</v>
      </c>
      <c r="S61" s="16" t="n">
        <v>400</v>
      </c>
      <c r="T61" s="6"/>
      <c r="U61" s="6"/>
      <c r="V61" s="13" t="n">
        <f aca="false">IF(Q61="","",J61*Q61/100)</f>
        <v>100</v>
      </c>
      <c r="W61" s="13" t="n">
        <f aca="false">IF(R61="","",J61*R61/100)</f>
        <v>150</v>
      </c>
      <c r="X61" s="13" t="n">
        <f aca="false">IF(S61="","",J61*S61/100)</f>
        <v>200</v>
      </c>
      <c r="Y61" s="13" t="str">
        <f aca="false">IF(T61="","",J61*T61/100)</f>
        <v/>
      </c>
      <c r="Z61" s="13" t="str">
        <f aca="false">IF(U61="","",J61*U61/100)</f>
        <v/>
      </c>
      <c r="AA61" s="6" t="s">
        <v>125</v>
      </c>
      <c r="AB61" s="6" t="s">
        <v>126</v>
      </c>
      <c r="AC61" s="6"/>
      <c r="AD61" s="13" t="str">
        <f aca="false">IF(AC61="","",IFERROR(INDEX('INDB Full Nutrients'!$D:$D,MATCH(AC61,'INDB Full Nutrients'!$A:$A,0)),""))</f>
        <v/>
      </c>
      <c r="AE61" s="6"/>
      <c r="AF61" s="6" t="s">
        <v>265</v>
      </c>
    </row>
    <row r="62" customFormat="false" ht="15" hidden="false" customHeight="false" outlineLevel="0" collapsed="false">
      <c r="A62" s="6" t="s">
        <v>331</v>
      </c>
      <c r="B62" s="6" t="s">
        <v>332</v>
      </c>
      <c r="C62" s="6" t="s">
        <v>333</v>
      </c>
      <c r="D62" s="6" t="s">
        <v>38</v>
      </c>
      <c r="E62" s="6" t="s">
        <v>99</v>
      </c>
      <c r="F62" s="6" t="s">
        <v>100</v>
      </c>
      <c r="G62" s="6" t="s">
        <v>124</v>
      </c>
      <c r="H62" s="6" t="s">
        <v>101</v>
      </c>
      <c r="I62" s="6" t="s">
        <v>102</v>
      </c>
      <c r="J62" s="13" t="n">
        <f aca="false">4*K62+4*(L62-N62)+9*M62+2*N62</f>
        <v>12.7</v>
      </c>
      <c r="K62" s="14" t="n">
        <v>0.2</v>
      </c>
      <c r="L62" s="14" t="n">
        <v>3</v>
      </c>
      <c r="M62" s="14" t="n">
        <v>0.1</v>
      </c>
      <c r="N62" s="14" t="n">
        <v>0.5</v>
      </c>
      <c r="O62" s="14" t="n">
        <v>1</v>
      </c>
      <c r="P62" s="15" t="n">
        <v>2</v>
      </c>
      <c r="Q62" s="16" t="n">
        <v>30</v>
      </c>
      <c r="R62" s="16" t="n">
        <v>60</v>
      </c>
      <c r="S62" s="16" t="n">
        <v>100</v>
      </c>
      <c r="T62" s="6"/>
      <c r="U62" s="6"/>
      <c r="V62" s="13" t="n">
        <f aca="false">IF(Q62="","",J62*Q62/100)</f>
        <v>3.81</v>
      </c>
      <c r="W62" s="13" t="n">
        <f aca="false">IF(R62="","",J62*R62/100)</f>
        <v>7.62</v>
      </c>
      <c r="X62" s="13" t="n">
        <f aca="false">IF(S62="","",J62*S62/100)</f>
        <v>12.7</v>
      </c>
      <c r="Y62" s="13" t="str">
        <f aca="false">IF(T62="","",J62*T62/100)</f>
        <v/>
      </c>
      <c r="Z62" s="13" t="str">
        <f aca="false">IF(U62="","",J62*U62/100)</f>
        <v/>
      </c>
      <c r="AA62" s="6" t="s">
        <v>125</v>
      </c>
      <c r="AB62" s="6" t="s">
        <v>126</v>
      </c>
      <c r="AC62" s="6"/>
      <c r="AD62" s="13" t="str">
        <f aca="false">IF(AC62="","",IFERROR(INDEX('INDB Full Nutrients'!$D:$D,MATCH(AC62,'INDB Full Nutrients'!$A:$A,0)),""))</f>
        <v/>
      </c>
      <c r="AE62" s="6"/>
      <c r="AF62" s="6" t="s">
        <v>334</v>
      </c>
    </row>
    <row r="63" customFormat="false" ht="15" hidden="false" customHeight="false" outlineLevel="0" collapsed="false">
      <c r="A63" s="6" t="s">
        <v>335</v>
      </c>
      <c r="B63" s="6" t="s">
        <v>336</v>
      </c>
      <c r="C63" s="6" t="s">
        <v>337</v>
      </c>
      <c r="D63" s="6" t="s">
        <v>39</v>
      </c>
      <c r="E63" s="6" t="s">
        <v>99</v>
      </c>
      <c r="F63" s="6" t="s">
        <v>100</v>
      </c>
      <c r="G63" s="6" t="s">
        <v>124</v>
      </c>
      <c r="H63" s="6" t="s">
        <v>101</v>
      </c>
      <c r="I63" s="6" t="s">
        <v>102</v>
      </c>
      <c r="J63" s="13" t="n">
        <f aca="false">4*K63+4*(L63-N63)+9*M63+2*N63</f>
        <v>41</v>
      </c>
      <c r="K63" s="14" t="n">
        <v>0.9</v>
      </c>
      <c r="L63" s="14" t="n">
        <v>9.3</v>
      </c>
      <c r="M63" s="14" t="n">
        <v>0.2</v>
      </c>
      <c r="N63" s="14" t="n">
        <v>0.8</v>
      </c>
      <c r="O63" s="14" t="n">
        <v>3.9</v>
      </c>
      <c r="P63" s="15" t="n">
        <v>66</v>
      </c>
      <c r="Q63" s="16" t="n">
        <v>200</v>
      </c>
      <c r="R63" s="16" t="n">
        <v>300</v>
      </c>
      <c r="S63" s="16" t="n">
        <v>400</v>
      </c>
      <c r="T63" s="6"/>
      <c r="U63" s="6"/>
      <c r="V63" s="13" t="n">
        <f aca="false">IF(Q63="","",J63*Q63/100)</f>
        <v>82</v>
      </c>
      <c r="W63" s="13" t="n">
        <f aca="false">IF(R63="","",J63*R63/100)</f>
        <v>123</v>
      </c>
      <c r="X63" s="13" t="n">
        <f aca="false">IF(S63="","",J63*S63/100)</f>
        <v>164</v>
      </c>
      <c r="Y63" s="13" t="str">
        <f aca="false">IF(T63="","",J63*T63/100)</f>
        <v/>
      </c>
      <c r="Z63" s="13" t="str">
        <f aca="false">IF(U63="","",J63*U63/100)</f>
        <v/>
      </c>
      <c r="AA63" s="6" t="s">
        <v>125</v>
      </c>
      <c r="AB63" s="6" t="s">
        <v>126</v>
      </c>
      <c r="AC63" s="6"/>
      <c r="AD63" s="13" t="str">
        <f aca="false">IF(AC63="","",IFERROR(INDEX('INDB Full Nutrients'!$D:$D,MATCH(AC63,'INDB Full Nutrients'!$A:$A,0)),""))</f>
        <v/>
      </c>
      <c r="AE63" s="6"/>
      <c r="AF63" s="6" t="s">
        <v>338</v>
      </c>
    </row>
    <row r="64" customFormat="false" ht="15" hidden="false" customHeight="false" outlineLevel="0" collapsed="false">
      <c r="A64" s="6" t="s">
        <v>339</v>
      </c>
      <c r="B64" s="6" t="s">
        <v>340</v>
      </c>
      <c r="C64" s="6" t="s">
        <v>341</v>
      </c>
      <c r="D64" s="6" t="s">
        <v>39</v>
      </c>
      <c r="E64" s="6" t="s">
        <v>99</v>
      </c>
      <c r="F64" s="6" t="s">
        <v>100</v>
      </c>
      <c r="G64" s="6" t="s">
        <v>124</v>
      </c>
      <c r="H64" s="6" t="s">
        <v>101</v>
      </c>
      <c r="I64" s="6" t="s">
        <v>102</v>
      </c>
      <c r="J64" s="13" t="n">
        <f aca="false">4*K64+4*(L64-N64)+9*M64+2*N64</f>
        <v>37.3</v>
      </c>
      <c r="K64" s="14" t="n">
        <v>1</v>
      </c>
      <c r="L64" s="14" t="n">
        <v>8.5</v>
      </c>
      <c r="M64" s="14" t="n">
        <v>0.1</v>
      </c>
      <c r="N64" s="14" t="n">
        <v>0.8</v>
      </c>
      <c r="O64" s="14" t="n">
        <v>6.5</v>
      </c>
      <c r="P64" s="15" t="n">
        <v>70</v>
      </c>
      <c r="Q64" s="16" t="n">
        <v>200</v>
      </c>
      <c r="R64" s="16" t="n">
        <v>300</v>
      </c>
      <c r="S64" s="16" t="n">
        <v>400</v>
      </c>
      <c r="T64" s="6"/>
      <c r="U64" s="6"/>
      <c r="V64" s="13" t="n">
        <f aca="false">IF(Q64="","",J64*Q64/100)</f>
        <v>74.6</v>
      </c>
      <c r="W64" s="13" t="n">
        <f aca="false">IF(R64="","",J64*R64/100)</f>
        <v>111.9</v>
      </c>
      <c r="X64" s="13" t="n">
        <f aca="false">IF(S64="","",J64*S64/100)</f>
        <v>149.2</v>
      </c>
      <c r="Y64" s="13" t="str">
        <f aca="false">IF(T64="","",J64*T64/100)</f>
        <v/>
      </c>
      <c r="Z64" s="13" t="str">
        <f aca="false">IF(U64="","",J64*U64/100)</f>
        <v/>
      </c>
      <c r="AA64" s="6" t="s">
        <v>125</v>
      </c>
      <c r="AB64" s="6" t="s">
        <v>126</v>
      </c>
      <c r="AC64" s="6"/>
      <c r="AD64" s="13" t="str">
        <f aca="false">IF(AC64="","",IFERROR(INDEX('INDB Full Nutrients'!$D:$D,MATCH(AC64,'INDB Full Nutrients'!$A:$A,0)),""))</f>
        <v/>
      </c>
      <c r="AE64" s="6"/>
      <c r="AF64" s="6" t="s">
        <v>338</v>
      </c>
    </row>
    <row r="65" customFormat="false" ht="15" hidden="false" customHeight="false" outlineLevel="0" collapsed="false">
      <c r="A65" s="6" t="s">
        <v>342</v>
      </c>
      <c r="B65" s="6" t="s">
        <v>343</v>
      </c>
      <c r="C65" s="6"/>
      <c r="D65" s="6" t="s">
        <v>39</v>
      </c>
      <c r="E65" s="6" t="s">
        <v>99</v>
      </c>
      <c r="F65" s="6" t="s">
        <v>100</v>
      </c>
      <c r="G65" s="6" t="s">
        <v>124</v>
      </c>
      <c r="H65" s="6" t="s">
        <v>101</v>
      </c>
      <c r="I65" s="6" t="s">
        <v>102</v>
      </c>
      <c r="J65" s="13" t="n">
        <f aca="false">4*K65+4*(L65-N65)+9*M65+2*N65</f>
        <v>42.1</v>
      </c>
      <c r="K65" s="14" t="n">
        <v>0.6</v>
      </c>
      <c r="L65" s="14" t="n">
        <v>10</v>
      </c>
      <c r="M65" s="14" t="n">
        <v>0.1</v>
      </c>
      <c r="N65" s="14" t="n">
        <v>0.6</v>
      </c>
      <c r="O65" s="14" t="n">
        <v>7.5</v>
      </c>
      <c r="P65" s="15" t="n">
        <v>45</v>
      </c>
      <c r="Q65" s="16" t="n">
        <v>200</v>
      </c>
      <c r="R65" s="16" t="n">
        <v>300</v>
      </c>
      <c r="S65" s="16" t="n">
        <v>400</v>
      </c>
      <c r="T65" s="6"/>
      <c r="U65" s="6"/>
      <c r="V65" s="13" t="n">
        <f aca="false">IF(Q65="","",J65*Q65/100)</f>
        <v>84.2</v>
      </c>
      <c r="W65" s="13" t="n">
        <f aca="false">IF(R65="","",J65*R65/100)</f>
        <v>126.3</v>
      </c>
      <c r="X65" s="13" t="n">
        <f aca="false">IF(S65="","",J65*S65/100)</f>
        <v>168.4</v>
      </c>
      <c r="Y65" s="13" t="str">
        <f aca="false">IF(T65="","",J65*T65/100)</f>
        <v/>
      </c>
      <c r="Z65" s="13" t="str">
        <f aca="false">IF(U65="","",J65*U65/100)</f>
        <v/>
      </c>
      <c r="AA65" s="6" t="s">
        <v>125</v>
      </c>
      <c r="AB65" s="6" t="s">
        <v>126</v>
      </c>
      <c r="AC65" s="6"/>
      <c r="AD65" s="13" t="str">
        <f aca="false">IF(AC65="","",IFERROR(INDEX('INDB Full Nutrients'!$D:$D,MATCH(AC65,'INDB Full Nutrients'!$A:$A,0)),""))</f>
        <v/>
      </c>
      <c r="AE65" s="6"/>
      <c r="AF65" s="6" t="s">
        <v>338</v>
      </c>
    </row>
    <row r="66" customFormat="false" ht="15" hidden="false" customHeight="false" outlineLevel="0" collapsed="false">
      <c r="A66" s="6" t="s">
        <v>344</v>
      </c>
      <c r="B66" s="6" t="s">
        <v>345</v>
      </c>
      <c r="C66" s="6" t="s">
        <v>346</v>
      </c>
      <c r="D66" s="6" t="s">
        <v>39</v>
      </c>
      <c r="E66" s="6" t="s">
        <v>99</v>
      </c>
      <c r="F66" s="6" t="s">
        <v>100</v>
      </c>
      <c r="G66" s="6" t="s">
        <v>124</v>
      </c>
      <c r="H66" s="6" t="s">
        <v>101</v>
      </c>
      <c r="I66" s="6" t="s">
        <v>102</v>
      </c>
      <c r="J66" s="13" t="n">
        <f aca="false">4*K66+4*(L66-N66)+9*M66+2*N66</f>
        <v>20</v>
      </c>
      <c r="K66" s="14" t="n">
        <v>0.9</v>
      </c>
      <c r="L66" s="14" t="n">
        <v>3.9</v>
      </c>
      <c r="M66" s="14" t="n">
        <v>0.2</v>
      </c>
      <c r="N66" s="14" t="n">
        <v>0.5</v>
      </c>
      <c r="O66" s="14" t="n">
        <v>2.6</v>
      </c>
      <c r="P66" s="15" t="n">
        <v>10</v>
      </c>
      <c r="Q66" s="16" t="n">
        <v>200</v>
      </c>
      <c r="R66" s="16" t="n">
        <v>300</v>
      </c>
      <c r="S66" s="16" t="n">
        <v>400</v>
      </c>
      <c r="T66" s="6"/>
      <c r="U66" s="6"/>
      <c r="V66" s="13" t="n">
        <f aca="false">IF(Q66="","",J66*Q66/100)</f>
        <v>40</v>
      </c>
      <c r="W66" s="13" t="n">
        <f aca="false">IF(R66="","",J66*R66/100)</f>
        <v>60</v>
      </c>
      <c r="X66" s="13" t="n">
        <f aca="false">IF(S66="","",J66*S66/100)</f>
        <v>80</v>
      </c>
      <c r="Y66" s="13" t="str">
        <f aca="false">IF(T66="","",J66*T66/100)</f>
        <v/>
      </c>
      <c r="Z66" s="13" t="str">
        <f aca="false">IF(U66="","",J66*U66/100)</f>
        <v/>
      </c>
      <c r="AA66" s="6" t="s">
        <v>125</v>
      </c>
      <c r="AB66" s="6" t="s">
        <v>126</v>
      </c>
      <c r="AC66" s="6"/>
      <c r="AD66" s="13" t="str">
        <f aca="false">IF(AC66="","",IFERROR(INDEX('INDB Full Nutrients'!$D:$D,MATCH(AC66,'INDB Full Nutrients'!$A:$A,0)),""))</f>
        <v/>
      </c>
      <c r="AE66" s="6"/>
      <c r="AF66" s="6" t="s">
        <v>347</v>
      </c>
    </row>
    <row r="67" customFormat="false" ht="15" hidden="false" customHeight="false" outlineLevel="0" collapsed="false">
      <c r="A67" s="6" t="s">
        <v>348</v>
      </c>
      <c r="B67" s="6" t="s">
        <v>349</v>
      </c>
      <c r="C67" s="6" t="s">
        <v>350</v>
      </c>
      <c r="D67" s="6" t="s">
        <v>39</v>
      </c>
      <c r="E67" s="6" t="s">
        <v>99</v>
      </c>
      <c r="F67" s="6" t="s">
        <v>100</v>
      </c>
      <c r="G67" s="6" t="s">
        <v>124</v>
      </c>
      <c r="H67" s="6" t="s">
        <v>101</v>
      </c>
      <c r="I67" s="6" t="s">
        <v>102</v>
      </c>
      <c r="J67" s="13" t="n">
        <f aca="false">4*K67+4*(L67-N67)+9*M67+2*N67</f>
        <v>15.7</v>
      </c>
      <c r="K67" s="14" t="n">
        <v>0.6</v>
      </c>
      <c r="L67" s="14" t="n">
        <v>3.3</v>
      </c>
      <c r="M67" s="14" t="n">
        <v>0.1</v>
      </c>
      <c r="N67" s="14" t="n">
        <v>0.4</v>
      </c>
      <c r="O67" s="14" t="n">
        <v>1.7</v>
      </c>
      <c r="P67" s="15" t="n">
        <v>2</v>
      </c>
      <c r="Q67" s="16" t="n">
        <v>200</v>
      </c>
      <c r="R67" s="16" t="n">
        <v>300</v>
      </c>
      <c r="S67" s="16" t="n">
        <v>400</v>
      </c>
      <c r="T67" s="6"/>
      <c r="U67" s="6"/>
      <c r="V67" s="13" t="n">
        <f aca="false">IF(Q67="","",J67*Q67/100)</f>
        <v>31.4</v>
      </c>
      <c r="W67" s="13" t="n">
        <f aca="false">IF(R67="","",J67*R67/100)</f>
        <v>47.1</v>
      </c>
      <c r="X67" s="13" t="n">
        <f aca="false">IF(S67="","",J67*S67/100)</f>
        <v>62.8</v>
      </c>
      <c r="Y67" s="13" t="str">
        <f aca="false">IF(T67="","",J67*T67/100)</f>
        <v/>
      </c>
      <c r="Z67" s="13" t="str">
        <f aca="false">IF(U67="","",J67*U67/100)</f>
        <v/>
      </c>
      <c r="AA67" s="6" t="s">
        <v>125</v>
      </c>
      <c r="AB67" s="6" t="s">
        <v>126</v>
      </c>
      <c r="AC67" s="6"/>
      <c r="AD67" s="13" t="str">
        <f aca="false">IF(AC67="","",IFERROR(INDEX('INDB Full Nutrients'!$D:$D,MATCH(AC67,'INDB Full Nutrients'!$A:$A,0)),""))</f>
        <v/>
      </c>
      <c r="AE67" s="6"/>
      <c r="AF67" s="6"/>
    </row>
    <row r="68" customFormat="false" ht="15" hidden="false" customHeight="false" outlineLevel="0" collapsed="false">
      <c r="A68" s="6" t="s">
        <v>351</v>
      </c>
      <c r="B68" s="6" t="s">
        <v>352</v>
      </c>
      <c r="C68" s="6" t="s">
        <v>353</v>
      </c>
      <c r="D68" s="6" t="s">
        <v>39</v>
      </c>
      <c r="E68" s="6" t="s">
        <v>161</v>
      </c>
      <c r="F68" s="6" t="s">
        <v>100</v>
      </c>
      <c r="G68" s="6" t="s">
        <v>124</v>
      </c>
      <c r="H68" s="6" t="s">
        <v>101</v>
      </c>
      <c r="I68" s="6" t="s">
        <v>102</v>
      </c>
      <c r="J68" s="13" t="n">
        <f aca="false">4*K68+4*(L68-N68)+9*M68+2*N68</f>
        <v>14.1</v>
      </c>
      <c r="K68" s="14" t="n">
        <v>0.5</v>
      </c>
      <c r="L68" s="14" t="n">
        <v>3</v>
      </c>
      <c r="M68" s="14" t="n">
        <v>0.1</v>
      </c>
      <c r="N68" s="14" t="n">
        <v>0.4</v>
      </c>
      <c r="O68" s="14" t="n">
        <v>1.5</v>
      </c>
      <c r="P68" s="15" t="n">
        <v>5</v>
      </c>
      <c r="Q68" s="16" t="n">
        <v>150</v>
      </c>
      <c r="R68" s="16" t="n">
        <v>250</v>
      </c>
      <c r="S68" s="16" t="n">
        <v>350</v>
      </c>
      <c r="T68" s="6"/>
      <c r="U68" s="6"/>
      <c r="V68" s="13" t="n">
        <f aca="false">IF(Q68="","",J68*Q68/100)</f>
        <v>21.15</v>
      </c>
      <c r="W68" s="13" t="n">
        <f aca="false">IF(R68="","",J68*R68/100)</f>
        <v>35.25</v>
      </c>
      <c r="X68" s="13" t="n">
        <f aca="false">IF(S68="","",J68*S68/100)</f>
        <v>49.35</v>
      </c>
      <c r="Y68" s="13" t="str">
        <f aca="false">IF(T68="","",J68*T68/100)</f>
        <v/>
      </c>
      <c r="Z68" s="13" t="str">
        <f aca="false">IF(U68="","",J68*U68/100)</f>
        <v/>
      </c>
      <c r="AA68" s="6" t="s">
        <v>125</v>
      </c>
      <c r="AB68" s="6" t="s">
        <v>126</v>
      </c>
      <c r="AC68" s="6"/>
      <c r="AD68" s="13" t="str">
        <f aca="false">IF(AC68="","",IFERROR(INDEX('INDB Full Nutrients'!$D:$D,MATCH(AC68,'INDB Full Nutrients'!$A:$A,0)),""))</f>
        <v/>
      </c>
      <c r="AE68" s="6"/>
      <c r="AF68" s="6"/>
    </row>
    <row r="69" customFormat="false" ht="15" hidden="false" customHeight="false" outlineLevel="0" collapsed="false">
      <c r="A69" s="6" t="s">
        <v>354</v>
      </c>
      <c r="B69" s="6" t="s">
        <v>355</v>
      </c>
      <c r="C69" s="6"/>
      <c r="D69" s="6" t="s">
        <v>39</v>
      </c>
      <c r="E69" s="6" t="s">
        <v>99</v>
      </c>
      <c r="F69" s="6" t="s">
        <v>100</v>
      </c>
      <c r="G69" s="6" t="s">
        <v>124</v>
      </c>
      <c r="H69" s="6" t="s">
        <v>101</v>
      </c>
      <c r="I69" s="6" t="s">
        <v>102</v>
      </c>
      <c r="J69" s="13" t="n">
        <f aca="false">4*K69+4*(L69-N69)+9*M69+2*N69</f>
        <v>15.3</v>
      </c>
      <c r="K69" s="14" t="n">
        <v>0.8</v>
      </c>
      <c r="L69" s="14" t="n">
        <v>3.2</v>
      </c>
      <c r="M69" s="14" t="n">
        <v>0.1</v>
      </c>
      <c r="N69" s="14" t="n">
        <v>0.8</v>
      </c>
      <c r="O69" s="14" t="n">
        <v>1.2</v>
      </c>
      <c r="P69" s="15" t="n">
        <v>5</v>
      </c>
      <c r="Q69" s="16" t="n">
        <v>30</v>
      </c>
      <c r="R69" s="16" t="n">
        <v>60</v>
      </c>
      <c r="S69" s="16" t="n">
        <v>100</v>
      </c>
      <c r="T69" s="6"/>
      <c r="U69" s="6"/>
      <c r="V69" s="13" t="n">
        <f aca="false">IF(Q69="","",J69*Q69/100)</f>
        <v>4.59</v>
      </c>
      <c r="W69" s="13" t="n">
        <f aca="false">IF(R69="","",J69*R69/100)</f>
        <v>9.18</v>
      </c>
      <c r="X69" s="13" t="n">
        <f aca="false">IF(S69="","",J69*S69/100)</f>
        <v>15.3</v>
      </c>
      <c r="Y69" s="13" t="str">
        <f aca="false">IF(T69="","",J69*T69/100)</f>
        <v/>
      </c>
      <c r="Z69" s="13" t="str">
        <f aca="false">IF(U69="","",J69*U69/100)</f>
        <v/>
      </c>
      <c r="AA69" s="6" t="s">
        <v>125</v>
      </c>
      <c r="AB69" s="6" t="s">
        <v>126</v>
      </c>
      <c r="AC69" s="6"/>
      <c r="AD69" s="13" t="str">
        <f aca="false">IF(AC69="","",IFERROR(INDEX('INDB Full Nutrients'!$D:$D,MATCH(AC69,'INDB Full Nutrients'!$A:$A,0)),""))</f>
        <v/>
      </c>
      <c r="AE69" s="6"/>
      <c r="AF69" s="6"/>
    </row>
    <row r="70" customFormat="false" ht="15" hidden="false" customHeight="false" outlineLevel="0" collapsed="false">
      <c r="A70" s="6" t="s">
        <v>356</v>
      </c>
      <c r="B70" s="6" t="s">
        <v>357</v>
      </c>
      <c r="C70" s="6"/>
      <c r="D70" s="6" t="s">
        <v>39</v>
      </c>
      <c r="E70" s="6" t="s">
        <v>99</v>
      </c>
      <c r="F70" s="6" t="s">
        <v>100</v>
      </c>
      <c r="G70" s="6" t="s">
        <v>124</v>
      </c>
      <c r="H70" s="6" t="s">
        <v>101</v>
      </c>
      <c r="I70" s="6" t="s">
        <v>102</v>
      </c>
      <c r="J70" s="13" t="n">
        <f aca="false">4*K70+4*(L70-N70)+9*M70+2*N70</f>
        <v>17.9</v>
      </c>
      <c r="K70" s="14" t="n">
        <v>1.5</v>
      </c>
      <c r="L70" s="14" t="n">
        <v>3</v>
      </c>
      <c r="M70" s="14" t="n">
        <v>0.1</v>
      </c>
      <c r="N70" s="14" t="n">
        <v>0.5</v>
      </c>
      <c r="O70" s="14" t="n">
        <v>0.5</v>
      </c>
      <c r="P70" s="15" t="n">
        <v>10</v>
      </c>
      <c r="Q70" s="16" t="n">
        <v>30</v>
      </c>
      <c r="R70" s="16" t="n">
        <v>60</v>
      </c>
      <c r="S70" s="16" t="n">
        <v>100</v>
      </c>
      <c r="T70" s="6"/>
      <c r="U70" s="6"/>
      <c r="V70" s="13" t="n">
        <f aca="false">IF(Q70="","",J70*Q70/100)</f>
        <v>5.37</v>
      </c>
      <c r="W70" s="13" t="n">
        <f aca="false">IF(R70="","",J70*R70/100)</f>
        <v>10.74</v>
      </c>
      <c r="X70" s="13" t="n">
        <f aca="false">IF(S70="","",J70*S70/100)</f>
        <v>17.9</v>
      </c>
      <c r="Y70" s="13" t="str">
        <f aca="false">IF(T70="","",J70*T70/100)</f>
        <v/>
      </c>
      <c r="Z70" s="13" t="str">
        <f aca="false">IF(U70="","",J70*U70/100)</f>
        <v/>
      </c>
      <c r="AA70" s="6" t="s">
        <v>125</v>
      </c>
      <c r="AB70" s="6" t="s">
        <v>126</v>
      </c>
      <c r="AC70" s="6"/>
      <c r="AD70" s="13" t="str">
        <f aca="false">IF(AC70="","",IFERROR(INDEX('INDB Full Nutrients'!$D:$D,MATCH(AC70,'INDB Full Nutrients'!$A:$A,0)),""))</f>
        <v/>
      </c>
      <c r="AE70" s="6"/>
      <c r="AF70" s="6"/>
    </row>
    <row r="71" customFormat="false" ht="15" hidden="false" customHeight="false" outlineLevel="0" collapsed="false">
      <c r="A71" s="6" t="s">
        <v>358</v>
      </c>
      <c r="B71" s="6" t="s">
        <v>359</v>
      </c>
      <c r="C71" s="6" t="s">
        <v>360</v>
      </c>
      <c r="D71" s="6" t="s">
        <v>39</v>
      </c>
      <c r="E71" s="6" t="s">
        <v>99</v>
      </c>
      <c r="F71" s="6" t="s">
        <v>100</v>
      </c>
      <c r="G71" s="6" t="s">
        <v>124</v>
      </c>
      <c r="H71" s="6" t="s">
        <v>101</v>
      </c>
      <c r="I71" s="6" t="s">
        <v>102</v>
      </c>
      <c r="J71" s="13" t="n">
        <f aca="false">4*K71+4*(L71-N71)+9*M71+2*N71</f>
        <v>26.1</v>
      </c>
      <c r="K71" s="14" t="n">
        <v>0.6</v>
      </c>
      <c r="L71" s="14" t="n">
        <v>6</v>
      </c>
      <c r="M71" s="14" t="n">
        <v>0.1</v>
      </c>
      <c r="N71" s="14" t="n">
        <v>0.6</v>
      </c>
      <c r="O71" s="14" t="n">
        <v>4.5</v>
      </c>
      <c r="P71" s="15" t="n">
        <v>25</v>
      </c>
      <c r="Q71" s="16" t="n">
        <v>200</v>
      </c>
      <c r="R71" s="16" t="n">
        <v>300</v>
      </c>
      <c r="S71" s="16" t="n">
        <v>400</v>
      </c>
      <c r="T71" s="6"/>
      <c r="U71" s="6"/>
      <c r="V71" s="13" t="n">
        <f aca="false">IF(Q71="","",J71*Q71/100)</f>
        <v>52.2</v>
      </c>
      <c r="W71" s="13" t="n">
        <f aca="false">IF(R71="","",J71*R71/100)</f>
        <v>78.3</v>
      </c>
      <c r="X71" s="13" t="n">
        <f aca="false">IF(S71="","",J71*S71/100)</f>
        <v>104.4</v>
      </c>
      <c r="Y71" s="13" t="str">
        <f aca="false">IF(T71="","",J71*T71/100)</f>
        <v/>
      </c>
      <c r="Z71" s="13" t="str">
        <f aca="false">IF(U71="","",J71*U71/100)</f>
        <v/>
      </c>
      <c r="AA71" s="6" t="s">
        <v>125</v>
      </c>
      <c r="AB71" s="6" t="s">
        <v>126</v>
      </c>
      <c r="AC71" s="6"/>
      <c r="AD71" s="13" t="str">
        <f aca="false">IF(AC71="","",IFERROR(INDEX('INDB Full Nutrients'!$D:$D,MATCH(AC71,'INDB Full Nutrients'!$A:$A,0)),""))</f>
        <v/>
      </c>
      <c r="AE71" s="6"/>
      <c r="AF71" s="6"/>
    </row>
    <row r="72" customFormat="false" ht="15" hidden="false" customHeight="false" outlineLevel="0" collapsed="false">
      <c r="A72" s="6" t="s">
        <v>361</v>
      </c>
      <c r="B72" s="6" t="s">
        <v>362</v>
      </c>
      <c r="C72" s="6"/>
      <c r="D72" s="6" t="s">
        <v>39</v>
      </c>
      <c r="E72" s="6" t="s">
        <v>99</v>
      </c>
      <c r="F72" s="6" t="s">
        <v>100</v>
      </c>
      <c r="G72" s="6" t="s">
        <v>124</v>
      </c>
      <c r="H72" s="6" t="s">
        <v>101</v>
      </c>
      <c r="I72" s="6" t="s">
        <v>102</v>
      </c>
      <c r="J72" s="13" t="n">
        <f aca="false">4*K72+4*(L72-N72)+9*M72+2*N72</f>
        <v>20.9</v>
      </c>
      <c r="K72" s="14" t="n">
        <v>0.8</v>
      </c>
      <c r="L72" s="14" t="n">
        <v>4.5</v>
      </c>
      <c r="M72" s="14" t="n">
        <v>0.1</v>
      </c>
      <c r="N72" s="14" t="n">
        <v>0.6</v>
      </c>
      <c r="O72" s="14" t="n">
        <v>2.8</v>
      </c>
      <c r="P72" s="15" t="n">
        <v>150</v>
      </c>
      <c r="Q72" s="16" t="n">
        <v>200</v>
      </c>
      <c r="R72" s="16" t="n">
        <v>300</v>
      </c>
      <c r="S72" s="16" t="n">
        <v>400</v>
      </c>
      <c r="T72" s="6"/>
      <c r="U72" s="6"/>
      <c r="V72" s="13" t="n">
        <f aca="false">IF(Q72="","",J72*Q72/100)</f>
        <v>41.8</v>
      </c>
      <c r="W72" s="13" t="n">
        <f aca="false">IF(R72="","",J72*R72/100)</f>
        <v>62.7</v>
      </c>
      <c r="X72" s="13" t="n">
        <f aca="false">IF(S72="","",J72*S72/100)</f>
        <v>83.6</v>
      </c>
      <c r="Y72" s="13" t="str">
        <f aca="false">IF(T72="","",J72*T72/100)</f>
        <v/>
      </c>
      <c r="Z72" s="13" t="str">
        <f aca="false">IF(U72="","",J72*U72/100)</f>
        <v/>
      </c>
      <c r="AA72" s="6" t="s">
        <v>125</v>
      </c>
      <c r="AB72" s="6" t="s">
        <v>126</v>
      </c>
      <c r="AC72" s="6"/>
      <c r="AD72" s="13" t="str">
        <f aca="false">IF(AC72="","",IFERROR(INDEX('INDB Full Nutrients'!$D:$D,MATCH(AC72,'INDB Full Nutrients'!$A:$A,0)),""))</f>
        <v/>
      </c>
      <c r="AE72" s="6"/>
      <c r="AF72" s="6" t="s">
        <v>363</v>
      </c>
    </row>
    <row r="73" customFormat="false" ht="15" hidden="false" customHeight="false" outlineLevel="0" collapsed="false">
      <c r="A73" s="6" t="s">
        <v>364</v>
      </c>
      <c r="B73" s="6" t="s">
        <v>365</v>
      </c>
      <c r="C73" s="6" t="s">
        <v>366</v>
      </c>
      <c r="D73" s="6" t="s">
        <v>40</v>
      </c>
      <c r="E73" s="6" t="s">
        <v>161</v>
      </c>
      <c r="F73" s="6" t="s">
        <v>100</v>
      </c>
      <c r="G73" s="6"/>
      <c r="H73" s="6" t="s">
        <v>101</v>
      </c>
      <c r="I73" s="6" t="s">
        <v>102</v>
      </c>
      <c r="J73" s="13" t="n">
        <f aca="false">4*K73+4*(L73-N73)+9*M73+2*N73</f>
        <v>86.4</v>
      </c>
      <c r="K73" s="14" t="n">
        <v>2.8</v>
      </c>
      <c r="L73" s="14" t="n">
        <v>12.5</v>
      </c>
      <c r="M73" s="14" t="n">
        <v>2.8</v>
      </c>
      <c r="N73" s="14" t="n">
        <v>0</v>
      </c>
      <c r="O73" s="14" t="n">
        <v>12</v>
      </c>
      <c r="P73" s="15" t="n">
        <v>40</v>
      </c>
      <c r="Q73" s="16" t="n">
        <v>200</v>
      </c>
      <c r="R73" s="16" t="n">
        <v>300</v>
      </c>
      <c r="S73" s="16" t="n">
        <v>400</v>
      </c>
      <c r="T73" s="6"/>
      <c r="U73" s="6"/>
      <c r="V73" s="13" t="n">
        <f aca="false">IF(Q73="","",J73*Q73/100)</f>
        <v>172.8</v>
      </c>
      <c r="W73" s="13" t="n">
        <f aca="false">IF(R73="","",J73*R73/100)</f>
        <v>259.2</v>
      </c>
      <c r="X73" s="13" t="n">
        <f aca="false">IF(S73="","",J73*S73/100)</f>
        <v>345.6</v>
      </c>
      <c r="Y73" s="13" t="str">
        <f aca="false">IF(T73="","",J73*T73/100)</f>
        <v/>
      </c>
      <c r="Z73" s="13" t="str">
        <f aca="false">IF(U73="","",J73*U73/100)</f>
        <v/>
      </c>
      <c r="AA73" s="6" t="s">
        <v>103</v>
      </c>
      <c r="AB73" s="6" t="s">
        <v>104</v>
      </c>
      <c r="AC73" s="6" t="s">
        <v>367</v>
      </c>
      <c r="AD73" s="13" t="n">
        <f aca="false">IF(AC73="","",IFERROR(INDEX('INDB Full Nutrients'!$D:$D,MATCH(AC73,'INDB Full Nutrients'!$A:$A,0)),""))</f>
        <v>35.661018371582</v>
      </c>
      <c r="AE73" s="6" t="s">
        <v>368</v>
      </c>
      <c r="AF73" s="6" t="s">
        <v>369</v>
      </c>
    </row>
    <row r="74" customFormat="false" ht="15" hidden="false" customHeight="false" outlineLevel="0" collapsed="false">
      <c r="A74" s="6" t="s">
        <v>370</v>
      </c>
      <c r="B74" s="6" t="s">
        <v>371</v>
      </c>
      <c r="C74" s="6" t="s">
        <v>372</v>
      </c>
      <c r="D74" s="6" t="s">
        <v>40</v>
      </c>
      <c r="E74" s="6" t="s">
        <v>161</v>
      </c>
      <c r="F74" s="6" t="s">
        <v>100</v>
      </c>
      <c r="G74" s="6"/>
      <c r="H74" s="6" t="s">
        <v>101</v>
      </c>
      <c r="I74" s="6" t="s">
        <v>102</v>
      </c>
      <c r="J74" s="13" t="n">
        <f aca="false">4*K74+4*(L74-N74)+9*M74+2*N74</f>
        <v>35.6</v>
      </c>
      <c r="K74" s="14" t="n">
        <v>2</v>
      </c>
      <c r="L74" s="14" t="n">
        <v>2.4</v>
      </c>
      <c r="M74" s="14" t="n">
        <v>2</v>
      </c>
      <c r="N74" s="14" t="n">
        <v>0</v>
      </c>
      <c r="O74" s="14" t="n">
        <v>2.4</v>
      </c>
      <c r="P74" s="15" t="n">
        <v>230</v>
      </c>
      <c r="Q74" s="16" t="n">
        <v>200</v>
      </c>
      <c r="R74" s="16" t="n">
        <v>300</v>
      </c>
      <c r="S74" s="16" t="n">
        <v>400</v>
      </c>
      <c r="T74" s="6"/>
      <c r="U74" s="6"/>
      <c r="V74" s="13" t="n">
        <f aca="false">IF(Q74="","",J74*Q74/100)</f>
        <v>71.2</v>
      </c>
      <c r="W74" s="13" t="n">
        <f aca="false">IF(R74="","",J74*R74/100)</f>
        <v>106.8</v>
      </c>
      <c r="X74" s="13" t="n">
        <f aca="false">IF(S74="","",J74*S74/100)</f>
        <v>142.4</v>
      </c>
      <c r="Y74" s="13" t="str">
        <f aca="false">IF(T74="","",J74*T74/100)</f>
        <v/>
      </c>
      <c r="Z74" s="13" t="str">
        <f aca="false">IF(U74="","",J74*U74/100)</f>
        <v/>
      </c>
      <c r="AA74" s="6" t="s">
        <v>103</v>
      </c>
      <c r="AB74" s="6" t="s">
        <v>104</v>
      </c>
      <c r="AC74" s="6" t="s">
        <v>373</v>
      </c>
      <c r="AD74" s="13" t="n">
        <f aca="false">IF(AC74="","",IFERROR(INDEX('INDB Full Nutrients'!$D:$D,MATCH(AC74,'INDB Full Nutrients'!$A:$A,0)),""))</f>
        <v>18.8449420928955</v>
      </c>
      <c r="AE74" s="6" t="s">
        <v>374</v>
      </c>
      <c r="AF74" s="6" t="s">
        <v>375</v>
      </c>
    </row>
    <row r="75" customFormat="false" ht="15" hidden="false" customHeight="false" outlineLevel="0" collapsed="false">
      <c r="A75" s="6" t="s">
        <v>376</v>
      </c>
      <c r="B75" s="6" t="s">
        <v>377</v>
      </c>
      <c r="C75" s="6"/>
      <c r="D75" s="6" t="s">
        <v>40</v>
      </c>
      <c r="E75" s="6" t="s">
        <v>161</v>
      </c>
      <c r="F75" s="6" t="s">
        <v>100</v>
      </c>
      <c r="G75" s="6"/>
      <c r="H75" s="6" t="s">
        <v>101</v>
      </c>
      <c r="I75" s="6" t="s">
        <v>102</v>
      </c>
      <c r="J75" s="13" t="n">
        <f aca="false">4*K75+4*(L75-N75)+9*M75+2*N75</f>
        <v>94.1</v>
      </c>
      <c r="K75" s="14" t="n">
        <v>2.6</v>
      </c>
      <c r="L75" s="14" t="n">
        <v>15.5</v>
      </c>
      <c r="M75" s="14" t="n">
        <v>2.5</v>
      </c>
      <c r="N75" s="14" t="n">
        <v>0.4</v>
      </c>
      <c r="O75" s="14" t="n">
        <v>14.5</v>
      </c>
      <c r="P75" s="15" t="n">
        <v>38</v>
      </c>
      <c r="Q75" s="16" t="n">
        <v>200</v>
      </c>
      <c r="R75" s="16" t="n">
        <v>300</v>
      </c>
      <c r="S75" s="16" t="n">
        <v>400</v>
      </c>
      <c r="T75" s="6"/>
      <c r="U75" s="6"/>
      <c r="V75" s="13" t="n">
        <f aca="false">IF(Q75="","",J75*Q75/100)</f>
        <v>188.2</v>
      </c>
      <c r="W75" s="13" t="n">
        <f aca="false">IF(R75="","",J75*R75/100)</f>
        <v>282.3</v>
      </c>
      <c r="X75" s="13" t="n">
        <f aca="false">IF(S75="","",J75*S75/100)</f>
        <v>376.4</v>
      </c>
      <c r="Y75" s="13" t="str">
        <f aca="false">IF(T75="","",J75*T75/100)</f>
        <v/>
      </c>
      <c r="Z75" s="13" t="str">
        <f aca="false">IF(U75="","",J75*U75/100)</f>
        <v/>
      </c>
      <c r="AA75" s="6" t="s">
        <v>103</v>
      </c>
      <c r="AB75" s="6" t="s">
        <v>104</v>
      </c>
      <c r="AC75" s="6"/>
      <c r="AD75" s="13" t="str">
        <f aca="false">IF(AC75="","",IFERROR(INDEX('INDB Full Nutrients'!$D:$D,MATCH(AC75,'INDB Full Nutrients'!$A:$A,0)),""))</f>
        <v/>
      </c>
      <c r="AE75" s="6"/>
      <c r="AF75" s="6"/>
    </row>
    <row r="76" customFormat="false" ht="15" hidden="false" customHeight="false" outlineLevel="0" collapsed="false">
      <c r="A76" s="6" t="s">
        <v>378</v>
      </c>
      <c r="B76" s="6" t="s">
        <v>379</v>
      </c>
      <c r="C76" s="6" t="s">
        <v>380</v>
      </c>
      <c r="D76" s="6" t="s">
        <v>40</v>
      </c>
      <c r="E76" s="6" t="s">
        <v>161</v>
      </c>
      <c r="F76" s="6" t="s">
        <v>100</v>
      </c>
      <c r="G76" s="6"/>
      <c r="H76" s="6" t="s">
        <v>101</v>
      </c>
      <c r="I76" s="6" t="s">
        <v>102</v>
      </c>
      <c r="J76" s="13" t="n">
        <f aca="false">4*K76+4*(L76-N76)+9*M76+2*N76</f>
        <v>89.1</v>
      </c>
      <c r="K76" s="14" t="n">
        <v>2.7</v>
      </c>
      <c r="L76" s="14" t="n">
        <v>13.5</v>
      </c>
      <c r="M76" s="14" t="n">
        <v>2.7</v>
      </c>
      <c r="N76" s="14" t="n">
        <v>0</v>
      </c>
      <c r="O76" s="14" t="n">
        <v>13</v>
      </c>
      <c r="P76" s="15" t="n">
        <v>40</v>
      </c>
      <c r="Q76" s="16" t="n">
        <v>200</v>
      </c>
      <c r="R76" s="16" t="n">
        <v>300</v>
      </c>
      <c r="S76" s="16" t="n">
        <v>400</v>
      </c>
      <c r="T76" s="6"/>
      <c r="U76" s="6"/>
      <c r="V76" s="13" t="n">
        <f aca="false">IF(Q76="","",J76*Q76/100)</f>
        <v>178.2</v>
      </c>
      <c r="W76" s="13" t="n">
        <f aca="false">IF(R76="","",J76*R76/100)</f>
        <v>267.3</v>
      </c>
      <c r="X76" s="13" t="n">
        <f aca="false">IF(S76="","",J76*S76/100)</f>
        <v>356.4</v>
      </c>
      <c r="Y76" s="13" t="str">
        <f aca="false">IF(T76="","",J76*T76/100)</f>
        <v/>
      </c>
      <c r="Z76" s="13" t="str">
        <f aca="false">IF(U76="","",J76*U76/100)</f>
        <v/>
      </c>
      <c r="AA76" s="6" t="s">
        <v>103</v>
      </c>
      <c r="AB76" s="6" t="s">
        <v>104</v>
      </c>
      <c r="AC76" s="6"/>
      <c r="AD76" s="13" t="str">
        <f aca="false">IF(AC76="","",IFERROR(INDEX('INDB Full Nutrients'!$D:$D,MATCH(AC76,'INDB Full Nutrients'!$A:$A,0)),""))</f>
        <v/>
      </c>
      <c r="AE76" s="6"/>
      <c r="AF76" s="6"/>
    </row>
    <row r="77" customFormat="false" ht="15" hidden="false" customHeight="false" outlineLevel="0" collapsed="false">
      <c r="A77" s="6" t="s">
        <v>381</v>
      </c>
      <c r="B77" s="6" t="s">
        <v>382</v>
      </c>
      <c r="C77" s="6"/>
      <c r="D77" s="6" t="s">
        <v>40</v>
      </c>
      <c r="E77" s="6" t="s">
        <v>161</v>
      </c>
      <c r="F77" s="6" t="s">
        <v>100</v>
      </c>
      <c r="G77" s="6"/>
      <c r="H77" s="6" t="s">
        <v>101</v>
      </c>
      <c r="I77" s="6" t="s">
        <v>102</v>
      </c>
      <c r="J77" s="13" t="n">
        <f aca="false">4*K77+4*(L77-N77)+9*M77+2*N77</f>
        <v>91</v>
      </c>
      <c r="K77" s="14" t="n">
        <v>2.6</v>
      </c>
      <c r="L77" s="14" t="n">
        <v>15</v>
      </c>
      <c r="M77" s="14" t="n">
        <v>2.4</v>
      </c>
      <c r="N77" s="14" t="n">
        <v>0.5</v>
      </c>
      <c r="O77" s="14" t="n">
        <v>12.5</v>
      </c>
      <c r="P77" s="15" t="n">
        <v>38</v>
      </c>
      <c r="Q77" s="16" t="n">
        <v>200</v>
      </c>
      <c r="R77" s="16" t="n">
        <v>300</v>
      </c>
      <c r="S77" s="16" t="n">
        <v>400</v>
      </c>
      <c r="T77" s="6"/>
      <c r="U77" s="6"/>
      <c r="V77" s="13" t="n">
        <f aca="false">IF(Q77="","",J77*Q77/100)</f>
        <v>182</v>
      </c>
      <c r="W77" s="13" t="n">
        <f aca="false">IF(R77="","",J77*R77/100)</f>
        <v>273</v>
      </c>
      <c r="X77" s="13" t="n">
        <f aca="false">IF(S77="","",J77*S77/100)</f>
        <v>364</v>
      </c>
      <c r="Y77" s="13" t="str">
        <f aca="false">IF(T77="","",J77*T77/100)</f>
        <v/>
      </c>
      <c r="Z77" s="13" t="str">
        <f aca="false">IF(U77="","",J77*U77/100)</f>
        <v/>
      </c>
      <c r="AA77" s="6" t="s">
        <v>103</v>
      </c>
      <c r="AB77" s="6" t="s">
        <v>104</v>
      </c>
      <c r="AC77" s="6"/>
      <c r="AD77" s="13" t="str">
        <f aca="false">IF(AC77="","",IFERROR(INDEX('INDB Full Nutrients'!$D:$D,MATCH(AC77,'INDB Full Nutrients'!$A:$A,0)),""))</f>
        <v/>
      </c>
      <c r="AE77" s="6"/>
      <c r="AF77" s="6"/>
    </row>
    <row r="78" customFormat="false" ht="15" hidden="false" customHeight="false" outlineLevel="0" collapsed="false">
      <c r="A78" s="6" t="s">
        <v>383</v>
      </c>
      <c r="B78" s="6" t="s">
        <v>384</v>
      </c>
      <c r="C78" s="6" t="s">
        <v>385</v>
      </c>
      <c r="D78" s="6" t="s">
        <v>40</v>
      </c>
      <c r="E78" s="6" t="s">
        <v>161</v>
      </c>
      <c r="F78" s="6" t="s">
        <v>100</v>
      </c>
      <c r="G78" s="6"/>
      <c r="H78" s="6" t="s">
        <v>101</v>
      </c>
      <c r="I78" s="6" t="s">
        <v>102</v>
      </c>
      <c r="J78" s="13" t="n">
        <f aca="false">4*K78+4*(L78-N78)+9*M78+2*N78</f>
        <v>119.5</v>
      </c>
      <c r="K78" s="14" t="n">
        <v>3</v>
      </c>
      <c r="L78" s="14" t="n">
        <v>14.5</v>
      </c>
      <c r="M78" s="14" t="n">
        <v>5.5</v>
      </c>
      <c r="N78" s="14" t="n">
        <v>0</v>
      </c>
      <c r="O78" s="14" t="n">
        <v>14</v>
      </c>
      <c r="P78" s="15" t="n">
        <v>42</v>
      </c>
      <c r="Q78" s="16" t="n">
        <v>200</v>
      </c>
      <c r="R78" s="16" t="n">
        <v>300</v>
      </c>
      <c r="S78" s="16" t="n">
        <v>400</v>
      </c>
      <c r="T78" s="6"/>
      <c r="U78" s="6"/>
      <c r="V78" s="13" t="n">
        <f aca="false">IF(Q78="","",J78*Q78/100)</f>
        <v>239</v>
      </c>
      <c r="W78" s="13" t="n">
        <f aca="false">IF(R78="","",J78*R78/100)</f>
        <v>358.5</v>
      </c>
      <c r="X78" s="13" t="n">
        <f aca="false">IF(S78="","",J78*S78/100)</f>
        <v>478</v>
      </c>
      <c r="Y78" s="13" t="str">
        <f aca="false">IF(T78="","",J78*T78/100)</f>
        <v/>
      </c>
      <c r="Z78" s="13" t="str">
        <f aca="false">IF(U78="","",J78*U78/100)</f>
        <v/>
      </c>
      <c r="AA78" s="6" t="s">
        <v>103</v>
      </c>
      <c r="AB78" s="6" t="s">
        <v>104</v>
      </c>
      <c r="AC78" s="6"/>
      <c r="AD78" s="13" t="str">
        <f aca="false">IF(AC78="","",IFERROR(INDEX('INDB Full Nutrients'!$D:$D,MATCH(AC78,'INDB Full Nutrients'!$A:$A,0)),""))</f>
        <v/>
      </c>
      <c r="AE78" s="6"/>
      <c r="AF78" s="6" t="s">
        <v>386</v>
      </c>
    </row>
    <row r="79" customFormat="false" ht="15" hidden="false" customHeight="false" outlineLevel="0" collapsed="false">
      <c r="A79" s="6" t="s">
        <v>387</v>
      </c>
      <c r="B79" s="6" t="s">
        <v>388</v>
      </c>
      <c r="C79" s="6"/>
      <c r="D79" s="6" t="s">
        <v>40</v>
      </c>
      <c r="E79" s="6" t="s">
        <v>161</v>
      </c>
      <c r="F79" s="6" t="s">
        <v>100</v>
      </c>
      <c r="G79" s="6"/>
      <c r="H79" s="6" t="s">
        <v>101</v>
      </c>
      <c r="I79" s="6" t="s">
        <v>102</v>
      </c>
      <c r="J79" s="13" t="n">
        <f aca="false">4*K79+4*(L79-N79)+9*M79+2*N79</f>
        <v>112.3</v>
      </c>
      <c r="K79" s="14" t="n">
        <v>3.2</v>
      </c>
      <c r="L79" s="14" t="n">
        <v>15</v>
      </c>
      <c r="M79" s="14" t="n">
        <v>4.5</v>
      </c>
      <c r="N79" s="14" t="n">
        <v>0.5</v>
      </c>
      <c r="O79" s="14" t="n">
        <v>13.5</v>
      </c>
      <c r="P79" s="15" t="n">
        <v>40</v>
      </c>
      <c r="Q79" s="16" t="n">
        <v>200</v>
      </c>
      <c r="R79" s="16" t="n">
        <v>300</v>
      </c>
      <c r="S79" s="16" t="n">
        <v>400</v>
      </c>
      <c r="T79" s="6"/>
      <c r="U79" s="6"/>
      <c r="V79" s="13" t="n">
        <f aca="false">IF(Q79="","",J79*Q79/100)</f>
        <v>224.6</v>
      </c>
      <c r="W79" s="13" t="n">
        <f aca="false">IF(R79="","",J79*R79/100)</f>
        <v>336.9</v>
      </c>
      <c r="X79" s="13" t="n">
        <f aca="false">IF(S79="","",J79*S79/100)</f>
        <v>449.2</v>
      </c>
      <c r="Y79" s="13" t="str">
        <f aca="false">IF(T79="","",J79*T79/100)</f>
        <v/>
      </c>
      <c r="Z79" s="13" t="str">
        <f aca="false">IF(U79="","",J79*U79/100)</f>
        <v/>
      </c>
      <c r="AA79" s="6" t="s">
        <v>103</v>
      </c>
      <c r="AB79" s="6" t="s">
        <v>104</v>
      </c>
      <c r="AC79" s="6"/>
      <c r="AD79" s="13" t="str">
        <f aca="false">IF(AC79="","",IFERROR(INDEX('INDB Full Nutrients'!$D:$D,MATCH(AC79,'INDB Full Nutrients'!$A:$A,0)),""))</f>
        <v/>
      </c>
      <c r="AE79" s="6"/>
      <c r="AF79" s="6"/>
    </row>
    <row r="80" customFormat="false" ht="15" hidden="false" customHeight="false" outlineLevel="0" collapsed="false">
      <c r="A80" s="6" t="s">
        <v>389</v>
      </c>
      <c r="B80" s="6" t="s">
        <v>390</v>
      </c>
      <c r="C80" s="6" t="s">
        <v>391</v>
      </c>
      <c r="D80" s="6" t="s">
        <v>40</v>
      </c>
      <c r="E80" s="6" t="s">
        <v>99</v>
      </c>
      <c r="F80" s="6" t="s">
        <v>100</v>
      </c>
      <c r="G80" s="6"/>
      <c r="H80" s="6" t="s">
        <v>101</v>
      </c>
      <c r="I80" s="6" t="s">
        <v>102</v>
      </c>
      <c r="J80" s="13" t="n">
        <f aca="false">4*K80+4*(L80-N80)+9*M80+2*N80</f>
        <v>16</v>
      </c>
      <c r="K80" s="14" t="n">
        <v>0.9</v>
      </c>
      <c r="L80" s="14" t="n">
        <v>1.3</v>
      </c>
      <c r="M80" s="14" t="n">
        <v>0.8</v>
      </c>
      <c r="N80" s="14" t="n">
        <v>0</v>
      </c>
      <c r="O80" s="14" t="n">
        <v>1.3</v>
      </c>
      <c r="P80" s="15" t="n">
        <v>200</v>
      </c>
      <c r="Q80" s="16" t="n">
        <v>150</v>
      </c>
      <c r="R80" s="16" t="n">
        <v>250</v>
      </c>
      <c r="S80" s="16" t="n">
        <v>350</v>
      </c>
      <c r="T80" s="6"/>
      <c r="U80" s="6"/>
      <c r="V80" s="13" t="n">
        <f aca="false">IF(Q80="","",J80*Q80/100)</f>
        <v>24</v>
      </c>
      <c r="W80" s="13" t="n">
        <f aca="false">IF(R80="","",J80*R80/100)</f>
        <v>40</v>
      </c>
      <c r="X80" s="13" t="n">
        <f aca="false">IF(S80="","",J80*S80/100)</f>
        <v>56</v>
      </c>
      <c r="Y80" s="13" t="str">
        <f aca="false">IF(T80="","",J80*T80/100)</f>
        <v/>
      </c>
      <c r="Z80" s="13" t="str">
        <f aca="false">IF(U80="","",J80*U80/100)</f>
        <v/>
      </c>
      <c r="AA80" s="6" t="s">
        <v>103</v>
      </c>
      <c r="AB80" s="6" t="s">
        <v>104</v>
      </c>
      <c r="AC80" s="6"/>
      <c r="AD80" s="13" t="str">
        <f aca="false">IF(AC80="","",IFERROR(INDEX('INDB Full Nutrients'!$D:$D,MATCH(AC80,'INDB Full Nutrients'!$A:$A,0)),""))</f>
        <v/>
      </c>
      <c r="AE80" s="6"/>
      <c r="AF80" s="6" t="s">
        <v>392</v>
      </c>
    </row>
    <row r="81" customFormat="false" ht="15" hidden="false" customHeight="false" outlineLevel="0" collapsed="false">
      <c r="A81" s="6" t="s">
        <v>393</v>
      </c>
      <c r="B81" s="6" t="s">
        <v>394</v>
      </c>
      <c r="C81" s="6" t="s">
        <v>395</v>
      </c>
      <c r="D81" s="6" t="s">
        <v>40</v>
      </c>
      <c r="E81" s="6" t="s">
        <v>114</v>
      </c>
      <c r="F81" s="6" t="s">
        <v>100</v>
      </c>
      <c r="G81" s="6"/>
      <c r="H81" s="6" t="s">
        <v>101</v>
      </c>
      <c r="I81" s="6" t="s">
        <v>102</v>
      </c>
      <c r="J81" s="13" t="n">
        <f aca="false">4*K81+4*(L81-N81)+9*M81+2*N81</f>
        <v>17</v>
      </c>
      <c r="K81" s="14" t="n">
        <v>0.9</v>
      </c>
      <c r="L81" s="14" t="n">
        <v>1.6</v>
      </c>
      <c r="M81" s="14" t="n">
        <v>0.8</v>
      </c>
      <c r="N81" s="14" t="n">
        <v>0.1</v>
      </c>
      <c r="O81" s="14" t="n">
        <v>1.2</v>
      </c>
      <c r="P81" s="15" t="n">
        <v>250</v>
      </c>
      <c r="Q81" s="16" t="n">
        <v>150</v>
      </c>
      <c r="R81" s="16" t="n">
        <v>250</v>
      </c>
      <c r="S81" s="16" t="n">
        <v>350</v>
      </c>
      <c r="T81" s="6"/>
      <c r="U81" s="6"/>
      <c r="V81" s="13" t="n">
        <f aca="false">IF(Q81="","",J81*Q81/100)</f>
        <v>25.5</v>
      </c>
      <c r="W81" s="13" t="n">
        <f aca="false">IF(R81="","",J81*R81/100)</f>
        <v>42.5</v>
      </c>
      <c r="X81" s="13" t="n">
        <f aca="false">IF(S81="","",J81*S81/100)</f>
        <v>59.5</v>
      </c>
      <c r="Y81" s="13" t="str">
        <f aca="false">IF(T81="","",J81*T81/100)</f>
        <v/>
      </c>
      <c r="Z81" s="13" t="str">
        <f aca="false">IF(U81="","",J81*U81/100)</f>
        <v/>
      </c>
      <c r="AA81" s="6" t="s">
        <v>103</v>
      </c>
      <c r="AB81" s="6" t="s">
        <v>104</v>
      </c>
      <c r="AC81" s="6"/>
      <c r="AD81" s="13" t="str">
        <f aca="false">IF(AC81="","",IFERROR(INDEX('INDB Full Nutrients'!$D:$D,MATCH(AC81,'INDB Full Nutrients'!$A:$A,0)),""))</f>
        <v/>
      </c>
      <c r="AE81" s="6"/>
      <c r="AF81" s="6" t="s">
        <v>396</v>
      </c>
    </row>
    <row r="82" customFormat="false" ht="15" hidden="false" customHeight="false" outlineLevel="0" collapsed="false">
      <c r="A82" s="6" t="s">
        <v>397</v>
      </c>
      <c r="B82" s="6" t="s">
        <v>398</v>
      </c>
      <c r="C82" s="6" t="s">
        <v>399</v>
      </c>
      <c r="D82" s="6" t="s">
        <v>40</v>
      </c>
      <c r="E82" s="6" t="s">
        <v>119</v>
      </c>
      <c r="F82" s="6" t="s">
        <v>100</v>
      </c>
      <c r="G82" s="6"/>
      <c r="H82" s="6" t="s">
        <v>101</v>
      </c>
      <c r="I82" s="6" t="s">
        <v>102</v>
      </c>
      <c r="J82" s="13" t="n">
        <f aca="false">4*K82+4*(L82-N82)+9*M82+2*N82</f>
        <v>12.4</v>
      </c>
      <c r="K82" s="14" t="n">
        <v>0.7</v>
      </c>
      <c r="L82" s="14" t="n">
        <v>1.1</v>
      </c>
      <c r="M82" s="14" t="n">
        <v>0.6</v>
      </c>
      <c r="N82" s="14" t="n">
        <v>0.1</v>
      </c>
      <c r="O82" s="14" t="n">
        <v>1</v>
      </c>
      <c r="P82" s="15" t="n">
        <v>220</v>
      </c>
      <c r="Q82" s="16" t="n">
        <v>150</v>
      </c>
      <c r="R82" s="16" t="n">
        <v>250</v>
      </c>
      <c r="S82" s="16" t="n">
        <v>350</v>
      </c>
      <c r="T82" s="6"/>
      <c r="U82" s="6"/>
      <c r="V82" s="13" t="n">
        <f aca="false">IF(Q82="","",J82*Q82/100)</f>
        <v>18.6</v>
      </c>
      <c r="W82" s="13" t="n">
        <f aca="false">IF(R82="","",J82*R82/100)</f>
        <v>31</v>
      </c>
      <c r="X82" s="13" t="n">
        <f aca="false">IF(S82="","",J82*S82/100)</f>
        <v>43.4</v>
      </c>
      <c r="Y82" s="13" t="str">
        <f aca="false">IF(T82="","",J82*T82/100)</f>
        <v/>
      </c>
      <c r="Z82" s="13" t="str">
        <f aca="false">IF(U82="","",J82*U82/100)</f>
        <v/>
      </c>
      <c r="AA82" s="6" t="s">
        <v>103</v>
      </c>
      <c r="AB82" s="6" t="s">
        <v>104</v>
      </c>
      <c r="AC82" s="6"/>
      <c r="AD82" s="13" t="str">
        <f aca="false">IF(AC82="","",IFERROR(INDEX('INDB Full Nutrients'!$D:$D,MATCH(AC82,'INDB Full Nutrients'!$A:$A,0)),""))</f>
        <v/>
      </c>
      <c r="AE82" s="6"/>
      <c r="AF82" s="6" t="s">
        <v>400</v>
      </c>
    </row>
    <row r="83" customFormat="false" ht="15" hidden="false" customHeight="false" outlineLevel="0" collapsed="false">
      <c r="A83" s="6" t="s">
        <v>401</v>
      </c>
      <c r="B83" s="6" t="s">
        <v>402</v>
      </c>
      <c r="C83" s="6" t="s">
        <v>403</v>
      </c>
      <c r="D83" s="6" t="s">
        <v>41</v>
      </c>
      <c r="E83" s="6" t="s">
        <v>99</v>
      </c>
      <c r="F83" s="6" t="s">
        <v>100</v>
      </c>
      <c r="G83" s="6"/>
      <c r="H83" s="6" t="s">
        <v>101</v>
      </c>
      <c r="I83" s="6" t="s">
        <v>102</v>
      </c>
      <c r="J83" s="13" t="n">
        <f aca="false">4*K83+4*(L83-N83)+9*M83+2*N83</f>
        <v>77.1</v>
      </c>
      <c r="K83" s="14" t="n">
        <v>2.5</v>
      </c>
      <c r="L83" s="14" t="n">
        <v>12.4</v>
      </c>
      <c r="M83" s="14" t="n">
        <v>2.1</v>
      </c>
      <c r="N83" s="14" t="n">
        <v>0.7</v>
      </c>
      <c r="O83" s="14" t="n">
        <v>9.4</v>
      </c>
      <c r="P83" s="15" t="n">
        <v>35</v>
      </c>
      <c r="Q83" s="16" t="n">
        <v>200</v>
      </c>
      <c r="R83" s="16" t="n">
        <v>300</v>
      </c>
      <c r="S83" s="16" t="n">
        <v>400</v>
      </c>
      <c r="T83" s="6"/>
      <c r="U83" s="6"/>
      <c r="V83" s="13" t="n">
        <f aca="false">IF(Q83="","",J83*Q83/100)</f>
        <v>154.2</v>
      </c>
      <c r="W83" s="13" t="n">
        <f aca="false">IF(R83="","",J83*R83/100)</f>
        <v>231.3</v>
      </c>
      <c r="X83" s="13" t="n">
        <f aca="false">IF(S83="","",J83*S83/100)</f>
        <v>308.4</v>
      </c>
      <c r="Y83" s="13" t="str">
        <f aca="false">IF(T83="","",J83*T83/100)</f>
        <v/>
      </c>
      <c r="Z83" s="13" t="str">
        <f aca="false">IF(U83="","",J83*U83/100)</f>
        <v/>
      </c>
      <c r="AA83" s="6" t="s">
        <v>125</v>
      </c>
      <c r="AB83" s="6" t="s">
        <v>147</v>
      </c>
      <c r="AC83" s="6" t="s">
        <v>404</v>
      </c>
      <c r="AD83" s="13" t="n">
        <f aca="false">IF(AC83="","",IFERROR(INDEX('INDB Full Nutrients'!$D:$D,MATCH(AC83,'INDB Full Nutrients'!$A:$A,0)),""))</f>
        <v>65.3064498901367</v>
      </c>
      <c r="AE83" s="6" t="s">
        <v>405</v>
      </c>
      <c r="AF83" s="6" t="s">
        <v>406</v>
      </c>
    </row>
    <row r="84" customFormat="false" ht="15" hidden="false" customHeight="false" outlineLevel="0" collapsed="false">
      <c r="A84" s="6" t="s">
        <v>407</v>
      </c>
      <c r="B84" s="6" t="s">
        <v>408</v>
      </c>
      <c r="C84" s="6" t="s">
        <v>409</v>
      </c>
      <c r="D84" s="6" t="s">
        <v>41</v>
      </c>
      <c r="E84" s="6" t="s">
        <v>99</v>
      </c>
      <c r="F84" s="6" t="s">
        <v>100</v>
      </c>
      <c r="G84" s="6"/>
      <c r="H84" s="6" t="s">
        <v>101</v>
      </c>
      <c r="I84" s="6" t="s">
        <v>102</v>
      </c>
      <c r="J84" s="13" t="n">
        <f aca="false">4*K84+4*(L84-N84)+9*M84+2*N84</f>
        <v>73.5</v>
      </c>
      <c r="K84" s="14" t="n">
        <v>2.3</v>
      </c>
      <c r="L84" s="14" t="n">
        <v>11.6</v>
      </c>
      <c r="M84" s="14" t="n">
        <v>2.1</v>
      </c>
      <c r="N84" s="14" t="n">
        <v>0.5</v>
      </c>
      <c r="O84" s="14" t="n">
        <v>11.2</v>
      </c>
      <c r="P84" s="15" t="n">
        <v>35</v>
      </c>
      <c r="Q84" s="16" t="n">
        <v>200</v>
      </c>
      <c r="R84" s="16" t="n">
        <v>300</v>
      </c>
      <c r="S84" s="16" t="n">
        <v>400</v>
      </c>
      <c r="T84" s="6"/>
      <c r="U84" s="6"/>
      <c r="V84" s="13" t="n">
        <f aca="false">IF(Q84="","",J84*Q84/100)</f>
        <v>147</v>
      </c>
      <c r="W84" s="13" t="n">
        <f aca="false">IF(R84="","",J84*R84/100)</f>
        <v>220.5</v>
      </c>
      <c r="X84" s="13" t="n">
        <f aca="false">IF(S84="","",J84*S84/100)</f>
        <v>294</v>
      </c>
      <c r="Y84" s="13" t="str">
        <f aca="false">IF(T84="","",J84*T84/100)</f>
        <v/>
      </c>
      <c r="Z84" s="13" t="str">
        <f aca="false">IF(U84="","",J84*U84/100)</f>
        <v/>
      </c>
      <c r="AA84" s="6" t="s">
        <v>103</v>
      </c>
      <c r="AB84" s="6" t="s">
        <v>104</v>
      </c>
      <c r="AC84" s="6" t="s">
        <v>410</v>
      </c>
      <c r="AD84" s="13" t="n">
        <f aca="false">IF(AC84="","",IFERROR(INDEX('INDB Full Nutrients'!$D:$D,MATCH(AC84,'INDB Full Nutrients'!$A:$A,0)),""))</f>
        <v>56.901123046875</v>
      </c>
      <c r="AE84" s="6" t="s">
        <v>411</v>
      </c>
      <c r="AF84" s="6"/>
    </row>
    <row r="85" customFormat="false" ht="15" hidden="false" customHeight="false" outlineLevel="0" collapsed="false">
      <c r="A85" s="6" t="s">
        <v>412</v>
      </c>
      <c r="B85" s="6" t="s">
        <v>413</v>
      </c>
      <c r="C85" s="6" t="s">
        <v>414</v>
      </c>
      <c r="D85" s="6" t="s">
        <v>41</v>
      </c>
      <c r="E85" s="6" t="s">
        <v>99</v>
      </c>
      <c r="F85" s="6" t="s">
        <v>100</v>
      </c>
      <c r="G85" s="6"/>
      <c r="H85" s="6" t="s">
        <v>101</v>
      </c>
      <c r="I85" s="6" t="s">
        <v>102</v>
      </c>
      <c r="J85" s="13" t="n">
        <f aca="false">4*K85+4*(L85-N85)+9*M85+2*N85</f>
        <v>72.4</v>
      </c>
      <c r="K85" s="14" t="n">
        <v>2.3</v>
      </c>
      <c r="L85" s="14" t="n">
        <v>11.6</v>
      </c>
      <c r="M85" s="14" t="n">
        <v>2.2</v>
      </c>
      <c r="N85" s="14" t="n">
        <v>1.5</v>
      </c>
      <c r="O85" s="14" t="n">
        <v>9.9</v>
      </c>
      <c r="P85" s="15" t="n">
        <v>35</v>
      </c>
      <c r="Q85" s="16" t="n">
        <v>200</v>
      </c>
      <c r="R85" s="16" t="n">
        <v>300</v>
      </c>
      <c r="S85" s="16" t="n">
        <v>400</v>
      </c>
      <c r="T85" s="6"/>
      <c r="U85" s="6"/>
      <c r="V85" s="13" t="n">
        <f aca="false">IF(Q85="","",J85*Q85/100)</f>
        <v>144.8</v>
      </c>
      <c r="W85" s="13" t="n">
        <f aca="false">IF(R85="","",J85*R85/100)</f>
        <v>217.2</v>
      </c>
      <c r="X85" s="13" t="n">
        <f aca="false">IF(S85="","",J85*S85/100)</f>
        <v>289.6</v>
      </c>
      <c r="Y85" s="13" t="str">
        <f aca="false">IF(T85="","",J85*T85/100)</f>
        <v/>
      </c>
      <c r="Z85" s="13" t="str">
        <f aca="false">IF(U85="","",J85*U85/100)</f>
        <v/>
      </c>
      <c r="AA85" s="6" t="s">
        <v>103</v>
      </c>
      <c r="AB85" s="6" t="s">
        <v>104</v>
      </c>
      <c r="AC85" s="6"/>
      <c r="AD85" s="13" t="str">
        <f aca="false">IF(AC85="","",IFERROR(INDEX('INDB Full Nutrients'!$D:$D,MATCH(AC85,'INDB Full Nutrients'!$A:$A,0)),""))</f>
        <v/>
      </c>
      <c r="AE85" s="6"/>
      <c r="AF85" s="6"/>
    </row>
    <row r="86" customFormat="false" ht="15" hidden="false" customHeight="false" outlineLevel="0" collapsed="false">
      <c r="A86" s="6" t="s">
        <v>415</v>
      </c>
      <c r="B86" s="6" t="s">
        <v>416</v>
      </c>
      <c r="C86" s="6"/>
      <c r="D86" s="6" t="s">
        <v>41</v>
      </c>
      <c r="E86" s="6" t="s">
        <v>99</v>
      </c>
      <c r="F86" s="6" t="s">
        <v>100</v>
      </c>
      <c r="G86" s="6"/>
      <c r="H86" s="6" t="s">
        <v>101</v>
      </c>
      <c r="I86" s="6" t="s">
        <v>102</v>
      </c>
      <c r="J86" s="13" t="n">
        <f aca="false">4*K86+4*(L86-N86)+9*M86+2*N86</f>
        <v>71.7</v>
      </c>
      <c r="K86" s="14" t="n">
        <v>2.4</v>
      </c>
      <c r="L86" s="14" t="n">
        <v>11</v>
      </c>
      <c r="M86" s="14" t="n">
        <v>2.1</v>
      </c>
      <c r="N86" s="14" t="n">
        <v>0.4</v>
      </c>
      <c r="O86" s="14" t="n">
        <v>10.2</v>
      </c>
      <c r="P86" s="15" t="n">
        <v>35</v>
      </c>
      <c r="Q86" s="16" t="n">
        <v>200</v>
      </c>
      <c r="R86" s="16" t="n">
        <v>300</v>
      </c>
      <c r="S86" s="16" t="n">
        <v>400</v>
      </c>
      <c r="T86" s="6"/>
      <c r="U86" s="6"/>
      <c r="V86" s="13" t="n">
        <f aca="false">IF(Q86="","",J86*Q86/100)</f>
        <v>143.4</v>
      </c>
      <c r="W86" s="13" t="n">
        <f aca="false">IF(R86="","",J86*R86/100)</f>
        <v>215.1</v>
      </c>
      <c r="X86" s="13" t="n">
        <f aca="false">IF(S86="","",J86*S86/100)</f>
        <v>286.8</v>
      </c>
      <c r="Y86" s="13" t="str">
        <f aca="false">IF(T86="","",J86*T86/100)</f>
        <v/>
      </c>
      <c r="Z86" s="13" t="str">
        <f aca="false">IF(U86="","",J86*U86/100)</f>
        <v/>
      </c>
      <c r="AA86" s="6" t="s">
        <v>103</v>
      </c>
      <c r="AB86" s="6" t="s">
        <v>104</v>
      </c>
      <c r="AC86" s="6"/>
      <c r="AD86" s="13" t="str">
        <f aca="false">IF(AC86="","",IFERROR(INDEX('INDB Full Nutrients'!$D:$D,MATCH(AC86,'INDB Full Nutrients'!$A:$A,0)),""))</f>
        <v/>
      </c>
      <c r="AE86" s="6"/>
      <c r="AF86" s="6"/>
    </row>
    <row r="87" customFormat="false" ht="15" hidden="false" customHeight="false" outlineLevel="0" collapsed="false">
      <c r="A87" s="6" t="s">
        <v>417</v>
      </c>
      <c r="B87" s="6" t="s">
        <v>418</v>
      </c>
      <c r="C87" s="6"/>
      <c r="D87" s="6" t="s">
        <v>41</v>
      </c>
      <c r="E87" s="6" t="s">
        <v>99</v>
      </c>
      <c r="F87" s="6" t="s">
        <v>100</v>
      </c>
      <c r="G87" s="6"/>
      <c r="H87" s="6" t="s">
        <v>101</v>
      </c>
      <c r="I87" s="6" t="s">
        <v>102</v>
      </c>
      <c r="J87" s="13" t="n">
        <f aca="false">4*K87+4*(L87-N87)+9*M87+2*N87</f>
        <v>92</v>
      </c>
      <c r="K87" s="14" t="n">
        <v>3</v>
      </c>
      <c r="L87" s="14" t="n">
        <v>13.5</v>
      </c>
      <c r="M87" s="14" t="n">
        <v>3</v>
      </c>
      <c r="N87" s="14" t="n">
        <v>0.5</v>
      </c>
      <c r="O87" s="14" t="n">
        <v>12</v>
      </c>
      <c r="P87" s="15" t="n">
        <v>50</v>
      </c>
      <c r="Q87" s="16" t="n">
        <v>200</v>
      </c>
      <c r="R87" s="16" t="n">
        <v>300</v>
      </c>
      <c r="S87" s="16" t="n">
        <v>400</v>
      </c>
      <c r="T87" s="6"/>
      <c r="U87" s="6"/>
      <c r="V87" s="13" t="n">
        <f aca="false">IF(Q87="","",J87*Q87/100)</f>
        <v>184</v>
      </c>
      <c r="W87" s="13" t="n">
        <f aca="false">IF(R87="","",J87*R87/100)</f>
        <v>276</v>
      </c>
      <c r="X87" s="13" t="n">
        <f aca="false">IF(S87="","",J87*S87/100)</f>
        <v>368</v>
      </c>
      <c r="Y87" s="13" t="str">
        <f aca="false">IF(T87="","",J87*T87/100)</f>
        <v/>
      </c>
      <c r="Z87" s="13" t="str">
        <f aca="false">IF(U87="","",J87*U87/100)</f>
        <v/>
      </c>
      <c r="AA87" s="6" t="s">
        <v>103</v>
      </c>
      <c r="AB87" s="6" t="s">
        <v>104</v>
      </c>
      <c r="AC87" s="6"/>
      <c r="AD87" s="13" t="str">
        <f aca="false">IF(AC87="","",IFERROR(INDEX('INDB Full Nutrients'!$D:$D,MATCH(AC87,'INDB Full Nutrients'!$A:$A,0)),""))</f>
        <v/>
      </c>
      <c r="AE87" s="6"/>
      <c r="AF87" s="6"/>
    </row>
    <row r="88" customFormat="false" ht="15" hidden="false" customHeight="false" outlineLevel="0" collapsed="false">
      <c r="A88" s="6" t="s">
        <v>419</v>
      </c>
      <c r="B88" s="6" t="s">
        <v>420</v>
      </c>
      <c r="C88" s="6"/>
      <c r="D88" s="6" t="s">
        <v>41</v>
      </c>
      <c r="E88" s="6" t="s">
        <v>99</v>
      </c>
      <c r="F88" s="6" t="s">
        <v>100</v>
      </c>
      <c r="G88" s="6"/>
      <c r="H88" s="6" t="s">
        <v>101</v>
      </c>
      <c r="I88" s="6" t="s">
        <v>102</v>
      </c>
      <c r="J88" s="13" t="n">
        <f aca="false">4*K88+4*(L88-N88)+9*M88+2*N88</f>
        <v>85.1</v>
      </c>
      <c r="K88" s="14" t="n">
        <v>2.6</v>
      </c>
      <c r="L88" s="14" t="n">
        <v>14</v>
      </c>
      <c r="M88" s="14" t="n">
        <v>2.3</v>
      </c>
      <c r="N88" s="14" t="n">
        <v>1</v>
      </c>
      <c r="O88" s="14" t="n">
        <v>11</v>
      </c>
      <c r="P88" s="15" t="n">
        <v>35</v>
      </c>
      <c r="Q88" s="16" t="n">
        <v>200</v>
      </c>
      <c r="R88" s="16" t="n">
        <v>300</v>
      </c>
      <c r="S88" s="16" t="n">
        <v>400</v>
      </c>
      <c r="T88" s="6"/>
      <c r="U88" s="6"/>
      <c r="V88" s="13" t="n">
        <f aca="false">IF(Q88="","",J88*Q88/100)</f>
        <v>170.2</v>
      </c>
      <c r="W88" s="13" t="n">
        <f aca="false">IF(R88="","",J88*R88/100)</f>
        <v>255.3</v>
      </c>
      <c r="X88" s="13" t="n">
        <f aca="false">IF(S88="","",J88*S88/100)</f>
        <v>340.4</v>
      </c>
      <c r="Y88" s="13" t="str">
        <f aca="false">IF(T88="","",J88*T88/100)</f>
        <v/>
      </c>
      <c r="Z88" s="13" t="str">
        <f aca="false">IF(U88="","",J88*U88/100)</f>
        <v/>
      </c>
      <c r="AA88" s="6" t="s">
        <v>103</v>
      </c>
      <c r="AB88" s="6" t="s">
        <v>104</v>
      </c>
      <c r="AC88" s="6"/>
      <c r="AD88" s="13" t="str">
        <f aca="false">IF(AC88="","",IFERROR(INDEX('INDB Full Nutrients'!$D:$D,MATCH(AC88,'INDB Full Nutrients'!$A:$A,0)),""))</f>
        <v/>
      </c>
      <c r="AE88" s="6"/>
      <c r="AF88" s="6"/>
    </row>
    <row r="89" customFormat="false" ht="15" hidden="false" customHeight="false" outlineLevel="0" collapsed="false">
      <c r="A89" s="6" t="s">
        <v>421</v>
      </c>
      <c r="B89" s="6" t="s">
        <v>422</v>
      </c>
      <c r="C89" s="6"/>
      <c r="D89" s="6" t="s">
        <v>41</v>
      </c>
      <c r="E89" s="6" t="s">
        <v>99</v>
      </c>
      <c r="F89" s="6" t="s">
        <v>100</v>
      </c>
      <c r="G89" s="6"/>
      <c r="H89" s="6" t="s">
        <v>101</v>
      </c>
      <c r="I89" s="6" t="s">
        <v>102</v>
      </c>
      <c r="J89" s="13" t="n">
        <f aca="false">4*K89+4*(L89-N89)+9*M89+2*N89</f>
        <v>65.1</v>
      </c>
      <c r="K89" s="14" t="n">
        <v>2.3</v>
      </c>
      <c r="L89" s="14" t="n">
        <v>9.5</v>
      </c>
      <c r="M89" s="14" t="n">
        <v>2.1</v>
      </c>
      <c r="N89" s="14" t="n">
        <v>0.5</v>
      </c>
      <c r="O89" s="14" t="n">
        <v>8.5</v>
      </c>
      <c r="P89" s="15" t="n">
        <v>35</v>
      </c>
      <c r="Q89" s="16" t="n">
        <v>200</v>
      </c>
      <c r="R89" s="16" t="n">
        <v>300</v>
      </c>
      <c r="S89" s="16" t="n">
        <v>400</v>
      </c>
      <c r="T89" s="6"/>
      <c r="U89" s="6"/>
      <c r="V89" s="13" t="n">
        <f aca="false">IF(Q89="","",J89*Q89/100)</f>
        <v>130.2</v>
      </c>
      <c r="W89" s="13" t="n">
        <f aca="false">IF(R89="","",J89*R89/100)</f>
        <v>195.3</v>
      </c>
      <c r="X89" s="13" t="n">
        <f aca="false">IF(S89="","",J89*S89/100)</f>
        <v>260.4</v>
      </c>
      <c r="Y89" s="13" t="str">
        <f aca="false">IF(T89="","",J89*T89/100)</f>
        <v/>
      </c>
      <c r="Z89" s="13" t="str">
        <f aca="false">IF(U89="","",J89*U89/100)</f>
        <v/>
      </c>
      <c r="AA89" s="6" t="s">
        <v>103</v>
      </c>
      <c r="AB89" s="6" t="s">
        <v>104</v>
      </c>
      <c r="AC89" s="6"/>
      <c r="AD89" s="13" t="str">
        <f aca="false">IF(AC89="","",IFERROR(INDEX('INDB Full Nutrients'!$D:$D,MATCH(AC89,'INDB Full Nutrients'!$A:$A,0)),""))</f>
        <v/>
      </c>
      <c r="AE89" s="6"/>
      <c r="AF89" s="6"/>
    </row>
    <row r="90" customFormat="false" ht="15" hidden="false" customHeight="false" outlineLevel="0" collapsed="false">
      <c r="A90" s="6" t="s">
        <v>423</v>
      </c>
      <c r="B90" s="6" t="s">
        <v>424</v>
      </c>
      <c r="C90" s="6"/>
      <c r="D90" s="6" t="s">
        <v>41</v>
      </c>
      <c r="E90" s="6" t="s">
        <v>99</v>
      </c>
      <c r="F90" s="6" t="s">
        <v>100</v>
      </c>
      <c r="G90" s="6"/>
      <c r="H90" s="6" t="s">
        <v>101</v>
      </c>
      <c r="I90" s="6" t="s">
        <v>102</v>
      </c>
      <c r="J90" s="13" t="n">
        <f aca="false">4*K90+4*(L90-N90)+9*M90+2*N90</f>
        <v>110.6</v>
      </c>
      <c r="K90" s="14" t="n">
        <v>3.8</v>
      </c>
      <c r="L90" s="14" t="n">
        <v>13</v>
      </c>
      <c r="M90" s="14" t="n">
        <v>5</v>
      </c>
      <c r="N90" s="14" t="n">
        <v>0.8</v>
      </c>
      <c r="O90" s="14" t="n">
        <v>11</v>
      </c>
      <c r="P90" s="15" t="n">
        <v>40</v>
      </c>
      <c r="Q90" s="16" t="n">
        <v>200</v>
      </c>
      <c r="R90" s="16" t="n">
        <v>300</v>
      </c>
      <c r="S90" s="16" t="n">
        <v>400</v>
      </c>
      <c r="T90" s="6"/>
      <c r="U90" s="6"/>
      <c r="V90" s="13" t="n">
        <f aca="false">IF(Q90="","",J90*Q90/100)</f>
        <v>221.2</v>
      </c>
      <c r="W90" s="13" t="n">
        <f aca="false">IF(R90="","",J90*R90/100)</f>
        <v>331.8</v>
      </c>
      <c r="X90" s="13" t="n">
        <f aca="false">IF(S90="","",J90*S90/100)</f>
        <v>442.4</v>
      </c>
      <c r="Y90" s="13" t="str">
        <f aca="false">IF(T90="","",J90*T90/100)</f>
        <v/>
      </c>
      <c r="Z90" s="13" t="str">
        <f aca="false">IF(U90="","",J90*U90/100)</f>
        <v/>
      </c>
      <c r="AA90" s="6" t="s">
        <v>103</v>
      </c>
      <c r="AB90" s="6" t="s">
        <v>104</v>
      </c>
      <c r="AC90" s="6"/>
      <c r="AD90" s="13" t="str">
        <f aca="false">IF(AC90="","",IFERROR(INDEX('INDB Full Nutrients'!$D:$D,MATCH(AC90,'INDB Full Nutrients'!$A:$A,0)),""))</f>
        <v/>
      </c>
      <c r="AE90" s="6"/>
      <c r="AF90" s="6"/>
    </row>
    <row r="91" customFormat="false" ht="15" hidden="false" customHeight="false" outlineLevel="0" collapsed="false">
      <c r="A91" s="6" t="s">
        <v>425</v>
      </c>
      <c r="B91" s="6" t="s">
        <v>426</v>
      </c>
      <c r="C91" s="6"/>
      <c r="D91" s="6" t="s">
        <v>41</v>
      </c>
      <c r="E91" s="6" t="s">
        <v>99</v>
      </c>
      <c r="F91" s="6" t="s">
        <v>100</v>
      </c>
      <c r="G91" s="6"/>
      <c r="H91" s="6" t="s">
        <v>101</v>
      </c>
      <c r="I91" s="6" t="s">
        <v>102</v>
      </c>
      <c r="J91" s="13" t="n">
        <f aca="false">4*K91+4*(L91-N91)+9*M91+2*N91</f>
        <v>119.9</v>
      </c>
      <c r="K91" s="14" t="n">
        <v>3</v>
      </c>
      <c r="L91" s="14" t="n">
        <v>17</v>
      </c>
      <c r="M91" s="14" t="n">
        <v>4.5</v>
      </c>
      <c r="N91" s="14" t="n">
        <v>0.3</v>
      </c>
      <c r="O91" s="14" t="n">
        <v>15.5</v>
      </c>
      <c r="P91" s="15" t="n">
        <v>50</v>
      </c>
      <c r="Q91" s="16" t="n">
        <v>200</v>
      </c>
      <c r="R91" s="16" t="n">
        <v>300</v>
      </c>
      <c r="S91" s="16" t="n">
        <v>400</v>
      </c>
      <c r="T91" s="6"/>
      <c r="U91" s="6"/>
      <c r="V91" s="13" t="n">
        <f aca="false">IF(Q91="","",J91*Q91/100)</f>
        <v>239.8</v>
      </c>
      <c r="W91" s="13" t="n">
        <f aca="false">IF(R91="","",J91*R91/100)</f>
        <v>359.7</v>
      </c>
      <c r="X91" s="13" t="n">
        <f aca="false">IF(S91="","",J91*S91/100)</f>
        <v>479.6</v>
      </c>
      <c r="Y91" s="13" t="str">
        <f aca="false">IF(T91="","",J91*T91/100)</f>
        <v/>
      </c>
      <c r="Z91" s="13" t="str">
        <f aca="false">IF(U91="","",J91*U91/100)</f>
        <v/>
      </c>
      <c r="AA91" s="6" t="s">
        <v>103</v>
      </c>
      <c r="AB91" s="6" t="s">
        <v>104</v>
      </c>
      <c r="AC91" s="6" t="s">
        <v>427</v>
      </c>
      <c r="AD91" s="13" t="n">
        <f aca="false">IF(AC91="","",IFERROR(INDEX('INDB Full Nutrients'!$D:$D,MATCH(AC91,'INDB Full Nutrients'!$A:$A,0)),""))</f>
        <v>68.3502960205078</v>
      </c>
      <c r="AE91" s="6" t="s">
        <v>428</v>
      </c>
      <c r="AF91" s="6"/>
    </row>
    <row r="92" customFormat="false" ht="15" hidden="false" customHeight="false" outlineLevel="0" collapsed="false">
      <c r="A92" s="6" t="s">
        <v>429</v>
      </c>
      <c r="B92" s="6" t="s">
        <v>430</v>
      </c>
      <c r="C92" s="6" t="s">
        <v>431</v>
      </c>
      <c r="D92" s="6" t="s">
        <v>41</v>
      </c>
      <c r="E92" s="6" t="s">
        <v>99</v>
      </c>
      <c r="F92" s="6" t="s">
        <v>100</v>
      </c>
      <c r="G92" s="6"/>
      <c r="H92" s="6" t="s">
        <v>101</v>
      </c>
      <c r="I92" s="6" t="s">
        <v>102</v>
      </c>
      <c r="J92" s="13" t="n">
        <f aca="false">4*K92+4*(L92-N92)+9*M92+2*N92</f>
        <v>58.2</v>
      </c>
      <c r="K92" s="14" t="n">
        <v>3.1</v>
      </c>
      <c r="L92" s="14" t="n">
        <v>4.7</v>
      </c>
      <c r="M92" s="14" t="n">
        <v>3</v>
      </c>
      <c r="N92" s="14" t="n">
        <v>0</v>
      </c>
      <c r="O92" s="14" t="n">
        <v>4.7</v>
      </c>
      <c r="P92" s="15" t="n">
        <v>45</v>
      </c>
      <c r="Q92" s="16" t="n">
        <v>150</v>
      </c>
      <c r="R92" s="16" t="n">
        <v>200</v>
      </c>
      <c r="S92" s="16" t="n">
        <v>300</v>
      </c>
      <c r="T92" s="6"/>
      <c r="U92" s="6"/>
      <c r="V92" s="13" t="n">
        <f aca="false">IF(Q92="","",J92*Q92/100)</f>
        <v>87.3</v>
      </c>
      <c r="W92" s="13" t="n">
        <f aca="false">IF(R92="","",J92*R92/100)</f>
        <v>116.4</v>
      </c>
      <c r="X92" s="13" t="n">
        <f aca="false">IF(S92="","",J92*S92/100)</f>
        <v>174.6</v>
      </c>
      <c r="Y92" s="13" t="str">
        <f aca="false">IF(T92="","",J92*T92/100)</f>
        <v/>
      </c>
      <c r="Z92" s="13" t="str">
        <f aca="false">IF(U92="","",J92*U92/100)</f>
        <v/>
      </c>
      <c r="AA92" s="6" t="s">
        <v>125</v>
      </c>
      <c r="AB92" s="6" t="s">
        <v>126</v>
      </c>
      <c r="AC92" s="6"/>
      <c r="AD92" s="13" t="str">
        <f aca="false">IF(AC92="","",IFERROR(INDEX('INDB Full Nutrients'!$D:$D,MATCH(AC92,'INDB Full Nutrients'!$A:$A,0)),""))</f>
        <v/>
      </c>
      <c r="AE92" s="6"/>
      <c r="AF92" s="6" t="s">
        <v>432</v>
      </c>
    </row>
    <row r="93" customFormat="false" ht="15" hidden="false" customHeight="false" outlineLevel="0" collapsed="false">
      <c r="A93" s="6" t="s">
        <v>433</v>
      </c>
      <c r="B93" s="6" t="s">
        <v>434</v>
      </c>
      <c r="C93" s="6" t="s">
        <v>435</v>
      </c>
      <c r="D93" s="6" t="s">
        <v>41</v>
      </c>
      <c r="E93" s="6" t="s">
        <v>99</v>
      </c>
      <c r="F93" s="6" t="s">
        <v>100</v>
      </c>
      <c r="G93" s="6"/>
      <c r="H93" s="6" t="s">
        <v>101</v>
      </c>
      <c r="I93" s="6" t="s">
        <v>102</v>
      </c>
      <c r="J93" s="13" t="n">
        <f aca="false">4*K93+4*(L93-N93)+9*M93+2*N93</f>
        <v>86.8</v>
      </c>
      <c r="K93" s="14" t="n">
        <v>3.3</v>
      </c>
      <c r="L93" s="14" t="n">
        <v>4.9</v>
      </c>
      <c r="M93" s="14" t="n">
        <v>6</v>
      </c>
      <c r="N93" s="14" t="n">
        <v>0</v>
      </c>
      <c r="O93" s="14" t="n">
        <v>4.9</v>
      </c>
      <c r="P93" s="15" t="n">
        <v>40</v>
      </c>
      <c r="Q93" s="16" t="n">
        <v>150</v>
      </c>
      <c r="R93" s="16" t="n">
        <v>200</v>
      </c>
      <c r="S93" s="16" t="n">
        <v>300</v>
      </c>
      <c r="T93" s="6"/>
      <c r="U93" s="6"/>
      <c r="V93" s="13" t="n">
        <f aca="false">IF(Q93="","",J93*Q93/100)</f>
        <v>130.2</v>
      </c>
      <c r="W93" s="13" t="n">
        <f aca="false">IF(R93="","",J93*R93/100)</f>
        <v>173.6</v>
      </c>
      <c r="X93" s="13" t="n">
        <f aca="false">IF(S93="","",J93*S93/100)</f>
        <v>260.4</v>
      </c>
      <c r="Y93" s="13" t="str">
        <f aca="false">IF(T93="","",J93*T93/100)</f>
        <v/>
      </c>
      <c r="Z93" s="13" t="str">
        <f aca="false">IF(U93="","",J93*U93/100)</f>
        <v/>
      </c>
      <c r="AA93" s="6" t="s">
        <v>125</v>
      </c>
      <c r="AB93" s="6" t="s">
        <v>126</v>
      </c>
      <c r="AC93" s="6"/>
      <c r="AD93" s="13" t="str">
        <f aca="false">IF(AC93="","",IFERROR(INDEX('INDB Full Nutrients'!$D:$D,MATCH(AC93,'INDB Full Nutrients'!$A:$A,0)),""))</f>
        <v/>
      </c>
      <c r="AE93" s="6"/>
      <c r="AF93" s="6" t="s">
        <v>432</v>
      </c>
    </row>
    <row r="94" customFormat="false" ht="15" hidden="false" customHeight="false" outlineLevel="0" collapsed="false">
      <c r="A94" s="6" t="s">
        <v>436</v>
      </c>
      <c r="B94" s="6" t="s">
        <v>437</v>
      </c>
      <c r="C94" s="6" t="s">
        <v>438</v>
      </c>
      <c r="D94" s="6" t="s">
        <v>41</v>
      </c>
      <c r="E94" s="6" t="s">
        <v>99</v>
      </c>
      <c r="F94" s="6" t="s">
        <v>100</v>
      </c>
      <c r="G94" s="6"/>
      <c r="H94" s="6" t="s">
        <v>101</v>
      </c>
      <c r="I94" s="6" t="s">
        <v>102</v>
      </c>
      <c r="J94" s="13" t="n">
        <f aca="false">4*K94+4*(L94-N94)+9*M94+2*N94</f>
        <v>45.9</v>
      </c>
      <c r="K94" s="14" t="n">
        <v>3.2</v>
      </c>
      <c r="L94" s="14" t="n">
        <v>4.9</v>
      </c>
      <c r="M94" s="14" t="n">
        <v>1.5</v>
      </c>
      <c r="N94" s="14" t="n">
        <v>0</v>
      </c>
      <c r="O94" s="14" t="n">
        <v>4.9</v>
      </c>
      <c r="P94" s="15" t="n">
        <v>45</v>
      </c>
      <c r="Q94" s="16" t="n">
        <v>150</v>
      </c>
      <c r="R94" s="16" t="n">
        <v>200</v>
      </c>
      <c r="S94" s="16" t="n">
        <v>300</v>
      </c>
      <c r="T94" s="6"/>
      <c r="U94" s="6"/>
      <c r="V94" s="13" t="n">
        <f aca="false">IF(Q94="","",J94*Q94/100)</f>
        <v>68.85</v>
      </c>
      <c r="W94" s="13" t="n">
        <f aca="false">IF(R94="","",J94*R94/100)</f>
        <v>91.8</v>
      </c>
      <c r="X94" s="13" t="n">
        <f aca="false">IF(S94="","",J94*S94/100)</f>
        <v>137.7</v>
      </c>
      <c r="Y94" s="13" t="str">
        <f aca="false">IF(T94="","",J94*T94/100)</f>
        <v/>
      </c>
      <c r="Z94" s="13" t="str">
        <f aca="false">IF(U94="","",J94*U94/100)</f>
        <v/>
      </c>
      <c r="AA94" s="6" t="s">
        <v>125</v>
      </c>
      <c r="AB94" s="6" t="s">
        <v>126</v>
      </c>
      <c r="AC94" s="6"/>
      <c r="AD94" s="13" t="str">
        <f aca="false">IF(AC94="","",IFERROR(INDEX('INDB Full Nutrients'!$D:$D,MATCH(AC94,'INDB Full Nutrients'!$A:$A,0)),""))</f>
        <v/>
      </c>
      <c r="AE94" s="6"/>
      <c r="AF94" s="6" t="s">
        <v>432</v>
      </c>
    </row>
    <row r="95" customFormat="false" ht="15" hidden="false" customHeight="false" outlineLevel="0" collapsed="false">
      <c r="A95" s="6" t="s">
        <v>439</v>
      </c>
      <c r="B95" s="6" t="s">
        <v>440</v>
      </c>
      <c r="C95" s="6" t="s">
        <v>441</v>
      </c>
      <c r="D95" s="6" t="s">
        <v>42</v>
      </c>
      <c r="E95" s="6" t="s">
        <v>114</v>
      </c>
      <c r="F95" s="6" t="s">
        <v>100</v>
      </c>
      <c r="G95" s="6" t="s">
        <v>124</v>
      </c>
      <c r="H95" s="6" t="s">
        <v>442</v>
      </c>
      <c r="I95" s="6" t="s">
        <v>298</v>
      </c>
      <c r="J95" s="13" t="n">
        <f aca="false">4*K95+4*(L95-N95)+9*M95+2*N95</f>
        <v>165.4</v>
      </c>
      <c r="K95" s="14" t="n">
        <v>3.6</v>
      </c>
      <c r="L95" s="14" t="n">
        <v>25.5</v>
      </c>
      <c r="M95" s="14" t="n">
        <v>5.8</v>
      </c>
      <c r="N95" s="14" t="n">
        <v>1.6</v>
      </c>
      <c r="O95" s="14" t="n">
        <v>1.8</v>
      </c>
      <c r="P95" s="15" t="n">
        <v>320</v>
      </c>
      <c r="Q95" s="16" t="n">
        <v>100</v>
      </c>
      <c r="R95" s="16" t="n">
        <v>175</v>
      </c>
      <c r="S95" s="16" t="n">
        <v>250</v>
      </c>
      <c r="T95" s="6"/>
      <c r="U95" s="6"/>
      <c r="V95" s="13" t="n">
        <f aca="false">IF(Q95="","",J95*Q95/100)</f>
        <v>165.4</v>
      </c>
      <c r="W95" s="13" t="n">
        <f aca="false">IF(R95="","",J95*R95/100)</f>
        <v>289.45</v>
      </c>
      <c r="X95" s="13" t="n">
        <f aca="false">IF(S95="","",J95*S95/100)</f>
        <v>413.5</v>
      </c>
      <c r="Y95" s="13" t="str">
        <f aca="false">IF(T95="","",J95*T95/100)</f>
        <v/>
      </c>
      <c r="Z95" s="13" t="str">
        <f aca="false">IF(U95="","",J95*U95/100)</f>
        <v/>
      </c>
      <c r="AA95" s="6" t="s">
        <v>103</v>
      </c>
      <c r="AB95" s="6" t="s">
        <v>104</v>
      </c>
      <c r="AC95" s="6" t="s">
        <v>443</v>
      </c>
      <c r="AD95" s="13" t="n">
        <f aca="false">IF(AC95="","",IFERROR(INDEX('INDB Full Nutrients'!$D:$D,MATCH(AC95,'INDB Full Nutrients'!$A:$A,0)),""))</f>
        <v>294.525512695313</v>
      </c>
      <c r="AE95" s="6" t="s">
        <v>444</v>
      </c>
      <c r="AF95" s="6"/>
    </row>
    <row r="96" customFormat="false" ht="15" hidden="false" customHeight="false" outlineLevel="0" collapsed="false">
      <c r="A96" s="6" t="s">
        <v>445</v>
      </c>
      <c r="B96" s="6" t="s">
        <v>446</v>
      </c>
      <c r="C96" s="6" t="s">
        <v>447</v>
      </c>
      <c r="D96" s="6" t="s">
        <v>42</v>
      </c>
      <c r="E96" s="6" t="s">
        <v>119</v>
      </c>
      <c r="F96" s="6" t="s">
        <v>100</v>
      </c>
      <c r="G96" s="6"/>
      <c r="H96" s="6" t="s">
        <v>442</v>
      </c>
      <c r="I96" s="6" t="s">
        <v>298</v>
      </c>
      <c r="J96" s="13" t="n">
        <f aca="false">4*K96+4*(L96-N96)+9*M96+2*N96</f>
        <v>149.1</v>
      </c>
      <c r="K96" s="14" t="n">
        <v>3.5</v>
      </c>
      <c r="L96" s="14" t="n">
        <v>22</v>
      </c>
      <c r="M96" s="14" t="n">
        <v>5.5</v>
      </c>
      <c r="N96" s="14" t="n">
        <v>1.2</v>
      </c>
      <c r="O96" s="14" t="n">
        <v>1</v>
      </c>
      <c r="P96" s="15" t="n">
        <v>330</v>
      </c>
      <c r="Q96" s="16" t="n">
        <v>100</v>
      </c>
      <c r="R96" s="16" t="n">
        <v>175</v>
      </c>
      <c r="S96" s="16" t="n">
        <v>250</v>
      </c>
      <c r="T96" s="6"/>
      <c r="U96" s="6"/>
      <c r="V96" s="13" t="n">
        <f aca="false">IF(Q96="","",J96*Q96/100)</f>
        <v>149.1</v>
      </c>
      <c r="W96" s="13" t="n">
        <f aca="false">IF(R96="","",J96*R96/100)</f>
        <v>260.925</v>
      </c>
      <c r="X96" s="13" t="n">
        <f aca="false">IF(S96="","",J96*S96/100)</f>
        <v>372.75</v>
      </c>
      <c r="Y96" s="13" t="str">
        <f aca="false">IF(T96="","",J96*T96/100)</f>
        <v/>
      </c>
      <c r="Z96" s="13" t="str">
        <f aca="false">IF(U96="","",J96*U96/100)</f>
        <v/>
      </c>
      <c r="AA96" s="6" t="s">
        <v>125</v>
      </c>
      <c r="AB96" s="6" t="s">
        <v>147</v>
      </c>
      <c r="AC96" s="6" t="s">
        <v>448</v>
      </c>
      <c r="AD96" s="13" t="n">
        <f aca="false">IF(AC96="","",IFERROR(INDEX('INDB Full Nutrients'!$D:$D,MATCH(AC96,'INDB Full Nutrients'!$A:$A,0)),""))</f>
        <v>147.892623901367</v>
      </c>
      <c r="AE96" s="6" t="s">
        <v>449</v>
      </c>
      <c r="AF96" s="6"/>
    </row>
    <row r="97" customFormat="false" ht="15" hidden="false" customHeight="false" outlineLevel="0" collapsed="false">
      <c r="A97" s="6" t="s">
        <v>450</v>
      </c>
      <c r="B97" s="6" t="s">
        <v>451</v>
      </c>
      <c r="C97" s="6"/>
      <c r="D97" s="6" t="s">
        <v>42</v>
      </c>
      <c r="E97" s="6" t="s">
        <v>119</v>
      </c>
      <c r="F97" s="6" t="s">
        <v>100</v>
      </c>
      <c r="G97" s="6"/>
      <c r="H97" s="6" t="s">
        <v>442</v>
      </c>
      <c r="I97" s="6" t="s">
        <v>298</v>
      </c>
      <c r="J97" s="13" t="n">
        <f aca="false">4*K97+4*(L97-N97)+9*M97+2*N97</f>
        <v>136.8</v>
      </c>
      <c r="K97" s="14" t="n">
        <v>3.3</v>
      </c>
      <c r="L97" s="14" t="n">
        <v>20</v>
      </c>
      <c r="M97" s="14" t="n">
        <v>5.2</v>
      </c>
      <c r="N97" s="14" t="n">
        <v>1.6</v>
      </c>
      <c r="O97" s="14" t="n">
        <v>1.5</v>
      </c>
      <c r="P97" s="15" t="n">
        <v>330</v>
      </c>
      <c r="Q97" s="16" t="n">
        <v>100</v>
      </c>
      <c r="R97" s="16" t="n">
        <v>175</v>
      </c>
      <c r="S97" s="16" t="n">
        <v>250</v>
      </c>
      <c r="T97" s="6"/>
      <c r="U97" s="6"/>
      <c r="V97" s="13" t="n">
        <f aca="false">IF(Q97="","",J97*Q97/100)</f>
        <v>136.8</v>
      </c>
      <c r="W97" s="13" t="n">
        <f aca="false">IF(R97="","",J97*R97/100)</f>
        <v>239.4</v>
      </c>
      <c r="X97" s="13" t="n">
        <f aca="false">IF(S97="","",J97*S97/100)</f>
        <v>342</v>
      </c>
      <c r="Y97" s="13" t="str">
        <f aca="false">IF(T97="","",J97*T97/100)</f>
        <v/>
      </c>
      <c r="Z97" s="13" t="str">
        <f aca="false">IF(U97="","",J97*U97/100)</f>
        <v/>
      </c>
      <c r="AA97" s="6" t="s">
        <v>125</v>
      </c>
      <c r="AB97" s="6" t="s">
        <v>147</v>
      </c>
      <c r="AC97" s="6" t="s">
        <v>452</v>
      </c>
      <c r="AD97" s="13" t="n">
        <f aca="false">IF(AC97="","",IFERROR(INDEX('INDB Full Nutrients'!$D:$D,MATCH(AC97,'INDB Full Nutrients'!$A:$A,0)),""))</f>
        <v>146.468170166016</v>
      </c>
      <c r="AE97" s="6" t="s">
        <v>453</v>
      </c>
      <c r="AF97" s="6"/>
    </row>
    <row r="98" customFormat="false" ht="15" hidden="false" customHeight="false" outlineLevel="0" collapsed="false">
      <c r="A98" s="6" t="s">
        <v>454</v>
      </c>
      <c r="B98" s="6" t="s">
        <v>455</v>
      </c>
      <c r="C98" s="6" t="s">
        <v>456</v>
      </c>
      <c r="D98" s="6" t="s">
        <v>42</v>
      </c>
      <c r="E98" s="6" t="s">
        <v>114</v>
      </c>
      <c r="F98" s="6" t="s">
        <v>100</v>
      </c>
      <c r="G98" s="6"/>
      <c r="H98" s="6" t="s">
        <v>442</v>
      </c>
      <c r="I98" s="6" t="s">
        <v>298</v>
      </c>
      <c r="J98" s="13" t="n">
        <f aca="false">4*K98+4*(L98-N98)+9*M98+2*N98</f>
        <v>203.5</v>
      </c>
      <c r="K98" s="14" t="n">
        <v>2.5</v>
      </c>
      <c r="L98" s="14" t="n">
        <v>32</v>
      </c>
      <c r="M98" s="14" t="n">
        <v>7.5</v>
      </c>
      <c r="N98" s="14" t="n">
        <v>1</v>
      </c>
      <c r="O98" s="14" t="n">
        <v>1</v>
      </c>
      <c r="P98" s="15" t="n">
        <v>280</v>
      </c>
      <c r="Q98" s="16" t="n">
        <v>100</v>
      </c>
      <c r="R98" s="16" t="n">
        <v>175</v>
      </c>
      <c r="S98" s="16" t="n">
        <v>250</v>
      </c>
      <c r="T98" s="6"/>
      <c r="U98" s="6"/>
      <c r="V98" s="13" t="n">
        <f aca="false">IF(Q98="","",J98*Q98/100)</f>
        <v>203.5</v>
      </c>
      <c r="W98" s="13" t="n">
        <f aca="false">IF(R98="","",J98*R98/100)</f>
        <v>356.125</v>
      </c>
      <c r="X98" s="13" t="n">
        <f aca="false">IF(S98="","",J98*S98/100)</f>
        <v>508.75</v>
      </c>
      <c r="Y98" s="13" t="str">
        <f aca="false">IF(T98="","",J98*T98/100)</f>
        <v/>
      </c>
      <c r="Z98" s="13" t="str">
        <f aca="false">IF(U98="","",J98*U98/100)</f>
        <v/>
      </c>
      <c r="AA98" s="6" t="s">
        <v>125</v>
      </c>
      <c r="AB98" s="6" t="s">
        <v>147</v>
      </c>
      <c r="AC98" s="6" t="s">
        <v>457</v>
      </c>
      <c r="AD98" s="13" t="n">
        <f aca="false">IF(AC98="","",IFERROR(INDEX('INDB Full Nutrients'!$D:$D,MATCH(AC98,'INDB Full Nutrients'!$A:$A,0)),""))</f>
        <v>187.164474487305</v>
      </c>
      <c r="AE98" s="6" t="s">
        <v>458</v>
      </c>
      <c r="AF98" s="6" t="s">
        <v>459</v>
      </c>
    </row>
    <row r="99" customFormat="false" ht="15" hidden="false" customHeight="false" outlineLevel="0" collapsed="false">
      <c r="A99" s="6" t="s">
        <v>460</v>
      </c>
      <c r="B99" s="6" t="s">
        <v>461</v>
      </c>
      <c r="C99" s="6" t="s">
        <v>462</v>
      </c>
      <c r="D99" s="6" t="s">
        <v>42</v>
      </c>
      <c r="E99" s="6" t="s">
        <v>161</v>
      </c>
      <c r="F99" s="6" t="s">
        <v>100</v>
      </c>
      <c r="G99" s="6"/>
      <c r="H99" s="6" t="s">
        <v>442</v>
      </c>
      <c r="I99" s="6" t="s">
        <v>298</v>
      </c>
      <c r="J99" s="13" t="n">
        <f aca="false">4*K99+4*(L99-N99)+9*M99+2*N99</f>
        <v>101.7</v>
      </c>
      <c r="K99" s="14" t="n">
        <v>3.2</v>
      </c>
      <c r="L99" s="14" t="n">
        <v>18</v>
      </c>
      <c r="M99" s="14" t="n">
        <v>2.5</v>
      </c>
      <c r="N99" s="14" t="n">
        <v>2.8</v>
      </c>
      <c r="O99" s="14" t="n">
        <v>1.5</v>
      </c>
      <c r="P99" s="15" t="n">
        <v>280</v>
      </c>
      <c r="Q99" s="16" t="n">
        <v>100</v>
      </c>
      <c r="R99" s="16" t="n">
        <v>175</v>
      </c>
      <c r="S99" s="16" t="n">
        <v>250</v>
      </c>
      <c r="T99" s="6"/>
      <c r="U99" s="6"/>
      <c r="V99" s="13" t="n">
        <f aca="false">IF(Q99="","",J99*Q99/100)</f>
        <v>101.7</v>
      </c>
      <c r="W99" s="13" t="n">
        <f aca="false">IF(R99="","",J99*R99/100)</f>
        <v>177.975</v>
      </c>
      <c r="X99" s="13" t="n">
        <f aca="false">IF(S99="","",J99*S99/100)</f>
        <v>254.25</v>
      </c>
      <c r="Y99" s="13" t="str">
        <f aca="false">IF(T99="","",J99*T99/100)</f>
        <v/>
      </c>
      <c r="Z99" s="13" t="str">
        <f aca="false">IF(U99="","",J99*U99/100)</f>
        <v/>
      </c>
      <c r="AA99" s="6" t="s">
        <v>103</v>
      </c>
      <c r="AB99" s="6" t="s">
        <v>104</v>
      </c>
      <c r="AC99" s="6" t="s">
        <v>463</v>
      </c>
      <c r="AD99" s="13" t="n">
        <f aca="false">IF(AC99="","",IFERROR(INDEX('INDB Full Nutrients'!$D:$D,MATCH(AC99,'INDB Full Nutrients'!$A:$A,0)),""))</f>
        <v>295.110626220703</v>
      </c>
      <c r="AE99" s="6" t="s">
        <v>464</v>
      </c>
      <c r="AF99" s="6"/>
    </row>
    <row r="100" customFormat="false" ht="15" hidden="false" customHeight="false" outlineLevel="0" collapsed="false">
      <c r="A100" s="6" t="s">
        <v>465</v>
      </c>
      <c r="B100" s="6" t="s">
        <v>466</v>
      </c>
      <c r="C100" s="6" t="s">
        <v>467</v>
      </c>
      <c r="D100" s="6" t="s">
        <v>42</v>
      </c>
      <c r="E100" s="6" t="s">
        <v>161</v>
      </c>
      <c r="F100" s="6" t="s">
        <v>100</v>
      </c>
      <c r="G100" s="6"/>
      <c r="H100" s="6" t="s">
        <v>442</v>
      </c>
      <c r="I100" s="6" t="s">
        <v>298</v>
      </c>
      <c r="J100" s="13" t="n">
        <f aca="false">4*K100+4*(L100-N100)+9*M100+2*N100</f>
        <v>97.5</v>
      </c>
      <c r="K100" s="14" t="n">
        <v>3.5</v>
      </c>
      <c r="L100" s="14" t="n">
        <v>16</v>
      </c>
      <c r="M100" s="14" t="n">
        <v>2.5</v>
      </c>
      <c r="N100" s="14" t="n">
        <v>1.5</v>
      </c>
      <c r="O100" s="14" t="n">
        <v>7.5</v>
      </c>
      <c r="P100" s="15" t="n">
        <v>30</v>
      </c>
      <c r="Q100" s="16" t="n">
        <v>100</v>
      </c>
      <c r="R100" s="16" t="n">
        <v>175</v>
      </c>
      <c r="S100" s="16" t="n">
        <v>250</v>
      </c>
      <c r="T100" s="6"/>
      <c r="U100" s="6"/>
      <c r="V100" s="13" t="n">
        <f aca="false">IF(Q100="","",J100*Q100/100)</f>
        <v>97.5</v>
      </c>
      <c r="W100" s="13" t="n">
        <f aca="false">IF(R100="","",J100*R100/100)</f>
        <v>170.625</v>
      </c>
      <c r="X100" s="13" t="n">
        <f aca="false">IF(S100="","",J100*S100/100)</f>
        <v>243.75</v>
      </c>
      <c r="Y100" s="13" t="str">
        <f aca="false">IF(T100="","",J100*T100/100)</f>
        <v/>
      </c>
      <c r="Z100" s="13" t="str">
        <f aca="false">IF(U100="","",J100*U100/100)</f>
        <v/>
      </c>
      <c r="AA100" s="6" t="s">
        <v>125</v>
      </c>
      <c r="AB100" s="6" t="s">
        <v>147</v>
      </c>
      <c r="AC100" s="6" t="s">
        <v>468</v>
      </c>
      <c r="AD100" s="13" t="n">
        <f aca="false">IF(AC100="","",IFERROR(INDEX('INDB Full Nutrients'!$D:$D,MATCH(AC100,'INDB Full Nutrients'!$A:$A,0)),""))</f>
        <v>81.5651397705078</v>
      </c>
      <c r="AE100" s="6" t="s">
        <v>469</v>
      </c>
      <c r="AF100" s="6"/>
    </row>
    <row r="101" customFormat="false" ht="15" hidden="false" customHeight="false" outlineLevel="0" collapsed="false">
      <c r="A101" s="6" t="s">
        <v>470</v>
      </c>
      <c r="B101" s="6" t="s">
        <v>471</v>
      </c>
      <c r="C101" s="6"/>
      <c r="D101" s="6" t="s">
        <v>42</v>
      </c>
      <c r="E101" s="6" t="s">
        <v>99</v>
      </c>
      <c r="F101" s="6" t="s">
        <v>100</v>
      </c>
      <c r="G101" s="6"/>
      <c r="H101" s="6" t="s">
        <v>442</v>
      </c>
      <c r="I101" s="6" t="s">
        <v>298</v>
      </c>
      <c r="J101" s="13" t="n">
        <f aca="false">4*K101+4*(L101-N101)+9*M101+2*N101</f>
        <v>91</v>
      </c>
      <c r="K101" s="14" t="n">
        <v>3.6</v>
      </c>
      <c r="L101" s="14" t="n">
        <v>13</v>
      </c>
      <c r="M101" s="14" t="n">
        <v>3</v>
      </c>
      <c r="N101" s="14" t="n">
        <v>1.2</v>
      </c>
      <c r="O101" s="14" t="n">
        <v>5</v>
      </c>
      <c r="P101" s="15" t="n">
        <v>40</v>
      </c>
      <c r="Q101" s="16" t="n">
        <v>100</v>
      </c>
      <c r="R101" s="16" t="n">
        <v>175</v>
      </c>
      <c r="S101" s="16" t="n">
        <v>250</v>
      </c>
      <c r="T101" s="6"/>
      <c r="U101" s="6"/>
      <c r="V101" s="13" t="n">
        <f aca="false">IF(Q101="","",J101*Q101/100)</f>
        <v>91</v>
      </c>
      <c r="W101" s="13" t="n">
        <f aca="false">IF(R101="","",J101*R101/100)</f>
        <v>159.25</v>
      </c>
      <c r="X101" s="13" t="n">
        <f aca="false">IF(S101="","",J101*S101/100)</f>
        <v>227.5</v>
      </c>
      <c r="Y101" s="13" t="str">
        <f aca="false">IF(T101="","",J101*T101/100)</f>
        <v/>
      </c>
      <c r="Z101" s="13" t="str">
        <f aca="false">IF(U101="","",J101*U101/100)</f>
        <v/>
      </c>
      <c r="AA101" s="6" t="s">
        <v>103</v>
      </c>
      <c r="AB101" s="6" t="s">
        <v>104</v>
      </c>
      <c r="AC101" s="6" t="s">
        <v>472</v>
      </c>
      <c r="AD101" s="13" t="n">
        <f aca="false">IF(AC101="","",IFERROR(INDEX('INDB Full Nutrients'!$D:$D,MATCH(AC101,'INDB Full Nutrients'!$A:$A,0)),""))</f>
        <v>72.853645324707</v>
      </c>
      <c r="AE101" s="6" t="s">
        <v>473</v>
      </c>
      <c r="AF101" s="6"/>
    </row>
    <row r="102" customFormat="false" ht="15" hidden="false" customHeight="false" outlineLevel="0" collapsed="false">
      <c r="A102" s="6" t="s">
        <v>474</v>
      </c>
      <c r="B102" s="6" t="s">
        <v>475</v>
      </c>
      <c r="C102" s="6" t="s">
        <v>476</v>
      </c>
      <c r="D102" s="6" t="s">
        <v>42</v>
      </c>
      <c r="E102" s="6" t="s">
        <v>99</v>
      </c>
      <c r="F102" s="6" t="s">
        <v>100</v>
      </c>
      <c r="G102" s="6"/>
      <c r="H102" s="6" t="s">
        <v>442</v>
      </c>
      <c r="I102" s="6" t="s">
        <v>298</v>
      </c>
      <c r="J102" s="13" t="n">
        <f aca="false">4*K102+4*(L102-N102)+9*M102+2*N102</f>
        <v>87</v>
      </c>
      <c r="K102" s="14" t="n">
        <v>3</v>
      </c>
      <c r="L102" s="14" t="n">
        <v>13</v>
      </c>
      <c r="M102" s="14" t="n">
        <v>3</v>
      </c>
      <c r="N102" s="14" t="n">
        <v>2</v>
      </c>
      <c r="O102" s="14" t="n">
        <v>1.5</v>
      </c>
      <c r="P102" s="15" t="n">
        <v>300</v>
      </c>
      <c r="Q102" s="16" t="n">
        <v>100</v>
      </c>
      <c r="R102" s="16" t="n">
        <v>175</v>
      </c>
      <c r="S102" s="16" t="n">
        <v>250</v>
      </c>
      <c r="T102" s="6"/>
      <c r="U102" s="6"/>
      <c r="V102" s="13" t="n">
        <f aca="false">IF(Q102="","",J102*Q102/100)</f>
        <v>87</v>
      </c>
      <c r="W102" s="13" t="n">
        <f aca="false">IF(R102="","",J102*R102/100)</f>
        <v>152.25</v>
      </c>
      <c r="X102" s="13" t="n">
        <f aca="false">IF(S102="","",J102*S102/100)</f>
        <v>217.5</v>
      </c>
      <c r="Y102" s="13" t="str">
        <f aca="false">IF(T102="","",J102*T102/100)</f>
        <v/>
      </c>
      <c r="Z102" s="13" t="str">
        <f aca="false">IF(U102="","",J102*U102/100)</f>
        <v/>
      </c>
      <c r="AA102" s="6" t="s">
        <v>103</v>
      </c>
      <c r="AB102" s="6" t="s">
        <v>104</v>
      </c>
      <c r="AC102" s="6"/>
      <c r="AD102" s="13" t="str">
        <f aca="false">IF(AC102="","",IFERROR(INDEX('INDB Full Nutrients'!$D:$D,MATCH(AC102,'INDB Full Nutrients'!$A:$A,0)),""))</f>
        <v/>
      </c>
      <c r="AE102" s="6"/>
      <c r="AF102" s="6"/>
    </row>
    <row r="103" customFormat="false" ht="15" hidden="false" customHeight="false" outlineLevel="0" collapsed="false">
      <c r="A103" s="6" t="s">
        <v>477</v>
      </c>
      <c r="B103" s="6" t="s">
        <v>478</v>
      </c>
      <c r="C103" s="6" t="s">
        <v>479</v>
      </c>
      <c r="D103" s="6" t="s">
        <v>42</v>
      </c>
      <c r="E103" s="6" t="s">
        <v>161</v>
      </c>
      <c r="F103" s="6" t="s">
        <v>100</v>
      </c>
      <c r="G103" s="6" t="s">
        <v>124</v>
      </c>
      <c r="H103" s="6" t="s">
        <v>442</v>
      </c>
      <c r="I103" s="6" t="s">
        <v>298</v>
      </c>
      <c r="J103" s="13" t="n">
        <f aca="false">4*K103+4*(L103-N103)+9*M103+2*N103</f>
        <v>176.5</v>
      </c>
      <c r="K103" s="14" t="n">
        <v>8.5</v>
      </c>
      <c r="L103" s="14" t="n">
        <v>21</v>
      </c>
      <c r="M103" s="14" t="n">
        <v>7.5</v>
      </c>
      <c r="N103" s="14" t="n">
        <v>4.5</v>
      </c>
      <c r="O103" s="14" t="n">
        <v>2</v>
      </c>
      <c r="P103" s="15" t="n">
        <v>330</v>
      </c>
      <c r="Q103" s="16" t="n">
        <v>50</v>
      </c>
      <c r="R103" s="16" t="n">
        <v>75</v>
      </c>
      <c r="S103" s="16" t="n">
        <v>100</v>
      </c>
      <c r="T103" s="6"/>
      <c r="U103" s="6"/>
      <c r="V103" s="13" t="n">
        <f aca="false">IF(Q103="","",J103*Q103/100)</f>
        <v>88.25</v>
      </c>
      <c r="W103" s="13" t="n">
        <f aca="false">IF(R103="","",J103*R103/100)</f>
        <v>132.375</v>
      </c>
      <c r="X103" s="13" t="n">
        <f aca="false">IF(S103="","",J103*S103/100)</f>
        <v>176.5</v>
      </c>
      <c r="Y103" s="13" t="str">
        <f aca="false">IF(T103="","",J103*T103/100)</f>
        <v/>
      </c>
      <c r="Z103" s="13" t="str">
        <f aca="false">IF(U103="","",J103*U103/100)</f>
        <v/>
      </c>
      <c r="AA103" s="6" t="s">
        <v>103</v>
      </c>
      <c r="AB103" s="6" t="s">
        <v>104</v>
      </c>
      <c r="AC103" s="6" t="s">
        <v>480</v>
      </c>
      <c r="AD103" s="13" t="n">
        <f aca="false">IF(AC103="","",IFERROR(INDEX('INDB Full Nutrients'!$D:$D,MATCH(AC103,'INDB Full Nutrients'!$A:$A,0)),""))</f>
        <v>135.930099487305</v>
      </c>
      <c r="AE103" s="6" t="s">
        <v>481</v>
      </c>
      <c r="AF103" s="6"/>
    </row>
    <row r="104" customFormat="false" ht="15" hidden="false" customHeight="false" outlineLevel="0" collapsed="false">
      <c r="A104" s="6" t="s">
        <v>482</v>
      </c>
      <c r="B104" s="6" t="s">
        <v>483</v>
      </c>
      <c r="C104" s="6" t="s">
        <v>484</v>
      </c>
      <c r="D104" s="6" t="s">
        <v>42</v>
      </c>
      <c r="E104" s="6" t="s">
        <v>161</v>
      </c>
      <c r="F104" s="6" t="s">
        <v>100</v>
      </c>
      <c r="G104" s="6" t="s">
        <v>124</v>
      </c>
      <c r="H104" s="6" t="s">
        <v>442</v>
      </c>
      <c r="I104" s="6" t="s">
        <v>298</v>
      </c>
      <c r="J104" s="13" t="n">
        <f aca="false">4*K104+4*(L104-N104)+9*M104+2*N104</f>
        <v>160.5</v>
      </c>
      <c r="K104" s="14" t="n">
        <v>9.5</v>
      </c>
      <c r="L104" s="14" t="n">
        <v>20</v>
      </c>
      <c r="M104" s="14" t="n">
        <v>5.5</v>
      </c>
      <c r="N104" s="14" t="n">
        <v>3.5</v>
      </c>
      <c r="O104" s="14" t="n">
        <v>1.5</v>
      </c>
      <c r="P104" s="15" t="n">
        <v>300</v>
      </c>
      <c r="Q104" s="16" t="n">
        <v>50</v>
      </c>
      <c r="R104" s="16" t="n">
        <v>75</v>
      </c>
      <c r="S104" s="16" t="n">
        <v>100</v>
      </c>
      <c r="T104" s="6"/>
      <c r="U104" s="6"/>
      <c r="V104" s="13" t="n">
        <f aca="false">IF(Q104="","",J104*Q104/100)</f>
        <v>80.25</v>
      </c>
      <c r="W104" s="13" t="n">
        <f aca="false">IF(R104="","",J104*R104/100)</f>
        <v>120.375</v>
      </c>
      <c r="X104" s="13" t="n">
        <f aca="false">IF(S104="","",J104*S104/100)</f>
        <v>160.5</v>
      </c>
      <c r="Y104" s="13" t="str">
        <f aca="false">IF(T104="","",J104*T104/100)</f>
        <v/>
      </c>
      <c r="Z104" s="13" t="str">
        <f aca="false">IF(U104="","",J104*U104/100)</f>
        <v/>
      </c>
      <c r="AA104" s="6" t="s">
        <v>125</v>
      </c>
      <c r="AB104" s="6" t="s">
        <v>147</v>
      </c>
      <c r="AC104" s="6" t="s">
        <v>485</v>
      </c>
      <c r="AD104" s="13" t="n">
        <f aca="false">IF(AC104="","",IFERROR(INDEX('INDB Full Nutrients'!$D:$D,MATCH(AC104,'INDB Full Nutrients'!$A:$A,0)),""))</f>
        <v>154.885025024414</v>
      </c>
      <c r="AE104" s="6" t="s">
        <v>486</v>
      </c>
      <c r="AF104" s="6"/>
    </row>
    <row r="105" customFormat="false" ht="15" hidden="false" customHeight="false" outlineLevel="0" collapsed="false">
      <c r="A105" s="6" t="s">
        <v>487</v>
      </c>
      <c r="B105" s="6" t="s">
        <v>488</v>
      </c>
      <c r="C105" s="6"/>
      <c r="D105" s="6" t="s">
        <v>42</v>
      </c>
      <c r="E105" s="6" t="s">
        <v>161</v>
      </c>
      <c r="F105" s="6" t="s">
        <v>100</v>
      </c>
      <c r="G105" s="6"/>
      <c r="H105" s="6" t="s">
        <v>442</v>
      </c>
      <c r="I105" s="6" t="s">
        <v>298</v>
      </c>
      <c r="J105" s="13" t="n">
        <f aca="false">4*K105+4*(L105-N105)+9*M105+2*N105</f>
        <v>200</v>
      </c>
      <c r="K105" s="14" t="n">
        <v>11</v>
      </c>
      <c r="L105" s="14" t="n">
        <v>18</v>
      </c>
      <c r="M105" s="14" t="n">
        <v>10</v>
      </c>
      <c r="N105" s="14" t="n">
        <v>3</v>
      </c>
      <c r="O105" s="14" t="n">
        <v>1.5</v>
      </c>
      <c r="P105" s="15" t="n">
        <v>350</v>
      </c>
      <c r="Q105" s="16" t="n">
        <v>70</v>
      </c>
      <c r="R105" s="16" t="n">
        <v>100</v>
      </c>
      <c r="S105" s="16" t="n">
        <v>140</v>
      </c>
      <c r="T105" s="6"/>
      <c r="U105" s="6"/>
      <c r="V105" s="13" t="n">
        <f aca="false">IF(Q105="","",J105*Q105/100)</f>
        <v>140</v>
      </c>
      <c r="W105" s="13" t="n">
        <f aca="false">IF(R105="","",J105*R105/100)</f>
        <v>200</v>
      </c>
      <c r="X105" s="13" t="n">
        <f aca="false">IF(S105="","",J105*S105/100)</f>
        <v>280</v>
      </c>
      <c r="Y105" s="13" t="str">
        <f aca="false">IF(T105="","",J105*T105/100)</f>
        <v/>
      </c>
      <c r="Z105" s="13" t="str">
        <f aca="false">IF(U105="","",J105*U105/100)</f>
        <v/>
      </c>
      <c r="AA105" s="6" t="s">
        <v>125</v>
      </c>
      <c r="AB105" s="6" t="s">
        <v>147</v>
      </c>
      <c r="AC105" s="6" t="s">
        <v>489</v>
      </c>
      <c r="AD105" s="13" t="n">
        <f aca="false">IF(AC105="","",IFERROR(INDEX('INDB Full Nutrients'!$D:$D,MATCH(AC105,'INDB Full Nutrients'!$A:$A,0)),""))</f>
        <v>205.189300537109</v>
      </c>
      <c r="AE105" s="6" t="s">
        <v>490</v>
      </c>
      <c r="AF105" s="6"/>
    </row>
    <row r="106" customFormat="false" ht="15" hidden="false" customHeight="false" outlineLevel="0" collapsed="false">
      <c r="A106" s="6" t="s">
        <v>491</v>
      </c>
      <c r="B106" s="6" t="s">
        <v>492</v>
      </c>
      <c r="C106" s="6" t="s">
        <v>493</v>
      </c>
      <c r="D106" s="6" t="s">
        <v>42</v>
      </c>
      <c r="E106" s="6" t="s">
        <v>161</v>
      </c>
      <c r="F106" s="6" t="s">
        <v>100</v>
      </c>
      <c r="G106" s="6"/>
      <c r="H106" s="6" t="s">
        <v>442</v>
      </c>
      <c r="I106" s="6" t="s">
        <v>298</v>
      </c>
      <c r="J106" s="13" t="n">
        <f aca="false">4*K106+4*(L106-N106)+9*M106+2*N106</f>
        <v>233.5</v>
      </c>
      <c r="K106" s="14" t="n">
        <v>5</v>
      </c>
      <c r="L106" s="14" t="n">
        <v>34</v>
      </c>
      <c r="M106" s="14" t="n">
        <v>9.5</v>
      </c>
      <c r="N106" s="14" t="n">
        <v>4</v>
      </c>
      <c r="O106" s="14" t="n">
        <v>1.5</v>
      </c>
      <c r="P106" s="15" t="n">
        <v>350</v>
      </c>
      <c r="Q106" s="16" t="n">
        <v>90</v>
      </c>
      <c r="R106" s="16" t="n">
        <v>120</v>
      </c>
      <c r="S106" s="16" t="n">
        <v>160</v>
      </c>
      <c r="T106" s="6"/>
      <c r="U106" s="6"/>
      <c r="V106" s="13" t="n">
        <f aca="false">IF(Q106="","",J106*Q106/100)</f>
        <v>210.15</v>
      </c>
      <c r="W106" s="13" t="n">
        <f aca="false">IF(R106="","",J106*R106/100)</f>
        <v>280.2</v>
      </c>
      <c r="X106" s="13" t="n">
        <f aca="false">IF(S106="","",J106*S106/100)</f>
        <v>373.6</v>
      </c>
      <c r="Y106" s="13" t="str">
        <f aca="false">IF(T106="","",J106*T106/100)</f>
        <v/>
      </c>
      <c r="Z106" s="13" t="str">
        <f aca="false">IF(U106="","",J106*U106/100)</f>
        <v/>
      </c>
      <c r="AA106" s="6" t="s">
        <v>125</v>
      </c>
      <c r="AB106" s="6" t="s">
        <v>147</v>
      </c>
      <c r="AC106" s="6" t="s">
        <v>494</v>
      </c>
      <c r="AD106" s="13" t="n">
        <f aca="false">IF(AC106="","",IFERROR(INDEX('INDB Full Nutrients'!$D:$D,MATCH(AC106,'INDB Full Nutrients'!$A:$A,0)),""))</f>
        <v>205.042388916016</v>
      </c>
      <c r="AE106" s="6" t="s">
        <v>495</v>
      </c>
      <c r="AF106" s="6" t="s">
        <v>496</v>
      </c>
    </row>
    <row r="107" customFormat="false" ht="15" hidden="false" customHeight="false" outlineLevel="0" collapsed="false">
      <c r="A107" s="6" t="s">
        <v>497</v>
      </c>
      <c r="B107" s="6" t="s">
        <v>498</v>
      </c>
      <c r="C107" s="6" t="s">
        <v>499</v>
      </c>
      <c r="D107" s="6" t="s">
        <v>42</v>
      </c>
      <c r="E107" s="6" t="s">
        <v>161</v>
      </c>
      <c r="F107" s="6" t="s">
        <v>100</v>
      </c>
      <c r="G107" s="6"/>
      <c r="H107" s="6" t="s">
        <v>442</v>
      </c>
      <c r="I107" s="6" t="s">
        <v>298</v>
      </c>
      <c r="J107" s="13" t="n">
        <f aca="false">4*K107+4*(L107-N107)+9*M107+2*N107</f>
        <v>216</v>
      </c>
      <c r="K107" s="14" t="n">
        <v>5</v>
      </c>
      <c r="L107" s="14" t="n">
        <v>31</v>
      </c>
      <c r="M107" s="14" t="n">
        <v>9</v>
      </c>
      <c r="N107" s="14" t="n">
        <v>4.5</v>
      </c>
      <c r="O107" s="14" t="n">
        <v>2</v>
      </c>
      <c r="P107" s="15" t="n">
        <v>340</v>
      </c>
      <c r="Q107" s="16" t="n">
        <v>90</v>
      </c>
      <c r="R107" s="16" t="n">
        <v>120</v>
      </c>
      <c r="S107" s="16" t="n">
        <v>160</v>
      </c>
      <c r="T107" s="6"/>
      <c r="U107" s="6"/>
      <c r="V107" s="13" t="n">
        <f aca="false">IF(Q107="","",J107*Q107/100)</f>
        <v>194.4</v>
      </c>
      <c r="W107" s="13" t="n">
        <f aca="false">IF(R107="","",J107*R107/100)</f>
        <v>259.2</v>
      </c>
      <c r="X107" s="13" t="n">
        <f aca="false">IF(S107="","",J107*S107/100)</f>
        <v>345.6</v>
      </c>
      <c r="Y107" s="13" t="str">
        <f aca="false">IF(T107="","",J107*T107/100)</f>
        <v/>
      </c>
      <c r="Z107" s="13" t="str">
        <f aca="false">IF(U107="","",J107*U107/100)</f>
        <v/>
      </c>
      <c r="AA107" s="6" t="s">
        <v>103</v>
      </c>
      <c r="AB107" s="6" t="s">
        <v>104</v>
      </c>
      <c r="AC107" s="6" t="s">
        <v>500</v>
      </c>
      <c r="AD107" s="13" t="n">
        <f aca="false">IF(AC107="","",IFERROR(INDEX('INDB Full Nutrients'!$D:$D,MATCH(AC107,'INDB Full Nutrients'!$A:$A,0)),""))</f>
        <v>178.070404052734</v>
      </c>
      <c r="AE107" s="6" t="s">
        <v>501</v>
      </c>
      <c r="AF107" s="6"/>
    </row>
    <row r="108" customFormat="false" ht="15" hidden="false" customHeight="false" outlineLevel="0" collapsed="false">
      <c r="A108" s="6" t="s">
        <v>502</v>
      </c>
      <c r="B108" s="6" t="s">
        <v>503</v>
      </c>
      <c r="C108" s="6"/>
      <c r="D108" s="6" t="s">
        <v>42</v>
      </c>
      <c r="E108" s="6" t="s">
        <v>161</v>
      </c>
      <c r="F108" s="6" t="s">
        <v>100</v>
      </c>
      <c r="G108" s="6"/>
      <c r="H108" s="6" t="s">
        <v>442</v>
      </c>
      <c r="I108" s="6" t="s">
        <v>298</v>
      </c>
      <c r="J108" s="13" t="n">
        <f aca="false">4*K108+4*(L108-N108)+9*M108+2*N108</f>
        <v>257</v>
      </c>
      <c r="K108" s="14" t="n">
        <v>9</v>
      </c>
      <c r="L108" s="14" t="n">
        <v>30</v>
      </c>
      <c r="M108" s="14" t="n">
        <v>12</v>
      </c>
      <c r="N108" s="14" t="n">
        <v>3.5</v>
      </c>
      <c r="O108" s="14" t="n">
        <v>1.5</v>
      </c>
      <c r="P108" s="15" t="n">
        <v>340</v>
      </c>
      <c r="Q108" s="16" t="n">
        <v>90</v>
      </c>
      <c r="R108" s="16" t="n">
        <v>120</v>
      </c>
      <c r="S108" s="16" t="n">
        <v>160</v>
      </c>
      <c r="T108" s="6"/>
      <c r="U108" s="6"/>
      <c r="V108" s="13" t="n">
        <f aca="false">IF(Q108="","",J108*Q108/100)</f>
        <v>231.3</v>
      </c>
      <c r="W108" s="13" t="n">
        <f aca="false">IF(R108="","",J108*R108/100)</f>
        <v>308.4</v>
      </c>
      <c r="X108" s="13" t="n">
        <f aca="false">IF(S108="","",J108*S108/100)</f>
        <v>411.2</v>
      </c>
      <c r="Y108" s="13" t="str">
        <f aca="false">IF(T108="","",J108*T108/100)</f>
        <v/>
      </c>
      <c r="Z108" s="13" t="str">
        <f aca="false">IF(U108="","",J108*U108/100)</f>
        <v/>
      </c>
      <c r="AA108" s="6" t="s">
        <v>125</v>
      </c>
      <c r="AB108" s="6" t="s">
        <v>147</v>
      </c>
      <c r="AC108" s="6" t="s">
        <v>504</v>
      </c>
      <c r="AD108" s="13" t="n">
        <f aca="false">IF(AC108="","",IFERROR(INDEX('INDB Full Nutrients'!$D:$D,MATCH(AC108,'INDB Full Nutrients'!$A:$A,0)),""))</f>
        <v>262.9658203125</v>
      </c>
      <c r="AE108" s="6" t="s">
        <v>505</v>
      </c>
      <c r="AF108" s="6"/>
    </row>
    <row r="109" customFormat="false" ht="15" hidden="false" customHeight="false" outlineLevel="0" collapsed="false">
      <c r="A109" s="6" t="s">
        <v>506</v>
      </c>
      <c r="B109" s="6" t="s">
        <v>507</v>
      </c>
      <c r="C109" s="6" t="s">
        <v>508</v>
      </c>
      <c r="D109" s="6" t="s">
        <v>42</v>
      </c>
      <c r="E109" s="6" t="s">
        <v>161</v>
      </c>
      <c r="F109" s="6" t="s">
        <v>100</v>
      </c>
      <c r="G109" s="6"/>
      <c r="H109" s="6" t="s">
        <v>442</v>
      </c>
      <c r="I109" s="6" t="s">
        <v>298</v>
      </c>
      <c r="J109" s="13" t="n">
        <f aca="false">4*K109+4*(L109-N109)+9*M109+2*N109</f>
        <v>210.7</v>
      </c>
      <c r="K109" s="14" t="n">
        <v>4.8</v>
      </c>
      <c r="L109" s="14" t="n">
        <v>31</v>
      </c>
      <c r="M109" s="14" t="n">
        <v>8.5</v>
      </c>
      <c r="N109" s="14" t="n">
        <v>4.5</v>
      </c>
      <c r="O109" s="14" t="n">
        <v>2</v>
      </c>
      <c r="P109" s="15" t="n">
        <v>330</v>
      </c>
      <c r="Q109" s="16" t="n">
        <v>90</v>
      </c>
      <c r="R109" s="16" t="n">
        <v>120</v>
      </c>
      <c r="S109" s="16" t="n">
        <v>160</v>
      </c>
      <c r="T109" s="6"/>
      <c r="U109" s="6"/>
      <c r="V109" s="13" t="n">
        <f aca="false">IF(Q109="","",J109*Q109/100)</f>
        <v>189.63</v>
      </c>
      <c r="W109" s="13" t="n">
        <f aca="false">IF(R109="","",J109*R109/100)</f>
        <v>252.84</v>
      </c>
      <c r="X109" s="13" t="n">
        <f aca="false">IF(S109="","",J109*S109/100)</f>
        <v>337.12</v>
      </c>
      <c r="Y109" s="13" t="str">
        <f aca="false">IF(T109="","",J109*T109/100)</f>
        <v/>
      </c>
      <c r="Z109" s="13" t="str">
        <f aca="false">IF(U109="","",J109*U109/100)</f>
        <v/>
      </c>
      <c r="AA109" s="6" t="s">
        <v>125</v>
      </c>
      <c r="AB109" s="6" t="s">
        <v>147</v>
      </c>
      <c r="AC109" s="6" t="s">
        <v>509</v>
      </c>
      <c r="AD109" s="13" t="n">
        <f aca="false">IF(AC109="","",IFERROR(INDEX('INDB Full Nutrients'!$D:$D,MATCH(AC109,'INDB Full Nutrients'!$A:$A,0)),""))</f>
        <v>183.524230957031</v>
      </c>
      <c r="AE109" s="6" t="s">
        <v>510</v>
      </c>
      <c r="AF109" s="6"/>
    </row>
    <row r="110" customFormat="false" ht="15" hidden="false" customHeight="false" outlineLevel="0" collapsed="false">
      <c r="A110" s="6" t="s">
        <v>511</v>
      </c>
      <c r="B110" s="6" t="s">
        <v>512</v>
      </c>
      <c r="C110" s="6" t="s">
        <v>513</v>
      </c>
      <c r="D110" s="6" t="s">
        <v>42</v>
      </c>
      <c r="E110" s="6" t="s">
        <v>161</v>
      </c>
      <c r="F110" s="6" t="s">
        <v>100</v>
      </c>
      <c r="G110" s="6"/>
      <c r="H110" s="6" t="s">
        <v>442</v>
      </c>
      <c r="I110" s="6" t="s">
        <v>298</v>
      </c>
      <c r="J110" s="13" t="n">
        <f aca="false">4*K110+4*(L110-N110)+9*M110+2*N110</f>
        <v>242.5</v>
      </c>
      <c r="K110" s="14" t="n">
        <v>6</v>
      </c>
      <c r="L110" s="14" t="n">
        <v>36</v>
      </c>
      <c r="M110" s="14" t="n">
        <v>9.5</v>
      </c>
      <c r="N110" s="14" t="n">
        <v>5.5</v>
      </c>
      <c r="O110" s="14" t="n">
        <v>1</v>
      </c>
      <c r="P110" s="15" t="n">
        <v>330</v>
      </c>
      <c r="Q110" s="16" t="n">
        <v>50</v>
      </c>
      <c r="R110" s="16" t="n">
        <v>70</v>
      </c>
      <c r="S110" s="16" t="n">
        <v>90</v>
      </c>
      <c r="T110" s="6"/>
      <c r="U110" s="6"/>
      <c r="V110" s="13" t="n">
        <f aca="false">IF(Q110="","",J110*Q110/100)</f>
        <v>121.25</v>
      </c>
      <c r="W110" s="13" t="n">
        <f aca="false">IF(R110="","",J110*R110/100)</f>
        <v>169.75</v>
      </c>
      <c r="X110" s="13" t="n">
        <f aca="false">IF(S110="","",J110*S110/100)</f>
        <v>218.25</v>
      </c>
      <c r="Y110" s="13" t="str">
        <f aca="false">IF(T110="","",J110*T110/100)</f>
        <v/>
      </c>
      <c r="Z110" s="13" t="str">
        <f aca="false">IF(U110="","",J110*U110/100)</f>
        <v/>
      </c>
      <c r="AA110" s="6" t="s">
        <v>103</v>
      </c>
      <c r="AB110" s="6" t="s">
        <v>104</v>
      </c>
      <c r="AC110" s="6" t="s">
        <v>514</v>
      </c>
      <c r="AD110" s="13" t="n">
        <f aca="false">IF(AC110="","",IFERROR(INDEX('INDB Full Nutrients'!$D:$D,MATCH(AC110,'INDB Full Nutrients'!$A:$A,0)),""))</f>
        <v>148.362289428711</v>
      </c>
      <c r="AE110" s="6" t="s">
        <v>515</v>
      </c>
      <c r="AF110" s="6"/>
    </row>
    <row r="111" customFormat="false" ht="15" hidden="false" customHeight="false" outlineLevel="0" collapsed="false">
      <c r="A111" s="6" t="s">
        <v>516</v>
      </c>
      <c r="B111" s="6" t="s">
        <v>517</v>
      </c>
      <c r="C111" s="6" t="s">
        <v>518</v>
      </c>
      <c r="D111" s="6" t="s">
        <v>42</v>
      </c>
      <c r="E111" s="6" t="s">
        <v>161</v>
      </c>
      <c r="F111" s="6" t="s">
        <v>100</v>
      </c>
      <c r="G111" s="6"/>
      <c r="H111" s="6" t="s">
        <v>442</v>
      </c>
      <c r="I111" s="6" t="s">
        <v>298</v>
      </c>
      <c r="J111" s="13" t="n">
        <f aca="false">4*K111+4*(L111-N111)+9*M111+2*N111</f>
        <v>238.5</v>
      </c>
      <c r="K111" s="14" t="n">
        <v>5.5</v>
      </c>
      <c r="L111" s="14" t="n">
        <v>35</v>
      </c>
      <c r="M111" s="14" t="n">
        <v>9.5</v>
      </c>
      <c r="N111" s="14" t="n">
        <v>4.5</v>
      </c>
      <c r="O111" s="14" t="n">
        <v>3</v>
      </c>
      <c r="P111" s="15" t="n">
        <v>330</v>
      </c>
      <c r="Q111" s="16" t="n">
        <v>80</v>
      </c>
      <c r="R111" s="16" t="n">
        <v>110</v>
      </c>
      <c r="S111" s="16" t="n">
        <v>140</v>
      </c>
      <c r="T111" s="6"/>
      <c r="U111" s="6"/>
      <c r="V111" s="13" t="n">
        <f aca="false">IF(Q111="","",J111*Q111/100)</f>
        <v>190.8</v>
      </c>
      <c r="W111" s="13" t="n">
        <f aca="false">IF(R111="","",J111*R111/100)</f>
        <v>262.35</v>
      </c>
      <c r="X111" s="13" t="n">
        <f aca="false">IF(S111="","",J111*S111/100)</f>
        <v>333.9</v>
      </c>
      <c r="Y111" s="13" t="str">
        <f aca="false">IF(T111="","",J111*T111/100)</f>
        <v/>
      </c>
      <c r="Z111" s="13" t="str">
        <f aca="false">IF(U111="","",J111*U111/100)</f>
        <v/>
      </c>
      <c r="AA111" s="6" t="s">
        <v>103</v>
      </c>
      <c r="AB111" s="6" t="s">
        <v>104</v>
      </c>
      <c r="AC111" s="6" t="s">
        <v>519</v>
      </c>
      <c r="AD111" s="13" t="n">
        <f aca="false">IF(AC111="","",IFERROR(INDEX('INDB Full Nutrients'!$D:$D,MATCH(AC111,'INDB Full Nutrients'!$A:$A,0)),""))</f>
        <v>191.27082824707</v>
      </c>
      <c r="AE111" s="6" t="s">
        <v>520</v>
      </c>
      <c r="AF111" s="6"/>
    </row>
    <row r="112" customFormat="false" ht="15" hidden="false" customHeight="false" outlineLevel="0" collapsed="false">
      <c r="A112" s="6" t="s">
        <v>521</v>
      </c>
      <c r="B112" s="6" t="s">
        <v>522</v>
      </c>
      <c r="C112" s="6" t="s">
        <v>523</v>
      </c>
      <c r="D112" s="6" t="s">
        <v>42</v>
      </c>
      <c r="E112" s="6" t="s">
        <v>161</v>
      </c>
      <c r="F112" s="6" t="s">
        <v>100</v>
      </c>
      <c r="G112" s="6"/>
      <c r="H112" s="6" t="s">
        <v>442</v>
      </c>
      <c r="I112" s="6" t="s">
        <v>298</v>
      </c>
      <c r="J112" s="13" t="n">
        <f aca="false">4*K112+4*(L112-N112)+9*M112+2*N112</f>
        <v>305.5</v>
      </c>
      <c r="K112" s="14" t="n">
        <v>7</v>
      </c>
      <c r="L112" s="14" t="n">
        <v>44</v>
      </c>
      <c r="M112" s="14" t="n">
        <v>12.5</v>
      </c>
      <c r="N112" s="14" t="n">
        <v>5.5</v>
      </c>
      <c r="O112" s="14" t="n">
        <v>1</v>
      </c>
      <c r="P112" s="15" t="n">
        <v>300</v>
      </c>
      <c r="Q112" s="16" t="n">
        <v>45</v>
      </c>
      <c r="R112" s="16" t="n">
        <v>60</v>
      </c>
      <c r="S112" s="16" t="n">
        <v>80</v>
      </c>
      <c r="T112" s="6"/>
      <c r="U112" s="6"/>
      <c r="V112" s="13" t="n">
        <f aca="false">IF(Q112="","",J112*Q112/100)</f>
        <v>137.475</v>
      </c>
      <c r="W112" s="13" t="n">
        <f aca="false">IF(R112="","",J112*R112/100)</f>
        <v>183.3</v>
      </c>
      <c r="X112" s="13" t="n">
        <f aca="false">IF(S112="","",J112*S112/100)</f>
        <v>244.4</v>
      </c>
      <c r="Y112" s="13" t="str">
        <f aca="false">IF(T112="","",J112*T112/100)</f>
        <v/>
      </c>
      <c r="Z112" s="13" t="str">
        <f aca="false">IF(U112="","",J112*U112/100)</f>
        <v/>
      </c>
      <c r="AA112" s="6" t="s">
        <v>125</v>
      </c>
      <c r="AB112" s="6" t="s">
        <v>147</v>
      </c>
      <c r="AC112" s="6" t="s">
        <v>524</v>
      </c>
      <c r="AD112" s="13" t="n">
        <f aca="false">IF(AC112="","",IFERROR(INDEX('INDB Full Nutrients'!$D:$D,MATCH(AC112,'INDB Full Nutrients'!$A:$A,0)),""))</f>
        <v>298.300842285156</v>
      </c>
      <c r="AE112" s="6" t="s">
        <v>525</v>
      </c>
      <c r="AF112" s="6"/>
    </row>
    <row r="113" customFormat="false" ht="15" hidden="false" customHeight="false" outlineLevel="0" collapsed="false">
      <c r="A113" s="6" t="s">
        <v>526</v>
      </c>
      <c r="B113" s="6" t="s">
        <v>527</v>
      </c>
      <c r="C113" s="6" t="s">
        <v>528</v>
      </c>
      <c r="D113" s="6" t="s">
        <v>42</v>
      </c>
      <c r="E113" s="6" t="s">
        <v>114</v>
      </c>
      <c r="F113" s="6" t="s">
        <v>100</v>
      </c>
      <c r="G113" s="6"/>
      <c r="H113" s="6" t="s">
        <v>442</v>
      </c>
      <c r="I113" s="6" t="s">
        <v>298</v>
      </c>
      <c r="J113" s="13" t="n">
        <f aca="false">4*K113+4*(L113-N113)+9*M113+2*N113</f>
        <v>295</v>
      </c>
      <c r="K113" s="14" t="n">
        <v>7.5</v>
      </c>
      <c r="L113" s="14" t="n">
        <v>42</v>
      </c>
      <c r="M113" s="14" t="n">
        <v>12</v>
      </c>
      <c r="N113" s="14" t="n">
        <v>5.5</v>
      </c>
      <c r="O113" s="14" t="n">
        <v>1.5</v>
      </c>
      <c r="P113" s="15" t="n">
        <v>350</v>
      </c>
      <c r="Q113" s="16" t="n">
        <v>30</v>
      </c>
      <c r="R113" s="16" t="n">
        <v>40</v>
      </c>
      <c r="S113" s="16" t="n">
        <v>55</v>
      </c>
      <c r="T113" s="6"/>
      <c r="U113" s="6"/>
      <c r="V113" s="13" t="n">
        <f aca="false">IF(Q113="","",J113*Q113/100)</f>
        <v>88.5</v>
      </c>
      <c r="W113" s="13" t="n">
        <f aca="false">IF(R113="","",J113*R113/100)</f>
        <v>118</v>
      </c>
      <c r="X113" s="13" t="n">
        <f aca="false">IF(S113="","",J113*S113/100)</f>
        <v>162.25</v>
      </c>
      <c r="Y113" s="13" t="str">
        <f aca="false">IF(T113="","",J113*T113/100)</f>
        <v/>
      </c>
      <c r="Z113" s="13" t="str">
        <f aca="false">IF(U113="","",J113*U113/100)</f>
        <v/>
      </c>
      <c r="AA113" s="6" t="s">
        <v>125</v>
      </c>
      <c r="AB113" s="6" t="s">
        <v>147</v>
      </c>
      <c r="AC113" s="6" t="s">
        <v>529</v>
      </c>
      <c r="AD113" s="13" t="n">
        <f aca="false">IF(AC113="","",IFERROR(INDEX('INDB Full Nutrients'!$D:$D,MATCH(AC113,'INDB Full Nutrients'!$A:$A,0)),""))</f>
        <v>346.156097412109</v>
      </c>
      <c r="AE113" s="6" t="s">
        <v>530</v>
      </c>
      <c r="AF113" s="6"/>
    </row>
    <row r="114" customFormat="false" ht="15" hidden="false" customHeight="false" outlineLevel="0" collapsed="false">
      <c r="A114" s="6" t="s">
        <v>531</v>
      </c>
      <c r="B114" s="6" t="s">
        <v>532</v>
      </c>
      <c r="C114" s="6" t="s">
        <v>533</v>
      </c>
      <c r="D114" s="6" t="s">
        <v>42</v>
      </c>
      <c r="E114" s="6" t="s">
        <v>114</v>
      </c>
      <c r="F114" s="6" t="s">
        <v>100</v>
      </c>
      <c r="G114" s="6" t="s">
        <v>124</v>
      </c>
      <c r="H114" s="6" t="s">
        <v>442</v>
      </c>
      <c r="I114" s="6" t="s">
        <v>298</v>
      </c>
      <c r="J114" s="13" t="n">
        <f aca="false">4*K114+4*(L114-N114)+9*M114+2*N114</f>
        <v>260</v>
      </c>
      <c r="K114" s="14" t="n">
        <v>8</v>
      </c>
      <c r="L114" s="14" t="n">
        <v>40</v>
      </c>
      <c r="M114" s="14" t="n">
        <v>9</v>
      </c>
      <c r="N114" s="14" t="n">
        <v>6.5</v>
      </c>
      <c r="O114" s="14" t="n">
        <v>1.5</v>
      </c>
      <c r="P114" s="15" t="n">
        <v>350</v>
      </c>
      <c r="Q114" s="16" t="n">
        <v>60</v>
      </c>
      <c r="R114" s="16" t="n">
        <v>80</v>
      </c>
      <c r="S114" s="16" t="n">
        <v>100</v>
      </c>
      <c r="T114" s="6"/>
      <c r="U114" s="6"/>
      <c r="V114" s="13" t="n">
        <f aca="false">IF(Q114="","",J114*Q114/100)</f>
        <v>156</v>
      </c>
      <c r="W114" s="13" t="n">
        <f aca="false">IF(R114="","",J114*R114/100)</f>
        <v>208</v>
      </c>
      <c r="X114" s="13" t="n">
        <f aca="false">IF(S114="","",J114*S114/100)</f>
        <v>260</v>
      </c>
      <c r="Y114" s="13" t="str">
        <f aca="false">IF(T114="","",J114*T114/100)</f>
        <v/>
      </c>
      <c r="Z114" s="13" t="str">
        <f aca="false">IF(U114="","",J114*U114/100)</f>
        <v/>
      </c>
      <c r="AA114" s="6" t="s">
        <v>103</v>
      </c>
      <c r="AB114" s="6" t="s">
        <v>104</v>
      </c>
      <c r="AC114" s="6"/>
      <c r="AD114" s="13" t="str">
        <f aca="false">IF(AC114="","",IFERROR(INDEX('INDB Full Nutrients'!$D:$D,MATCH(AC114,'INDB Full Nutrients'!$A:$A,0)),""))</f>
        <v/>
      </c>
      <c r="AE114" s="6"/>
      <c r="AF114" s="6"/>
    </row>
    <row r="115" customFormat="false" ht="15" hidden="false" customHeight="false" outlineLevel="0" collapsed="false">
      <c r="A115" s="6" t="s">
        <v>534</v>
      </c>
      <c r="B115" s="6" t="s">
        <v>535</v>
      </c>
      <c r="C115" s="6" t="s">
        <v>536</v>
      </c>
      <c r="D115" s="6" t="s">
        <v>42</v>
      </c>
      <c r="E115" s="6" t="s">
        <v>99</v>
      </c>
      <c r="F115" s="6" t="s">
        <v>537</v>
      </c>
      <c r="G115" s="6"/>
      <c r="H115" s="6" t="s">
        <v>442</v>
      </c>
      <c r="I115" s="6" t="s">
        <v>298</v>
      </c>
      <c r="J115" s="13" t="n">
        <f aca="false">4*K115+4*(L115-N115)+9*M115+2*N115</f>
        <v>169.6</v>
      </c>
      <c r="K115" s="14" t="n">
        <v>10</v>
      </c>
      <c r="L115" s="14" t="n">
        <v>3</v>
      </c>
      <c r="M115" s="14" t="n">
        <v>13.2</v>
      </c>
      <c r="N115" s="14" t="n">
        <v>0.6</v>
      </c>
      <c r="O115" s="14" t="n">
        <v>1.5</v>
      </c>
      <c r="P115" s="15" t="n">
        <v>380</v>
      </c>
      <c r="Q115" s="16" t="n">
        <v>70</v>
      </c>
      <c r="R115" s="16" t="n">
        <v>125</v>
      </c>
      <c r="S115" s="16" t="n">
        <v>185</v>
      </c>
      <c r="T115" s="6"/>
      <c r="U115" s="6"/>
      <c r="V115" s="13" t="n">
        <f aca="false">IF(Q115="","",J115*Q115/100)</f>
        <v>118.72</v>
      </c>
      <c r="W115" s="13" t="n">
        <f aca="false">IF(R115="","",J115*R115/100)</f>
        <v>212</v>
      </c>
      <c r="X115" s="13" t="n">
        <f aca="false">IF(S115="","",J115*S115/100)</f>
        <v>313.76</v>
      </c>
      <c r="Y115" s="13" t="str">
        <f aca="false">IF(T115="","",J115*T115/100)</f>
        <v/>
      </c>
      <c r="Z115" s="13" t="str">
        <f aca="false">IF(U115="","",J115*U115/100)</f>
        <v/>
      </c>
      <c r="AA115" s="6" t="s">
        <v>103</v>
      </c>
      <c r="AB115" s="6" t="s">
        <v>104</v>
      </c>
      <c r="AC115" s="6" t="s">
        <v>538</v>
      </c>
      <c r="AD115" s="13" t="n">
        <f aca="false">IF(AC115="","",IFERROR(INDEX('INDB Full Nutrients'!$D:$D,MATCH(AC115,'INDB Full Nutrients'!$A:$A,0)),""))</f>
        <v>272.410980224609</v>
      </c>
      <c r="AE115" s="6" t="s">
        <v>539</v>
      </c>
      <c r="AF115" s="6" t="s">
        <v>540</v>
      </c>
    </row>
    <row r="116" customFormat="false" ht="15" hidden="false" customHeight="false" outlineLevel="0" collapsed="false">
      <c r="A116" s="6" t="s">
        <v>541</v>
      </c>
      <c r="B116" s="6" t="s">
        <v>542</v>
      </c>
      <c r="C116" s="6" t="s">
        <v>543</v>
      </c>
      <c r="D116" s="6" t="s">
        <v>42</v>
      </c>
      <c r="E116" s="6" t="s">
        <v>99</v>
      </c>
      <c r="F116" s="6" t="s">
        <v>537</v>
      </c>
      <c r="G116" s="6"/>
      <c r="H116" s="6" t="s">
        <v>442</v>
      </c>
      <c r="I116" s="6" t="s">
        <v>298</v>
      </c>
      <c r="J116" s="13" t="n">
        <f aca="false">4*K116+4*(L116-N116)+9*M116+2*N116</f>
        <v>219.4</v>
      </c>
      <c r="K116" s="14" t="n">
        <v>10</v>
      </c>
      <c r="L116" s="14" t="n">
        <v>18.5</v>
      </c>
      <c r="M116" s="14" t="n">
        <v>12</v>
      </c>
      <c r="N116" s="14" t="n">
        <v>1.3</v>
      </c>
      <c r="O116" s="14" t="n">
        <v>2.5</v>
      </c>
      <c r="P116" s="15" t="n">
        <v>450</v>
      </c>
      <c r="Q116" s="16" t="n">
        <v>110</v>
      </c>
      <c r="R116" s="16" t="n">
        <v>180</v>
      </c>
      <c r="S116" s="16" t="n">
        <v>260</v>
      </c>
      <c r="T116" s="6"/>
      <c r="U116" s="6"/>
      <c r="V116" s="13" t="n">
        <f aca="false">IF(Q116="","",J116*Q116/100)</f>
        <v>241.34</v>
      </c>
      <c r="W116" s="13" t="n">
        <f aca="false">IF(R116="","",J116*R116/100)</f>
        <v>394.92</v>
      </c>
      <c r="X116" s="13" t="n">
        <f aca="false">IF(S116="","",J116*S116/100)</f>
        <v>570.44</v>
      </c>
      <c r="Y116" s="13" t="str">
        <f aca="false">IF(T116="","",J116*T116/100)</f>
        <v/>
      </c>
      <c r="Z116" s="13" t="str">
        <f aca="false">IF(U116="","",J116*U116/100)</f>
        <v/>
      </c>
      <c r="AA116" s="6" t="s">
        <v>103</v>
      </c>
      <c r="AB116" s="6" t="s">
        <v>104</v>
      </c>
      <c r="AC116" s="6"/>
      <c r="AD116" s="13" t="str">
        <f aca="false">IF(AC116="","",IFERROR(INDEX('INDB Full Nutrients'!$D:$D,MATCH(AC116,'INDB Full Nutrients'!$A:$A,0)),""))</f>
        <v/>
      </c>
      <c r="AE116" s="6"/>
      <c r="AF116" s="6" t="s">
        <v>544</v>
      </c>
    </row>
    <row r="117" customFormat="false" ht="15" hidden="false" customHeight="false" outlineLevel="0" collapsed="false">
      <c r="A117" s="6" t="s">
        <v>545</v>
      </c>
      <c r="B117" s="6" t="s">
        <v>546</v>
      </c>
      <c r="C117" s="6" t="s">
        <v>547</v>
      </c>
      <c r="D117" s="6" t="s">
        <v>42</v>
      </c>
      <c r="E117" s="6" t="s">
        <v>99</v>
      </c>
      <c r="F117" s="6" t="s">
        <v>100</v>
      </c>
      <c r="G117" s="6"/>
      <c r="H117" s="6" t="s">
        <v>442</v>
      </c>
      <c r="I117" s="6" t="s">
        <v>298</v>
      </c>
      <c r="J117" s="13" t="n">
        <f aca="false">4*K117+4*(L117-N117)+9*M117+2*N117</f>
        <v>327.1</v>
      </c>
      <c r="K117" s="14" t="n">
        <v>7</v>
      </c>
      <c r="L117" s="14" t="n">
        <v>41</v>
      </c>
      <c r="M117" s="14" t="n">
        <v>15.5</v>
      </c>
      <c r="N117" s="14" t="n">
        <v>2.2</v>
      </c>
      <c r="O117" s="14" t="n">
        <v>4.2</v>
      </c>
      <c r="P117" s="15" t="n">
        <v>480</v>
      </c>
      <c r="Q117" s="16" t="n">
        <v>30</v>
      </c>
      <c r="R117" s="16" t="n">
        <v>60</v>
      </c>
      <c r="S117" s="16" t="n">
        <v>90</v>
      </c>
      <c r="T117" s="6"/>
      <c r="U117" s="6"/>
      <c r="V117" s="13" t="n">
        <f aca="false">IF(Q117="","",J117*Q117/100)</f>
        <v>98.13</v>
      </c>
      <c r="W117" s="13" t="n">
        <f aca="false">IF(R117="","",J117*R117/100)</f>
        <v>196.26</v>
      </c>
      <c r="X117" s="13" t="n">
        <f aca="false">IF(S117="","",J117*S117/100)</f>
        <v>294.39</v>
      </c>
      <c r="Y117" s="13" t="str">
        <f aca="false">IF(T117="","",J117*T117/100)</f>
        <v/>
      </c>
      <c r="Z117" s="13" t="str">
        <f aca="false">IF(U117="","",J117*U117/100)</f>
        <v/>
      </c>
      <c r="AA117" s="6" t="s">
        <v>103</v>
      </c>
      <c r="AB117" s="6" t="s">
        <v>104</v>
      </c>
      <c r="AC117" s="6"/>
      <c r="AD117" s="13" t="str">
        <f aca="false">IF(AC117="","",IFERROR(INDEX('INDB Full Nutrients'!$D:$D,MATCH(AC117,'INDB Full Nutrients'!$A:$A,0)),""))</f>
        <v/>
      </c>
      <c r="AE117" s="6"/>
      <c r="AF117" s="6"/>
    </row>
    <row r="118" customFormat="false" ht="15" hidden="false" customHeight="false" outlineLevel="0" collapsed="false">
      <c r="A118" s="6" t="s">
        <v>548</v>
      </c>
      <c r="B118" s="6" t="s">
        <v>549</v>
      </c>
      <c r="C118" s="6" t="s">
        <v>550</v>
      </c>
      <c r="D118" s="6" t="s">
        <v>42</v>
      </c>
      <c r="E118" s="6" t="s">
        <v>114</v>
      </c>
      <c r="F118" s="6" t="s">
        <v>100</v>
      </c>
      <c r="G118" s="6"/>
      <c r="H118" s="6" t="s">
        <v>442</v>
      </c>
      <c r="I118" s="6" t="s">
        <v>298</v>
      </c>
      <c r="J118" s="13" t="n">
        <f aca="false">4*K118+4*(L118-N118)+9*M118+2*N118</f>
        <v>189.9</v>
      </c>
      <c r="K118" s="14" t="n">
        <v>5</v>
      </c>
      <c r="L118" s="14" t="n">
        <v>27</v>
      </c>
      <c r="M118" s="14" t="n">
        <v>7.5</v>
      </c>
      <c r="N118" s="14" t="n">
        <v>2.8</v>
      </c>
      <c r="O118" s="14" t="n">
        <v>3.5</v>
      </c>
      <c r="P118" s="15" t="n">
        <v>420</v>
      </c>
      <c r="Q118" s="16" t="n">
        <v>100</v>
      </c>
      <c r="R118" s="16" t="n">
        <v>140</v>
      </c>
      <c r="S118" s="16" t="n">
        <v>200</v>
      </c>
      <c r="T118" s="6"/>
      <c r="U118" s="6"/>
      <c r="V118" s="13" t="n">
        <f aca="false">IF(Q118="","",J118*Q118/100)</f>
        <v>189.9</v>
      </c>
      <c r="W118" s="13" t="n">
        <f aca="false">IF(R118="","",J118*R118/100)</f>
        <v>265.86</v>
      </c>
      <c r="X118" s="13" t="n">
        <f aca="false">IF(S118="","",J118*S118/100)</f>
        <v>379.8</v>
      </c>
      <c r="Y118" s="13" t="str">
        <f aca="false">IF(T118="","",J118*T118/100)</f>
        <v/>
      </c>
      <c r="Z118" s="13" t="str">
        <f aca="false">IF(U118="","",J118*U118/100)</f>
        <v/>
      </c>
      <c r="AA118" s="6" t="s">
        <v>103</v>
      </c>
      <c r="AB118" s="6" t="s">
        <v>104</v>
      </c>
      <c r="AC118" s="6" t="s">
        <v>551</v>
      </c>
      <c r="AD118" s="13" t="n">
        <f aca="false">IF(AC118="","",IFERROR(INDEX('INDB Full Nutrients'!$D:$D,MATCH(AC118,'INDB Full Nutrients'!$A:$A,0)),""))</f>
        <v>249.581878662109</v>
      </c>
      <c r="AE118" s="6" t="s">
        <v>552</v>
      </c>
      <c r="AF118" s="6" t="s">
        <v>553</v>
      </c>
    </row>
    <row r="119" customFormat="false" ht="15" hidden="false" customHeight="false" outlineLevel="0" collapsed="false">
      <c r="A119" s="6" t="s">
        <v>554</v>
      </c>
      <c r="B119" s="6" t="s">
        <v>555</v>
      </c>
      <c r="C119" s="6" t="s">
        <v>556</v>
      </c>
      <c r="D119" s="6" t="s">
        <v>42</v>
      </c>
      <c r="E119" s="6" t="s">
        <v>114</v>
      </c>
      <c r="F119" s="6" t="s">
        <v>100</v>
      </c>
      <c r="G119" s="6"/>
      <c r="H119" s="6" t="s">
        <v>442</v>
      </c>
      <c r="I119" s="6" t="s">
        <v>298</v>
      </c>
      <c r="J119" s="13" t="n">
        <f aca="false">4*K119+4*(L119-N119)+9*M119+2*N119</f>
        <v>230</v>
      </c>
      <c r="K119" s="14" t="n">
        <v>8</v>
      </c>
      <c r="L119" s="14" t="n">
        <v>26</v>
      </c>
      <c r="M119" s="14" t="n">
        <v>11</v>
      </c>
      <c r="N119" s="14" t="n">
        <v>2.5</v>
      </c>
      <c r="O119" s="14" t="n">
        <v>3.5</v>
      </c>
      <c r="P119" s="15" t="n">
        <v>550</v>
      </c>
      <c r="Q119" s="16" t="n">
        <v>110</v>
      </c>
      <c r="R119" s="16" t="n">
        <v>160</v>
      </c>
      <c r="S119" s="16" t="n">
        <v>220</v>
      </c>
      <c r="T119" s="6"/>
      <c r="U119" s="6"/>
      <c r="V119" s="13" t="n">
        <f aca="false">IF(Q119="","",J119*Q119/100)</f>
        <v>253</v>
      </c>
      <c r="W119" s="13" t="n">
        <f aca="false">IF(R119="","",J119*R119/100)</f>
        <v>368</v>
      </c>
      <c r="X119" s="13" t="n">
        <f aca="false">IF(S119="","",J119*S119/100)</f>
        <v>506</v>
      </c>
      <c r="Y119" s="13" t="str">
        <f aca="false">IF(T119="","",J119*T119/100)</f>
        <v/>
      </c>
      <c r="Z119" s="13" t="str">
        <f aca="false">IF(U119="","",J119*U119/100)</f>
        <v/>
      </c>
      <c r="AA119" s="6" t="s">
        <v>103</v>
      </c>
      <c r="AB119" s="6" t="s">
        <v>104</v>
      </c>
      <c r="AC119" s="6"/>
      <c r="AD119" s="13" t="str">
        <f aca="false">IF(AC119="","",IFERROR(INDEX('INDB Full Nutrients'!$D:$D,MATCH(AC119,'INDB Full Nutrients'!$A:$A,0)),""))</f>
        <v/>
      </c>
      <c r="AE119" s="6"/>
      <c r="AF119" s="6"/>
    </row>
    <row r="120" customFormat="false" ht="15" hidden="false" customHeight="false" outlineLevel="0" collapsed="false">
      <c r="A120" s="6" t="s">
        <v>557</v>
      </c>
      <c r="B120" s="6" t="s">
        <v>558</v>
      </c>
      <c r="C120" s="6" t="s">
        <v>559</v>
      </c>
      <c r="D120" s="6" t="s">
        <v>42</v>
      </c>
      <c r="E120" s="6" t="s">
        <v>99</v>
      </c>
      <c r="F120" s="6" t="s">
        <v>100</v>
      </c>
      <c r="G120" s="6"/>
      <c r="H120" s="6" t="s">
        <v>442</v>
      </c>
      <c r="I120" s="6" t="s">
        <v>298</v>
      </c>
      <c r="J120" s="13" t="n">
        <f aca="false">4*K120+4*(L120-N120)+9*M120+2*N120</f>
        <v>259</v>
      </c>
      <c r="K120" s="14" t="n">
        <v>9.5</v>
      </c>
      <c r="L120" s="14" t="n">
        <v>27</v>
      </c>
      <c r="M120" s="14" t="n">
        <v>13</v>
      </c>
      <c r="N120" s="14" t="n">
        <v>2</v>
      </c>
      <c r="O120" s="14" t="n">
        <v>3.5</v>
      </c>
      <c r="P120" s="15" t="n">
        <v>600</v>
      </c>
      <c r="Q120" s="16" t="n">
        <v>90</v>
      </c>
      <c r="R120" s="16" t="n">
        <v>130</v>
      </c>
      <c r="S120" s="16" t="n">
        <v>180</v>
      </c>
      <c r="T120" s="6"/>
      <c r="U120" s="6"/>
      <c r="V120" s="13" t="n">
        <f aca="false">IF(Q120="","",J120*Q120/100)</f>
        <v>233.1</v>
      </c>
      <c r="W120" s="13" t="n">
        <f aca="false">IF(R120="","",J120*R120/100)</f>
        <v>336.7</v>
      </c>
      <c r="X120" s="13" t="n">
        <f aca="false">IF(S120="","",J120*S120/100)</f>
        <v>466.2</v>
      </c>
      <c r="Y120" s="13" t="str">
        <f aca="false">IF(T120="","",J120*T120/100)</f>
        <v/>
      </c>
      <c r="Z120" s="13" t="str">
        <f aca="false">IF(U120="","",J120*U120/100)</f>
        <v/>
      </c>
      <c r="AA120" s="6" t="s">
        <v>125</v>
      </c>
      <c r="AB120" s="6" t="s">
        <v>147</v>
      </c>
      <c r="AC120" s="6" t="s">
        <v>560</v>
      </c>
      <c r="AD120" s="13" t="n">
        <f aca="false">IF(AC120="","",IFERROR(INDEX('INDB Full Nutrients'!$D:$D,MATCH(AC120,'INDB Full Nutrients'!$A:$A,0)),""))</f>
        <v>218.114669799805</v>
      </c>
      <c r="AE120" s="6" t="s">
        <v>561</v>
      </c>
      <c r="AF120" s="6"/>
    </row>
    <row r="121" customFormat="false" ht="15" hidden="false" customHeight="false" outlineLevel="0" collapsed="false">
      <c r="A121" s="6" t="s">
        <v>562</v>
      </c>
      <c r="B121" s="6" t="s">
        <v>563</v>
      </c>
      <c r="C121" s="6" t="s">
        <v>564</v>
      </c>
      <c r="D121" s="6" t="s">
        <v>42</v>
      </c>
      <c r="E121" s="6" t="s">
        <v>99</v>
      </c>
      <c r="F121" s="6" t="s">
        <v>537</v>
      </c>
      <c r="G121" s="6"/>
      <c r="H121" s="6" t="s">
        <v>442</v>
      </c>
      <c r="I121" s="6" t="s">
        <v>298</v>
      </c>
      <c r="J121" s="13" t="n">
        <f aca="false">4*K121+4*(L121-N121)+9*M121+2*N121</f>
        <v>216.4</v>
      </c>
      <c r="K121" s="14" t="n">
        <v>8.5</v>
      </c>
      <c r="L121" s="14" t="n">
        <v>24</v>
      </c>
      <c r="M121" s="14" t="n">
        <v>10</v>
      </c>
      <c r="N121" s="14" t="n">
        <v>1.8</v>
      </c>
      <c r="O121" s="14" t="n">
        <v>3</v>
      </c>
      <c r="P121" s="15" t="n">
        <v>450</v>
      </c>
      <c r="Q121" s="16" t="n">
        <v>100</v>
      </c>
      <c r="R121" s="16" t="n">
        <v>140</v>
      </c>
      <c r="S121" s="16" t="n">
        <v>200</v>
      </c>
      <c r="T121" s="6"/>
      <c r="U121" s="6"/>
      <c r="V121" s="13" t="n">
        <f aca="false">IF(Q121="","",J121*Q121/100)</f>
        <v>216.4</v>
      </c>
      <c r="W121" s="13" t="n">
        <f aca="false">IF(R121="","",J121*R121/100)</f>
        <v>302.96</v>
      </c>
      <c r="X121" s="13" t="n">
        <f aca="false">IF(S121="","",J121*S121/100)</f>
        <v>432.8</v>
      </c>
      <c r="Y121" s="13" t="str">
        <f aca="false">IF(T121="","",J121*T121/100)</f>
        <v/>
      </c>
      <c r="Z121" s="13" t="str">
        <f aca="false">IF(U121="","",J121*U121/100)</f>
        <v/>
      </c>
      <c r="AA121" s="6" t="s">
        <v>103</v>
      </c>
      <c r="AB121" s="6" t="s">
        <v>104</v>
      </c>
      <c r="AC121" s="6" t="s">
        <v>565</v>
      </c>
      <c r="AD121" s="13" t="n">
        <f aca="false">IF(AC121="","",IFERROR(INDEX('INDB Full Nutrients'!$D:$D,MATCH(AC121,'INDB Full Nutrients'!$A:$A,0)),""))</f>
        <v>285.957092285156</v>
      </c>
      <c r="AE121" s="6" t="s">
        <v>566</v>
      </c>
      <c r="AF121" s="6"/>
    </row>
    <row r="122" customFormat="false" ht="15" hidden="false" customHeight="false" outlineLevel="0" collapsed="false">
      <c r="A122" s="6" t="s">
        <v>567</v>
      </c>
      <c r="B122" s="6" t="s">
        <v>568</v>
      </c>
      <c r="C122" s="6"/>
      <c r="D122" s="6" t="s">
        <v>42</v>
      </c>
      <c r="E122" s="6" t="s">
        <v>99</v>
      </c>
      <c r="F122" s="6" t="s">
        <v>569</v>
      </c>
      <c r="G122" s="6"/>
      <c r="H122" s="6" t="s">
        <v>442</v>
      </c>
      <c r="I122" s="6" t="s">
        <v>298</v>
      </c>
      <c r="J122" s="13" t="n">
        <f aca="false">4*K122+4*(L122-N122)+9*M122+2*N122</f>
        <v>217.8</v>
      </c>
      <c r="K122" s="14" t="n">
        <v>12</v>
      </c>
      <c r="L122" s="14" t="n">
        <v>23</v>
      </c>
      <c r="M122" s="14" t="n">
        <v>9</v>
      </c>
      <c r="N122" s="14" t="n">
        <v>1.6</v>
      </c>
      <c r="O122" s="14" t="n">
        <v>3</v>
      </c>
      <c r="P122" s="15" t="n">
        <v>480</v>
      </c>
      <c r="Q122" s="16" t="n">
        <v>100</v>
      </c>
      <c r="R122" s="16" t="n">
        <v>150</v>
      </c>
      <c r="S122" s="16" t="n">
        <v>200</v>
      </c>
      <c r="T122" s="6"/>
      <c r="U122" s="6"/>
      <c r="V122" s="13" t="n">
        <f aca="false">IF(Q122="","",J122*Q122/100)</f>
        <v>217.8</v>
      </c>
      <c r="W122" s="13" t="n">
        <f aca="false">IF(R122="","",J122*R122/100)</f>
        <v>326.7</v>
      </c>
      <c r="X122" s="13" t="n">
        <f aca="false">IF(S122="","",J122*S122/100)</f>
        <v>435.6</v>
      </c>
      <c r="Y122" s="13" t="str">
        <f aca="false">IF(T122="","",J122*T122/100)</f>
        <v/>
      </c>
      <c r="Z122" s="13" t="str">
        <f aca="false">IF(U122="","",J122*U122/100)</f>
        <v/>
      </c>
      <c r="AA122" s="6" t="s">
        <v>125</v>
      </c>
      <c r="AB122" s="6" t="s">
        <v>147</v>
      </c>
      <c r="AC122" s="6" t="s">
        <v>570</v>
      </c>
      <c r="AD122" s="13" t="n">
        <f aca="false">IF(AC122="","",IFERROR(INDEX('INDB Full Nutrients'!$D:$D,MATCH(AC122,'INDB Full Nutrients'!$A:$A,0)),""))</f>
        <v>253.272674560547</v>
      </c>
      <c r="AE122" s="6" t="s">
        <v>571</v>
      </c>
      <c r="AF122" s="6"/>
    </row>
    <row r="123" customFormat="false" ht="15" hidden="false" customHeight="false" outlineLevel="0" collapsed="false">
      <c r="A123" s="6" t="s">
        <v>572</v>
      </c>
      <c r="B123" s="6" t="s">
        <v>573</v>
      </c>
      <c r="C123" s="6" t="s">
        <v>574</v>
      </c>
      <c r="D123" s="6" t="s">
        <v>42</v>
      </c>
      <c r="E123" s="6" t="s">
        <v>161</v>
      </c>
      <c r="F123" s="6" t="s">
        <v>100</v>
      </c>
      <c r="G123" s="6" t="s">
        <v>124</v>
      </c>
      <c r="H123" s="6" t="s">
        <v>442</v>
      </c>
      <c r="I123" s="6" t="s">
        <v>298</v>
      </c>
      <c r="J123" s="13" t="n">
        <f aca="false">4*K123+4*(L123-N123)+9*M123+2*N123</f>
        <v>323</v>
      </c>
      <c r="K123" s="14" t="n">
        <v>7.5</v>
      </c>
      <c r="L123" s="14" t="n">
        <v>42</v>
      </c>
      <c r="M123" s="14" t="n">
        <v>15</v>
      </c>
      <c r="N123" s="14" t="n">
        <v>5</v>
      </c>
      <c r="O123" s="14" t="n">
        <v>1</v>
      </c>
      <c r="P123" s="15" t="n">
        <v>280</v>
      </c>
      <c r="Q123" s="16" t="n">
        <v>20</v>
      </c>
      <c r="R123" s="16" t="n">
        <v>30</v>
      </c>
      <c r="S123" s="16" t="n">
        <v>40</v>
      </c>
      <c r="T123" s="6"/>
      <c r="U123" s="6"/>
      <c r="V123" s="13" t="n">
        <f aca="false">IF(Q123="","",J123*Q123/100)</f>
        <v>64.6</v>
      </c>
      <c r="W123" s="13" t="n">
        <f aca="false">IF(R123="","",J123*R123/100)</f>
        <v>96.9</v>
      </c>
      <c r="X123" s="13" t="n">
        <f aca="false">IF(S123="","",J123*S123/100)</f>
        <v>129.2</v>
      </c>
      <c r="Y123" s="13" t="str">
        <f aca="false">IF(T123="","",J123*T123/100)</f>
        <v/>
      </c>
      <c r="Z123" s="13" t="str">
        <f aca="false">IF(U123="","",J123*U123/100)</f>
        <v/>
      </c>
      <c r="AA123" s="6" t="s">
        <v>103</v>
      </c>
      <c r="AB123" s="6" t="s">
        <v>104</v>
      </c>
      <c r="AC123" s="6" t="s">
        <v>575</v>
      </c>
      <c r="AD123" s="13" t="n">
        <f aca="false">IF(AC123="","",IFERROR(INDEX('INDB Full Nutrients'!$D:$D,MATCH(AC123,'INDB Full Nutrients'!$A:$A,0)),""))</f>
        <v>737.634643554688</v>
      </c>
      <c r="AE123" s="6" t="s">
        <v>576</v>
      </c>
      <c r="AF123" s="6" t="s">
        <v>577</v>
      </c>
    </row>
    <row r="124" customFormat="false" ht="15" hidden="false" customHeight="false" outlineLevel="0" collapsed="false">
      <c r="A124" s="6" t="s">
        <v>578</v>
      </c>
      <c r="B124" s="6" t="s">
        <v>579</v>
      </c>
      <c r="C124" s="6" t="s">
        <v>580</v>
      </c>
      <c r="D124" s="6" t="s">
        <v>42</v>
      </c>
      <c r="E124" s="6" t="s">
        <v>161</v>
      </c>
      <c r="F124" s="6" t="s">
        <v>100</v>
      </c>
      <c r="G124" s="6" t="s">
        <v>124</v>
      </c>
      <c r="H124" s="6" t="s">
        <v>442</v>
      </c>
      <c r="I124" s="6" t="s">
        <v>298</v>
      </c>
      <c r="J124" s="13" t="n">
        <f aca="false">4*K124+4*(L124-N124)+9*M124+2*N124</f>
        <v>326</v>
      </c>
      <c r="K124" s="14" t="n">
        <v>8</v>
      </c>
      <c r="L124" s="14" t="n">
        <v>40</v>
      </c>
      <c r="M124" s="14" t="n">
        <v>16</v>
      </c>
      <c r="N124" s="14" t="n">
        <v>5</v>
      </c>
      <c r="O124" s="14" t="n">
        <v>1</v>
      </c>
      <c r="P124" s="15" t="n">
        <v>380</v>
      </c>
      <c r="Q124" s="16" t="n">
        <v>30</v>
      </c>
      <c r="R124" s="16" t="n">
        <v>45</v>
      </c>
      <c r="S124" s="16" t="n">
        <v>60</v>
      </c>
      <c r="T124" s="6"/>
      <c r="U124" s="6"/>
      <c r="V124" s="13" t="n">
        <f aca="false">IF(Q124="","",J124*Q124/100)</f>
        <v>97.8</v>
      </c>
      <c r="W124" s="13" t="n">
        <f aca="false">IF(R124="","",J124*R124/100)</f>
        <v>146.7</v>
      </c>
      <c r="X124" s="13" t="n">
        <f aca="false">IF(S124="","",J124*S124/100)</f>
        <v>195.6</v>
      </c>
      <c r="Y124" s="13" t="str">
        <f aca="false">IF(T124="","",J124*T124/100)</f>
        <v/>
      </c>
      <c r="Z124" s="13" t="str">
        <f aca="false">IF(U124="","",J124*U124/100)</f>
        <v/>
      </c>
      <c r="AA124" s="6" t="s">
        <v>103</v>
      </c>
      <c r="AB124" s="6" t="s">
        <v>104</v>
      </c>
      <c r="AC124" s="6"/>
      <c r="AD124" s="13" t="str">
        <f aca="false">IF(AC124="","",IFERROR(INDEX('INDB Full Nutrients'!$D:$D,MATCH(AC124,'INDB Full Nutrients'!$A:$A,0)),""))</f>
        <v/>
      </c>
      <c r="AE124" s="6"/>
      <c r="AF124" s="6" t="s">
        <v>581</v>
      </c>
    </row>
    <row r="125" customFormat="false" ht="15" hidden="false" customHeight="false" outlineLevel="0" collapsed="false">
      <c r="A125" s="6" t="s">
        <v>582</v>
      </c>
      <c r="B125" s="6" t="s">
        <v>583</v>
      </c>
      <c r="C125" s="6" t="s">
        <v>584</v>
      </c>
      <c r="D125" s="6" t="s">
        <v>42</v>
      </c>
      <c r="E125" s="6" t="s">
        <v>205</v>
      </c>
      <c r="F125" s="6" t="s">
        <v>100</v>
      </c>
      <c r="G125" s="6"/>
      <c r="H125" s="6" t="s">
        <v>442</v>
      </c>
      <c r="I125" s="6" t="s">
        <v>298</v>
      </c>
      <c r="J125" s="13" t="n">
        <f aca="false">4*K125+4*(L125-N125)+9*M125+2*N125</f>
        <v>292</v>
      </c>
      <c r="K125" s="14" t="n">
        <v>9</v>
      </c>
      <c r="L125" s="14" t="n">
        <v>45</v>
      </c>
      <c r="M125" s="14" t="n">
        <v>10</v>
      </c>
      <c r="N125" s="14" t="n">
        <v>7</v>
      </c>
      <c r="O125" s="14" t="n">
        <v>1.5</v>
      </c>
      <c r="P125" s="15" t="n">
        <v>300</v>
      </c>
      <c r="Q125" s="16" t="n">
        <v>50</v>
      </c>
      <c r="R125" s="16" t="n">
        <v>75</v>
      </c>
      <c r="S125" s="16" t="n">
        <v>100</v>
      </c>
      <c r="T125" s="6"/>
      <c r="U125" s="6"/>
      <c r="V125" s="13" t="n">
        <f aca="false">IF(Q125="","",J125*Q125/100)</f>
        <v>146</v>
      </c>
      <c r="W125" s="13" t="n">
        <f aca="false">IF(R125="","",J125*R125/100)</f>
        <v>219</v>
      </c>
      <c r="X125" s="13" t="n">
        <f aca="false">IF(S125="","",J125*S125/100)</f>
        <v>292</v>
      </c>
      <c r="Y125" s="13" t="str">
        <f aca="false">IF(T125="","",J125*T125/100)</f>
        <v/>
      </c>
      <c r="Z125" s="13" t="str">
        <f aca="false">IF(U125="","",J125*U125/100)</f>
        <v/>
      </c>
      <c r="AA125" s="6" t="s">
        <v>103</v>
      </c>
      <c r="AB125" s="6" t="s">
        <v>104</v>
      </c>
      <c r="AC125" s="6"/>
      <c r="AD125" s="13" t="str">
        <f aca="false">IF(AC125="","",IFERROR(INDEX('INDB Full Nutrients'!$D:$D,MATCH(AC125,'INDB Full Nutrients'!$A:$A,0)),""))</f>
        <v/>
      </c>
      <c r="AE125" s="6"/>
      <c r="AF125" s="6" t="s">
        <v>585</v>
      </c>
    </row>
    <row r="126" customFormat="false" ht="15" hidden="false" customHeight="false" outlineLevel="0" collapsed="false">
      <c r="A126" s="6" t="s">
        <v>586</v>
      </c>
      <c r="B126" s="6" t="s">
        <v>587</v>
      </c>
      <c r="C126" s="6"/>
      <c r="D126" s="6" t="s">
        <v>42</v>
      </c>
      <c r="E126" s="6" t="s">
        <v>205</v>
      </c>
      <c r="F126" s="6" t="s">
        <v>100</v>
      </c>
      <c r="G126" s="6" t="s">
        <v>124</v>
      </c>
      <c r="H126" s="6" t="s">
        <v>588</v>
      </c>
      <c r="I126" s="6" t="s">
        <v>298</v>
      </c>
      <c r="J126" s="13" t="n">
        <f aca="false">4*K126+4*(L126-N126)+9*M126+2*N126</f>
        <v>82.2</v>
      </c>
      <c r="K126" s="14" t="n">
        <v>1.8</v>
      </c>
      <c r="L126" s="14" t="n">
        <v>11</v>
      </c>
      <c r="M126" s="14" t="n">
        <v>4</v>
      </c>
      <c r="N126" s="14" t="n">
        <v>2.5</v>
      </c>
      <c r="O126" s="14" t="n">
        <v>3.5</v>
      </c>
      <c r="P126" s="15" t="n">
        <v>350</v>
      </c>
      <c r="Q126" s="16" t="n">
        <v>75</v>
      </c>
      <c r="R126" s="16" t="n">
        <v>100</v>
      </c>
      <c r="S126" s="16" t="n">
        <v>150</v>
      </c>
      <c r="T126" s="16" t="n">
        <v>200</v>
      </c>
      <c r="U126" s="16" t="n">
        <v>400</v>
      </c>
      <c r="V126" s="13" t="n">
        <f aca="false">IF(Q126="","",J126*Q126/100)</f>
        <v>61.65</v>
      </c>
      <c r="W126" s="13" t="n">
        <f aca="false">IF(R126="","",J126*R126/100)</f>
        <v>82.2</v>
      </c>
      <c r="X126" s="13" t="n">
        <f aca="false">IF(S126="","",J126*S126/100)</f>
        <v>123.3</v>
      </c>
      <c r="Y126" s="13" t="n">
        <f aca="false">IF(T126="","",J126*T126/100)</f>
        <v>164.4</v>
      </c>
      <c r="Z126" s="13" t="n">
        <f aca="false">IF(U126="","",J126*U126/100)</f>
        <v>328.8</v>
      </c>
      <c r="AA126" s="6" t="s">
        <v>103</v>
      </c>
      <c r="AB126" s="6" t="s">
        <v>104</v>
      </c>
      <c r="AC126" s="6"/>
      <c r="AD126" s="13" t="str">
        <f aca="false">IF(AC126="","",IFERROR(INDEX('INDB Full Nutrients'!$D:$D,MATCH(AC126,'INDB Full Nutrients'!$A:$A,0)),""))</f>
        <v/>
      </c>
      <c r="AE126" s="6"/>
      <c r="AF126" s="6" t="s">
        <v>589</v>
      </c>
    </row>
    <row r="127" customFormat="false" ht="15" hidden="false" customHeight="false" outlineLevel="0" collapsed="false">
      <c r="A127" s="6" t="s">
        <v>590</v>
      </c>
      <c r="B127" s="6" t="s">
        <v>591</v>
      </c>
      <c r="C127" s="6" t="s">
        <v>592</v>
      </c>
      <c r="D127" s="6" t="s">
        <v>42</v>
      </c>
      <c r="E127" s="6" t="s">
        <v>114</v>
      </c>
      <c r="F127" s="6" t="s">
        <v>100</v>
      </c>
      <c r="G127" s="6"/>
      <c r="H127" s="6" t="s">
        <v>442</v>
      </c>
      <c r="I127" s="6" t="s">
        <v>298</v>
      </c>
      <c r="J127" s="13" t="n">
        <f aca="false">4*K127+4*(L127-N127)+9*M127+2*N127</f>
        <v>328</v>
      </c>
      <c r="K127" s="14" t="n">
        <v>7</v>
      </c>
      <c r="L127" s="14" t="n">
        <v>55</v>
      </c>
      <c r="M127" s="14" t="n">
        <v>10</v>
      </c>
      <c r="N127" s="14" t="n">
        <v>5</v>
      </c>
      <c r="O127" s="14" t="n">
        <v>18</v>
      </c>
      <c r="P127" s="15" t="n">
        <v>100</v>
      </c>
      <c r="Q127" s="16" t="n">
        <v>60</v>
      </c>
      <c r="R127" s="16" t="n">
        <v>80</v>
      </c>
      <c r="S127" s="16" t="n">
        <v>100</v>
      </c>
      <c r="T127" s="6"/>
      <c r="U127" s="6"/>
      <c r="V127" s="13" t="n">
        <f aca="false">IF(Q127="","",J127*Q127/100)</f>
        <v>196.8</v>
      </c>
      <c r="W127" s="13" t="n">
        <f aca="false">IF(R127="","",J127*R127/100)</f>
        <v>262.4</v>
      </c>
      <c r="X127" s="13" t="n">
        <f aca="false">IF(S127="","",J127*S127/100)</f>
        <v>328</v>
      </c>
      <c r="Y127" s="13" t="str">
        <f aca="false">IF(T127="","",J127*T127/100)</f>
        <v/>
      </c>
      <c r="Z127" s="13" t="str">
        <f aca="false">IF(U127="","",J127*U127/100)</f>
        <v/>
      </c>
      <c r="AA127" s="6" t="s">
        <v>125</v>
      </c>
      <c r="AB127" s="6" t="s">
        <v>147</v>
      </c>
      <c r="AC127" s="6" t="s">
        <v>593</v>
      </c>
      <c r="AD127" s="13" t="n">
        <f aca="false">IF(AC127="","",IFERROR(INDEX('INDB Full Nutrients'!$D:$D,MATCH(AC127,'INDB Full Nutrients'!$A:$A,0)),""))</f>
        <v>366.586975097656</v>
      </c>
      <c r="AE127" s="6" t="s">
        <v>594</v>
      </c>
      <c r="AF127" s="6" t="s">
        <v>595</v>
      </c>
    </row>
    <row r="128" customFormat="false" ht="15" hidden="false" customHeight="false" outlineLevel="0" collapsed="false">
      <c r="A128" s="6" t="s">
        <v>596</v>
      </c>
      <c r="B128" s="6" t="s">
        <v>597</v>
      </c>
      <c r="C128" s="6" t="s">
        <v>598</v>
      </c>
      <c r="D128" s="6" t="s">
        <v>42</v>
      </c>
      <c r="E128" s="6" t="s">
        <v>114</v>
      </c>
      <c r="F128" s="6" t="s">
        <v>100</v>
      </c>
      <c r="G128" s="6" t="s">
        <v>124</v>
      </c>
      <c r="H128" s="6" t="s">
        <v>442</v>
      </c>
      <c r="I128" s="6" t="s">
        <v>298</v>
      </c>
      <c r="J128" s="13" t="n">
        <f aca="false">4*K128+4*(L128-N128)+9*M128+2*N128</f>
        <v>179</v>
      </c>
      <c r="K128" s="14" t="n">
        <v>7</v>
      </c>
      <c r="L128" s="14" t="n">
        <v>20</v>
      </c>
      <c r="M128" s="14" t="n">
        <v>9</v>
      </c>
      <c r="N128" s="14" t="n">
        <v>5</v>
      </c>
      <c r="O128" s="14" t="n">
        <v>2.5</v>
      </c>
      <c r="P128" s="15" t="n">
        <v>420</v>
      </c>
      <c r="Q128" s="16" t="n">
        <v>150</v>
      </c>
      <c r="R128" s="16" t="n">
        <v>200</v>
      </c>
      <c r="S128" s="16" t="n">
        <v>250</v>
      </c>
      <c r="T128" s="6"/>
      <c r="U128" s="6"/>
      <c r="V128" s="13" t="n">
        <f aca="false">IF(Q128="","",J128*Q128/100)</f>
        <v>268.5</v>
      </c>
      <c r="W128" s="13" t="n">
        <f aca="false">IF(R128="","",J128*R128/100)</f>
        <v>358</v>
      </c>
      <c r="X128" s="13" t="n">
        <f aca="false">IF(S128="","",J128*S128/100)</f>
        <v>447.5</v>
      </c>
      <c r="Y128" s="13" t="str">
        <f aca="false">IF(T128="","",J128*T128/100)</f>
        <v/>
      </c>
      <c r="Z128" s="13" t="str">
        <f aca="false">IF(U128="","",J128*U128/100)</f>
        <v/>
      </c>
      <c r="AA128" s="6" t="s">
        <v>103</v>
      </c>
      <c r="AB128" s="6" t="s">
        <v>104</v>
      </c>
      <c r="AC128" s="6"/>
      <c r="AD128" s="13" t="str">
        <f aca="false">IF(AC128="","",IFERROR(INDEX('INDB Full Nutrients'!$D:$D,MATCH(AC128,'INDB Full Nutrients'!$A:$A,0)),""))</f>
        <v/>
      </c>
      <c r="AE128" s="6"/>
      <c r="AF128" s="6" t="s">
        <v>599</v>
      </c>
    </row>
    <row r="129" customFormat="false" ht="15" hidden="false" customHeight="false" outlineLevel="0" collapsed="false">
      <c r="A129" s="6" t="s">
        <v>600</v>
      </c>
      <c r="B129" s="6" t="s">
        <v>601</v>
      </c>
      <c r="C129" s="6" t="s">
        <v>602</v>
      </c>
      <c r="D129" s="6" t="s">
        <v>42</v>
      </c>
      <c r="E129" s="6" t="s">
        <v>161</v>
      </c>
      <c r="F129" s="6" t="s">
        <v>100</v>
      </c>
      <c r="G129" s="6" t="s">
        <v>124</v>
      </c>
      <c r="H129" s="6" t="s">
        <v>603</v>
      </c>
      <c r="I129" s="6" t="s">
        <v>298</v>
      </c>
      <c r="J129" s="13" t="n">
        <f aca="false">4*K129+4*(L129-N129)+9*M129+2*N129</f>
        <v>387</v>
      </c>
      <c r="K129" s="14" t="n">
        <v>7.5</v>
      </c>
      <c r="L129" s="14" t="n">
        <v>42</v>
      </c>
      <c r="M129" s="14" t="n">
        <v>22</v>
      </c>
      <c r="N129" s="14" t="n">
        <v>4.5</v>
      </c>
      <c r="O129" s="14" t="n">
        <v>2</v>
      </c>
      <c r="P129" s="15" t="n">
        <v>450</v>
      </c>
      <c r="Q129" s="16" t="n">
        <v>40</v>
      </c>
      <c r="R129" s="16" t="n">
        <v>60</v>
      </c>
      <c r="S129" s="16" t="n">
        <v>80</v>
      </c>
      <c r="T129" s="6"/>
      <c r="U129" s="6"/>
      <c r="V129" s="13" t="n">
        <f aca="false">IF(Q129="","",J129*Q129/100)</f>
        <v>154.8</v>
      </c>
      <c r="W129" s="13" t="n">
        <f aca="false">IF(R129="","",J129*R129/100)</f>
        <v>232.2</v>
      </c>
      <c r="X129" s="13" t="n">
        <f aca="false">IF(S129="","",J129*S129/100)</f>
        <v>309.6</v>
      </c>
      <c r="Y129" s="13" t="str">
        <f aca="false">IF(T129="","",J129*T129/100)</f>
        <v/>
      </c>
      <c r="Z129" s="13" t="str">
        <f aca="false">IF(U129="","",J129*U129/100)</f>
        <v/>
      </c>
      <c r="AA129" s="6" t="s">
        <v>103</v>
      </c>
      <c r="AB129" s="6" t="s">
        <v>104</v>
      </c>
      <c r="AC129" s="6" t="s">
        <v>604</v>
      </c>
      <c r="AD129" s="13" t="n">
        <f aca="false">IF(AC129="","",IFERROR(INDEX('INDB Full Nutrients'!$D:$D,MATCH(AC129,'INDB Full Nutrients'!$A:$A,0)),""))</f>
        <v>712.728759765625</v>
      </c>
      <c r="AE129" s="6" t="s">
        <v>576</v>
      </c>
      <c r="AF129" s="6" t="s">
        <v>577</v>
      </c>
    </row>
    <row r="130" customFormat="false" ht="15" hidden="false" customHeight="false" outlineLevel="0" collapsed="false">
      <c r="A130" s="6" t="s">
        <v>605</v>
      </c>
      <c r="B130" s="6" t="s">
        <v>606</v>
      </c>
      <c r="C130" s="6" t="s">
        <v>607</v>
      </c>
      <c r="D130" s="6" t="s">
        <v>42</v>
      </c>
      <c r="E130" s="6" t="s">
        <v>114</v>
      </c>
      <c r="F130" s="6" t="s">
        <v>100</v>
      </c>
      <c r="G130" s="6" t="s">
        <v>124</v>
      </c>
      <c r="H130" s="6" t="s">
        <v>603</v>
      </c>
      <c r="I130" s="6" t="s">
        <v>298</v>
      </c>
      <c r="J130" s="13" t="n">
        <f aca="false">4*K130+4*(L130-N130)+9*M130+2*N130</f>
        <v>384</v>
      </c>
      <c r="K130" s="14" t="n">
        <v>6</v>
      </c>
      <c r="L130" s="14" t="n">
        <v>40</v>
      </c>
      <c r="M130" s="14" t="n">
        <v>23</v>
      </c>
      <c r="N130" s="14" t="n">
        <v>3.5</v>
      </c>
      <c r="O130" s="14" t="n">
        <v>3</v>
      </c>
      <c r="P130" s="15" t="n">
        <v>480</v>
      </c>
      <c r="Q130" s="16" t="n">
        <v>60</v>
      </c>
      <c r="R130" s="16" t="n">
        <v>80</v>
      </c>
      <c r="S130" s="16" t="n">
        <v>100</v>
      </c>
      <c r="T130" s="6"/>
      <c r="U130" s="6"/>
      <c r="V130" s="13" t="n">
        <f aca="false">IF(Q130="","",J130*Q130/100)</f>
        <v>230.4</v>
      </c>
      <c r="W130" s="13" t="n">
        <f aca="false">IF(R130="","",J130*R130/100)</f>
        <v>307.2</v>
      </c>
      <c r="X130" s="13" t="n">
        <f aca="false">IF(S130="","",J130*S130/100)</f>
        <v>384</v>
      </c>
      <c r="Y130" s="13" t="str">
        <f aca="false">IF(T130="","",J130*T130/100)</f>
        <v/>
      </c>
      <c r="Z130" s="13" t="str">
        <f aca="false">IF(U130="","",J130*U130/100)</f>
        <v/>
      </c>
      <c r="AA130" s="6" t="s">
        <v>103</v>
      </c>
      <c r="AB130" s="6" t="s">
        <v>104</v>
      </c>
      <c r="AC130" s="6"/>
      <c r="AD130" s="13" t="str">
        <f aca="false">IF(AC130="","",IFERROR(INDEX('INDB Full Nutrients'!$D:$D,MATCH(AC130,'INDB Full Nutrients'!$A:$A,0)),""))</f>
        <v/>
      </c>
      <c r="AE130" s="6"/>
      <c r="AF130" s="6"/>
    </row>
    <row r="131" customFormat="false" ht="15" hidden="false" customHeight="false" outlineLevel="0" collapsed="false">
      <c r="A131" s="6" t="s">
        <v>608</v>
      </c>
      <c r="B131" s="6" t="s">
        <v>609</v>
      </c>
      <c r="C131" s="6" t="s">
        <v>610</v>
      </c>
      <c r="D131" s="6" t="s">
        <v>42</v>
      </c>
      <c r="E131" s="6" t="s">
        <v>161</v>
      </c>
      <c r="F131" s="6" t="s">
        <v>100</v>
      </c>
      <c r="G131" s="6" t="s">
        <v>124</v>
      </c>
      <c r="H131" s="6" t="s">
        <v>603</v>
      </c>
      <c r="I131" s="6" t="s">
        <v>298</v>
      </c>
      <c r="J131" s="13" t="n">
        <f aca="false">4*K131+4*(L131-N131)+9*M131+2*N131</f>
        <v>349</v>
      </c>
      <c r="K131" s="14" t="n">
        <v>6.5</v>
      </c>
      <c r="L131" s="14" t="n">
        <v>38</v>
      </c>
      <c r="M131" s="14" t="n">
        <v>20</v>
      </c>
      <c r="N131" s="14" t="n">
        <v>4.5</v>
      </c>
      <c r="O131" s="14" t="n">
        <v>2</v>
      </c>
      <c r="P131" s="15" t="n">
        <v>420</v>
      </c>
      <c r="Q131" s="16" t="n">
        <v>30</v>
      </c>
      <c r="R131" s="16" t="n">
        <v>45</v>
      </c>
      <c r="S131" s="16" t="n">
        <v>60</v>
      </c>
      <c r="T131" s="6"/>
      <c r="U131" s="6"/>
      <c r="V131" s="13" t="n">
        <f aca="false">IF(Q131="","",J131*Q131/100)</f>
        <v>104.7</v>
      </c>
      <c r="W131" s="13" t="n">
        <f aca="false">IF(R131="","",J131*R131/100)</f>
        <v>157.05</v>
      </c>
      <c r="X131" s="13" t="n">
        <f aca="false">IF(S131="","",J131*S131/100)</f>
        <v>209.4</v>
      </c>
      <c r="Y131" s="13" t="str">
        <f aca="false">IF(T131="","",J131*T131/100)</f>
        <v/>
      </c>
      <c r="Z131" s="13" t="str">
        <f aca="false">IF(U131="","",J131*U131/100)</f>
        <v/>
      </c>
      <c r="AA131" s="6" t="s">
        <v>103</v>
      </c>
      <c r="AB131" s="6" t="s">
        <v>104</v>
      </c>
      <c r="AC131" s="6" t="s">
        <v>611</v>
      </c>
      <c r="AD131" s="13" t="n">
        <f aca="false">IF(AC131="","",IFERROR(INDEX('INDB Full Nutrients'!$D:$D,MATCH(AC131,'INDB Full Nutrients'!$A:$A,0)),""))</f>
        <v>584.683349609375</v>
      </c>
      <c r="AE131" s="6" t="s">
        <v>576</v>
      </c>
      <c r="AF131" s="6"/>
    </row>
    <row r="132" customFormat="false" ht="15" hidden="false" customHeight="false" outlineLevel="0" collapsed="false">
      <c r="A132" s="6" t="s">
        <v>612</v>
      </c>
      <c r="B132" s="6" t="s">
        <v>613</v>
      </c>
      <c r="C132" s="6" t="s">
        <v>614</v>
      </c>
      <c r="D132" s="6" t="s">
        <v>42</v>
      </c>
      <c r="E132" s="6" t="s">
        <v>114</v>
      </c>
      <c r="F132" s="6" t="s">
        <v>100</v>
      </c>
      <c r="G132" s="6"/>
      <c r="H132" s="6" t="s">
        <v>442</v>
      </c>
      <c r="I132" s="6" t="s">
        <v>298</v>
      </c>
      <c r="J132" s="13" t="n">
        <f aca="false">4*K132+4*(L132-N132)+9*M132+2*N132</f>
        <v>153.5</v>
      </c>
      <c r="K132" s="14" t="n">
        <v>6</v>
      </c>
      <c r="L132" s="14" t="n">
        <v>23</v>
      </c>
      <c r="M132" s="14" t="n">
        <v>4.5</v>
      </c>
      <c r="N132" s="14" t="n">
        <v>1.5</v>
      </c>
      <c r="O132" s="14" t="n">
        <v>6</v>
      </c>
      <c r="P132" s="15" t="n">
        <v>500</v>
      </c>
      <c r="Q132" s="16" t="n">
        <v>25</v>
      </c>
      <c r="R132" s="16" t="n">
        <v>40</v>
      </c>
      <c r="S132" s="16" t="n">
        <v>60</v>
      </c>
      <c r="T132" s="6"/>
      <c r="U132" s="6"/>
      <c r="V132" s="13" t="n">
        <f aca="false">IF(Q132="","",J132*Q132/100)</f>
        <v>38.375</v>
      </c>
      <c r="W132" s="13" t="n">
        <f aca="false">IF(R132="","",J132*R132/100)</f>
        <v>61.4</v>
      </c>
      <c r="X132" s="13" t="n">
        <f aca="false">IF(S132="","",J132*S132/100)</f>
        <v>92.1</v>
      </c>
      <c r="Y132" s="13" t="str">
        <f aca="false">IF(T132="","",J132*T132/100)</f>
        <v/>
      </c>
      <c r="Z132" s="13" t="str">
        <f aca="false">IF(U132="","",J132*U132/100)</f>
        <v/>
      </c>
      <c r="AA132" s="6" t="s">
        <v>103</v>
      </c>
      <c r="AB132" s="6" t="s">
        <v>104</v>
      </c>
      <c r="AC132" s="6" t="s">
        <v>615</v>
      </c>
      <c r="AD132" s="13" t="n">
        <f aca="false">IF(AC132="","",IFERROR(INDEX('INDB Full Nutrients'!$D:$D,MATCH(AC132,'INDB Full Nutrients'!$A:$A,0)),""))</f>
        <v>54.7265930175781</v>
      </c>
      <c r="AE132" s="6" t="s">
        <v>616</v>
      </c>
      <c r="AF132" s="6"/>
    </row>
    <row r="133" customFormat="false" ht="15" hidden="false" customHeight="false" outlineLevel="0" collapsed="false">
      <c r="A133" s="6" t="s">
        <v>617</v>
      </c>
      <c r="B133" s="6" t="s">
        <v>618</v>
      </c>
      <c r="C133" s="6" t="s">
        <v>619</v>
      </c>
      <c r="D133" s="6" t="s">
        <v>42</v>
      </c>
      <c r="E133" s="6" t="s">
        <v>114</v>
      </c>
      <c r="F133" s="6" t="s">
        <v>100</v>
      </c>
      <c r="G133" s="6"/>
      <c r="H133" s="6" t="s">
        <v>442</v>
      </c>
      <c r="I133" s="6" t="s">
        <v>298</v>
      </c>
      <c r="J133" s="13" t="n">
        <f aca="false">4*K133+4*(L133-N133)+9*M133+2*N133</f>
        <v>165</v>
      </c>
      <c r="K133" s="14" t="n">
        <v>4.5</v>
      </c>
      <c r="L133" s="14" t="n">
        <v>26</v>
      </c>
      <c r="M133" s="14" t="n">
        <v>5</v>
      </c>
      <c r="N133" s="14" t="n">
        <v>1</v>
      </c>
      <c r="O133" s="14" t="n">
        <v>3</v>
      </c>
      <c r="P133" s="15" t="n">
        <v>450</v>
      </c>
      <c r="Q133" s="16" t="n">
        <v>25</v>
      </c>
      <c r="R133" s="16" t="n">
        <v>40</v>
      </c>
      <c r="S133" s="16" t="n">
        <v>60</v>
      </c>
      <c r="T133" s="6"/>
      <c r="U133" s="6"/>
      <c r="V133" s="13" t="n">
        <f aca="false">IF(Q133="","",J133*Q133/100)</f>
        <v>41.25</v>
      </c>
      <c r="W133" s="13" t="n">
        <f aca="false">IF(R133="","",J133*R133/100)</f>
        <v>66</v>
      </c>
      <c r="X133" s="13" t="n">
        <f aca="false">IF(S133="","",J133*S133/100)</f>
        <v>99</v>
      </c>
      <c r="Y133" s="13" t="str">
        <f aca="false">IF(T133="","",J133*T133/100)</f>
        <v/>
      </c>
      <c r="Z133" s="13" t="str">
        <f aca="false">IF(U133="","",J133*U133/100)</f>
        <v/>
      </c>
      <c r="AA133" s="6" t="s">
        <v>125</v>
      </c>
      <c r="AB133" s="6" t="s">
        <v>147</v>
      </c>
      <c r="AC133" s="6" t="s">
        <v>620</v>
      </c>
      <c r="AD133" s="13" t="n">
        <f aca="false">IF(AC133="","",IFERROR(INDEX('INDB Full Nutrients'!$D:$D,MATCH(AC133,'INDB Full Nutrients'!$A:$A,0)),""))</f>
        <v>194.914688110352</v>
      </c>
      <c r="AE133" s="6" t="s">
        <v>621</v>
      </c>
      <c r="AF133" s="6"/>
    </row>
    <row r="134" customFormat="false" ht="15" hidden="false" customHeight="false" outlineLevel="0" collapsed="false">
      <c r="A134" s="6" t="s">
        <v>622</v>
      </c>
      <c r="B134" s="6" t="s">
        <v>623</v>
      </c>
      <c r="C134" s="6"/>
      <c r="D134" s="6" t="s">
        <v>42</v>
      </c>
      <c r="E134" s="6" t="s">
        <v>114</v>
      </c>
      <c r="F134" s="6" t="s">
        <v>100</v>
      </c>
      <c r="G134" s="6"/>
      <c r="H134" s="6" t="s">
        <v>603</v>
      </c>
      <c r="I134" s="6" t="s">
        <v>298</v>
      </c>
      <c r="J134" s="13" t="n">
        <f aca="false">4*K134+4*(L134-N134)+9*M134+2*N134</f>
        <v>167</v>
      </c>
      <c r="K134" s="14" t="n">
        <v>7</v>
      </c>
      <c r="L134" s="14" t="n">
        <v>18</v>
      </c>
      <c r="M134" s="14" t="n">
        <v>8</v>
      </c>
      <c r="N134" s="14" t="n">
        <v>2.5</v>
      </c>
      <c r="O134" s="14" t="n">
        <v>2.5</v>
      </c>
      <c r="P134" s="15" t="n">
        <v>450</v>
      </c>
      <c r="Q134" s="16" t="n">
        <v>50</v>
      </c>
      <c r="R134" s="16" t="n">
        <v>100</v>
      </c>
      <c r="S134" s="16" t="n">
        <v>150</v>
      </c>
      <c r="T134" s="6"/>
      <c r="U134" s="6"/>
      <c r="V134" s="13" t="n">
        <f aca="false">IF(Q134="","",J134*Q134/100)</f>
        <v>83.5</v>
      </c>
      <c r="W134" s="13" t="n">
        <f aca="false">IF(R134="","",J134*R134/100)</f>
        <v>167</v>
      </c>
      <c r="X134" s="13" t="n">
        <f aca="false">IF(S134="","",J134*S134/100)</f>
        <v>250.5</v>
      </c>
      <c r="Y134" s="13" t="str">
        <f aca="false">IF(T134="","",J134*T134/100)</f>
        <v/>
      </c>
      <c r="Z134" s="13" t="str">
        <f aca="false">IF(U134="","",J134*U134/100)</f>
        <v/>
      </c>
      <c r="AA134" s="6" t="s">
        <v>103</v>
      </c>
      <c r="AB134" s="6" t="s">
        <v>104</v>
      </c>
      <c r="AC134" s="6"/>
      <c r="AD134" s="13" t="str">
        <f aca="false">IF(AC134="","",IFERROR(INDEX('INDB Full Nutrients'!$D:$D,MATCH(AC134,'INDB Full Nutrients'!$A:$A,0)),""))</f>
        <v/>
      </c>
      <c r="AE134" s="6"/>
      <c r="AF134" s="6"/>
    </row>
    <row r="135" customFormat="false" ht="15" hidden="false" customHeight="false" outlineLevel="0" collapsed="false">
      <c r="A135" s="6" t="s">
        <v>624</v>
      </c>
      <c r="B135" s="6" t="s">
        <v>625</v>
      </c>
      <c r="C135" s="6" t="s">
        <v>626</v>
      </c>
      <c r="D135" s="6" t="s">
        <v>42</v>
      </c>
      <c r="E135" s="6" t="s">
        <v>114</v>
      </c>
      <c r="F135" s="6" t="s">
        <v>100</v>
      </c>
      <c r="G135" s="6"/>
      <c r="H135" s="6" t="s">
        <v>442</v>
      </c>
      <c r="I135" s="6" t="s">
        <v>298</v>
      </c>
      <c r="J135" s="13" t="n">
        <f aca="false">4*K135+4*(L135-N135)+9*M135+2*N135</f>
        <v>202</v>
      </c>
      <c r="K135" s="14" t="n">
        <v>7</v>
      </c>
      <c r="L135" s="14" t="n">
        <v>25</v>
      </c>
      <c r="M135" s="14" t="n">
        <v>9</v>
      </c>
      <c r="N135" s="14" t="n">
        <v>3.5</v>
      </c>
      <c r="O135" s="14" t="n">
        <v>3</v>
      </c>
      <c r="P135" s="15" t="n">
        <v>400</v>
      </c>
      <c r="Q135" s="16" t="n">
        <v>60</v>
      </c>
      <c r="R135" s="16" t="n">
        <v>100</v>
      </c>
      <c r="S135" s="16" t="n">
        <v>150</v>
      </c>
      <c r="T135" s="6"/>
      <c r="U135" s="6"/>
      <c r="V135" s="13" t="n">
        <f aca="false">IF(Q135="","",J135*Q135/100)</f>
        <v>121.2</v>
      </c>
      <c r="W135" s="13" t="n">
        <f aca="false">IF(R135="","",J135*R135/100)</f>
        <v>202</v>
      </c>
      <c r="X135" s="13" t="n">
        <f aca="false">IF(S135="","",J135*S135/100)</f>
        <v>303</v>
      </c>
      <c r="Y135" s="13" t="str">
        <f aca="false">IF(T135="","",J135*T135/100)</f>
        <v/>
      </c>
      <c r="Z135" s="13" t="str">
        <f aca="false">IF(U135="","",J135*U135/100)</f>
        <v/>
      </c>
      <c r="AA135" s="6" t="s">
        <v>103</v>
      </c>
      <c r="AB135" s="6" t="s">
        <v>104</v>
      </c>
      <c r="AC135" s="6" t="s">
        <v>627</v>
      </c>
      <c r="AD135" s="13" t="n">
        <f aca="false">IF(AC135="","",IFERROR(INDEX('INDB Full Nutrients'!$D:$D,MATCH(AC135,'INDB Full Nutrients'!$A:$A,0)),""))</f>
        <v>207.089447021484</v>
      </c>
      <c r="AE135" s="6" t="s">
        <v>628</v>
      </c>
      <c r="AF135" s="6"/>
    </row>
    <row r="136" customFormat="false" ht="15" hidden="false" customHeight="false" outlineLevel="0" collapsed="false">
      <c r="A136" s="6" t="s">
        <v>629</v>
      </c>
      <c r="B136" s="6" t="s">
        <v>630</v>
      </c>
      <c r="C136" s="6" t="s">
        <v>631</v>
      </c>
      <c r="D136" s="6" t="s">
        <v>42</v>
      </c>
      <c r="E136" s="6" t="s">
        <v>114</v>
      </c>
      <c r="F136" s="6" t="s">
        <v>100</v>
      </c>
      <c r="G136" s="6" t="s">
        <v>124</v>
      </c>
      <c r="H136" s="6" t="s">
        <v>603</v>
      </c>
      <c r="I136" s="6" t="s">
        <v>298</v>
      </c>
      <c r="J136" s="13" t="n">
        <f aca="false">4*K136+4*(L136-N136)+9*M136+2*N136</f>
        <v>391</v>
      </c>
      <c r="K136" s="14" t="n">
        <v>11</v>
      </c>
      <c r="L136" s="14" t="n">
        <v>62</v>
      </c>
      <c r="M136" s="14" t="n">
        <v>13</v>
      </c>
      <c r="N136" s="14" t="n">
        <v>9</v>
      </c>
      <c r="O136" s="14" t="n">
        <v>2</v>
      </c>
      <c r="P136" s="15" t="n">
        <v>800</v>
      </c>
      <c r="Q136" s="16" t="n">
        <v>15</v>
      </c>
      <c r="R136" s="16" t="n">
        <v>20</v>
      </c>
      <c r="S136" s="16" t="n">
        <v>30</v>
      </c>
      <c r="T136" s="6"/>
      <c r="U136" s="6"/>
      <c r="V136" s="13" t="n">
        <f aca="false">IF(Q136="","",J136*Q136/100)</f>
        <v>58.65</v>
      </c>
      <c r="W136" s="13" t="n">
        <f aca="false">IF(R136="","",J136*R136/100)</f>
        <v>78.2</v>
      </c>
      <c r="X136" s="13" t="n">
        <f aca="false">IF(S136="","",J136*S136/100)</f>
        <v>117.3</v>
      </c>
      <c r="Y136" s="13" t="str">
        <f aca="false">IF(T136="","",J136*T136/100)</f>
        <v/>
      </c>
      <c r="Z136" s="13" t="str">
        <f aca="false">IF(U136="","",J136*U136/100)</f>
        <v/>
      </c>
      <c r="AA136" s="6" t="s">
        <v>103</v>
      </c>
      <c r="AB136" s="6" t="s">
        <v>104</v>
      </c>
      <c r="AC136" s="6" t="s">
        <v>632</v>
      </c>
      <c r="AD136" s="13" t="n">
        <f aca="false">IF(AC136="","",IFERROR(INDEX('INDB Full Nutrients'!$D:$D,MATCH(AC136,'INDB Full Nutrients'!$A:$A,0)),""))</f>
        <v>178.495971679688</v>
      </c>
      <c r="AE136" s="6" t="s">
        <v>633</v>
      </c>
      <c r="AF136" s="6"/>
    </row>
    <row r="137" customFormat="false" ht="15" hidden="false" customHeight="false" outlineLevel="0" collapsed="false">
      <c r="A137" s="6" t="s">
        <v>634</v>
      </c>
      <c r="B137" s="6" t="s">
        <v>635</v>
      </c>
      <c r="C137" s="6"/>
      <c r="D137" s="6" t="s">
        <v>42</v>
      </c>
      <c r="E137" s="6" t="s">
        <v>114</v>
      </c>
      <c r="F137" s="6" t="s">
        <v>100</v>
      </c>
      <c r="G137" s="6" t="s">
        <v>124</v>
      </c>
      <c r="H137" s="6" t="s">
        <v>603</v>
      </c>
      <c r="I137" s="6" t="s">
        <v>298</v>
      </c>
      <c r="J137" s="13" t="n">
        <f aca="false">4*K137+4*(L137-N137)+9*M137+2*N137</f>
        <v>466</v>
      </c>
      <c r="K137" s="14" t="n">
        <v>12</v>
      </c>
      <c r="L137" s="14" t="n">
        <v>40</v>
      </c>
      <c r="M137" s="14" t="n">
        <v>30</v>
      </c>
      <c r="N137" s="14" t="n">
        <v>6</v>
      </c>
      <c r="O137" s="14" t="n">
        <v>1.5</v>
      </c>
      <c r="P137" s="15" t="n">
        <v>700</v>
      </c>
      <c r="Q137" s="16" t="n">
        <v>25</v>
      </c>
      <c r="R137" s="16" t="n">
        <v>50</v>
      </c>
      <c r="S137" s="16" t="n">
        <v>100</v>
      </c>
      <c r="T137" s="6"/>
      <c r="U137" s="6"/>
      <c r="V137" s="13" t="n">
        <f aca="false">IF(Q137="","",J137*Q137/100)</f>
        <v>116.5</v>
      </c>
      <c r="W137" s="13" t="n">
        <f aca="false">IF(R137="","",J137*R137/100)</f>
        <v>233</v>
      </c>
      <c r="X137" s="13" t="n">
        <f aca="false">IF(S137="","",J137*S137/100)</f>
        <v>466</v>
      </c>
      <c r="Y137" s="13" t="str">
        <f aca="false">IF(T137="","",J137*T137/100)</f>
        <v/>
      </c>
      <c r="Z137" s="13" t="str">
        <f aca="false">IF(U137="","",J137*U137/100)</f>
        <v/>
      </c>
      <c r="AA137" s="6" t="s">
        <v>103</v>
      </c>
      <c r="AB137" s="6" t="s">
        <v>104</v>
      </c>
      <c r="AC137" s="6"/>
      <c r="AD137" s="13" t="str">
        <f aca="false">IF(AC137="","",IFERROR(INDEX('INDB Full Nutrients'!$D:$D,MATCH(AC137,'INDB Full Nutrients'!$A:$A,0)),""))</f>
        <v/>
      </c>
      <c r="AE137" s="6"/>
      <c r="AF137" s="6"/>
    </row>
    <row r="138" customFormat="false" ht="15" hidden="false" customHeight="false" outlineLevel="0" collapsed="false">
      <c r="A138" s="6" t="s">
        <v>636</v>
      </c>
      <c r="B138" s="6" t="s">
        <v>637</v>
      </c>
      <c r="C138" s="6" t="s">
        <v>638</v>
      </c>
      <c r="D138" s="6" t="s">
        <v>42</v>
      </c>
      <c r="E138" s="6" t="s">
        <v>114</v>
      </c>
      <c r="F138" s="6" t="s">
        <v>100</v>
      </c>
      <c r="G138" s="6"/>
      <c r="H138" s="6" t="s">
        <v>442</v>
      </c>
      <c r="I138" s="6" t="s">
        <v>298</v>
      </c>
      <c r="J138" s="13" t="n">
        <f aca="false">4*K138+4*(L138-N138)+9*M138+2*N138</f>
        <v>341.4</v>
      </c>
      <c r="K138" s="14" t="n">
        <v>7.5</v>
      </c>
      <c r="L138" s="14" t="n">
        <v>45</v>
      </c>
      <c r="M138" s="14" t="n">
        <v>15</v>
      </c>
      <c r="N138" s="14" t="n">
        <v>1.8</v>
      </c>
      <c r="O138" s="14" t="n">
        <v>9</v>
      </c>
      <c r="P138" s="15" t="n">
        <v>450</v>
      </c>
      <c r="Q138" s="16" t="n">
        <v>60</v>
      </c>
      <c r="R138" s="16" t="n">
        <v>80</v>
      </c>
      <c r="S138" s="16" t="n">
        <v>100</v>
      </c>
      <c r="T138" s="6"/>
      <c r="U138" s="6"/>
      <c r="V138" s="13" t="n">
        <f aca="false">IF(Q138="","",J138*Q138/100)</f>
        <v>204.84</v>
      </c>
      <c r="W138" s="13" t="n">
        <f aca="false">IF(R138="","",J138*R138/100)</f>
        <v>273.12</v>
      </c>
      <c r="X138" s="13" t="n">
        <f aca="false">IF(S138="","",J138*S138/100)</f>
        <v>341.4</v>
      </c>
      <c r="Y138" s="13" t="str">
        <f aca="false">IF(T138="","",J138*T138/100)</f>
        <v/>
      </c>
      <c r="Z138" s="13" t="str">
        <f aca="false">IF(U138="","",J138*U138/100)</f>
        <v/>
      </c>
      <c r="AA138" s="6" t="s">
        <v>103</v>
      </c>
      <c r="AB138" s="6" t="s">
        <v>104</v>
      </c>
      <c r="AC138" s="6"/>
      <c r="AD138" s="13" t="str">
        <f aca="false">IF(AC138="","",IFERROR(INDEX('INDB Full Nutrients'!$D:$D,MATCH(AC138,'INDB Full Nutrients'!$A:$A,0)),""))</f>
        <v/>
      </c>
      <c r="AE138" s="6"/>
      <c r="AF138" s="6"/>
    </row>
    <row r="139" customFormat="false" ht="15" hidden="false" customHeight="false" outlineLevel="0" collapsed="false">
      <c r="A139" s="6" t="s">
        <v>639</v>
      </c>
      <c r="B139" s="6" t="s">
        <v>640</v>
      </c>
      <c r="C139" s="6" t="s">
        <v>641</v>
      </c>
      <c r="D139" s="6" t="s">
        <v>43</v>
      </c>
      <c r="E139" s="6" t="s">
        <v>119</v>
      </c>
      <c r="F139" s="6" t="s">
        <v>100</v>
      </c>
      <c r="G139" s="6" t="s">
        <v>124</v>
      </c>
      <c r="H139" s="6" t="s">
        <v>442</v>
      </c>
      <c r="I139" s="6" t="s">
        <v>298</v>
      </c>
      <c r="J139" s="13" t="n">
        <f aca="false">4*K139+4*(L139-N139)+9*M139+2*N139</f>
        <v>132.5</v>
      </c>
      <c r="K139" s="14" t="n">
        <v>4.2</v>
      </c>
      <c r="L139" s="14" t="n">
        <v>28.5</v>
      </c>
      <c r="M139" s="14" t="n">
        <v>0.5</v>
      </c>
      <c r="N139" s="14" t="n">
        <v>1.4</v>
      </c>
      <c r="O139" s="14" t="n">
        <v>0.2</v>
      </c>
      <c r="P139" s="15" t="n">
        <v>250</v>
      </c>
      <c r="Q139" s="16" t="n">
        <v>30</v>
      </c>
      <c r="R139" s="16" t="n">
        <v>40</v>
      </c>
      <c r="S139" s="16" t="n">
        <v>55</v>
      </c>
      <c r="T139" s="6"/>
      <c r="U139" s="6"/>
      <c r="V139" s="13" t="n">
        <f aca="false">IF(Q139="","",J139*Q139/100)</f>
        <v>39.75</v>
      </c>
      <c r="W139" s="13" t="n">
        <f aca="false">IF(R139="","",J139*R139/100)</f>
        <v>53</v>
      </c>
      <c r="X139" s="13" t="n">
        <f aca="false">IF(S139="","",J139*S139/100)</f>
        <v>72.875</v>
      </c>
      <c r="Y139" s="13" t="str">
        <f aca="false">IF(T139="","",J139*T139/100)</f>
        <v/>
      </c>
      <c r="Z139" s="13" t="str">
        <f aca="false">IF(U139="","",J139*U139/100)</f>
        <v/>
      </c>
      <c r="AA139" s="6" t="s">
        <v>125</v>
      </c>
      <c r="AB139" s="6" t="s">
        <v>147</v>
      </c>
      <c r="AC139" s="6" t="s">
        <v>642</v>
      </c>
      <c r="AD139" s="13" t="n">
        <f aca="false">IF(AC139="","",IFERROR(INDEX('INDB Full Nutrients'!$D:$D,MATCH(AC139,'INDB Full Nutrients'!$A:$A,0)),""))</f>
        <v>137.535263061523</v>
      </c>
      <c r="AE139" s="6" t="s">
        <v>643</v>
      </c>
      <c r="AF139" s="6" t="s">
        <v>644</v>
      </c>
    </row>
    <row r="140" customFormat="false" ht="15" hidden="false" customHeight="false" outlineLevel="0" collapsed="false">
      <c r="A140" s="6" t="s">
        <v>645</v>
      </c>
      <c r="B140" s="6" t="s">
        <v>646</v>
      </c>
      <c r="C140" s="6" t="s">
        <v>647</v>
      </c>
      <c r="D140" s="6" t="s">
        <v>43</v>
      </c>
      <c r="E140" s="6" t="s">
        <v>119</v>
      </c>
      <c r="F140" s="6" t="s">
        <v>100</v>
      </c>
      <c r="G140" s="6"/>
      <c r="H140" s="6" t="s">
        <v>442</v>
      </c>
      <c r="I140" s="6" t="s">
        <v>298</v>
      </c>
      <c r="J140" s="13" t="n">
        <f aca="false">4*K140+4*(L140-N140)+9*M140+2*N140</f>
        <v>178.1</v>
      </c>
      <c r="K140" s="14" t="n">
        <v>4.5</v>
      </c>
      <c r="L140" s="14" t="n">
        <v>26</v>
      </c>
      <c r="M140" s="14" t="n">
        <v>6.5</v>
      </c>
      <c r="N140" s="14" t="n">
        <v>1.2</v>
      </c>
      <c r="O140" s="14" t="n">
        <v>1.5</v>
      </c>
      <c r="P140" s="15" t="n">
        <v>350</v>
      </c>
      <c r="Q140" s="16" t="n">
        <v>40</v>
      </c>
      <c r="R140" s="16" t="n">
        <v>55</v>
      </c>
      <c r="S140" s="16" t="n">
        <v>70</v>
      </c>
      <c r="T140" s="6"/>
      <c r="U140" s="6"/>
      <c r="V140" s="13" t="n">
        <f aca="false">IF(Q140="","",J140*Q140/100)</f>
        <v>71.24</v>
      </c>
      <c r="W140" s="13" t="n">
        <f aca="false">IF(R140="","",J140*R140/100)</f>
        <v>97.955</v>
      </c>
      <c r="X140" s="13" t="n">
        <f aca="false">IF(S140="","",J140*S140/100)</f>
        <v>124.67</v>
      </c>
      <c r="Y140" s="13" t="str">
        <f aca="false">IF(T140="","",J140*T140/100)</f>
        <v/>
      </c>
      <c r="Z140" s="13" t="str">
        <f aca="false">IF(U140="","",J140*U140/100)</f>
        <v/>
      </c>
      <c r="AA140" s="6" t="s">
        <v>125</v>
      </c>
      <c r="AB140" s="6" t="s">
        <v>147</v>
      </c>
      <c r="AC140" s="6" t="s">
        <v>648</v>
      </c>
      <c r="AD140" s="13" t="n">
        <f aca="false">IF(AC140="","",IFERROR(INDEX('INDB Full Nutrients'!$D:$D,MATCH(AC140,'INDB Full Nutrients'!$A:$A,0)),""))</f>
        <v>206.390426635742</v>
      </c>
      <c r="AE140" s="6" t="s">
        <v>649</v>
      </c>
      <c r="AF140" s="6"/>
    </row>
    <row r="141" customFormat="false" ht="15" hidden="false" customHeight="false" outlineLevel="0" collapsed="false">
      <c r="A141" s="6" t="s">
        <v>650</v>
      </c>
      <c r="B141" s="6" t="s">
        <v>651</v>
      </c>
      <c r="C141" s="6" t="s">
        <v>652</v>
      </c>
      <c r="D141" s="6" t="s">
        <v>43</v>
      </c>
      <c r="E141" s="6" t="s">
        <v>119</v>
      </c>
      <c r="F141" s="6" t="s">
        <v>100</v>
      </c>
      <c r="G141" s="6"/>
      <c r="H141" s="6" t="s">
        <v>442</v>
      </c>
      <c r="I141" s="6" t="s">
        <v>298</v>
      </c>
      <c r="J141" s="13" t="n">
        <f aca="false">4*K141+4*(L141-N141)+9*M141+2*N141</f>
        <v>177.6</v>
      </c>
      <c r="K141" s="14" t="n">
        <v>5</v>
      </c>
      <c r="L141" s="14" t="n">
        <v>27</v>
      </c>
      <c r="M141" s="14" t="n">
        <v>6</v>
      </c>
      <c r="N141" s="14" t="n">
        <v>2.2</v>
      </c>
      <c r="O141" s="14" t="n">
        <v>0.5</v>
      </c>
      <c r="P141" s="15" t="n">
        <v>350</v>
      </c>
      <c r="Q141" s="16" t="n">
        <v>60</v>
      </c>
      <c r="R141" s="16" t="n">
        <v>100</v>
      </c>
      <c r="S141" s="16" t="n">
        <v>150</v>
      </c>
      <c r="T141" s="6"/>
      <c r="U141" s="6"/>
      <c r="V141" s="13" t="n">
        <f aca="false">IF(Q141="","",J141*Q141/100)</f>
        <v>106.56</v>
      </c>
      <c r="W141" s="13" t="n">
        <f aca="false">IF(R141="","",J141*R141/100)</f>
        <v>177.6</v>
      </c>
      <c r="X141" s="13" t="n">
        <f aca="false">IF(S141="","",J141*S141/100)</f>
        <v>266.4</v>
      </c>
      <c r="Y141" s="13" t="str">
        <f aca="false">IF(T141="","",J141*T141/100)</f>
        <v/>
      </c>
      <c r="Z141" s="13" t="str">
        <f aca="false">IF(U141="","",J141*U141/100)</f>
        <v/>
      </c>
      <c r="AA141" s="6" t="s">
        <v>103</v>
      </c>
      <c r="AB141" s="6" t="s">
        <v>104</v>
      </c>
      <c r="AC141" s="6"/>
      <c r="AD141" s="13" t="str">
        <f aca="false">IF(AC141="","",IFERROR(INDEX('INDB Full Nutrients'!$D:$D,MATCH(AC141,'INDB Full Nutrients'!$A:$A,0)),""))</f>
        <v/>
      </c>
      <c r="AE141" s="6"/>
      <c r="AF141" s="6" t="s">
        <v>653</v>
      </c>
    </row>
    <row r="142" customFormat="false" ht="15" hidden="false" customHeight="false" outlineLevel="0" collapsed="false">
      <c r="A142" s="6" t="s">
        <v>654</v>
      </c>
      <c r="B142" s="6" t="s">
        <v>655</v>
      </c>
      <c r="C142" s="6" t="s">
        <v>656</v>
      </c>
      <c r="D142" s="6" t="s">
        <v>43</v>
      </c>
      <c r="E142" s="6" t="s">
        <v>119</v>
      </c>
      <c r="F142" s="6" t="s">
        <v>100</v>
      </c>
      <c r="G142" s="6" t="s">
        <v>124</v>
      </c>
      <c r="H142" s="6" t="s">
        <v>442</v>
      </c>
      <c r="I142" s="6" t="s">
        <v>298</v>
      </c>
      <c r="J142" s="13" t="n">
        <f aca="false">4*K142+4*(L142-N142)+9*M142+2*N142</f>
        <v>174</v>
      </c>
      <c r="K142" s="14" t="n">
        <v>3.9</v>
      </c>
      <c r="L142" s="14" t="n">
        <v>29</v>
      </c>
      <c r="M142" s="14" t="n">
        <v>5</v>
      </c>
      <c r="N142" s="14" t="n">
        <v>1.3</v>
      </c>
      <c r="O142" s="14" t="n">
        <v>0.5</v>
      </c>
      <c r="P142" s="15" t="n">
        <v>280</v>
      </c>
      <c r="Q142" s="16" t="n">
        <v>60</v>
      </c>
      <c r="R142" s="16" t="n">
        <v>85</v>
      </c>
      <c r="S142" s="16" t="n">
        <v>120</v>
      </c>
      <c r="T142" s="6"/>
      <c r="U142" s="6"/>
      <c r="V142" s="13" t="n">
        <f aca="false">IF(Q142="","",J142*Q142/100)</f>
        <v>104.4</v>
      </c>
      <c r="W142" s="13" t="n">
        <f aca="false">IF(R142="","",J142*R142/100)</f>
        <v>147.9</v>
      </c>
      <c r="X142" s="13" t="n">
        <f aca="false">IF(S142="","",J142*S142/100)</f>
        <v>208.8</v>
      </c>
      <c r="Y142" s="13" t="str">
        <f aca="false">IF(T142="","",J142*T142/100)</f>
        <v/>
      </c>
      <c r="Z142" s="13" t="str">
        <f aca="false">IF(U142="","",J142*U142/100)</f>
        <v/>
      </c>
      <c r="AA142" s="6" t="s">
        <v>103</v>
      </c>
      <c r="AB142" s="6" t="s">
        <v>104</v>
      </c>
      <c r="AC142" s="6" t="s">
        <v>657</v>
      </c>
      <c r="AD142" s="13" t="n">
        <f aca="false">IF(AC142="","",IFERROR(INDEX('INDB Full Nutrients'!$D:$D,MATCH(AC142,'INDB Full Nutrients'!$A:$A,0)),""))</f>
        <v>380.905792236328</v>
      </c>
      <c r="AE142" s="6" t="s">
        <v>658</v>
      </c>
      <c r="AF142" s="6" t="s">
        <v>659</v>
      </c>
    </row>
    <row r="143" customFormat="false" ht="15" hidden="false" customHeight="false" outlineLevel="0" collapsed="false">
      <c r="A143" s="6" t="s">
        <v>660</v>
      </c>
      <c r="B143" s="6" t="s">
        <v>661</v>
      </c>
      <c r="C143" s="6" t="s">
        <v>662</v>
      </c>
      <c r="D143" s="6" t="s">
        <v>43</v>
      </c>
      <c r="E143" s="6" t="s">
        <v>119</v>
      </c>
      <c r="F143" s="6" t="s">
        <v>100</v>
      </c>
      <c r="G143" s="6" t="s">
        <v>124</v>
      </c>
      <c r="H143" s="6" t="s">
        <v>442</v>
      </c>
      <c r="I143" s="6" t="s">
        <v>298</v>
      </c>
      <c r="J143" s="13" t="n">
        <f aca="false">4*K143+4*(L143-N143)+9*M143+2*N143</f>
        <v>187</v>
      </c>
      <c r="K143" s="14" t="n">
        <v>3.9</v>
      </c>
      <c r="L143" s="14" t="n">
        <v>30</v>
      </c>
      <c r="M143" s="14" t="n">
        <v>6</v>
      </c>
      <c r="N143" s="14" t="n">
        <v>1.3</v>
      </c>
      <c r="O143" s="14" t="n">
        <v>0.5</v>
      </c>
      <c r="P143" s="15" t="n">
        <v>280</v>
      </c>
      <c r="Q143" s="16" t="n">
        <v>70</v>
      </c>
      <c r="R143" s="16" t="n">
        <v>100</v>
      </c>
      <c r="S143" s="16" t="n">
        <v>140</v>
      </c>
      <c r="T143" s="6"/>
      <c r="U143" s="6"/>
      <c r="V143" s="13" t="n">
        <f aca="false">IF(Q143="","",J143*Q143/100)</f>
        <v>130.9</v>
      </c>
      <c r="W143" s="13" t="n">
        <f aca="false">IF(R143="","",J143*R143/100)</f>
        <v>187</v>
      </c>
      <c r="X143" s="13" t="n">
        <f aca="false">IF(S143="","",J143*S143/100)</f>
        <v>261.8</v>
      </c>
      <c r="Y143" s="13" t="str">
        <f aca="false">IF(T143="","",J143*T143/100)</f>
        <v/>
      </c>
      <c r="Z143" s="13" t="str">
        <f aca="false">IF(U143="","",J143*U143/100)</f>
        <v/>
      </c>
      <c r="AA143" s="6" t="s">
        <v>103</v>
      </c>
      <c r="AB143" s="6" t="s">
        <v>104</v>
      </c>
      <c r="AC143" s="6"/>
      <c r="AD143" s="13" t="str">
        <f aca="false">IF(AC143="","",IFERROR(INDEX('INDB Full Nutrients'!$D:$D,MATCH(AC143,'INDB Full Nutrients'!$A:$A,0)),""))</f>
        <v/>
      </c>
      <c r="AE143" s="6"/>
      <c r="AF143" s="6" t="s">
        <v>663</v>
      </c>
    </row>
    <row r="144" customFormat="false" ht="15" hidden="false" customHeight="false" outlineLevel="0" collapsed="false">
      <c r="A144" s="6" t="s">
        <v>664</v>
      </c>
      <c r="B144" s="6" t="s">
        <v>665</v>
      </c>
      <c r="C144" s="6"/>
      <c r="D144" s="6" t="s">
        <v>43</v>
      </c>
      <c r="E144" s="6" t="s">
        <v>119</v>
      </c>
      <c r="F144" s="6" t="s">
        <v>100</v>
      </c>
      <c r="G144" s="6" t="s">
        <v>124</v>
      </c>
      <c r="H144" s="6" t="s">
        <v>442</v>
      </c>
      <c r="I144" s="6" t="s">
        <v>298</v>
      </c>
      <c r="J144" s="13" t="n">
        <f aca="false">4*K144+4*(L144-N144)+9*M144+2*N144</f>
        <v>168.4</v>
      </c>
      <c r="K144" s="14" t="n">
        <v>3.6</v>
      </c>
      <c r="L144" s="14" t="n">
        <v>26</v>
      </c>
      <c r="M144" s="14" t="n">
        <v>6</v>
      </c>
      <c r="N144" s="14" t="n">
        <v>2</v>
      </c>
      <c r="O144" s="14" t="n">
        <v>1</v>
      </c>
      <c r="P144" s="15" t="n">
        <v>330</v>
      </c>
      <c r="Q144" s="16" t="n">
        <v>120</v>
      </c>
      <c r="R144" s="16" t="n">
        <v>170</v>
      </c>
      <c r="S144" s="16" t="n">
        <v>230</v>
      </c>
      <c r="T144" s="6"/>
      <c r="U144" s="6"/>
      <c r="V144" s="13" t="n">
        <f aca="false">IF(Q144="","",J144*Q144/100)</f>
        <v>202.08</v>
      </c>
      <c r="W144" s="13" t="n">
        <f aca="false">IF(R144="","",J144*R144/100)</f>
        <v>286.28</v>
      </c>
      <c r="X144" s="13" t="n">
        <f aca="false">IF(S144="","",J144*S144/100)</f>
        <v>387.32</v>
      </c>
      <c r="Y144" s="13" t="str">
        <f aca="false">IF(T144="","",J144*T144/100)</f>
        <v/>
      </c>
      <c r="Z144" s="13" t="str">
        <f aca="false">IF(U144="","",J144*U144/100)</f>
        <v/>
      </c>
      <c r="AA144" s="6" t="s">
        <v>125</v>
      </c>
      <c r="AB144" s="6" t="s">
        <v>147</v>
      </c>
      <c r="AC144" s="6" t="s">
        <v>666</v>
      </c>
      <c r="AD144" s="13" t="n">
        <f aca="false">IF(AC144="","",IFERROR(INDEX('INDB Full Nutrients'!$D:$D,MATCH(AC144,'INDB Full Nutrients'!$A:$A,0)),""))</f>
        <v>164.584671020508</v>
      </c>
      <c r="AE144" s="6" t="s">
        <v>667</v>
      </c>
      <c r="AF144" s="6" t="s">
        <v>668</v>
      </c>
    </row>
    <row r="145" customFormat="false" ht="15" hidden="false" customHeight="false" outlineLevel="0" collapsed="false">
      <c r="A145" s="6" t="s">
        <v>669</v>
      </c>
      <c r="B145" s="6" t="s">
        <v>670</v>
      </c>
      <c r="C145" s="6"/>
      <c r="D145" s="6" t="s">
        <v>43</v>
      </c>
      <c r="E145" s="6" t="s">
        <v>119</v>
      </c>
      <c r="F145" s="6" t="s">
        <v>100</v>
      </c>
      <c r="G145" s="6"/>
      <c r="H145" s="6" t="s">
        <v>442</v>
      </c>
      <c r="I145" s="6" t="s">
        <v>298</v>
      </c>
      <c r="J145" s="13" t="n">
        <f aca="false">4*K145+4*(L145-N145)+9*M145+2*N145</f>
        <v>223.8</v>
      </c>
      <c r="K145" s="14" t="n">
        <v>3.8</v>
      </c>
      <c r="L145" s="14" t="n">
        <v>28</v>
      </c>
      <c r="M145" s="14" t="n">
        <v>11</v>
      </c>
      <c r="N145" s="14" t="n">
        <v>1.2</v>
      </c>
      <c r="O145" s="14" t="n">
        <v>0.5</v>
      </c>
      <c r="P145" s="15" t="n">
        <v>280</v>
      </c>
      <c r="Q145" s="16" t="n">
        <v>70</v>
      </c>
      <c r="R145" s="16" t="n">
        <v>100</v>
      </c>
      <c r="S145" s="16" t="n">
        <v>140</v>
      </c>
      <c r="T145" s="6"/>
      <c r="U145" s="6"/>
      <c r="V145" s="13" t="n">
        <f aca="false">IF(Q145="","",J145*Q145/100)</f>
        <v>156.66</v>
      </c>
      <c r="W145" s="13" t="n">
        <f aca="false">IF(R145="","",J145*R145/100)</f>
        <v>223.8</v>
      </c>
      <c r="X145" s="13" t="n">
        <f aca="false">IF(S145="","",J145*S145/100)</f>
        <v>313.32</v>
      </c>
      <c r="Y145" s="13" t="str">
        <f aca="false">IF(T145="","",J145*T145/100)</f>
        <v/>
      </c>
      <c r="Z145" s="13" t="str">
        <f aca="false">IF(U145="","",J145*U145/100)</f>
        <v/>
      </c>
      <c r="AA145" s="6" t="s">
        <v>103</v>
      </c>
      <c r="AB145" s="6" t="s">
        <v>104</v>
      </c>
      <c r="AC145" s="6"/>
      <c r="AD145" s="13" t="str">
        <f aca="false">IF(AC145="","",IFERROR(INDEX('INDB Full Nutrients'!$D:$D,MATCH(AC145,'INDB Full Nutrients'!$A:$A,0)),""))</f>
        <v/>
      </c>
      <c r="AE145" s="6"/>
      <c r="AF145" s="6"/>
    </row>
    <row r="146" customFormat="false" ht="15" hidden="false" customHeight="false" outlineLevel="0" collapsed="false">
      <c r="A146" s="6" t="s">
        <v>671</v>
      </c>
      <c r="B146" s="6" t="s">
        <v>672</v>
      </c>
      <c r="C146" s="6"/>
      <c r="D146" s="6" t="s">
        <v>43</v>
      </c>
      <c r="E146" s="6" t="s">
        <v>119</v>
      </c>
      <c r="F146" s="6" t="s">
        <v>100</v>
      </c>
      <c r="G146" s="6"/>
      <c r="H146" s="6" t="s">
        <v>442</v>
      </c>
      <c r="I146" s="6" t="s">
        <v>298</v>
      </c>
      <c r="J146" s="13" t="n">
        <f aca="false">4*K146+4*(L146-N146)+9*M146+2*N146</f>
        <v>191.3</v>
      </c>
      <c r="K146" s="14" t="n">
        <v>3.8</v>
      </c>
      <c r="L146" s="14" t="n">
        <v>26</v>
      </c>
      <c r="M146" s="14" t="n">
        <v>8.5</v>
      </c>
      <c r="N146" s="14" t="n">
        <v>2.2</v>
      </c>
      <c r="O146" s="14" t="n">
        <v>1.5</v>
      </c>
      <c r="P146" s="15" t="n">
        <v>380</v>
      </c>
      <c r="Q146" s="16" t="n">
        <v>130</v>
      </c>
      <c r="R146" s="16" t="n">
        <v>180</v>
      </c>
      <c r="S146" s="16" t="n">
        <v>240</v>
      </c>
      <c r="T146" s="6"/>
      <c r="U146" s="6"/>
      <c r="V146" s="13" t="n">
        <f aca="false">IF(Q146="","",J146*Q146/100)</f>
        <v>248.69</v>
      </c>
      <c r="W146" s="13" t="n">
        <f aca="false">IF(R146="","",J146*R146/100)</f>
        <v>344.34</v>
      </c>
      <c r="X146" s="13" t="n">
        <f aca="false">IF(S146="","",J146*S146/100)</f>
        <v>459.12</v>
      </c>
      <c r="Y146" s="13" t="str">
        <f aca="false">IF(T146="","",J146*T146/100)</f>
        <v/>
      </c>
      <c r="Z146" s="13" t="str">
        <f aca="false">IF(U146="","",J146*U146/100)</f>
        <v/>
      </c>
      <c r="AA146" s="6" t="s">
        <v>103</v>
      </c>
      <c r="AB146" s="6" t="s">
        <v>104</v>
      </c>
      <c r="AC146" s="6"/>
      <c r="AD146" s="13" t="str">
        <f aca="false">IF(AC146="","",IFERROR(INDEX('INDB Full Nutrients'!$D:$D,MATCH(AC146,'INDB Full Nutrients'!$A:$A,0)),""))</f>
        <v/>
      </c>
      <c r="AE146" s="6"/>
      <c r="AF146" s="6" t="s">
        <v>673</v>
      </c>
    </row>
    <row r="147" customFormat="false" ht="15" hidden="false" customHeight="false" outlineLevel="0" collapsed="false">
      <c r="A147" s="6" t="s">
        <v>674</v>
      </c>
      <c r="B147" s="6" t="s">
        <v>675</v>
      </c>
      <c r="C147" s="6" t="s">
        <v>676</v>
      </c>
      <c r="D147" s="6" t="s">
        <v>43</v>
      </c>
      <c r="E147" s="6" t="s">
        <v>119</v>
      </c>
      <c r="F147" s="6" t="s">
        <v>100</v>
      </c>
      <c r="G147" s="6" t="s">
        <v>124</v>
      </c>
      <c r="H147" s="6" t="s">
        <v>442</v>
      </c>
      <c r="I147" s="6" t="s">
        <v>298</v>
      </c>
      <c r="J147" s="13" t="n">
        <f aca="false">4*K147+4*(L147-N147)+9*M147+2*N147</f>
        <v>213.8</v>
      </c>
      <c r="K147" s="14" t="n">
        <v>3.8</v>
      </c>
      <c r="L147" s="14" t="n">
        <v>30</v>
      </c>
      <c r="M147" s="14" t="n">
        <v>9</v>
      </c>
      <c r="N147" s="14" t="n">
        <v>1.2</v>
      </c>
      <c r="O147" s="14" t="n">
        <v>0.5</v>
      </c>
      <c r="P147" s="15" t="n">
        <v>330</v>
      </c>
      <c r="Q147" s="16" t="n">
        <v>70</v>
      </c>
      <c r="R147" s="16" t="n">
        <v>100</v>
      </c>
      <c r="S147" s="16" t="n">
        <v>130</v>
      </c>
      <c r="T147" s="6"/>
      <c r="U147" s="6"/>
      <c r="V147" s="13" t="n">
        <f aca="false">IF(Q147="","",J147*Q147/100)</f>
        <v>149.66</v>
      </c>
      <c r="W147" s="13" t="n">
        <f aca="false">IF(R147="","",J147*R147/100)</f>
        <v>213.8</v>
      </c>
      <c r="X147" s="13" t="n">
        <f aca="false">IF(S147="","",J147*S147/100)</f>
        <v>277.94</v>
      </c>
      <c r="Y147" s="13" t="str">
        <f aca="false">IF(T147="","",J147*T147/100)</f>
        <v/>
      </c>
      <c r="Z147" s="13" t="str">
        <f aca="false">IF(U147="","",J147*U147/100)</f>
        <v/>
      </c>
      <c r="AA147" s="6" t="s">
        <v>125</v>
      </c>
      <c r="AB147" s="6" t="s">
        <v>147</v>
      </c>
      <c r="AC147" s="6" t="s">
        <v>677</v>
      </c>
      <c r="AD147" s="13" t="n">
        <f aca="false">IF(AC147="","",IFERROR(INDEX('INDB Full Nutrients'!$D:$D,MATCH(AC147,'INDB Full Nutrients'!$A:$A,0)),""))</f>
        <v>227.052093505859</v>
      </c>
      <c r="AE147" s="6" t="s">
        <v>678</v>
      </c>
      <c r="AF147" s="6"/>
    </row>
    <row r="148" customFormat="false" ht="15" hidden="false" customHeight="false" outlineLevel="0" collapsed="false">
      <c r="A148" s="6" t="s">
        <v>679</v>
      </c>
      <c r="B148" s="6" t="s">
        <v>680</v>
      </c>
      <c r="C148" s="6"/>
      <c r="D148" s="6" t="s">
        <v>43</v>
      </c>
      <c r="E148" s="6" t="s">
        <v>119</v>
      </c>
      <c r="F148" s="6" t="s">
        <v>100</v>
      </c>
      <c r="G148" s="6" t="s">
        <v>124</v>
      </c>
      <c r="H148" s="6" t="s">
        <v>442</v>
      </c>
      <c r="I148" s="6" t="s">
        <v>298</v>
      </c>
      <c r="J148" s="13" t="n">
        <f aca="false">4*K148+4*(L148-N148)+9*M148+2*N148</f>
        <v>208.6</v>
      </c>
      <c r="K148" s="14" t="n">
        <v>3.7</v>
      </c>
      <c r="L148" s="14" t="n">
        <v>29</v>
      </c>
      <c r="M148" s="14" t="n">
        <v>9</v>
      </c>
      <c r="N148" s="14" t="n">
        <v>1.6</v>
      </c>
      <c r="O148" s="14" t="n">
        <v>1.5</v>
      </c>
      <c r="P148" s="15" t="n">
        <v>330</v>
      </c>
      <c r="Q148" s="16" t="n">
        <v>80</v>
      </c>
      <c r="R148" s="16" t="n">
        <v>110</v>
      </c>
      <c r="S148" s="16" t="n">
        <v>140</v>
      </c>
      <c r="T148" s="6"/>
      <c r="U148" s="6"/>
      <c r="V148" s="13" t="n">
        <f aca="false">IF(Q148="","",J148*Q148/100)</f>
        <v>166.88</v>
      </c>
      <c r="W148" s="13" t="n">
        <f aca="false">IF(R148="","",J148*R148/100)</f>
        <v>229.46</v>
      </c>
      <c r="X148" s="13" t="n">
        <f aca="false">IF(S148="","",J148*S148/100)</f>
        <v>292.04</v>
      </c>
      <c r="Y148" s="13" t="str">
        <f aca="false">IF(T148="","",J148*T148/100)</f>
        <v/>
      </c>
      <c r="Z148" s="13" t="str">
        <f aca="false">IF(U148="","",J148*U148/100)</f>
        <v/>
      </c>
      <c r="AA148" s="6" t="s">
        <v>103</v>
      </c>
      <c r="AB148" s="6" t="s">
        <v>104</v>
      </c>
      <c r="AC148" s="6"/>
      <c r="AD148" s="13" t="str">
        <f aca="false">IF(AC148="","",IFERROR(INDEX('INDB Full Nutrients'!$D:$D,MATCH(AC148,'INDB Full Nutrients'!$A:$A,0)),""))</f>
        <v/>
      </c>
      <c r="AE148" s="6"/>
      <c r="AF148" s="6"/>
    </row>
    <row r="149" customFormat="false" ht="15" hidden="false" customHeight="false" outlineLevel="0" collapsed="false">
      <c r="A149" s="6" t="s">
        <v>681</v>
      </c>
      <c r="B149" s="6" t="s">
        <v>682</v>
      </c>
      <c r="C149" s="6" t="s">
        <v>683</v>
      </c>
      <c r="D149" s="6" t="s">
        <v>43</v>
      </c>
      <c r="E149" s="6" t="s">
        <v>119</v>
      </c>
      <c r="F149" s="6" t="s">
        <v>100</v>
      </c>
      <c r="G149" s="6" t="s">
        <v>124</v>
      </c>
      <c r="H149" s="6" t="s">
        <v>442</v>
      </c>
      <c r="I149" s="6" t="s">
        <v>298</v>
      </c>
      <c r="J149" s="13" t="n">
        <f aca="false">4*K149+4*(L149-N149)+9*M149+2*N149</f>
        <v>169.6</v>
      </c>
      <c r="K149" s="14" t="n">
        <v>4</v>
      </c>
      <c r="L149" s="14" t="n">
        <v>30</v>
      </c>
      <c r="M149" s="14" t="n">
        <v>4</v>
      </c>
      <c r="N149" s="14" t="n">
        <v>1.2</v>
      </c>
      <c r="O149" s="14" t="n">
        <v>1.5</v>
      </c>
      <c r="P149" s="15" t="n">
        <v>300</v>
      </c>
      <c r="Q149" s="16" t="n">
        <v>40</v>
      </c>
      <c r="R149" s="16" t="n">
        <v>55</v>
      </c>
      <c r="S149" s="16" t="n">
        <v>70</v>
      </c>
      <c r="T149" s="6"/>
      <c r="U149" s="6"/>
      <c r="V149" s="13" t="n">
        <f aca="false">IF(Q149="","",J149*Q149/100)</f>
        <v>67.84</v>
      </c>
      <c r="W149" s="13" t="n">
        <f aca="false">IF(R149="","",J149*R149/100)</f>
        <v>93.28</v>
      </c>
      <c r="X149" s="13" t="n">
        <f aca="false">IF(S149="","",J149*S149/100)</f>
        <v>118.72</v>
      </c>
      <c r="Y149" s="13" t="str">
        <f aca="false">IF(T149="","",J149*T149/100)</f>
        <v/>
      </c>
      <c r="Z149" s="13" t="str">
        <f aca="false">IF(U149="","",J149*U149/100)</f>
        <v/>
      </c>
      <c r="AA149" s="6" t="s">
        <v>103</v>
      </c>
      <c r="AB149" s="6" t="s">
        <v>104</v>
      </c>
      <c r="AC149" s="6"/>
      <c r="AD149" s="13" t="str">
        <f aca="false">IF(AC149="","",IFERROR(INDEX('INDB Full Nutrients'!$D:$D,MATCH(AC149,'INDB Full Nutrients'!$A:$A,0)),""))</f>
        <v/>
      </c>
      <c r="AE149" s="6"/>
      <c r="AF149" s="6" t="s">
        <v>684</v>
      </c>
    </row>
    <row r="150" customFormat="false" ht="15" hidden="false" customHeight="false" outlineLevel="0" collapsed="false">
      <c r="A150" s="6" t="s">
        <v>685</v>
      </c>
      <c r="B150" s="6" t="s">
        <v>686</v>
      </c>
      <c r="C150" s="6"/>
      <c r="D150" s="6" t="s">
        <v>43</v>
      </c>
      <c r="E150" s="6" t="s">
        <v>119</v>
      </c>
      <c r="F150" s="6" t="s">
        <v>100</v>
      </c>
      <c r="G150" s="6" t="s">
        <v>124</v>
      </c>
      <c r="H150" s="6" t="s">
        <v>442</v>
      </c>
      <c r="I150" s="6" t="s">
        <v>298</v>
      </c>
      <c r="J150" s="13" t="n">
        <f aca="false">4*K150+4*(L150-N150)+9*M150+2*N150</f>
        <v>131.5</v>
      </c>
      <c r="K150" s="14" t="n">
        <v>2.5</v>
      </c>
      <c r="L150" s="14" t="n">
        <v>25</v>
      </c>
      <c r="M150" s="14" t="n">
        <v>2.5</v>
      </c>
      <c r="N150" s="14" t="n">
        <v>0.5</v>
      </c>
      <c r="O150" s="14" t="n">
        <v>0.1</v>
      </c>
      <c r="P150" s="15" t="n">
        <v>200</v>
      </c>
      <c r="Q150" s="16" t="n">
        <v>40</v>
      </c>
      <c r="R150" s="16" t="n">
        <v>50</v>
      </c>
      <c r="S150" s="16" t="n">
        <v>65</v>
      </c>
      <c r="T150" s="6"/>
      <c r="U150" s="6"/>
      <c r="V150" s="13" t="n">
        <f aca="false">IF(Q150="","",J150*Q150/100)</f>
        <v>52.6</v>
      </c>
      <c r="W150" s="13" t="n">
        <f aca="false">IF(R150="","",J150*R150/100)</f>
        <v>65.75</v>
      </c>
      <c r="X150" s="13" t="n">
        <f aca="false">IF(S150="","",J150*S150/100)</f>
        <v>85.475</v>
      </c>
      <c r="Y150" s="13" t="str">
        <f aca="false">IF(T150="","",J150*T150/100)</f>
        <v/>
      </c>
      <c r="Z150" s="13" t="str">
        <f aca="false">IF(U150="","",J150*U150/100)</f>
        <v/>
      </c>
      <c r="AA150" s="6" t="s">
        <v>103</v>
      </c>
      <c r="AB150" s="6" t="s">
        <v>104</v>
      </c>
      <c r="AC150" s="6"/>
      <c r="AD150" s="13" t="str">
        <f aca="false">IF(AC150="","",IFERROR(INDEX('INDB Full Nutrients'!$D:$D,MATCH(AC150,'INDB Full Nutrients'!$A:$A,0)),""))</f>
        <v/>
      </c>
      <c r="AE150" s="6"/>
      <c r="AF150" s="6"/>
    </row>
    <row r="151" customFormat="false" ht="15" hidden="false" customHeight="false" outlineLevel="0" collapsed="false">
      <c r="A151" s="6" t="s">
        <v>687</v>
      </c>
      <c r="B151" s="6" t="s">
        <v>688</v>
      </c>
      <c r="C151" s="6"/>
      <c r="D151" s="6" t="s">
        <v>43</v>
      </c>
      <c r="E151" s="6" t="s">
        <v>119</v>
      </c>
      <c r="F151" s="6" t="s">
        <v>100</v>
      </c>
      <c r="G151" s="6"/>
      <c r="H151" s="6" t="s">
        <v>442</v>
      </c>
      <c r="I151" s="6" t="s">
        <v>298</v>
      </c>
      <c r="J151" s="13" t="n">
        <f aca="false">4*K151+4*(L151-N151)+9*M151+2*N151</f>
        <v>214</v>
      </c>
      <c r="K151" s="14" t="n">
        <v>6.5</v>
      </c>
      <c r="L151" s="14" t="n">
        <v>25</v>
      </c>
      <c r="M151" s="14" t="n">
        <v>10</v>
      </c>
      <c r="N151" s="14" t="n">
        <v>1</v>
      </c>
      <c r="O151" s="14" t="n">
        <v>1</v>
      </c>
      <c r="P151" s="15" t="n">
        <v>450</v>
      </c>
      <c r="Q151" s="16" t="n">
        <v>100</v>
      </c>
      <c r="R151" s="16" t="n">
        <v>140</v>
      </c>
      <c r="S151" s="16" t="n">
        <v>180</v>
      </c>
      <c r="T151" s="6"/>
      <c r="U151" s="6"/>
      <c r="V151" s="13" t="n">
        <f aca="false">IF(Q151="","",J151*Q151/100)</f>
        <v>214</v>
      </c>
      <c r="W151" s="13" t="n">
        <f aca="false">IF(R151="","",J151*R151/100)</f>
        <v>299.6</v>
      </c>
      <c r="X151" s="13" t="n">
        <f aca="false">IF(S151="","",J151*S151/100)</f>
        <v>385.2</v>
      </c>
      <c r="Y151" s="13" t="str">
        <f aca="false">IF(T151="","",J151*T151/100)</f>
        <v/>
      </c>
      <c r="Z151" s="13" t="str">
        <f aca="false">IF(U151="","",J151*U151/100)</f>
        <v/>
      </c>
      <c r="AA151" s="6" t="s">
        <v>103</v>
      </c>
      <c r="AB151" s="6" t="s">
        <v>104</v>
      </c>
      <c r="AC151" s="6"/>
      <c r="AD151" s="13" t="str">
        <f aca="false">IF(AC151="","",IFERROR(INDEX('INDB Full Nutrients'!$D:$D,MATCH(AC151,'INDB Full Nutrients'!$A:$A,0)),""))</f>
        <v/>
      </c>
      <c r="AE151" s="6"/>
      <c r="AF151" s="6"/>
    </row>
    <row r="152" customFormat="false" ht="15" hidden="false" customHeight="false" outlineLevel="0" collapsed="false">
      <c r="A152" s="6" t="s">
        <v>689</v>
      </c>
      <c r="B152" s="6" t="s">
        <v>690</v>
      </c>
      <c r="C152" s="6"/>
      <c r="D152" s="6" t="s">
        <v>43</v>
      </c>
      <c r="E152" s="6" t="s">
        <v>119</v>
      </c>
      <c r="F152" s="6" t="s">
        <v>100</v>
      </c>
      <c r="G152" s="6"/>
      <c r="H152" s="6" t="s">
        <v>442</v>
      </c>
      <c r="I152" s="6" t="s">
        <v>298</v>
      </c>
      <c r="J152" s="13" t="n">
        <f aca="false">4*K152+4*(L152-N152)+9*M152+2*N152</f>
        <v>202.5</v>
      </c>
      <c r="K152" s="14" t="n">
        <v>7</v>
      </c>
      <c r="L152" s="14" t="n">
        <v>23</v>
      </c>
      <c r="M152" s="14" t="n">
        <v>9.5</v>
      </c>
      <c r="N152" s="14" t="n">
        <v>1.5</v>
      </c>
      <c r="O152" s="14" t="n">
        <v>1.5</v>
      </c>
      <c r="P152" s="15" t="n">
        <v>380</v>
      </c>
      <c r="Q152" s="16" t="n">
        <v>120</v>
      </c>
      <c r="R152" s="16" t="n">
        <v>170</v>
      </c>
      <c r="S152" s="16" t="n">
        <v>220</v>
      </c>
      <c r="T152" s="6"/>
      <c r="U152" s="6"/>
      <c r="V152" s="13" t="n">
        <f aca="false">IF(Q152="","",J152*Q152/100)</f>
        <v>243</v>
      </c>
      <c r="W152" s="13" t="n">
        <f aca="false">IF(R152="","",J152*R152/100)</f>
        <v>344.25</v>
      </c>
      <c r="X152" s="13" t="n">
        <f aca="false">IF(S152="","",J152*S152/100)</f>
        <v>445.5</v>
      </c>
      <c r="Y152" s="13" t="str">
        <f aca="false">IF(T152="","",J152*T152/100)</f>
        <v/>
      </c>
      <c r="Z152" s="13" t="str">
        <f aca="false">IF(U152="","",J152*U152/100)</f>
        <v/>
      </c>
      <c r="AA152" s="6" t="s">
        <v>125</v>
      </c>
      <c r="AB152" s="6" t="s">
        <v>147</v>
      </c>
      <c r="AC152" s="6" t="s">
        <v>691</v>
      </c>
      <c r="AD152" s="13" t="n">
        <f aca="false">IF(AC152="","",IFERROR(INDEX('INDB Full Nutrients'!$D:$D,MATCH(AC152,'INDB Full Nutrients'!$A:$A,0)),""))</f>
        <v>243.115585327148</v>
      </c>
      <c r="AE152" s="6" t="s">
        <v>692</v>
      </c>
      <c r="AF152" s="6"/>
    </row>
    <row r="153" customFormat="false" ht="15" hidden="false" customHeight="false" outlineLevel="0" collapsed="false">
      <c r="A153" s="6" t="s">
        <v>693</v>
      </c>
      <c r="B153" s="6" t="s">
        <v>694</v>
      </c>
      <c r="C153" s="6" t="s">
        <v>695</v>
      </c>
      <c r="D153" s="6" t="s">
        <v>43</v>
      </c>
      <c r="E153" s="6" t="s">
        <v>119</v>
      </c>
      <c r="F153" s="6" t="s">
        <v>537</v>
      </c>
      <c r="G153" s="6"/>
      <c r="H153" s="6" t="s">
        <v>442</v>
      </c>
      <c r="I153" s="6" t="s">
        <v>298</v>
      </c>
      <c r="J153" s="13" t="n">
        <f aca="false">4*K153+4*(L153-N153)+9*M153+2*N153</f>
        <v>171.5</v>
      </c>
      <c r="K153" s="14" t="n">
        <v>6.5</v>
      </c>
      <c r="L153" s="14" t="n">
        <v>20</v>
      </c>
      <c r="M153" s="14" t="n">
        <v>7.5</v>
      </c>
      <c r="N153" s="14" t="n">
        <v>1</v>
      </c>
      <c r="O153" s="14" t="n">
        <v>0.5</v>
      </c>
      <c r="P153" s="15" t="n">
        <v>330</v>
      </c>
      <c r="Q153" s="16" t="n">
        <v>90</v>
      </c>
      <c r="R153" s="16" t="n">
        <v>120</v>
      </c>
      <c r="S153" s="16" t="n">
        <v>160</v>
      </c>
      <c r="T153" s="6"/>
      <c r="U153" s="6"/>
      <c r="V153" s="13" t="n">
        <f aca="false">IF(Q153="","",J153*Q153/100)</f>
        <v>154.35</v>
      </c>
      <c r="W153" s="13" t="n">
        <f aca="false">IF(R153="","",J153*R153/100)</f>
        <v>205.8</v>
      </c>
      <c r="X153" s="13" t="n">
        <f aca="false">IF(S153="","",J153*S153/100)</f>
        <v>274.4</v>
      </c>
      <c r="Y153" s="13" t="str">
        <f aca="false">IF(T153="","",J153*T153/100)</f>
        <v/>
      </c>
      <c r="Z153" s="13" t="str">
        <f aca="false">IF(U153="","",J153*U153/100)</f>
        <v/>
      </c>
      <c r="AA153" s="6" t="s">
        <v>103</v>
      </c>
      <c r="AB153" s="6" t="s">
        <v>104</v>
      </c>
      <c r="AC153" s="6"/>
      <c r="AD153" s="13" t="str">
        <f aca="false">IF(AC153="","",IFERROR(INDEX('INDB Full Nutrients'!$D:$D,MATCH(AC153,'INDB Full Nutrients'!$A:$A,0)),""))</f>
        <v/>
      </c>
      <c r="AE153" s="6"/>
      <c r="AF153" s="6"/>
    </row>
    <row r="154" customFormat="false" ht="15" hidden="false" customHeight="false" outlineLevel="0" collapsed="false">
      <c r="A154" s="6" t="s">
        <v>696</v>
      </c>
      <c r="B154" s="6" t="s">
        <v>697</v>
      </c>
      <c r="C154" s="6" t="s">
        <v>698</v>
      </c>
      <c r="D154" s="6" t="s">
        <v>43</v>
      </c>
      <c r="E154" s="6" t="s">
        <v>119</v>
      </c>
      <c r="F154" s="6" t="s">
        <v>100</v>
      </c>
      <c r="G154" s="6" t="s">
        <v>124</v>
      </c>
      <c r="H154" s="6" t="s">
        <v>442</v>
      </c>
      <c r="I154" s="6" t="s">
        <v>298</v>
      </c>
      <c r="J154" s="13" t="n">
        <f aca="false">4*K154+4*(L154-N154)+9*M154+2*N154</f>
        <v>157</v>
      </c>
      <c r="K154" s="14" t="n">
        <v>8</v>
      </c>
      <c r="L154" s="14" t="n">
        <v>22</v>
      </c>
      <c r="M154" s="14" t="n">
        <v>5</v>
      </c>
      <c r="N154" s="14" t="n">
        <v>4</v>
      </c>
      <c r="O154" s="14" t="n">
        <v>1</v>
      </c>
      <c r="P154" s="15" t="n">
        <v>300</v>
      </c>
      <c r="Q154" s="16" t="n">
        <v>70</v>
      </c>
      <c r="R154" s="16" t="n">
        <v>100</v>
      </c>
      <c r="S154" s="16" t="n">
        <v>130</v>
      </c>
      <c r="T154" s="6"/>
      <c r="U154" s="6"/>
      <c r="V154" s="13" t="n">
        <f aca="false">IF(Q154="","",J154*Q154/100)</f>
        <v>109.9</v>
      </c>
      <c r="W154" s="13" t="n">
        <f aca="false">IF(R154="","",J154*R154/100)</f>
        <v>157</v>
      </c>
      <c r="X154" s="13" t="n">
        <f aca="false">IF(S154="","",J154*S154/100)</f>
        <v>204.1</v>
      </c>
      <c r="Y154" s="13" t="str">
        <f aca="false">IF(T154="","",J154*T154/100)</f>
        <v/>
      </c>
      <c r="Z154" s="13" t="str">
        <f aca="false">IF(U154="","",J154*U154/100)</f>
        <v/>
      </c>
      <c r="AA154" s="6" t="s">
        <v>103</v>
      </c>
      <c r="AB154" s="6" t="s">
        <v>104</v>
      </c>
      <c r="AC154" s="6" t="s">
        <v>699</v>
      </c>
      <c r="AD154" s="13" t="n">
        <f aca="false">IF(AC154="","",IFERROR(INDEX('INDB Full Nutrients'!$D:$D,MATCH(AC154,'INDB Full Nutrients'!$A:$A,0)),""))</f>
        <v>285.955688476563</v>
      </c>
      <c r="AE154" s="6" t="s">
        <v>700</v>
      </c>
      <c r="AF154" s="6"/>
    </row>
    <row r="155" customFormat="false" ht="15" hidden="false" customHeight="false" outlineLevel="0" collapsed="false">
      <c r="A155" s="6" t="s">
        <v>701</v>
      </c>
      <c r="B155" s="6" t="s">
        <v>702</v>
      </c>
      <c r="C155" s="6"/>
      <c r="D155" s="6" t="s">
        <v>43</v>
      </c>
      <c r="E155" s="6" t="s">
        <v>119</v>
      </c>
      <c r="F155" s="6" t="s">
        <v>100</v>
      </c>
      <c r="G155" s="6" t="s">
        <v>124</v>
      </c>
      <c r="H155" s="6" t="s">
        <v>442</v>
      </c>
      <c r="I155" s="6" t="s">
        <v>298</v>
      </c>
      <c r="J155" s="13" t="n">
        <f aca="false">4*K155+4*(L155-N155)+9*M155+2*N155</f>
        <v>182.5</v>
      </c>
      <c r="K155" s="14" t="n">
        <v>8</v>
      </c>
      <c r="L155" s="14" t="n">
        <v>25</v>
      </c>
      <c r="M155" s="14" t="n">
        <v>6.5</v>
      </c>
      <c r="N155" s="14" t="n">
        <v>4</v>
      </c>
      <c r="O155" s="14" t="n">
        <v>1</v>
      </c>
      <c r="P155" s="15" t="n">
        <v>320</v>
      </c>
      <c r="Q155" s="16" t="n">
        <v>70</v>
      </c>
      <c r="R155" s="16" t="n">
        <v>100</v>
      </c>
      <c r="S155" s="16" t="n">
        <v>130</v>
      </c>
      <c r="T155" s="6"/>
      <c r="U155" s="6"/>
      <c r="V155" s="13" t="n">
        <f aca="false">IF(Q155="","",J155*Q155/100)</f>
        <v>127.75</v>
      </c>
      <c r="W155" s="13" t="n">
        <f aca="false">IF(R155="","",J155*R155/100)</f>
        <v>182.5</v>
      </c>
      <c r="X155" s="13" t="n">
        <f aca="false">IF(S155="","",J155*S155/100)</f>
        <v>237.25</v>
      </c>
      <c r="Y155" s="13" t="str">
        <f aca="false">IF(T155="","",J155*T155/100)</f>
        <v/>
      </c>
      <c r="Z155" s="13" t="str">
        <f aca="false">IF(U155="","",J155*U155/100)</f>
        <v/>
      </c>
      <c r="AA155" s="6" t="s">
        <v>103</v>
      </c>
      <c r="AB155" s="6" t="s">
        <v>104</v>
      </c>
      <c r="AC155" s="6"/>
      <c r="AD155" s="13" t="str">
        <f aca="false">IF(AC155="","",IFERROR(INDEX('INDB Full Nutrients'!$D:$D,MATCH(AC155,'INDB Full Nutrients'!$A:$A,0)),""))</f>
        <v/>
      </c>
      <c r="AE155" s="6"/>
      <c r="AF155" s="6"/>
    </row>
    <row r="156" customFormat="false" ht="15" hidden="false" customHeight="false" outlineLevel="0" collapsed="false">
      <c r="A156" s="6" t="s">
        <v>703</v>
      </c>
      <c r="B156" s="6" t="s">
        <v>704</v>
      </c>
      <c r="C156" s="6" t="s">
        <v>705</v>
      </c>
      <c r="D156" s="6" t="s">
        <v>43</v>
      </c>
      <c r="E156" s="6" t="s">
        <v>119</v>
      </c>
      <c r="F156" s="6" t="s">
        <v>100</v>
      </c>
      <c r="G156" s="6" t="s">
        <v>124</v>
      </c>
      <c r="H156" s="6" t="s">
        <v>442</v>
      </c>
      <c r="I156" s="6" t="s">
        <v>298</v>
      </c>
      <c r="J156" s="13" t="n">
        <f aca="false">4*K156+4*(L156-N156)+9*M156+2*N156</f>
        <v>152.5</v>
      </c>
      <c r="K156" s="14" t="n">
        <v>3.5</v>
      </c>
      <c r="L156" s="14" t="n">
        <v>26</v>
      </c>
      <c r="M156" s="14" t="n">
        <v>4.5</v>
      </c>
      <c r="N156" s="14" t="n">
        <v>3</v>
      </c>
      <c r="O156" s="14" t="n">
        <v>0.5</v>
      </c>
      <c r="P156" s="15" t="n">
        <v>280</v>
      </c>
      <c r="Q156" s="16" t="n">
        <v>60</v>
      </c>
      <c r="R156" s="16" t="n">
        <v>85</v>
      </c>
      <c r="S156" s="16" t="n">
        <v>110</v>
      </c>
      <c r="T156" s="6"/>
      <c r="U156" s="6"/>
      <c r="V156" s="13" t="n">
        <f aca="false">IF(Q156="","",J156*Q156/100)</f>
        <v>91.5</v>
      </c>
      <c r="W156" s="13" t="n">
        <f aca="false">IF(R156="","",J156*R156/100)</f>
        <v>129.625</v>
      </c>
      <c r="X156" s="13" t="n">
        <f aca="false">IF(S156="","",J156*S156/100)</f>
        <v>167.75</v>
      </c>
      <c r="Y156" s="13" t="str">
        <f aca="false">IF(T156="","",J156*T156/100)</f>
        <v/>
      </c>
      <c r="Z156" s="13" t="str">
        <f aca="false">IF(U156="","",J156*U156/100)</f>
        <v/>
      </c>
      <c r="AA156" s="6" t="s">
        <v>103</v>
      </c>
      <c r="AB156" s="6" t="s">
        <v>104</v>
      </c>
      <c r="AC156" s="6"/>
      <c r="AD156" s="13" t="str">
        <f aca="false">IF(AC156="","",IFERROR(INDEX('INDB Full Nutrients'!$D:$D,MATCH(AC156,'INDB Full Nutrients'!$A:$A,0)),""))</f>
        <v/>
      </c>
      <c r="AE156" s="6"/>
      <c r="AF156" s="6"/>
    </row>
    <row r="157" customFormat="false" ht="15" hidden="false" customHeight="false" outlineLevel="0" collapsed="false">
      <c r="A157" s="6" t="s">
        <v>706</v>
      </c>
      <c r="B157" s="6" t="s">
        <v>707</v>
      </c>
      <c r="C157" s="6" t="s">
        <v>708</v>
      </c>
      <c r="D157" s="6" t="s">
        <v>43</v>
      </c>
      <c r="E157" s="6" t="s">
        <v>119</v>
      </c>
      <c r="F157" s="6" t="s">
        <v>100</v>
      </c>
      <c r="G157" s="6" t="s">
        <v>124</v>
      </c>
      <c r="H157" s="6" t="s">
        <v>442</v>
      </c>
      <c r="I157" s="6" t="s">
        <v>298</v>
      </c>
      <c r="J157" s="13" t="n">
        <f aca="false">4*K157+4*(L157-N157)+9*M157+2*N157</f>
        <v>174.4</v>
      </c>
      <c r="K157" s="14" t="n">
        <v>4</v>
      </c>
      <c r="L157" s="14" t="n">
        <v>27</v>
      </c>
      <c r="M157" s="14" t="n">
        <v>6</v>
      </c>
      <c r="N157" s="14" t="n">
        <v>1.8</v>
      </c>
      <c r="O157" s="14" t="n">
        <v>1.5</v>
      </c>
      <c r="P157" s="15" t="n">
        <v>320</v>
      </c>
      <c r="Q157" s="16" t="n">
        <v>100</v>
      </c>
      <c r="R157" s="16" t="n">
        <v>140</v>
      </c>
      <c r="S157" s="16" t="n">
        <v>180</v>
      </c>
      <c r="T157" s="6"/>
      <c r="U157" s="6"/>
      <c r="V157" s="13" t="n">
        <f aca="false">IF(Q157="","",J157*Q157/100)</f>
        <v>174.4</v>
      </c>
      <c r="W157" s="13" t="n">
        <f aca="false">IF(R157="","",J157*R157/100)</f>
        <v>244.16</v>
      </c>
      <c r="X157" s="13" t="n">
        <f aca="false">IF(S157="","",J157*S157/100)</f>
        <v>313.92</v>
      </c>
      <c r="Y157" s="13" t="str">
        <f aca="false">IF(T157="","",J157*T157/100)</f>
        <v/>
      </c>
      <c r="Z157" s="13" t="str">
        <f aca="false">IF(U157="","",J157*U157/100)</f>
        <v/>
      </c>
      <c r="AA157" s="6" t="s">
        <v>103</v>
      </c>
      <c r="AB157" s="6" t="s">
        <v>104</v>
      </c>
      <c r="AC157" s="6" t="s">
        <v>709</v>
      </c>
      <c r="AD157" s="13" t="n">
        <f aca="false">IF(AC157="","",IFERROR(INDEX('INDB Full Nutrients'!$D:$D,MATCH(AC157,'INDB Full Nutrients'!$A:$A,0)),""))</f>
        <v>462.019195556641</v>
      </c>
      <c r="AE157" s="6" t="s">
        <v>710</v>
      </c>
      <c r="AF157" s="6"/>
    </row>
    <row r="158" customFormat="false" ht="15" hidden="false" customHeight="false" outlineLevel="0" collapsed="false">
      <c r="A158" s="6" t="s">
        <v>711</v>
      </c>
      <c r="B158" s="6" t="s">
        <v>712</v>
      </c>
      <c r="C158" s="6" t="s">
        <v>713</v>
      </c>
      <c r="D158" s="6" t="s">
        <v>43</v>
      </c>
      <c r="E158" s="6" t="s">
        <v>119</v>
      </c>
      <c r="F158" s="6" t="s">
        <v>100</v>
      </c>
      <c r="G158" s="6" t="s">
        <v>124</v>
      </c>
      <c r="H158" s="6" t="s">
        <v>442</v>
      </c>
      <c r="I158" s="6" t="s">
        <v>298</v>
      </c>
      <c r="J158" s="13" t="n">
        <f aca="false">4*K158+4*(L158-N158)+9*M158+2*N158</f>
        <v>156.6</v>
      </c>
      <c r="K158" s="14" t="n">
        <v>2.8</v>
      </c>
      <c r="L158" s="14" t="n">
        <v>30</v>
      </c>
      <c r="M158" s="14" t="n">
        <v>3</v>
      </c>
      <c r="N158" s="14" t="n">
        <v>0.8</v>
      </c>
      <c r="O158" s="14" t="n">
        <v>2.5</v>
      </c>
      <c r="P158" s="15" t="n">
        <v>150</v>
      </c>
      <c r="Q158" s="16" t="n">
        <v>50</v>
      </c>
      <c r="R158" s="16" t="n">
        <v>70</v>
      </c>
      <c r="S158" s="16" t="n">
        <v>90</v>
      </c>
      <c r="T158" s="6"/>
      <c r="U158" s="6"/>
      <c r="V158" s="13" t="n">
        <f aca="false">IF(Q158="","",J158*Q158/100)</f>
        <v>78.3</v>
      </c>
      <c r="W158" s="13" t="n">
        <f aca="false">IF(R158="","",J158*R158/100)</f>
        <v>109.62</v>
      </c>
      <c r="X158" s="13" t="n">
        <f aca="false">IF(S158="","",J158*S158/100)</f>
        <v>140.94</v>
      </c>
      <c r="Y158" s="13" t="str">
        <f aca="false">IF(T158="","",J158*T158/100)</f>
        <v/>
      </c>
      <c r="Z158" s="13" t="str">
        <f aca="false">IF(U158="","",J158*U158/100)</f>
        <v/>
      </c>
      <c r="AA158" s="6" t="s">
        <v>103</v>
      </c>
      <c r="AB158" s="6" t="s">
        <v>104</v>
      </c>
      <c r="AC158" s="6" t="s">
        <v>714</v>
      </c>
      <c r="AD158" s="13" t="n">
        <f aca="false">IF(AC158="","",IFERROR(INDEX('INDB Full Nutrients'!$D:$D,MATCH(AC158,'INDB Full Nutrients'!$A:$A,0)),""))</f>
        <v>267.697723388672</v>
      </c>
      <c r="AE158" s="6" t="s">
        <v>715</v>
      </c>
      <c r="AF158" s="6"/>
    </row>
    <row r="159" customFormat="false" ht="15" hidden="false" customHeight="false" outlineLevel="0" collapsed="false">
      <c r="A159" s="6" t="s">
        <v>716</v>
      </c>
      <c r="B159" s="6" t="s">
        <v>717</v>
      </c>
      <c r="C159" s="6" t="s">
        <v>718</v>
      </c>
      <c r="D159" s="6" t="s">
        <v>43</v>
      </c>
      <c r="E159" s="6" t="s">
        <v>119</v>
      </c>
      <c r="F159" s="6" t="s">
        <v>100</v>
      </c>
      <c r="G159" s="6" t="s">
        <v>124</v>
      </c>
      <c r="H159" s="6" t="s">
        <v>442</v>
      </c>
      <c r="I159" s="6" t="s">
        <v>298</v>
      </c>
      <c r="J159" s="13" t="n">
        <f aca="false">4*K159+4*(L159-N159)+9*M159+2*N159</f>
        <v>124.4</v>
      </c>
      <c r="K159" s="14" t="n">
        <v>2.5</v>
      </c>
      <c r="L159" s="14" t="n">
        <v>28</v>
      </c>
      <c r="M159" s="14" t="n">
        <v>0.4</v>
      </c>
      <c r="N159" s="14" t="n">
        <v>0.6</v>
      </c>
      <c r="O159" s="14" t="n">
        <v>0.1</v>
      </c>
      <c r="P159" s="15" t="n">
        <v>100</v>
      </c>
      <c r="Q159" s="16" t="n">
        <v>30</v>
      </c>
      <c r="R159" s="16" t="n">
        <v>40</v>
      </c>
      <c r="S159" s="16" t="n">
        <v>55</v>
      </c>
      <c r="T159" s="6"/>
      <c r="U159" s="6"/>
      <c r="V159" s="13" t="n">
        <f aca="false">IF(Q159="","",J159*Q159/100)</f>
        <v>37.32</v>
      </c>
      <c r="W159" s="13" t="n">
        <f aca="false">IF(R159="","",J159*R159/100)</f>
        <v>49.76</v>
      </c>
      <c r="X159" s="13" t="n">
        <f aca="false">IF(S159="","",J159*S159/100)</f>
        <v>68.42</v>
      </c>
      <c r="Y159" s="13" t="str">
        <f aca="false">IF(T159="","",J159*T159/100)</f>
        <v/>
      </c>
      <c r="Z159" s="13" t="str">
        <f aca="false">IF(U159="","",J159*U159/100)</f>
        <v/>
      </c>
      <c r="AA159" s="6" t="s">
        <v>103</v>
      </c>
      <c r="AB159" s="6" t="s">
        <v>104</v>
      </c>
      <c r="AC159" s="6"/>
      <c r="AD159" s="13" t="str">
        <f aca="false">IF(AC159="","",IFERROR(INDEX('INDB Full Nutrients'!$D:$D,MATCH(AC159,'INDB Full Nutrients'!$A:$A,0)),""))</f>
        <v/>
      </c>
      <c r="AE159" s="6"/>
      <c r="AF159" s="6" t="s">
        <v>719</v>
      </c>
    </row>
    <row r="160" customFormat="false" ht="15" hidden="false" customHeight="false" outlineLevel="0" collapsed="false">
      <c r="A160" s="6" t="s">
        <v>720</v>
      </c>
      <c r="B160" s="6" t="s">
        <v>721</v>
      </c>
      <c r="C160" s="6" t="s">
        <v>722</v>
      </c>
      <c r="D160" s="6" t="s">
        <v>43</v>
      </c>
      <c r="E160" s="6" t="s">
        <v>119</v>
      </c>
      <c r="F160" s="6" t="s">
        <v>100</v>
      </c>
      <c r="G160" s="6" t="s">
        <v>124</v>
      </c>
      <c r="H160" s="6" t="s">
        <v>442</v>
      </c>
      <c r="I160" s="6" t="s">
        <v>298</v>
      </c>
      <c r="J160" s="13" t="n">
        <f aca="false">4*K160+4*(L160-N160)+9*M160+2*N160</f>
        <v>168.5</v>
      </c>
      <c r="K160" s="14" t="n">
        <v>3</v>
      </c>
      <c r="L160" s="14" t="n">
        <v>32</v>
      </c>
      <c r="M160" s="14" t="n">
        <v>3.5</v>
      </c>
      <c r="N160" s="14" t="n">
        <v>1.5</v>
      </c>
      <c r="O160" s="14" t="n">
        <v>0.5</v>
      </c>
      <c r="P160" s="15" t="n">
        <v>150</v>
      </c>
      <c r="Q160" s="16" t="n">
        <v>100</v>
      </c>
      <c r="R160" s="16" t="n">
        <v>150</v>
      </c>
      <c r="S160" s="16" t="n">
        <v>200</v>
      </c>
      <c r="T160" s="6"/>
      <c r="U160" s="6"/>
      <c r="V160" s="13" t="n">
        <f aca="false">IF(Q160="","",J160*Q160/100)</f>
        <v>168.5</v>
      </c>
      <c r="W160" s="13" t="n">
        <f aca="false">IF(R160="","",J160*R160/100)</f>
        <v>252.75</v>
      </c>
      <c r="X160" s="13" t="n">
        <f aca="false">IF(S160="","",J160*S160/100)</f>
        <v>337</v>
      </c>
      <c r="Y160" s="13" t="str">
        <f aca="false">IF(T160="","",J160*T160/100)</f>
        <v/>
      </c>
      <c r="Z160" s="13" t="str">
        <f aca="false">IF(U160="","",J160*U160/100)</f>
        <v/>
      </c>
      <c r="AA160" s="6" t="s">
        <v>103</v>
      </c>
      <c r="AB160" s="6" t="s">
        <v>104</v>
      </c>
      <c r="AC160" s="6" t="s">
        <v>723</v>
      </c>
      <c r="AD160" s="13" t="n">
        <f aca="false">IF(AC160="","",IFERROR(INDEX('INDB Full Nutrients'!$D:$D,MATCH(AC160,'INDB Full Nutrients'!$A:$A,0)),""))</f>
        <v>81.9818649291992</v>
      </c>
      <c r="AE160" s="6" t="s">
        <v>724</v>
      </c>
      <c r="AF160" s="6"/>
    </row>
    <row r="161" customFormat="false" ht="15" hidden="false" customHeight="false" outlineLevel="0" collapsed="false">
      <c r="A161" s="6" t="s">
        <v>725</v>
      </c>
      <c r="B161" s="6" t="s">
        <v>726</v>
      </c>
      <c r="C161" s="6" t="s">
        <v>727</v>
      </c>
      <c r="D161" s="6" t="s">
        <v>43</v>
      </c>
      <c r="E161" s="6" t="s">
        <v>119</v>
      </c>
      <c r="F161" s="6" t="s">
        <v>100</v>
      </c>
      <c r="G161" s="6" t="s">
        <v>124</v>
      </c>
      <c r="H161" s="6" t="s">
        <v>588</v>
      </c>
      <c r="I161" s="6" t="s">
        <v>298</v>
      </c>
      <c r="J161" s="13" t="n">
        <f aca="false">4*K161+4*(L161-N161)+9*M161+2*N161</f>
        <v>341.4</v>
      </c>
      <c r="K161" s="14" t="n">
        <v>7.5</v>
      </c>
      <c r="L161" s="14" t="n">
        <v>45</v>
      </c>
      <c r="M161" s="14" t="n">
        <v>15</v>
      </c>
      <c r="N161" s="14" t="n">
        <v>1.8</v>
      </c>
      <c r="O161" s="14" t="n">
        <v>2</v>
      </c>
      <c r="P161" s="15" t="n">
        <v>450</v>
      </c>
      <c r="Q161" s="16" t="n">
        <v>70</v>
      </c>
      <c r="R161" s="16" t="n">
        <v>90</v>
      </c>
      <c r="S161" s="16" t="n">
        <v>120</v>
      </c>
      <c r="T161" s="6"/>
      <c r="U161" s="6"/>
      <c r="V161" s="13" t="n">
        <f aca="false">IF(Q161="","",J161*Q161/100)</f>
        <v>238.98</v>
      </c>
      <c r="W161" s="13" t="n">
        <f aca="false">IF(R161="","",J161*R161/100)</f>
        <v>307.26</v>
      </c>
      <c r="X161" s="13" t="n">
        <f aca="false">IF(S161="","",J161*S161/100)</f>
        <v>409.68</v>
      </c>
      <c r="Y161" s="13" t="str">
        <f aca="false">IF(T161="","",J161*T161/100)</f>
        <v/>
      </c>
      <c r="Z161" s="13" t="str">
        <f aca="false">IF(U161="","",J161*U161/100)</f>
        <v/>
      </c>
      <c r="AA161" s="6" t="s">
        <v>103</v>
      </c>
      <c r="AB161" s="6" t="s">
        <v>104</v>
      </c>
      <c r="AC161" s="6"/>
      <c r="AD161" s="13" t="str">
        <f aca="false">IF(AC161="","",IFERROR(INDEX('INDB Full Nutrients'!$D:$D,MATCH(AC161,'INDB Full Nutrients'!$A:$A,0)),""))</f>
        <v/>
      </c>
      <c r="AE161" s="6"/>
      <c r="AF161" s="6" t="s">
        <v>728</v>
      </c>
    </row>
    <row r="162" customFormat="false" ht="15" hidden="false" customHeight="false" outlineLevel="0" collapsed="false">
      <c r="A162" s="6" t="s">
        <v>729</v>
      </c>
      <c r="B162" s="6" t="s">
        <v>730</v>
      </c>
      <c r="C162" s="6" t="s">
        <v>731</v>
      </c>
      <c r="D162" s="6" t="s">
        <v>43</v>
      </c>
      <c r="E162" s="6" t="s">
        <v>119</v>
      </c>
      <c r="F162" s="6" t="s">
        <v>100</v>
      </c>
      <c r="G162" s="6" t="s">
        <v>124</v>
      </c>
      <c r="H162" s="6" t="s">
        <v>442</v>
      </c>
      <c r="I162" s="6" t="s">
        <v>298</v>
      </c>
      <c r="J162" s="13" t="n">
        <f aca="false">4*K162+4*(L162-N162)+9*M162+2*N162</f>
        <v>280</v>
      </c>
      <c r="K162" s="14" t="n">
        <v>10</v>
      </c>
      <c r="L162" s="14" t="n">
        <v>24</v>
      </c>
      <c r="M162" s="14" t="n">
        <v>17</v>
      </c>
      <c r="N162" s="14" t="n">
        <v>4.5</v>
      </c>
      <c r="O162" s="14" t="n">
        <v>0.5</v>
      </c>
      <c r="P162" s="15" t="n">
        <v>380</v>
      </c>
      <c r="Q162" s="16" t="n">
        <v>35</v>
      </c>
      <c r="R162" s="16" t="n">
        <v>50</v>
      </c>
      <c r="S162" s="16" t="n">
        <v>70</v>
      </c>
      <c r="T162" s="6"/>
      <c r="U162" s="6"/>
      <c r="V162" s="13" t="n">
        <f aca="false">IF(Q162="","",J162*Q162/100)</f>
        <v>98</v>
      </c>
      <c r="W162" s="13" t="n">
        <f aca="false">IF(R162="","",J162*R162/100)</f>
        <v>140</v>
      </c>
      <c r="X162" s="13" t="n">
        <f aca="false">IF(S162="","",J162*S162/100)</f>
        <v>196</v>
      </c>
      <c r="Y162" s="13" t="str">
        <f aca="false">IF(T162="","",J162*T162/100)</f>
        <v/>
      </c>
      <c r="Z162" s="13" t="str">
        <f aca="false">IF(U162="","",J162*U162/100)</f>
        <v/>
      </c>
      <c r="AA162" s="6" t="s">
        <v>103</v>
      </c>
      <c r="AB162" s="6" t="s">
        <v>104</v>
      </c>
      <c r="AC162" s="6" t="s">
        <v>732</v>
      </c>
      <c r="AD162" s="13" t="n">
        <f aca="false">IF(AC162="","",IFERROR(INDEX('INDB Full Nutrients'!$D:$D,MATCH(AC162,'INDB Full Nutrients'!$A:$A,0)),""))</f>
        <v>745.499389648438</v>
      </c>
      <c r="AE162" s="6" t="s">
        <v>576</v>
      </c>
      <c r="AF162" s="6" t="s">
        <v>577</v>
      </c>
    </row>
    <row r="163" customFormat="false" ht="15" hidden="false" customHeight="false" outlineLevel="0" collapsed="false">
      <c r="A163" s="6" t="s">
        <v>733</v>
      </c>
      <c r="B163" s="6" t="s">
        <v>734</v>
      </c>
      <c r="C163" s="6" t="s">
        <v>735</v>
      </c>
      <c r="D163" s="6" t="s">
        <v>43</v>
      </c>
      <c r="E163" s="6" t="s">
        <v>119</v>
      </c>
      <c r="F163" s="6" t="s">
        <v>100</v>
      </c>
      <c r="G163" s="6" t="s">
        <v>124</v>
      </c>
      <c r="H163" s="6" t="s">
        <v>442</v>
      </c>
      <c r="I163" s="6" t="s">
        <v>298</v>
      </c>
      <c r="J163" s="13" t="n">
        <f aca="false">4*K163+4*(L163-N163)+9*M163+2*N163</f>
        <v>139</v>
      </c>
      <c r="K163" s="14" t="n">
        <v>5.5</v>
      </c>
      <c r="L163" s="14" t="n">
        <v>15</v>
      </c>
      <c r="M163" s="14" t="n">
        <v>7</v>
      </c>
      <c r="N163" s="14" t="n">
        <v>3</v>
      </c>
      <c r="O163" s="14" t="n">
        <v>1.5</v>
      </c>
      <c r="P163" s="15" t="n">
        <v>350</v>
      </c>
      <c r="Q163" s="16" t="n">
        <v>150</v>
      </c>
      <c r="R163" s="16" t="n">
        <v>250</v>
      </c>
      <c r="S163" s="16" t="n">
        <v>350</v>
      </c>
      <c r="T163" s="6"/>
      <c r="U163" s="6"/>
      <c r="V163" s="13" t="n">
        <f aca="false">IF(Q163="","",J163*Q163/100)</f>
        <v>208.5</v>
      </c>
      <c r="W163" s="13" t="n">
        <f aca="false">IF(R163="","",J163*R163/100)</f>
        <v>347.5</v>
      </c>
      <c r="X163" s="13" t="n">
        <f aca="false">IF(S163="","",J163*S163/100)</f>
        <v>486.5</v>
      </c>
      <c r="Y163" s="13" t="str">
        <f aca="false">IF(T163="","",J163*T163/100)</f>
        <v/>
      </c>
      <c r="Z163" s="13" t="str">
        <f aca="false">IF(U163="","",J163*U163/100)</f>
        <v/>
      </c>
      <c r="AA163" s="6" t="s">
        <v>103</v>
      </c>
      <c r="AB163" s="6" t="s">
        <v>104</v>
      </c>
      <c r="AC163" s="6"/>
      <c r="AD163" s="13" t="str">
        <f aca="false">IF(AC163="","",IFERROR(INDEX('INDB Full Nutrients'!$D:$D,MATCH(AC163,'INDB Full Nutrients'!$A:$A,0)),""))</f>
        <v/>
      </c>
      <c r="AE163" s="6"/>
      <c r="AF163" s="6"/>
    </row>
    <row r="164" customFormat="false" ht="15" hidden="false" customHeight="false" outlineLevel="0" collapsed="false">
      <c r="A164" s="6" t="s">
        <v>736</v>
      </c>
      <c r="B164" s="6" t="s">
        <v>737</v>
      </c>
      <c r="C164" s="6" t="s">
        <v>738</v>
      </c>
      <c r="D164" s="6" t="s">
        <v>43</v>
      </c>
      <c r="E164" s="6" t="s">
        <v>119</v>
      </c>
      <c r="F164" s="6" t="s">
        <v>100</v>
      </c>
      <c r="G164" s="6" t="s">
        <v>124</v>
      </c>
      <c r="H164" s="6" t="s">
        <v>603</v>
      </c>
      <c r="I164" s="6" t="s">
        <v>298</v>
      </c>
      <c r="J164" s="13" t="n">
        <f aca="false">4*K164+4*(L164-N164)+9*M164+2*N164</f>
        <v>294</v>
      </c>
      <c r="K164" s="14" t="n">
        <v>11</v>
      </c>
      <c r="L164" s="14" t="n">
        <v>30</v>
      </c>
      <c r="M164" s="14" t="n">
        <v>16</v>
      </c>
      <c r="N164" s="14" t="n">
        <v>7</v>
      </c>
      <c r="O164" s="14" t="n">
        <v>1.5</v>
      </c>
      <c r="P164" s="15" t="n">
        <v>400</v>
      </c>
      <c r="Q164" s="16" t="n">
        <v>25</v>
      </c>
      <c r="R164" s="16" t="n">
        <v>40</v>
      </c>
      <c r="S164" s="16" t="n">
        <v>55</v>
      </c>
      <c r="T164" s="6"/>
      <c r="U164" s="6"/>
      <c r="V164" s="13" t="n">
        <f aca="false">IF(Q164="","",J164*Q164/100)</f>
        <v>73.5</v>
      </c>
      <c r="W164" s="13" t="n">
        <f aca="false">IF(R164="","",J164*R164/100)</f>
        <v>117.6</v>
      </c>
      <c r="X164" s="13" t="n">
        <f aca="false">IF(S164="","",J164*S164/100)</f>
        <v>161.7</v>
      </c>
      <c r="Y164" s="13" t="str">
        <f aca="false">IF(T164="","",J164*T164/100)</f>
        <v/>
      </c>
      <c r="Z164" s="13" t="str">
        <f aca="false">IF(U164="","",J164*U164/100)</f>
        <v/>
      </c>
      <c r="AA164" s="6" t="s">
        <v>103</v>
      </c>
      <c r="AB164" s="6" t="s">
        <v>104</v>
      </c>
      <c r="AC164" s="6" t="s">
        <v>739</v>
      </c>
      <c r="AD164" s="13" t="n">
        <f aca="false">IF(AC164="","",IFERROR(INDEX('INDB Full Nutrients'!$D:$D,MATCH(AC164,'INDB Full Nutrients'!$A:$A,0)),""))</f>
        <v>826.024597167969</v>
      </c>
      <c r="AE164" s="6" t="s">
        <v>740</v>
      </c>
      <c r="AF164" s="6"/>
    </row>
    <row r="165" customFormat="false" ht="15" hidden="false" customHeight="false" outlineLevel="0" collapsed="false">
      <c r="A165" s="6" t="s">
        <v>741</v>
      </c>
      <c r="B165" s="6" t="s">
        <v>742</v>
      </c>
      <c r="C165" s="6" t="s">
        <v>743</v>
      </c>
      <c r="D165" s="6" t="s">
        <v>43</v>
      </c>
      <c r="E165" s="6" t="s">
        <v>119</v>
      </c>
      <c r="F165" s="6" t="s">
        <v>100</v>
      </c>
      <c r="G165" s="6"/>
      <c r="H165" s="6" t="s">
        <v>442</v>
      </c>
      <c r="I165" s="6" t="s">
        <v>298</v>
      </c>
      <c r="J165" s="13" t="n">
        <f aca="false">4*K165+4*(L165-N165)+9*M165+2*N165</f>
        <v>156.1</v>
      </c>
      <c r="K165" s="14" t="n">
        <v>4</v>
      </c>
      <c r="L165" s="14" t="n">
        <v>21</v>
      </c>
      <c r="M165" s="14" t="n">
        <v>6.5</v>
      </c>
      <c r="N165" s="14" t="n">
        <v>1.2</v>
      </c>
      <c r="O165" s="14" t="n">
        <v>0.3</v>
      </c>
      <c r="P165" s="15" t="n">
        <v>300</v>
      </c>
      <c r="Q165" s="16" t="n">
        <v>100</v>
      </c>
      <c r="R165" s="16" t="n">
        <v>175</v>
      </c>
      <c r="S165" s="16" t="n">
        <v>250</v>
      </c>
      <c r="T165" s="6"/>
      <c r="U165" s="6"/>
      <c r="V165" s="13" t="n">
        <f aca="false">IF(Q165="","",J165*Q165/100)</f>
        <v>156.1</v>
      </c>
      <c r="W165" s="13" t="n">
        <f aca="false">IF(R165="","",J165*R165/100)</f>
        <v>273.175</v>
      </c>
      <c r="X165" s="13" t="n">
        <f aca="false">IF(S165="","",J165*S165/100)</f>
        <v>390.25</v>
      </c>
      <c r="Y165" s="13" t="str">
        <f aca="false">IF(T165="","",J165*T165/100)</f>
        <v/>
      </c>
      <c r="Z165" s="13" t="str">
        <f aca="false">IF(U165="","",J165*U165/100)</f>
        <v/>
      </c>
      <c r="AA165" s="6" t="s">
        <v>103</v>
      </c>
      <c r="AB165" s="6" t="s">
        <v>104</v>
      </c>
      <c r="AC165" s="6"/>
      <c r="AD165" s="13" t="str">
        <f aca="false">IF(AC165="","",IFERROR(INDEX('INDB Full Nutrients'!$D:$D,MATCH(AC165,'INDB Full Nutrients'!$A:$A,0)),""))</f>
        <v/>
      </c>
      <c r="AE165" s="6"/>
      <c r="AF165" s="6" t="s">
        <v>744</v>
      </c>
    </row>
    <row r="166" customFormat="false" ht="15" hidden="false" customHeight="false" outlineLevel="0" collapsed="false">
      <c r="A166" s="6" t="s">
        <v>745</v>
      </c>
      <c r="B166" s="6" t="s">
        <v>746</v>
      </c>
      <c r="C166" s="6" t="s">
        <v>747</v>
      </c>
      <c r="D166" s="6" t="s">
        <v>43</v>
      </c>
      <c r="E166" s="6" t="s">
        <v>119</v>
      </c>
      <c r="F166" s="6" t="s">
        <v>100</v>
      </c>
      <c r="G166" s="6"/>
      <c r="H166" s="6" t="s">
        <v>748</v>
      </c>
      <c r="I166" s="6" t="s">
        <v>298</v>
      </c>
      <c r="J166" s="13" t="n">
        <f aca="false">4*K166+4*(L166-N166)+9*M166+2*N166</f>
        <v>231.1</v>
      </c>
      <c r="K166" s="14" t="n">
        <v>3.5</v>
      </c>
      <c r="L166" s="14" t="n">
        <v>38</v>
      </c>
      <c r="M166" s="14" t="n">
        <v>7.5</v>
      </c>
      <c r="N166" s="14" t="n">
        <v>1.2</v>
      </c>
      <c r="O166" s="14" t="n">
        <v>20</v>
      </c>
      <c r="P166" s="15" t="n">
        <v>30</v>
      </c>
      <c r="Q166" s="16" t="n">
        <v>100</v>
      </c>
      <c r="R166" s="16" t="n">
        <v>150</v>
      </c>
      <c r="S166" s="16" t="n">
        <v>200</v>
      </c>
      <c r="T166" s="6"/>
      <c r="U166" s="6"/>
      <c r="V166" s="13" t="n">
        <f aca="false">IF(Q166="","",J166*Q166/100)</f>
        <v>231.1</v>
      </c>
      <c r="W166" s="13" t="n">
        <f aca="false">IF(R166="","",J166*R166/100)</f>
        <v>346.65</v>
      </c>
      <c r="X166" s="13" t="n">
        <f aca="false">IF(S166="","",J166*S166/100)</f>
        <v>462.2</v>
      </c>
      <c r="Y166" s="13" t="str">
        <f aca="false">IF(T166="","",J166*T166/100)</f>
        <v/>
      </c>
      <c r="Z166" s="13" t="str">
        <f aca="false">IF(U166="","",J166*U166/100)</f>
        <v/>
      </c>
      <c r="AA166" s="6" t="s">
        <v>103</v>
      </c>
      <c r="AB166" s="6" t="s">
        <v>104</v>
      </c>
      <c r="AC166" s="6"/>
      <c r="AD166" s="13" t="str">
        <f aca="false">IF(AC166="","",IFERROR(INDEX('INDB Full Nutrients'!$D:$D,MATCH(AC166,'INDB Full Nutrients'!$A:$A,0)),""))</f>
        <v/>
      </c>
      <c r="AE166" s="6"/>
      <c r="AF166" s="6" t="s">
        <v>749</v>
      </c>
    </row>
    <row r="167" customFormat="false" ht="15" hidden="false" customHeight="false" outlineLevel="0" collapsed="false">
      <c r="A167" s="6" t="s">
        <v>750</v>
      </c>
      <c r="B167" s="6" t="s">
        <v>751</v>
      </c>
      <c r="C167" s="6" t="s">
        <v>752</v>
      </c>
      <c r="D167" s="6" t="s">
        <v>43</v>
      </c>
      <c r="E167" s="6" t="s">
        <v>119</v>
      </c>
      <c r="F167" s="6" t="s">
        <v>100</v>
      </c>
      <c r="G167" s="6"/>
      <c r="H167" s="6" t="s">
        <v>748</v>
      </c>
      <c r="I167" s="6" t="s">
        <v>298</v>
      </c>
      <c r="J167" s="13" t="n">
        <f aca="false">4*K167+4*(L167-N167)+9*M167+2*N167</f>
        <v>298.4</v>
      </c>
      <c r="K167" s="14" t="n">
        <v>3</v>
      </c>
      <c r="L167" s="14" t="n">
        <v>45</v>
      </c>
      <c r="M167" s="14" t="n">
        <v>12</v>
      </c>
      <c r="N167" s="14" t="n">
        <v>0.8</v>
      </c>
      <c r="O167" s="14" t="n">
        <v>25</v>
      </c>
      <c r="P167" s="15" t="n">
        <v>30</v>
      </c>
      <c r="Q167" s="16" t="n">
        <v>50</v>
      </c>
      <c r="R167" s="16" t="n">
        <v>100</v>
      </c>
      <c r="S167" s="16" t="n">
        <v>150</v>
      </c>
      <c r="T167" s="6"/>
      <c r="U167" s="6"/>
      <c r="V167" s="13" t="n">
        <f aca="false">IF(Q167="","",J167*Q167/100)</f>
        <v>149.2</v>
      </c>
      <c r="W167" s="13" t="n">
        <f aca="false">IF(R167="","",J167*R167/100)</f>
        <v>298.4</v>
      </c>
      <c r="X167" s="13" t="n">
        <f aca="false">IF(S167="","",J167*S167/100)</f>
        <v>447.6</v>
      </c>
      <c r="Y167" s="13" t="str">
        <f aca="false">IF(T167="","",J167*T167/100)</f>
        <v/>
      </c>
      <c r="Z167" s="13" t="str">
        <f aca="false">IF(U167="","",J167*U167/100)</f>
        <v/>
      </c>
      <c r="AA167" s="6" t="s">
        <v>103</v>
      </c>
      <c r="AB167" s="6" t="s">
        <v>104</v>
      </c>
      <c r="AC167" s="6" t="s">
        <v>753</v>
      </c>
      <c r="AD167" s="13" t="n">
        <f aca="false">IF(AC167="","",IFERROR(INDEX('INDB Full Nutrients'!$D:$D,MATCH(AC167,'INDB Full Nutrients'!$A:$A,0)),""))</f>
        <v>244.568511962891</v>
      </c>
      <c r="AE167" s="6" t="s">
        <v>754</v>
      </c>
      <c r="AF167" s="6"/>
    </row>
    <row r="168" customFormat="false" ht="15" hidden="false" customHeight="false" outlineLevel="0" collapsed="false">
      <c r="A168" s="6" t="s">
        <v>755</v>
      </c>
      <c r="B168" s="6" t="s">
        <v>756</v>
      </c>
      <c r="C168" s="6"/>
      <c r="D168" s="6" t="s">
        <v>43</v>
      </c>
      <c r="E168" s="6" t="s">
        <v>119</v>
      </c>
      <c r="F168" s="6" t="s">
        <v>100</v>
      </c>
      <c r="G168" s="6"/>
      <c r="H168" s="6" t="s">
        <v>588</v>
      </c>
      <c r="I168" s="6" t="s">
        <v>298</v>
      </c>
      <c r="J168" s="13" t="n">
        <f aca="false">4*K168+4*(L168-N168)+9*M168+2*N168</f>
        <v>154</v>
      </c>
      <c r="K168" s="14" t="n">
        <v>4.5</v>
      </c>
      <c r="L168" s="14" t="n">
        <v>22</v>
      </c>
      <c r="M168" s="14" t="n">
        <v>6</v>
      </c>
      <c r="N168" s="14" t="n">
        <v>3</v>
      </c>
      <c r="O168" s="14" t="n">
        <v>2</v>
      </c>
      <c r="P168" s="15" t="n">
        <v>380</v>
      </c>
      <c r="Q168" s="16" t="n">
        <v>150</v>
      </c>
      <c r="R168" s="16" t="n">
        <v>250</v>
      </c>
      <c r="S168" s="16" t="n">
        <v>350</v>
      </c>
      <c r="T168" s="16" t="n">
        <v>300</v>
      </c>
      <c r="U168" s="16" t="n">
        <v>550</v>
      </c>
      <c r="V168" s="13" t="n">
        <f aca="false">IF(Q168="","",J168*Q168/100)</f>
        <v>231</v>
      </c>
      <c r="W168" s="13" t="n">
        <f aca="false">IF(R168="","",J168*R168/100)</f>
        <v>385</v>
      </c>
      <c r="X168" s="13" t="n">
        <f aca="false">IF(S168="","",J168*S168/100)</f>
        <v>539</v>
      </c>
      <c r="Y168" s="13" t="n">
        <f aca="false">IF(T168="","",J168*T168/100)</f>
        <v>462</v>
      </c>
      <c r="Z168" s="13" t="n">
        <f aca="false">IF(U168="","",J168*U168/100)</f>
        <v>847</v>
      </c>
      <c r="AA168" s="6" t="s">
        <v>103</v>
      </c>
      <c r="AB168" s="6" t="s">
        <v>104</v>
      </c>
      <c r="AC168" s="6"/>
      <c r="AD168" s="13" t="str">
        <f aca="false">IF(AC168="","",IFERROR(INDEX('INDB Full Nutrients'!$D:$D,MATCH(AC168,'INDB Full Nutrients'!$A:$A,0)),""))</f>
        <v/>
      </c>
      <c r="AE168" s="6"/>
      <c r="AF168" s="6"/>
    </row>
    <row r="169" customFormat="false" ht="15" hidden="false" customHeight="false" outlineLevel="0" collapsed="false">
      <c r="A169" s="6" t="s">
        <v>757</v>
      </c>
      <c r="B169" s="6" t="s">
        <v>758</v>
      </c>
      <c r="C169" s="6" t="s">
        <v>759</v>
      </c>
      <c r="D169" s="6" t="s">
        <v>43</v>
      </c>
      <c r="E169" s="6" t="s">
        <v>119</v>
      </c>
      <c r="F169" s="6" t="s">
        <v>100</v>
      </c>
      <c r="G169" s="6" t="s">
        <v>124</v>
      </c>
      <c r="H169" s="6" t="s">
        <v>588</v>
      </c>
      <c r="I169" s="6" t="s">
        <v>298</v>
      </c>
      <c r="J169" s="13" t="n">
        <f aca="false">4*K169+4*(L169-N169)+9*M169+2*N169</f>
        <v>112.5</v>
      </c>
      <c r="K169" s="14" t="n">
        <v>2.5</v>
      </c>
      <c r="L169" s="14" t="n">
        <v>26</v>
      </c>
      <c r="M169" s="14" t="n">
        <v>0.5</v>
      </c>
      <c r="N169" s="14" t="n">
        <v>3</v>
      </c>
      <c r="O169" s="14" t="n">
        <v>0.3</v>
      </c>
      <c r="P169" s="15" t="n">
        <v>50</v>
      </c>
      <c r="Q169" s="16" t="n">
        <v>100</v>
      </c>
      <c r="R169" s="16" t="n">
        <v>150</v>
      </c>
      <c r="S169" s="16" t="n">
        <v>200</v>
      </c>
      <c r="T169" s="6"/>
      <c r="U169" s="6"/>
      <c r="V169" s="13" t="n">
        <f aca="false">IF(Q169="","",J169*Q169/100)</f>
        <v>112.5</v>
      </c>
      <c r="W169" s="13" t="n">
        <f aca="false">IF(R169="","",J169*R169/100)</f>
        <v>168.75</v>
      </c>
      <c r="X169" s="13" t="n">
        <f aca="false">IF(S169="","",J169*S169/100)</f>
        <v>225</v>
      </c>
      <c r="Y169" s="13" t="str">
        <f aca="false">IF(T169="","",J169*T169/100)</f>
        <v/>
      </c>
      <c r="Z169" s="13" t="str">
        <f aca="false">IF(U169="","",J169*U169/100)</f>
        <v/>
      </c>
      <c r="AA169" s="6" t="s">
        <v>103</v>
      </c>
      <c r="AB169" s="6" t="s">
        <v>104</v>
      </c>
      <c r="AC169" s="6"/>
      <c r="AD169" s="13" t="str">
        <f aca="false">IF(AC169="","",IFERROR(INDEX('INDB Full Nutrients'!$D:$D,MATCH(AC169,'INDB Full Nutrients'!$A:$A,0)),""))</f>
        <v/>
      </c>
      <c r="AE169" s="6"/>
      <c r="AF169" s="6"/>
    </row>
    <row r="170" customFormat="false" ht="15" hidden="false" customHeight="false" outlineLevel="0" collapsed="false">
      <c r="A170" s="6" t="s">
        <v>760</v>
      </c>
      <c r="B170" s="6" t="s">
        <v>761</v>
      </c>
      <c r="C170" s="6" t="s">
        <v>762</v>
      </c>
      <c r="D170" s="6" t="s">
        <v>43</v>
      </c>
      <c r="E170" s="6" t="s">
        <v>119</v>
      </c>
      <c r="F170" s="6" t="s">
        <v>100</v>
      </c>
      <c r="G170" s="6" t="s">
        <v>124</v>
      </c>
      <c r="H170" s="6" t="s">
        <v>442</v>
      </c>
      <c r="I170" s="6" t="s">
        <v>298</v>
      </c>
      <c r="J170" s="13" t="n">
        <f aca="false">4*K170+4*(L170-N170)+9*M170+2*N170</f>
        <v>207.5</v>
      </c>
      <c r="K170" s="14" t="n">
        <v>3</v>
      </c>
      <c r="L170" s="14" t="n">
        <v>35</v>
      </c>
      <c r="M170" s="14" t="n">
        <v>6.5</v>
      </c>
      <c r="N170" s="14" t="n">
        <v>1.5</v>
      </c>
      <c r="O170" s="14" t="n">
        <v>1</v>
      </c>
      <c r="P170" s="15" t="n">
        <v>250</v>
      </c>
      <c r="Q170" s="16" t="n">
        <v>60</v>
      </c>
      <c r="R170" s="16" t="n">
        <v>80</v>
      </c>
      <c r="S170" s="16" t="n">
        <v>100</v>
      </c>
      <c r="T170" s="6"/>
      <c r="U170" s="6"/>
      <c r="V170" s="13" t="n">
        <f aca="false">IF(Q170="","",J170*Q170/100)</f>
        <v>124.5</v>
      </c>
      <c r="W170" s="13" t="n">
        <f aca="false">IF(R170="","",J170*R170/100)</f>
        <v>166</v>
      </c>
      <c r="X170" s="13" t="n">
        <f aca="false">IF(S170="","",J170*S170/100)</f>
        <v>207.5</v>
      </c>
      <c r="Y170" s="13" t="str">
        <f aca="false">IF(T170="","",J170*T170/100)</f>
        <v/>
      </c>
      <c r="Z170" s="13" t="str">
        <f aca="false">IF(U170="","",J170*U170/100)</f>
        <v/>
      </c>
      <c r="AA170" s="6" t="s">
        <v>103</v>
      </c>
      <c r="AB170" s="6" t="s">
        <v>104</v>
      </c>
      <c r="AC170" s="6"/>
      <c r="AD170" s="13" t="str">
        <f aca="false">IF(AC170="","",IFERROR(INDEX('INDB Full Nutrients'!$D:$D,MATCH(AC170,'INDB Full Nutrients'!$A:$A,0)),""))</f>
        <v/>
      </c>
      <c r="AE170" s="6"/>
      <c r="AF170" s="6"/>
    </row>
    <row r="171" customFormat="false" ht="15" hidden="false" customHeight="false" outlineLevel="0" collapsed="false">
      <c r="A171" s="6" t="s">
        <v>763</v>
      </c>
      <c r="B171" s="6" t="s">
        <v>764</v>
      </c>
      <c r="C171" s="6" t="s">
        <v>765</v>
      </c>
      <c r="D171" s="6" t="s">
        <v>43</v>
      </c>
      <c r="E171" s="6" t="s">
        <v>119</v>
      </c>
      <c r="F171" s="6" t="s">
        <v>100</v>
      </c>
      <c r="G171" s="6" t="s">
        <v>124</v>
      </c>
      <c r="H171" s="6" t="s">
        <v>442</v>
      </c>
      <c r="I171" s="6" t="s">
        <v>298</v>
      </c>
      <c r="J171" s="13" t="n">
        <f aca="false">4*K171+4*(L171-N171)+9*M171+2*N171</f>
        <v>180</v>
      </c>
      <c r="K171" s="14" t="n">
        <v>4</v>
      </c>
      <c r="L171" s="14" t="n">
        <v>26</v>
      </c>
      <c r="M171" s="14" t="n">
        <v>7</v>
      </c>
      <c r="N171" s="14" t="n">
        <v>1.5</v>
      </c>
      <c r="O171" s="14" t="n">
        <v>1</v>
      </c>
      <c r="P171" s="15" t="n">
        <v>300</v>
      </c>
      <c r="Q171" s="16" t="n">
        <v>75</v>
      </c>
      <c r="R171" s="16" t="n">
        <v>100</v>
      </c>
      <c r="S171" s="16" t="n">
        <v>150</v>
      </c>
      <c r="T171" s="6"/>
      <c r="U171" s="6"/>
      <c r="V171" s="13" t="n">
        <f aca="false">IF(Q171="","",J171*Q171/100)</f>
        <v>135</v>
      </c>
      <c r="W171" s="13" t="n">
        <f aca="false">IF(R171="","",J171*R171/100)</f>
        <v>180</v>
      </c>
      <c r="X171" s="13" t="n">
        <f aca="false">IF(S171="","",J171*S171/100)</f>
        <v>270</v>
      </c>
      <c r="Y171" s="13" t="str">
        <f aca="false">IF(T171="","",J171*T171/100)</f>
        <v/>
      </c>
      <c r="Z171" s="13" t="str">
        <f aca="false">IF(U171="","",J171*U171/100)</f>
        <v/>
      </c>
      <c r="AA171" s="6" t="s">
        <v>103</v>
      </c>
      <c r="AB171" s="6" t="s">
        <v>104</v>
      </c>
      <c r="AC171" s="6"/>
      <c r="AD171" s="13" t="str">
        <f aca="false">IF(AC171="","",IFERROR(INDEX('INDB Full Nutrients'!$D:$D,MATCH(AC171,'INDB Full Nutrients'!$A:$A,0)),""))</f>
        <v/>
      </c>
      <c r="AE171" s="6"/>
      <c r="AF171" s="6"/>
    </row>
    <row r="172" customFormat="false" ht="15" hidden="false" customHeight="false" outlineLevel="0" collapsed="false">
      <c r="A172" s="6" t="s">
        <v>766</v>
      </c>
      <c r="B172" s="6" t="s">
        <v>767</v>
      </c>
      <c r="C172" s="6" t="s">
        <v>768</v>
      </c>
      <c r="D172" s="6" t="s">
        <v>43</v>
      </c>
      <c r="E172" s="6" t="s">
        <v>119</v>
      </c>
      <c r="F172" s="6" t="s">
        <v>100</v>
      </c>
      <c r="G172" s="6"/>
      <c r="H172" s="6" t="s">
        <v>603</v>
      </c>
      <c r="I172" s="6" t="s">
        <v>298</v>
      </c>
      <c r="J172" s="13" t="n">
        <f aca="false">4*K172+4*(L172-N172)+9*M172+2*N172</f>
        <v>295</v>
      </c>
      <c r="K172" s="14" t="n">
        <v>4.5</v>
      </c>
      <c r="L172" s="14" t="n">
        <v>34</v>
      </c>
      <c r="M172" s="14" t="n">
        <v>16</v>
      </c>
      <c r="N172" s="14" t="n">
        <v>1.5</v>
      </c>
      <c r="O172" s="14" t="n">
        <v>2</v>
      </c>
      <c r="P172" s="15" t="n">
        <v>380</v>
      </c>
      <c r="Q172" s="16" t="n">
        <v>25</v>
      </c>
      <c r="R172" s="16" t="n">
        <v>35</v>
      </c>
      <c r="S172" s="16" t="n">
        <v>50</v>
      </c>
      <c r="T172" s="6"/>
      <c r="U172" s="6"/>
      <c r="V172" s="13" t="n">
        <f aca="false">IF(Q172="","",J172*Q172/100)</f>
        <v>73.75</v>
      </c>
      <c r="W172" s="13" t="n">
        <f aca="false">IF(R172="","",J172*R172/100)</f>
        <v>103.25</v>
      </c>
      <c r="X172" s="13" t="n">
        <f aca="false">IF(S172="","",J172*S172/100)</f>
        <v>147.5</v>
      </c>
      <c r="Y172" s="13" t="str">
        <f aca="false">IF(T172="","",J172*T172/100)</f>
        <v/>
      </c>
      <c r="Z172" s="13" t="str">
        <f aca="false">IF(U172="","",J172*U172/100)</f>
        <v/>
      </c>
      <c r="AA172" s="6" t="s">
        <v>103</v>
      </c>
      <c r="AB172" s="6" t="s">
        <v>104</v>
      </c>
      <c r="AC172" s="6"/>
      <c r="AD172" s="13" t="str">
        <f aca="false">IF(AC172="","",IFERROR(INDEX('INDB Full Nutrients'!$D:$D,MATCH(AC172,'INDB Full Nutrients'!$A:$A,0)),""))</f>
        <v/>
      </c>
      <c r="AE172" s="6"/>
      <c r="AF172" s="6"/>
    </row>
    <row r="173" customFormat="false" ht="15" hidden="false" customHeight="false" outlineLevel="0" collapsed="false">
      <c r="A173" s="6" t="s">
        <v>769</v>
      </c>
      <c r="B173" s="6" t="s">
        <v>770</v>
      </c>
      <c r="C173" s="6" t="s">
        <v>771</v>
      </c>
      <c r="D173" s="6" t="s">
        <v>43</v>
      </c>
      <c r="E173" s="6" t="s">
        <v>119</v>
      </c>
      <c r="F173" s="6" t="s">
        <v>100</v>
      </c>
      <c r="G173" s="6" t="s">
        <v>124</v>
      </c>
      <c r="H173" s="6" t="s">
        <v>603</v>
      </c>
      <c r="I173" s="6" t="s">
        <v>298</v>
      </c>
      <c r="J173" s="13" t="n">
        <f aca="false">4*K173+4*(L173-N173)+9*M173+2*N173</f>
        <v>274</v>
      </c>
      <c r="K173" s="14" t="n">
        <v>2.5</v>
      </c>
      <c r="L173" s="14" t="n">
        <v>40</v>
      </c>
      <c r="M173" s="14" t="n">
        <v>12</v>
      </c>
      <c r="N173" s="14" t="n">
        <v>2</v>
      </c>
      <c r="O173" s="14" t="n">
        <v>15</v>
      </c>
      <c r="P173" s="15" t="n">
        <v>80</v>
      </c>
      <c r="Q173" s="16" t="n">
        <v>50</v>
      </c>
      <c r="R173" s="16" t="n">
        <v>70</v>
      </c>
      <c r="S173" s="16" t="n">
        <v>90</v>
      </c>
      <c r="T173" s="6"/>
      <c r="U173" s="6"/>
      <c r="V173" s="13" t="n">
        <f aca="false">IF(Q173="","",J173*Q173/100)</f>
        <v>137</v>
      </c>
      <c r="W173" s="13" t="n">
        <f aca="false">IF(R173="","",J173*R173/100)</f>
        <v>191.8</v>
      </c>
      <c r="X173" s="13" t="n">
        <f aca="false">IF(S173="","",J173*S173/100)</f>
        <v>246.6</v>
      </c>
      <c r="Y173" s="13" t="str">
        <f aca="false">IF(T173="","",J173*T173/100)</f>
        <v/>
      </c>
      <c r="Z173" s="13" t="str">
        <f aca="false">IF(U173="","",J173*U173/100)</f>
        <v/>
      </c>
      <c r="AA173" s="6" t="s">
        <v>103</v>
      </c>
      <c r="AB173" s="6" t="s">
        <v>104</v>
      </c>
      <c r="AC173" s="6"/>
      <c r="AD173" s="13" t="str">
        <f aca="false">IF(AC173="","",IFERROR(INDEX('INDB Full Nutrients'!$D:$D,MATCH(AC173,'INDB Full Nutrients'!$A:$A,0)),""))</f>
        <v/>
      </c>
      <c r="AE173" s="6"/>
      <c r="AF173" s="6"/>
    </row>
    <row r="174" customFormat="false" ht="15" hidden="false" customHeight="false" outlineLevel="0" collapsed="false">
      <c r="A174" s="6" t="s">
        <v>772</v>
      </c>
      <c r="B174" s="6" t="s">
        <v>773</v>
      </c>
      <c r="C174" s="6"/>
      <c r="D174" s="6" t="s">
        <v>43</v>
      </c>
      <c r="E174" s="6" t="s">
        <v>119</v>
      </c>
      <c r="F174" s="6" t="s">
        <v>100</v>
      </c>
      <c r="G174" s="6"/>
      <c r="H174" s="6" t="s">
        <v>603</v>
      </c>
      <c r="I174" s="6" t="s">
        <v>298</v>
      </c>
      <c r="J174" s="13" t="n">
        <f aca="false">4*K174+4*(L174-N174)+9*M174+2*N174</f>
        <v>316</v>
      </c>
      <c r="K174" s="14" t="n">
        <v>3</v>
      </c>
      <c r="L174" s="14" t="n">
        <v>50</v>
      </c>
      <c r="M174" s="14" t="n">
        <v>12</v>
      </c>
      <c r="N174" s="14" t="n">
        <v>2</v>
      </c>
      <c r="O174" s="14" t="n">
        <v>25</v>
      </c>
      <c r="P174" s="15" t="n">
        <v>40</v>
      </c>
      <c r="Q174" s="16" t="n">
        <v>20</v>
      </c>
      <c r="R174" s="16" t="n">
        <v>30</v>
      </c>
      <c r="S174" s="16" t="n">
        <v>40</v>
      </c>
      <c r="T174" s="6"/>
      <c r="U174" s="6"/>
      <c r="V174" s="13" t="n">
        <f aca="false">IF(Q174="","",J174*Q174/100)</f>
        <v>63.2</v>
      </c>
      <c r="W174" s="13" t="n">
        <f aca="false">IF(R174="","",J174*R174/100)</f>
        <v>94.8</v>
      </c>
      <c r="X174" s="13" t="n">
        <f aca="false">IF(S174="","",J174*S174/100)</f>
        <v>126.4</v>
      </c>
      <c r="Y174" s="13" t="str">
        <f aca="false">IF(T174="","",J174*T174/100)</f>
        <v/>
      </c>
      <c r="Z174" s="13" t="str">
        <f aca="false">IF(U174="","",J174*U174/100)</f>
        <v/>
      </c>
      <c r="AA174" s="6" t="s">
        <v>103</v>
      </c>
      <c r="AB174" s="6" t="s">
        <v>104</v>
      </c>
      <c r="AC174" s="6"/>
      <c r="AD174" s="13" t="str">
        <f aca="false">IF(AC174="","",IFERROR(INDEX('INDB Full Nutrients'!$D:$D,MATCH(AC174,'INDB Full Nutrients'!$A:$A,0)),""))</f>
        <v/>
      </c>
      <c r="AE174" s="6"/>
      <c r="AF174" s="6"/>
    </row>
    <row r="175" customFormat="false" ht="15" hidden="false" customHeight="false" outlineLevel="0" collapsed="false">
      <c r="A175" s="6" t="s">
        <v>774</v>
      </c>
      <c r="B175" s="6" t="s">
        <v>775</v>
      </c>
      <c r="C175" s="6" t="s">
        <v>776</v>
      </c>
      <c r="D175" s="6" t="s">
        <v>44</v>
      </c>
      <c r="E175" s="6" t="s">
        <v>161</v>
      </c>
      <c r="F175" s="6" t="s">
        <v>100</v>
      </c>
      <c r="G175" s="6" t="s">
        <v>124</v>
      </c>
      <c r="H175" s="6" t="s">
        <v>588</v>
      </c>
      <c r="I175" s="6" t="s">
        <v>298</v>
      </c>
      <c r="J175" s="13" t="n">
        <f aca="false">4*K175+4*(L175-N175)+9*M175+2*N175</f>
        <v>244.2</v>
      </c>
      <c r="K175" s="14" t="n">
        <v>8.5</v>
      </c>
      <c r="L175" s="14" t="n">
        <v>52</v>
      </c>
      <c r="M175" s="14" t="n">
        <v>1.8</v>
      </c>
      <c r="N175" s="14" t="n">
        <v>7</v>
      </c>
      <c r="O175" s="14" t="n">
        <v>1.5</v>
      </c>
      <c r="P175" s="15" t="n">
        <v>5</v>
      </c>
      <c r="Q175" s="16" t="n">
        <v>25</v>
      </c>
      <c r="R175" s="16" t="n">
        <v>35</v>
      </c>
      <c r="S175" s="16" t="n">
        <v>45</v>
      </c>
      <c r="T175" s="6"/>
      <c r="U175" s="6"/>
      <c r="V175" s="13" t="n">
        <f aca="false">IF(Q175="","",J175*Q175/100)</f>
        <v>61.05</v>
      </c>
      <c r="W175" s="13" t="n">
        <f aca="false">IF(R175="","",J175*R175/100)</f>
        <v>85.47</v>
      </c>
      <c r="X175" s="13" t="n">
        <f aca="false">IF(S175="","",J175*S175/100)</f>
        <v>109.89</v>
      </c>
      <c r="Y175" s="13" t="str">
        <f aca="false">IF(T175="","",J175*T175/100)</f>
        <v/>
      </c>
      <c r="Z175" s="13" t="str">
        <f aca="false">IF(U175="","",J175*U175/100)</f>
        <v/>
      </c>
      <c r="AA175" s="6" t="s">
        <v>103</v>
      </c>
      <c r="AB175" s="6" t="s">
        <v>104</v>
      </c>
      <c r="AC175" s="6" t="s">
        <v>777</v>
      </c>
      <c r="AD175" s="13" t="n">
        <f aca="false">IF(AC175="","",IFERROR(INDEX('INDB Full Nutrients'!$D:$D,MATCH(AC175,'INDB Full Nutrients'!$A:$A,0)),""))</f>
        <v>202.311111450195</v>
      </c>
      <c r="AE175" s="6" t="s">
        <v>778</v>
      </c>
      <c r="AF175" s="6" t="s">
        <v>779</v>
      </c>
    </row>
    <row r="176" customFormat="false" ht="15" hidden="false" customHeight="false" outlineLevel="0" collapsed="false">
      <c r="A176" s="6" t="s">
        <v>780</v>
      </c>
      <c r="B176" s="6" t="s">
        <v>781</v>
      </c>
      <c r="C176" s="6" t="s">
        <v>782</v>
      </c>
      <c r="D176" s="6" t="s">
        <v>44</v>
      </c>
      <c r="E176" s="6" t="s">
        <v>161</v>
      </c>
      <c r="F176" s="6" t="s">
        <v>100</v>
      </c>
      <c r="G176" s="6"/>
      <c r="H176" s="6" t="s">
        <v>588</v>
      </c>
      <c r="I176" s="6" t="s">
        <v>298</v>
      </c>
      <c r="J176" s="13" t="n">
        <f aca="false">4*K176+4*(L176-N176)+9*M176+2*N176</f>
        <v>286.8</v>
      </c>
      <c r="K176" s="14" t="n">
        <v>8</v>
      </c>
      <c r="L176" s="14" t="n">
        <v>49</v>
      </c>
      <c r="M176" s="14" t="n">
        <v>8</v>
      </c>
      <c r="N176" s="14" t="n">
        <v>6.6</v>
      </c>
      <c r="O176" s="14" t="n">
        <v>1.4</v>
      </c>
      <c r="P176" s="15" t="n">
        <v>5</v>
      </c>
      <c r="Q176" s="16" t="n">
        <v>30</v>
      </c>
      <c r="R176" s="16" t="n">
        <v>40</v>
      </c>
      <c r="S176" s="16" t="n">
        <v>50</v>
      </c>
      <c r="T176" s="6"/>
      <c r="U176" s="6"/>
      <c r="V176" s="13" t="n">
        <f aca="false">IF(Q176="","",J176*Q176/100)</f>
        <v>86.04</v>
      </c>
      <c r="W176" s="13" t="n">
        <f aca="false">IF(R176="","",J176*R176/100)</f>
        <v>114.72</v>
      </c>
      <c r="X176" s="13" t="n">
        <f aca="false">IF(S176="","",J176*S176/100)</f>
        <v>143.4</v>
      </c>
      <c r="Y176" s="13" t="str">
        <f aca="false">IF(T176="","",J176*T176/100)</f>
        <v/>
      </c>
      <c r="Z176" s="13" t="str">
        <f aca="false">IF(U176="","",J176*U176/100)</f>
        <v/>
      </c>
      <c r="AA176" s="6" t="s">
        <v>103</v>
      </c>
      <c r="AB176" s="6" t="s">
        <v>104</v>
      </c>
      <c r="AC176" s="6"/>
      <c r="AD176" s="13" t="str">
        <f aca="false">IF(AC176="","",IFERROR(INDEX('INDB Full Nutrients'!$D:$D,MATCH(AC176,'INDB Full Nutrients'!$A:$A,0)),""))</f>
        <v/>
      </c>
      <c r="AE176" s="6"/>
      <c r="AF176" s="6" t="s">
        <v>783</v>
      </c>
    </row>
    <row r="177" customFormat="false" ht="15" hidden="false" customHeight="false" outlineLevel="0" collapsed="false">
      <c r="A177" s="6" t="s">
        <v>784</v>
      </c>
      <c r="B177" s="6" t="s">
        <v>785</v>
      </c>
      <c r="C177" s="6"/>
      <c r="D177" s="6" t="s">
        <v>44</v>
      </c>
      <c r="E177" s="6" t="s">
        <v>161</v>
      </c>
      <c r="F177" s="6" t="s">
        <v>100</v>
      </c>
      <c r="G177" s="6" t="s">
        <v>124</v>
      </c>
      <c r="H177" s="6" t="s">
        <v>588</v>
      </c>
      <c r="I177" s="6" t="s">
        <v>298</v>
      </c>
      <c r="J177" s="13" t="n">
        <f aca="false">4*K177+4*(L177-N177)+9*M177+2*N177</f>
        <v>254.5</v>
      </c>
      <c r="K177" s="14" t="n">
        <v>9</v>
      </c>
      <c r="L177" s="14" t="n">
        <v>52</v>
      </c>
      <c r="M177" s="14" t="n">
        <v>2.5</v>
      </c>
      <c r="N177" s="14" t="n">
        <v>6</v>
      </c>
      <c r="O177" s="14" t="n">
        <v>1.5</v>
      </c>
      <c r="P177" s="15" t="n">
        <v>350</v>
      </c>
      <c r="Q177" s="16" t="n">
        <v>40</v>
      </c>
      <c r="R177" s="16" t="n">
        <v>55</v>
      </c>
      <c r="S177" s="16" t="n">
        <v>70</v>
      </c>
      <c r="T177" s="6"/>
      <c r="U177" s="6"/>
      <c r="V177" s="13" t="n">
        <f aca="false">IF(Q177="","",J177*Q177/100)</f>
        <v>101.8</v>
      </c>
      <c r="W177" s="13" t="n">
        <f aca="false">IF(R177="","",J177*R177/100)</f>
        <v>139.975</v>
      </c>
      <c r="X177" s="13" t="n">
        <f aca="false">IF(S177="","",J177*S177/100)</f>
        <v>178.15</v>
      </c>
      <c r="Y177" s="13" t="str">
        <f aca="false">IF(T177="","",J177*T177/100)</f>
        <v/>
      </c>
      <c r="Z177" s="13" t="str">
        <f aca="false">IF(U177="","",J177*U177/100)</f>
        <v/>
      </c>
      <c r="AA177" s="6" t="s">
        <v>103</v>
      </c>
      <c r="AB177" s="6" t="s">
        <v>104</v>
      </c>
      <c r="AC177" s="6"/>
      <c r="AD177" s="13" t="str">
        <f aca="false">IF(AC177="","",IFERROR(INDEX('INDB Full Nutrients'!$D:$D,MATCH(AC177,'INDB Full Nutrients'!$A:$A,0)),""))</f>
        <v/>
      </c>
      <c r="AE177" s="6"/>
      <c r="AF177" s="6"/>
    </row>
    <row r="178" customFormat="false" ht="15" hidden="false" customHeight="false" outlineLevel="0" collapsed="false">
      <c r="A178" s="6" t="s">
        <v>786</v>
      </c>
      <c r="B178" s="6" t="s">
        <v>787</v>
      </c>
      <c r="C178" s="6"/>
      <c r="D178" s="6" t="s">
        <v>44</v>
      </c>
      <c r="E178" s="6" t="s">
        <v>161</v>
      </c>
      <c r="F178" s="6" t="s">
        <v>100</v>
      </c>
      <c r="G178" s="6"/>
      <c r="H178" s="6" t="s">
        <v>588</v>
      </c>
      <c r="I178" s="6" t="s">
        <v>298</v>
      </c>
      <c r="J178" s="13" t="n">
        <f aca="false">4*K178+4*(L178-N178)+9*M178+2*N178</f>
        <v>295.5</v>
      </c>
      <c r="K178" s="14" t="n">
        <v>8.5</v>
      </c>
      <c r="L178" s="14" t="n">
        <v>49</v>
      </c>
      <c r="M178" s="14" t="n">
        <v>8.5</v>
      </c>
      <c r="N178" s="14" t="n">
        <v>5.5</v>
      </c>
      <c r="O178" s="14" t="n">
        <v>1.5</v>
      </c>
      <c r="P178" s="15" t="n">
        <v>380</v>
      </c>
      <c r="Q178" s="16" t="n">
        <v>45</v>
      </c>
      <c r="R178" s="16" t="n">
        <v>60</v>
      </c>
      <c r="S178" s="16" t="n">
        <v>75</v>
      </c>
      <c r="T178" s="6"/>
      <c r="U178" s="6"/>
      <c r="V178" s="13" t="n">
        <f aca="false">IF(Q178="","",J178*Q178/100)</f>
        <v>132.975</v>
      </c>
      <c r="W178" s="13" t="n">
        <f aca="false">IF(R178="","",J178*R178/100)</f>
        <v>177.3</v>
      </c>
      <c r="X178" s="13" t="n">
        <f aca="false">IF(S178="","",J178*S178/100)</f>
        <v>221.625</v>
      </c>
      <c r="Y178" s="13" t="str">
        <f aca="false">IF(T178="","",J178*T178/100)</f>
        <v/>
      </c>
      <c r="Z178" s="13" t="str">
        <f aca="false">IF(U178="","",J178*U178/100)</f>
        <v/>
      </c>
      <c r="AA178" s="6" t="s">
        <v>103</v>
      </c>
      <c r="AB178" s="6" t="s">
        <v>104</v>
      </c>
      <c r="AC178" s="6"/>
      <c r="AD178" s="13" t="str">
        <f aca="false">IF(AC178="","",IFERROR(INDEX('INDB Full Nutrients'!$D:$D,MATCH(AC178,'INDB Full Nutrients'!$A:$A,0)),""))</f>
        <v/>
      </c>
      <c r="AE178" s="6"/>
      <c r="AF178" s="6"/>
    </row>
    <row r="179" customFormat="false" ht="15" hidden="false" customHeight="false" outlineLevel="0" collapsed="false">
      <c r="A179" s="6" t="s">
        <v>788</v>
      </c>
      <c r="B179" s="6" t="s">
        <v>789</v>
      </c>
      <c r="C179" s="6" t="s">
        <v>790</v>
      </c>
      <c r="D179" s="6" t="s">
        <v>44</v>
      </c>
      <c r="E179" s="6" t="s">
        <v>161</v>
      </c>
      <c r="F179" s="6" t="s">
        <v>100</v>
      </c>
      <c r="G179" s="6"/>
      <c r="H179" s="6" t="s">
        <v>588</v>
      </c>
      <c r="I179" s="6" t="s">
        <v>298</v>
      </c>
      <c r="J179" s="13" t="n">
        <f aca="false">4*K179+4*(L179-N179)+9*M179+2*N179</f>
        <v>279.9</v>
      </c>
      <c r="K179" s="14" t="n">
        <v>8.7</v>
      </c>
      <c r="L179" s="14" t="n">
        <v>50</v>
      </c>
      <c r="M179" s="14" t="n">
        <v>5.5</v>
      </c>
      <c r="N179" s="14" t="n">
        <v>2.2</v>
      </c>
      <c r="O179" s="14" t="n">
        <v>3.5</v>
      </c>
      <c r="P179" s="15" t="n">
        <v>450</v>
      </c>
      <c r="Q179" s="16" t="n">
        <v>60</v>
      </c>
      <c r="R179" s="16" t="n">
        <v>90</v>
      </c>
      <c r="S179" s="16" t="n">
        <v>120</v>
      </c>
      <c r="T179" s="6"/>
      <c r="U179" s="6"/>
      <c r="V179" s="13" t="n">
        <f aca="false">IF(Q179="","",J179*Q179/100)</f>
        <v>167.94</v>
      </c>
      <c r="W179" s="13" t="n">
        <f aca="false">IF(R179="","",J179*R179/100)</f>
        <v>251.91</v>
      </c>
      <c r="X179" s="13" t="n">
        <f aca="false">IF(S179="","",J179*S179/100)</f>
        <v>335.88</v>
      </c>
      <c r="Y179" s="13" t="str">
        <f aca="false">IF(T179="","",J179*T179/100)</f>
        <v/>
      </c>
      <c r="Z179" s="13" t="str">
        <f aca="false">IF(U179="","",J179*U179/100)</f>
        <v/>
      </c>
      <c r="AA179" s="6" t="s">
        <v>125</v>
      </c>
      <c r="AB179" s="6" t="s">
        <v>147</v>
      </c>
      <c r="AC179" s="6" t="s">
        <v>791</v>
      </c>
      <c r="AD179" s="13" t="n">
        <f aca="false">IF(AC179="","",IFERROR(INDEX('INDB Full Nutrients'!$D:$D,MATCH(AC179,'INDB Full Nutrients'!$A:$A,0)),""))</f>
        <v>286.449645996094</v>
      </c>
      <c r="AE179" s="6" t="s">
        <v>792</v>
      </c>
      <c r="AF179" s="6" t="s">
        <v>793</v>
      </c>
    </row>
    <row r="180" customFormat="false" ht="15" hidden="false" customHeight="false" outlineLevel="0" collapsed="false">
      <c r="A180" s="6" t="s">
        <v>794</v>
      </c>
      <c r="B180" s="6" t="s">
        <v>795</v>
      </c>
      <c r="C180" s="6"/>
      <c r="D180" s="6" t="s">
        <v>44</v>
      </c>
      <c r="E180" s="6" t="s">
        <v>161</v>
      </c>
      <c r="F180" s="6" t="s">
        <v>100</v>
      </c>
      <c r="G180" s="6"/>
      <c r="H180" s="6" t="s">
        <v>588</v>
      </c>
      <c r="I180" s="6" t="s">
        <v>298</v>
      </c>
      <c r="J180" s="13" t="n">
        <f aca="false">4*K180+4*(L180-N180)+9*M180+2*N180</f>
        <v>311.5</v>
      </c>
      <c r="K180" s="14" t="n">
        <v>8.3</v>
      </c>
      <c r="L180" s="14" t="n">
        <v>47</v>
      </c>
      <c r="M180" s="14" t="n">
        <v>10.5</v>
      </c>
      <c r="N180" s="14" t="n">
        <v>2.1</v>
      </c>
      <c r="O180" s="14" t="n">
        <v>3.3</v>
      </c>
      <c r="P180" s="15" t="n">
        <v>480</v>
      </c>
      <c r="Q180" s="16" t="n">
        <v>65</v>
      </c>
      <c r="R180" s="16" t="n">
        <v>95</v>
      </c>
      <c r="S180" s="16" t="n">
        <v>125</v>
      </c>
      <c r="T180" s="6"/>
      <c r="U180" s="6"/>
      <c r="V180" s="13" t="n">
        <f aca="false">IF(Q180="","",J180*Q180/100)</f>
        <v>202.475</v>
      </c>
      <c r="W180" s="13" t="n">
        <f aca="false">IF(R180="","",J180*R180/100)</f>
        <v>295.925</v>
      </c>
      <c r="X180" s="13" t="n">
        <f aca="false">IF(S180="","",J180*S180/100)</f>
        <v>389.375</v>
      </c>
      <c r="Y180" s="13" t="str">
        <f aca="false">IF(T180="","",J180*T180/100)</f>
        <v/>
      </c>
      <c r="Z180" s="13" t="str">
        <f aca="false">IF(U180="","",J180*U180/100)</f>
        <v/>
      </c>
      <c r="AA180" s="6" t="s">
        <v>103</v>
      </c>
      <c r="AB180" s="6" t="s">
        <v>104</v>
      </c>
      <c r="AC180" s="6"/>
      <c r="AD180" s="13" t="str">
        <f aca="false">IF(AC180="","",IFERROR(INDEX('INDB Full Nutrients'!$D:$D,MATCH(AC180,'INDB Full Nutrients'!$A:$A,0)),""))</f>
        <v/>
      </c>
      <c r="AE180" s="6"/>
      <c r="AF180" s="6"/>
    </row>
    <row r="181" customFormat="false" ht="15" hidden="false" customHeight="false" outlineLevel="0" collapsed="false">
      <c r="A181" s="6" t="s">
        <v>796</v>
      </c>
      <c r="B181" s="6" t="s">
        <v>797</v>
      </c>
      <c r="C181" s="6"/>
      <c r="D181" s="6" t="s">
        <v>44</v>
      </c>
      <c r="E181" s="6" t="s">
        <v>161</v>
      </c>
      <c r="F181" s="6" t="s">
        <v>100</v>
      </c>
      <c r="G181" s="6"/>
      <c r="H181" s="6" t="s">
        <v>588</v>
      </c>
      <c r="I181" s="6" t="s">
        <v>298</v>
      </c>
      <c r="J181" s="13" t="n">
        <f aca="false">4*K181+4*(L181-N181)+9*M181+2*N181</f>
        <v>311.9</v>
      </c>
      <c r="K181" s="14" t="n">
        <v>8.5</v>
      </c>
      <c r="L181" s="14" t="n">
        <v>47</v>
      </c>
      <c r="M181" s="14" t="n">
        <v>10.5</v>
      </c>
      <c r="N181" s="14" t="n">
        <v>2.3</v>
      </c>
      <c r="O181" s="14" t="n">
        <v>3.2</v>
      </c>
      <c r="P181" s="15" t="n">
        <v>500</v>
      </c>
      <c r="Q181" s="16" t="n">
        <v>65</v>
      </c>
      <c r="R181" s="16" t="n">
        <v>95</v>
      </c>
      <c r="S181" s="16" t="n">
        <v>125</v>
      </c>
      <c r="T181" s="6"/>
      <c r="U181" s="6"/>
      <c r="V181" s="13" t="n">
        <f aca="false">IF(Q181="","",J181*Q181/100)</f>
        <v>202.735</v>
      </c>
      <c r="W181" s="13" t="n">
        <f aca="false">IF(R181="","",J181*R181/100)</f>
        <v>296.305</v>
      </c>
      <c r="X181" s="13" t="n">
        <f aca="false">IF(S181="","",J181*S181/100)</f>
        <v>389.875</v>
      </c>
      <c r="Y181" s="13" t="str">
        <f aca="false">IF(T181="","",J181*T181/100)</f>
        <v/>
      </c>
      <c r="Z181" s="13" t="str">
        <f aca="false">IF(U181="","",J181*U181/100)</f>
        <v/>
      </c>
      <c r="AA181" s="6" t="s">
        <v>103</v>
      </c>
      <c r="AB181" s="6" t="s">
        <v>104</v>
      </c>
      <c r="AC181" s="6"/>
      <c r="AD181" s="13" t="str">
        <f aca="false">IF(AC181="","",IFERROR(INDEX('INDB Full Nutrients'!$D:$D,MATCH(AC181,'INDB Full Nutrients'!$A:$A,0)),""))</f>
        <v/>
      </c>
      <c r="AE181" s="6"/>
      <c r="AF181" s="6" t="s">
        <v>798</v>
      </c>
    </row>
    <row r="182" customFormat="false" ht="15" hidden="false" customHeight="false" outlineLevel="0" collapsed="false">
      <c r="A182" s="6" t="s">
        <v>799</v>
      </c>
      <c r="B182" s="6" t="s">
        <v>800</v>
      </c>
      <c r="C182" s="6"/>
      <c r="D182" s="6" t="s">
        <v>44</v>
      </c>
      <c r="E182" s="6" t="s">
        <v>161</v>
      </c>
      <c r="F182" s="6" t="s">
        <v>100</v>
      </c>
      <c r="G182" s="6"/>
      <c r="H182" s="6" t="s">
        <v>588</v>
      </c>
      <c r="I182" s="6" t="s">
        <v>298</v>
      </c>
      <c r="J182" s="13" t="n">
        <f aca="false">4*K182+4*(L182-N182)+9*M182+2*N182</f>
        <v>326.4</v>
      </c>
      <c r="K182" s="14" t="n">
        <v>11</v>
      </c>
      <c r="L182" s="14" t="n">
        <v>40</v>
      </c>
      <c r="M182" s="14" t="n">
        <v>14</v>
      </c>
      <c r="N182" s="14" t="n">
        <v>1.8</v>
      </c>
      <c r="O182" s="14" t="n">
        <v>3</v>
      </c>
      <c r="P182" s="15" t="n">
        <v>600</v>
      </c>
      <c r="Q182" s="16" t="n">
        <v>90</v>
      </c>
      <c r="R182" s="16" t="n">
        <v>120</v>
      </c>
      <c r="S182" s="16" t="n">
        <v>150</v>
      </c>
      <c r="T182" s="6"/>
      <c r="U182" s="6"/>
      <c r="V182" s="13" t="n">
        <f aca="false">IF(Q182="","",J182*Q182/100)</f>
        <v>293.76</v>
      </c>
      <c r="W182" s="13" t="n">
        <f aca="false">IF(R182="","",J182*R182/100)</f>
        <v>391.68</v>
      </c>
      <c r="X182" s="13" t="n">
        <f aca="false">IF(S182="","",J182*S182/100)</f>
        <v>489.6</v>
      </c>
      <c r="Y182" s="13" t="str">
        <f aca="false">IF(T182="","",J182*T182/100)</f>
        <v/>
      </c>
      <c r="Z182" s="13" t="str">
        <f aca="false">IF(U182="","",J182*U182/100)</f>
        <v/>
      </c>
      <c r="AA182" s="6" t="s">
        <v>103</v>
      </c>
      <c r="AB182" s="6" t="s">
        <v>104</v>
      </c>
      <c r="AC182" s="6"/>
      <c r="AD182" s="13" t="str">
        <f aca="false">IF(AC182="","",IFERROR(INDEX('INDB Full Nutrients'!$D:$D,MATCH(AC182,'INDB Full Nutrients'!$A:$A,0)),""))</f>
        <v/>
      </c>
      <c r="AE182" s="6"/>
      <c r="AF182" s="6"/>
    </row>
    <row r="183" customFormat="false" ht="15" hidden="false" customHeight="false" outlineLevel="0" collapsed="false">
      <c r="A183" s="6" t="s">
        <v>801</v>
      </c>
      <c r="B183" s="6" t="s">
        <v>802</v>
      </c>
      <c r="C183" s="6"/>
      <c r="D183" s="6" t="s">
        <v>44</v>
      </c>
      <c r="E183" s="6" t="s">
        <v>161</v>
      </c>
      <c r="F183" s="6" t="s">
        <v>569</v>
      </c>
      <c r="G183" s="6"/>
      <c r="H183" s="6" t="s">
        <v>588</v>
      </c>
      <c r="I183" s="6" t="s">
        <v>298</v>
      </c>
      <c r="J183" s="13" t="n">
        <f aca="false">4*K183+4*(L183-N183)+9*M183+2*N183</f>
        <v>300.4</v>
      </c>
      <c r="K183" s="14" t="n">
        <v>13</v>
      </c>
      <c r="L183" s="14" t="n">
        <v>36</v>
      </c>
      <c r="M183" s="14" t="n">
        <v>12</v>
      </c>
      <c r="N183" s="14" t="n">
        <v>1.8</v>
      </c>
      <c r="O183" s="14" t="n">
        <v>2.5</v>
      </c>
      <c r="P183" s="15" t="n">
        <v>550</v>
      </c>
      <c r="Q183" s="16" t="n">
        <v>100</v>
      </c>
      <c r="R183" s="16" t="n">
        <v>140</v>
      </c>
      <c r="S183" s="16" t="n">
        <v>180</v>
      </c>
      <c r="T183" s="6"/>
      <c r="U183" s="6"/>
      <c r="V183" s="13" t="n">
        <f aca="false">IF(Q183="","",J183*Q183/100)</f>
        <v>300.4</v>
      </c>
      <c r="W183" s="13" t="n">
        <f aca="false">IF(R183="","",J183*R183/100)</f>
        <v>420.56</v>
      </c>
      <c r="X183" s="13" t="n">
        <f aca="false">IF(S183="","",J183*S183/100)</f>
        <v>540.72</v>
      </c>
      <c r="Y183" s="13" t="str">
        <f aca="false">IF(T183="","",J183*T183/100)</f>
        <v/>
      </c>
      <c r="Z183" s="13" t="str">
        <f aca="false">IF(U183="","",J183*U183/100)</f>
        <v/>
      </c>
      <c r="AA183" s="6" t="s">
        <v>103</v>
      </c>
      <c r="AB183" s="6" t="s">
        <v>104</v>
      </c>
      <c r="AC183" s="6"/>
      <c r="AD183" s="13" t="str">
        <f aca="false">IF(AC183="","",IFERROR(INDEX('INDB Full Nutrients'!$D:$D,MATCH(AC183,'INDB Full Nutrients'!$A:$A,0)),""))</f>
        <v/>
      </c>
      <c r="AE183" s="6"/>
      <c r="AF183" s="6"/>
    </row>
    <row r="184" customFormat="false" ht="15" hidden="false" customHeight="false" outlineLevel="0" collapsed="false">
      <c r="A184" s="6" t="s">
        <v>803</v>
      </c>
      <c r="B184" s="6" t="s">
        <v>804</v>
      </c>
      <c r="C184" s="6"/>
      <c r="D184" s="6" t="s">
        <v>44</v>
      </c>
      <c r="E184" s="6" t="s">
        <v>161</v>
      </c>
      <c r="F184" s="6" t="s">
        <v>100</v>
      </c>
      <c r="G184" s="6"/>
      <c r="H184" s="6" t="s">
        <v>588</v>
      </c>
      <c r="I184" s="6" t="s">
        <v>298</v>
      </c>
      <c r="J184" s="13" t="n">
        <f aca="false">4*K184+4*(L184-N184)+9*M184+2*N184</f>
        <v>280</v>
      </c>
      <c r="K184" s="14" t="n">
        <v>8.5</v>
      </c>
      <c r="L184" s="14" t="n">
        <v>49</v>
      </c>
      <c r="M184" s="14" t="n">
        <v>6</v>
      </c>
      <c r="N184" s="14" t="n">
        <v>2</v>
      </c>
      <c r="O184" s="14" t="n">
        <v>3.5</v>
      </c>
      <c r="P184" s="15" t="n">
        <v>450</v>
      </c>
      <c r="Q184" s="16" t="n">
        <v>60</v>
      </c>
      <c r="R184" s="16" t="n">
        <v>80</v>
      </c>
      <c r="S184" s="16" t="n">
        <v>100</v>
      </c>
      <c r="T184" s="6"/>
      <c r="U184" s="6"/>
      <c r="V184" s="13" t="n">
        <f aca="false">IF(Q184="","",J184*Q184/100)</f>
        <v>168</v>
      </c>
      <c r="W184" s="13" t="n">
        <f aca="false">IF(R184="","",J184*R184/100)</f>
        <v>224</v>
      </c>
      <c r="X184" s="13" t="n">
        <f aca="false">IF(S184="","",J184*S184/100)</f>
        <v>280</v>
      </c>
      <c r="Y184" s="13" t="str">
        <f aca="false">IF(T184="","",J184*T184/100)</f>
        <v/>
      </c>
      <c r="Z184" s="13" t="str">
        <f aca="false">IF(U184="","",J184*U184/100)</f>
        <v/>
      </c>
      <c r="AA184" s="6" t="s">
        <v>103</v>
      </c>
      <c r="AB184" s="6" t="s">
        <v>104</v>
      </c>
      <c r="AC184" s="6"/>
      <c r="AD184" s="13" t="str">
        <f aca="false">IF(AC184="","",IFERROR(INDEX('INDB Full Nutrients'!$D:$D,MATCH(AC184,'INDB Full Nutrients'!$A:$A,0)),""))</f>
        <v/>
      </c>
      <c r="AE184" s="6"/>
      <c r="AF184" s="6"/>
    </row>
    <row r="185" customFormat="false" ht="15" hidden="false" customHeight="false" outlineLevel="0" collapsed="false">
      <c r="A185" s="6" t="s">
        <v>805</v>
      </c>
      <c r="B185" s="6" t="s">
        <v>806</v>
      </c>
      <c r="C185" s="6" t="s">
        <v>807</v>
      </c>
      <c r="D185" s="6" t="s">
        <v>44</v>
      </c>
      <c r="E185" s="6" t="s">
        <v>161</v>
      </c>
      <c r="F185" s="6" t="s">
        <v>100</v>
      </c>
      <c r="G185" s="6"/>
      <c r="H185" s="6" t="s">
        <v>588</v>
      </c>
      <c r="I185" s="6" t="s">
        <v>298</v>
      </c>
      <c r="J185" s="13" t="n">
        <f aca="false">4*K185+4*(L185-N185)+9*M185+2*N185</f>
        <v>282</v>
      </c>
      <c r="K185" s="14" t="n">
        <v>7</v>
      </c>
      <c r="L185" s="14" t="n">
        <v>38</v>
      </c>
      <c r="M185" s="14" t="n">
        <v>12</v>
      </c>
      <c r="N185" s="14" t="n">
        <v>3</v>
      </c>
      <c r="O185" s="14" t="n">
        <v>2</v>
      </c>
      <c r="P185" s="15" t="n">
        <v>480</v>
      </c>
      <c r="Q185" s="16" t="n">
        <v>100</v>
      </c>
      <c r="R185" s="16" t="n">
        <v>140</v>
      </c>
      <c r="S185" s="16" t="n">
        <v>180</v>
      </c>
      <c r="T185" s="6"/>
      <c r="U185" s="6"/>
      <c r="V185" s="13" t="n">
        <f aca="false">IF(Q185="","",J185*Q185/100)</f>
        <v>282</v>
      </c>
      <c r="W185" s="13" t="n">
        <f aca="false">IF(R185="","",J185*R185/100)</f>
        <v>394.8</v>
      </c>
      <c r="X185" s="13" t="n">
        <f aca="false">IF(S185="","",J185*S185/100)</f>
        <v>507.6</v>
      </c>
      <c r="Y185" s="13" t="str">
        <f aca="false">IF(T185="","",J185*T185/100)</f>
        <v/>
      </c>
      <c r="Z185" s="13" t="str">
        <f aca="false">IF(U185="","",J185*U185/100)</f>
        <v/>
      </c>
      <c r="AA185" s="6" t="s">
        <v>103</v>
      </c>
      <c r="AB185" s="6" t="s">
        <v>104</v>
      </c>
      <c r="AC185" s="6"/>
      <c r="AD185" s="13" t="str">
        <f aca="false">IF(AC185="","",IFERROR(INDEX('INDB Full Nutrients'!$D:$D,MATCH(AC185,'INDB Full Nutrients'!$A:$A,0)),""))</f>
        <v/>
      </c>
      <c r="AE185" s="6"/>
      <c r="AF185" s="6"/>
    </row>
    <row r="186" customFormat="false" ht="15" hidden="false" customHeight="false" outlineLevel="0" collapsed="false">
      <c r="A186" s="6" t="s">
        <v>808</v>
      </c>
      <c r="B186" s="6" t="s">
        <v>809</v>
      </c>
      <c r="C186" s="6" t="s">
        <v>810</v>
      </c>
      <c r="D186" s="6" t="s">
        <v>44</v>
      </c>
      <c r="E186" s="6" t="s">
        <v>161</v>
      </c>
      <c r="F186" s="6" t="s">
        <v>100</v>
      </c>
      <c r="G186" s="6"/>
      <c r="H186" s="6" t="s">
        <v>588</v>
      </c>
      <c r="I186" s="6" t="s">
        <v>298</v>
      </c>
      <c r="J186" s="13" t="n">
        <f aca="false">4*K186+4*(L186-N186)+9*M186+2*N186</f>
        <v>325.2</v>
      </c>
      <c r="K186" s="14" t="n">
        <v>6.8</v>
      </c>
      <c r="L186" s="14" t="n">
        <v>43</v>
      </c>
      <c r="M186" s="14" t="n">
        <v>15</v>
      </c>
      <c r="N186" s="14" t="n">
        <v>4.5</v>
      </c>
      <c r="O186" s="14" t="n">
        <v>1</v>
      </c>
      <c r="P186" s="15" t="n">
        <v>320</v>
      </c>
      <c r="Q186" s="16" t="n">
        <v>60</v>
      </c>
      <c r="R186" s="16" t="n">
        <v>80</v>
      </c>
      <c r="S186" s="16" t="n">
        <v>100</v>
      </c>
      <c r="T186" s="6"/>
      <c r="U186" s="6"/>
      <c r="V186" s="13" t="n">
        <f aca="false">IF(Q186="","",J186*Q186/100)</f>
        <v>195.12</v>
      </c>
      <c r="W186" s="13" t="n">
        <f aca="false">IF(R186="","",J186*R186/100)</f>
        <v>260.16</v>
      </c>
      <c r="X186" s="13" t="n">
        <f aca="false">IF(S186="","",J186*S186/100)</f>
        <v>325.2</v>
      </c>
      <c r="Y186" s="13" t="str">
        <f aca="false">IF(T186="","",J186*T186/100)</f>
        <v/>
      </c>
      <c r="Z186" s="13" t="str">
        <f aca="false">IF(U186="","",J186*U186/100)</f>
        <v/>
      </c>
      <c r="AA186" s="6" t="s">
        <v>103</v>
      </c>
      <c r="AB186" s="6" t="s">
        <v>104</v>
      </c>
      <c r="AC186" s="6"/>
      <c r="AD186" s="13" t="str">
        <f aca="false">IF(AC186="","",IFERROR(INDEX('INDB Full Nutrients'!$D:$D,MATCH(AC186,'INDB Full Nutrients'!$A:$A,0)),""))</f>
        <v/>
      </c>
      <c r="AE186" s="6"/>
      <c r="AF186" s="6"/>
    </row>
    <row r="187" customFormat="false" ht="15" hidden="false" customHeight="false" outlineLevel="0" collapsed="false">
      <c r="A187" s="6" t="s">
        <v>811</v>
      </c>
      <c r="B187" s="6" t="s">
        <v>812</v>
      </c>
      <c r="C187" s="6"/>
      <c r="D187" s="6" t="s">
        <v>44</v>
      </c>
      <c r="E187" s="6" t="s">
        <v>161</v>
      </c>
      <c r="F187" s="6" t="s">
        <v>100</v>
      </c>
      <c r="G187" s="6"/>
      <c r="H187" s="6" t="s">
        <v>588</v>
      </c>
      <c r="I187" s="6" t="s">
        <v>298</v>
      </c>
      <c r="J187" s="13" t="n">
        <f aca="false">4*K187+4*(L187-N187)+9*M187+2*N187</f>
        <v>268.5</v>
      </c>
      <c r="K187" s="14" t="n">
        <v>11</v>
      </c>
      <c r="L187" s="14" t="n">
        <v>45</v>
      </c>
      <c r="M187" s="14" t="n">
        <v>6.5</v>
      </c>
      <c r="N187" s="14" t="n">
        <v>7</v>
      </c>
      <c r="O187" s="14" t="n">
        <v>1.5</v>
      </c>
      <c r="P187" s="15" t="n">
        <v>400</v>
      </c>
      <c r="Q187" s="16" t="n">
        <v>40</v>
      </c>
      <c r="R187" s="16" t="n">
        <v>60</v>
      </c>
      <c r="S187" s="16" t="n">
        <v>80</v>
      </c>
      <c r="T187" s="6"/>
      <c r="U187" s="6"/>
      <c r="V187" s="13" t="n">
        <f aca="false">IF(Q187="","",J187*Q187/100)</f>
        <v>107.4</v>
      </c>
      <c r="W187" s="13" t="n">
        <f aca="false">IF(R187="","",J187*R187/100)</f>
        <v>161.1</v>
      </c>
      <c r="X187" s="13" t="n">
        <f aca="false">IF(S187="","",J187*S187/100)</f>
        <v>214.8</v>
      </c>
      <c r="Y187" s="13" t="str">
        <f aca="false">IF(T187="","",J187*T187/100)</f>
        <v/>
      </c>
      <c r="Z187" s="13" t="str">
        <f aca="false">IF(U187="","",J187*U187/100)</f>
        <v/>
      </c>
      <c r="AA187" s="6" t="s">
        <v>103</v>
      </c>
      <c r="AB187" s="6" t="s">
        <v>104</v>
      </c>
      <c r="AC187" s="6"/>
      <c r="AD187" s="13" t="str">
        <f aca="false">IF(AC187="","",IFERROR(INDEX('INDB Full Nutrients'!$D:$D,MATCH(AC187,'INDB Full Nutrients'!$A:$A,0)),""))</f>
        <v/>
      </c>
      <c r="AE187" s="6"/>
      <c r="AF187" s="6"/>
    </row>
    <row r="188" customFormat="false" ht="15" hidden="false" customHeight="false" outlineLevel="0" collapsed="false">
      <c r="A188" s="6" t="s">
        <v>813</v>
      </c>
      <c r="B188" s="6" t="s">
        <v>814</v>
      </c>
      <c r="C188" s="6" t="s">
        <v>815</v>
      </c>
      <c r="D188" s="6" t="s">
        <v>44</v>
      </c>
      <c r="E188" s="6" t="s">
        <v>161</v>
      </c>
      <c r="F188" s="6" t="s">
        <v>100</v>
      </c>
      <c r="G188" s="6"/>
      <c r="H188" s="6" t="s">
        <v>588</v>
      </c>
      <c r="I188" s="6" t="s">
        <v>298</v>
      </c>
      <c r="J188" s="13" t="n">
        <f aca="false">4*K188+4*(L188-N188)+9*M188+2*N188</f>
        <v>287</v>
      </c>
      <c r="K188" s="14" t="n">
        <v>6.5</v>
      </c>
      <c r="L188" s="14" t="n">
        <v>48</v>
      </c>
      <c r="M188" s="14" t="n">
        <v>9</v>
      </c>
      <c r="N188" s="14" t="n">
        <v>6</v>
      </c>
      <c r="O188" s="14" t="n">
        <v>1</v>
      </c>
      <c r="P188" s="15" t="n">
        <v>200</v>
      </c>
      <c r="Q188" s="16" t="n">
        <v>50</v>
      </c>
      <c r="R188" s="16" t="n">
        <v>70</v>
      </c>
      <c r="S188" s="16" t="n">
        <v>90</v>
      </c>
      <c r="T188" s="6"/>
      <c r="U188" s="6"/>
      <c r="V188" s="13" t="n">
        <f aca="false">IF(Q188="","",J188*Q188/100)</f>
        <v>143.5</v>
      </c>
      <c r="W188" s="13" t="n">
        <f aca="false">IF(R188="","",J188*R188/100)</f>
        <v>200.9</v>
      </c>
      <c r="X188" s="13" t="n">
        <f aca="false">IF(S188="","",J188*S188/100)</f>
        <v>258.3</v>
      </c>
      <c r="Y188" s="13" t="str">
        <f aca="false">IF(T188="","",J188*T188/100)</f>
        <v/>
      </c>
      <c r="Z188" s="13" t="str">
        <f aca="false">IF(U188="","",J188*U188/100)</f>
        <v/>
      </c>
      <c r="AA188" s="6" t="s">
        <v>125</v>
      </c>
      <c r="AB188" s="6" t="s">
        <v>147</v>
      </c>
      <c r="AC188" s="6" t="s">
        <v>816</v>
      </c>
      <c r="AD188" s="13" t="n">
        <f aca="false">IF(AC188="","",IFERROR(INDEX('INDB Full Nutrients'!$D:$D,MATCH(AC188,'INDB Full Nutrients'!$A:$A,0)),""))</f>
        <v>263.968353271484</v>
      </c>
      <c r="AE188" s="6" t="s">
        <v>817</v>
      </c>
      <c r="AF188" s="6"/>
    </row>
    <row r="189" customFormat="false" ht="15" hidden="false" customHeight="false" outlineLevel="0" collapsed="false">
      <c r="A189" s="6" t="s">
        <v>818</v>
      </c>
      <c r="B189" s="6" t="s">
        <v>819</v>
      </c>
      <c r="C189" s="6" t="s">
        <v>820</v>
      </c>
      <c r="D189" s="6" t="s">
        <v>44</v>
      </c>
      <c r="E189" s="6" t="s">
        <v>114</v>
      </c>
      <c r="F189" s="6" t="s">
        <v>100</v>
      </c>
      <c r="G189" s="6" t="s">
        <v>124</v>
      </c>
      <c r="H189" s="6" t="s">
        <v>588</v>
      </c>
      <c r="I189" s="6" t="s">
        <v>298</v>
      </c>
      <c r="J189" s="13" t="n">
        <f aca="false">4*K189+4*(L189-N189)+9*M189+2*N189</f>
        <v>248.5</v>
      </c>
      <c r="K189" s="14" t="n">
        <v>7.5</v>
      </c>
      <c r="L189" s="14" t="n">
        <v>48</v>
      </c>
      <c r="M189" s="14" t="n">
        <v>4.5</v>
      </c>
      <c r="N189" s="14" t="n">
        <v>7</v>
      </c>
      <c r="O189" s="14" t="n">
        <v>1</v>
      </c>
      <c r="P189" s="15" t="n">
        <v>10</v>
      </c>
      <c r="Q189" s="16" t="n">
        <v>40</v>
      </c>
      <c r="R189" s="16" t="n">
        <v>55</v>
      </c>
      <c r="S189" s="16" t="n">
        <v>70</v>
      </c>
      <c r="T189" s="6"/>
      <c r="U189" s="6"/>
      <c r="V189" s="13" t="n">
        <f aca="false">IF(Q189="","",J189*Q189/100)</f>
        <v>99.4</v>
      </c>
      <c r="W189" s="13" t="n">
        <f aca="false">IF(R189="","",J189*R189/100)</f>
        <v>136.675</v>
      </c>
      <c r="X189" s="13" t="n">
        <f aca="false">IF(S189="","",J189*S189/100)</f>
        <v>173.95</v>
      </c>
      <c r="Y189" s="13" t="str">
        <f aca="false">IF(T189="","",J189*T189/100)</f>
        <v/>
      </c>
      <c r="Z189" s="13" t="str">
        <f aca="false">IF(U189="","",J189*U189/100)</f>
        <v/>
      </c>
      <c r="AA189" s="6" t="s">
        <v>103</v>
      </c>
      <c r="AB189" s="6" t="s">
        <v>104</v>
      </c>
      <c r="AC189" s="6"/>
      <c r="AD189" s="13" t="str">
        <f aca="false">IF(AC189="","",IFERROR(INDEX('INDB Full Nutrients'!$D:$D,MATCH(AC189,'INDB Full Nutrients'!$A:$A,0)),""))</f>
        <v/>
      </c>
      <c r="AE189" s="6"/>
      <c r="AF189" s="6"/>
    </row>
    <row r="190" customFormat="false" ht="15" hidden="false" customHeight="false" outlineLevel="0" collapsed="false">
      <c r="A190" s="6" t="s">
        <v>821</v>
      </c>
      <c r="B190" s="6" t="s">
        <v>822</v>
      </c>
      <c r="C190" s="6" t="s">
        <v>823</v>
      </c>
      <c r="D190" s="6" t="s">
        <v>44</v>
      </c>
      <c r="E190" s="6" t="s">
        <v>114</v>
      </c>
      <c r="F190" s="6" t="s">
        <v>100</v>
      </c>
      <c r="G190" s="6" t="s">
        <v>124</v>
      </c>
      <c r="H190" s="6" t="s">
        <v>588</v>
      </c>
      <c r="I190" s="6" t="s">
        <v>298</v>
      </c>
      <c r="J190" s="13" t="n">
        <f aca="false">4*K190+4*(L190-N190)+9*M190+2*N190</f>
        <v>234</v>
      </c>
      <c r="K190" s="14" t="n">
        <v>7</v>
      </c>
      <c r="L190" s="14" t="n">
        <v>50</v>
      </c>
      <c r="M190" s="14" t="n">
        <v>2</v>
      </c>
      <c r="N190" s="14" t="n">
        <v>6</v>
      </c>
      <c r="O190" s="14" t="n">
        <v>1</v>
      </c>
      <c r="P190" s="15" t="n">
        <v>10</v>
      </c>
      <c r="Q190" s="16" t="n">
        <v>40</v>
      </c>
      <c r="R190" s="16" t="n">
        <v>55</v>
      </c>
      <c r="S190" s="16" t="n">
        <v>70</v>
      </c>
      <c r="T190" s="6"/>
      <c r="U190" s="6"/>
      <c r="V190" s="13" t="n">
        <f aca="false">IF(Q190="","",J190*Q190/100)</f>
        <v>93.6</v>
      </c>
      <c r="W190" s="13" t="n">
        <f aca="false">IF(R190="","",J190*R190/100)</f>
        <v>128.7</v>
      </c>
      <c r="X190" s="13" t="n">
        <f aca="false">IF(S190="","",J190*S190/100)</f>
        <v>163.8</v>
      </c>
      <c r="Y190" s="13" t="str">
        <f aca="false">IF(T190="","",J190*T190/100)</f>
        <v/>
      </c>
      <c r="Z190" s="13" t="str">
        <f aca="false">IF(U190="","",J190*U190/100)</f>
        <v/>
      </c>
      <c r="AA190" s="6" t="s">
        <v>103</v>
      </c>
      <c r="AB190" s="6" t="s">
        <v>104</v>
      </c>
      <c r="AC190" s="6"/>
      <c r="AD190" s="13" t="str">
        <f aca="false">IF(AC190="","",IFERROR(INDEX('INDB Full Nutrients'!$D:$D,MATCH(AC190,'INDB Full Nutrients'!$A:$A,0)),""))</f>
        <v/>
      </c>
      <c r="AE190" s="6"/>
      <c r="AF190" s="6"/>
    </row>
    <row r="191" customFormat="false" ht="15" hidden="false" customHeight="false" outlineLevel="0" collapsed="false">
      <c r="A191" s="6" t="s">
        <v>824</v>
      </c>
      <c r="B191" s="6" t="s">
        <v>825</v>
      </c>
      <c r="C191" s="6" t="s">
        <v>826</v>
      </c>
      <c r="D191" s="6" t="s">
        <v>44</v>
      </c>
      <c r="E191" s="6" t="s">
        <v>119</v>
      </c>
      <c r="F191" s="6" t="s">
        <v>100</v>
      </c>
      <c r="G191" s="6" t="s">
        <v>124</v>
      </c>
      <c r="H191" s="6" t="s">
        <v>588</v>
      </c>
      <c r="I191" s="6" t="s">
        <v>298</v>
      </c>
      <c r="J191" s="13" t="n">
        <f aca="false">4*K191+4*(L191-N191)+9*M191+2*N191</f>
        <v>234</v>
      </c>
      <c r="K191" s="14" t="n">
        <v>5</v>
      </c>
      <c r="L191" s="14" t="n">
        <v>48</v>
      </c>
      <c r="M191" s="14" t="n">
        <v>4</v>
      </c>
      <c r="N191" s="14" t="n">
        <v>7</v>
      </c>
      <c r="O191" s="14" t="n">
        <v>0.5</v>
      </c>
      <c r="P191" s="15" t="n">
        <v>10</v>
      </c>
      <c r="Q191" s="16" t="n">
        <v>40</v>
      </c>
      <c r="R191" s="16" t="n">
        <v>55</v>
      </c>
      <c r="S191" s="16" t="n">
        <v>70</v>
      </c>
      <c r="T191" s="6"/>
      <c r="U191" s="6"/>
      <c r="V191" s="13" t="n">
        <f aca="false">IF(Q191="","",J191*Q191/100)</f>
        <v>93.6</v>
      </c>
      <c r="W191" s="13" t="n">
        <f aca="false">IF(R191="","",J191*R191/100)</f>
        <v>128.7</v>
      </c>
      <c r="X191" s="13" t="n">
        <f aca="false">IF(S191="","",J191*S191/100)</f>
        <v>163.8</v>
      </c>
      <c r="Y191" s="13" t="str">
        <f aca="false">IF(T191="","",J191*T191/100)</f>
        <v/>
      </c>
      <c r="Z191" s="13" t="str">
        <f aca="false">IF(U191="","",J191*U191/100)</f>
        <v/>
      </c>
      <c r="AA191" s="6" t="s">
        <v>103</v>
      </c>
      <c r="AB191" s="6" t="s">
        <v>104</v>
      </c>
      <c r="AC191" s="6"/>
      <c r="AD191" s="13" t="str">
        <f aca="false">IF(AC191="","",IFERROR(INDEX('INDB Full Nutrients'!$D:$D,MATCH(AC191,'INDB Full Nutrients'!$A:$A,0)),""))</f>
        <v/>
      </c>
      <c r="AE191" s="6"/>
      <c r="AF191" s="6"/>
    </row>
    <row r="192" customFormat="false" ht="15" hidden="false" customHeight="false" outlineLevel="0" collapsed="false">
      <c r="A192" s="6" t="s">
        <v>827</v>
      </c>
      <c r="B192" s="6" t="s">
        <v>828</v>
      </c>
      <c r="C192" s="6"/>
      <c r="D192" s="6" t="s">
        <v>44</v>
      </c>
      <c r="E192" s="6" t="s">
        <v>161</v>
      </c>
      <c r="F192" s="6" t="s">
        <v>100</v>
      </c>
      <c r="G192" s="6" t="s">
        <v>124</v>
      </c>
      <c r="H192" s="6" t="s">
        <v>588</v>
      </c>
      <c r="I192" s="6" t="s">
        <v>298</v>
      </c>
      <c r="J192" s="13" t="n">
        <f aca="false">4*K192+4*(L192-N192)+9*M192+2*N192</f>
        <v>266</v>
      </c>
      <c r="K192" s="14" t="n">
        <v>8.5</v>
      </c>
      <c r="L192" s="14" t="n">
        <v>50</v>
      </c>
      <c r="M192" s="14" t="n">
        <v>4</v>
      </c>
      <c r="N192" s="14" t="n">
        <v>2</v>
      </c>
      <c r="O192" s="14" t="n">
        <v>1.5</v>
      </c>
      <c r="P192" s="15" t="n">
        <v>350</v>
      </c>
      <c r="Q192" s="16" t="n">
        <v>40</v>
      </c>
      <c r="R192" s="16" t="n">
        <v>55</v>
      </c>
      <c r="S192" s="16" t="n">
        <v>70</v>
      </c>
      <c r="T192" s="6"/>
      <c r="U192" s="6"/>
      <c r="V192" s="13" t="n">
        <f aca="false">IF(Q192="","",J192*Q192/100)</f>
        <v>106.4</v>
      </c>
      <c r="W192" s="13" t="n">
        <f aca="false">IF(R192="","",J192*R192/100)</f>
        <v>146.3</v>
      </c>
      <c r="X192" s="13" t="n">
        <f aca="false">IF(S192="","",J192*S192/100)</f>
        <v>186.2</v>
      </c>
      <c r="Y192" s="13" t="str">
        <f aca="false">IF(T192="","",J192*T192/100)</f>
        <v/>
      </c>
      <c r="Z192" s="13" t="str">
        <f aca="false">IF(U192="","",J192*U192/100)</f>
        <v/>
      </c>
      <c r="AA192" s="6" t="s">
        <v>103</v>
      </c>
      <c r="AB192" s="6" t="s">
        <v>104</v>
      </c>
      <c r="AC192" s="6"/>
      <c r="AD192" s="13" t="str">
        <f aca="false">IF(AC192="","",IFERROR(INDEX('INDB Full Nutrients'!$D:$D,MATCH(AC192,'INDB Full Nutrients'!$A:$A,0)),""))</f>
        <v/>
      </c>
      <c r="AE192" s="6"/>
      <c r="AF192" s="6"/>
    </row>
    <row r="193" customFormat="false" ht="15" hidden="false" customHeight="false" outlineLevel="0" collapsed="false">
      <c r="A193" s="6" t="s">
        <v>829</v>
      </c>
      <c r="B193" s="6" t="s">
        <v>830</v>
      </c>
      <c r="C193" s="6" t="s">
        <v>831</v>
      </c>
      <c r="D193" s="6" t="s">
        <v>44</v>
      </c>
      <c r="E193" s="6" t="s">
        <v>205</v>
      </c>
      <c r="F193" s="6" t="s">
        <v>100</v>
      </c>
      <c r="G193" s="6" t="s">
        <v>124</v>
      </c>
      <c r="H193" s="6" t="s">
        <v>588</v>
      </c>
      <c r="I193" s="6" t="s">
        <v>298</v>
      </c>
      <c r="J193" s="13" t="n">
        <f aca="false">4*K193+4*(L193-N193)+9*M193+2*N193</f>
        <v>366.4</v>
      </c>
      <c r="K193" s="14" t="n">
        <v>7</v>
      </c>
      <c r="L193" s="14" t="n">
        <v>45</v>
      </c>
      <c r="M193" s="14" t="n">
        <v>18</v>
      </c>
      <c r="N193" s="14" t="n">
        <v>1.8</v>
      </c>
      <c r="O193" s="14" t="n">
        <v>1</v>
      </c>
      <c r="P193" s="15" t="n">
        <v>250</v>
      </c>
      <c r="Q193" s="16" t="n">
        <v>15</v>
      </c>
      <c r="R193" s="16" t="n">
        <v>25</v>
      </c>
      <c r="S193" s="16" t="n">
        <v>35</v>
      </c>
      <c r="T193" s="6"/>
      <c r="U193" s="6"/>
      <c r="V193" s="13" t="n">
        <f aca="false">IF(Q193="","",J193*Q193/100)</f>
        <v>54.96</v>
      </c>
      <c r="W193" s="13" t="n">
        <f aca="false">IF(R193="","",J193*R193/100)</f>
        <v>91.6</v>
      </c>
      <c r="X193" s="13" t="n">
        <f aca="false">IF(S193="","",J193*S193/100)</f>
        <v>128.24</v>
      </c>
      <c r="Y193" s="13" t="str">
        <f aca="false">IF(T193="","",J193*T193/100)</f>
        <v/>
      </c>
      <c r="Z193" s="13" t="str">
        <f aca="false">IF(U193="","",J193*U193/100)</f>
        <v/>
      </c>
      <c r="AA193" s="6" t="s">
        <v>103</v>
      </c>
      <c r="AB193" s="6" t="s">
        <v>104</v>
      </c>
      <c r="AC193" s="6"/>
      <c r="AD193" s="13" t="str">
        <f aca="false">IF(AC193="","",IFERROR(INDEX('INDB Full Nutrients'!$D:$D,MATCH(AC193,'INDB Full Nutrients'!$A:$A,0)),""))</f>
        <v/>
      </c>
      <c r="AE193" s="6"/>
      <c r="AF193" s="6"/>
    </row>
    <row r="194" customFormat="false" ht="15" hidden="false" customHeight="false" outlineLevel="0" collapsed="false">
      <c r="A194" s="6" t="s">
        <v>832</v>
      </c>
      <c r="B194" s="6" t="s">
        <v>833</v>
      </c>
      <c r="C194" s="6" t="s">
        <v>834</v>
      </c>
      <c r="D194" s="6" t="s">
        <v>44</v>
      </c>
      <c r="E194" s="6" t="s">
        <v>161</v>
      </c>
      <c r="F194" s="6" t="s">
        <v>100</v>
      </c>
      <c r="G194" s="6"/>
      <c r="H194" s="6" t="s">
        <v>588</v>
      </c>
      <c r="I194" s="6" t="s">
        <v>298</v>
      </c>
      <c r="J194" s="13" t="n">
        <f aca="false">4*K194+4*(L194-N194)+9*M194+2*N194</f>
        <v>332</v>
      </c>
      <c r="K194" s="14" t="n">
        <v>7.5</v>
      </c>
      <c r="L194" s="14" t="n">
        <v>45</v>
      </c>
      <c r="M194" s="14" t="n">
        <v>14</v>
      </c>
      <c r="N194" s="14" t="n">
        <v>2</v>
      </c>
      <c r="O194" s="14" t="n">
        <v>2</v>
      </c>
      <c r="P194" s="15" t="n">
        <v>400</v>
      </c>
      <c r="Q194" s="16" t="n">
        <v>60</v>
      </c>
      <c r="R194" s="16" t="n">
        <v>80</v>
      </c>
      <c r="S194" s="16" t="n">
        <v>110</v>
      </c>
      <c r="T194" s="6"/>
      <c r="U194" s="6"/>
      <c r="V194" s="13" t="n">
        <f aca="false">IF(Q194="","",J194*Q194/100)</f>
        <v>199.2</v>
      </c>
      <c r="W194" s="13" t="n">
        <f aca="false">IF(R194="","",J194*R194/100)</f>
        <v>265.6</v>
      </c>
      <c r="X194" s="13" t="n">
        <f aca="false">IF(S194="","",J194*S194/100)</f>
        <v>365.2</v>
      </c>
      <c r="Y194" s="13" t="str">
        <f aca="false">IF(T194="","",J194*T194/100)</f>
        <v/>
      </c>
      <c r="Z194" s="13" t="str">
        <f aca="false">IF(U194="","",J194*U194/100)</f>
        <v/>
      </c>
      <c r="AA194" s="6" t="s">
        <v>103</v>
      </c>
      <c r="AB194" s="6" t="s">
        <v>104</v>
      </c>
      <c r="AC194" s="6" t="s">
        <v>835</v>
      </c>
      <c r="AD194" s="13" t="n">
        <f aca="false">IF(AC194="","",IFERROR(INDEX('INDB Full Nutrients'!$D:$D,MATCH(AC194,'INDB Full Nutrients'!$A:$A,0)),""))</f>
        <v>793.202941894531</v>
      </c>
      <c r="AE194" s="6" t="s">
        <v>576</v>
      </c>
      <c r="AF194" s="6" t="s">
        <v>577</v>
      </c>
    </row>
    <row r="195" customFormat="false" ht="15" hidden="false" customHeight="false" outlineLevel="0" collapsed="false">
      <c r="A195" s="6" t="s">
        <v>836</v>
      </c>
      <c r="B195" s="6" t="s">
        <v>837</v>
      </c>
      <c r="C195" s="6" t="s">
        <v>838</v>
      </c>
      <c r="D195" s="6" t="s">
        <v>44</v>
      </c>
      <c r="E195" s="6" t="s">
        <v>114</v>
      </c>
      <c r="F195" s="6" t="s">
        <v>100</v>
      </c>
      <c r="G195" s="6"/>
      <c r="H195" s="6" t="s">
        <v>588</v>
      </c>
      <c r="I195" s="6" t="s">
        <v>298</v>
      </c>
      <c r="J195" s="13" t="n">
        <f aca="false">4*K195+4*(L195-N195)+9*M195+2*N195</f>
        <v>383</v>
      </c>
      <c r="K195" s="14" t="n">
        <v>8</v>
      </c>
      <c r="L195" s="14" t="n">
        <v>50</v>
      </c>
      <c r="M195" s="14" t="n">
        <v>18</v>
      </c>
      <c r="N195" s="14" t="n">
        <v>5.5</v>
      </c>
      <c r="O195" s="14" t="n">
        <v>1</v>
      </c>
      <c r="P195" s="15" t="n">
        <v>300</v>
      </c>
      <c r="Q195" s="16" t="n">
        <v>60</v>
      </c>
      <c r="R195" s="16" t="n">
        <v>80</v>
      </c>
      <c r="S195" s="16" t="n">
        <v>100</v>
      </c>
      <c r="T195" s="6"/>
      <c r="U195" s="6"/>
      <c r="V195" s="13" t="n">
        <f aca="false">IF(Q195="","",J195*Q195/100)</f>
        <v>229.8</v>
      </c>
      <c r="W195" s="13" t="n">
        <f aca="false">IF(R195="","",J195*R195/100)</f>
        <v>306.4</v>
      </c>
      <c r="X195" s="13" t="n">
        <f aca="false">IF(S195="","",J195*S195/100)</f>
        <v>383</v>
      </c>
      <c r="Y195" s="13" t="str">
        <f aca="false">IF(T195="","",J195*T195/100)</f>
        <v/>
      </c>
      <c r="Z195" s="13" t="str">
        <f aca="false">IF(U195="","",J195*U195/100)</f>
        <v/>
      </c>
      <c r="AA195" s="6" t="s">
        <v>103</v>
      </c>
      <c r="AB195" s="6" t="s">
        <v>104</v>
      </c>
      <c r="AC195" s="6"/>
      <c r="AD195" s="13" t="str">
        <f aca="false">IF(AC195="","",IFERROR(INDEX('INDB Full Nutrients'!$D:$D,MATCH(AC195,'INDB Full Nutrients'!$A:$A,0)),""))</f>
        <v/>
      </c>
      <c r="AE195" s="6"/>
      <c r="AF195" s="6" t="s">
        <v>839</v>
      </c>
    </row>
    <row r="196" customFormat="false" ht="15" hidden="false" customHeight="false" outlineLevel="0" collapsed="false">
      <c r="A196" s="6" t="s">
        <v>840</v>
      </c>
      <c r="B196" s="6" t="s">
        <v>841</v>
      </c>
      <c r="C196" s="6" t="s">
        <v>842</v>
      </c>
      <c r="D196" s="6" t="s">
        <v>44</v>
      </c>
      <c r="E196" s="6" t="s">
        <v>114</v>
      </c>
      <c r="F196" s="6" t="s">
        <v>100</v>
      </c>
      <c r="G196" s="6" t="s">
        <v>124</v>
      </c>
      <c r="H196" s="6" t="s">
        <v>588</v>
      </c>
      <c r="I196" s="6" t="s">
        <v>298</v>
      </c>
      <c r="J196" s="13" t="n">
        <f aca="false">4*K196+4*(L196-N196)+9*M196+2*N196</f>
        <v>265.6</v>
      </c>
      <c r="K196" s="14" t="n">
        <v>8.5</v>
      </c>
      <c r="L196" s="14" t="n">
        <v>50</v>
      </c>
      <c r="M196" s="14" t="n">
        <v>4</v>
      </c>
      <c r="N196" s="14" t="n">
        <v>2.2</v>
      </c>
      <c r="O196" s="14" t="n">
        <v>4</v>
      </c>
      <c r="P196" s="15" t="n">
        <v>450</v>
      </c>
      <c r="Q196" s="16" t="n">
        <v>30</v>
      </c>
      <c r="R196" s="16" t="n">
        <v>40</v>
      </c>
      <c r="S196" s="16" t="n">
        <v>50</v>
      </c>
      <c r="T196" s="6"/>
      <c r="U196" s="6"/>
      <c r="V196" s="13" t="n">
        <f aca="false">IF(Q196="","",J196*Q196/100)</f>
        <v>79.68</v>
      </c>
      <c r="W196" s="13" t="n">
        <f aca="false">IF(R196="","",J196*R196/100)</f>
        <v>106.24</v>
      </c>
      <c r="X196" s="13" t="n">
        <f aca="false">IF(S196="","",J196*S196/100)</f>
        <v>132.8</v>
      </c>
      <c r="Y196" s="13" t="str">
        <f aca="false">IF(T196="","",J196*T196/100)</f>
        <v/>
      </c>
      <c r="Z196" s="13" t="str">
        <f aca="false">IF(U196="","",J196*U196/100)</f>
        <v/>
      </c>
      <c r="AA196" s="6" t="s">
        <v>103</v>
      </c>
      <c r="AB196" s="6" t="s">
        <v>104</v>
      </c>
      <c r="AC196" s="6"/>
      <c r="AD196" s="13" t="str">
        <f aca="false">IF(AC196="","",IFERROR(INDEX('INDB Full Nutrients'!$D:$D,MATCH(AC196,'INDB Full Nutrients'!$A:$A,0)),""))</f>
        <v/>
      </c>
      <c r="AE196" s="6"/>
      <c r="AF196" s="6" t="s">
        <v>843</v>
      </c>
    </row>
    <row r="197" customFormat="false" ht="15" hidden="false" customHeight="false" outlineLevel="0" collapsed="false">
      <c r="A197" s="6" t="s">
        <v>844</v>
      </c>
      <c r="B197" s="6" t="s">
        <v>845</v>
      </c>
      <c r="C197" s="6" t="s">
        <v>846</v>
      </c>
      <c r="D197" s="6" t="s">
        <v>44</v>
      </c>
      <c r="E197" s="6" t="s">
        <v>114</v>
      </c>
      <c r="F197" s="6" t="s">
        <v>100</v>
      </c>
      <c r="G197" s="6"/>
      <c r="H197" s="6" t="s">
        <v>588</v>
      </c>
      <c r="I197" s="6" t="s">
        <v>298</v>
      </c>
      <c r="J197" s="13" t="n">
        <f aca="false">4*K197+4*(L197-N197)+9*M197+2*N197</f>
        <v>310.2</v>
      </c>
      <c r="K197" s="14" t="n">
        <v>7.5</v>
      </c>
      <c r="L197" s="14" t="n">
        <v>44</v>
      </c>
      <c r="M197" s="14" t="n">
        <v>12</v>
      </c>
      <c r="N197" s="14" t="n">
        <v>1.9</v>
      </c>
      <c r="O197" s="14" t="n">
        <v>3.5</v>
      </c>
      <c r="P197" s="15" t="n">
        <v>480</v>
      </c>
      <c r="Q197" s="16" t="n">
        <v>35</v>
      </c>
      <c r="R197" s="16" t="n">
        <v>45</v>
      </c>
      <c r="S197" s="16" t="n">
        <v>55</v>
      </c>
      <c r="T197" s="6"/>
      <c r="U197" s="6"/>
      <c r="V197" s="13" t="n">
        <f aca="false">IF(Q197="","",J197*Q197/100)</f>
        <v>108.57</v>
      </c>
      <c r="W197" s="13" t="n">
        <f aca="false">IF(R197="","",J197*R197/100)</f>
        <v>139.59</v>
      </c>
      <c r="X197" s="13" t="n">
        <f aca="false">IF(S197="","",J197*S197/100)</f>
        <v>170.61</v>
      </c>
      <c r="Y197" s="13" t="str">
        <f aca="false">IF(T197="","",J197*T197/100)</f>
        <v/>
      </c>
      <c r="Z197" s="13" t="str">
        <f aca="false">IF(U197="","",J197*U197/100)</f>
        <v/>
      </c>
      <c r="AA197" s="6" t="s">
        <v>103</v>
      </c>
      <c r="AB197" s="6" t="s">
        <v>104</v>
      </c>
      <c r="AC197" s="6"/>
      <c r="AD197" s="13" t="str">
        <f aca="false">IF(AC197="","",IFERROR(INDEX('INDB Full Nutrients'!$D:$D,MATCH(AC197,'INDB Full Nutrients'!$A:$A,0)),""))</f>
        <v/>
      </c>
      <c r="AE197" s="6"/>
      <c r="AF197" s="6"/>
    </row>
    <row r="198" customFormat="false" ht="15" hidden="false" customHeight="false" outlineLevel="0" collapsed="false">
      <c r="A198" s="6" t="s">
        <v>847</v>
      </c>
      <c r="B198" s="6" t="s">
        <v>848</v>
      </c>
      <c r="C198" s="6" t="s">
        <v>849</v>
      </c>
      <c r="D198" s="6" t="s">
        <v>44</v>
      </c>
      <c r="E198" s="6" t="s">
        <v>99</v>
      </c>
      <c r="F198" s="6" t="s">
        <v>100</v>
      </c>
      <c r="G198" s="6" t="s">
        <v>124</v>
      </c>
      <c r="H198" s="6" t="s">
        <v>588</v>
      </c>
      <c r="I198" s="6" t="s">
        <v>298</v>
      </c>
      <c r="J198" s="13" t="n">
        <f aca="false">4*K198+4*(L198-N198)+9*M198+2*N198</f>
        <v>255.5</v>
      </c>
      <c r="K198" s="14" t="n">
        <v>8.8</v>
      </c>
      <c r="L198" s="14" t="n">
        <v>49</v>
      </c>
      <c r="M198" s="14" t="n">
        <v>3.3</v>
      </c>
      <c r="N198" s="14" t="n">
        <v>2.7</v>
      </c>
      <c r="O198" s="14" t="n">
        <v>5</v>
      </c>
      <c r="P198" s="15" t="n">
        <v>490</v>
      </c>
      <c r="Q198" s="16" t="n">
        <v>20</v>
      </c>
      <c r="R198" s="16" t="n">
        <v>25</v>
      </c>
      <c r="S198" s="16" t="n">
        <v>30</v>
      </c>
      <c r="T198" s="6"/>
      <c r="U198" s="6"/>
      <c r="V198" s="13" t="n">
        <f aca="false">IF(Q198="","",J198*Q198/100)</f>
        <v>51.1</v>
      </c>
      <c r="W198" s="13" t="n">
        <f aca="false">IF(R198="","",J198*R198/100)</f>
        <v>63.875</v>
      </c>
      <c r="X198" s="13" t="n">
        <f aca="false">IF(S198="","",J198*S198/100)</f>
        <v>76.65</v>
      </c>
      <c r="Y198" s="13" t="str">
        <f aca="false">IF(T198="","",J198*T198/100)</f>
        <v/>
      </c>
      <c r="Z198" s="13" t="str">
        <f aca="false">IF(U198="","",J198*U198/100)</f>
        <v/>
      </c>
      <c r="AA198" s="6" t="s">
        <v>125</v>
      </c>
      <c r="AB198" s="6" t="s">
        <v>126</v>
      </c>
      <c r="AC198" s="6"/>
      <c r="AD198" s="13" t="str">
        <f aca="false">IF(AC198="","",IFERROR(INDEX('INDB Full Nutrients'!$D:$D,MATCH(AC198,'INDB Full Nutrients'!$A:$A,0)),""))</f>
        <v/>
      </c>
      <c r="AE198" s="6"/>
      <c r="AF198" s="6"/>
    </row>
    <row r="199" customFormat="false" ht="15" hidden="false" customHeight="false" outlineLevel="0" collapsed="false">
      <c r="A199" s="6" t="s">
        <v>850</v>
      </c>
      <c r="B199" s="6" t="s">
        <v>851</v>
      </c>
      <c r="C199" s="6" t="s">
        <v>852</v>
      </c>
      <c r="D199" s="6" t="s">
        <v>44</v>
      </c>
      <c r="E199" s="6" t="s">
        <v>99</v>
      </c>
      <c r="F199" s="6" t="s">
        <v>100</v>
      </c>
      <c r="G199" s="6" t="s">
        <v>124</v>
      </c>
      <c r="H199" s="6" t="s">
        <v>588</v>
      </c>
      <c r="I199" s="6" t="s">
        <v>298</v>
      </c>
      <c r="J199" s="13" t="n">
        <f aca="false">4*K199+4*(L199-N199)+9*M199+2*N199</f>
        <v>235.5</v>
      </c>
      <c r="K199" s="14" t="n">
        <v>10</v>
      </c>
      <c r="L199" s="14" t="n">
        <v>44</v>
      </c>
      <c r="M199" s="14" t="n">
        <v>3.5</v>
      </c>
      <c r="N199" s="14" t="n">
        <v>6</v>
      </c>
      <c r="O199" s="14" t="n">
        <v>4.5</v>
      </c>
      <c r="P199" s="15" t="n">
        <v>450</v>
      </c>
      <c r="Q199" s="16" t="n">
        <v>20</v>
      </c>
      <c r="R199" s="16" t="n">
        <v>25</v>
      </c>
      <c r="S199" s="16" t="n">
        <v>30</v>
      </c>
      <c r="T199" s="6"/>
      <c r="U199" s="6"/>
      <c r="V199" s="13" t="n">
        <f aca="false">IF(Q199="","",J199*Q199/100)</f>
        <v>47.1</v>
      </c>
      <c r="W199" s="13" t="n">
        <f aca="false">IF(R199="","",J199*R199/100)</f>
        <v>58.875</v>
      </c>
      <c r="X199" s="13" t="n">
        <f aca="false">IF(S199="","",J199*S199/100)</f>
        <v>70.65</v>
      </c>
      <c r="Y199" s="13" t="str">
        <f aca="false">IF(T199="","",J199*T199/100)</f>
        <v/>
      </c>
      <c r="Z199" s="13" t="str">
        <f aca="false">IF(U199="","",J199*U199/100)</f>
        <v/>
      </c>
      <c r="AA199" s="6" t="s">
        <v>125</v>
      </c>
      <c r="AB199" s="6" t="s">
        <v>126</v>
      </c>
      <c r="AC199" s="6"/>
      <c r="AD199" s="13" t="str">
        <f aca="false">IF(AC199="","",IFERROR(INDEX('INDB Full Nutrients'!$D:$D,MATCH(AC199,'INDB Full Nutrients'!$A:$A,0)),""))</f>
        <v/>
      </c>
      <c r="AE199" s="6"/>
      <c r="AF199" s="6"/>
    </row>
    <row r="200" customFormat="false" ht="15" hidden="false" customHeight="false" outlineLevel="0" collapsed="false">
      <c r="A200" s="6" t="s">
        <v>853</v>
      </c>
      <c r="B200" s="6" t="s">
        <v>854</v>
      </c>
      <c r="C200" s="6" t="s">
        <v>855</v>
      </c>
      <c r="D200" s="6" t="s">
        <v>45</v>
      </c>
      <c r="E200" s="6" t="s">
        <v>99</v>
      </c>
      <c r="F200" s="6" t="s">
        <v>100</v>
      </c>
      <c r="G200" s="6" t="s">
        <v>124</v>
      </c>
      <c r="H200" s="6" t="s">
        <v>588</v>
      </c>
      <c r="I200" s="6" t="s">
        <v>298</v>
      </c>
      <c r="J200" s="13" t="n">
        <f aca="false">4*K200+4*(L200-N200)+9*M200+2*N200</f>
        <v>125.5</v>
      </c>
      <c r="K200" s="14" t="n">
        <v>2.7</v>
      </c>
      <c r="L200" s="14" t="n">
        <v>28.2</v>
      </c>
      <c r="M200" s="14" t="n">
        <v>0.3</v>
      </c>
      <c r="N200" s="14" t="n">
        <v>0.4</v>
      </c>
      <c r="O200" s="14" t="n">
        <v>0.1</v>
      </c>
      <c r="P200" s="15" t="n">
        <v>1</v>
      </c>
      <c r="Q200" s="16" t="n">
        <v>100</v>
      </c>
      <c r="R200" s="16" t="n">
        <v>150</v>
      </c>
      <c r="S200" s="16" t="n">
        <v>200</v>
      </c>
      <c r="T200" s="16" t="n">
        <v>250</v>
      </c>
      <c r="U200" s="16" t="n">
        <v>450</v>
      </c>
      <c r="V200" s="13" t="n">
        <f aca="false">IF(Q200="","",J200*Q200/100)</f>
        <v>125.5</v>
      </c>
      <c r="W200" s="13" t="n">
        <f aca="false">IF(R200="","",J200*R200/100)</f>
        <v>188.25</v>
      </c>
      <c r="X200" s="13" t="n">
        <f aca="false">IF(S200="","",J200*S200/100)</f>
        <v>251</v>
      </c>
      <c r="Y200" s="13" t="n">
        <f aca="false">IF(T200="","",J200*T200/100)</f>
        <v>313.75</v>
      </c>
      <c r="Z200" s="13" t="n">
        <f aca="false">IF(U200="","",J200*U200/100)</f>
        <v>564.75</v>
      </c>
      <c r="AA200" s="6" t="s">
        <v>125</v>
      </c>
      <c r="AB200" s="6" t="s">
        <v>126</v>
      </c>
      <c r="AC200" s="6" t="s">
        <v>856</v>
      </c>
      <c r="AD200" s="13" t="n">
        <f aca="false">IF(AC200="","",IFERROR(INDEX('INDB Full Nutrients'!$D:$D,MATCH(AC200,'INDB Full Nutrients'!$A:$A,0)),""))</f>
        <v>117.189666748047</v>
      </c>
      <c r="AE200" s="6" t="s">
        <v>857</v>
      </c>
      <c r="AF200" s="6" t="s">
        <v>858</v>
      </c>
    </row>
    <row r="201" customFormat="false" ht="15" hidden="false" customHeight="false" outlineLevel="0" collapsed="false">
      <c r="A201" s="6" t="s">
        <v>859</v>
      </c>
      <c r="B201" s="6" t="s">
        <v>860</v>
      </c>
      <c r="C201" s="6"/>
      <c r="D201" s="6" t="s">
        <v>45</v>
      </c>
      <c r="E201" s="6" t="s">
        <v>99</v>
      </c>
      <c r="F201" s="6" t="s">
        <v>100</v>
      </c>
      <c r="G201" s="6" t="s">
        <v>124</v>
      </c>
      <c r="H201" s="6" t="s">
        <v>588</v>
      </c>
      <c r="I201" s="6" t="s">
        <v>298</v>
      </c>
      <c r="J201" s="13" t="n">
        <f aca="false">4*K201+4*(L201-N201)+9*M201+2*N201</f>
        <v>110.9</v>
      </c>
      <c r="K201" s="14" t="n">
        <v>2.6</v>
      </c>
      <c r="L201" s="14" t="n">
        <v>24</v>
      </c>
      <c r="M201" s="14" t="n">
        <v>0.9</v>
      </c>
      <c r="N201" s="14" t="n">
        <v>1.8</v>
      </c>
      <c r="O201" s="14" t="n">
        <v>0.4</v>
      </c>
      <c r="P201" s="15" t="n">
        <v>2</v>
      </c>
      <c r="Q201" s="16" t="n">
        <v>100</v>
      </c>
      <c r="R201" s="16" t="n">
        <v>150</v>
      </c>
      <c r="S201" s="16" t="n">
        <v>200</v>
      </c>
      <c r="T201" s="16" t="n">
        <v>250</v>
      </c>
      <c r="U201" s="16" t="n">
        <v>450</v>
      </c>
      <c r="V201" s="13" t="n">
        <f aca="false">IF(Q201="","",J201*Q201/100)</f>
        <v>110.9</v>
      </c>
      <c r="W201" s="13" t="n">
        <f aca="false">IF(R201="","",J201*R201/100)</f>
        <v>166.35</v>
      </c>
      <c r="X201" s="13" t="n">
        <f aca="false">IF(S201="","",J201*S201/100)</f>
        <v>221.8</v>
      </c>
      <c r="Y201" s="13" t="n">
        <f aca="false">IF(T201="","",J201*T201/100)</f>
        <v>277.25</v>
      </c>
      <c r="Z201" s="13" t="n">
        <f aca="false">IF(U201="","",J201*U201/100)</f>
        <v>499.05</v>
      </c>
      <c r="AA201" s="6" t="s">
        <v>125</v>
      </c>
      <c r="AB201" s="6" t="s">
        <v>126</v>
      </c>
      <c r="AC201" s="6"/>
      <c r="AD201" s="13" t="str">
        <f aca="false">IF(AC201="","",IFERROR(INDEX('INDB Full Nutrients'!$D:$D,MATCH(AC201,'INDB Full Nutrients'!$A:$A,0)),""))</f>
        <v/>
      </c>
      <c r="AE201" s="6"/>
      <c r="AF201" s="6"/>
    </row>
    <row r="202" customFormat="false" ht="15" hidden="false" customHeight="false" outlineLevel="0" collapsed="false">
      <c r="A202" s="6" t="s">
        <v>861</v>
      </c>
      <c r="B202" s="6" t="s">
        <v>862</v>
      </c>
      <c r="C202" s="6" t="s">
        <v>863</v>
      </c>
      <c r="D202" s="6" t="s">
        <v>45</v>
      </c>
      <c r="E202" s="6" t="s">
        <v>161</v>
      </c>
      <c r="F202" s="6" t="s">
        <v>100</v>
      </c>
      <c r="G202" s="6"/>
      <c r="H202" s="6" t="s">
        <v>588</v>
      </c>
      <c r="I202" s="6" t="s">
        <v>298</v>
      </c>
      <c r="J202" s="13" t="n">
        <f aca="false">4*K202+4*(L202-N202)+9*M202+2*N202</f>
        <v>158</v>
      </c>
      <c r="K202" s="14" t="n">
        <v>2.8</v>
      </c>
      <c r="L202" s="14" t="n">
        <v>28</v>
      </c>
      <c r="M202" s="14" t="n">
        <v>4</v>
      </c>
      <c r="N202" s="14" t="n">
        <v>0.6</v>
      </c>
      <c r="O202" s="14" t="n">
        <v>0.2</v>
      </c>
      <c r="P202" s="15" t="n">
        <v>250</v>
      </c>
      <c r="Q202" s="16" t="n">
        <v>150</v>
      </c>
      <c r="R202" s="16" t="n">
        <v>250</v>
      </c>
      <c r="S202" s="16" t="n">
        <v>350</v>
      </c>
      <c r="T202" s="16" t="n">
        <v>300</v>
      </c>
      <c r="U202" s="16" t="n">
        <v>550</v>
      </c>
      <c r="V202" s="13" t="n">
        <f aca="false">IF(Q202="","",J202*Q202/100)</f>
        <v>237</v>
      </c>
      <c r="W202" s="13" t="n">
        <f aca="false">IF(R202="","",J202*R202/100)</f>
        <v>395</v>
      </c>
      <c r="X202" s="13" t="n">
        <f aca="false">IF(S202="","",J202*S202/100)</f>
        <v>553</v>
      </c>
      <c r="Y202" s="13" t="n">
        <f aca="false">IF(T202="","",J202*T202/100)</f>
        <v>474</v>
      </c>
      <c r="Z202" s="13" t="n">
        <f aca="false">IF(U202="","",J202*U202/100)</f>
        <v>869</v>
      </c>
      <c r="AA202" s="6" t="s">
        <v>125</v>
      </c>
      <c r="AB202" s="6" t="s">
        <v>147</v>
      </c>
      <c r="AC202" s="6" t="s">
        <v>864</v>
      </c>
      <c r="AD202" s="13" t="n">
        <f aca="false">IF(AC202="","",IFERROR(INDEX('INDB Full Nutrients'!$D:$D,MATCH(AC202,'INDB Full Nutrients'!$A:$A,0)),""))</f>
        <v>135.241348266602</v>
      </c>
      <c r="AE202" s="6" t="s">
        <v>865</v>
      </c>
      <c r="AF202" s="6" t="s">
        <v>595</v>
      </c>
    </row>
    <row r="203" customFormat="false" ht="15" hidden="false" customHeight="false" outlineLevel="0" collapsed="false">
      <c r="A203" s="6" t="s">
        <v>866</v>
      </c>
      <c r="B203" s="6" t="s">
        <v>867</v>
      </c>
      <c r="C203" s="6" t="s">
        <v>868</v>
      </c>
      <c r="D203" s="6" t="s">
        <v>45</v>
      </c>
      <c r="E203" s="6" t="s">
        <v>119</v>
      </c>
      <c r="F203" s="6" t="s">
        <v>100</v>
      </c>
      <c r="G203" s="6"/>
      <c r="H203" s="6" t="s">
        <v>588</v>
      </c>
      <c r="I203" s="6" t="s">
        <v>298</v>
      </c>
      <c r="J203" s="13" t="n">
        <f aca="false">4*K203+4*(L203-N203)+9*M203+2*N203</f>
        <v>189.3</v>
      </c>
      <c r="K203" s="14" t="n">
        <v>3</v>
      </c>
      <c r="L203" s="14" t="n">
        <v>30</v>
      </c>
      <c r="M203" s="14" t="n">
        <v>6.5</v>
      </c>
      <c r="N203" s="14" t="n">
        <v>0.6</v>
      </c>
      <c r="O203" s="14" t="n">
        <v>0.3</v>
      </c>
      <c r="P203" s="15" t="n">
        <v>200</v>
      </c>
      <c r="Q203" s="16" t="n">
        <v>150</v>
      </c>
      <c r="R203" s="16" t="n">
        <v>250</v>
      </c>
      <c r="S203" s="16" t="n">
        <v>350</v>
      </c>
      <c r="T203" s="16" t="n">
        <v>300</v>
      </c>
      <c r="U203" s="16" t="n">
        <v>550</v>
      </c>
      <c r="V203" s="13" t="n">
        <f aca="false">IF(Q203="","",J203*Q203/100)</f>
        <v>283.95</v>
      </c>
      <c r="W203" s="13" t="n">
        <f aca="false">IF(R203="","",J203*R203/100)</f>
        <v>473.25</v>
      </c>
      <c r="X203" s="13" t="n">
        <f aca="false">IF(S203="","",J203*S203/100)</f>
        <v>662.55</v>
      </c>
      <c r="Y203" s="13" t="n">
        <f aca="false">IF(T203="","",J203*T203/100)</f>
        <v>567.9</v>
      </c>
      <c r="Z203" s="13" t="n">
        <f aca="false">IF(U203="","",J203*U203/100)</f>
        <v>1041.15</v>
      </c>
      <c r="AA203" s="6" t="s">
        <v>103</v>
      </c>
      <c r="AB203" s="6" t="s">
        <v>104</v>
      </c>
      <c r="AC203" s="6"/>
      <c r="AD203" s="13" t="str">
        <f aca="false">IF(AC203="","",IFERROR(INDEX('INDB Full Nutrients'!$D:$D,MATCH(AC203,'INDB Full Nutrients'!$A:$A,0)),""))</f>
        <v/>
      </c>
      <c r="AE203" s="6"/>
      <c r="AF203" s="6"/>
    </row>
    <row r="204" customFormat="false" ht="15" hidden="false" customHeight="false" outlineLevel="0" collapsed="false">
      <c r="A204" s="6" t="s">
        <v>869</v>
      </c>
      <c r="B204" s="6" t="s">
        <v>870</v>
      </c>
      <c r="C204" s="6" t="s">
        <v>871</v>
      </c>
      <c r="D204" s="6" t="s">
        <v>45</v>
      </c>
      <c r="E204" s="6" t="s">
        <v>161</v>
      </c>
      <c r="F204" s="6" t="s">
        <v>100</v>
      </c>
      <c r="G204" s="6"/>
      <c r="H204" s="6" t="s">
        <v>588</v>
      </c>
      <c r="I204" s="6" t="s">
        <v>298</v>
      </c>
      <c r="J204" s="13" t="n">
        <f aca="false">4*K204+4*(L204-N204)+9*M204+2*N204</f>
        <v>149.5</v>
      </c>
      <c r="K204" s="14" t="n">
        <v>3</v>
      </c>
      <c r="L204" s="14" t="n">
        <v>25</v>
      </c>
      <c r="M204" s="14" t="n">
        <v>4.5</v>
      </c>
      <c r="N204" s="14" t="n">
        <v>1.5</v>
      </c>
      <c r="O204" s="14" t="n">
        <v>1.2</v>
      </c>
      <c r="P204" s="15" t="n">
        <v>280</v>
      </c>
      <c r="Q204" s="16" t="n">
        <v>150</v>
      </c>
      <c r="R204" s="16" t="n">
        <v>250</v>
      </c>
      <c r="S204" s="16" t="n">
        <v>350</v>
      </c>
      <c r="T204" s="16" t="n">
        <v>300</v>
      </c>
      <c r="U204" s="16" t="n">
        <v>550</v>
      </c>
      <c r="V204" s="13" t="n">
        <f aca="false">IF(Q204="","",J204*Q204/100)</f>
        <v>224.25</v>
      </c>
      <c r="W204" s="13" t="n">
        <f aca="false">IF(R204="","",J204*R204/100)</f>
        <v>373.75</v>
      </c>
      <c r="X204" s="13" t="n">
        <f aca="false">IF(S204="","",J204*S204/100)</f>
        <v>523.25</v>
      </c>
      <c r="Y204" s="13" t="n">
        <f aca="false">IF(T204="","",J204*T204/100)</f>
        <v>448.5</v>
      </c>
      <c r="Z204" s="13" t="n">
        <f aca="false">IF(U204="","",J204*U204/100)</f>
        <v>822.25</v>
      </c>
      <c r="AA204" s="6" t="s">
        <v>103</v>
      </c>
      <c r="AB204" s="6" t="s">
        <v>104</v>
      </c>
      <c r="AC204" s="6" t="s">
        <v>872</v>
      </c>
      <c r="AD204" s="13" t="n">
        <f aca="false">IF(AC204="","",IFERROR(INDEX('INDB Full Nutrients'!$D:$D,MATCH(AC204,'INDB Full Nutrients'!$A:$A,0)),""))</f>
        <v>113.049438476563</v>
      </c>
      <c r="AE204" s="6" t="s">
        <v>873</v>
      </c>
      <c r="AF204" s="6"/>
    </row>
    <row r="205" customFormat="false" ht="15" hidden="false" customHeight="false" outlineLevel="0" collapsed="false">
      <c r="A205" s="6" t="s">
        <v>874</v>
      </c>
      <c r="B205" s="6" t="s">
        <v>875</v>
      </c>
      <c r="C205" s="6" t="s">
        <v>876</v>
      </c>
      <c r="D205" s="6" t="s">
        <v>45</v>
      </c>
      <c r="E205" s="6" t="s">
        <v>161</v>
      </c>
      <c r="F205" s="6" t="s">
        <v>100</v>
      </c>
      <c r="G205" s="6"/>
      <c r="H205" s="6" t="s">
        <v>588</v>
      </c>
      <c r="I205" s="6" t="s">
        <v>298</v>
      </c>
      <c r="J205" s="13" t="n">
        <f aca="false">4*K205+4*(L205-N205)+9*M205+2*N205</f>
        <v>154.5</v>
      </c>
      <c r="K205" s="14" t="n">
        <v>3.5</v>
      </c>
      <c r="L205" s="14" t="n">
        <v>26</v>
      </c>
      <c r="M205" s="14" t="n">
        <v>4.5</v>
      </c>
      <c r="N205" s="14" t="n">
        <v>2</v>
      </c>
      <c r="O205" s="14" t="n">
        <v>1.5</v>
      </c>
      <c r="P205" s="15" t="n">
        <v>280</v>
      </c>
      <c r="Q205" s="16" t="n">
        <v>150</v>
      </c>
      <c r="R205" s="16" t="n">
        <v>250</v>
      </c>
      <c r="S205" s="16" t="n">
        <v>350</v>
      </c>
      <c r="T205" s="16" t="n">
        <v>300</v>
      </c>
      <c r="U205" s="16" t="n">
        <v>550</v>
      </c>
      <c r="V205" s="13" t="n">
        <f aca="false">IF(Q205="","",J205*Q205/100)</f>
        <v>231.75</v>
      </c>
      <c r="W205" s="13" t="n">
        <f aca="false">IF(R205="","",J205*R205/100)</f>
        <v>386.25</v>
      </c>
      <c r="X205" s="13" t="n">
        <f aca="false">IF(S205="","",J205*S205/100)</f>
        <v>540.75</v>
      </c>
      <c r="Y205" s="13" t="n">
        <f aca="false">IF(T205="","",J205*T205/100)</f>
        <v>463.5</v>
      </c>
      <c r="Z205" s="13" t="n">
        <f aca="false">IF(U205="","",J205*U205/100)</f>
        <v>849.75</v>
      </c>
      <c r="AA205" s="6" t="s">
        <v>103</v>
      </c>
      <c r="AB205" s="6" t="s">
        <v>104</v>
      </c>
      <c r="AC205" s="6" t="s">
        <v>877</v>
      </c>
      <c r="AD205" s="13" t="n">
        <f aca="false">IF(AC205="","",IFERROR(INDEX('INDB Full Nutrients'!$D:$D,MATCH(AC205,'INDB Full Nutrients'!$A:$A,0)),""))</f>
        <v>108.869026184082</v>
      </c>
      <c r="AE205" s="6" t="s">
        <v>878</v>
      </c>
      <c r="AF205" s="6"/>
    </row>
    <row r="206" customFormat="false" ht="15" hidden="false" customHeight="false" outlineLevel="0" collapsed="false">
      <c r="A206" s="6" t="s">
        <v>879</v>
      </c>
      <c r="B206" s="6" t="s">
        <v>880</v>
      </c>
      <c r="C206" s="6"/>
      <c r="D206" s="6" t="s">
        <v>45</v>
      </c>
      <c r="E206" s="6" t="s">
        <v>161</v>
      </c>
      <c r="F206" s="6" t="s">
        <v>100</v>
      </c>
      <c r="G206" s="6"/>
      <c r="H206" s="6" t="s">
        <v>588</v>
      </c>
      <c r="I206" s="6" t="s">
        <v>298</v>
      </c>
      <c r="J206" s="13" t="n">
        <f aca="false">4*K206+4*(L206-N206)+9*M206+2*N206</f>
        <v>202</v>
      </c>
      <c r="K206" s="14" t="n">
        <v>3.5</v>
      </c>
      <c r="L206" s="14" t="n">
        <v>32</v>
      </c>
      <c r="M206" s="14" t="n">
        <v>7</v>
      </c>
      <c r="N206" s="14" t="n">
        <v>1.5</v>
      </c>
      <c r="O206" s="14" t="n">
        <v>6</v>
      </c>
      <c r="P206" s="15" t="n">
        <v>200</v>
      </c>
      <c r="Q206" s="16" t="n">
        <v>150</v>
      </c>
      <c r="R206" s="16" t="n">
        <v>250</v>
      </c>
      <c r="S206" s="16" t="n">
        <v>350</v>
      </c>
      <c r="T206" s="16" t="n">
        <v>300</v>
      </c>
      <c r="U206" s="16" t="n">
        <v>550</v>
      </c>
      <c r="V206" s="13" t="n">
        <f aca="false">IF(Q206="","",J206*Q206/100)</f>
        <v>303</v>
      </c>
      <c r="W206" s="13" t="n">
        <f aca="false">IF(R206="","",J206*R206/100)</f>
        <v>505</v>
      </c>
      <c r="X206" s="13" t="n">
        <f aca="false">IF(S206="","",J206*S206/100)</f>
        <v>707</v>
      </c>
      <c r="Y206" s="13" t="n">
        <f aca="false">IF(T206="","",J206*T206/100)</f>
        <v>606</v>
      </c>
      <c r="Z206" s="13" t="n">
        <f aca="false">IF(U206="","",J206*U206/100)</f>
        <v>1111</v>
      </c>
      <c r="AA206" s="6" t="s">
        <v>103</v>
      </c>
      <c r="AB206" s="6" t="s">
        <v>104</v>
      </c>
      <c r="AC206" s="6"/>
      <c r="AD206" s="13" t="str">
        <f aca="false">IF(AC206="","",IFERROR(INDEX('INDB Full Nutrients'!$D:$D,MATCH(AC206,'INDB Full Nutrients'!$A:$A,0)),""))</f>
        <v/>
      </c>
      <c r="AE206" s="6"/>
      <c r="AF206" s="6" t="s">
        <v>881</v>
      </c>
    </row>
    <row r="207" customFormat="false" ht="15" hidden="false" customHeight="false" outlineLevel="0" collapsed="false">
      <c r="A207" s="6" t="s">
        <v>882</v>
      </c>
      <c r="B207" s="6" t="s">
        <v>883</v>
      </c>
      <c r="C207" s="6" t="s">
        <v>884</v>
      </c>
      <c r="D207" s="6" t="s">
        <v>45</v>
      </c>
      <c r="E207" s="6" t="s">
        <v>119</v>
      </c>
      <c r="F207" s="6" t="s">
        <v>100</v>
      </c>
      <c r="G207" s="6" t="s">
        <v>124</v>
      </c>
      <c r="H207" s="6" t="s">
        <v>588</v>
      </c>
      <c r="I207" s="6" t="s">
        <v>298</v>
      </c>
      <c r="J207" s="13" t="n">
        <f aca="false">4*K207+4*(L207-N207)+9*M207+2*N207</f>
        <v>184</v>
      </c>
      <c r="K207" s="14" t="n">
        <v>3</v>
      </c>
      <c r="L207" s="14" t="n">
        <v>30</v>
      </c>
      <c r="M207" s="14" t="n">
        <v>6</v>
      </c>
      <c r="N207" s="14" t="n">
        <v>1</v>
      </c>
      <c r="O207" s="14" t="n">
        <v>0.5</v>
      </c>
      <c r="P207" s="15" t="n">
        <v>320</v>
      </c>
      <c r="Q207" s="16" t="n">
        <v>150</v>
      </c>
      <c r="R207" s="16" t="n">
        <v>250</v>
      </c>
      <c r="S207" s="16" t="n">
        <v>350</v>
      </c>
      <c r="T207" s="16" t="n">
        <v>300</v>
      </c>
      <c r="U207" s="16" t="n">
        <v>550</v>
      </c>
      <c r="V207" s="13" t="n">
        <f aca="false">IF(Q207="","",J207*Q207/100)</f>
        <v>276</v>
      </c>
      <c r="W207" s="13" t="n">
        <f aca="false">IF(R207="","",J207*R207/100)</f>
        <v>460</v>
      </c>
      <c r="X207" s="13" t="n">
        <f aca="false">IF(S207="","",J207*S207/100)</f>
        <v>644</v>
      </c>
      <c r="Y207" s="13" t="n">
        <f aca="false">IF(T207="","",J207*T207/100)</f>
        <v>552</v>
      </c>
      <c r="Z207" s="13" t="n">
        <f aca="false">IF(U207="","",J207*U207/100)</f>
        <v>1012</v>
      </c>
      <c r="AA207" s="6" t="s">
        <v>125</v>
      </c>
      <c r="AB207" s="6" t="s">
        <v>147</v>
      </c>
      <c r="AC207" s="6" t="s">
        <v>885</v>
      </c>
      <c r="AD207" s="13" t="n">
        <f aca="false">IF(AC207="","",IFERROR(INDEX('INDB Full Nutrients'!$D:$D,MATCH(AC207,'INDB Full Nutrients'!$A:$A,0)),""))</f>
        <v>176.302886962891</v>
      </c>
      <c r="AE207" s="6" t="s">
        <v>886</v>
      </c>
      <c r="AF207" s="6"/>
    </row>
    <row r="208" customFormat="false" ht="15" hidden="false" customHeight="false" outlineLevel="0" collapsed="false">
      <c r="A208" s="6" t="s">
        <v>887</v>
      </c>
      <c r="B208" s="6" t="s">
        <v>888</v>
      </c>
      <c r="C208" s="6" t="s">
        <v>889</v>
      </c>
      <c r="D208" s="6" t="s">
        <v>45</v>
      </c>
      <c r="E208" s="6" t="s">
        <v>119</v>
      </c>
      <c r="F208" s="6" t="s">
        <v>100</v>
      </c>
      <c r="G208" s="6" t="s">
        <v>124</v>
      </c>
      <c r="H208" s="6" t="s">
        <v>588</v>
      </c>
      <c r="I208" s="6" t="s">
        <v>298</v>
      </c>
      <c r="J208" s="13" t="n">
        <f aca="false">4*K208+4*(L208-N208)+9*M208+2*N208</f>
        <v>210.4</v>
      </c>
      <c r="K208" s="14" t="n">
        <v>3.5</v>
      </c>
      <c r="L208" s="14" t="n">
        <v>32</v>
      </c>
      <c r="M208" s="14" t="n">
        <v>8</v>
      </c>
      <c r="N208" s="14" t="n">
        <v>1.8</v>
      </c>
      <c r="O208" s="14" t="n">
        <v>2.5</v>
      </c>
      <c r="P208" s="15" t="n">
        <v>450</v>
      </c>
      <c r="Q208" s="16" t="n">
        <v>150</v>
      </c>
      <c r="R208" s="16" t="n">
        <v>250</v>
      </c>
      <c r="S208" s="16" t="n">
        <v>350</v>
      </c>
      <c r="T208" s="16" t="n">
        <v>300</v>
      </c>
      <c r="U208" s="16" t="n">
        <v>550</v>
      </c>
      <c r="V208" s="13" t="n">
        <f aca="false">IF(Q208="","",J208*Q208/100)</f>
        <v>315.6</v>
      </c>
      <c r="W208" s="13" t="n">
        <f aca="false">IF(R208="","",J208*R208/100)</f>
        <v>526</v>
      </c>
      <c r="X208" s="13" t="n">
        <f aca="false">IF(S208="","",J208*S208/100)</f>
        <v>736.4</v>
      </c>
      <c r="Y208" s="13" t="n">
        <f aca="false">IF(T208="","",J208*T208/100)</f>
        <v>631.2</v>
      </c>
      <c r="Z208" s="13" t="n">
        <f aca="false">IF(U208="","",J208*U208/100)</f>
        <v>1157.2</v>
      </c>
      <c r="AA208" s="6" t="s">
        <v>103</v>
      </c>
      <c r="AB208" s="6" t="s">
        <v>104</v>
      </c>
      <c r="AC208" s="6" t="s">
        <v>890</v>
      </c>
      <c r="AD208" s="13" t="n">
        <f aca="false">IF(AC208="","",IFERROR(INDEX('INDB Full Nutrients'!$D:$D,MATCH(AC208,'INDB Full Nutrients'!$A:$A,0)),""))</f>
        <v>373.038604736328</v>
      </c>
      <c r="AE208" s="6" t="s">
        <v>891</v>
      </c>
      <c r="AF208" s="6"/>
    </row>
    <row r="209" customFormat="false" ht="15" hidden="false" customHeight="false" outlineLevel="0" collapsed="false">
      <c r="A209" s="6" t="s">
        <v>892</v>
      </c>
      <c r="B209" s="6" t="s">
        <v>893</v>
      </c>
      <c r="C209" s="6" t="s">
        <v>894</v>
      </c>
      <c r="D209" s="6" t="s">
        <v>45</v>
      </c>
      <c r="E209" s="6" t="s">
        <v>119</v>
      </c>
      <c r="F209" s="6" t="s">
        <v>100</v>
      </c>
      <c r="G209" s="6"/>
      <c r="H209" s="6" t="s">
        <v>588</v>
      </c>
      <c r="I209" s="6" t="s">
        <v>298</v>
      </c>
      <c r="J209" s="13" t="n">
        <f aca="false">4*K209+4*(L209-N209)+9*M209+2*N209</f>
        <v>118.7</v>
      </c>
      <c r="K209" s="14" t="n">
        <v>3</v>
      </c>
      <c r="L209" s="14" t="n">
        <v>19</v>
      </c>
      <c r="M209" s="14" t="n">
        <v>3.5</v>
      </c>
      <c r="N209" s="14" t="n">
        <v>0.4</v>
      </c>
      <c r="O209" s="14" t="n">
        <v>1.5</v>
      </c>
      <c r="P209" s="15" t="n">
        <v>280</v>
      </c>
      <c r="Q209" s="16" t="n">
        <v>150</v>
      </c>
      <c r="R209" s="16" t="n">
        <v>250</v>
      </c>
      <c r="S209" s="16" t="n">
        <v>350</v>
      </c>
      <c r="T209" s="16" t="n">
        <v>300</v>
      </c>
      <c r="U209" s="16" t="n">
        <v>550</v>
      </c>
      <c r="V209" s="13" t="n">
        <f aca="false">IF(Q209="","",J209*Q209/100)</f>
        <v>178.05</v>
      </c>
      <c r="W209" s="13" t="n">
        <f aca="false">IF(R209="","",J209*R209/100)</f>
        <v>296.75</v>
      </c>
      <c r="X209" s="13" t="n">
        <f aca="false">IF(S209="","",J209*S209/100)</f>
        <v>415.45</v>
      </c>
      <c r="Y209" s="13" t="n">
        <f aca="false">IF(T209="","",J209*T209/100)</f>
        <v>356.1</v>
      </c>
      <c r="Z209" s="13" t="n">
        <f aca="false">IF(U209="","",J209*U209/100)</f>
        <v>652.85</v>
      </c>
      <c r="AA209" s="6" t="s">
        <v>103</v>
      </c>
      <c r="AB209" s="6" t="s">
        <v>104</v>
      </c>
      <c r="AC209" s="6" t="s">
        <v>895</v>
      </c>
      <c r="AD209" s="13" t="n">
        <f aca="false">IF(AC209="","",IFERROR(INDEX('INDB Full Nutrients'!$D:$D,MATCH(AC209,'INDB Full Nutrients'!$A:$A,0)),""))</f>
        <v>195.737030029297</v>
      </c>
      <c r="AE209" s="6" t="s">
        <v>896</v>
      </c>
      <c r="AF209" s="6"/>
    </row>
    <row r="210" customFormat="false" ht="15" hidden="false" customHeight="false" outlineLevel="0" collapsed="false">
      <c r="A210" s="6" t="s">
        <v>897</v>
      </c>
      <c r="B210" s="6" t="s">
        <v>898</v>
      </c>
      <c r="C210" s="6" t="s">
        <v>899</v>
      </c>
      <c r="D210" s="6" t="s">
        <v>45</v>
      </c>
      <c r="E210" s="6" t="s">
        <v>119</v>
      </c>
      <c r="F210" s="6" t="s">
        <v>100</v>
      </c>
      <c r="G210" s="6" t="s">
        <v>124</v>
      </c>
      <c r="H210" s="6" t="s">
        <v>588</v>
      </c>
      <c r="I210" s="6" t="s">
        <v>298</v>
      </c>
      <c r="J210" s="13" t="n">
        <f aca="false">4*K210+4*(L210-N210)+9*M210+2*N210</f>
        <v>175.4</v>
      </c>
      <c r="K210" s="14" t="n">
        <v>3</v>
      </c>
      <c r="L210" s="14" t="n">
        <v>28</v>
      </c>
      <c r="M210" s="14" t="n">
        <v>6</v>
      </c>
      <c r="N210" s="14" t="n">
        <v>1.3</v>
      </c>
      <c r="O210" s="14" t="n">
        <v>1.5</v>
      </c>
      <c r="P210" s="15" t="n">
        <v>350</v>
      </c>
      <c r="Q210" s="16" t="n">
        <v>150</v>
      </c>
      <c r="R210" s="16" t="n">
        <v>250</v>
      </c>
      <c r="S210" s="16" t="n">
        <v>350</v>
      </c>
      <c r="T210" s="16" t="n">
        <v>300</v>
      </c>
      <c r="U210" s="16" t="n">
        <v>550</v>
      </c>
      <c r="V210" s="13" t="n">
        <f aca="false">IF(Q210="","",J210*Q210/100)</f>
        <v>263.1</v>
      </c>
      <c r="W210" s="13" t="n">
        <f aca="false">IF(R210="","",J210*R210/100)</f>
        <v>438.5</v>
      </c>
      <c r="X210" s="13" t="n">
        <f aca="false">IF(S210="","",J210*S210/100)</f>
        <v>613.9</v>
      </c>
      <c r="Y210" s="13" t="n">
        <f aca="false">IF(T210="","",J210*T210/100)</f>
        <v>526.2</v>
      </c>
      <c r="Z210" s="13" t="n">
        <f aca="false">IF(U210="","",J210*U210/100)</f>
        <v>964.7</v>
      </c>
      <c r="AA210" s="6" t="s">
        <v>103</v>
      </c>
      <c r="AB210" s="6" t="s">
        <v>104</v>
      </c>
      <c r="AC210" s="6"/>
      <c r="AD210" s="13" t="str">
        <f aca="false">IF(AC210="","",IFERROR(INDEX('INDB Full Nutrients'!$D:$D,MATCH(AC210,'INDB Full Nutrients'!$A:$A,0)),""))</f>
        <v/>
      </c>
      <c r="AE210" s="6"/>
      <c r="AF210" s="6"/>
    </row>
    <row r="211" customFormat="false" ht="15" hidden="false" customHeight="false" outlineLevel="0" collapsed="false">
      <c r="A211" s="6" t="s">
        <v>900</v>
      </c>
      <c r="B211" s="6" t="s">
        <v>901</v>
      </c>
      <c r="C211" s="6" t="s">
        <v>902</v>
      </c>
      <c r="D211" s="6" t="s">
        <v>45</v>
      </c>
      <c r="E211" s="6" t="s">
        <v>119</v>
      </c>
      <c r="F211" s="6" t="s">
        <v>100</v>
      </c>
      <c r="G211" s="6" t="s">
        <v>124</v>
      </c>
      <c r="H211" s="6" t="s">
        <v>588</v>
      </c>
      <c r="I211" s="6" t="s">
        <v>298</v>
      </c>
      <c r="J211" s="13" t="n">
        <f aca="false">4*K211+4*(L211-N211)+9*M211+2*N211</f>
        <v>201</v>
      </c>
      <c r="K211" s="14" t="n">
        <v>3</v>
      </c>
      <c r="L211" s="14" t="n">
        <v>28</v>
      </c>
      <c r="M211" s="14" t="n">
        <v>9</v>
      </c>
      <c r="N211" s="14" t="n">
        <v>2</v>
      </c>
      <c r="O211" s="14" t="n">
        <v>1</v>
      </c>
      <c r="P211" s="15" t="n">
        <v>300</v>
      </c>
      <c r="Q211" s="16" t="n">
        <v>150</v>
      </c>
      <c r="R211" s="16" t="n">
        <v>250</v>
      </c>
      <c r="S211" s="16" t="n">
        <v>350</v>
      </c>
      <c r="T211" s="16" t="n">
        <v>300</v>
      </c>
      <c r="U211" s="16" t="n">
        <v>550</v>
      </c>
      <c r="V211" s="13" t="n">
        <f aca="false">IF(Q211="","",J211*Q211/100)</f>
        <v>301.5</v>
      </c>
      <c r="W211" s="13" t="n">
        <f aca="false">IF(R211="","",J211*R211/100)</f>
        <v>502.5</v>
      </c>
      <c r="X211" s="13" t="n">
        <f aca="false">IF(S211="","",J211*S211/100)</f>
        <v>703.5</v>
      </c>
      <c r="Y211" s="13" t="n">
        <f aca="false">IF(T211="","",J211*T211/100)</f>
        <v>603</v>
      </c>
      <c r="Z211" s="13" t="n">
        <f aca="false">IF(U211="","",J211*U211/100)</f>
        <v>1105.5</v>
      </c>
      <c r="AA211" s="6" t="s">
        <v>103</v>
      </c>
      <c r="AB211" s="6" t="s">
        <v>104</v>
      </c>
      <c r="AC211" s="6"/>
      <c r="AD211" s="13" t="str">
        <f aca="false">IF(AC211="","",IFERROR(INDEX('INDB Full Nutrients'!$D:$D,MATCH(AC211,'INDB Full Nutrients'!$A:$A,0)),""))</f>
        <v/>
      </c>
      <c r="AE211" s="6"/>
      <c r="AF211" s="6"/>
    </row>
    <row r="212" customFormat="false" ht="15" hidden="false" customHeight="false" outlineLevel="0" collapsed="false">
      <c r="A212" s="6" t="s">
        <v>903</v>
      </c>
      <c r="B212" s="6" t="s">
        <v>904</v>
      </c>
      <c r="C212" s="6" t="s">
        <v>905</v>
      </c>
      <c r="D212" s="6" t="s">
        <v>45</v>
      </c>
      <c r="E212" s="6" t="s">
        <v>119</v>
      </c>
      <c r="F212" s="6" t="s">
        <v>100</v>
      </c>
      <c r="G212" s="6" t="s">
        <v>124</v>
      </c>
      <c r="H212" s="6" t="s">
        <v>588</v>
      </c>
      <c r="I212" s="6" t="s">
        <v>298</v>
      </c>
      <c r="J212" s="13" t="n">
        <f aca="false">4*K212+4*(L212-N212)+9*M212+2*N212</f>
        <v>175</v>
      </c>
      <c r="K212" s="14" t="n">
        <v>3</v>
      </c>
      <c r="L212" s="14" t="n">
        <v>26</v>
      </c>
      <c r="M212" s="14" t="n">
        <v>7</v>
      </c>
      <c r="N212" s="14" t="n">
        <v>2</v>
      </c>
      <c r="O212" s="14" t="n">
        <v>1.5</v>
      </c>
      <c r="P212" s="15" t="n">
        <v>350</v>
      </c>
      <c r="Q212" s="16" t="n">
        <v>150</v>
      </c>
      <c r="R212" s="16" t="n">
        <v>250</v>
      </c>
      <c r="S212" s="16" t="n">
        <v>350</v>
      </c>
      <c r="T212" s="16" t="n">
        <v>300</v>
      </c>
      <c r="U212" s="16" t="n">
        <v>550</v>
      </c>
      <c r="V212" s="13" t="n">
        <f aca="false">IF(Q212="","",J212*Q212/100)</f>
        <v>262.5</v>
      </c>
      <c r="W212" s="13" t="n">
        <f aca="false">IF(R212="","",J212*R212/100)</f>
        <v>437.5</v>
      </c>
      <c r="X212" s="13" t="n">
        <f aca="false">IF(S212="","",J212*S212/100)</f>
        <v>612.5</v>
      </c>
      <c r="Y212" s="13" t="n">
        <f aca="false">IF(T212="","",J212*T212/100)</f>
        <v>525</v>
      </c>
      <c r="Z212" s="13" t="n">
        <f aca="false">IF(U212="","",J212*U212/100)</f>
        <v>962.5</v>
      </c>
      <c r="AA212" s="6" t="s">
        <v>125</v>
      </c>
      <c r="AB212" s="6" t="s">
        <v>147</v>
      </c>
      <c r="AC212" s="6" t="s">
        <v>906</v>
      </c>
      <c r="AD212" s="13" t="n">
        <f aca="false">IF(AC212="","",IFERROR(INDEX('INDB Full Nutrients'!$D:$D,MATCH(AC212,'INDB Full Nutrients'!$A:$A,0)),""))</f>
        <v>184.795806884766</v>
      </c>
      <c r="AE212" s="6" t="s">
        <v>907</v>
      </c>
      <c r="AF212" s="6"/>
    </row>
    <row r="213" customFormat="false" ht="15" hidden="false" customHeight="false" outlineLevel="0" collapsed="false">
      <c r="A213" s="6" t="s">
        <v>908</v>
      </c>
      <c r="B213" s="6" t="s">
        <v>909</v>
      </c>
      <c r="C213" s="6" t="s">
        <v>910</v>
      </c>
      <c r="D213" s="6" t="s">
        <v>45</v>
      </c>
      <c r="E213" s="6" t="s">
        <v>99</v>
      </c>
      <c r="F213" s="6" t="s">
        <v>100</v>
      </c>
      <c r="G213" s="6"/>
      <c r="H213" s="6" t="s">
        <v>588</v>
      </c>
      <c r="I213" s="6" t="s">
        <v>298</v>
      </c>
      <c r="J213" s="13" t="n">
        <f aca="false">4*K213+4*(L213-N213)+9*M213+2*N213</f>
        <v>107.5</v>
      </c>
      <c r="K213" s="14" t="n">
        <v>4</v>
      </c>
      <c r="L213" s="14" t="n">
        <v>18</v>
      </c>
      <c r="M213" s="14" t="n">
        <v>2.5</v>
      </c>
      <c r="N213" s="14" t="n">
        <v>1.5</v>
      </c>
      <c r="O213" s="14" t="n">
        <v>0.3</v>
      </c>
      <c r="P213" s="15" t="n">
        <v>250</v>
      </c>
      <c r="Q213" s="16" t="n">
        <v>150</v>
      </c>
      <c r="R213" s="16" t="n">
        <v>250</v>
      </c>
      <c r="S213" s="16" t="n">
        <v>350</v>
      </c>
      <c r="T213" s="16" t="n">
        <v>300</v>
      </c>
      <c r="U213" s="16" t="n">
        <v>550</v>
      </c>
      <c r="V213" s="13" t="n">
        <f aca="false">IF(Q213="","",J213*Q213/100)</f>
        <v>161.25</v>
      </c>
      <c r="W213" s="13" t="n">
        <f aca="false">IF(R213="","",J213*R213/100)</f>
        <v>268.75</v>
      </c>
      <c r="X213" s="13" t="n">
        <f aca="false">IF(S213="","",J213*S213/100)</f>
        <v>376.25</v>
      </c>
      <c r="Y213" s="13" t="n">
        <f aca="false">IF(T213="","",J213*T213/100)</f>
        <v>322.5</v>
      </c>
      <c r="Z213" s="13" t="n">
        <f aca="false">IF(U213="","",J213*U213/100)</f>
        <v>591.25</v>
      </c>
      <c r="AA213" s="6" t="s">
        <v>103</v>
      </c>
      <c r="AB213" s="6" t="s">
        <v>104</v>
      </c>
      <c r="AC213" s="6" t="s">
        <v>911</v>
      </c>
      <c r="AD213" s="13" t="n">
        <f aca="false">IF(AC213="","",IFERROR(INDEX('INDB Full Nutrients'!$D:$D,MATCH(AC213,'INDB Full Nutrients'!$A:$A,0)),""))</f>
        <v>57.0304985046387</v>
      </c>
      <c r="AE213" s="6" t="s">
        <v>912</v>
      </c>
      <c r="AF213" s="6" t="s">
        <v>913</v>
      </c>
    </row>
    <row r="214" customFormat="false" ht="15" hidden="false" customHeight="false" outlineLevel="0" collapsed="false">
      <c r="A214" s="6" t="s">
        <v>914</v>
      </c>
      <c r="B214" s="6" t="s">
        <v>915</v>
      </c>
      <c r="C214" s="6"/>
      <c r="D214" s="6" t="s">
        <v>45</v>
      </c>
      <c r="E214" s="6" t="s">
        <v>99</v>
      </c>
      <c r="F214" s="6" t="s">
        <v>100</v>
      </c>
      <c r="G214" s="6"/>
      <c r="H214" s="6" t="s">
        <v>588</v>
      </c>
      <c r="I214" s="6" t="s">
        <v>298</v>
      </c>
      <c r="J214" s="13" t="n">
        <f aca="false">4*K214+4*(L214-N214)+9*M214+2*N214</f>
        <v>111.1</v>
      </c>
      <c r="K214" s="14" t="n">
        <v>4</v>
      </c>
      <c r="L214" s="14" t="n">
        <v>17</v>
      </c>
      <c r="M214" s="14" t="n">
        <v>3.5</v>
      </c>
      <c r="N214" s="14" t="n">
        <v>2.2</v>
      </c>
      <c r="O214" s="14" t="n">
        <v>1</v>
      </c>
      <c r="P214" s="15" t="n">
        <v>300</v>
      </c>
      <c r="Q214" s="16" t="n">
        <v>150</v>
      </c>
      <c r="R214" s="16" t="n">
        <v>250</v>
      </c>
      <c r="S214" s="16" t="n">
        <v>350</v>
      </c>
      <c r="T214" s="16" t="n">
        <v>300</v>
      </c>
      <c r="U214" s="16" t="n">
        <v>550</v>
      </c>
      <c r="V214" s="13" t="n">
        <f aca="false">IF(Q214="","",J214*Q214/100)</f>
        <v>166.65</v>
      </c>
      <c r="W214" s="13" t="n">
        <f aca="false">IF(R214="","",J214*R214/100)</f>
        <v>277.75</v>
      </c>
      <c r="X214" s="13" t="n">
        <f aca="false">IF(S214="","",J214*S214/100)</f>
        <v>388.85</v>
      </c>
      <c r="Y214" s="13" t="n">
        <f aca="false">IF(T214="","",J214*T214/100)</f>
        <v>333.3</v>
      </c>
      <c r="Z214" s="13" t="n">
        <f aca="false">IF(U214="","",J214*U214/100)</f>
        <v>611.05</v>
      </c>
      <c r="AA214" s="6" t="s">
        <v>103</v>
      </c>
      <c r="AB214" s="6" t="s">
        <v>104</v>
      </c>
      <c r="AC214" s="6" t="s">
        <v>916</v>
      </c>
      <c r="AD214" s="13" t="n">
        <f aca="false">IF(AC214="","",IFERROR(INDEX('INDB Full Nutrients'!$D:$D,MATCH(AC214,'INDB Full Nutrients'!$A:$A,0)),""))</f>
        <v>143.165496826172</v>
      </c>
      <c r="AE214" s="6" t="s">
        <v>917</v>
      </c>
      <c r="AF214" s="6"/>
    </row>
    <row r="215" customFormat="false" ht="15" hidden="false" customHeight="false" outlineLevel="0" collapsed="false">
      <c r="A215" s="6" t="s">
        <v>918</v>
      </c>
      <c r="B215" s="6" t="s">
        <v>919</v>
      </c>
      <c r="C215" s="6" t="s">
        <v>920</v>
      </c>
      <c r="D215" s="6" t="s">
        <v>45</v>
      </c>
      <c r="E215" s="6" t="s">
        <v>161</v>
      </c>
      <c r="F215" s="6" t="s">
        <v>569</v>
      </c>
      <c r="G215" s="6"/>
      <c r="H215" s="6" t="s">
        <v>588</v>
      </c>
      <c r="I215" s="6" t="s">
        <v>298</v>
      </c>
      <c r="J215" s="13" t="n">
        <f aca="false">4*K215+4*(L215-N215)+9*M215+2*N215</f>
        <v>161.4</v>
      </c>
      <c r="K215" s="14" t="n">
        <v>7.5</v>
      </c>
      <c r="L215" s="14" t="n">
        <v>22</v>
      </c>
      <c r="M215" s="14" t="n">
        <v>5</v>
      </c>
      <c r="N215" s="14" t="n">
        <v>0.8</v>
      </c>
      <c r="O215" s="14" t="n">
        <v>0.8</v>
      </c>
      <c r="P215" s="15" t="n">
        <v>350</v>
      </c>
      <c r="Q215" s="16" t="n">
        <v>200</v>
      </c>
      <c r="R215" s="16" t="n">
        <v>300</v>
      </c>
      <c r="S215" s="16" t="n">
        <v>400</v>
      </c>
      <c r="T215" s="16" t="n">
        <v>350</v>
      </c>
      <c r="U215" s="16" t="n">
        <v>650</v>
      </c>
      <c r="V215" s="13" t="n">
        <f aca="false">IF(Q215="","",J215*Q215/100)</f>
        <v>322.8</v>
      </c>
      <c r="W215" s="13" t="n">
        <f aca="false">IF(R215="","",J215*R215/100)</f>
        <v>484.2</v>
      </c>
      <c r="X215" s="13" t="n">
        <f aca="false">IF(S215="","",J215*S215/100)</f>
        <v>645.6</v>
      </c>
      <c r="Y215" s="13" t="n">
        <f aca="false">IF(T215="","",J215*T215/100)</f>
        <v>564.9</v>
      </c>
      <c r="Z215" s="13" t="n">
        <f aca="false">IF(U215="","",J215*U215/100)</f>
        <v>1049.1</v>
      </c>
      <c r="AA215" s="6" t="s">
        <v>103</v>
      </c>
      <c r="AB215" s="6" t="s">
        <v>104</v>
      </c>
      <c r="AC215" s="6" t="s">
        <v>921</v>
      </c>
      <c r="AD215" s="13" t="n">
        <f aca="false">IF(AC215="","",IFERROR(INDEX('INDB Full Nutrients'!$D:$D,MATCH(AC215,'INDB Full Nutrients'!$A:$A,0)),""))</f>
        <v>108.240707397461</v>
      </c>
      <c r="AE215" s="6" t="s">
        <v>922</v>
      </c>
      <c r="AF215" s="6"/>
    </row>
    <row r="216" customFormat="false" ht="15" hidden="false" customHeight="false" outlineLevel="0" collapsed="false">
      <c r="A216" s="6" t="s">
        <v>923</v>
      </c>
      <c r="B216" s="6" t="s">
        <v>924</v>
      </c>
      <c r="C216" s="6"/>
      <c r="D216" s="6" t="s">
        <v>45</v>
      </c>
      <c r="E216" s="6" t="s">
        <v>161</v>
      </c>
      <c r="F216" s="6" t="s">
        <v>569</v>
      </c>
      <c r="G216" s="6"/>
      <c r="H216" s="6" t="s">
        <v>588</v>
      </c>
      <c r="I216" s="6" t="s">
        <v>298</v>
      </c>
      <c r="J216" s="13" t="n">
        <f aca="false">4*K216+4*(L216-N216)+9*M216+2*N216</f>
        <v>181.6</v>
      </c>
      <c r="K216" s="14" t="n">
        <v>8</v>
      </c>
      <c r="L216" s="14" t="n">
        <v>22</v>
      </c>
      <c r="M216" s="14" t="n">
        <v>7</v>
      </c>
      <c r="N216" s="14" t="n">
        <v>0.7</v>
      </c>
      <c r="O216" s="14" t="n">
        <v>0.8</v>
      </c>
      <c r="P216" s="15" t="n">
        <v>350</v>
      </c>
      <c r="Q216" s="16" t="n">
        <v>200</v>
      </c>
      <c r="R216" s="16" t="n">
        <v>300</v>
      </c>
      <c r="S216" s="16" t="n">
        <v>400</v>
      </c>
      <c r="T216" s="16" t="n">
        <v>350</v>
      </c>
      <c r="U216" s="16" t="n">
        <v>650</v>
      </c>
      <c r="V216" s="13" t="n">
        <f aca="false">IF(Q216="","",J216*Q216/100)</f>
        <v>363.2</v>
      </c>
      <c r="W216" s="13" t="n">
        <f aca="false">IF(R216="","",J216*R216/100)</f>
        <v>544.8</v>
      </c>
      <c r="X216" s="13" t="n">
        <f aca="false">IF(S216="","",J216*S216/100)</f>
        <v>726.4</v>
      </c>
      <c r="Y216" s="13" t="n">
        <f aca="false">IF(T216="","",J216*T216/100)</f>
        <v>635.6</v>
      </c>
      <c r="Z216" s="13" t="n">
        <f aca="false">IF(U216="","",J216*U216/100)</f>
        <v>1180.4</v>
      </c>
      <c r="AA216" s="6" t="s">
        <v>103</v>
      </c>
      <c r="AB216" s="6" t="s">
        <v>104</v>
      </c>
      <c r="AC216" s="6" t="s">
        <v>925</v>
      </c>
      <c r="AD216" s="13" t="n">
        <f aca="false">IF(AC216="","",IFERROR(INDEX('INDB Full Nutrients'!$D:$D,MATCH(AC216,'INDB Full Nutrients'!$A:$A,0)),""))</f>
        <v>130.772033691406</v>
      </c>
      <c r="AE216" s="6" t="s">
        <v>922</v>
      </c>
      <c r="AF216" s="6"/>
    </row>
    <row r="217" customFormat="false" ht="15" hidden="false" customHeight="false" outlineLevel="0" collapsed="false">
      <c r="A217" s="6" t="s">
        <v>926</v>
      </c>
      <c r="B217" s="6" t="s">
        <v>927</v>
      </c>
      <c r="C217" s="6" t="s">
        <v>928</v>
      </c>
      <c r="D217" s="6" t="s">
        <v>46</v>
      </c>
      <c r="E217" s="6" t="s">
        <v>99</v>
      </c>
      <c r="F217" s="6" t="s">
        <v>100</v>
      </c>
      <c r="G217" s="6"/>
      <c r="H217" s="6" t="s">
        <v>588</v>
      </c>
      <c r="I217" s="6" t="s">
        <v>298</v>
      </c>
      <c r="J217" s="13" t="n">
        <f aca="false">4*K217+4*(L217-N217)+9*M217+2*N217</f>
        <v>164</v>
      </c>
      <c r="K217" s="14" t="n">
        <v>3.5</v>
      </c>
      <c r="L217" s="14" t="n">
        <v>25</v>
      </c>
      <c r="M217" s="14" t="n">
        <v>6</v>
      </c>
      <c r="N217" s="14" t="n">
        <v>2</v>
      </c>
      <c r="O217" s="14" t="n">
        <v>1.5</v>
      </c>
      <c r="P217" s="15" t="n">
        <v>380</v>
      </c>
      <c r="Q217" s="16" t="n">
        <v>200</v>
      </c>
      <c r="R217" s="16" t="n">
        <v>300</v>
      </c>
      <c r="S217" s="16" t="n">
        <v>400</v>
      </c>
      <c r="T217" s="16" t="n">
        <v>350</v>
      </c>
      <c r="U217" s="16" t="n">
        <v>650</v>
      </c>
      <c r="V217" s="13" t="n">
        <f aca="false">IF(Q217="","",J217*Q217/100)</f>
        <v>328</v>
      </c>
      <c r="W217" s="13" t="n">
        <f aca="false">IF(R217="","",J217*R217/100)</f>
        <v>492</v>
      </c>
      <c r="X217" s="13" t="n">
        <f aca="false">IF(S217="","",J217*S217/100)</f>
        <v>656</v>
      </c>
      <c r="Y217" s="13" t="n">
        <f aca="false">IF(T217="","",J217*T217/100)</f>
        <v>574</v>
      </c>
      <c r="Z217" s="13" t="n">
        <f aca="false">IF(U217="","",J217*U217/100)</f>
        <v>1066</v>
      </c>
      <c r="AA217" s="6" t="s">
        <v>125</v>
      </c>
      <c r="AB217" s="6" t="s">
        <v>147</v>
      </c>
      <c r="AC217" s="6" t="s">
        <v>929</v>
      </c>
      <c r="AD217" s="13" t="n">
        <f aca="false">IF(AC217="","",IFERROR(INDEX('INDB Full Nutrients'!$D:$D,MATCH(AC217,'INDB Full Nutrients'!$A:$A,0)),""))</f>
        <v>174.605163574219</v>
      </c>
      <c r="AE217" s="6" t="s">
        <v>930</v>
      </c>
      <c r="AF217" s="6"/>
    </row>
    <row r="218" customFormat="false" ht="15" hidden="false" customHeight="false" outlineLevel="0" collapsed="false">
      <c r="A218" s="6" t="s">
        <v>931</v>
      </c>
      <c r="B218" s="6" t="s">
        <v>932</v>
      </c>
      <c r="C218" s="6"/>
      <c r="D218" s="6" t="s">
        <v>46</v>
      </c>
      <c r="E218" s="6" t="s">
        <v>99</v>
      </c>
      <c r="F218" s="6" t="s">
        <v>100</v>
      </c>
      <c r="G218" s="6"/>
      <c r="H218" s="6" t="s">
        <v>588</v>
      </c>
      <c r="I218" s="6" t="s">
        <v>298</v>
      </c>
      <c r="J218" s="13" t="n">
        <f aca="false">4*K218+4*(L218-N218)+9*M218+2*N218</f>
        <v>189</v>
      </c>
      <c r="K218" s="14" t="n">
        <v>6</v>
      </c>
      <c r="L218" s="14" t="n">
        <v>24</v>
      </c>
      <c r="M218" s="14" t="n">
        <v>8</v>
      </c>
      <c r="N218" s="14" t="n">
        <v>1.5</v>
      </c>
      <c r="O218" s="14" t="n">
        <v>1.5</v>
      </c>
      <c r="P218" s="15" t="n">
        <v>400</v>
      </c>
      <c r="Q218" s="16" t="n">
        <v>200</v>
      </c>
      <c r="R218" s="16" t="n">
        <v>300</v>
      </c>
      <c r="S218" s="16" t="n">
        <v>400</v>
      </c>
      <c r="T218" s="16" t="n">
        <v>350</v>
      </c>
      <c r="U218" s="16" t="n">
        <v>650</v>
      </c>
      <c r="V218" s="13" t="n">
        <f aca="false">IF(Q218="","",J218*Q218/100)</f>
        <v>378</v>
      </c>
      <c r="W218" s="13" t="n">
        <f aca="false">IF(R218="","",J218*R218/100)</f>
        <v>567</v>
      </c>
      <c r="X218" s="13" t="n">
        <f aca="false">IF(S218="","",J218*S218/100)</f>
        <v>756</v>
      </c>
      <c r="Y218" s="13" t="n">
        <f aca="false">IF(T218="","",J218*T218/100)</f>
        <v>661.5</v>
      </c>
      <c r="Z218" s="13" t="n">
        <f aca="false">IF(U218="","",J218*U218/100)</f>
        <v>1228.5</v>
      </c>
      <c r="AA218" s="6" t="s">
        <v>103</v>
      </c>
      <c r="AB218" s="6" t="s">
        <v>104</v>
      </c>
      <c r="AC218" s="6"/>
      <c r="AD218" s="13" t="str">
        <f aca="false">IF(AC218="","",IFERROR(INDEX('INDB Full Nutrients'!$D:$D,MATCH(AC218,'INDB Full Nutrients'!$A:$A,0)),""))</f>
        <v/>
      </c>
      <c r="AE218" s="6"/>
      <c r="AF218" s="6"/>
    </row>
    <row r="219" customFormat="false" ht="15" hidden="false" customHeight="false" outlineLevel="0" collapsed="false">
      <c r="A219" s="6" t="s">
        <v>933</v>
      </c>
      <c r="B219" s="6" t="s">
        <v>934</v>
      </c>
      <c r="C219" s="6"/>
      <c r="D219" s="6" t="s">
        <v>46</v>
      </c>
      <c r="E219" s="6" t="s">
        <v>99</v>
      </c>
      <c r="F219" s="6" t="s">
        <v>100</v>
      </c>
      <c r="G219" s="6"/>
      <c r="H219" s="6" t="s">
        <v>588</v>
      </c>
      <c r="I219" s="6" t="s">
        <v>298</v>
      </c>
      <c r="J219" s="13" t="n">
        <f aca="false">4*K219+4*(L219-N219)+9*M219+2*N219</f>
        <v>165.6</v>
      </c>
      <c r="K219" s="14" t="n">
        <v>3.8</v>
      </c>
      <c r="L219" s="14" t="n">
        <v>25</v>
      </c>
      <c r="M219" s="14" t="n">
        <v>6</v>
      </c>
      <c r="N219" s="14" t="n">
        <v>1.8</v>
      </c>
      <c r="O219" s="14" t="n">
        <v>1.5</v>
      </c>
      <c r="P219" s="15" t="n">
        <v>380</v>
      </c>
      <c r="Q219" s="16" t="n">
        <v>200</v>
      </c>
      <c r="R219" s="16" t="n">
        <v>300</v>
      </c>
      <c r="S219" s="16" t="n">
        <v>400</v>
      </c>
      <c r="T219" s="16" t="n">
        <v>350</v>
      </c>
      <c r="U219" s="16" t="n">
        <v>650</v>
      </c>
      <c r="V219" s="13" t="n">
        <f aca="false">IF(Q219="","",J219*Q219/100)</f>
        <v>331.2</v>
      </c>
      <c r="W219" s="13" t="n">
        <f aca="false">IF(R219="","",J219*R219/100)</f>
        <v>496.8</v>
      </c>
      <c r="X219" s="13" t="n">
        <f aca="false">IF(S219="","",J219*S219/100)</f>
        <v>662.4</v>
      </c>
      <c r="Y219" s="13" t="n">
        <f aca="false">IF(T219="","",J219*T219/100)</f>
        <v>579.6</v>
      </c>
      <c r="Z219" s="13" t="n">
        <f aca="false">IF(U219="","",J219*U219/100)</f>
        <v>1076.4</v>
      </c>
      <c r="AA219" s="6" t="s">
        <v>103</v>
      </c>
      <c r="AB219" s="6" t="s">
        <v>104</v>
      </c>
      <c r="AC219" s="6"/>
      <c r="AD219" s="13" t="str">
        <f aca="false">IF(AC219="","",IFERROR(INDEX('INDB Full Nutrients'!$D:$D,MATCH(AC219,'INDB Full Nutrients'!$A:$A,0)),""))</f>
        <v/>
      </c>
      <c r="AE219" s="6"/>
      <c r="AF219" s="6"/>
    </row>
    <row r="220" customFormat="false" ht="15" hidden="false" customHeight="false" outlineLevel="0" collapsed="false">
      <c r="A220" s="6" t="s">
        <v>935</v>
      </c>
      <c r="B220" s="6" t="s">
        <v>936</v>
      </c>
      <c r="C220" s="6" t="s">
        <v>937</v>
      </c>
      <c r="D220" s="6" t="s">
        <v>46</v>
      </c>
      <c r="E220" s="6" t="s">
        <v>99</v>
      </c>
      <c r="F220" s="6" t="s">
        <v>569</v>
      </c>
      <c r="G220" s="6"/>
      <c r="H220" s="6" t="s">
        <v>588</v>
      </c>
      <c r="I220" s="6" t="s">
        <v>298</v>
      </c>
      <c r="J220" s="13" t="n">
        <f aca="false">4*K220+4*(L220-N220)+9*M220+2*N220</f>
        <v>184.9</v>
      </c>
      <c r="K220" s="14" t="n">
        <v>9</v>
      </c>
      <c r="L220" s="14" t="n">
        <v>23</v>
      </c>
      <c r="M220" s="14" t="n">
        <v>6.5</v>
      </c>
      <c r="N220" s="14" t="n">
        <v>0.8</v>
      </c>
      <c r="O220" s="14" t="n">
        <v>1</v>
      </c>
      <c r="P220" s="15" t="n">
        <v>420</v>
      </c>
      <c r="Q220" s="16" t="n">
        <v>200</v>
      </c>
      <c r="R220" s="16" t="n">
        <v>300</v>
      </c>
      <c r="S220" s="16" t="n">
        <v>400</v>
      </c>
      <c r="T220" s="16" t="n">
        <v>350</v>
      </c>
      <c r="U220" s="16" t="n">
        <v>650</v>
      </c>
      <c r="V220" s="13" t="n">
        <f aca="false">IF(Q220="","",J220*Q220/100)</f>
        <v>369.8</v>
      </c>
      <c r="W220" s="13" t="n">
        <f aca="false">IF(R220="","",J220*R220/100)</f>
        <v>554.7</v>
      </c>
      <c r="X220" s="13" t="n">
        <f aca="false">IF(S220="","",J220*S220/100)</f>
        <v>739.6</v>
      </c>
      <c r="Y220" s="13" t="n">
        <f aca="false">IF(T220="","",J220*T220/100)</f>
        <v>647.15</v>
      </c>
      <c r="Z220" s="13" t="n">
        <f aca="false">IF(U220="","",J220*U220/100)</f>
        <v>1201.85</v>
      </c>
      <c r="AA220" s="6" t="s">
        <v>103</v>
      </c>
      <c r="AB220" s="6" t="s">
        <v>104</v>
      </c>
      <c r="AC220" s="6"/>
      <c r="AD220" s="13" t="str">
        <f aca="false">IF(AC220="","",IFERROR(INDEX('INDB Full Nutrients'!$D:$D,MATCH(AC220,'INDB Full Nutrients'!$A:$A,0)),""))</f>
        <v/>
      </c>
      <c r="AE220" s="6"/>
      <c r="AF220" s="6" t="s">
        <v>938</v>
      </c>
    </row>
    <row r="221" customFormat="false" ht="15" hidden="false" customHeight="false" outlineLevel="0" collapsed="false">
      <c r="A221" s="6" t="s">
        <v>939</v>
      </c>
      <c r="B221" s="6" t="s">
        <v>940</v>
      </c>
      <c r="C221" s="6" t="s">
        <v>941</v>
      </c>
      <c r="D221" s="6" t="s">
        <v>46</v>
      </c>
      <c r="E221" s="6" t="s">
        <v>119</v>
      </c>
      <c r="F221" s="6" t="s">
        <v>569</v>
      </c>
      <c r="G221" s="6"/>
      <c r="H221" s="6" t="s">
        <v>588</v>
      </c>
      <c r="I221" s="6" t="s">
        <v>298</v>
      </c>
      <c r="J221" s="13" t="n">
        <f aca="false">4*K221+4*(L221-N221)+9*M221+2*N221</f>
        <v>194.4</v>
      </c>
      <c r="K221" s="14" t="n">
        <v>9</v>
      </c>
      <c r="L221" s="14" t="n">
        <v>22</v>
      </c>
      <c r="M221" s="14" t="n">
        <v>8</v>
      </c>
      <c r="N221" s="14" t="n">
        <v>0.8</v>
      </c>
      <c r="O221" s="14" t="n">
        <v>1</v>
      </c>
      <c r="P221" s="15" t="n">
        <v>420</v>
      </c>
      <c r="Q221" s="16" t="n">
        <v>200</v>
      </c>
      <c r="R221" s="16" t="n">
        <v>300</v>
      </c>
      <c r="S221" s="16" t="n">
        <v>400</v>
      </c>
      <c r="T221" s="16" t="n">
        <v>350</v>
      </c>
      <c r="U221" s="16" t="n">
        <v>650</v>
      </c>
      <c r="V221" s="13" t="n">
        <f aca="false">IF(Q221="","",J221*Q221/100)</f>
        <v>388.8</v>
      </c>
      <c r="W221" s="13" t="n">
        <f aca="false">IF(R221="","",J221*R221/100)</f>
        <v>583.2</v>
      </c>
      <c r="X221" s="13" t="n">
        <f aca="false">IF(S221="","",J221*S221/100)</f>
        <v>777.6</v>
      </c>
      <c r="Y221" s="13" t="n">
        <f aca="false">IF(T221="","",J221*T221/100)</f>
        <v>680.4</v>
      </c>
      <c r="Z221" s="13" t="n">
        <f aca="false">IF(U221="","",J221*U221/100)</f>
        <v>1263.6</v>
      </c>
      <c r="AA221" s="6" t="s">
        <v>103</v>
      </c>
      <c r="AB221" s="6" t="s">
        <v>104</v>
      </c>
      <c r="AC221" s="6"/>
      <c r="AD221" s="13" t="str">
        <f aca="false">IF(AC221="","",IFERROR(INDEX('INDB Full Nutrients'!$D:$D,MATCH(AC221,'INDB Full Nutrients'!$A:$A,0)),""))</f>
        <v/>
      </c>
      <c r="AE221" s="6"/>
      <c r="AF221" s="6" t="s">
        <v>942</v>
      </c>
    </row>
    <row r="222" customFormat="false" ht="15" hidden="false" customHeight="false" outlineLevel="0" collapsed="false">
      <c r="A222" s="6" t="s">
        <v>943</v>
      </c>
      <c r="B222" s="6" t="s">
        <v>944</v>
      </c>
      <c r="C222" s="6" t="s">
        <v>945</v>
      </c>
      <c r="D222" s="6" t="s">
        <v>46</v>
      </c>
      <c r="E222" s="6" t="s">
        <v>99</v>
      </c>
      <c r="F222" s="6" t="s">
        <v>569</v>
      </c>
      <c r="G222" s="6"/>
      <c r="H222" s="6" t="s">
        <v>588</v>
      </c>
      <c r="I222" s="6" t="s">
        <v>298</v>
      </c>
      <c r="J222" s="13" t="n">
        <f aca="false">4*K222+4*(L222-N222)+9*M222+2*N222</f>
        <v>198.9</v>
      </c>
      <c r="K222" s="14" t="n">
        <v>9</v>
      </c>
      <c r="L222" s="14" t="n">
        <v>22</v>
      </c>
      <c r="M222" s="14" t="n">
        <v>8.5</v>
      </c>
      <c r="N222" s="14" t="n">
        <v>0.8</v>
      </c>
      <c r="O222" s="14" t="n">
        <v>1</v>
      </c>
      <c r="P222" s="15" t="n">
        <v>420</v>
      </c>
      <c r="Q222" s="16" t="n">
        <v>200</v>
      </c>
      <c r="R222" s="16" t="n">
        <v>300</v>
      </c>
      <c r="S222" s="16" t="n">
        <v>400</v>
      </c>
      <c r="T222" s="16" t="n">
        <v>350</v>
      </c>
      <c r="U222" s="16" t="n">
        <v>650</v>
      </c>
      <c r="V222" s="13" t="n">
        <f aca="false">IF(Q222="","",J222*Q222/100)</f>
        <v>397.8</v>
      </c>
      <c r="W222" s="13" t="n">
        <f aca="false">IF(R222="","",J222*R222/100)</f>
        <v>596.7</v>
      </c>
      <c r="X222" s="13" t="n">
        <f aca="false">IF(S222="","",J222*S222/100)</f>
        <v>795.6</v>
      </c>
      <c r="Y222" s="13" t="n">
        <f aca="false">IF(T222="","",J222*T222/100)</f>
        <v>696.15</v>
      </c>
      <c r="Z222" s="13" t="n">
        <f aca="false">IF(U222="","",J222*U222/100)</f>
        <v>1292.85</v>
      </c>
      <c r="AA222" s="6" t="s">
        <v>125</v>
      </c>
      <c r="AB222" s="6" t="s">
        <v>147</v>
      </c>
      <c r="AC222" s="6" t="s">
        <v>946</v>
      </c>
      <c r="AD222" s="13" t="n">
        <f aca="false">IF(AC222="","",IFERROR(INDEX('INDB Full Nutrients'!$D:$D,MATCH(AC222,'INDB Full Nutrients'!$A:$A,0)),""))</f>
        <v>190.763153076172</v>
      </c>
      <c r="AE222" s="6" t="s">
        <v>947</v>
      </c>
      <c r="AF222" s="6"/>
    </row>
    <row r="223" customFormat="false" ht="15" hidden="false" customHeight="false" outlineLevel="0" collapsed="false">
      <c r="A223" s="6" t="s">
        <v>948</v>
      </c>
      <c r="B223" s="6" t="s">
        <v>949</v>
      </c>
      <c r="C223" s="6"/>
      <c r="D223" s="6" t="s">
        <v>46</v>
      </c>
      <c r="E223" s="6" t="s">
        <v>161</v>
      </c>
      <c r="F223" s="6" t="s">
        <v>569</v>
      </c>
      <c r="G223" s="6"/>
      <c r="H223" s="6" t="s">
        <v>588</v>
      </c>
      <c r="I223" s="6" t="s">
        <v>298</v>
      </c>
      <c r="J223" s="13" t="n">
        <f aca="false">4*K223+4*(L223-N223)+9*M223+2*N223</f>
        <v>198.6</v>
      </c>
      <c r="K223" s="14" t="n">
        <v>9</v>
      </c>
      <c r="L223" s="14" t="n">
        <v>23</v>
      </c>
      <c r="M223" s="14" t="n">
        <v>8</v>
      </c>
      <c r="N223" s="14" t="n">
        <v>0.7</v>
      </c>
      <c r="O223" s="14" t="n">
        <v>1</v>
      </c>
      <c r="P223" s="15" t="n">
        <v>400</v>
      </c>
      <c r="Q223" s="16" t="n">
        <v>200</v>
      </c>
      <c r="R223" s="16" t="n">
        <v>300</v>
      </c>
      <c r="S223" s="16" t="n">
        <v>400</v>
      </c>
      <c r="T223" s="16" t="n">
        <v>350</v>
      </c>
      <c r="U223" s="16" t="n">
        <v>650</v>
      </c>
      <c r="V223" s="13" t="n">
        <f aca="false">IF(Q223="","",J223*Q223/100)</f>
        <v>397.2</v>
      </c>
      <c r="W223" s="13" t="n">
        <f aca="false">IF(R223="","",J223*R223/100)</f>
        <v>595.8</v>
      </c>
      <c r="X223" s="13" t="n">
        <f aca="false">IF(S223="","",J223*S223/100)</f>
        <v>794.4</v>
      </c>
      <c r="Y223" s="13" t="n">
        <f aca="false">IF(T223="","",J223*T223/100)</f>
        <v>695.1</v>
      </c>
      <c r="Z223" s="13" t="n">
        <f aca="false">IF(U223="","",J223*U223/100)</f>
        <v>1290.9</v>
      </c>
      <c r="AA223" s="6" t="s">
        <v>103</v>
      </c>
      <c r="AB223" s="6" t="s">
        <v>104</v>
      </c>
      <c r="AC223" s="6"/>
      <c r="AD223" s="13" t="str">
        <f aca="false">IF(AC223="","",IFERROR(INDEX('INDB Full Nutrients'!$D:$D,MATCH(AC223,'INDB Full Nutrients'!$A:$A,0)),""))</f>
        <v/>
      </c>
      <c r="AE223" s="6"/>
      <c r="AF223" s="6"/>
    </row>
    <row r="224" customFormat="false" ht="15" hidden="false" customHeight="false" outlineLevel="0" collapsed="false">
      <c r="A224" s="6" t="s">
        <v>950</v>
      </c>
      <c r="B224" s="6" t="s">
        <v>951</v>
      </c>
      <c r="C224" s="6"/>
      <c r="D224" s="6" t="s">
        <v>46</v>
      </c>
      <c r="E224" s="6" t="s">
        <v>205</v>
      </c>
      <c r="F224" s="6" t="s">
        <v>569</v>
      </c>
      <c r="G224" s="6"/>
      <c r="H224" s="6" t="s">
        <v>588</v>
      </c>
      <c r="I224" s="6" t="s">
        <v>298</v>
      </c>
      <c r="J224" s="13" t="n">
        <f aca="false">4*K224+4*(L224-N224)+9*M224+2*N224</f>
        <v>191.2</v>
      </c>
      <c r="K224" s="14" t="n">
        <v>7.5</v>
      </c>
      <c r="L224" s="14" t="n">
        <v>25</v>
      </c>
      <c r="M224" s="14" t="n">
        <v>7</v>
      </c>
      <c r="N224" s="14" t="n">
        <v>0.9</v>
      </c>
      <c r="O224" s="14" t="n">
        <v>1.5</v>
      </c>
      <c r="P224" s="15" t="n">
        <v>400</v>
      </c>
      <c r="Q224" s="16" t="n">
        <v>200</v>
      </c>
      <c r="R224" s="16" t="n">
        <v>300</v>
      </c>
      <c r="S224" s="16" t="n">
        <v>400</v>
      </c>
      <c r="T224" s="16" t="n">
        <v>350</v>
      </c>
      <c r="U224" s="16" t="n">
        <v>650</v>
      </c>
      <c r="V224" s="13" t="n">
        <f aca="false">IF(Q224="","",J224*Q224/100)</f>
        <v>382.4</v>
      </c>
      <c r="W224" s="13" t="n">
        <f aca="false">IF(R224="","",J224*R224/100)</f>
        <v>573.6</v>
      </c>
      <c r="X224" s="13" t="n">
        <f aca="false">IF(S224="","",J224*S224/100)</f>
        <v>764.8</v>
      </c>
      <c r="Y224" s="13" t="n">
        <f aca="false">IF(T224="","",J224*T224/100)</f>
        <v>669.2</v>
      </c>
      <c r="Z224" s="13" t="n">
        <f aca="false">IF(U224="","",J224*U224/100)</f>
        <v>1242.8</v>
      </c>
      <c r="AA224" s="6" t="s">
        <v>103</v>
      </c>
      <c r="AB224" s="6" t="s">
        <v>104</v>
      </c>
      <c r="AC224" s="6"/>
      <c r="AD224" s="13" t="str">
        <f aca="false">IF(AC224="","",IFERROR(INDEX('INDB Full Nutrients'!$D:$D,MATCH(AC224,'INDB Full Nutrients'!$A:$A,0)),""))</f>
        <v/>
      </c>
      <c r="AE224" s="6"/>
      <c r="AF224" s="6"/>
    </row>
    <row r="225" customFormat="false" ht="15" hidden="false" customHeight="false" outlineLevel="0" collapsed="false">
      <c r="A225" s="6" t="s">
        <v>952</v>
      </c>
      <c r="B225" s="6" t="s">
        <v>953</v>
      </c>
      <c r="C225" s="6"/>
      <c r="D225" s="6" t="s">
        <v>46</v>
      </c>
      <c r="E225" s="6" t="s">
        <v>119</v>
      </c>
      <c r="F225" s="6" t="s">
        <v>569</v>
      </c>
      <c r="G225" s="6"/>
      <c r="H225" s="6" t="s">
        <v>588</v>
      </c>
      <c r="I225" s="6" t="s">
        <v>298</v>
      </c>
      <c r="J225" s="13" t="n">
        <f aca="false">4*K225+4*(L225-N225)+9*M225+2*N225</f>
        <v>200.4</v>
      </c>
      <c r="K225" s="14" t="n">
        <v>8.5</v>
      </c>
      <c r="L225" s="14" t="n">
        <v>24</v>
      </c>
      <c r="M225" s="14" t="n">
        <v>8</v>
      </c>
      <c r="N225" s="14" t="n">
        <v>0.8</v>
      </c>
      <c r="O225" s="14" t="n">
        <v>1.5</v>
      </c>
      <c r="P225" s="15" t="n">
        <v>400</v>
      </c>
      <c r="Q225" s="16" t="n">
        <v>200</v>
      </c>
      <c r="R225" s="16" t="n">
        <v>300</v>
      </c>
      <c r="S225" s="16" t="n">
        <v>400</v>
      </c>
      <c r="T225" s="16" t="n">
        <v>350</v>
      </c>
      <c r="U225" s="16" t="n">
        <v>650</v>
      </c>
      <c r="V225" s="13" t="n">
        <f aca="false">IF(Q225="","",J225*Q225/100)</f>
        <v>400.8</v>
      </c>
      <c r="W225" s="13" t="n">
        <f aca="false">IF(R225="","",J225*R225/100)</f>
        <v>601.2</v>
      </c>
      <c r="X225" s="13" t="n">
        <f aca="false">IF(S225="","",J225*S225/100)</f>
        <v>801.6</v>
      </c>
      <c r="Y225" s="13" t="n">
        <f aca="false">IF(T225="","",J225*T225/100)</f>
        <v>701.4</v>
      </c>
      <c r="Z225" s="13" t="n">
        <f aca="false">IF(U225="","",J225*U225/100)</f>
        <v>1302.6</v>
      </c>
      <c r="AA225" s="6" t="s">
        <v>103</v>
      </c>
      <c r="AB225" s="6" t="s">
        <v>104</v>
      </c>
      <c r="AC225" s="6"/>
      <c r="AD225" s="13" t="str">
        <f aca="false">IF(AC225="","",IFERROR(INDEX('INDB Full Nutrients'!$D:$D,MATCH(AC225,'INDB Full Nutrients'!$A:$A,0)),""))</f>
        <v/>
      </c>
      <c r="AE225" s="6"/>
      <c r="AF225" s="6"/>
    </row>
    <row r="226" customFormat="false" ht="15" hidden="false" customHeight="false" outlineLevel="0" collapsed="false">
      <c r="A226" s="6" t="s">
        <v>954</v>
      </c>
      <c r="B226" s="6" t="s">
        <v>955</v>
      </c>
      <c r="C226" s="6" t="s">
        <v>956</v>
      </c>
      <c r="D226" s="6" t="s">
        <v>46</v>
      </c>
      <c r="E226" s="6" t="s">
        <v>119</v>
      </c>
      <c r="F226" s="6" t="s">
        <v>569</v>
      </c>
      <c r="G226" s="6"/>
      <c r="H226" s="6" t="s">
        <v>588</v>
      </c>
      <c r="I226" s="6" t="s">
        <v>298</v>
      </c>
      <c r="J226" s="13" t="n">
        <f aca="false">4*K226+4*(L226-N226)+9*M226+2*N226</f>
        <v>193.9</v>
      </c>
      <c r="K226" s="14" t="n">
        <v>9</v>
      </c>
      <c r="L226" s="14" t="n">
        <v>23</v>
      </c>
      <c r="M226" s="14" t="n">
        <v>7.5</v>
      </c>
      <c r="N226" s="14" t="n">
        <v>0.8</v>
      </c>
      <c r="O226" s="14" t="n">
        <v>1</v>
      </c>
      <c r="P226" s="15" t="n">
        <v>420</v>
      </c>
      <c r="Q226" s="16" t="n">
        <v>200</v>
      </c>
      <c r="R226" s="16" t="n">
        <v>300</v>
      </c>
      <c r="S226" s="16" t="n">
        <v>400</v>
      </c>
      <c r="T226" s="16" t="n">
        <v>350</v>
      </c>
      <c r="U226" s="16" t="n">
        <v>650</v>
      </c>
      <c r="V226" s="13" t="n">
        <f aca="false">IF(Q226="","",J226*Q226/100)</f>
        <v>387.8</v>
      </c>
      <c r="W226" s="13" t="n">
        <f aca="false">IF(R226="","",J226*R226/100)</f>
        <v>581.7</v>
      </c>
      <c r="X226" s="13" t="n">
        <f aca="false">IF(S226="","",J226*S226/100)</f>
        <v>775.6</v>
      </c>
      <c r="Y226" s="13" t="n">
        <f aca="false">IF(T226="","",J226*T226/100)</f>
        <v>678.65</v>
      </c>
      <c r="Z226" s="13" t="n">
        <f aca="false">IF(U226="","",J226*U226/100)</f>
        <v>1260.35</v>
      </c>
      <c r="AA226" s="6" t="s">
        <v>103</v>
      </c>
      <c r="AB226" s="6" t="s">
        <v>104</v>
      </c>
      <c r="AC226" s="6"/>
      <c r="AD226" s="13" t="str">
        <f aca="false">IF(AC226="","",IFERROR(INDEX('INDB Full Nutrients'!$D:$D,MATCH(AC226,'INDB Full Nutrients'!$A:$A,0)),""))</f>
        <v/>
      </c>
      <c r="AE226" s="6"/>
      <c r="AF226" s="6"/>
    </row>
    <row r="227" customFormat="false" ht="15" hidden="false" customHeight="false" outlineLevel="0" collapsed="false">
      <c r="A227" s="6" t="s">
        <v>957</v>
      </c>
      <c r="B227" s="6" t="s">
        <v>958</v>
      </c>
      <c r="C227" s="6" t="s">
        <v>959</v>
      </c>
      <c r="D227" s="6" t="s">
        <v>46</v>
      </c>
      <c r="E227" s="6" t="s">
        <v>99</v>
      </c>
      <c r="F227" s="6" t="s">
        <v>537</v>
      </c>
      <c r="G227" s="6"/>
      <c r="H227" s="6" t="s">
        <v>588</v>
      </c>
      <c r="I227" s="6" t="s">
        <v>298</v>
      </c>
      <c r="J227" s="13" t="n">
        <f aca="false">4*K227+4*(L227-N227)+9*M227+2*N227</f>
        <v>178.9</v>
      </c>
      <c r="K227" s="14" t="n">
        <v>6.5</v>
      </c>
      <c r="L227" s="14" t="n">
        <v>24</v>
      </c>
      <c r="M227" s="14" t="n">
        <v>6.5</v>
      </c>
      <c r="N227" s="14" t="n">
        <v>0.8</v>
      </c>
      <c r="O227" s="14" t="n">
        <v>1</v>
      </c>
      <c r="P227" s="15" t="n">
        <v>400</v>
      </c>
      <c r="Q227" s="16" t="n">
        <v>200</v>
      </c>
      <c r="R227" s="16" t="n">
        <v>300</v>
      </c>
      <c r="S227" s="16" t="n">
        <v>400</v>
      </c>
      <c r="T227" s="16" t="n">
        <v>350</v>
      </c>
      <c r="U227" s="16" t="n">
        <v>650</v>
      </c>
      <c r="V227" s="13" t="n">
        <f aca="false">IF(Q227="","",J227*Q227/100)</f>
        <v>357.8</v>
      </c>
      <c r="W227" s="13" t="n">
        <f aca="false">IF(R227="","",J227*R227/100)</f>
        <v>536.7</v>
      </c>
      <c r="X227" s="13" t="n">
        <f aca="false">IF(S227="","",J227*S227/100)</f>
        <v>715.6</v>
      </c>
      <c r="Y227" s="13" t="n">
        <f aca="false">IF(T227="","",J227*T227/100)</f>
        <v>626.15</v>
      </c>
      <c r="Z227" s="13" t="n">
        <f aca="false">IF(U227="","",J227*U227/100)</f>
        <v>1162.85</v>
      </c>
      <c r="AA227" s="6" t="s">
        <v>103</v>
      </c>
      <c r="AB227" s="6" t="s">
        <v>104</v>
      </c>
      <c r="AC227" s="6"/>
      <c r="AD227" s="13" t="str">
        <f aca="false">IF(AC227="","",IFERROR(INDEX('INDB Full Nutrients'!$D:$D,MATCH(AC227,'INDB Full Nutrients'!$A:$A,0)),""))</f>
        <v/>
      </c>
      <c r="AE227" s="6"/>
      <c r="AF227" s="6"/>
    </row>
    <row r="228" customFormat="false" ht="15" hidden="false" customHeight="false" outlineLevel="0" collapsed="false">
      <c r="A228" s="6" t="s">
        <v>960</v>
      </c>
      <c r="B228" s="6" t="s">
        <v>961</v>
      </c>
      <c r="C228" s="6" t="s">
        <v>962</v>
      </c>
      <c r="D228" s="6" t="s">
        <v>46</v>
      </c>
      <c r="E228" s="6" t="s">
        <v>99</v>
      </c>
      <c r="F228" s="6" t="s">
        <v>569</v>
      </c>
      <c r="G228" s="6"/>
      <c r="H228" s="6" t="s">
        <v>588</v>
      </c>
      <c r="I228" s="6" t="s">
        <v>298</v>
      </c>
      <c r="J228" s="13" t="n">
        <f aca="false">4*K228+4*(L228-N228)+9*M228+2*N228</f>
        <v>176.4</v>
      </c>
      <c r="K228" s="14" t="n">
        <v>8</v>
      </c>
      <c r="L228" s="14" t="n">
        <v>23</v>
      </c>
      <c r="M228" s="14" t="n">
        <v>6</v>
      </c>
      <c r="N228" s="14" t="n">
        <v>0.8</v>
      </c>
      <c r="O228" s="14" t="n">
        <v>1</v>
      </c>
      <c r="P228" s="15" t="n">
        <v>450</v>
      </c>
      <c r="Q228" s="16" t="n">
        <v>200</v>
      </c>
      <c r="R228" s="16" t="n">
        <v>300</v>
      </c>
      <c r="S228" s="16" t="n">
        <v>400</v>
      </c>
      <c r="T228" s="16" t="n">
        <v>350</v>
      </c>
      <c r="U228" s="16" t="n">
        <v>650</v>
      </c>
      <c r="V228" s="13" t="n">
        <f aca="false">IF(Q228="","",J228*Q228/100)</f>
        <v>352.8</v>
      </c>
      <c r="W228" s="13" t="n">
        <f aca="false">IF(R228="","",J228*R228/100)</f>
        <v>529.2</v>
      </c>
      <c r="X228" s="13" t="n">
        <f aca="false">IF(S228="","",J228*S228/100)</f>
        <v>705.6</v>
      </c>
      <c r="Y228" s="13" t="n">
        <f aca="false">IF(T228="","",J228*T228/100)</f>
        <v>617.4</v>
      </c>
      <c r="Z228" s="13" t="n">
        <f aca="false">IF(U228="","",J228*U228/100)</f>
        <v>1146.6</v>
      </c>
      <c r="AA228" s="6" t="s">
        <v>103</v>
      </c>
      <c r="AB228" s="6" t="s">
        <v>104</v>
      </c>
      <c r="AC228" s="6"/>
      <c r="AD228" s="13" t="str">
        <f aca="false">IF(AC228="","",IFERROR(INDEX('INDB Full Nutrients'!$D:$D,MATCH(AC228,'INDB Full Nutrients'!$A:$A,0)),""))</f>
        <v/>
      </c>
      <c r="AE228" s="6"/>
      <c r="AF228" s="6"/>
    </row>
    <row r="229" customFormat="false" ht="15" hidden="false" customHeight="false" outlineLevel="0" collapsed="false">
      <c r="A229" s="6" t="s">
        <v>963</v>
      </c>
      <c r="B229" s="6" t="s">
        <v>964</v>
      </c>
      <c r="C229" s="6"/>
      <c r="D229" s="6" t="s">
        <v>46</v>
      </c>
      <c r="E229" s="6" t="s">
        <v>119</v>
      </c>
      <c r="F229" s="6" t="s">
        <v>569</v>
      </c>
      <c r="G229" s="6"/>
      <c r="H229" s="6" t="s">
        <v>588</v>
      </c>
      <c r="I229" s="6" t="s">
        <v>298</v>
      </c>
      <c r="J229" s="13" t="n">
        <f aca="false">4*K229+4*(L229-N229)+9*M229+2*N229</f>
        <v>178.4</v>
      </c>
      <c r="K229" s="14" t="n">
        <v>8.5</v>
      </c>
      <c r="L229" s="14" t="n">
        <v>23</v>
      </c>
      <c r="M229" s="14" t="n">
        <v>6</v>
      </c>
      <c r="N229" s="14" t="n">
        <v>0.8</v>
      </c>
      <c r="O229" s="14" t="n">
        <v>1</v>
      </c>
      <c r="P229" s="15" t="n">
        <v>420</v>
      </c>
      <c r="Q229" s="16" t="n">
        <v>200</v>
      </c>
      <c r="R229" s="16" t="n">
        <v>300</v>
      </c>
      <c r="S229" s="16" t="n">
        <v>400</v>
      </c>
      <c r="T229" s="16" t="n">
        <v>350</v>
      </c>
      <c r="U229" s="16" t="n">
        <v>650</v>
      </c>
      <c r="V229" s="13" t="n">
        <f aca="false">IF(Q229="","",J229*Q229/100)</f>
        <v>356.8</v>
      </c>
      <c r="W229" s="13" t="n">
        <f aca="false">IF(R229="","",J229*R229/100)</f>
        <v>535.2</v>
      </c>
      <c r="X229" s="13" t="n">
        <f aca="false">IF(S229="","",J229*S229/100)</f>
        <v>713.6</v>
      </c>
      <c r="Y229" s="13" t="n">
        <f aca="false">IF(T229="","",J229*T229/100)</f>
        <v>624.4</v>
      </c>
      <c r="Z229" s="13" t="n">
        <f aca="false">IF(U229="","",J229*U229/100)</f>
        <v>1159.6</v>
      </c>
      <c r="AA229" s="6" t="s">
        <v>103</v>
      </c>
      <c r="AB229" s="6" t="s">
        <v>104</v>
      </c>
      <c r="AC229" s="6"/>
      <c r="AD229" s="13" t="str">
        <f aca="false">IF(AC229="","",IFERROR(INDEX('INDB Full Nutrients'!$D:$D,MATCH(AC229,'INDB Full Nutrients'!$A:$A,0)),""))</f>
        <v/>
      </c>
      <c r="AE229" s="6"/>
      <c r="AF229" s="6"/>
    </row>
    <row r="230" customFormat="false" ht="15" hidden="false" customHeight="false" outlineLevel="0" collapsed="false">
      <c r="A230" s="6" t="s">
        <v>965</v>
      </c>
      <c r="B230" s="6" t="s">
        <v>966</v>
      </c>
      <c r="C230" s="6" t="s">
        <v>967</v>
      </c>
      <c r="D230" s="6" t="s">
        <v>47</v>
      </c>
      <c r="E230" s="6" t="s">
        <v>99</v>
      </c>
      <c r="F230" s="6" t="s">
        <v>100</v>
      </c>
      <c r="G230" s="6"/>
      <c r="H230" s="6" t="s">
        <v>588</v>
      </c>
      <c r="I230" s="6" t="s">
        <v>298</v>
      </c>
      <c r="J230" s="13" t="n">
        <f aca="false">4*K230+4*(L230-N230)+9*M230+2*N230</f>
        <v>83.6</v>
      </c>
      <c r="K230" s="14" t="n">
        <v>4.8</v>
      </c>
      <c r="L230" s="14" t="n">
        <v>13</v>
      </c>
      <c r="M230" s="14" t="n">
        <v>2</v>
      </c>
      <c r="N230" s="14" t="n">
        <v>2.8</v>
      </c>
      <c r="O230" s="14" t="n">
        <v>0.8</v>
      </c>
      <c r="P230" s="15" t="n">
        <v>300</v>
      </c>
      <c r="Q230" s="16" t="n">
        <v>100</v>
      </c>
      <c r="R230" s="16" t="n">
        <v>150</v>
      </c>
      <c r="S230" s="16" t="n">
        <v>200</v>
      </c>
      <c r="T230" s="16" t="n">
        <v>250</v>
      </c>
      <c r="U230" s="16" t="n">
        <v>500</v>
      </c>
      <c r="V230" s="13" t="n">
        <f aca="false">IF(Q230="","",J230*Q230/100)</f>
        <v>83.6</v>
      </c>
      <c r="W230" s="13" t="n">
        <f aca="false">IF(R230="","",J230*R230/100)</f>
        <v>125.4</v>
      </c>
      <c r="X230" s="13" t="n">
        <f aca="false">IF(S230="","",J230*S230/100)</f>
        <v>167.2</v>
      </c>
      <c r="Y230" s="13" t="n">
        <f aca="false">IF(T230="","",J230*T230/100)</f>
        <v>209</v>
      </c>
      <c r="Z230" s="13" t="n">
        <f aca="false">IF(U230="","",J230*U230/100)</f>
        <v>418</v>
      </c>
      <c r="AA230" s="6" t="s">
        <v>103</v>
      </c>
      <c r="AB230" s="6" t="s">
        <v>104</v>
      </c>
      <c r="AC230" s="6"/>
      <c r="AD230" s="13" t="str">
        <f aca="false">IF(AC230="","",IFERROR(INDEX('INDB Full Nutrients'!$D:$D,MATCH(AC230,'INDB Full Nutrients'!$A:$A,0)),""))</f>
        <v/>
      </c>
      <c r="AE230" s="6"/>
      <c r="AF230" s="6"/>
    </row>
    <row r="231" customFormat="false" ht="15" hidden="false" customHeight="false" outlineLevel="0" collapsed="false">
      <c r="A231" s="6" t="s">
        <v>968</v>
      </c>
      <c r="B231" s="6" t="s">
        <v>969</v>
      </c>
      <c r="C231" s="6" t="s">
        <v>970</v>
      </c>
      <c r="D231" s="6" t="s">
        <v>47</v>
      </c>
      <c r="E231" s="6" t="s">
        <v>161</v>
      </c>
      <c r="F231" s="6" t="s">
        <v>100</v>
      </c>
      <c r="G231" s="6"/>
      <c r="H231" s="6" t="s">
        <v>588</v>
      </c>
      <c r="I231" s="6" t="s">
        <v>298</v>
      </c>
      <c r="J231" s="13" t="n">
        <f aca="false">4*K231+4*(L231-N231)+9*M231+2*N231</f>
        <v>115.9</v>
      </c>
      <c r="K231" s="14" t="n">
        <v>5</v>
      </c>
      <c r="L231" s="14" t="n">
        <v>13</v>
      </c>
      <c r="M231" s="14" t="n">
        <v>5.5</v>
      </c>
      <c r="N231" s="14" t="n">
        <v>2.8</v>
      </c>
      <c r="O231" s="14" t="n">
        <v>1.2</v>
      </c>
      <c r="P231" s="15" t="n">
        <v>380</v>
      </c>
      <c r="Q231" s="16" t="n">
        <v>100</v>
      </c>
      <c r="R231" s="16" t="n">
        <v>150</v>
      </c>
      <c r="S231" s="16" t="n">
        <v>200</v>
      </c>
      <c r="T231" s="16" t="n">
        <v>250</v>
      </c>
      <c r="U231" s="16" t="n">
        <v>500</v>
      </c>
      <c r="V231" s="13" t="n">
        <f aca="false">IF(Q231="","",J231*Q231/100)</f>
        <v>115.9</v>
      </c>
      <c r="W231" s="13" t="n">
        <f aca="false">IF(R231="","",J231*R231/100)</f>
        <v>173.85</v>
      </c>
      <c r="X231" s="13" t="n">
        <f aca="false">IF(S231="","",J231*S231/100)</f>
        <v>231.8</v>
      </c>
      <c r="Y231" s="13" t="n">
        <f aca="false">IF(T231="","",J231*T231/100)</f>
        <v>289.75</v>
      </c>
      <c r="Z231" s="13" t="n">
        <f aca="false">IF(U231="","",J231*U231/100)</f>
        <v>579.5</v>
      </c>
      <c r="AA231" s="6" t="s">
        <v>103</v>
      </c>
      <c r="AB231" s="6" t="s">
        <v>104</v>
      </c>
      <c r="AC231" s="6"/>
      <c r="AD231" s="13" t="str">
        <f aca="false">IF(AC231="","",IFERROR(INDEX('INDB Full Nutrients'!$D:$D,MATCH(AC231,'INDB Full Nutrients'!$A:$A,0)),""))</f>
        <v/>
      </c>
      <c r="AE231" s="6"/>
      <c r="AF231" s="6" t="s">
        <v>971</v>
      </c>
    </row>
    <row r="232" customFormat="false" ht="15" hidden="false" customHeight="false" outlineLevel="0" collapsed="false">
      <c r="A232" s="6" t="s">
        <v>972</v>
      </c>
      <c r="B232" s="6" t="s">
        <v>973</v>
      </c>
      <c r="C232" s="6"/>
      <c r="D232" s="6" t="s">
        <v>47</v>
      </c>
      <c r="E232" s="6" t="s">
        <v>161</v>
      </c>
      <c r="F232" s="6" t="s">
        <v>100</v>
      </c>
      <c r="G232" s="6"/>
      <c r="H232" s="6" t="s">
        <v>588</v>
      </c>
      <c r="I232" s="6" t="s">
        <v>298</v>
      </c>
      <c r="J232" s="13" t="n">
        <f aca="false">4*K232+4*(L232-N232)+9*M232+2*N232</f>
        <v>111.4</v>
      </c>
      <c r="K232" s="14" t="n">
        <v>5</v>
      </c>
      <c r="L232" s="14" t="n">
        <v>13</v>
      </c>
      <c r="M232" s="14" t="n">
        <v>5</v>
      </c>
      <c r="N232" s="14" t="n">
        <v>2.8</v>
      </c>
      <c r="O232" s="14" t="n">
        <v>1.2</v>
      </c>
      <c r="P232" s="15" t="n">
        <v>380</v>
      </c>
      <c r="Q232" s="16" t="n">
        <v>100</v>
      </c>
      <c r="R232" s="16" t="n">
        <v>150</v>
      </c>
      <c r="S232" s="16" t="n">
        <v>200</v>
      </c>
      <c r="T232" s="16" t="n">
        <v>250</v>
      </c>
      <c r="U232" s="16" t="n">
        <v>500</v>
      </c>
      <c r="V232" s="13" t="n">
        <f aca="false">IF(Q232="","",J232*Q232/100)</f>
        <v>111.4</v>
      </c>
      <c r="W232" s="13" t="n">
        <f aca="false">IF(R232="","",J232*R232/100)</f>
        <v>167.1</v>
      </c>
      <c r="X232" s="13" t="n">
        <f aca="false">IF(S232="","",J232*S232/100)</f>
        <v>222.8</v>
      </c>
      <c r="Y232" s="13" t="n">
        <f aca="false">IF(T232="","",J232*T232/100)</f>
        <v>278.5</v>
      </c>
      <c r="Z232" s="13" t="n">
        <f aca="false">IF(U232="","",J232*U232/100)</f>
        <v>557</v>
      </c>
      <c r="AA232" s="6" t="s">
        <v>103</v>
      </c>
      <c r="AB232" s="6" t="s">
        <v>104</v>
      </c>
      <c r="AC232" s="6"/>
      <c r="AD232" s="13" t="str">
        <f aca="false">IF(AC232="","",IFERROR(INDEX('INDB Full Nutrients'!$D:$D,MATCH(AC232,'INDB Full Nutrients'!$A:$A,0)),""))</f>
        <v/>
      </c>
      <c r="AE232" s="6"/>
      <c r="AF232" s="6"/>
    </row>
    <row r="233" customFormat="false" ht="15" hidden="false" customHeight="false" outlineLevel="0" collapsed="false">
      <c r="A233" s="6" t="s">
        <v>974</v>
      </c>
      <c r="B233" s="6" t="s">
        <v>975</v>
      </c>
      <c r="C233" s="6" t="s">
        <v>976</v>
      </c>
      <c r="D233" s="6" t="s">
        <v>47</v>
      </c>
      <c r="E233" s="6" t="s">
        <v>99</v>
      </c>
      <c r="F233" s="6" t="s">
        <v>100</v>
      </c>
      <c r="G233" s="6"/>
      <c r="H233" s="6" t="s">
        <v>588</v>
      </c>
      <c r="I233" s="6" t="s">
        <v>298</v>
      </c>
      <c r="J233" s="13" t="n">
        <f aca="false">4*K233+4*(L233-N233)+9*M233+2*N233</f>
        <v>84.8</v>
      </c>
      <c r="K233" s="14" t="n">
        <v>5.3</v>
      </c>
      <c r="L233" s="14" t="n">
        <v>12.5</v>
      </c>
      <c r="M233" s="14" t="n">
        <v>2</v>
      </c>
      <c r="N233" s="14" t="n">
        <v>2.2</v>
      </c>
      <c r="O233" s="14" t="n">
        <v>0.5</v>
      </c>
      <c r="P233" s="15" t="n">
        <v>280</v>
      </c>
      <c r="Q233" s="16" t="n">
        <v>100</v>
      </c>
      <c r="R233" s="16" t="n">
        <v>150</v>
      </c>
      <c r="S233" s="16" t="n">
        <v>200</v>
      </c>
      <c r="T233" s="16" t="n">
        <v>250</v>
      </c>
      <c r="U233" s="16" t="n">
        <v>500</v>
      </c>
      <c r="V233" s="13" t="n">
        <f aca="false">IF(Q233="","",J233*Q233/100)</f>
        <v>84.8</v>
      </c>
      <c r="W233" s="13" t="n">
        <f aca="false">IF(R233="","",J233*R233/100)</f>
        <v>127.2</v>
      </c>
      <c r="X233" s="13" t="n">
        <f aca="false">IF(S233="","",J233*S233/100)</f>
        <v>169.6</v>
      </c>
      <c r="Y233" s="13" t="n">
        <f aca="false">IF(T233="","",J233*T233/100)</f>
        <v>212</v>
      </c>
      <c r="Z233" s="13" t="n">
        <f aca="false">IF(U233="","",J233*U233/100)</f>
        <v>424</v>
      </c>
      <c r="AA233" s="6" t="s">
        <v>103</v>
      </c>
      <c r="AB233" s="6" t="s">
        <v>104</v>
      </c>
      <c r="AC233" s="6" t="s">
        <v>977</v>
      </c>
      <c r="AD233" s="13" t="n">
        <f aca="false">IF(AC233="","",IFERROR(INDEX('INDB Full Nutrients'!$D:$D,MATCH(AC233,'INDB Full Nutrients'!$A:$A,0)),""))</f>
        <v>50.0026931762695</v>
      </c>
      <c r="AE233" s="6" t="s">
        <v>978</v>
      </c>
      <c r="AF233" s="6"/>
    </row>
    <row r="234" customFormat="false" ht="15" hidden="false" customHeight="false" outlineLevel="0" collapsed="false">
      <c r="A234" s="6" t="s">
        <v>979</v>
      </c>
      <c r="B234" s="6" t="s">
        <v>980</v>
      </c>
      <c r="C234" s="6" t="s">
        <v>981</v>
      </c>
      <c r="D234" s="6" t="s">
        <v>47</v>
      </c>
      <c r="E234" s="6" t="s">
        <v>99</v>
      </c>
      <c r="F234" s="6" t="s">
        <v>100</v>
      </c>
      <c r="G234" s="6"/>
      <c r="H234" s="6" t="s">
        <v>588</v>
      </c>
      <c r="I234" s="6" t="s">
        <v>298</v>
      </c>
      <c r="J234" s="13" t="n">
        <f aca="false">4*K234+4*(L234-N234)+9*M234+2*N234</f>
        <v>86.4</v>
      </c>
      <c r="K234" s="14" t="n">
        <v>5.5</v>
      </c>
      <c r="L234" s="14" t="n">
        <v>13</v>
      </c>
      <c r="M234" s="14" t="n">
        <v>2</v>
      </c>
      <c r="N234" s="14" t="n">
        <v>2.8</v>
      </c>
      <c r="O234" s="14" t="n">
        <v>0.8</v>
      </c>
      <c r="P234" s="15" t="n">
        <v>280</v>
      </c>
      <c r="Q234" s="16" t="n">
        <v>100</v>
      </c>
      <c r="R234" s="16" t="n">
        <v>150</v>
      </c>
      <c r="S234" s="16" t="n">
        <v>200</v>
      </c>
      <c r="T234" s="16" t="n">
        <v>250</v>
      </c>
      <c r="U234" s="16" t="n">
        <v>500</v>
      </c>
      <c r="V234" s="13" t="n">
        <f aca="false">IF(Q234="","",J234*Q234/100)</f>
        <v>86.4</v>
      </c>
      <c r="W234" s="13" t="n">
        <f aca="false">IF(R234="","",J234*R234/100)</f>
        <v>129.6</v>
      </c>
      <c r="X234" s="13" t="n">
        <f aca="false">IF(S234="","",J234*S234/100)</f>
        <v>172.8</v>
      </c>
      <c r="Y234" s="13" t="n">
        <f aca="false">IF(T234="","",J234*T234/100)</f>
        <v>216</v>
      </c>
      <c r="Z234" s="13" t="n">
        <f aca="false">IF(U234="","",J234*U234/100)</f>
        <v>432</v>
      </c>
      <c r="AA234" s="6" t="s">
        <v>103</v>
      </c>
      <c r="AB234" s="6" t="s">
        <v>104</v>
      </c>
      <c r="AC234" s="6"/>
      <c r="AD234" s="13" t="str">
        <f aca="false">IF(AC234="","",IFERROR(INDEX('INDB Full Nutrients'!$D:$D,MATCH(AC234,'INDB Full Nutrients'!$A:$A,0)),""))</f>
        <v/>
      </c>
      <c r="AE234" s="6"/>
      <c r="AF234" s="6"/>
    </row>
    <row r="235" customFormat="false" ht="15" hidden="false" customHeight="false" outlineLevel="0" collapsed="false">
      <c r="A235" s="6" t="s">
        <v>982</v>
      </c>
      <c r="B235" s="6" t="s">
        <v>983</v>
      </c>
      <c r="C235" s="6" t="s">
        <v>984</v>
      </c>
      <c r="D235" s="6" t="s">
        <v>47</v>
      </c>
      <c r="E235" s="6" t="s">
        <v>99</v>
      </c>
      <c r="F235" s="6" t="s">
        <v>100</v>
      </c>
      <c r="G235" s="6"/>
      <c r="H235" s="6" t="s">
        <v>588</v>
      </c>
      <c r="I235" s="6" t="s">
        <v>298</v>
      </c>
      <c r="J235" s="13" t="n">
        <f aca="false">4*K235+4*(L235-N235)+9*M235+2*N235</f>
        <v>107</v>
      </c>
      <c r="K235" s="14" t="n">
        <v>6</v>
      </c>
      <c r="L235" s="14" t="n">
        <v>16</v>
      </c>
      <c r="M235" s="14" t="n">
        <v>3</v>
      </c>
      <c r="N235" s="14" t="n">
        <v>4</v>
      </c>
      <c r="O235" s="14" t="n">
        <v>1.5</v>
      </c>
      <c r="P235" s="15" t="n">
        <v>300</v>
      </c>
      <c r="Q235" s="16" t="n">
        <v>100</v>
      </c>
      <c r="R235" s="16" t="n">
        <v>150</v>
      </c>
      <c r="S235" s="16" t="n">
        <v>200</v>
      </c>
      <c r="T235" s="16" t="n">
        <v>250</v>
      </c>
      <c r="U235" s="16" t="n">
        <v>500</v>
      </c>
      <c r="V235" s="13" t="n">
        <f aca="false">IF(Q235="","",J235*Q235/100)</f>
        <v>107</v>
      </c>
      <c r="W235" s="13" t="n">
        <f aca="false">IF(R235="","",J235*R235/100)</f>
        <v>160.5</v>
      </c>
      <c r="X235" s="13" t="n">
        <f aca="false">IF(S235="","",J235*S235/100)</f>
        <v>214</v>
      </c>
      <c r="Y235" s="13" t="n">
        <f aca="false">IF(T235="","",J235*T235/100)</f>
        <v>267.5</v>
      </c>
      <c r="Z235" s="13" t="n">
        <f aca="false">IF(U235="","",J235*U235/100)</f>
        <v>535</v>
      </c>
      <c r="AA235" s="6" t="s">
        <v>125</v>
      </c>
      <c r="AB235" s="6" t="s">
        <v>147</v>
      </c>
      <c r="AC235" s="6" t="s">
        <v>985</v>
      </c>
      <c r="AD235" s="13" t="n">
        <f aca="false">IF(AC235="","",IFERROR(INDEX('INDB Full Nutrients'!$D:$D,MATCH(AC235,'INDB Full Nutrients'!$A:$A,0)),""))</f>
        <v>99.6711654663086</v>
      </c>
      <c r="AE235" s="6" t="s">
        <v>986</v>
      </c>
      <c r="AF235" s="6"/>
    </row>
    <row r="236" customFormat="false" ht="15" hidden="false" customHeight="false" outlineLevel="0" collapsed="false">
      <c r="A236" s="6" t="s">
        <v>987</v>
      </c>
      <c r="B236" s="6" t="s">
        <v>988</v>
      </c>
      <c r="C236" s="6" t="s">
        <v>989</v>
      </c>
      <c r="D236" s="6" t="s">
        <v>47</v>
      </c>
      <c r="E236" s="6" t="s">
        <v>161</v>
      </c>
      <c r="F236" s="6" t="s">
        <v>100</v>
      </c>
      <c r="G236" s="6"/>
      <c r="H236" s="6" t="s">
        <v>588</v>
      </c>
      <c r="I236" s="6" t="s">
        <v>298</v>
      </c>
      <c r="J236" s="13" t="n">
        <f aca="false">4*K236+4*(L236-N236)+9*M236+2*N236</f>
        <v>94</v>
      </c>
      <c r="K236" s="14" t="n">
        <v>5.5</v>
      </c>
      <c r="L236" s="14" t="n">
        <v>12.5</v>
      </c>
      <c r="M236" s="14" t="n">
        <v>3</v>
      </c>
      <c r="N236" s="14" t="n">
        <v>2.5</v>
      </c>
      <c r="O236" s="14" t="n">
        <v>0.5</v>
      </c>
      <c r="P236" s="15" t="n">
        <v>300</v>
      </c>
      <c r="Q236" s="16" t="n">
        <v>100</v>
      </c>
      <c r="R236" s="16" t="n">
        <v>150</v>
      </c>
      <c r="S236" s="16" t="n">
        <v>200</v>
      </c>
      <c r="T236" s="16" t="n">
        <v>250</v>
      </c>
      <c r="U236" s="16" t="n">
        <v>500</v>
      </c>
      <c r="V236" s="13" t="n">
        <f aca="false">IF(Q236="","",J236*Q236/100)</f>
        <v>94</v>
      </c>
      <c r="W236" s="13" t="n">
        <f aca="false">IF(R236="","",J236*R236/100)</f>
        <v>141</v>
      </c>
      <c r="X236" s="13" t="n">
        <f aca="false">IF(S236="","",J236*S236/100)</f>
        <v>188</v>
      </c>
      <c r="Y236" s="13" t="n">
        <f aca="false">IF(T236="","",J236*T236/100)</f>
        <v>235</v>
      </c>
      <c r="Z236" s="13" t="n">
        <f aca="false">IF(U236="","",J236*U236/100)</f>
        <v>470</v>
      </c>
      <c r="AA236" s="6" t="s">
        <v>103</v>
      </c>
      <c r="AB236" s="6" t="s">
        <v>104</v>
      </c>
      <c r="AC236" s="6" t="s">
        <v>990</v>
      </c>
      <c r="AD236" s="13" t="n">
        <f aca="false">IF(AC236="","",IFERROR(INDEX('INDB Full Nutrients'!$D:$D,MATCH(AC236,'INDB Full Nutrients'!$A:$A,0)),""))</f>
        <v>61.3236351013184</v>
      </c>
      <c r="AE236" s="6" t="s">
        <v>991</v>
      </c>
      <c r="AF236" s="6"/>
    </row>
    <row r="237" customFormat="false" ht="15" hidden="false" customHeight="false" outlineLevel="0" collapsed="false">
      <c r="A237" s="6" t="s">
        <v>992</v>
      </c>
      <c r="B237" s="6" t="s">
        <v>993</v>
      </c>
      <c r="C237" s="6" t="s">
        <v>994</v>
      </c>
      <c r="D237" s="6" t="s">
        <v>47</v>
      </c>
      <c r="E237" s="6" t="s">
        <v>99</v>
      </c>
      <c r="F237" s="6" t="s">
        <v>100</v>
      </c>
      <c r="G237" s="6"/>
      <c r="H237" s="6" t="s">
        <v>588</v>
      </c>
      <c r="I237" s="6" t="s">
        <v>298</v>
      </c>
      <c r="J237" s="13" t="n">
        <f aca="false">4*K237+4*(L237-N237)+9*M237+2*N237</f>
        <v>103</v>
      </c>
      <c r="K237" s="14" t="n">
        <v>6</v>
      </c>
      <c r="L237" s="14" t="n">
        <v>15</v>
      </c>
      <c r="M237" s="14" t="n">
        <v>3</v>
      </c>
      <c r="N237" s="14" t="n">
        <v>4</v>
      </c>
      <c r="O237" s="14" t="n">
        <v>1</v>
      </c>
      <c r="P237" s="15" t="n">
        <v>300</v>
      </c>
      <c r="Q237" s="16" t="n">
        <v>100</v>
      </c>
      <c r="R237" s="16" t="n">
        <v>150</v>
      </c>
      <c r="S237" s="16" t="n">
        <v>200</v>
      </c>
      <c r="T237" s="16" t="n">
        <v>250</v>
      </c>
      <c r="U237" s="16" t="n">
        <v>500</v>
      </c>
      <c r="V237" s="13" t="n">
        <f aca="false">IF(Q237="","",J237*Q237/100)</f>
        <v>103</v>
      </c>
      <c r="W237" s="13" t="n">
        <f aca="false">IF(R237="","",J237*R237/100)</f>
        <v>154.5</v>
      </c>
      <c r="X237" s="13" t="n">
        <f aca="false">IF(S237="","",J237*S237/100)</f>
        <v>206</v>
      </c>
      <c r="Y237" s="13" t="n">
        <f aca="false">IF(T237="","",J237*T237/100)</f>
        <v>257.5</v>
      </c>
      <c r="Z237" s="13" t="n">
        <f aca="false">IF(U237="","",J237*U237/100)</f>
        <v>515</v>
      </c>
      <c r="AA237" s="6" t="s">
        <v>103</v>
      </c>
      <c r="AB237" s="6" t="s">
        <v>104</v>
      </c>
      <c r="AC237" s="6" t="s">
        <v>995</v>
      </c>
      <c r="AD237" s="13" t="n">
        <f aca="false">IF(AC237="","",IFERROR(INDEX('INDB Full Nutrients'!$D:$D,MATCH(AC237,'INDB Full Nutrients'!$A:$A,0)),""))</f>
        <v>63.4348754882813</v>
      </c>
      <c r="AE237" s="6" t="s">
        <v>996</v>
      </c>
      <c r="AF237" s="6"/>
    </row>
    <row r="238" customFormat="false" ht="15" hidden="false" customHeight="false" outlineLevel="0" collapsed="false">
      <c r="A238" s="6" t="s">
        <v>997</v>
      </c>
      <c r="B238" s="6" t="s">
        <v>998</v>
      </c>
      <c r="C238" s="6" t="s">
        <v>999</v>
      </c>
      <c r="D238" s="6" t="s">
        <v>47</v>
      </c>
      <c r="E238" s="6" t="s">
        <v>161</v>
      </c>
      <c r="F238" s="6" t="s">
        <v>100</v>
      </c>
      <c r="G238" s="6"/>
      <c r="H238" s="6" t="s">
        <v>588</v>
      </c>
      <c r="I238" s="6" t="s">
        <v>298</v>
      </c>
      <c r="J238" s="13" t="n">
        <f aca="false">4*K238+4*(L238-N238)+9*M238+2*N238</f>
        <v>103.1</v>
      </c>
      <c r="K238" s="14" t="n">
        <v>5.5</v>
      </c>
      <c r="L238" s="14" t="n">
        <v>14</v>
      </c>
      <c r="M238" s="14" t="n">
        <v>3.5</v>
      </c>
      <c r="N238" s="14" t="n">
        <v>3.2</v>
      </c>
      <c r="O238" s="14" t="n">
        <v>1</v>
      </c>
      <c r="P238" s="15" t="n">
        <v>320</v>
      </c>
      <c r="Q238" s="16" t="n">
        <v>100</v>
      </c>
      <c r="R238" s="16" t="n">
        <v>150</v>
      </c>
      <c r="S238" s="16" t="n">
        <v>200</v>
      </c>
      <c r="T238" s="16" t="n">
        <v>250</v>
      </c>
      <c r="U238" s="16" t="n">
        <v>500</v>
      </c>
      <c r="V238" s="13" t="n">
        <f aca="false">IF(Q238="","",J238*Q238/100)</f>
        <v>103.1</v>
      </c>
      <c r="W238" s="13" t="n">
        <f aca="false">IF(R238="","",J238*R238/100)</f>
        <v>154.65</v>
      </c>
      <c r="X238" s="13" t="n">
        <f aca="false">IF(S238="","",J238*S238/100)</f>
        <v>206.2</v>
      </c>
      <c r="Y238" s="13" t="n">
        <f aca="false">IF(T238="","",J238*T238/100)</f>
        <v>257.75</v>
      </c>
      <c r="Z238" s="13" t="n">
        <f aca="false">IF(U238="","",J238*U238/100)</f>
        <v>515.5</v>
      </c>
      <c r="AA238" s="6" t="s">
        <v>125</v>
      </c>
      <c r="AB238" s="6" t="s">
        <v>147</v>
      </c>
      <c r="AC238" s="6" t="s">
        <v>1000</v>
      </c>
      <c r="AD238" s="13" t="n">
        <f aca="false">IF(AC238="","",IFERROR(INDEX('INDB Full Nutrients'!$D:$D,MATCH(AC238,'INDB Full Nutrients'!$A:$A,0)),""))</f>
        <v>111.222450256348</v>
      </c>
      <c r="AE238" s="6" t="s">
        <v>1001</v>
      </c>
      <c r="AF238" s="6"/>
    </row>
    <row r="239" customFormat="false" ht="15" hidden="false" customHeight="false" outlineLevel="0" collapsed="false">
      <c r="A239" s="6" t="s">
        <v>1002</v>
      </c>
      <c r="B239" s="6" t="s">
        <v>1003</v>
      </c>
      <c r="C239" s="6"/>
      <c r="D239" s="6" t="s">
        <v>47</v>
      </c>
      <c r="E239" s="6" t="s">
        <v>161</v>
      </c>
      <c r="F239" s="6" t="s">
        <v>100</v>
      </c>
      <c r="G239" s="6"/>
      <c r="H239" s="6" t="s">
        <v>588</v>
      </c>
      <c r="I239" s="6" t="s">
        <v>298</v>
      </c>
      <c r="J239" s="13" t="n">
        <f aca="false">4*K239+4*(L239-N239)+9*M239+2*N239</f>
        <v>146.5</v>
      </c>
      <c r="K239" s="14" t="n">
        <v>5.5</v>
      </c>
      <c r="L239" s="14" t="n">
        <v>14</v>
      </c>
      <c r="M239" s="14" t="n">
        <v>8.5</v>
      </c>
      <c r="N239" s="14" t="n">
        <v>4</v>
      </c>
      <c r="O239" s="14" t="n">
        <v>1.5</v>
      </c>
      <c r="P239" s="15" t="n">
        <v>400</v>
      </c>
      <c r="Q239" s="16" t="n">
        <v>100</v>
      </c>
      <c r="R239" s="16" t="n">
        <v>150</v>
      </c>
      <c r="S239" s="16" t="n">
        <v>200</v>
      </c>
      <c r="T239" s="16" t="n">
        <v>250</v>
      </c>
      <c r="U239" s="16" t="n">
        <v>500</v>
      </c>
      <c r="V239" s="13" t="n">
        <f aca="false">IF(Q239="","",J239*Q239/100)</f>
        <v>146.5</v>
      </c>
      <c r="W239" s="13" t="n">
        <f aca="false">IF(R239="","",J239*R239/100)</f>
        <v>219.75</v>
      </c>
      <c r="X239" s="13" t="n">
        <f aca="false">IF(S239="","",J239*S239/100)</f>
        <v>293</v>
      </c>
      <c r="Y239" s="13" t="n">
        <f aca="false">IF(T239="","",J239*T239/100)</f>
        <v>366.25</v>
      </c>
      <c r="Z239" s="13" t="n">
        <f aca="false">IF(U239="","",J239*U239/100)</f>
        <v>732.5</v>
      </c>
      <c r="AA239" s="6" t="s">
        <v>103</v>
      </c>
      <c r="AB239" s="6" t="s">
        <v>104</v>
      </c>
      <c r="AC239" s="6"/>
      <c r="AD239" s="13" t="str">
        <f aca="false">IF(AC239="","",IFERROR(INDEX('INDB Full Nutrients'!$D:$D,MATCH(AC239,'INDB Full Nutrients'!$A:$A,0)),""))</f>
        <v/>
      </c>
      <c r="AE239" s="6"/>
      <c r="AF239" s="6" t="s">
        <v>1004</v>
      </c>
    </row>
    <row r="240" customFormat="false" ht="15" hidden="false" customHeight="false" outlineLevel="0" collapsed="false">
      <c r="A240" s="6" t="s">
        <v>1005</v>
      </c>
      <c r="B240" s="6" t="s">
        <v>1006</v>
      </c>
      <c r="C240" s="6" t="s">
        <v>1007</v>
      </c>
      <c r="D240" s="6" t="s">
        <v>47</v>
      </c>
      <c r="E240" s="6" t="s">
        <v>161</v>
      </c>
      <c r="F240" s="6" t="s">
        <v>100</v>
      </c>
      <c r="G240" s="6"/>
      <c r="H240" s="6" t="s">
        <v>588</v>
      </c>
      <c r="I240" s="6" t="s">
        <v>298</v>
      </c>
      <c r="J240" s="13" t="n">
        <f aca="false">4*K240+4*(L240-N240)+9*M240+2*N240</f>
        <v>106</v>
      </c>
      <c r="K240" s="14" t="n">
        <v>5.5</v>
      </c>
      <c r="L240" s="14" t="n">
        <v>14</v>
      </c>
      <c r="M240" s="14" t="n">
        <v>4</v>
      </c>
      <c r="N240" s="14" t="n">
        <v>4</v>
      </c>
      <c r="O240" s="14" t="n">
        <v>1.5</v>
      </c>
      <c r="P240" s="15" t="n">
        <v>350</v>
      </c>
      <c r="Q240" s="16" t="n">
        <v>100</v>
      </c>
      <c r="R240" s="16" t="n">
        <v>150</v>
      </c>
      <c r="S240" s="16" t="n">
        <v>200</v>
      </c>
      <c r="T240" s="16" t="n">
        <v>250</v>
      </c>
      <c r="U240" s="16" t="n">
        <v>500</v>
      </c>
      <c r="V240" s="13" t="n">
        <f aca="false">IF(Q240="","",J240*Q240/100)</f>
        <v>106</v>
      </c>
      <c r="W240" s="13" t="n">
        <f aca="false">IF(R240="","",J240*R240/100)</f>
        <v>159</v>
      </c>
      <c r="X240" s="13" t="n">
        <f aca="false">IF(S240="","",J240*S240/100)</f>
        <v>212</v>
      </c>
      <c r="Y240" s="13" t="n">
        <f aca="false">IF(T240="","",J240*T240/100)</f>
        <v>265</v>
      </c>
      <c r="Z240" s="13" t="n">
        <f aca="false">IF(U240="","",J240*U240/100)</f>
        <v>530</v>
      </c>
      <c r="AA240" s="6" t="s">
        <v>103</v>
      </c>
      <c r="AB240" s="6" t="s">
        <v>104</v>
      </c>
      <c r="AC240" s="6" t="s">
        <v>1008</v>
      </c>
      <c r="AD240" s="13" t="n">
        <f aca="false">IF(AC240="","",IFERROR(INDEX('INDB Full Nutrients'!$D:$D,MATCH(AC240,'INDB Full Nutrients'!$A:$A,0)),""))</f>
        <v>74.0401992797852</v>
      </c>
      <c r="AE240" s="6" t="s">
        <v>1009</v>
      </c>
      <c r="AF240" s="6"/>
    </row>
    <row r="241" customFormat="false" ht="15" hidden="false" customHeight="false" outlineLevel="0" collapsed="false">
      <c r="A241" s="6" t="s">
        <v>1010</v>
      </c>
      <c r="B241" s="6" t="s">
        <v>1011</v>
      </c>
      <c r="C241" s="6" t="s">
        <v>1012</v>
      </c>
      <c r="D241" s="6" t="s">
        <v>47</v>
      </c>
      <c r="E241" s="6" t="s">
        <v>161</v>
      </c>
      <c r="F241" s="6" t="s">
        <v>100</v>
      </c>
      <c r="G241" s="6"/>
      <c r="H241" s="6" t="s">
        <v>588</v>
      </c>
      <c r="I241" s="6" t="s">
        <v>298</v>
      </c>
      <c r="J241" s="13" t="n">
        <f aca="false">4*K241+4*(L241-N241)+9*M241+2*N241</f>
        <v>115.5</v>
      </c>
      <c r="K241" s="14" t="n">
        <v>5</v>
      </c>
      <c r="L241" s="14" t="n">
        <v>16</v>
      </c>
      <c r="M241" s="14" t="n">
        <v>4.5</v>
      </c>
      <c r="N241" s="14" t="n">
        <v>4.5</v>
      </c>
      <c r="O241" s="14" t="n">
        <v>1.5</v>
      </c>
      <c r="P241" s="15" t="n">
        <v>350</v>
      </c>
      <c r="Q241" s="16" t="n">
        <v>100</v>
      </c>
      <c r="R241" s="16" t="n">
        <v>150</v>
      </c>
      <c r="S241" s="16" t="n">
        <v>200</v>
      </c>
      <c r="T241" s="16" t="n">
        <v>250</v>
      </c>
      <c r="U241" s="16" t="n">
        <v>500</v>
      </c>
      <c r="V241" s="13" t="n">
        <f aca="false">IF(Q241="","",J241*Q241/100)</f>
        <v>115.5</v>
      </c>
      <c r="W241" s="13" t="n">
        <f aca="false">IF(R241="","",J241*R241/100)</f>
        <v>173.25</v>
      </c>
      <c r="X241" s="13" t="n">
        <f aca="false">IF(S241="","",J241*S241/100)</f>
        <v>231</v>
      </c>
      <c r="Y241" s="13" t="n">
        <f aca="false">IF(T241="","",J241*T241/100)</f>
        <v>288.75</v>
      </c>
      <c r="Z241" s="13" t="n">
        <f aca="false">IF(U241="","",J241*U241/100)</f>
        <v>577.5</v>
      </c>
      <c r="AA241" s="6" t="s">
        <v>125</v>
      </c>
      <c r="AB241" s="6" t="s">
        <v>147</v>
      </c>
      <c r="AC241" s="6" t="s">
        <v>1013</v>
      </c>
      <c r="AD241" s="13" t="n">
        <f aca="false">IF(AC241="","",IFERROR(INDEX('INDB Full Nutrients'!$D:$D,MATCH(AC241,'INDB Full Nutrients'!$A:$A,0)),""))</f>
        <v>143.72590637207</v>
      </c>
      <c r="AE241" s="6" t="s">
        <v>1014</v>
      </c>
      <c r="AF241" s="6"/>
    </row>
    <row r="242" customFormat="false" ht="15" hidden="false" customHeight="false" outlineLevel="0" collapsed="false">
      <c r="A242" s="6" t="s">
        <v>1015</v>
      </c>
      <c r="B242" s="6" t="s">
        <v>1016</v>
      </c>
      <c r="C242" s="6" t="s">
        <v>1017</v>
      </c>
      <c r="D242" s="6" t="s">
        <v>47</v>
      </c>
      <c r="E242" s="6" t="s">
        <v>161</v>
      </c>
      <c r="F242" s="6" t="s">
        <v>100</v>
      </c>
      <c r="G242" s="6"/>
      <c r="H242" s="6" t="s">
        <v>588</v>
      </c>
      <c r="I242" s="6" t="s">
        <v>298</v>
      </c>
      <c r="J242" s="13" t="n">
        <f aca="false">4*K242+4*(L242-N242)+9*M242+2*N242</f>
        <v>145</v>
      </c>
      <c r="K242" s="14" t="n">
        <v>6.5</v>
      </c>
      <c r="L242" s="14" t="n">
        <v>19</v>
      </c>
      <c r="M242" s="14" t="n">
        <v>6</v>
      </c>
      <c r="N242" s="14" t="n">
        <v>5.5</v>
      </c>
      <c r="O242" s="14" t="n">
        <v>2</v>
      </c>
      <c r="P242" s="15" t="n">
        <v>400</v>
      </c>
      <c r="Q242" s="16" t="n">
        <v>100</v>
      </c>
      <c r="R242" s="16" t="n">
        <v>150</v>
      </c>
      <c r="S242" s="16" t="n">
        <v>200</v>
      </c>
      <c r="T242" s="16" t="n">
        <v>250</v>
      </c>
      <c r="U242" s="16" t="n">
        <v>500</v>
      </c>
      <c r="V242" s="13" t="n">
        <f aca="false">IF(Q242="","",J242*Q242/100)</f>
        <v>145</v>
      </c>
      <c r="W242" s="13" t="n">
        <f aca="false">IF(R242="","",J242*R242/100)</f>
        <v>217.5</v>
      </c>
      <c r="X242" s="13" t="n">
        <f aca="false">IF(S242="","",J242*S242/100)</f>
        <v>290</v>
      </c>
      <c r="Y242" s="13" t="n">
        <f aca="false">IF(T242="","",J242*T242/100)</f>
        <v>362.5</v>
      </c>
      <c r="Z242" s="13" t="n">
        <f aca="false">IF(U242="","",J242*U242/100)</f>
        <v>725</v>
      </c>
      <c r="AA242" s="6" t="s">
        <v>125</v>
      </c>
      <c r="AB242" s="6" t="s">
        <v>147</v>
      </c>
      <c r="AC242" s="6" t="s">
        <v>1018</v>
      </c>
      <c r="AD242" s="13" t="n">
        <f aca="false">IF(AC242="","",IFERROR(INDEX('INDB Full Nutrients'!$D:$D,MATCH(AC242,'INDB Full Nutrients'!$A:$A,0)),""))</f>
        <v>163.432037353516</v>
      </c>
      <c r="AE242" s="6" t="s">
        <v>1019</v>
      </c>
      <c r="AF242" s="6"/>
    </row>
    <row r="243" customFormat="false" ht="15" hidden="false" customHeight="false" outlineLevel="0" collapsed="false">
      <c r="A243" s="6" t="s">
        <v>1020</v>
      </c>
      <c r="B243" s="6" t="s">
        <v>1021</v>
      </c>
      <c r="C243" s="6" t="s">
        <v>1022</v>
      </c>
      <c r="D243" s="6" t="s">
        <v>47</v>
      </c>
      <c r="E243" s="6" t="s">
        <v>161</v>
      </c>
      <c r="F243" s="6" t="s">
        <v>100</v>
      </c>
      <c r="G243" s="6"/>
      <c r="H243" s="6" t="s">
        <v>588</v>
      </c>
      <c r="I243" s="6" t="s">
        <v>298</v>
      </c>
      <c r="J243" s="13" t="n">
        <f aca="false">4*K243+4*(L243-N243)+9*M243+2*N243</f>
        <v>172.5</v>
      </c>
      <c r="K243" s="14" t="n">
        <v>7.5</v>
      </c>
      <c r="L243" s="14" t="n">
        <v>22</v>
      </c>
      <c r="M243" s="14" t="n">
        <v>7.5</v>
      </c>
      <c r="N243" s="14" t="n">
        <v>6.5</v>
      </c>
      <c r="O243" s="14" t="n">
        <v>2</v>
      </c>
      <c r="P243" s="15" t="n">
        <v>420</v>
      </c>
      <c r="Q243" s="16" t="n">
        <v>100</v>
      </c>
      <c r="R243" s="16" t="n">
        <v>150</v>
      </c>
      <c r="S243" s="16" t="n">
        <v>200</v>
      </c>
      <c r="T243" s="16" t="n">
        <v>250</v>
      </c>
      <c r="U243" s="16" t="n">
        <v>500</v>
      </c>
      <c r="V243" s="13" t="n">
        <f aca="false">IF(Q243="","",J243*Q243/100)</f>
        <v>172.5</v>
      </c>
      <c r="W243" s="13" t="n">
        <f aca="false">IF(R243="","",J243*R243/100)</f>
        <v>258.75</v>
      </c>
      <c r="X243" s="13" t="n">
        <f aca="false">IF(S243="","",J243*S243/100)</f>
        <v>345</v>
      </c>
      <c r="Y243" s="13" t="n">
        <f aca="false">IF(T243="","",J243*T243/100)</f>
        <v>431.25</v>
      </c>
      <c r="Z243" s="13" t="n">
        <f aca="false">IF(U243="","",J243*U243/100)</f>
        <v>862.5</v>
      </c>
      <c r="AA243" s="6" t="s">
        <v>103</v>
      </c>
      <c r="AB243" s="6" t="s">
        <v>104</v>
      </c>
      <c r="AC243" s="6"/>
      <c r="AD243" s="13" t="str">
        <f aca="false">IF(AC243="","",IFERROR(INDEX('INDB Full Nutrients'!$D:$D,MATCH(AC243,'INDB Full Nutrients'!$A:$A,0)),""))</f>
        <v/>
      </c>
      <c r="AE243" s="6"/>
      <c r="AF243" s="6"/>
    </row>
    <row r="244" customFormat="false" ht="15" hidden="false" customHeight="false" outlineLevel="0" collapsed="false">
      <c r="A244" s="6" t="s">
        <v>1023</v>
      </c>
      <c r="B244" s="6" t="s">
        <v>1024</v>
      </c>
      <c r="C244" s="6" t="s">
        <v>1025</v>
      </c>
      <c r="D244" s="6" t="s">
        <v>47</v>
      </c>
      <c r="E244" s="6" t="s">
        <v>161</v>
      </c>
      <c r="F244" s="6" t="s">
        <v>100</v>
      </c>
      <c r="G244" s="6"/>
      <c r="H244" s="6" t="s">
        <v>588</v>
      </c>
      <c r="I244" s="6" t="s">
        <v>298</v>
      </c>
      <c r="J244" s="13" t="n">
        <f aca="false">4*K244+4*(L244-N244)+9*M244+2*N244</f>
        <v>126.5</v>
      </c>
      <c r="K244" s="14" t="n">
        <v>6.5</v>
      </c>
      <c r="L244" s="14" t="n">
        <v>18</v>
      </c>
      <c r="M244" s="14" t="n">
        <v>4.5</v>
      </c>
      <c r="N244" s="14" t="n">
        <v>6</v>
      </c>
      <c r="O244" s="14" t="n">
        <v>1.5</v>
      </c>
      <c r="P244" s="15" t="n">
        <v>350</v>
      </c>
      <c r="Q244" s="16" t="n">
        <v>100</v>
      </c>
      <c r="R244" s="16" t="n">
        <v>150</v>
      </c>
      <c r="S244" s="16" t="n">
        <v>200</v>
      </c>
      <c r="T244" s="16" t="n">
        <v>250</v>
      </c>
      <c r="U244" s="16" t="n">
        <v>500</v>
      </c>
      <c r="V244" s="13" t="n">
        <f aca="false">IF(Q244="","",J244*Q244/100)</f>
        <v>126.5</v>
      </c>
      <c r="W244" s="13" t="n">
        <f aca="false">IF(R244="","",J244*R244/100)</f>
        <v>189.75</v>
      </c>
      <c r="X244" s="13" t="n">
        <f aca="false">IF(S244="","",J244*S244/100)</f>
        <v>253</v>
      </c>
      <c r="Y244" s="13" t="n">
        <f aca="false">IF(T244="","",J244*T244/100)</f>
        <v>316.25</v>
      </c>
      <c r="Z244" s="13" t="n">
        <f aca="false">IF(U244="","",J244*U244/100)</f>
        <v>632.5</v>
      </c>
      <c r="AA244" s="6" t="s">
        <v>125</v>
      </c>
      <c r="AB244" s="6" t="s">
        <v>147</v>
      </c>
      <c r="AC244" s="6" t="s">
        <v>1026</v>
      </c>
      <c r="AD244" s="13" t="n">
        <f aca="false">IF(AC244="","",IFERROR(INDEX('INDB Full Nutrients'!$D:$D,MATCH(AC244,'INDB Full Nutrients'!$A:$A,0)),""))</f>
        <v>140.676620483398</v>
      </c>
      <c r="AE244" s="6" t="s">
        <v>1027</v>
      </c>
      <c r="AF244" s="6"/>
    </row>
    <row r="245" customFormat="false" ht="15" hidden="false" customHeight="false" outlineLevel="0" collapsed="false">
      <c r="A245" s="6" t="s">
        <v>1028</v>
      </c>
      <c r="B245" s="6" t="s">
        <v>1029</v>
      </c>
      <c r="C245" s="6" t="s">
        <v>1030</v>
      </c>
      <c r="D245" s="6" t="s">
        <v>47</v>
      </c>
      <c r="E245" s="6" t="s">
        <v>119</v>
      </c>
      <c r="F245" s="6" t="s">
        <v>100</v>
      </c>
      <c r="G245" s="6" t="s">
        <v>124</v>
      </c>
      <c r="H245" s="6" t="s">
        <v>588</v>
      </c>
      <c r="I245" s="6" t="s">
        <v>298</v>
      </c>
      <c r="J245" s="13" t="n">
        <f aca="false">4*K245+4*(L245-N245)+9*M245+2*N245</f>
        <v>146</v>
      </c>
      <c r="K245" s="14" t="n">
        <v>6.5</v>
      </c>
      <c r="L245" s="14" t="n">
        <v>17</v>
      </c>
      <c r="M245" s="14" t="n">
        <v>7</v>
      </c>
      <c r="N245" s="14" t="n">
        <v>5.5</v>
      </c>
      <c r="O245" s="14" t="n">
        <v>2</v>
      </c>
      <c r="P245" s="15" t="n">
        <v>350</v>
      </c>
      <c r="Q245" s="16" t="n">
        <v>100</v>
      </c>
      <c r="R245" s="16" t="n">
        <v>150</v>
      </c>
      <c r="S245" s="16" t="n">
        <v>200</v>
      </c>
      <c r="T245" s="16" t="n">
        <v>250</v>
      </c>
      <c r="U245" s="16" t="n">
        <v>500</v>
      </c>
      <c r="V245" s="13" t="n">
        <f aca="false">IF(Q245="","",J245*Q245/100)</f>
        <v>146</v>
      </c>
      <c r="W245" s="13" t="n">
        <f aca="false">IF(R245="","",J245*R245/100)</f>
        <v>219</v>
      </c>
      <c r="X245" s="13" t="n">
        <f aca="false">IF(S245="","",J245*S245/100)</f>
        <v>292</v>
      </c>
      <c r="Y245" s="13" t="n">
        <f aca="false">IF(T245="","",J245*T245/100)</f>
        <v>365</v>
      </c>
      <c r="Z245" s="13" t="n">
        <f aca="false">IF(U245="","",J245*U245/100)</f>
        <v>730</v>
      </c>
      <c r="AA245" s="6" t="s">
        <v>103</v>
      </c>
      <c r="AB245" s="6" t="s">
        <v>104</v>
      </c>
      <c r="AC245" s="6"/>
      <c r="AD245" s="13" t="str">
        <f aca="false">IF(AC245="","",IFERROR(INDEX('INDB Full Nutrients'!$D:$D,MATCH(AC245,'INDB Full Nutrients'!$A:$A,0)),""))</f>
        <v/>
      </c>
      <c r="AE245" s="6"/>
      <c r="AF245" s="6" t="s">
        <v>1031</v>
      </c>
    </row>
    <row r="246" customFormat="false" ht="15" hidden="false" customHeight="false" outlineLevel="0" collapsed="false">
      <c r="A246" s="6" t="s">
        <v>1032</v>
      </c>
      <c r="B246" s="6" t="s">
        <v>1033</v>
      </c>
      <c r="C246" s="6" t="s">
        <v>1034</v>
      </c>
      <c r="D246" s="6" t="s">
        <v>47</v>
      </c>
      <c r="E246" s="6" t="s">
        <v>161</v>
      </c>
      <c r="F246" s="6" t="s">
        <v>100</v>
      </c>
      <c r="G246" s="6"/>
      <c r="H246" s="6" t="s">
        <v>588</v>
      </c>
      <c r="I246" s="6" t="s">
        <v>298</v>
      </c>
      <c r="J246" s="13" t="n">
        <f aca="false">4*K246+4*(L246-N246)+9*M246+2*N246</f>
        <v>119</v>
      </c>
      <c r="K246" s="14" t="n">
        <v>6</v>
      </c>
      <c r="L246" s="14" t="n">
        <v>17</v>
      </c>
      <c r="M246" s="14" t="n">
        <v>4</v>
      </c>
      <c r="N246" s="14" t="n">
        <v>4.5</v>
      </c>
      <c r="O246" s="14" t="n">
        <v>1.5</v>
      </c>
      <c r="P246" s="15" t="n">
        <v>350</v>
      </c>
      <c r="Q246" s="16" t="n">
        <v>100</v>
      </c>
      <c r="R246" s="16" t="n">
        <v>150</v>
      </c>
      <c r="S246" s="16" t="n">
        <v>200</v>
      </c>
      <c r="T246" s="16" t="n">
        <v>250</v>
      </c>
      <c r="U246" s="16" t="n">
        <v>500</v>
      </c>
      <c r="V246" s="13" t="n">
        <f aca="false">IF(Q246="","",J246*Q246/100)</f>
        <v>119</v>
      </c>
      <c r="W246" s="13" t="n">
        <f aca="false">IF(R246="","",J246*R246/100)</f>
        <v>178.5</v>
      </c>
      <c r="X246" s="13" t="n">
        <f aca="false">IF(S246="","",J246*S246/100)</f>
        <v>238</v>
      </c>
      <c r="Y246" s="13" t="n">
        <f aca="false">IF(T246="","",J246*T246/100)</f>
        <v>297.5</v>
      </c>
      <c r="Z246" s="13" t="n">
        <f aca="false">IF(U246="","",J246*U246/100)</f>
        <v>595</v>
      </c>
      <c r="AA246" s="6" t="s">
        <v>103</v>
      </c>
      <c r="AB246" s="6" t="s">
        <v>104</v>
      </c>
      <c r="AC246" s="6" t="s">
        <v>1035</v>
      </c>
      <c r="AD246" s="13" t="n">
        <f aca="false">IF(AC246="","",IFERROR(INDEX('INDB Full Nutrients'!$D:$D,MATCH(AC246,'INDB Full Nutrients'!$A:$A,0)),""))</f>
        <v>148.987411499023</v>
      </c>
      <c r="AE246" s="6" t="s">
        <v>1036</v>
      </c>
      <c r="AF246" s="6"/>
    </row>
    <row r="247" customFormat="false" ht="15" hidden="false" customHeight="false" outlineLevel="0" collapsed="false">
      <c r="A247" s="6" t="s">
        <v>1037</v>
      </c>
      <c r="B247" s="6" t="s">
        <v>1038</v>
      </c>
      <c r="C247" s="6" t="s">
        <v>1039</v>
      </c>
      <c r="D247" s="6" t="s">
        <v>47</v>
      </c>
      <c r="E247" s="6" t="s">
        <v>161</v>
      </c>
      <c r="F247" s="6" t="s">
        <v>100</v>
      </c>
      <c r="G247" s="6"/>
      <c r="H247" s="6" t="s">
        <v>588</v>
      </c>
      <c r="I247" s="6" t="s">
        <v>298</v>
      </c>
      <c r="J247" s="13" t="n">
        <f aca="false">4*K247+4*(L247-N247)+9*M247+2*N247</f>
        <v>106.5</v>
      </c>
      <c r="K247" s="14" t="n">
        <v>3.5</v>
      </c>
      <c r="L247" s="14" t="n">
        <v>9</v>
      </c>
      <c r="M247" s="14" t="n">
        <v>6.5</v>
      </c>
      <c r="N247" s="14" t="n">
        <v>1</v>
      </c>
      <c r="O247" s="14" t="n">
        <v>2.5</v>
      </c>
      <c r="P247" s="15" t="n">
        <v>380</v>
      </c>
      <c r="Q247" s="16" t="n">
        <v>100</v>
      </c>
      <c r="R247" s="16" t="n">
        <v>150</v>
      </c>
      <c r="S247" s="16" t="n">
        <v>200</v>
      </c>
      <c r="T247" s="16" t="n">
        <v>250</v>
      </c>
      <c r="U247" s="16" t="n">
        <v>500</v>
      </c>
      <c r="V247" s="13" t="n">
        <f aca="false">IF(Q247="","",J247*Q247/100)</f>
        <v>106.5</v>
      </c>
      <c r="W247" s="13" t="n">
        <f aca="false">IF(R247="","",J247*R247/100)</f>
        <v>159.75</v>
      </c>
      <c r="X247" s="13" t="n">
        <f aca="false">IF(S247="","",J247*S247/100)</f>
        <v>213</v>
      </c>
      <c r="Y247" s="13" t="n">
        <f aca="false">IF(T247="","",J247*T247/100)</f>
        <v>266.25</v>
      </c>
      <c r="Z247" s="13" t="n">
        <f aca="false">IF(U247="","",J247*U247/100)</f>
        <v>532.5</v>
      </c>
      <c r="AA247" s="6" t="s">
        <v>103</v>
      </c>
      <c r="AB247" s="6" t="s">
        <v>104</v>
      </c>
      <c r="AC247" s="6" t="s">
        <v>1040</v>
      </c>
      <c r="AD247" s="13" t="n">
        <f aca="false">IF(AC247="","",IFERROR(INDEX('INDB Full Nutrients'!$D:$D,MATCH(AC247,'INDB Full Nutrients'!$A:$A,0)),""))</f>
        <v>403.349212646484</v>
      </c>
      <c r="AE247" s="6" t="s">
        <v>740</v>
      </c>
      <c r="AF247" s="6" t="s">
        <v>577</v>
      </c>
    </row>
    <row r="248" customFormat="false" ht="15" hidden="false" customHeight="false" outlineLevel="0" collapsed="false">
      <c r="A248" s="6" t="s">
        <v>1041</v>
      </c>
      <c r="B248" s="6" t="s">
        <v>1042</v>
      </c>
      <c r="C248" s="6" t="s">
        <v>1043</v>
      </c>
      <c r="D248" s="6" t="s">
        <v>47</v>
      </c>
      <c r="E248" s="6" t="s">
        <v>114</v>
      </c>
      <c r="F248" s="6" t="s">
        <v>100</v>
      </c>
      <c r="G248" s="6"/>
      <c r="H248" s="6" t="s">
        <v>588</v>
      </c>
      <c r="I248" s="6" t="s">
        <v>298</v>
      </c>
      <c r="J248" s="13" t="n">
        <f aca="false">4*K248+4*(L248-N248)+9*M248+2*N248</f>
        <v>57.5</v>
      </c>
      <c r="K248" s="14" t="n">
        <v>2</v>
      </c>
      <c r="L248" s="14" t="n">
        <v>7</v>
      </c>
      <c r="M248" s="14" t="n">
        <v>2.5</v>
      </c>
      <c r="N248" s="14" t="n">
        <v>0.5</v>
      </c>
      <c r="O248" s="14" t="n">
        <v>4</v>
      </c>
      <c r="P248" s="15" t="n">
        <v>350</v>
      </c>
      <c r="Q248" s="16" t="n">
        <v>100</v>
      </c>
      <c r="R248" s="16" t="n">
        <v>150</v>
      </c>
      <c r="S248" s="16" t="n">
        <v>200</v>
      </c>
      <c r="T248" s="16" t="n">
        <v>250</v>
      </c>
      <c r="U248" s="16" t="n">
        <v>500</v>
      </c>
      <c r="V248" s="13" t="n">
        <f aca="false">IF(Q248="","",J248*Q248/100)</f>
        <v>57.5</v>
      </c>
      <c r="W248" s="13" t="n">
        <f aca="false">IF(R248="","",J248*R248/100)</f>
        <v>86.25</v>
      </c>
      <c r="X248" s="13" t="n">
        <f aca="false">IF(S248="","",J248*S248/100)</f>
        <v>115</v>
      </c>
      <c r="Y248" s="13" t="n">
        <f aca="false">IF(T248="","",J248*T248/100)</f>
        <v>143.75</v>
      </c>
      <c r="Z248" s="13" t="n">
        <f aca="false">IF(U248="","",J248*U248/100)</f>
        <v>287.5</v>
      </c>
      <c r="AA248" s="6" t="s">
        <v>103</v>
      </c>
      <c r="AB248" s="6" t="s">
        <v>104</v>
      </c>
      <c r="AC248" s="6"/>
      <c r="AD248" s="13" t="str">
        <f aca="false">IF(AC248="","",IFERROR(INDEX('INDB Full Nutrients'!$D:$D,MATCH(AC248,'INDB Full Nutrients'!$A:$A,0)),""))</f>
        <v/>
      </c>
      <c r="AE248" s="6"/>
      <c r="AF248" s="6"/>
    </row>
    <row r="249" customFormat="false" ht="15" hidden="false" customHeight="false" outlineLevel="0" collapsed="false">
      <c r="A249" s="6" t="s">
        <v>1044</v>
      </c>
      <c r="B249" s="6" t="s">
        <v>1045</v>
      </c>
      <c r="C249" s="6" t="s">
        <v>1046</v>
      </c>
      <c r="D249" s="6" t="s">
        <v>47</v>
      </c>
      <c r="E249" s="6" t="s">
        <v>114</v>
      </c>
      <c r="F249" s="6" t="s">
        <v>100</v>
      </c>
      <c r="G249" s="6"/>
      <c r="H249" s="6" t="s">
        <v>588</v>
      </c>
      <c r="I249" s="6" t="s">
        <v>298</v>
      </c>
      <c r="J249" s="13" t="n">
        <f aca="false">4*K249+4*(L249-N249)+9*M249+2*N249</f>
        <v>89.5</v>
      </c>
      <c r="K249" s="14" t="n">
        <v>4</v>
      </c>
      <c r="L249" s="14" t="n">
        <v>14</v>
      </c>
      <c r="M249" s="14" t="n">
        <v>2.5</v>
      </c>
      <c r="N249" s="14" t="n">
        <v>2.5</v>
      </c>
      <c r="O249" s="14" t="n">
        <v>4</v>
      </c>
      <c r="P249" s="15" t="n">
        <v>330</v>
      </c>
      <c r="Q249" s="16" t="n">
        <v>100</v>
      </c>
      <c r="R249" s="16" t="n">
        <v>150</v>
      </c>
      <c r="S249" s="16" t="n">
        <v>200</v>
      </c>
      <c r="T249" s="16" t="n">
        <v>250</v>
      </c>
      <c r="U249" s="16" t="n">
        <v>500</v>
      </c>
      <c r="V249" s="13" t="n">
        <f aca="false">IF(Q249="","",J249*Q249/100)</f>
        <v>89.5</v>
      </c>
      <c r="W249" s="13" t="n">
        <f aca="false">IF(R249="","",J249*R249/100)</f>
        <v>134.25</v>
      </c>
      <c r="X249" s="13" t="n">
        <f aca="false">IF(S249="","",J249*S249/100)</f>
        <v>179</v>
      </c>
      <c r="Y249" s="13" t="n">
        <f aca="false">IF(T249="","",J249*T249/100)</f>
        <v>223.75</v>
      </c>
      <c r="Z249" s="13" t="n">
        <f aca="false">IF(U249="","",J249*U249/100)</f>
        <v>447.5</v>
      </c>
      <c r="AA249" s="6" t="s">
        <v>103</v>
      </c>
      <c r="AB249" s="6" t="s">
        <v>104</v>
      </c>
      <c r="AC249" s="6"/>
      <c r="AD249" s="13" t="str">
        <f aca="false">IF(AC249="","",IFERROR(INDEX('INDB Full Nutrients'!$D:$D,MATCH(AC249,'INDB Full Nutrients'!$A:$A,0)),""))</f>
        <v/>
      </c>
      <c r="AE249" s="6"/>
      <c r="AF249" s="6"/>
    </row>
    <row r="250" customFormat="false" ht="15" hidden="false" customHeight="false" outlineLevel="0" collapsed="false">
      <c r="A250" s="6" t="s">
        <v>1047</v>
      </c>
      <c r="B250" s="6" t="s">
        <v>1048</v>
      </c>
      <c r="C250" s="6"/>
      <c r="D250" s="6" t="s">
        <v>47</v>
      </c>
      <c r="E250" s="6" t="s">
        <v>114</v>
      </c>
      <c r="F250" s="6" t="s">
        <v>100</v>
      </c>
      <c r="G250" s="6"/>
      <c r="H250" s="6" t="s">
        <v>588</v>
      </c>
      <c r="I250" s="6" t="s">
        <v>298</v>
      </c>
      <c r="J250" s="13" t="n">
        <f aca="false">4*K250+4*(L250-N250)+9*M250+2*N250</f>
        <v>104.5</v>
      </c>
      <c r="K250" s="14" t="n">
        <v>4.5</v>
      </c>
      <c r="L250" s="14" t="n">
        <v>15</v>
      </c>
      <c r="M250" s="14" t="n">
        <v>3.5</v>
      </c>
      <c r="N250" s="14" t="n">
        <v>2.5</v>
      </c>
      <c r="O250" s="14" t="n">
        <v>3</v>
      </c>
      <c r="P250" s="15" t="n">
        <v>350</v>
      </c>
      <c r="Q250" s="16" t="n">
        <v>100</v>
      </c>
      <c r="R250" s="16" t="n">
        <v>150</v>
      </c>
      <c r="S250" s="16" t="n">
        <v>200</v>
      </c>
      <c r="T250" s="16" t="n">
        <v>250</v>
      </c>
      <c r="U250" s="16" t="n">
        <v>500</v>
      </c>
      <c r="V250" s="13" t="n">
        <f aca="false">IF(Q250="","",J250*Q250/100)</f>
        <v>104.5</v>
      </c>
      <c r="W250" s="13" t="n">
        <f aca="false">IF(R250="","",J250*R250/100)</f>
        <v>156.75</v>
      </c>
      <c r="X250" s="13" t="n">
        <f aca="false">IF(S250="","",J250*S250/100)</f>
        <v>209</v>
      </c>
      <c r="Y250" s="13" t="n">
        <f aca="false">IF(T250="","",J250*T250/100)</f>
        <v>261.25</v>
      </c>
      <c r="Z250" s="13" t="n">
        <f aca="false">IF(U250="","",J250*U250/100)</f>
        <v>522.5</v>
      </c>
      <c r="AA250" s="6" t="s">
        <v>103</v>
      </c>
      <c r="AB250" s="6" t="s">
        <v>104</v>
      </c>
      <c r="AC250" s="6" t="s">
        <v>1049</v>
      </c>
      <c r="AD250" s="13" t="n">
        <f aca="false">IF(AC250="","",IFERROR(INDEX('INDB Full Nutrients'!$D:$D,MATCH(AC250,'INDB Full Nutrients'!$A:$A,0)),""))</f>
        <v>68.7371444702148</v>
      </c>
      <c r="AE250" s="6" t="s">
        <v>1050</v>
      </c>
      <c r="AF250" s="6"/>
    </row>
    <row r="251" customFormat="false" ht="15" hidden="false" customHeight="false" outlineLevel="0" collapsed="false">
      <c r="A251" s="6" t="s">
        <v>1051</v>
      </c>
      <c r="B251" s="6" t="s">
        <v>1052</v>
      </c>
      <c r="C251" s="6" t="s">
        <v>1053</v>
      </c>
      <c r="D251" s="6" t="s">
        <v>47</v>
      </c>
      <c r="E251" s="6" t="s">
        <v>119</v>
      </c>
      <c r="F251" s="6" t="s">
        <v>100</v>
      </c>
      <c r="G251" s="6" t="s">
        <v>124</v>
      </c>
      <c r="H251" s="6" t="s">
        <v>588</v>
      </c>
      <c r="I251" s="6" t="s">
        <v>298</v>
      </c>
      <c r="J251" s="13" t="n">
        <f aca="false">4*K251+4*(L251-N251)+9*M251+2*N251</f>
        <v>76</v>
      </c>
      <c r="K251" s="14" t="n">
        <v>3.5</v>
      </c>
      <c r="L251" s="14" t="n">
        <v>10.5</v>
      </c>
      <c r="M251" s="14" t="n">
        <v>2.8</v>
      </c>
      <c r="N251" s="14" t="n">
        <v>2.6</v>
      </c>
      <c r="O251" s="14" t="n">
        <v>2</v>
      </c>
      <c r="P251" s="15" t="n">
        <v>330</v>
      </c>
      <c r="Q251" s="16" t="n">
        <v>100</v>
      </c>
      <c r="R251" s="16" t="n">
        <v>150</v>
      </c>
      <c r="S251" s="16" t="n">
        <v>200</v>
      </c>
      <c r="T251" s="16" t="n">
        <v>250</v>
      </c>
      <c r="U251" s="16" t="n">
        <v>500</v>
      </c>
      <c r="V251" s="13" t="n">
        <f aca="false">IF(Q251="","",J251*Q251/100)</f>
        <v>76</v>
      </c>
      <c r="W251" s="13" t="n">
        <f aca="false">IF(R251="","",J251*R251/100)</f>
        <v>114</v>
      </c>
      <c r="X251" s="13" t="n">
        <f aca="false">IF(S251="","",J251*S251/100)</f>
        <v>152</v>
      </c>
      <c r="Y251" s="13" t="n">
        <f aca="false">IF(T251="","",J251*T251/100)</f>
        <v>190</v>
      </c>
      <c r="Z251" s="13" t="n">
        <f aca="false">IF(U251="","",J251*U251/100)</f>
        <v>380</v>
      </c>
      <c r="AA251" s="6" t="s">
        <v>103</v>
      </c>
      <c r="AB251" s="6" t="s">
        <v>104</v>
      </c>
      <c r="AC251" s="6" t="s">
        <v>1054</v>
      </c>
      <c r="AD251" s="13" t="n">
        <f aca="false">IF(AC251="","",IFERROR(INDEX('INDB Full Nutrients'!$D:$D,MATCH(AC251,'INDB Full Nutrients'!$A:$A,0)),""))</f>
        <v>96.9184722900391</v>
      </c>
      <c r="AE251" s="6" t="s">
        <v>1055</v>
      </c>
      <c r="AF251" s="6"/>
    </row>
    <row r="252" customFormat="false" ht="15" hidden="false" customHeight="false" outlineLevel="0" collapsed="false">
      <c r="A252" s="6" t="s">
        <v>1056</v>
      </c>
      <c r="B252" s="6" t="s">
        <v>1057</v>
      </c>
      <c r="C252" s="6" t="s">
        <v>1058</v>
      </c>
      <c r="D252" s="6" t="s">
        <v>47</v>
      </c>
      <c r="E252" s="6" t="s">
        <v>119</v>
      </c>
      <c r="F252" s="6" t="s">
        <v>100</v>
      </c>
      <c r="G252" s="6" t="s">
        <v>124</v>
      </c>
      <c r="H252" s="6" t="s">
        <v>588</v>
      </c>
      <c r="I252" s="6" t="s">
        <v>102</v>
      </c>
      <c r="J252" s="13" t="n">
        <f aca="false">4*K252+4*(L252-N252)+9*M252+2*N252</f>
        <v>29.6</v>
      </c>
      <c r="K252" s="14" t="n">
        <v>1</v>
      </c>
      <c r="L252" s="14" t="n">
        <v>4</v>
      </c>
      <c r="M252" s="14" t="n">
        <v>1.2</v>
      </c>
      <c r="N252" s="14" t="n">
        <v>0.6</v>
      </c>
      <c r="O252" s="14" t="n">
        <v>1.5</v>
      </c>
      <c r="P252" s="15" t="n">
        <v>350</v>
      </c>
      <c r="Q252" s="16" t="n">
        <v>150</v>
      </c>
      <c r="R252" s="16" t="n">
        <v>250</v>
      </c>
      <c r="S252" s="16" t="n">
        <v>350</v>
      </c>
      <c r="T252" s="6"/>
      <c r="U252" s="6"/>
      <c r="V252" s="13" t="n">
        <f aca="false">IF(Q252="","",J252*Q252/100)</f>
        <v>44.4</v>
      </c>
      <c r="W252" s="13" t="n">
        <f aca="false">IF(R252="","",J252*R252/100)</f>
        <v>74</v>
      </c>
      <c r="X252" s="13" t="n">
        <f aca="false">IF(S252="","",J252*S252/100)</f>
        <v>103.6</v>
      </c>
      <c r="Y252" s="13" t="str">
        <f aca="false">IF(T252="","",J252*T252/100)</f>
        <v/>
      </c>
      <c r="Z252" s="13" t="str">
        <f aca="false">IF(U252="","",J252*U252/100)</f>
        <v/>
      </c>
      <c r="AA252" s="6" t="s">
        <v>125</v>
      </c>
      <c r="AB252" s="6" t="s">
        <v>147</v>
      </c>
      <c r="AC252" s="6" t="s">
        <v>1059</v>
      </c>
      <c r="AD252" s="13" t="n">
        <f aca="false">IF(AC252="","",IFERROR(INDEX('INDB Full Nutrients'!$D:$D,MATCH(AC252,'INDB Full Nutrients'!$A:$A,0)),""))</f>
        <v>26.7405376434326</v>
      </c>
      <c r="AE252" s="6" t="s">
        <v>1060</v>
      </c>
      <c r="AF252" s="6"/>
    </row>
    <row r="253" customFormat="false" ht="15" hidden="false" customHeight="false" outlineLevel="0" collapsed="false">
      <c r="A253" s="6" t="s">
        <v>1061</v>
      </c>
      <c r="B253" s="6" t="s">
        <v>1062</v>
      </c>
      <c r="C253" s="6"/>
      <c r="D253" s="6" t="s">
        <v>47</v>
      </c>
      <c r="E253" s="6" t="s">
        <v>205</v>
      </c>
      <c r="F253" s="6" t="s">
        <v>100</v>
      </c>
      <c r="G253" s="6"/>
      <c r="H253" s="6" t="s">
        <v>588</v>
      </c>
      <c r="I253" s="6" t="s">
        <v>298</v>
      </c>
      <c r="J253" s="13" t="n">
        <f aca="false">4*K253+4*(L253-N253)+9*M253+2*N253</f>
        <v>90</v>
      </c>
      <c r="K253" s="14" t="n">
        <v>4.5</v>
      </c>
      <c r="L253" s="14" t="n">
        <v>13</v>
      </c>
      <c r="M253" s="14" t="n">
        <v>3</v>
      </c>
      <c r="N253" s="14" t="n">
        <v>3.5</v>
      </c>
      <c r="O253" s="14" t="n">
        <v>2</v>
      </c>
      <c r="P253" s="15" t="n">
        <v>320</v>
      </c>
      <c r="Q253" s="16" t="n">
        <v>100</v>
      </c>
      <c r="R253" s="16" t="n">
        <v>150</v>
      </c>
      <c r="S253" s="16" t="n">
        <v>200</v>
      </c>
      <c r="T253" s="16" t="n">
        <v>250</v>
      </c>
      <c r="U253" s="16" t="n">
        <v>500</v>
      </c>
      <c r="V253" s="13" t="n">
        <f aca="false">IF(Q253="","",J253*Q253/100)</f>
        <v>90</v>
      </c>
      <c r="W253" s="13" t="n">
        <f aca="false">IF(R253="","",J253*R253/100)</f>
        <v>135</v>
      </c>
      <c r="X253" s="13" t="n">
        <f aca="false">IF(S253="","",J253*S253/100)</f>
        <v>180</v>
      </c>
      <c r="Y253" s="13" t="n">
        <f aca="false">IF(T253="","",J253*T253/100)</f>
        <v>225</v>
      </c>
      <c r="Z253" s="13" t="n">
        <f aca="false">IF(U253="","",J253*U253/100)</f>
        <v>450</v>
      </c>
      <c r="AA253" s="6" t="s">
        <v>103</v>
      </c>
      <c r="AB253" s="6" t="s">
        <v>104</v>
      </c>
      <c r="AC253" s="6" t="s">
        <v>1063</v>
      </c>
      <c r="AD253" s="13" t="n">
        <f aca="false">IF(AC253="","",IFERROR(INDEX('INDB Full Nutrients'!$D:$D,MATCH(AC253,'INDB Full Nutrients'!$A:$A,0)),""))</f>
        <v>118.926368713379</v>
      </c>
      <c r="AE253" s="6" t="s">
        <v>1064</v>
      </c>
      <c r="AF253" s="6" t="s">
        <v>1065</v>
      </c>
    </row>
    <row r="254" customFormat="false" ht="15" hidden="false" customHeight="false" outlineLevel="0" collapsed="false">
      <c r="A254" s="6" t="s">
        <v>1066</v>
      </c>
      <c r="B254" s="6" t="s">
        <v>1067</v>
      </c>
      <c r="C254" s="6"/>
      <c r="D254" s="6" t="s">
        <v>47</v>
      </c>
      <c r="E254" s="6" t="s">
        <v>205</v>
      </c>
      <c r="F254" s="6" t="s">
        <v>100</v>
      </c>
      <c r="G254" s="6"/>
      <c r="H254" s="6" t="s">
        <v>588</v>
      </c>
      <c r="I254" s="6" t="s">
        <v>298</v>
      </c>
      <c r="J254" s="13" t="n">
        <f aca="false">4*K254+4*(L254-N254)+9*M254+2*N254</f>
        <v>133</v>
      </c>
      <c r="K254" s="14" t="n">
        <v>6</v>
      </c>
      <c r="L254" s="14" t="n">
        <v>18</v>
      </c>
      <c r="M254" s="14" t="n">
        <v>5</v>
      </c>
      <c r="N254" s="14" t="n">
        <v>4</v>
      </c>
      <c r="O254" s="14" t="n">
        <v>4</v>
      </c>
      <c r="P254" s="15" t="n">
        <v>330</v>
      </c>
      <c r="Q254" s="16" t="n">
        <v>100</v>
      </c>
      <c r="R254" s="16" t="n">
        <v>150</v>
      </c>
      <c r="S254" s="16" t="n">
        <v>200</v>
      </c>
      <c r="T254" s="16" t="n">
        <v>250</v>
      </c>
      <c r="U254" s="16" t="n">
        <v>500</v>
      </c>
      <c r="V254" s="13" t="n">
        <f aca="false">IF(Q254="","",J254*Q254/100)</f>
        <v>133</v>
      </c>
      <c r="W254" s="13" t="n">
        <f aca="false">IF(R254="","",J254*R254/100)</f>
        <v>199.5</v>
      </c>
      <c r="X254" s="13" t="n">
        <f aca="false">IF(S254="","",J254*S254/100)</f>
        <v>266</v>
      </c>
      <c r="Y254" s="13" t="n">
        <f aca="false">IF(T254="","",J254*T254/100)</f>
        <v>332.5</v>
      </c>
      <c r="Z254" s="13" t="n">
        <f aca="false">IF(U254="","",J254*U254/100)</f>
        <v>665</v>
      </c>
      <c r="AA254" s="6" t="s">
        <v>103</v>
      </c>
      <c r="AB254" s="6" t="s">
        <v>104</v>
      </c>
      <c r="AC254" s="6"/>
      <c r="AD254" s="13" t="str">
        <f aca="false">IF(AC254="","",IFERROR(INDEX('INDB Full Nutrients'!$D:$D,MATCH(AC254,'INDB Full Nutrients'!$A:$A,0)),""))</f>
        <v/>
      </c>
      <c r="AE254" s="6"/>
      <c r="AF254" s="6" t="s">
        <v>1068</v>
      </c>
    </row>
    <row r="255" customFormat="false" ht="15" hidden="false" customHeight="false" outlineLevel="0" collapsed="false">
      <c r="A255" s="6" t="s">
        <v>1069</v>
      </c>
      <c r="B255" s="6" t="s">
        <v>1070</v>
      </c>
      <c r="C255" s="6" t="s">
        <v>1071</v>
      </c>
      <c r="D255" s="6" t="s">
        <v>47</v>
      </c>
      <c r="E255" s="6" t="s">
        <v>99</v>
      </c>
      <c r="F255" s="6" t="s">
        <v>100</v>
      </c>
      <c r="G255" s="6"/>
      <c r="H255" s="6" t="s">
        <v>588</v>
      </c>
      <c r="I255" s="6" t="s">
        <v>298</v>
      </c>
      <c r="J255" s="13" t="n">
        <f aca="false">4*K255+4*(L255-N255)+9*M255+2*N255</f>
        <v>90.5</v>
      </c>
      <c r="K255" s="14" t="n">
        <v>5.5</v>
      </c>
      <c r="L255" s="14" t="n">
        <v>13</v>
      </c>
      <c r="M255" s="14" t="n">
        <v>2.5</v>
      </c>
      <c r="N255" s="14" t="n">
        <v>3</v>
      </c>
      <c r="O255" s="14" t="n">
        <v>0.5</v>
      </c>
      <c r="P255" s="15" t="n">
        <v>300</v>
      </c>
      <c r="Q255" s="16" t="n">
        <v>100</v>
      </c>
      <c r="R255" s="16" t="n">
        <v>150</v>
      </c>
      <c r="S255" s="16" t="n">
        <v>200</v>
      </c>
      <c r="T255" s="16" t="n">
        <v>250</v>
      </c>
      <c r="U255" s="16" t="n">
        <v>500</v>
      </c>
      <c r="V255" s="13" t="n">
        <f aca="false">IF(Q255="","",J255*Q255/100)</f>
        <v>90.5</v>
      </c>
      <c r="W255" s="13" t="n">
        <f aca="false">IF(R255="","",J255*R255/100)</f>
        <v>135.75</v>
      </c>
      <c r="X255" s="13" t="n">
        <f aca="false">IF(S255="","",J255*S255/100)</f>
        <v>181</v>
      </c>
      <c r="Y255" s="13" t="n">
        <f aca="false">IF(T255="","",J255*T255/100)</f>
        <v>226.25</v>
      </c>
      <c r="Z255" s="13" t="n">
        <f aca="false">IF(U255="","",J255*U255/100)</f>
        <v>452.5</v>
      </c>
      <c r="AA255" s="6" t="s">
        <v>103</v>
      </c>
      <c r="AB255" s="6" t="s">
        <v>104</v>
      </c>
      <c r="AC255" s="6" t="s">
        <v>1072</v>
      </c>
      <c r="AD255" s="13" t="n">
        <f aca="false">IF(AC255="","",IFERROR(INDEX('INDB Full Nutrients'!$D:$D,MATCH(AC255,'INDB Full Nutrients'!$A:$A,0)),""))</f>
        <v>55.6474113464356</v>
      </c>
      <c r="AE255" s="6" t="s">
        <v>1073</v>
      </c>
      <c r="AF255" s="6"/>
    </row>
    <row r="256" customFormat="false" ht="15" hidden="false" customHeight="false" outlineLevel="0" collapsed="false">
      <c r="A256" s="6" t="s">
        <v>1074</v>
      </c>
      <c r="B256" s="6" t="s">
        <v>1075</v>
      </c>
      <c r="C256" s="6" t="s">
        <v>1076</v>
      </c>
      <c r="D256" s="6" t="s">
        <v>47</v>
      </c>
      <c r="E256" s="6" t="s">
        <v>114</v>
      </c>
      <c r="F256" s="6" t="s">
        <v>100</v>
      </c>
      <c r="G256" s="6" t="s">
        <v>124</v>
      </c>
      <c r="H256" s="6" t="s">
        <v>588</v>
      </c>
      <c r="I256" s="6" t="s">
        <v>298</v>
      </c>
      <c r="J256" s="13" t="n">
        <f aca="false">4*K256+4*(L256-N256)+9*M256+2*N256</f>
        <v>116</v>
      </c>
      <c r="K256" s="14" t="n">
        <v>6</v>
      </c>
      <c r="L256" s="14" t="n">
        <v>14</v>
      </c>
      <c r="M256" s="14" t="n">
        <v>5</v>
      </c>
      <c r="N256" s="14" t="n">
        <v>4.5</v>
      </c>
      <c r="O256" s="14" t="n">
        <v>2</v>
      </c>
      <c r="P256" s="15" t="n">
        <v>380</v>
      </c>
      <c r="Q256" s="16" t="n">
        <v>100</v>
      </c>
      <c r="R256" s="16" t="n">
        <v>150</v>
      </c>
      <c r="S256" s="16" t="n">
        <v>200</v>
      </c>
      <c r="T256" s="16" t="n">
        <v>250</v>
      </c>
      <c r="U256" s="16" t="n">
        <v>500</v>
      </c>
      <c r="V256" s="13" t="n">
        <f aca="false">IF(Q256="","",J256*Q256/100)</f>
        <v>116</v>
      </c>
      <c r="W256" s="13" t="n">
        <f aca="false">IF(R256="","",J256*R256/100)</f>
        <v>174</v>
      </c>
      <c r="X256" s="13" t="n">
        <f aca="false">IF(S256="","",J256*S256/100)</f>
        <v>232</v>
      </c>
      <c r="Y256" s="13" t="n">
        <f aca="false">IF(T256="","",J256*T256/100)</f>
        <v>290</v>
      </c>
      <c r="Z256" s="13" t="n">
        <f aca="false">IF(U256="","",J256*U256/100)</f>
        <v>580</v>
      </c>
      <c r="AA256" s="6" t="s">
        <v>103</v>
      </c>
      <c r="AB256" s="6" t="s">
        <v>104</v>
      </c>
      <c r="AC256" s="6"/>
      <c r="AD256" s="13" t="str">
        <f aca="false">IF(AC256="","",IFERROR(INDEX('INDB Full Nutrients'!$D:$D,MATCH(AC256,'INDB Full Nutrients'!$A:$A,0)),""))</f>
        <v/>
      </c>
      <c r="AE256" s="6"/>
      <c r="AF256" s="6"/>
    </row>
    <row r="257" customFormat="false" ht="15" hidden="false" customHeight="false" outlineLevel="0" collapsed="false">
      <c r="A257" s="6" t="s">
        <v>1077</v>
      </c>
      <c r="B257" s="6" t="s">
        <v>1078</v>
      </c>
      <c r="C257" s="6" t="s">
        <v>1079</v>
      </c>
      <c r="D257" s="6" t="s">
        <v>47</v>
      </c>
      <c r="E257" s="6" t="s">
        <v>205</v>
      </c>
      <c r="F257" s="6" t="s">
        <v>100</v>
      </c>
      <c r="G257" s="6" t="s">
        <v>124</v>
      </c>
      <c r="H257" s="6" t="s">
        <v>603</v>
      </c>
      <c r="I257" s="6" t="s">
        <v>298</v>
      </c>
      <c r="J257" s="13" t="n">
        <f aca="false">4*K257+4*(L257-N257)+9*M257+2*N257</f>
        <v>114</v>
      </c>
      <c r="K257" s="14" t="n">
        <v>6</v>
      </c>
      <c r="L257" s="14" t="n">
        <v>16</v>
      </c>
      <c r="M257" s="14" t="n">
        <v>4</v>
      </c>
      <c r="N257" s="14" t="n">
        <v>5</v>
      </c>
      <c r="O257" s="14" t="n">
        <v>1.5</v>
      </c>
      <c r="P257" s="15" t="n">
        <v>380</v>
      </c>
      <c r="Q257" s="16" t="n">
        <v>100</v>
      </c>
      <c r="R257" s="16" t="n">
        <v>150</v>
      </c>
      <c r="S257" s="16" t="n">
        <v>200</v>
      </c>
      <c r="T257" s="16" t="n">
        <v>250</v>
      </c>
      <c r="U257" s="16" t="n">
        <v>500</v>
      </c>
      <c r="V257" s="13" t="n">
        <f aca="false">IF(Q257="","",J257*Q257/100)</f>
        <v>114</v>
      </c>
      <c r="W257" s="13" t="n">
        <f aca="false">IF(R257="","",J257*R257/100)</f>
        <v>171</v>
      </c>
      <c r="X257" s="13" t="n">
        <f aca="false">IF(S257="","",J257*S257/100)</f>
        <v>228</v>
      </c>
      <c r="Y257" s="13" t="n">
        <f aca="false">IF(T257="","",J257*T257/100)</f>
        <v>285</v>
      </c>
      <c r="Z257" s="13" t="n">
        <f aca="false">IF(U257="","",J257*U257/100)</f>
        <v>570</v>
      </c>
      <c r="AA257" s="6" t="s">
        <v>103</v>
      </c>
      <c r="AB257" s="6" t="s">
        <v>104</v>
      </c>
      <c r="AC257" s="6"/>
      <c r="AD257" s="13" t="str">
        <f aca="false">IF(AC257="","",IFERROR(INDEX('INDB Full Nutrients'!$D:$D,MATCH(AC257,'INDB Full Nutrients'!$A:$A,0)),""))</f>
        <v/>
      </c>
      <c r="AE257" s="6"/>
      <c r="AF257" s="6"/>
    </row>
    <row r="258" customFormat="false" ht="15" hidden="false" customHeight="false" outlineLevel="0" collapsed="false">
      <c r="A258" s="6" t="s">
        <v>1080</v>
      </c>
      <c r="B258" s="6" t="s">
        <v>1081</v>
      </c>
      <c r="C258" s="6"/>
      <c r="D258" s="6" t="s">
        <v>47</v>
      </c>
      <c r="E258" s="6" t="s">
        <v>114</v>
      </c>
      <c r="F258" s="6" t="s">
        <v>100</v>
      </c>
      <c r="G258" s="6" t="s">
        <v>124</v>
      </c>
      <c r="H258" s="6" t="s">
        <v>603</v>
      </c>
      <c r="I258" s="6" t="s">
        <v>298</v>
      </c>
      <c r="J258" s="13" t="n">
        <f aca="false">4*K258+4*(L258-N258)+9*M258+2*N258</f>
        <v>113</v>
      </c>
      <c r="K258" s="14" t="n">
        <v>6</v>
      </c>
      <c r="L258" s="14" t="n">
        <v>18</v>
      </c>
      <c r="M258" s="14" t="n">
        <v>3</v>
      </c>
      <c r="N258" s="14" t="n">
        <v>5</v>
      </c>
      <c r="O258" s="14" t="n">
        <v>1.5</v>
      </c>
      <c r="P258" s="15" t="n">
        <v>350</v>
      </c>
      <c r="Q258" s="16" t="n">
        <v>100</v>
      </c>
      <c r="R258" s="16" t="n">
        <v>150</v>
      </c>
      <c r="S258" s="16" t="n">
        <v>200</v>
      </c>
      <c r="T258" s="16" t="n">
        <v>250</v>
      </c>
      <c r="U258" s="16" t="n">
        <v>500</v>
      </c>
      <c r="V258" s="13" t="n">
        <f aca="false">IF(Q258="","",J258*Q258/100)</f>
        <v>113</v>
      </c>
      <c r="W258" s="13" t="n">
        <f aca="false">IF(R258="","",J258*R258/100)</f>
        <v>169.5</v>
      </c>
      <c r="X258" s="13" t="n">
        <f aca="false">IF(S258="","",J258*S258/100)</f>
        <v>226</v>
      </c>
      <c r="Y258" s="13" t="n">
        <f aca="false">IF(T258="","",J258*T258/100)</f>
        <v>282.5</v>
      </c>
      <c r="Z258" s="13" t="n">
        <f aca="false">IF(U258="","",J258*U258/100)</f>
        <v>565</v>
      </c>
      <c r="AA258" s="6" t="s">
        <v>103</v>
      </c>
      <c r="AB258" s="6" t="s">
        <v>104</v>
      </c>
      <c r="AC258" s="6"/>
      <c r="AD258" s="13" t="str">
        <f aca="false">IF(AC258="","",IFERROR(INDEX('INDB Full Nutrients'!$D:$D,MATCH(AC258,'INDB Full Nutrients'!$A:$A,0)),""))</f>
        <v/>
      </c>
      <c r="AE258" s="6"/>
      <c r="AF258" s="6"/>
    </row>
    <row r="259" customFormat="false" ht="15" hidden="false" customHeight="false" outlineLevel="0" collapsed="false">
      <c r="A259" s="6" t="s">
        <v>1082</v>
      </c>
      <c r="B259" s="6" t="s">
        <v>1083</v>
      </c>
      <c r="C259" s="6" t="s">
        <v>1084</v>
      </c>
      <c r="D259" s="6" t="s">
        <v>47</v>
      </c>
      <c r="E259" s="6" t="s">
        <v>99</v>
      </c>
      <c r="F259" s="6" t="s">
        <v>100</v>
      </c>
      <c r="G259" s="6"/>
      <c r="H259" s="6" t="s">
        <v>588</v>
      </c>
      <c r="I259" s="6" t="s">
        <v>298</v>
      </c>
      <c r="J259" s="13" t="n">
        <f aca="false">4*K259+4*(L259-N259)+9*M259+2*N259</f>
        <v>111</v>
      </c>
      <c r="K259" s="14" t="n">
        <v>9</v>
      </c>
      <c r="L259" s="14" t="n">
        <v>9</v>
      </c>
      <c r="M259" s="14" t="n">
        <v>5</v>
      </c>
      <c r="N259" s="14" t="n">
        <v>3</v>
      </c>
      <c r="O259" s="14" t="n">
        <v>2.5</v>
      </c>
      <c r="P259" s="15" t="n">
        <v>380</v>
      </c>
      <c r="Q259" s="16" t="n">
        <v>100</v>
      </c>
      <c r="R259" s="16" t="n">
        <v>150</v>
      </c>
      <c r="S259" s="16" t="n">
        <v>200</v>
      </c>
      <c r="T259" s="16" t="n">
        <v>250</v>
      </c>
      <c r="U259" s="16" t="n">
        <v>500</v>
      </c>
      <c r="V259" s="13" t="n">
        <f aca="false">IF(Q259="","",J259*Q259/100)</f>
        <v>111</v>
      </c>
      <c r="W259" s="13" t="n">
        <f aca="false">IF(R259="","",J259*R259/100)</f>
        <v>166.5</v>
      </c>
      <c r="X259" s="13" t="n">
        <f aca="false">IF(S259="","",J259*S259/100)</f>
        <v>222</v>
      </c>
      <c r="Y259" s="13" t="n">
        <f aca="false">IF(T259="","",J259*T259/100)</f>
        <v>277.5</v>
      </c>
      <c r="Z259" s="13" t="n">
        <f aca="false">IF(U259="","",J259*U259/100)</f>
        <v>555</v>
      </c>
      <c r="AA259" s="6" t="s">
        <v>103</v>
      </c>
      <c r="AB259" s="6" t="s">
        <v>104</v>
      </c>
      <c r="AC259" s="6" t="s">
        <v>1085</v>
      </c>
      <c r="AD259" s="13" t="n">
        <f aca="false">IF(AC259="","",IFERROR(INDEX('INDB Full Nutrients'!$D:$D,MATCH(AC259,'INDB Full Nutrients'!$A:$A,0)),""))</f>
        <v>82.6215515136719</v>
      </c>
      <c r="AE259" s="6" t="s">
        <v>1086</v>
      </c>
      <c r="AF259" s="6"/>
    </row>
    <row r="260" customFormat="false" ht="15" hidden="false" customHeight="false" outlineLevel="0" collapsed="false">
      <c r="A260" s="6" t="s">
        <v>1087</v>
      </c>
      <c r="B260" s="6" t="s">
        <v>1088</v>
      </c>
      <c r="C260" s="6" t="s">
        <v>1089</v>
      </c>
      <c r="D260" s="6" t="s">
        <v>47</v>
      </c>
      <c r="E260" s="6" t="s">
        <v>114</v>
      </c>
      <c r="F260" s="6" t="s">
        <v>100</v>
      </c>
      <c r="G260" s="6"/>
      <c r="H260" s="6" t="s">
        <v>588</v>
      </c>
      <c r="I260" s="6" t="s">
        <v>298</v>
      </c>
      <c r="J260" s="13" t="n">
        <f aca="false">4*K260+4*(L260-N260)+9*M260+2*N260</f>
        <v>156</v>
      </c>
      <c r="K260" s="14" t="n">
        <v>6</v>
      </c>
      <c r="L260" s="14" t="n">
        <v>14</v>
      </c>
      <c r="M260" s="14" t="n">
        <v>9</v>
      </c>
      <c r="N260" s="14" t="n">
        <v>2.5</v>
      </c>
      <c r="O260" s="14" t="n">
        <v>2.5</v>
      </c>
      <c r="P260" s="15" t="n">
        <v>400</v>
      </c>
      <c r="Q260" s="16" t="n">
        <v>100</v>
      </c>
      <c r="R260" s="16" t="n">
        <v>150</v>
      </c>
      <c r="S260" s="16" t="n">
        <v>200</v>
      </c>
      <c r="T260" s="16" t="n">
        <v>250</v>
      </c>
      <c r="U260" s="16" t="n">
        <v>500</v>
      </c>
      <c r="V260" s="13" t="n">
        <f aca="false">IF(Q260="","",J260*Q260/100)</f>
        <v>156</v>
      </c>
      <c r="W260" s="13" t="n">
        <f aca="false">IF(R260="","",J260*R260/100)</f>
        <v>234</v>
      </c>
      <c r="X260" s="13" t="n">
        <f aca="false">IF(S260="","",J260*S260/100)</f>
        <v>312</v>
      </c>
      <c r="Y260" s="13" t="n">
        <f aca="false">IF(T260="","",J260*T260/100)</f>
        <v>390</v>
      </c>
      <c r="Z260" s="13" t="n">
        <f aca="false">IF(U260="","",J260*U260/100)</f>
        <v>780</v>
      </c>
      <c r="AA260" s="6" t="s">
        <v>125</v>
      </c>
      <c r="AB260" s="6" t="s">
        <v>147</v>
      </c>
      <c r="AC260" s="6" t="s">
        <v>1090</v>
      </c>
      <c r="AD260" s="13" t="n">
        <f aca="false">IF(AC260="","",IFERROR(INDEX('INDB Full Nutrients'!$D:$D,MATCH(AC260,'INDB Full Nutrients'!$A:$A,0)),""))</f>
        <v>189.379867553711</v>
      </c>
      <c r="AE260" s="6" t="s">
        <v>1091</v>
      </c>
      <c r="AF260" s="6"/>
    </row>
    <row r="261" customFormat="false" ht="15" hidden="false" customHeight="false" outlineLevel="0" collapsed="false">
      <c r="A261" s="6" t="s">
        <v>1092</v>
      </c>
      <c r="B261" s="6" t="s">
        <v>1093</v>
      </c>
      <c r="C261" s="6" t="s">
        <v>1094</v>
      </c>
      <c r="D261" s="6" t="s">
        <v>48</v>
      </c>
      <c r="E261" s="6" t="s">
        <v>161</v>
      </c>
      <c r="F261" s="6" t="s">
        <v>100</v>
      </c>
      <c r="G261" s="6"/>
      <c r="H261" s="6" t="s">
        <v>588</v>
      </c>
      <c r="I261" s="6" t="s">
        <v>298</v>
      </c>
      <c r="J261" s="13" t="n">
        <f aca="false">4*K261+4*(L261-N261)+9*M261+2*N261</f>
        <v>194.6</v>
      </c>
      <c r="K261" s="14" t="n">
        <v>7.5</v>
      </c>
      <c r="L261" s="14" t="n">
        <v>8</v>
      </c>
      <c r="M261" s="14" t="n">
        <v>15</v>
      </c>
      <c r="N261" s="14" t="n">
        <v>1.2</v>
      </c>
      <c r="O261" s="14" t="n">
        <v>4</v>
      </c>
      <c r="P261" s="15" t="n">
        <v>450</v>
      </c>
      <c r="Q261" s="16" t="n">
        <v>100</v>
      </c>
      <c r="R261" s="16" t="n">
        <v>150</v>
      </c>
      <c r="S261" s="16" t="n">
        <v>200</v>
      </c>
      <c r="T261" s="16" t="n">
        <v>250</v>
      </c>
      <c r="U261" s="16" t="n">
        <v>500</v>
      </c>
      <c r="V261" s="13" t="n">
        <f aca="false">IF(Q261="","",J261*Q261/100)</f>
        <v>194.6</v>
      </c>
      <c r="W261" s="13" t="n">
        <f aca="false">IF(R261="","",J261*R261/100)</f>
        <v>291.9</v>
      </c>
      <c r="X261" s="13" t="n">
        <f aca="false">IF(S261="","",J261*S261/100)</f>
        <v>389.2</v>
      </c>
      <c r="Y261" s="13" t="n">
        <f aca="false">IF(T261="","",J261*T261/100)</f>
        <v>486.5</v>
      </c>
      <c r="Z261" s="13" t="n">
        <f aca="false">IF(U261="","",J261*U261/100)</f>
        <v>973</v>
      </c>
      <c r="AA261" s="6" t="s">
        <v>103</v>
      </c>
      <c r="AB261" s="6" t="s">
        <v>104</v>
      </c>
      <c r="AC261" s="6" t="s">
        <v>1095</v>
      </c>
      <c r="AD261" s="13" t="n">
        <f aca="false">IF(AC261="","",IFERROR(INDEX('INDB Full Nutrients'!$D:$D,MATCH(AC261,'INDB Full Nutrients'!$A:$A,0)),""))</f>
        <v>145.607803344727</v>
      </c>
      <c r="AE261" s="6" t="s">
        <v>1096</v>
      </c>
      <c r="AF261" s="6" t="s">
        <v>1097</v>
      </c>
    </row>
    <row r="262" customFormat="false" ht="15" hidden="false" customHeight="false" outlineLevel="0" collapsed="false">
      <c r="A262" s="6" t="s">
        <v>1098</v>
      </c>
      <c r="B262" s="6" t="s">
        <v>1099</v>
      </c>
      <c r="C262" s="6"/>
      <c r="D262" s="6" t="s">
        <v>48</v>
      </c>
      <c r="E262" s="6" t="s">
        <v>161</v>
      </c>
      <c r="F262" s="6" t="s">
        <v>100</v>
      </c>
      <c r="G262" s="6"/>
      <c r="H262" s="6" t="s">
        <v>588</v>
      </c>
      <c r="I262" s="6" t="s">
        <v>298</v>
      </c>
      <c r="J262" s="13" t="n">
        <f aca="false">4*K262+4*(L262-N262)+9*M262+2*N262</f>
        <v>206</v>
      </c>
      <c r="K262" s="14" t="n">
        <v>7.5</v>
      </c>
      <c r="L262" s="14" t="n">
        <v>8.5</v>
      </c>
      <c r="M262" s="14" t="n">
        <v>16</v>
      </c>
      <c r="N262" s="14" t="n">
        <v>1</v>
      </c>
      <c r="O262" s="14" t="n">
        <v>4.5</v>
      </c>
      <c r="P262" s="15" t="n">
        <v>450</v>
      </c>
      <c r="Q262" s="16" t="n">
        <v>100</v>
      </c>
      <c r="R262" s="16" t="n">
        <v>150</v>
      </c>
      <c r="S262" s="16" t="n">
        <v>200</v>
      </c>
      <c r="T262" s="16" t="n">
        <v>250</v>
      </c>
      <c r="U262" s="16" t="n">
        <v>500</v>
      </c>
      <c r="V262" s="13" t="n">
        <f aca="false">IF(Q262="","",J262*Q262/100)</f>
        <v>206</v>
      </c>
      <c r="W262" s="13" t="n">
        <f aca="false">IF(R262="","",J262*R262/100)</f>
        <v>309</v>
      </c>
      <c r="X262" s="13" t="n">
        <f aca="false">IF(S262="","",J262*S262/100)</f>
        <v>412</v>
      </c>
      <c r="Y262" s="13" t="n">
        <f aca="false">IF(T262="","",J262*T262/100)</f>
        <v>515</v>
      </c>
      <c r="Z262" s="13" t="n">
        <f aca="false">IF(U262="","",J262*U262/100)</f>
        <v>1030</v>
      </c>
      <c r="AA262" s="6" t="s">
        <v>103</v>
      </c>
      <c r="AB262" s="6" t="s">
        <v>104</v>
      </c>
      <c r="AC262" s="6" t="s">
        <v>1100</v>
      </c>
      <c r="AD262" s="13" t="n">
        <f aca="false">IF(AC262="","",IFERROR(INDEX('INDB Full Nutrients'!$D:$D,MATCH(AC262,'INDB Full Nutrients'!$A:$A,0)),""))</f>
        <v>156.495834350586</v>
      </c>
      <c r="AE262" s="6" t="s">
        <v>1101</v>
      </c>
      <c r="AF262" s="6"/>
    </row>
    <row r="263" customFormat="false" ht="15" hidden="false" customHeight="false" outlineLevel="0" collapsed="false">
      <c r="A263" s="6" t="s">
        <v>1102</v>
      </c>
      <c r="B263" s="6" t="s">
        <v>1103</v>
      </c>
      <c r="C263" s="6" t="s">
        <v>1104</v>
      </c>
      <c r="D263" s="6" t="s">
        <v>48</v>
      </c>
      <c r="E263" s="6" t="s">
        <v>161</v>
      </c>
      <c r="F263" s="6" t="s">
        <v>100</v>
      </c>
      <c r="G263" s="6"/>
      <c r="H263" s="6" t="s">
        <v>588</v>
      </c>
      <c r="I263" s="6" t="s">
        <v>298</v>
      </c>
      <c r="J263" s="13" t="n">
        <f aca="false">4*K263+4*(L263-N263)+9*M263+2*N263</f>
        <v>168.9</v>
      </c>
      <c r="K263" s="14" t="n">
        <v>8</v>
      </c>
      <c r="L263" s="14" t="n">
        <v>7</v>
      </c>
      <c r="M263" s="14" t="n">
        <v>12.5</v>
      </c>
      <c r="N263" s="14" t="n">
        <v>1.8</v>
      </c>
      <c r="O263" s="14" t="n">
        <v>3</v>
      </c>
      <c r="P263" s="15" t="n">
        <v>420</v>
      </c>
      <c r="Q263" s="16" t="n">
        <v>100</v>
      </c>
      <c r="R263" s="16" t="n">
        <v>150</v>
      </c>
      <c r="S263" s="16" t="n">
        <v>200</v>
      </c>
      <c r="T263" s="16" t="n">
        <v>250</v>
      </c>
      <c r="U263" s="16" t="n">
        <v>500</v>
      </c>
      <c r="V263" s="13" t="n">
        <f aca="false">IF(Q263="","",J263*Q263/100)</f>
        <v>168.9</v>
      </c>
      <c r="W263" s="13" t="n">
        <f aca="false">IF(R263="","",J263*R263/100)</f>
        <v>253.35</v>
      </c>
      <c r="X263" s="13" t="n">
        <f aca="false">IF(S263="","",J263*S263/100)</f>
        <v>337.8</v>
      </c>
      <c r="Y263" s="13" t="n">
        <f aca="false">IF(T263="","",J263*T263/100)</f>
        <v>422.25</v>
      </c>
      <c r="Z263" s="13" t="n">
        <f aca="false">IF(U263="","",J263*U263/100)</f>
        <v>844.5</v>
      </c>
      <c r="AA263" s="6" t="s">
        <v>103</v>
      </c>
      <c r="AB263" s="6" t="s">
        <v>104</v>
      </c>
      <c r="AC263" s="6" t="s">
        <v>1105</v>
      </c>
      <c r="AD263" s="13" t="n">
        <f aca="false">IF(AC263="","",IFERROR(INDEX('INDB Full Nutrients'!$D:$D,MATCH(AC263,'INDB Full Nutrients'!$A:$A,0)),""))</f>
        <v>107.992485046387</v>
      </c>
      <c r="AE263" s="6" t="s">
        <v>1106</v>
      </c>
      <c r="AF263" s="6"/>
    </row>
    <row r="264" customFormat="false" ht="15" hidden="false" customHeight="false" outlineLevel="0" collapsed="false">
      <c r="A264" s="6" t="s">
        <v>1107</v>
      </c>
      <c r="B264" s="6" t="s">
        <v>1108</v>
      </c>
      <c r="C264" s="6" t="s">
        <v>1109</v>
      </c>
      <c r="D264" s="6" t="s">
        <v>48</v>
      </c>
      <c r="E264" s="6" t="s">
        <v>161</v>
      </c>
      <c r="F264" s="6" t="s">
        <v>100</v>
      </c>
      <c r="G264" s="6"/>
      <c r="H264" s="6" t="s">
        <v>588</v>
      </c>
      <c r="I264" s="6" t="s">
        <v>298</v>
      </c>
      <c r="J264" s="13" t="n">
        <f aca="false">4*K264+4*(L264-N264)+9*M264+2*N264</f>
        <v>135.6</v>
      </c>
      <c r="K264" s="14" t="n">
        <v>6.5</v>
      </c>
      <c r="L264" s="14" t="n">
        <v>6</v>
      </c>
      <c r="M264" s="14" t="n">
        <v>10</v>
      </c>
      <c r="N264" s="14" t="n">
        <v>2.2</v>
      </c>
      <c r="O264" s="14" t="n">
        <v>1.5</v>
      </c>
      <c r="P264" s="15" t="n">
        <v>380</v>
      </c>
      <c r="Q264" s="16" t="n">
        <v>100</v>
      </c>
      <c r="R264" s="16" t="n">
        <v>150</v>
      </c>
      <c r="S264" s="16" t="n">
        <v>200</v>
      </c>
      <c r="T264" s="16" t="n">
        <v>250</v>
      </c>
      <c r="U264" s="16" t="n">
        <v>500</v>
      </c>
      <c r="V264" s="13" t="n">
        <f aca="false">IF(Q264="","",J264*Q264/100)</f>
        <v>135.6</v>
      </c>
      <c r="W264" s="13" t="n">
        <f aca="false">IF(R264="","",J264*R264/100)</f>
        <v>203.4</v>
      </c>
      <c r="X264" s="13" t="n">
        <f aca="false">IF(S264="","",J264*S264/100)</f>
        <v>271.2</v>
      </c>
      <c r="Y264" s="13" t="n">
        <f aca="false">IF(T264="","",J264*T264/100)</f>
        <v>339</v>
      </c>
      <c r="Z264" s="13" t="n">
        <f aca="false">IF(U264="","",J264*U264/100)</f>
        <v>678</v>
      </c>
      <c r="AA264" s="6" t="s">
        <v>103</v>
      </c>
      <c r="AB264" s="6" t="s">
        <v>104</v>
      </c>
      <c r="AC264" s="6" t="s">
        <v>1110</v>
      </c>
      <c r="AD264" s="13" t="n">
        <f aca="false">IF(AC264="","",IFERROR(INDEX('INDB Full Nutrients'!$D:$D,MATCH(AC264,'INDB Full Nutrients'!$A:$A,0)),""))</f>
        <v>77.6831283569336</v>
      </c>
      <c r="AE264" s="6" t="s">
        <v>1111</v>
      </c>
      <c r="AF264" s="6"/>
    </row>
    <row r="265" customFormat="false" ht="15" hidden="false" customHeight="false" outlineLevel="0" collapsed="false">
      <c r="A265" s="6" t="s">
        <v>1112</v>
      </c>
      <c r="B265" s="6" t="s">
        <v>1113</v>
      </c>
      <c r="C265" s="6" t="s">
        <v>1114</v>
      </c>
      <c r="D265" s="6" t="s">
        <v>48</v>
      </c>
      <c r="E265" s="6" t="s">
        <v>161</v>
      </c>
      <c r="F265" s="6" t="s">
        <v>100</v>
      </c>
      <c r="G265" s="6"/>
      <c r="H265" s="6" t="s">
        <v>588</v>
      </c>
      <c r="I265" s="6" t="s">
        <v>298</v>
      </c>
      <c r="J265" s="13" t="n">
        <f aca="false">4*K265+4*(L265-N265)+9*M265+2*N265</f>
        <v>149</v>
      </c>
      <c r="K265" s="14" t="n">
        <v>6.5</v>
      </c>
      <c r="L265" s="14" t="n">
        <v>9.5</v>
      </c>
      <c r="M265" s="14" t="n">
        <v>10</v>
      </c>
      <c r="N265" s="14" t="n">
        <v>2.5</v>
      </c>
      <c r="O265" s="14" t="n">
        <v>3</v>
      </c>
      <c r="P265" s="15" t="n">
        <v>400</v>
      </c>
      <c r="Q265" s="16" t="n">
        <v>100</v>
      </c>
      <c r="R265" s="16" t="n">
        <v>150</v>
      </c>
      <c r="S265" s="16" t="n">
        <v>200</v>
      </c>
      <c r="T265" s="16" t="n">
        <v>250</v>
      </c>
      <c r="U265" s="16" t="n">
        <v>500</v>
      </c>
      <c r="V265" s="13" t="n">
        <f aca="false">IF(Q265="","",J265*Q265/100)</f>
        <v>149</v>
      </c>
      <c r="W265" s="13" t="n">
        <f aca="false">IF(R265="","",J265*R265/100)</f>
        <v>223.5</v>
      </c>
      <c r="X265" s="13" t="n">
        <f aca="false">IF(S265="","",J265*S265/100)</f>
        <v>298</v>
      </c>
      <c r="Y265" s="13" t="n">
        <f aca="false">IF(T265="","",J265*T265/100)</f>
        <v>372.5</v>
      </c>
      <c r="Z265" s="13" t="n">
        <f aca="false">IF(U265="","",J265*U265/100)</f>
        <v>745</v>
      </c>
      <c r="AA265" s="6" t="s">
        <v>125</v>
      </c>
      <c r="AB265" s="6" t="s">
        <v>147</v>
      </c>
      <c r="AC265" s="6" t="s">
        <v>1115</v>
      </c>
      <c r="AD265" s="13" t="n">
        <f aca="false">IF(AC265="","",IFERROR(INDEX('INDB Full Nutrients'!$D:$D,MATCH(AC265,'INDB Full Nutrients'!$A:$A,0)),""))</f>
        <v>134.834365844727</v>
      </c>
      <c r="AE265" s="6" t="s">
        <v>1116</v>
      </c>
      <c r="AF265" s="6"/>
    </row>
    <row r="266" customFormat="false" ht="15" hidden="false" customHeight="false" outlineLevel="0" collapsed="false">
      <c r="A266" s="6" t="s">
        <v>1117</v>
      </c>
      <c r="B266" s="6" t="s">
        <v>1118</v>
      </c>
      <c r="C266" s="6"/>
      <c r="D266" s="6" t="s">
        <v>48</v>
      </c>
      <c r="E266" s="6" t="s">
        <v>161</v>
      </c>
      <c r="F266" s="6" t="s">
        <v>100</v>
      </c>
      <c r="G266" s="6"/>
      <c r="H266" s="6" t="s">
        <v>588</v>
      </c>
      <c r="I266" s="6" t="s">
        <v>298</v>
      </c>
      <c r="J266" s="13" t="n">
        <f aca="false">4*K266+4*(L266-N266)+9*M266+2*N266</f>
        <v>189</v>
      </c>
      <c r="K266" s="14" t="n">
        <v>8.5</v>
      </c>
      <c r="L266" s="14" t="n">
        <v>8</v>
      </c>
      <c r="M266" s="14" t="n">
        <v>14</v>
      </c>
      <c r="N266" s="14" t="n">
        <v>1.5</v>
      </c>
      <c r="O266" s="14" t="n">
        <v>3.5</v>
      </c>
      <c r="P266" s="15" t="n">
        <v>450</v>
      </c>
      <c r="Q266" s="16" t="n">
        <v>100</v>
      </c>
      <c r="R266" s="16" t="n">
        <v>150</v>
      </c>
      <c r="S266" s="16" t="n">
        <v>200</v>
      </c>
      <c r="T266" s="16" t="n">
        <v>250</v>
      </c>
      <c r="U266" s="16" t="n">
        <v>500</v>
      </c>
      <c r="V266" s="13" t="n">
        <f aca="false">IF(Q266="","",J266*Q266/100)</f>
        <v>189</v>
      </c>
      <c r="W266" s="13" t="n">
        <f aca="false">IF(R266="","",J266*R266/100)</f>
        <v>283.5</v>
      </c>
      <c r="X266" s="13" t="n">
        <f aca="false">IF(S266="","",J266*S266/100)</f>
        <v>378</v>
      </c>
      <c r="Y266" s="13" t="n">
        <f aca="false">IF(T266="","",J266*T266/100)</f>
        <v>472.5</v>
      </c>
      <c r="Z266" s="13" t="n">
        <f aca="false">IF(U266="","",J266*U266/100)</f>
        <v>945</v>
      </c>
      <c r="AA266" s="6" t="s">
        <v>103</v>
      </c>
      <c r="AB266" s="6" t="s">
        <v>104</v>
      </c>
      <c r="AC266" s="6"/>
      <c r="AD266" s="13" t="str">
        <f aca="false">IF(AC266="","",IFERROR(INDEX('INDB Full Nutrients'!$D:$D,MATCH(AC266,'INDB Full Nutrients'!$A:$A,0)),""))</f>
        <v/>
      </c>
      <c r="AE266" s="6"/>
      <c r="AF266" s="6"/>
    </row>
    <row r="267" customFormat="false" ht="15" hidden="false" customHeight="false" outlineLevel="0" collapsed="false">
      <c r="A267" s="6" t="s">
        <v>1119</v>
      </c>
      <c r="B267" s="6" t="s">
        <v>1120</v>
      </c>
      <c r="C267" s="6"/>
      <c r="D267" s="6" t="s">
        <v>48</v>
      </c>
      <c r="E267" s="6" t="s">
        <v>161</v>
      </c>
      <c r="F267" s="6" t="s">
        <v>100</v>
      </c>
      <c r="G267" s="6"/>
      <c r="H267" s="6" t="s">
        <v>588</v>
      </c>
      <c r="I267" s="6" t="s">
        <v>298</v>
      </c>
      <c r="J267" s="13" t="n">
        <f aca="false">4*K267+4*(L267-N267)+9*M267+2*N267</f>
        <v>166.8</v>
      </c>
      <c r="K267" s="14" t="n">
        <v>7.5</v>
      </c>
      <c r="L267" s="14" t="n">
        <v>8</v>
      </c>
      <c r="M267" s="14" t="n">
        <v>12</v>
      </c>
      <c r="N267" s="14" t="n">
        <v>1.6</v>
      </c>
      <c r="O267" s="14" t="n">
        <v>3.5</v>
      </c>
      <c r="P267" s="15" t="n">
        <v>420</v>
      </c>
      <c r="Q267" s="16" t="n">
        <v>100</v>
      </c>
      <c r="R267" s="16" t="n">
        <v>150</v>
      </c>
      <c r="S267" s="16" t="n">
        <v>200</v>
      </c>
      <c r="T267" s="16" t="n">
        <v>250</v>
      </c>
      <c r="U267" s="16" t="n">
        <v>500</v>
      </c>
      <c r="V267" s="13" t="n">
        <f aca="false">IF(Q267="","",J267*Q267/100)</f>
        <v>166.8</v>
      </c>
      <c r="W267" s="13" t="n">
        <f aca="false">IF(R267="","",J267*R267/100)</f>
        <v>250.2</v>
      </c>
      <c r="X267" s="13" t="n">
        <f aca="false">IF(S267="","",J267*S267/100)</f>
        <v>333.6</v>
      </c>
      <c r="Y267" s="13" t="n">
        <f aca="false">IF(T267="","",J267*T267/100)</f>
        <v>417</v>
      </c>
      <c r="Z267" s="13" t="n">
        <f aca="false">IF(U267="","",J267*U267/100)</f>
        <v>834</v>
      </c>
      <c r="AA267" s="6" t="s">
        <v>103</v>
      </c>
      <c r="AB267" s="6" t="s">
        <v>104</v>
      </c>
      <c r="AC267" s="6" t="s">
        <v>1121</v>
      </c>
      <c r="AD267" s="13" t="n">
        <f aca="false">IF(AC267="","",IFERROR(INDEX('INDB Full Nutrients'!$D:$D,MATCH(AC267,'INDB Full Nutrients'!$A:$A,0)),""))</f>
        <v>127.704780578613</v>
      </c>
      <c r="AE267" s="6" t="s">
        <v>1122</v>
      </c>
      <c r="AF267" s="6"/>
    </row>
    <row r="268" customFormat="false" ht="15" hidden="false" customHeight="false" outlineLevel="0" collapsed="false">
      <c r="A268" s="6" t="s">
        <v>1123</v>
      </c>
      <c r="B268" s="6" t="s">
        <v>1124</v>
      </c>
      <c r="C268" s="6"/>
      <c r="D268" s="6" t="s">
        <v>48</v>
      </c>
      <c r="E268" s="6" t="s">
        <v>161</v>
      </c>
      <c r="F268" s="6" t="s">
        <v>100</v>
      </c>
      <c r="G268" s="6"/>
      <c r="H268" s="6" t="s">
        <v>588</v>
      </c>
      <c r="I268" s="6" t="s">
        <v>298</v>
      </c>
      <c r="J268" s="13" t="n">
        <f aca="false">4*K268+4*(L268-N268)+9*M268+2*N268</f>
        <v>187.4</v>
      </c>
      <c r="K268" s="14" t="n">
        <v>7.5</v>
      </c>
      <c r="L268" s="14" t="n">
        <v>8.5</v>
      </c>
      <c r="M268" s="14" t="n">
        <v>14</v>
      </c>
      <c r="N268" s="14" t="n">
        <v>1.3</v>
      </c>
      <c r="O268" s="14" t="n">
        <v>4</v>
      </c>
      <c r="P268" s="15" t="n">
        <v>450</v>
      </c>
      <c r="Q268" s="16" t="n">
        <v>100</v>
      </c>
      <c r="R268" s="16" t="n">
        <v>150</v>
      </c>
      <c r="S268" s="16" t="n">
        <v>200</v>
      </c>
      <c r="T268" s="16" t="n">
        <v>250</v>
      </c>
      <c r="U268" s="16" t="n">
        <v>500</v>
      </c>
      <c r="V268" s="13" t="n">
        <f aca="false">IF(Q268="","",J268*Q268/100)</f>
        <v>187.4</v>
      </c>
      <c r="W268" s="13" t="n">
        <f aca="false">IF(R268="","",J268*R268/100)</f>
        <v>281.1</v>
      </c>
      <c r="X268" s="13" t="n">
        <f aca="false">IF(S268="","",J268*S268/100)</f>
        <v>374.8</v>
      </c>
      <c r="Y268" s="13" t="n">
        <f aca="false">IF(T268="","",J268*T268/100)</f>
        <v>468.5</v>
      </c>
      <c r="Z268" s="13" t="n">
        <f aca="false">IF(U268="","",J268*U268/100)</f>
        <v>937</v>
      </c>
      <c r="AA268" s="6" t="s">
        <v>103</v>
      </c>
      <c r="AB268" s="6" t="s">
        <v>104</v>
      </c>
      <c r="AC268" s="6" t="s">
        <v>1125</v>
      </c>
      <c r="AD268" s="13" t="n">
        <f aca="false">IF(AC268="","",IFERROR(INDEX('INDB Full Nutrients'!$D:$D,MATCH(AC268,'INDB Full Nutrients'!$A:$A,0)),""))</f>
        <v>105.476119995117</v>
      </c>
      <c r="AE268" s="6" t="s">
        <v>1126</v>
      </c>
      <c r="AF268" s="6"/>
    </row>
    <row r="269" customFormat="false" ht="15" hidden="false" customHeight="false" outlineLevel="0" collapsed="false">
      <c r="A269" s="6" t="s">
        <v>1127</v>
      </c>
      <c r="B269" s="6" t="s">
        <v>1128</v>
      </c>
      <c r="C269" s="6"/>
      <c r="D269" s="6" t="s">
        <v>48</v>
      </c>
      <c r="E269" s="6" t="s">
        <v>161</v>
      </c>
      <c r="F269" s="6" t="s">
        <v>100</v>
      </c>
      <c r="G269" s="6"/>
      <c r="H269" s="6" t="s">
        <v>588</v>
      </c>
      <c r="I269" s="6" t="s">
        <v>298</v>
      </c>
      <c r="J269" s="13" t="n">
        <f aca="false">4*K269+4*(L269-N269)+9*M269+2*N269</f>
        <v>182</v>
      </c>
      <c r="K269" s="14" t="n">
        <v>6</v>
      </c>
      <c r="L269" s="14" t="n">
        <v>9</v>
      </c>
      <c r="M269" s="14" t="n">
        <v>14</v>
      </c>
      <c r="N269" s="14" t="n">
        <v>2</v>
      </c>
      <c r="O269" s="14" t="n">
        <v>3</v>
      </c>
      <c r="P269" s="15" t="n">
        <v>420</v>
      </c>
      <c r="Q269" s="16" t="n">
        <v>100</v>
      </c>
      <c r="R269" s="16" t="n">
        <v>150</v>
      </c>
      <c r="S269" s="16" t="n">
        <v>200</v>
      </c>
      <c r="T269" s="16" t="n">
        <v>250</v>
      </c>
      <c r="U269" s="16" t="n">
        <v>500</v>
      </c>
      <c r="V269" s="13" t="n">
        <f aca="false">IF(Q269="","",J269*Q269/100)</f>
        <v>182</v>
      </c>
      <c r="W269" s="13" t="n">
        <f aca="false">IF(R269="","",J269*R269/100)</f>
        <v>273</v>
      </c>
      <c r="X269" s="13" t="n">
        <f aca="false">IF(S269="","",J269*S269/100)</f>
        <v>364</v>
      </c>
      <c r="Y269" s="13" t="n">
        <f aca="false">IF(T269="","",J269*T269/100)</f>
        <v>455</v>
      </c>
      <c r="Z269" s="13" t="n">
        <f aca="false">IF(U269="","",J269*U269/100)</f>
        <v>910</v>
      </c>
      <c r="AA269" s="6" t="s">
        <v>125</v>
      </c>
      <c r="AB269" s="6" t="s">
        <v>147</v>
      </c>
      <c r="AC269" s="6" t="s">
        <v>1129</v>
      </c>
      <c r="AD269" s="13" t="n">
        <f aca="false">IF(AC269="","",IFERROR(INDEX('INDB Full Nutrients'!$D:$D,MATCH(AC269,'INDB Full Nutrients'!$A:$A,0)),""))</f>
        <v>194.977844238281</v>
      </c>
      <c r="AE269" s="6" t="s">
        <v>1130</v>
      </c>
      <c r="AF269" s="6"/>
    </row>
    <row r="270" customFormat="false" ht="15" hidden="false" customHeight="false" outlineLevel="0" collapsed="false">
      <c r="A270" s="6" t="s">
        <v>1131</v>
      </c>
      <c r="B270" s="6" t="s">
        <v>1132</v>
      </c>
      <c r="C270" s="6"/>
      <c r="D270" s="6" t="s">
        <v>48</v>
      </c>
      <c r="E270" s="6" t="s">
        <v>161</v>
      </c>
      <c r="F270" s="6" t="s">
        <v>100</v>
      </c>
      <c r="G270" s="6"/>
      <c r="H270" s="6" t="s">
        <v>588</v>
      </c>
      <c r="I270" s="6" t="s">
        <v>298</v>
      </c>
      <c r="J270" s="13" t="n">
        <f aca="false">4*K270+4*(L270-N270)+9*M270+2*N270</f>
        <v>162</v>
      </c>
      <c r="K270" s="14" t="n">
        <v>4</v>
      </c>
      <c r="L270" s="14" t="n">
        <v>11</v>
      </c>
      <c r="M270" s="14" t="n">
        <v>12</v>
      </c>
      <c r="N270" s="14" t="n">
        <v>3</v>
      </c>
      <c r="O270" s="14" t="n">
        <v>3.5</v>
      </c>
      <c r="P270" s="15" t="n">
        <v>420</v>
      </c>
      <c r="Q270" s="16" t="n">
        <v>100</v>
      </c>
      <c r="R270" s="16" t="n">
        <v>150</v>
      </c>
      <c r="S270" s="16" t="n">
        <v>200</v>
      </c>
      <c r="T270" s="16" t="n">
        <v>250</v>
      </c>
      <c r="U270" s="16" t="n">
        <v>500</v>
      </c>
      <c r="V270" s="13" t="n">
        <f aca="false">IF(Q270="","",J270*Q270/100)</f>
        <v>162</v>
      </c>
      <c r="W270" s="13" t="n">
        <f aca="false">IF(R270="","",J270*R270/100)</f>
        <v>243</v>
      </c>
      <c r="X270" s="13" t="n">
        <f aca="false">IF(S270="","",J270*S270/100)</f>
        <v>324</v>
      </c>
      <c r="Y270" s="13" t="n">
        <f aca="false">IF(T270="","",J270*T270/100)</f>
        <v>405</v>
      </c>
      <c r="Z270" s="13" t="n">
        <f aca="false">IF(U270="","",J270*U270/100)</f>
        <v>810</v>
      </c>
      <c r="AA270" s="6" t="s">
        <v>103</v>
      </c>
      <c r="AB270" s="6" t="s">
        <v>104</v>
      </c>
      <c r="AC270" s="6"/>
      <c r="AD270" s="13" t="str">
        <f aca="false">IF(AC270="","",IFERROR(INDEX('INDB Full Nutrients'!$D:$D,MATCH(AC270,'INDB Full Nutrients'!$A:$A,0)),""))</f>
        <v/>
      </c>
      <c r="AE270" s="6"/>
      <c r="AF270" s="6"/>
    </row>
    <row r="271" customFormat="false" ht="15" hidden="false" customHeight="false" outlineLevel="0" collapsed="false">
      <c r="A271" s="6" t="s">
        <v>1133</v>
      </c>
      <c r="B271" s="6" t="s">
        <v>1134</v>
      </c>
      <c r="C271" s="6"/>
      <c r="D271" s="6" t="s">
        <v>48</v>
      </c>
      <c r="E271" s="6" t="s">
        <v>161</v>
      </c>
      <c r="F271" s="6" t="s">
        <v>100</v>
      </c>
      <c r="G271" s="6"/>
      <c r="H271" s="6" t="s">
        <v>588</v>
      </c>
      <c r="I271" s="6" t="s">
        <v>298</v>
      </c>
      <c r="J271" s="13" t="n">
        <f aca="false">4*K271+4*(L271-N271)+9*M271+2*N271</f>
        <v>212.8</v>
      </c>
      <c r="K271" s="14" t="n">
        <v>5</v>
      </c>
      <c r="L271" s="14" t="n">
        <v>13</v>
      </c>
      <c r="M271" s="14" t="n">
        <v>16</v>
      </c>
      <c r="N271" s="14" t="n">
        <v>1.6</v>
      </c>
      <c r="O271" s="14" t="n">
        <v>4.5</v>
      </c>
      <c r="P271" s="15" t="n">
        <v>420</v>
      </c>
      <c r="Q271" s="16" t="n">
        <v>100</v>
      </c>
      <c r="R271" s="16" t="n">
        <v>150</v>
      </c>
      <c r="S271" s="16" t="n">
        <v>200</v>
      </c>
      <c r="T271" s="16" t="n">
        <v>250</v>
      </c>
      <c r="U271" s="16" t="n">
        <v>500</v>
      </c>
      <c r="V271" s="13" t="n">
        <f aca="false">IF(Q271="","",J271*Q271/100)</f>
        <v>212.8</v>
      </c>
      <c r="W271" s="13" t="n">
        <f aca="false">IF(R271="","",J271*R271/100)</f>
        <v>319.2</v>
      </c>
      <c r="X271" s="13" t="n">
        <f aca="false">IF(S271="","",J271*S271/100)</f>
        <v>425.6</v>
      </c>
      <c r="Y271" s="13" t="n">
        <f aca="false">IF(T271="","",J271*T271/100)</f>
        <v>532</v>
      </c>
      <c r="Z271" s="13" t="n">
        <f aca="false">IF(U271="","",J271*U271/100)</f>
        <v>1064</v>
      </c>
      <c r="AA271" s="6" t="s">
        <v>103</v>
      </c>
      <c r="AB271" s="6" t="s">
        <v>104</v>
      </c>
      <c r="AC271" s="6" t="s">
        <v>1135</v>
      </c>
      <c r="AD271" s="13" t="n">
        <f aca="false">IF(AC271="","",IFERROR(INDEX('INDB Full Nutrients'!$D:$D,MATCH(AC271,'INDB Full Nutrients'!$A:$A,0)),""))</f>
        <v>670.910766601563</v>
      </c>
      <c r="AE271" s="6" t="s">
        <v>740</v>
      </c>
      <c r="AF271" s="6" t="s">
        <v>1136</v>
      </c>
    </row>
    <row r="272" customFormat="false" ht="15" hidden="false" customHeight="false" outlineLevel="0" collapsed="false">
      <c r="A272" s="6" t="s">
        <v>1137</v>
      </c>
      <c r="B272" s="6" t="s">
        <v>1138</v>
      </c>
      <c r="C272" s="6" t="s">
        <v>1139</v>
      </c>
      <c r="D272" s="6" t="s">
        <v>48</v>
      </c>
      <c r="E272" s="6" t="s">
        <v>161</v>
      </c>
      <c r="F272" s="6" t="s">
        <v>100</v>
      </c>
      <c r="G272" s="6"/>
      <c r="H272" s="6" t="s">
        <v>588</v>
      </c>
      <c r="I272" s="6" t="s">
        <v>298</v>
      </c>
      <c r="J272" s="13" t="n">
        <f aca="false">4*K272+4*(L272-N272)+9*M272+2*N272</f>
        <v>136.9</v>
      </c>
      <c r="K272" s="14" t="n">
        <v>2</v>
      </c>
      <c r="L272" s="14" t="n">
        <v>14</v>
      </c>
      <c r="M272" s="14" t="n">
        <v>8.5</v>
      </c>
      <c r="N272" s="14" t="n">
        <v>1.8</v>
      </c>
      <c r="O272" s="14" t="n">
        <v>2.5</v>
      </c>
      <c r="P272" s="15" t="n">
        <v>380</v>
      </c>
      <c r="Q272" s="16" t="n">
        <v>100</v>
      </c>
      <c r="R272" s="16" t="n">
        <v>150</v>
      </c>
      <c r="S272" s="16" t="n">
        <v>200</v>
      </c>
      <c r="T272" s="16" t="n">
        <v>250</v>
      </c>
      <c r="U272" s="16" t="n">
        <v>500</v>
      </c>
      <c r="V272" s="13" t="n">
        <f aca="false">IF(Q272="","",J272*Q272/100)</f>
        <v>136.9</v>
      </c>
      <c r="W272" s="13" t="n">
        <f aca="false">IF(R272="","",J272*R272/100)</f>
        <v>205.35</v>
      </c>
      <c r="X272" s="13" t="n">
        <f aca="false">IF(S272="","",J272*S272/100)</f>
        <v>273.8</v>
      </c>
      <c r="Y272" s="13" t="n">
        <f aca="false">IF(T272="","",J272*T272/100)</f>
        <v>342.25</v>
      </c>
      <c r="Z272" s="13" t="n">
        <f aca="false">IF(U272="","",J272*U272/100)</f>
        <v>684.5</v>
      </c>
      <c r="AA272" s="6" t="s">
        <v>103</v>
      </c>
      <c r="AB272" s="6" t="s">
        <v>104</v>
      </c>
      <c r="AC272" s="6" t="s">
        <v>1140</v>
      </c>
      <c r="AD272" s="13" t="n">
        <f aca="false">IF(AC272="","",IFERROR(INDEX('INDB Full Nutrients'!$D:$D,MATCH(AC272,'INDB Full Nutrients'!$A:$A,0)),""))</f>
        <v>682.329895019531</v>
      </c>
      <c r="AE272" s="6" t="s">
        <v>740</v>
      </c>
      <c r="AF272" s="6"/>
    </row>
    <row r="273" customFormat="false" ht="15" hidden="false" customHeight="false" outlineLevel="0" collapsed="false">
      <c r="A273" s="6" t="s">
        <v>1141</v>
      </c>
      <c r="B273" s="6" t="s">
        <v>1142</v>
      </c>
      <c r="C273" s="6" t="s">
        <v>1143</v>
      </c>
      <c r="D273" s="6" t="s">
        <v>48</v>
      </c>
      <c r="E273" s="6" t="s">
        <v>161</v>
      </c>
      <c r="F273" s="6" t="s">
        <v>100</v>
      </c>
      <c r="G273" s="6" t="s">
        <v>124</v>
      </c>
      <c r="H273" s="6" t="s">
        <v>588</v>
      </c>
      <c r="I273" s="6" t="s">
        <v>298</v>
      </c>
      <c r="J273" s="13" t="n">
        <f aca="false">4*K273+4*(L273-N273)+9*M273+2*N273</f>
        <v>102.6</v>
      </c>
      <c r="K273" s="14" t="n">
        <v>2.8</v>
      </c>
      <c r="L273" s="14" t="n">
        <v>13</v>
      </c>
      <c r="M273" s="14" t="n">
        <v>5</v>
      </c>
      <c r="N273" s="14" t="n">
        <v>2.8</v>
      </c>
      <c r="O273" s="14" t="n">
        <v>2.5</v>
      </c>
      <c r="P273" s="15" t="n">
        <v>350</v>
      </c>
      <c r="Q273" s="16" t="n">
        <v>100</v>
      </c>
      <c r="R273" s="16" t="n">
        <v>150</v>
      </c>
      <c r="S273" s="16" t="n">
        <v>200</v>
      </c>
      <c r="T273" s="16" t="n">
        <v>250</v>
      </c>
      <c r="U273" s="16" t="n">
        <v>500</v>
      </c>
      <c r="V273" s="13" t="n">
        <f aca="false">IF(Q273="","",J273*Q273/100)</f>
        <v>102.6</v>
      </c>
      <c r="W273" s="13" t="n">
        <f aca="false">IF(R273="","",J273*R273/100)</f>
        <v>153.9</v>
      </c>
      <c r="X273" s="13" t="n">
        <f aca="false">IF(S273="","",J273*S273/100)</f>
        <v>205.2</v>
      </c>
      <c r="Y273" s="13" t="n">
        <f aca="false">IF(T273="","",J273*T273/100)</f>
        <v>256.5</v>
      </c>
      <c r="Z273" s="13" t="n">
        <f aca="false">IF(U273="","",J273*U273/100)</f>
        <v>513</v>
      </c>
      <c r="AA273" s="6" t="s">
        <v>125</v>
      </c>
      <c r="AB273" s="6" t="s">
        <v>147</v>
      </c>
      <c r="AC273" s="6" t="s">
        <v>1144</v>
      </c>
      <c r="AD273" s="13" t="n">
        <f aca="false">IF(AC273="","",IFERROR(INDEX('INDB Full Nutrients'!$D:$D,MATCH(AC273,'INDB Full Nutrients'!$A:$A,0)),""))</f>
        <v>100.922958374023</v>
      </c>
      <c r="AE273" s="6" t="s">
        <v>1145</v>
      </c>
      <c r="AF273" s="6"/>
    </row>
    <row r="274" customFormat="false" ht="15" hidden="false" customHeight="false" outlineLevel="0" collapsed="false">
      <c r="A274" s="6" t="s">
        <v>1146</v>
      </c>
      <c r="B274" s="6" t="s">
        <v>1147</v>
      </c>
      <c r="C274" s="6" t="s">
        <v>1148</v>
      </c>
      <c r="D274" s="6" t="s">
        <v>48</v>
      </c>
      <c r="E274" s="6" t="s">
        <v>161</v>
      </c>
      <c r="F274" s="6" t="s">
        <v>100</v>
      </c>
      <c r="G274" s="6" t="s">
        <v>124</v>
      </c>
      <c r="H274" s="6" t="s">
        <v>588</v>
      </c>
      <c r="I274" s="6" t="s">
        <v>298</v>
      </c>
      <c r="J274" s="13" t="n">
        <f aca="false">4*K274+4*(L274-N274)+9*M274+2*N274</f>
        <v>87.6</v>
      </c>
      <c r="K274" s="14" t="n">
        <v>1.8</v>
      </c>
      <c r="L274" s="14" t="n">
        <v>12</v>
      </c>
      <c r="M274" s="14" t="n">
        <v>4</v>
      </c>
      <c r="N274" s="14" t="n">
        <v>1.8</v>
      </c>
      <c r="O274" s="14" t="n">
        <v>2.5</v>
      </c>
      <c r="P274" s="15" t="n">
        <v>350</v>
      </c>
      <c r="Q274" s="16" t="n">
        <v>100</v>
      </c>
      <c r="R274" s="16" t="n">
        <v>150</v>
      </c>
      <c r="S274" s="16" t="n">
        <v>200</v>
      </c>
      <c r="T274" s="16" t="n">
        <v>250</v>
      </c>
      <c r="U274" s="16" t="n">
        <v>500</v>
      </c>
      <c r="V274" s="13" t="n">
        <f aca="false">IF(Q274="","",J274*Q274/100)</f>
        <v>87.6</v>
      </c>
      <c r="W274" s="13" t="n">
        <f aca="false">IF(R274="","",J274*R274/100)</f>
        <v>131.4</v>
      </c>
      <c r="X274" s="13" t="n">
        <f aca="false">IF(S274="","",J274*S274/100)</f>
        <v>175.2</v>
      </c>
      <c r="Y274" s="13" t="n">
        <f aca="false">IF(T274="","",J274*T274/100)</f>
        <v>219</v>
      </c>
      <c r="Z274" s="13" t="n">
        <f aca="false">IF(U274="","",J274*U274/100)</f>
        <v>438</v>
      </c>
      <c r="AA274" s="6" t="s">
        <v>125</v>
      </c>
      <c r="AB274" s="6" t="s">
        <v>147</v>
      </c>
      <c r="AC274" s="6" t="s">
        <v>1149</v>
      </c>
      <c r="AD274" s="13" t="n">
        <f aca="false">IF(AC274="","",IFERROR(INDEX('INDB Full Nutrients'!$D:$D,MATCH(AC274,'INDB Full Nutrients'!$A:$A,0)),""))</f>
        <v>89.555046081543</v>
      </c>
      <c r="AE274" s="6" t="s">
        <v>1150</v>
      </c>
      <c r="AF274" s="6" t="s">
        <v>1151</v>
      </c>
    </row>
    <row r="275" customFormat="false" ht="15" hidden="false" customHeight="false" outlineLevel="0" collapsed="false">
      <c r="A275" s="6" t="s">
        <v>1152</v>
      </c>
      <c r="B275" s="6" t="s">
        <v>1153</v>
      </c>
      <c r="C275" s="6" t="s">
        <v>1154</v>
      </c>
      <c r="D275" s="6" t="s">
        <v>48</v>
      </c>
      <c r="E275" s="6" t="s">
        <v>161</v>
      </c>
      <c r="F275" s="6" t="s">
        <v>100</v>
      </c>
      <c r="G275" s="6"/>
      <c r="H275" s="6" t="s">
        <v>588</v>
      </c>
      <c r="I275" s="6" t="s">
        <v>298</v>
      </c>
      <c r="J275" s="13" t="n">
        <f aca="false">4*K275+4*(L275-N275)+9*M275+2*N275</f>
        <v>104.6</v>
      </c>
      <c r="K275" s="14" t="n">
        <v>2.8</v>
      </c>
      <c r="L275" s="14" t="n">
        <v>9</v>
      </c>
      <c r="M275" s="14" t="n">
        <v>7</v>
      </c>
      <c r="N275" s="14" t="n">
        <v>2.8</v>
      </c>
      <c r="O275" s="14" t="n">
        <v>3</v>
      </c>
      <c r="P275" s="15" t="n">
        <v>380</v>
      </c>
      <c r="Q275" s="16" t="n">
        <v>100</v>
      </c>
      <c r="R275" s="16" t="n">
        <v>150</v>
      </c>
      <c r="S275" s="16" t="n">
        <v>200</v>
      </c>
      <c r="T275" s="16" t="n">
        <v>250</v>
      </c>
      <c r="U275" s="16" t="n">
        <v>500</v>
      </c>
      <c r="V275" s="13" t="n">
        <f aca="false">IF(Q275="","",J275*Q275/100)</f>
        <v>104.6</v>
      </c>
      <c r="W275" s="13" t="n">
        <f aca="false">IF(R275="","",J275*R275/100)</f>
        <v>156.9</v>
      </c>
      <c r="X275" s="13" t="n">
        <f aca="false">IF(S275="","",J275*S275/100)</f>
        <v>209.2</v>
      </c>
      <c r="Y275" s="13" t="n">
        <f aca="false">IF(T275="","",J275*T275/100)</f>
        <v>261.5</v>
      </c>
      <c r="Z275" s="13" t="n">
        <f aca="false">IF(U275="","",J275*U275/100)</f>
        <v>523</v>
      </c>
      <c r="AA275" s="6" t="s">
        <v>103</v>
      </c>
      <c r="AB275" s="6" t="s">
        <v>104</v>
      </c>
      <c r="AC275" s="6"/>
      <c r="AD275" s="13" t="str">
        <f aca="false">IF(AC275="","",IFERROR(INDEX('INDB Full Nutrients'!$D:$D,MATCH(AC275,'INDB Full Nutrients'!$A:$A,0)),""))</f>
        <v/>
      </c>
      <c r="AE275" s="6"/>
      <c r="AF275" s="6"/>
    </row>
    <row r="276" customFormat="false" ht="15" hidden="false" customHeight="false" outlineLevel="0" collapsed="false">
      <c r="A276" s="6" t="s">
        <v>1155</v>
      </c>
      <c r="B276" s="6" t="s">
        <v>1156</v>
      </c>
      <c r="C276" s="6"/>
      <c r="D276" s="6" t="s">
        <v>48</v>
      </c>
      <c r="E276" s="6" t="s">
        <v>114</v>
      </c>
      <c r="F276" s="6" t="s">
        <v>100</v>
      </c>
      <c r="G276" s="6"/>
      <c r="H276" s="6" t="s">
        <v>588</v>
      </c>
      <c r="I276" s="6" t="s">
        <v>298</v>
      </c>
      <c r="J276" s="13" t="n">
        <f aca="false">4*K276+4*(L276-N276)+9*M276+2*N276</f>
        <v>127</v>
      </c>
      <c r="K276" s="14" t="n">
        <v>3</v>
      </c>
      <c r="L276" s="14" t="n">
        <v>10</v>
      </c>
      <c r="M276" s="14" t="n">
        <v>9</v>
      </c>
      <c r="N276" s="14" t="n">
        <v>3</v>
      </c>
      <c r="O276" s="14" t="n">
        <v>3.5</v>
      </c>
      <c r="P276" s="15" t="n">
        <v>420</v>
      </c>
      <c r="Q276" s="16" t="n">
        <v>100</v>
      </c>
      <c r="R276" s="16" t="n">
        <v>150</v>
      </c>
      <c r="S276" s="16" t="n">
        <v>200</v>
      </c>
      <c r="T276" s="16" t="n">
        <v>250</v>
      </c>
      <c r="U276" s="16" t="n">
        <v>500</v>
      </c>
      <c r="V276" s="13" t="n">
        <f aca="false">IF(Q276="","",J276*Q276/100)</f>
        <v>127</v>
      </c>
      <c r="W276" s="13" t="n">
        <f aca="false">IF(R276="","",J276*R276/100)</f>
        <v>190.5</v>
      </c>
      <c r="X276" s="13" t="n">
        <f aca="false">IF(S276="","",J276*S276/100)</f>
        <v>254</v>
      </c>
      <c r="Y276" s="13" t="n">
        <f aca="false">IF(T276="","",J276*T276/100)</f>
        <v>317.5</v>
      </c>
      <c r="Z276" s="13" t="n">
        <f aca="false">IF(U276="","",J276*U276/100)</f>
        <v>635</v>
      </c>
      <c r="AA276" s="6" t="s">
        <v>103</v>
      </c>
      <c r="AB276" s="6" t="s">
        <v>104</v>
      </c>
      <c r="AC276" s="6"/>
      <c r="AD276" s="13" t="str">
        <f aca="false">IF(AC276="","",IFERROR(INDEX('INDB Full Nutrients'!$D:$D,MATCH(AC276,'INDB Full Nutrients'!$A:$A,0)),""))</f>
        <v/>
      </c>
      <c r="AE276" s="6"/>
      <c r="AF276" s="6"/>
    </row>
    <row r="277" customFormat="false" ht="15" hidden="false" customHeight="false" outlineLevel="0" collapsed="false">
      <c r="A277" s="6" t="s">
        <v>1157</v>
      </c>
      <c r="B277" s="6" t="s">
        <v>1158</v>
      </c>
      <c r="C277" s="6"/>
      <c r="D277" s="6" t="s">
        <v>48</v>
      </c>
      <c r="E277" s="6" t="s">
        <v>161</v>
      </c>
      <c r="F277" s="6" t="s">
        <v>100</v>
      </c>
      <c r="G277" s="6"/>
      <c r="H277" s="6" t="s">
        <v>588</v>
      </c>
      <c r="I277" s="6" t="s">
        <v>298</v>
      </c>
      <c r="J277" s="13" t="n">
        <f aca="false">4*K277+4*(L277-N277)+9*M277+2*N277</f>
        <v>177</v>
      </c>
      <c r="K277" s="14" t="n">
        <v>4</v>
      </c>
      <c r="L277" s="14" t="n">
        <v>12</v>
      </c>
      <c r="M277" s="14" t="n">
        <v>13</v>
      </c>
      <c r="N277" s="14" t="n">
        <v>2</v>
      </c>
      <c r="O277" s="14" t="n">
        <v>5</v>
      </c>
      <c r="P277" s="15" t="n">
        <v>380</v>
      </c>
      <c r="Q277" s="16" t="n">
        <v>100</v>
      </c>
      <c r="R277" s="16" t="n">
        <v>150</v>
      </c>
      <c r="S277" s="16" t="n">
        <v>200</v>
      </c>
      <c r="T277" s="16" t="n">
        <v>250</v>
      </c>
      <c r="U277" s="16" t="n">
        <v>500</v>
      </c>
      <c r="V277" s="13" t="n">
        <f aca="false">IF(Q277="","",J277*Q277/100)</f>
        <v>177</v>
      </c>
      <c r="W277" s="13" t="n">
        <f aca="false">IF(R277="","",J277*R277/100)</f>
        <v>265.5</v>
      </c>
      <c r="X277" s="13" t="n">
        <f aca="false">IF(S277="","",J277*S277/100)</f>
        <v>354</v>
      </c>
      <c r="Y277" s="13" t="n">
        <f aca="false">IF(T277="","",J277*T277/100)</f>
        <v>442.5</v>
      </c>
      <c r="Z277" s="13" t="n">
        <f aca="false">IF(U277="","",J277*U277/100)</f>
        <v>885</v>
      </c>
      <c r="AA277" s="6" t="s">
        <v>103</v>
      </c>
      <c r="AB277" s="6" t="s">
        <v>104</v>
      </c>
      <c r="AC277" s="6"/>
      <c r="AD277" s="13" t="str">
        <f aca="false">IF(AC277="","",IFERROR(INDEX('INDB Full Nutrients'!$D:$D,MATCH(AC277,'INDB Full Nutrients'!$A:$A,0)),""))</f>
        <v/>
      </c>
      <c r="AE277" s="6"/>
      <c r="AF277" s="6"/>
    </row>
    <row r="278" customFormat="false" ht="15" hidden="false" customHeight="false" outlineLevel="0" collapsed="false">
      <c r="A278" s="6" t="s">
        <v>1159</v>
      </c>
      <c r="B278" s="6" t="s">
        <v>1160</v>
      </c>
      <c r="C278" s="6" t="s">
        <v>1161</v>
      </c>
      <c r="D278" s="6" t="s">
        <v>48</v>
      </c>
      <c r="E278" s="6" t="s">
        <v>161</v>
      </c>
      <c r="F278" s="6" t="s">
        <v>100</v>
      </c>
      <c r="G278" s="6"/>
      <c r="H278" s="6" t="s">
        <v>588</v>
      </c>
      <c r="I278" s="6" t="s">
        <v>298</v>
      </c>
      <c r="J278" s="13" t="n">
        <f aca="false">4*K278+4*(L278-N278)+9*M278+2*N278</f>
        <v>99</v>
      </c>
      <c r="K278" s="14" t="n">
        <v>3</v>
      </c>
      <c r="L278" s="14" t="n">
        <v>7</v>
      </c>
      <c r="M278" s="14" t="n">
        <v>7</v>
      </c>
      <c r="N278" s="14" t="n">
        <v>2</v>
      </c>
      <c r="O278" s="14" t="n">
        <v>2.5</v>
      </c>
      <c r="P278" s="15" t="n">
        <v>380</v>
      </c>
      <c r="Q278" s="16" t="n">
        <v>100</v>
      </c>
      <c r="R278" s="16" t="n">
        <v>150</v>
      </c>
      <c r="S278" s="16" t="n">
        <v>200</v>
      </c>
      <c r="T278" s="16" t="n">
        <v>250</v>
      </c>
      <c r="U278" s="16" t="n">
        <v>500</v>
      </c>
      <c r="V278" s="13" t="n">
        <f aca="false">IF(Q278="","",J278*Q278/100)</f>
        <v>99</v>
      </c>
      <c r="W278" s="13" t="n">
        <f aca="false">IF(R278="","",J278*R278/100)</f>
        <v>148.5</v>
      </c>
      <c r="X278" s="13" t="n">
        <f aca="false">IF(S278="","",J278*S278/100)</f>
        <v>198</v>
      </c>
      <c r="Y278" s="13" t="n">
        <f aca="false">IF(T278="","",J278*T278/100)</f>
        <v>247.5</v>
      </c>
      <c r="Z278" s="13" t="n">
        <f aca="false">IF(U278="","",J278*U278/100)</f>
        <v>495</v>
      </c>
      <c r="AA278" s="6" t="s">
        <v>125</v>
      </c>
      <c r="AB278" s="6" t="s">
        <v>147</v>
      </c>
      <c r="AC278" s="6" t="s">
        <v>1162</v>
      </c>
      <c r="AD278" s="13" t="n">
        <f aca="false">IF(AC278="","",IFERROR(INDEX('INDB Full Nutrients'!$D:$D,MATCH(AC278,'INDB Full Nutrients'!$A:$A,0)),""))</f>
        <v>93.2961196899414</v>
      </c>
      <c r="AE278" s="6" t="s">
        <v>1163</v>
      </c>
      <c r="AF278" s="6"/>
    </row>
    <row r="279" customFormat="false" ht="15" hidden="false" customHeight="false" outlineLevel="0" collapsed="false">
      <c r="A279" s="6" t="s">
        <v>1164</v>
      </c>
      <c r="B279" s="6" t="s">
        <v>1165</v>
      </c>
      <c r="C279" s="6" t="s">
        <v>1166</v>
      </c>
      <c r="D279" s="6" t="s">
        <v>48</v>
      </c>
      <c r="E279" s="6" t="s">
        <v>161</v>
      </c>
      <c r="F279" s="6" t="s">
        <v>100</v>
      </c>
      <c r="G279" s="6"/>
      <c r="H279" s="6" t="s">
        <v>588</v>
      </c>
      <c r="I279" s="6" t="s">
        <v>298</v>
      </c>
      <c r="J279" s="13" t="n">
        <f aca="false">4*K279+4*(L279-N279)+9*M279+2*N279</f>
        <v>138.4</v>
      </c>
      <c r="K279" s="14" t="n">
        <v>3</v>
      </c>
      <c r="L279" s="14" t="n">
        <v>10</v>
      </c>
      <c r="M279" s="14" t="n">
        <v>10</v>
      </c>
      <c r="N279" s="14" t="n">
        <v>1.8</v>
      </c>
      <c r="O279" s="14" t="n">
        <v>3</v>
      </c>
      <c r="P279" s="15" t="n">
        <v>380</v>
      </c>
      <c r="Q279" s="16" t="n">
        <v>100</v>
      </c>
      <c r="R279" s="16" t="n">
        <v>150</v>
      </c>
      <c r="S279" s="16" t="n">
        <v>200</v>
      </c>
      <c r="T279" s="16" t="n">
        <v>250</v>
      </c>
      <c r="U279" s="16" t="n">
        <v>500</v>
      </c>
      <c r="V279" s="13" t="n">
        <f aca="false">IF(Q279="","",J279*Q279/100)</f>
        <v>138.4</v>
      </c>
      <c r="W279" s="13" t="n">
        <f aca="false">IF(R279="","",J279*R279/100)</f>
        <v>207.6</v>
      </c>
      <c r="X279" s="13" t="n">
        <f aca="false">IF(S279="","",J279*S279/100)</f>
        <v>276.8</v>
      </c>
      <c r="Y279" s="13" t="n">
        <f aca="false">IF(T279="","",J279*T279/100)</f>
        <v>346</v>
      </c>
      <c r="Z279" s="13" t="n">
        <f aca="false">IF(U279="","",J279*U279/100)</f>
        <v>692</v>
      </c>
      <c r="AA279" s="6" t="s">
        <v>103</v>
      </c>
      <c r="AB279" s="6" t="s">
        <v>104</v>
      </c>
      <c r="AC279" s="6" t="s">
        <v>1167</v>
      </c>
      <c r="AD279" s="13" t="n">
        <f aca="false">IF(AC279="","",IFERROR(INDEX('INDB Full Nutrients'!$D:$D,MATCH(AC279,'INDB Full Nutrients'!$A:$A,0)),""))</f>
        <v>638.706848144531</v>
      </c>
      <c r="AE279" s="6" t="s">
        <v>740</v>
      </c>
      <c r="AF279" s="6"/>
    </row>
    <row r="280" customFormat="false" ht="15" hidden="false" customHeight="false" outlineLevel="0" collapsed="false">
      <c r="A280" s="6" t="s">
        <v>1168</v>
      </c>
      <c r="B280" s="6" t="s">
        <v>1169</v>
      </c>
      <c r="C280" s="6" t="s">
        <v>1170</v>
      </c>
      <c r="D280" s="6" t="s">
        <v>48</v>
      </c>
      <c r="E280" s="6" t="s">
        <v>161</v>
      </c>
      <c r="F280" s="6" t="s">
        <v>100</v>
      </c>
      <c r="G280" s="6"/>
      <c r="H280" s="6" t="s">
        <v>588</v>
      </c>
      <c r="I280" s="6" t="s">
        <v>298</v>
      </c>
      <c r="J280" s="13" t="n">
        <f aca="false">4*K280+4*(L280-N280)+9*M280+2*N280</f>
        <v>88</v>
      </c>
      <c r="K280" s="14" t="n">
        <v>3</v>
      </c>
      <c r="L280" s="14" t="n">
        <v>7</v>
      </c>
      <c r="M280" s="14" t="n">
        <v>6</v>
      </c>
      <c r="N280" s="14" t="n">
        <v>3</v>
      </c>
      <c r="O280" s="14" t="n">
        <v>1.5</v>
      </c>
      <c r="P280" s="15" t="n">
        <v>350</v>
      </c>
      <c r="Q280" s="16" t="n">
        <v>100</v>
      </c>
      <c r="R280" s="16" t="n">
        <v>150</v>
      </c>
      <c r="S280" s="16" t="n">
        <v>200</v>
      </c>
      <c r="T280" s="16" t="n">
        <v>250</v>
      </c>
      <c r="U280" s="16" t="n">
        <v>500</v>
      </c>
      <c r="V280" s="13" t="n">
        <f aca="false">IF(Q280="","",J280*Q280/100)</f>
        <v>88</v>
      </c>
      <c r="W280" s="13" t="n">
        <f aca="false">IF(R280="","",J280*R280/100)</f>
        <v>132</v>
      </c>
      <c r="X280" s="13" t="n">
        <f aca="false">IF(S280="","",J280*S280/100)</f>
        <v>176</v>
      </c>
      <c r="Y280" s="13" t="n">
        <f aca="false">IF(T280="","",J280*T280/100)</f>
        <v>220</v>
      </c>
      <c r="Z280" s="13" t="n">
        <f aca="false">IF(U280="","",J280*U280/100)</f>
        <v>440</v>
      </c>
      <c r="AA280" s="6" t="s">
        <v>125</v>
      </c>
      <c r="AB280" s="6" t="s">
        <v>147</v>
      </c>
      <c r="AC280" s="6" t="s">
        <v>1171</v>
      </c>
      <c r="AD280" s="13" t="n">
        <f aca="false">IF(AC280="","",IFERROR(INDEX('INDB Full Nutrients'!$D:$D,MATCH(AC280,'INDB Full Nutrients'!$A:$A,0)),""))</f>
        <v>87.8422698974609</v>
      </c>
      <c r="AE280" s="6" t="s">
        <v>1172</v>
      </c>
      <c r="AF280" s="6" t="s">
        <v>1173</v>
      </c>
    </row>
    <row r="281" customFormat="false" ht="15" hidden="false" customHeight="false" outlineLevel="0" collapsed="false">
      <c r="A281" s="6" t="s">
        <v>1174</v>
      </c>
      <c r="B281" s="6" t="s">
        <v>1175</v>
      </c>
      <c r="C281" s="6" t="s">
        <v>1176</v>
      </c>
      <c r="D281" s="6" t="s">
        <v>48</v>
      </c>
      <c r="E281" s="6" t="s">
        <v>161</v>
      </c>
      <c r="F281" s="6" t="s">
        <v>100</v>
      </c>
      <c r="G281" s="6" t="s">
        <v>124</v>
      </c>
      <c r="H281" s="6" t="s">
        <v>588</v>
      </c>
      <c r="I281" s="6" t="s">
        <v>298</v>
      </c>
      <c r="J281" s="13" t="n">
        <f aca="false">4*K281+4*(L281-N281)+9*M281+2*N281</f>
        <v>82.7</v>
      </c>
      <c r="K281" s="14" t="n">
        <v>1.8</v>
      </c>
      <c r="L281" s="14" t="n">
        <v>8</v>
      </c>
      <c r="M281" s="14" t="n">
        <v>5.5</v>
      </c>
      <c r="N281" s="14" t="n">
        <v>3</v>
      </c>
      <c r="O281" s="14" t="n">
        <v>3.5</v>
      </c>
      <c r="P281" s="15" t="n">
        <v>330</v>
      </c>
      <c r="Q281" s="16" t="n">
        <v>100</v>
      </c>
      <c r="R281" s="16" t="n">
        <v>150</v>
      </c>
      <c r="S281" s="16" t="n">
        <v>200</v>
      </c>
      <c r="T281" s="16" t="n">
        <v>250</v>
      </c>
      <c r="U281" s="16" t="n">
        <v>500</v>
      </c>
      <c r="V281" s="13" t="n">
        <f aca="false">IF(Q281="","",J281*Q281/100)</f>
        <v>82.7</v>
      </c>
      <c r="W281" s="13" t="n">
        <f aca="false">IF(R281="","",J281*R281/100)</f>
        <v>124.05</v>
      </c>
      <c r="X281" s="13" t="n">
        <f aca="false">IF(S281="","",J281*S281/100)</f>
        <v>165.4</v>
      </c>
      <c r="Y281" s="13" t="n">
        <f aca="false">IF(T281="","",J281*T281/100)</f>
        <v>206.75</v>
      </c>
      <c r="Z281" s="13" t="n">
        <f aca="false">IF(U281="","",J281*U281/100)</f>
        <v>413.5</v>
      </c>
      <c r="AA281" s="6" t="s">
        <v>103</v>
      </c>
      <c r="AB281" s="6" t="s">
        <v>104</v>
      </c>
      <c r="AC281" s="6" t="s">
        <v>1177</v>
      </c>
      <c r="AD281" s="13" t="n">
        <f aca="false">IF(AC281="","",IFERROR(INDEX('INDB Full Nutrients'!$D:$D,MATCH(AC281,'INDB Full Nutrients'!$A:$A,0)),""))</f>
        <v>65.1157302856445</v>
      </c>
      <c r="AE281" s="6" t="s">
        <v>1178</v>
      </c>
      <c r="AF281" s="6"/>
    </row>
    <row r="282" customFormat="false" ht="15" hidden="false" customHeight="false" outlineLevel="0" collapsed="false">
      <c r="A282" s="6" t="s">
        <v>1179</v>
      </c>
      <c r="B282" s="6" t="s">
        <v>1180</v>
      </c>
      <c r="C282" s="6" t="s">
        <v>1181</v>
      </c>
      <c r="D282" s="6" t="s">
        <v>48</v>
      </c>
      <c r="E282" s="6" t="s">
        <v>161</v>
      </c>
      <c r="F282" s="6" t="s">
        <v>100</v>
      </c>
      <c r="G282" s="6" t="s">
        <v>124</v>
      </c>
      <c r="H282" s="6" t="s">
        <v>588</v>
      </c>
      <c r="I282" s="6" t="s">
        <v>298</v>
      </c>
      <c r="J282" s="13" t="n">
        <f aca="false">4*K282+4*(L282-N282)+9*M282+2*N282</f>
        <v>117</v>
      </c>
      <c r="K282" s="14" t="n">
        <v>2</v>
      </c>
      <c r="L282" s="14" t="n">
        <v>13</v>
      </c>
      <c r="M282" s="14" t="n">
        <v>7</v>
      </c>
      <c r="N282" s="14" t="n">
        <v>3</v>
      </c>
      <c r="O282" s="14" t="n">
        <v>3</v>
      </c>
      <c r="P282" s="15" t="n">
        <v>380</v>
      </c>
      <c r="Q282" s="16" t="n">
        <v>100</v>
      </c>
      <c r="R282" s="16" t="n">
        <v>150</v>
      </c>
      <c r="S282" s="16" t="n">
        <v>200</v>
      </c>
      <c r="T282" s="16" t="n">
        <v>250</v>
      </c>
      <c r="U282" s="16" t="n">
        <v>500</v>
      </c>
      <c r="V282" s="13" t="n">
        <f aca="false">IF(Q282="","",J282*Q282/100)</f>
        <v>117</v>
      </c>
      <c r="W282" s="13" t="n">
        <f aca="false">IF(R282="","",J282*R282/100)</f>
        <v>175.5</v>
      </c>
      <c r="X282" s="13" t="n">
        <f aca="false">IF(S282="","",J282*S282/100)</f>
        <v>234</v>
      </c>
      <c r="Y282" s="13" t="n">
        <f aca="false">IF(T282="","",J282*T282/100)</f>
        <v>292.5</v>
      </c>
      <c r="Z282" s="13" t="n">
        <f aca="false">IF(U282="","",J282*U282/100)</f>
        <v>585</v>
      </c>
      <c r="AA282" s="6" t="s">
        <v>103</v>
      </c>
      <c r="AB282" s="6" t="s">
        <v>104</v>
      </c>
      <c r="AC282" s="6"/>
      <c r="AD282" s="13" t="str">
        <f aca="false">IF(AC282="","",IFERROR(INDEX('INDB Full Nutrients'!$D:$D,MATCH(AC282,'INDB Full Nutrients'!$A:$A,0)),""))</f>
        <v/>
      </c>
      <c r="AE282" s="6"/>
      <c r="AF282" s="6"/>
    </row>
    <row r="283" customFormat="false" ht="15" hidden="false" customHeight="false" outlineLevel="0" collapsed="false">
      <c r="A283" s="6" t="s">
        <v>1182</v>
      </c>
      <c r="B283" s="6" t="s">
        <v>1183</v>
      </c>
      <c r="C283" s="6"/>
      <c r="D283" s="6" t="s">
        <v>48</v>
      </c>
      <c r="E283" s="6" t="s">
        <v>114</v>
      </c>
      <c r="F283" s="6" t="s">
        <v>100</v>
      </c>
      <c r="G283" s="6" t="s">
        <v>124</v>
      </c>
      <c r="H283" s="6" t="s">
        <v>588</v>
      </c>
      <c r="I283" s="6" t="s">
        <v>298</v>
      </c>
      <c r="J283" s="13" t="n">
        <f aca="false">4*K283+4*(L283-N283)+9*M283+2*N283</f>
        <v>170</v>
      </c>
      <c r="K283" s="14" t="n">
        <v>4</v>
      </c>
      <c r="L283" s="14" t="n">
        <v>16</v>
      </c>
      <c r="M283" s="14" t="n">
        <v>11</v>
      </c>
      <c r="N283" s="14" t="n">
        <v>4.5</v>
      </c>
      <c r="O283" s="14" t="n">
        <v>3</v>
      </c>
      <c r="P283" s="15" t="n">
        <v>380</v>
      </c>
      <c r="Q283" s="16" t="n">
        <v>100</v>
      </c>
      <c r="R283" s="16" t="n">
        <v>150</v>
      </c>
      <c r="S283" s="16" t="n">
        <v>200</v>
      </c>
      <c r="T283" s="16" t="n">
        <v>250</v>
      </c>
      <c r="U283" s="16" t="n">
        <v>500</v>
      </c>
      <c r="V283" s="13" t="n">
        <f aca="false">IF(Q283="","",J283*Q283/100)</f>
        <v>170</v>
      </c>
      <c r="W283" s="13" t="n">
        <f aca="false">IF(R283="","",J283*R283/100)</f>
        <v>255</v>
      </c>
      <c r="X283" s="13" t="n">
        <f aca="false">IF(S283="","",J283*S283/100)</f>
        <v>340</v>
      </c>
      <c r="Y283" s="13" t="n">
        <f aca="false">IF(T283="","",J283*T283/100)</f>
        <v>425</v>
      </c>
      <c r="Z283" s="13" t="n">
        <f aca="false">IF(U283="","",J283*U283/100)</f>
        <v>850</v>
      </c>
      <c r="AA283" s="6" t="s">
        <v>103</v>
      </c>
      <c r="AB283" s="6" t="s">
        <v>104</v>
      </c>
      <c r="AC283" s="6"/>
      <c r="AD283" s="13" t="str">
        <f aca="false">IF(AC283="","",IFERROR(INDEX('INDB Full Nutrients'!$D:$D,MATCH(AC283,'INDB Full Nutrients'!$A:$A,0)),""))</f>
        <v/>
      </c>
      <c r="AE283" s="6"/>
      <c r="AF283" s="6"/>
    </row>
    <row r="284" customFormat="false" ht="15" hidden="false" customHeight="false" outlineLevel="0" collapsed="false">
      <c r="A284" s="6" t="s">
        <v>1184</v>
      </c>
      <c r="B284" s="6" t="s">
        <v>1185</v>
      </c>
      <c r="C284" s="6" t="s">
        <v>1186</v>
      </c>
      <c r="D284" s="6" t="s">
        <v>48</v>
      </c>
      <c r="E284" s="6" t="s">
        <v>114</v>
      </c>
      <c r="F284" s="6" t="s">
        <v>100</v>
      </c>
      <c r="G284" s="6"/>
      <c r="H284" s="6" t="s">
        <v>588</v>
      </c>
      <c r="I284" s="6" t="s">
        <v>298</v>
      </c>
      <c r="J284" s="13" t="n">
        <f aca="false">4*K284+4*(L284-N284)+9*M284+2*N284</f>
        <v>160.6</v>
      </c>
      <c r="K284" s="14" t="n">
        <v>4.5</v>
      </c>
      <c r="L284" s="14" t="n">
        <v>12</v>
      </c>
      <c r="M284" s="14" t="n">
        <v>11</v>
      </c>
      <c r="N284" s="14" t="n">
        <v>2.2</v>
      </c>
      <c r="O284" s="14" t="n">
        <v>4</v>
      </c>
      <c r="P284" s="15" t="n">
        <v>450</v>
      </c>
      <c r="Q284" s="16" t="n">
        <v>100</v>
      </c>
      <c r="R284" s="16" t="n">
        <v>150</v>
      </c>
      <c r="S284" s="16" t="n">
        <v>200</v>
      </c>
      <c r="T284" s="16" t="n">
        <v>250</v>
      </c>
      <c r="U284" s="16" t="n">
        <v>500</v>
      </c>
      <c r="V284" s="13" t="n">
        <f aca="false">IF(Q284="","",J284*Q284/100)</f>
        <v>160.6</v>
      </c>
      <c r="W284" s="13" t="n">
        <f aca="false">IF(R284="","",J284*R284/100)</f>
        <v>240.9</v>
      </c>
      <c r="X284" s="13" t="n">
        <f aca="false">IF(S284="","",J284*S284/100)</f>
        <v>321.2</v>
      </c>
      <c r="Y284" s="13" t="n">
        <f aca="false">IF(T284="","",J284*T284/100)</f>
        <v>401.5</v>
      </c>
      <c r="Z284" s="13" t="n">
        <f aca="false">IF(U284="","",J284*U284/100)</f>
        <v>803</v>
      </c>
      <c r="AA284" s="6" t="s">
        <v>103</v>
      </c>
      <c r="AB284" s="6" t="s">
        <v>104</v>
      </c>
      <c r="AC284" s="6"/>
      <c r="AD284" s="13" t="str">
        <f aca="false">IF(AC284="","",IFERROR(INDEX('INDB Full Nutrients'!$D:$D,MATCH(AC284,'INDB Full Nutrients'!$A:$A,0)),""))</f>
        <v/>
      </c>
      <c r="AE284" s="6"/>
      <c r="AF284" s="6"/>
    </row>
    <row r="285" customFormat="false" ht="15" hidden="false" customHeight="false" outlineLevel="0" collapsed="false">
      <c r="A285" s="6" t="s">
        <v>1187</v>
      </c>
      <c r="B285" s="6" t="s">
        <v>1188</v>
      </c>
      <c r="C285" s="6" t="s">
        <v>1189</v>
      </c>
      <c r="D285" s="6" t="s">
        <v>48</v>
      </c>
      <c r="E285" s="6" t="s">
        <v>114</v>
      </c>
      <c r="F285" s="6" t="s">
        <v>100</v>
      </c>
      <c r="G285" s="6"/>
      <c r="H285" s="6" t="s">
        <v>588</v>
      </c>
      <c r="I285" s="6" t="s">
        <v>298</v>
      </c>
      <c r="J285" s="13" t="n">
        <f aca="false">4*K285+4*(L285-N285)+9*M285+2*N285</f>
        <v>123.5</v>
      </c>
      <c r="K285" s="14" t="n">
        <v>2.5</v>
      </c>
      <c r="L285" s="14" t="n">
        <v>13</v>
      </c>
      <c r="M285" s="14" t="n">
        <v>7.5</v>
      </c>
      <c r="N285" s="14" t="n">
        <v>3</v>
      </c>
      <c r="O285" s="14" t="n">
        <v>3.5</v>
      </c>
      <c r="P285" s="15" t="n">
        <v>450</v>
      </c>
      <c r="Q285" s="16" t="n">
        <v>100</v>
      </c>
      <c r="R285" s="16" t="n">
        <v>150</v>
      </c>
      <c r="S285" s="16" t="n">
        <v>200</v>
      </c>
      <c r="T285" s="16" t="n">
        <v>250</v>
      </c>
      <c r="U285" s="16" t="n">
        <v>500</v>
      </c>
      <c r="V285" s="13" t="n">
        <f aca="false">IF(Q285="","",J285*Q285/100)</f>
        <v>123.5</v>
      </c>
      <c r="W285" s="13" t="n">
        <f aca="false">IF(R285="","",J285*R285/100)</f>
        <v>185.25</v>
      </c>
      <c r="X285" s="13" t="n">
        <f aca="false">IF(S285="","",J285*S285/100)</f>
        <v>247</v>
      </c>
      <c r="Y285" s="13" t="n">
        <f aca="false">IF(T285="","",J285*T285/100)</f>
        <v>308.75</v>
      </c>
      <c r="Z285" s="13" t="n">
        <f aca="false">IF(U285="","",J285*U285/100)</f>
        <v>617.5</v>
      </c>
      <c r="AA285" s="6" t="s">
        <v>103</v>
      </c>
      <c r="AB285" s="6" t="s">
        <v>104</v>
      </c>
      <c r="AC285" s="6" t="s">
        <v>1190</v>
      </c>
      <c r="AD285" s="13" t="n">
        <f aca="false">IF(AC285="","",IFERROR(INDEX('INDB Full Nutrients'!$D:$D,MATCH(AC285,'INDB Full Nutrients'!$A:$A,0)),""))</f>
        <v>96.5254592895508</v>
      </c>
      <c r="AE285" s="6" t="s">
        <v>1191</v>
      </c>
      <c r="AF285" s="6" t="s">
        <v>1192</v>
      </c>
    </row>
    <row r="286" customFormat="false" ht="15" hidden="false" customHeight="false" outlineLevel="0" collapsed="false">
      <c r="A286" s="6" t="s">
        <v>1193</v>
      </c>
      <c r="B286" s="6" t="s">
        <v>1194</v>
      </c>
      <c r="C286" s="6"/>
      <c r="D286" s="6" t="s">
        <v>48</v>
      </c>
      <c r="E286" s="6" t="s">
        <v>119</v>
      </c>
      <c r="F286" s="6" t="s">
        <v>100</v>
      </c>
      <c r="G286" s="6" t="s">
        <v>124</v>
      </c>
      <c r="H286" s="6" t="s">
        <v>588</v>
      </c>
      <c r="I286" s="6" t="s">
        <v>298</v>
      </c>
      <c r="J286" s="13" t="n">
        <f aca="false">4*K286+4*(L286-N286)+9*M286+2*N286</f>
        <v>161</v>
      </c>
      <c r="K286" s="14" t="n">
        <v>3.5</v>
      </c>
      <c r="L286" s="14" t="n">
        <v>9</v>
      </c>
      <c r="M286" s="14" t="n">
        <v>13</v>
      </c>
      <c r="N286" s="14" t="n">
        <v>3</v>
      </c>
      <c r="O286" s="14" t="n">
        <v>3</v>
      </c>
      <c r="P286" s="15" t="n">
        <v>400</v>
      </c>
      <c r="Q286" s="16" t="n">
        <v>100</v>
      </c>
      <c r="R286" s="16" t="n">
        <v>150</v>
      </c>
      <c r="S286" s="16" t="n">
        <v>200</v>
      </c>
      <c r="T286" s="16" t="n">
        <v>250</v>
      </c>
      <c r="U286" s="16" t="n">
        <v>500</v>
      </c>
      <c r="V286" s="13" t="n">
        <f aca="false">IF(Q286="","",J286*Q286/100)</f>
        <v>161</v>
      </c>
      <c r="W286" s="13" t="n">
        <f aca="false">IF(R286="","",J286*R286/100)</f>
        <v>241.5</v>
      </c>
      <c r="X286" s="13" t="n">
        <f aca="false">IF(S286="","",J286*S286/100)</f>
        <v>322</v>
      </c>
      <c r="Y286" s="13" t="n">
        <f aca="false">IF(T286="","",J286*T286/100)</f>
        <v>402.5</v>
      </c>
      <c r="Z286" s="13" t="n">
        <f aca="false">IF(U286="","",J286*U286/100)</f>
        <v>805</v>
      </c>
      <c r="AA286" s="6" t="s">
        <v>103</v>
      </c>
      <c r="AB286" s="6" t="s">
        <v>104</v>
      </c>
      <c r="AC286" s="6"/>
      <c r="AD286" s="13" t="str">
        <f aca="false">IF(AC286="","",IFERROR(INDEX('INDB Full Nutrients'!$D:$D,MATCH(AC286,'INDB Full Nutrients'!$A:$A,0)),""))</f>
        <v/>
      </c>
      <c r="AE286" s="6"/>
      <c r="AF286" s="6" t="s">
        <v>1195</v>
      </c>
    </row>
    <row r="287" customFormat="false" ht="15" hidden="false" customHeight="false" outlineLevel="0" collapsed="false">
      <c r="A287" s="6" t="s">
        <v>1196</v>
      </c>
      <c r="B287" s="6" t="s">
        <v>1197</v>
      </c>
      <c r="C287" s="6"/>
      <c r="D287" s="6" t="s">
        <v>48</v>
      </c>
      <c r="E287" s="6" t="s">
        <v>119</v>
      </c>
      <c r="F287" s="6" t="s">
        <v>100</v>
      </c>
      <c r="G287" s="6" t="s">
        <v>124</v>
      </c>
      <c r="H287" s="6" t="s">
        <v>588</v>
      </c>
      <c r="I287" s="6" t="s">
        <v>298</v>
      </c>
      <c r="J287" s="13" t="n">
        <f aca="false">4*K287+4*(L287-N287)+9*M287+2*N287</f>
        <v>169</v>
      </c>
      <c r="K287" s="14" t="n">
        <v>3.5</v>
      </c>
      <c r="L287" s="14" t="n">
        <v>9</v>
      </c>
      <c r="M287" s="14" t="n">
        <v>14</v>
      </c>
      <c r="N287" s="14" t="n">
        <v>3.5</v>
      </c>
      <c r="O287" s="14" t="n">
        <v>3</v>
      </c>
      <c r="P287" s="15" t="n">
        <v>400</v>
      </c>
      <c r="Q287" s="16" t="n">
        <v>100</v>
      </c>
      <c r="R287" s="16" t="n">
        <v>150</v>
      </c>
      <c r="S287" s="16" t="n">
        <v>200</v>
      </c>
      <c r="T287" s="16" t="n">
        <v>250</v>
      </c>
      <c r="U287" s="16" t="n">
        <v>500</v>
      </c>
      <c r="V287" s="13" t="n">
        <f aca="false">IF(Q287="","",J287*Q287/100)</f>
        <v>169</v>
      </c>
      <c r="W287" s="13" t="n">
        <f aca="false">IF(R287="","",J287*R287/100)</f>
        <v>253.5</v>
      </c>
      <c r="X287" s="13" t="n">
        <f aca="false">IF(S287="","",J287*S287/100)</f>
        <v>338</v>
      </c>
      <c r="Y287" s="13" t="n">
        <f aca="false">IF(T287="","",J287*T287/100)</f>
        <v>422.5</v>
      </c>
      <c r="Z287" s="13" t="n">
        <f aca="false">IF(U287="","",J287*U287/100)</f>
        <v>845</v>
      </c>
      <c r="AA287" s="6" t="s">
        <v>103</v>
      </c>
      <c r="AB287" s="6" t="s">
        <v>104</v>
      </c>
      <c r="AC287" s="6"/>
      <c r="AD287" s="13" t="str">
        <f aca="false">IF(AC287="","",IFERROR(INDEX('INDB Full Nutrients'!$D:$D,MATCH(AC287,'INDB Full Nutrients'!$A:$A,0)),""))</f>
        <v/>
      </c>
      <c r="AE287" s="6"/>
      <c r="AF287" s="6" t="s">
        <v>1195</v>
      </c>
    </row>
    <row r="288" customFormat="false" ht="15" hidden="false" customHeight="false" outlineLevel="0" collapsed="false">
      <c r="A288" s="6" t="s">
        <v>1198</v>
      </c>
      <c r="B288" s="6" t="s">
        <v>1199</v>
      </c>
      <c r="C288" s="6" t="s">
        <v>1200</v>
      </c>
      <c r="D288" s="6" t="s">
        <v>48</v>
      </c>
      <c r="E288" s="6" t="s">
        <v>119</v>
      </c>
      <c r="F288" s="6" t="s">
        <v>100</v>
      </c>
      <c r="G288" s="6" t="s">
        <v>124</v>
      </c>
      <c r="H288" s="6" t="s">
        <v>588</v>
      </c>
      <c r="I288" s="6" t="s">
        <v>298</v>
      </c>
      <c r="J288" s="13" t="n">
        <f aca="false">4*K288+4*(L288-N288)+9*M288+2*N288</f>
        <v>140</v>
      </c>
      <c r="K288" s="14" t="n">
        <v>3</v>
      </c>
      <c r="L288" s="14" t="n">
        <v>9</v>
      </c>
      <c r="M288" s="14" t="n">
        <v>11</v>
      </c>
      <c r="N288" s="14" t="n">
        <v>3.5</v>
      </c>
      <c r="O288" s="14" t="n">
        <v>3</v>
      </c>
      <c r="P288" s="15" t="n">
        <v>380</v>
      </c>
      <c r="Q288" s="16" t="n">
        <v>100</v>
      </c>
      <c r="R288" s="16" t="n">
        <v>150</v>
      </c>
      <c r="S288" s="16" t="n">
        <v>200</v>
      </c>
      <c r="T288" s="16" t="n">
        <v>250</v>
      </c>
      <c r="U288" s="16" t="n">
        <v>500</v>
      </c>
      <c r="V288" s="13" t="n">
        <f aca="false">IF(Q288="","",J288*Q288/100)</f>
        <v>140</v>
      </c>
      <c r="W288" s="13" t="n">
        <f aca="false">IF(R288="","",J288*R288/100)</f>
        <v>210</v>
      </c>
      <c r="X288" s="13" t="n">
        <f aca="false">IF(S288="","",J288*S288/100)</f>
        <v>280</v>
      </c>
      <c r="Y288" s="13" t="n">
        <f aca="false">IF(T288="","",J288*T288/100)</f>
        <v>350</v>
      </c>
      <c r="Z288" s="13" t="n">
        <f aca="false">IF(U288="","",J288*U288/100)</f>
        <v>700</v>
      </c>
      <c r="AA288" s="6" t="s">
        <v>103</v>
      </c>
      <c r="AB288" s="6" t="s">
        <v>104</v>
      </c>
      <c r="AC288" s="6"/>
      <c r="AD288" s="13" t="str">
        <f aca="false">IF(AC288="","",IFERROR(INDEX('INDB Full Nutrients'!$D:$D,MATCH(AC288,'INDB Full Nutrients'!$A:$A,0)),""))</f>
        <v/>
      </c>
      <c r="AE288" s="6"/>
      <c r="AF288" s="6"/>
    </row>
    <row r="289" customFormat="false" ht="15" hidden="false" customHeight="false" outlineLevel="0" collapsed="false">
      <c r="A289" s="6" t="s">
        <v>1201</v>
      </c>
      <c r="B289" s="6" t="s">
        <v>1202</v>
      </c>
      <c r="C289" s="6" t="s">
        <v>1203</v>
      </c>
      <c r="D289" s="6" t="s">
        <v>48</v>
      </c>
      <c r="E289" s="6" t="s">
        <v>119</v>
      </c>
      <c r="F289" s="6" t="s">
        <v>100</v>
      </c>
      <c r="G289" s="6"/>
      <c r="H289" s="6" t="s">
        <v>588</v>
      </c>
      <c r="I289" s="6" t="s">
        <v>298</v>
      </c>
      <c r="J289" s="13" t="n">
        <f aca="false">4*K289+4*(L289-N289)+9*M289+2*N289</f>
        <v>112.9</v>
      </c>
      <c r="K289" s="14" t="n">
        <v>2.5</v>
      </c>
      <c r="L289" s="14" t="n">
        <v>8</v>
      </c>
      <c r="M289" s="14" t="n">
        <v>8.5</v>
      </c>
      <c r="N289" s="14" t="n">
        <v>2.8</v>
      </c>
      <c r="O289" s="14" t="n">
        <v>2.5</v>
      </c>
      <c r="P289" s="15" t="n">
        <v>250</v>
      </c>
      <c r="Q289" s="16" t="n">
        <v>100</v>
      </c>
      <c r="R289" s="16" t="n">
        <v>150</v>
      </c>
      <c r="S289" s="16" t="n">
        <v>200</v>
      </c>
      <c r="T289" s="16" t="n">
        <v>250</v>
      </c>
      <c r="U289" s="16" t="n">
        <v>500</v>
      </c>
      <c r="V289" s="13" t="n">
        <f aca="false">IF(Q289="","",J289*Q289/100)</f>
        <v>112.9</v>
      </c>
      <c r="W289" s="13" t="n">
        <f aca="false">IF(R289="","",J289*R289/100)</f>
        <v>169.35</v>
      </c>
      <c r="X289" s="13" t="n">
        <f aca="false">IF(S289="","",J289*S289/100)</f>
        <v>225.8</v>
      </c>
      <c r="Y289" s="13" t="n">
        <f aca="false">IF(T289="","",J289*T289/100)</f>
        <v>282.25</v>
      </c>
      <c r="Z289" s="13" t="n">
        <f aca="false">IF(U289="","",J289*U289/100)</f>
        <v>564.5</v>
      </c>
      <c r="AA289" s="6" t="s">
        <v>125</v>
      </c>
      <c r="AB289" s="6" t="s">
        <v>147</v>
      </c>
      <c r="AC289" s="6" t="s">
        <v>1204</v>
      </c>
      <c r="AD289" s="13" t="n">
        <f aca="false">IF(AC289="","",IFERROR(INDEX('INDB Full Nutrients'!$D:$D,MATCH(AC289,'INDB Full Nutrients'!$A:$A,0)),""))</f>
        <v>124.559188842773</v>
      </c>
      <c r="AE289" s="6" t="s">
        <v>1205</v>
      </c>
      <c r="AF289" s="6" t="s">
        <v>1206</v>
      </c>
    </row>
    <row r="290" customFormat="false" ht="15" hidden="false" customHeight="false" outlineLevel="0" collapsed="false">
      <c r="A290" s="6" t="s">
        <v>1207</v>
      </c>
      <c r="B290" s="6" t="s">
        <v>1208</v>
      </c>
      <c r="C290" s="6" t="s">
        <v>1209</v>
      </c>
      <c r="D290" s="6" t="s">
        <v>48</v>
      </c>
      <c r="E290" s="6" t="s">
        <v>119</v>
      </c>
      <c r="F290" s="6" t="s">
        <v>100</v>
      </c>
      <c r="G290" s="6" t="s">
        <v>124</v>
      </c>
      <c r="H290" s="6" t="s">
        <v>588</v>
      </c>
      <c r="I290" s="6" t="s">
        <v>298</v>
      </c>
      <c r="J290" s="13" t="n">
        <f aca="false">4*K290+4*(L290-N290)+9*M290+2*N290</f>
        <v>98.6</v>
      </c>
      <c r="K290" s="14" t="n">
        <v>1.8</v>
      </c>
      <c r="L290" s="14" t="n">
        <v>8</v>
      </c>
      <c r="M290" s="14" t="n">
        <v>7</v>
      </c>
      <c r="N290" s="14" t="n">
        <v>1.8</v>
      </c>
      <c r="O290" s="14" t="n">
        <v>2.5</v>
      </c>
      <c r="P290" s="15" t="n">
        <v>250</v>
      </c>
      <c r="Q290" s="16" t="n">
        <v>100</v>
      </c>
      <c r="R290" s="16" t="n">
        <v>150</v>
      </c>
      <c r="S290" s="16" t="n">
        <v>200</v>
      </c>
      <c r="T290" s="16" t="n">
        <v>250</v>
      </c>
      <c r="U290" s="16" t="n">
        <v>500</v>
      </c>
      <c r="V290" s="13" t="n">
        <f aca="false">IF(Q290="","",J290*Q290/100)</f>
        <v>98.6</v>
      </c>
      <c r="W290" s="13" t="n">
        <f aca="false">IF(R290="","",J290*R290/100)</f>
        <v>147.9</v>
      </c>
      <c r="X290" s="13" t="n">
        <f aca="false">IF(S290="","",J290*S290/100)</f>
        <v>197.2</v>
      </c>
      <c r="Y290" s="13" t="n">
        <f aca="false">IF(T290="","",J290*T290/100)</f>
        <v>246.5</v>
      </c>
      <c r="Z290" s="13" t="n">
        <f aca="false">IF(U290="","",J290*U290/100)</f>
        <v>493</v>
      </c>
      <c r="AA290" s="6" t="s">
        <v>103</v>
      </c>
      <c r="AB290" s="6" t="s">
        <v>104</v>
      </c>
      <c r="AC290" s="6"/>
      <c r="AD290" s="13" t="str">
        <f aca="false">IF(AC290="","",IFERROR(INDEX('INDB Full Nutrients'!$D:$D,MATCH(AC290,'INDB Full Nutrients'!$A:$A,0)),""))</f>
        <v/>
      </c>
      <c r="AE290" s="6"/>
      <c r="AF290" s="6" t="s">
        <v>1210</v>
      </c>
    </row>
    <row r="291" customFormat="false" ht="15" hidden="false" customHeight="false" outlineLevel="0" collapsed="false">
      <c r="A291" s="6" t="s">
        <v>1211</v>
      </c>
      <c r="B291" s="6" t="s">
        <v>1212</v>
      </c>
      <c r="C291" s="6"/>
      <c r="D291" s="6" t="s">
        <v>48</v>
      </c>
      <c r="E291" s="6" t="s">
        <v>119</v>
      </c>
      <c r="F291" s="6" t="s">
        <v>100</v>
      </c>
      <c r="G291" s="6" t="s">
        <v>124</v>
      </c>
      <c r="H291" s="6" t="s">
        <v>588</v>
      </c>
      <c r="I291" s="6" t="s">
        <v>298</v>
      </c>
      <c r="J291" s="13" t="n">
        <f aca="false">4*K291+4*(L291-N291)+9*M291+2*N291</f>
        <v>70</v>
      </c>
      <c r="K291" s="14" t="n">
        <v>1.5</v>
      </c>
      <c r="L291" s="14" t="n">
        <v>5.5</v>
      </c>
      <c r="M291" s="14" t="n">
        <v>5</v>
      </c>
      <c r="N291" s="14" t="n">
        <v>1.5</v>
      </c>
      <c r="O291" s="14" t="n">
        <v>2</v>
      </c>
      <c r="P291" s="15" t="n">
        <v>250</v>
      </c>
      <c r="Q291" s="16" t="n">
        <v>100</v>
      </c>
      <c r="R291" s="16" t="n">
        <v>150</v>
      </c>
      <c r="S291" s="16" t="n">
        <v>200</v>
      </c>
      <c r="T291" s="16" t="n">
        <v>250</v>
      </c>
      <c r="U291" s="16" t="n">
        <v>500</v>
      </c>
      <c r="V291" s="13" t="n">
        <f aca="false">IF(Q291="","",J291*Q291/100)</f>
        <v>70</v>
      </c>
      <c r="W291" s="13" t="n">
        <f aca="false">IF(R291="","",J291*R291/100)</f>
        <v>105</v>
      </c>
      <c r="X291" s="13" t="n">
        <f aca="false">IF(S291="","",J291*S291/100)</f>
        <v>140</v>
      </c>
      <c r="Y291" s="13" t="n">
        <f aca="false">IF(T291="","",J291*T291/100)</f>
        <v>175</v>
      </c>
      <c r="Z291" s="13" t="n">
        <f aca="false">IF(U291="","",J291*U291/100)</f>
        <v>350</v>
      </c>
      <c r="AA291" s="6" t="s">
        <v>103</v>
      </c>
      <c r="AB291" s="6" t="s">
        <v>104</v>
      </c>
      <c r="AC291" s="6"/>
      <c r="AD291" s="13" t="str">
        <f aca="false">IF(AC291="","",IFERROR(INDEX('INDB Full Nutrients'!$D:$D,MATCH(AC291,'INDB Full Nutrients'!$A:$A,0)),""))</f>
        <v/>
      </c>
      <c r="AE291" s="6"/>
      <c r="AF291" s="6"/>
    </row>
    <row r="292" customFormat="false" ht="15" hidden="false" customHeight="false" outlineLevel="0" collapsed="false">
      <c r="A292" s="6" t="s">
        <v>1213</v>
      </c>
      <c r="B292" s="6" t="s">
        <v>1214</v>
      </c>
      <c r="C292" s="6" t="s">
        <v>1215</v>
      </c>
      <c r="D292" s="6" t="s">
        <v>48</v>
      </c>
      <c r="E292" s="6" t="s">
        <v>119</v>
      </c>
      <c r="F292" s="6" t="s">
        <v>100</v>
      </c>
      <c r="G292" s="6" t="s">
        <v>124</v>
      </c>
      <c r="H292" s="6" t="s">
        <v>588</v>
      </c>
      <c r="I292" s="6" t="s">
        <v>298</v>
      </c>
      <c r="J292" s="13" t="n">
        <f aca="false">4*K292+4*(L292-N292)+9*M292+2*N292</f>
        <v>88.5</v>
      </c>
      <c r="K292" s="14" t="n">
        <v>3.5</v>
      </c>
      <c r="L292" s="14" t="n">
        <v>10</v>
      </c>
      <c r="M292" s="14" t="n">
        <v>4.5</v>
      </c>
      <c r="N292" s="14" t="n">
        <v>3</v>
      </c>
      <c r="O292" s="14" t="n">
        <v>2</v>
      </c>
      <c r="P292" s="15" t="n">
        <v>280</v>
      </c>
      <c r="Q292" s="16" t="n">
        <v>100</v>
      </c>
      <c r="R292" s="16" t="n">
        <v>150</v>
      </c>
      <c r="S292" s="16" t="n">
        <v>200</v>
      </c>
      <c r="T292" s="16" t="n">
        <v>250</v>
      </c>
      <c r="U292" s="16" t="n">
        <v>500</v>
      </c>
      <c r="V292" s="13" t="n">
        <f aca="false">IF(Q292="","",J292*Q292/100)</f>
        <v>88.5</v>
      </c>
      <c r="W292" s="13" t="n">
        <f aca="false">IF(R292="","",J292*R292/100)</f>
        <v>132.75</v>
      </c>
      <c r="X292" s="13" t="n">
        <f aca="false">IF(S292="","",J292*S292/100)</f>
        <v>177</v>
      </c>
      <c r="Y292" s="13" t="n">
        <f aca="false">IF(T292="","",J292*T292/100)</f>
        <v>221.25</v>
      </c>
      <c r="Z292" s="13" t="n">
        <f aca="false">IF(U292="","",J292*U292/100)</f>
        <v>442.5</v>
      </c>
      <c r="AA292" s="6" t="s">
        <v>103</v>
      </c>
      <c r="AB292" s="6" t="s">
        <v>104</v>
      </c>
      <c r="AC292" s="6"/>
      <c r="AD292" s="13" t="str">
        <f aca="false">IF(AC292="","",IFERROR(INDEX('INDB Full Nutrients'!$D:$D,MATCH(AC292,'INDB Full Nutrients'!$A:$A,0)),""))</f>
        <v/>
      </c>
      <c r="AE292" s="6"/>
      <c r="AF292" s="6" t="s">
        <v>1216</v>
      </c>
    </row>
    <row r="293" customFormat="false" ht="15" hidden="false" customHeight="false" outlineLevel="0" collapsed="false">
      <c r="A293" s="6" t="s">
        <v>1217</v>
      </c>
      <c r="B293" s="6" t="s">
        <v>1218</v>
      </c>
      <c r="C293" s="6"/>
      <c r="D293" s="6" t="s">
        <v>48</v>
      </c>
      <c r="E293" s="6" t="s">
        <v>205</v>
      </c>
      <c r="F293" s="6" t="s">
        <v>100</v>
      </c>
      <c r="G293" s="6"/>
      <c r="H293" s="6" t="s">
        <v>588</v>
      </c>
      <c r="I293" s="6" t="s">
        <v>298</v>
      </c>
      <c r="J293" s="13" t="n">
        <f aca="false">4*K293+4*(L293-N293)+9*M293+2*N293</f>
        <v>85</v>
      </c>
      <c r="K293" s="14" t="n">
        <v>2.5</v>
      </c>
      <c r="L293" s="14" t="n">
        <v>9</v>
      </c>
      <c r="M293" s="14" t="n">
        <v>5</v>
      </c>
      <c r="N293" s="14" t="n">
        <v>3</v>
      </c>
      <c r="O293" s="14" t="n">
        <v>3</v>
      </c>
      <c r="P293" s="15" t="n">
        <v>300</v>
      </c>
      <c r="Q293" s="16" t="n">
        <v>100</v>
      </c>
      <c r="R293" s="16" t="n">
        <v>150</v>
      </c>
      <c r="S293" s="16" t="n">
        <v>200</v>
      </c>
      <c r="T293" s="16" t="n">
        <v>250</v>
      </c>
      <c r="U293" s="16" t="n">
        <v>500</v>
      </c>
      <c r="V293" s="13" t="n">
        <f aca="false">IF(Q293="","",J293*Q293/100)</f>
        <v>85</v>
      </c>
      <c r="W293" s="13" t="n">
        <f aca="false">IF(R293="","",J293*R293/100)</f>
        <v>127.5</v>
      </c>
      <c r="X293" s="13" t="n">
        <f aca="false">IF(S293="","",J293*S293/100)</f>
        <v>170</v>
      </c>
      <c r="Y293" s="13" t="n">
        <f aca="false">IF(T293="","",J293*T293/100)</f>
        <v>212.5</v>
      </c>
      <c r="Z293" s="13" t="n">
        <f aca="false">IF(U293="","",J293*U293/100)</f>
        <v>425</v>
      </c>
      <c r="AA293" s="6" t="s">
        <v>103</v>
      </c>
      <c r="AB293" s="6" t="s">
        <v>104</v>
      </c>
      <c r="AC293" s="6"/>
      <c r="AD293" s="13" t="str">
        <f aca="false">IF(AC293="","",IFERROR(INDEX('INDB Full Nutrients'!$D:$D,MATCH(AC293,'INDB Full Nutrients'!$A:$A,0)),""))</f>
        <v/>
      </c>
      <c r="AE293" s="6"/>
      <c r="AF293" s="6"/>
    </row>
    <row r="294" customFormat="false" ht="15" hidden="false" customHeight="false" outlineLevel="0" collapsed="false">
      <c r="A294" s="6" t="s">
        <v>1219</v>
      </c>
      <c r="B294" s="6" t="s">
        <v>1220</v>
      </c>
      <c r="C294" s="6" t="s">
        <v>1221</v>
      </c>
      <c r="D294" s="6" t="s">
        <v>48</v>
      </c>
      <c r="E294" s="6" t="s">
        <v>161</v>
      </c>
      <c r="F294" s="6" t="s">
        <v>100</v>
      </c>
      <c r="G294" s="6"/>
      <c r="H294" s="6" t="s">
        <v>588</v>
      </c>
      <c r="I294" s="6" t="s">
        <v>298</v>
      </c>
      <c r="J294" s="13" t="n">
        <f aca="false">4*K294+4*(L294-N294)+9*M294+2*N294</f>
        <v>82.4</v>
      </c>
      <c r="K294" s="14" t="n">
        <v>2.2</v>
      </c>
      <c r="L294" s="14" t="n">
        <v>10</v>
      </c>
      <c r="M294" s="14" t="n">
        <v>4</v>
      </c>
      <c r="N294" s="14" t="n">
        <v>1.2</v>
      </c>
      <c r="O294" s="14" t="n">
        <v>2</v>
      </c>
      <c r="P294" s="15" t="n">
        <v>330</v>
      </c>
      <c r="Q294" s="16" t="n">
        <v>100</v>
      </c>
      <c r="R294" s="16" t="n">
        <v>150</v>
      </c>
      <c r="S294" s="16" t="n">
        <v>200</v>
      </c>
      <c r="T294" s="16" t="n">
        <v>250</v>
      </c>
      <c r="U294" s="16" t="n">
        <v>500</v>
      </c>
      <c r="V294" s="13" t="n">
        <f aca="false">IF(Q294="","",J294*Q294/100)</f>
        <v>82.4</v>
      </c>
      <c r="W294" s="13" t="n">
        <f aca="false">IF(R294="","",J294*R294/100)</f>
        <v>123.6</v>
      </c>
      <c r="X294" s="13" t="n">
        <f aca="false">IF(S294="","",J294*S294/100)</f>
        <v>164.8</v>
      </c>
      <c r="Y294" s="13" t="n">
        <f aca="false">IF(T294="","",J294*T294/100)</f>
        <v>206</v>
      </c>
      <c r="Z294" s="13" t="n">
        <f aca="false">IF(U294="","",J294*U294/100)</f>
        <v>412</v>
      </c>
      <c r="AA294" s="6" t="s">
        <v>103</v>
      </c>
      <c r="AB294" s="6" t="s">
        <v>104</v>
      </c>
      <c r="AC294" s="6" t="s">
        <v>1222</v>
      </c>
      <c r="AD294" s="13" t="n">
        <f aca="false">IF(AC294="","",IFERROR(INDEX('INDB Full Nutrients'!$D:$D,MATCH(AC294,'INDB Full Nutrients'!$A:$A,0)),""))</f>
        <v>59.9042167663574</v>
      </c>
      <c r="AE294" s="6" t="s">
        <v>1223</v>
      </c>
      <c r="AF294" s="6"/>
    </row>
    <row r="295" customFormat="false" ht="15" hidden="false" customHeight="false" outlineLevel="0" collapsed="false">
      <c r="A295" s="6" t="s">
        <v>1224</v>
      </c>
      <c r="B295" s="6" t="s">
        <v>1225</v>
      </c>
      <c r="C295" s="6" t="s">
        <v>1226</v>
      </c>
      <c r="D295" s="6" t="s">
        <v>49</v>
      </c>
      <c r="E295" s="6" t="s">
        <v>161</v>
      </c>
      <c r="F295" s="6" t="s">
        <v>100</v>
      </c>
      <c r="G295" s="6" t="s">
        <v>124</v>
      </c>
      <c r="H295" s="6" t="s">
        <v>588</v>
      </c>
      <c r="I295" s="6" t="s">
        <v>298</v>
      </c>
      <c r="J295" s="13" t="n">
        <f aca="false">4*K295+4*(L295-N295)+9*M295+2*N295</f>
        <v>103</v>
      </c>
      <c r="K295" s="14" t="n">
        <v>2.5</v>
      </c>
      <c r="L295" s="14" t="n">
        <v>11</v>
      </c>
      <c r="M295" s="14" t="n">
        <v>6</v>
      </c>
      <c r="N295" s="14" t="n">
        <v>2.5</v>
      </c>
      <c r="O295" s="14" t="n">
        <v>2</v>
      </c>
      <c r="P295" s="15" t="n">
        <v>330</v>
      </c>
      <c r="Q295" s="16" t="n">
        <v>75</v>
      </c>
      <c r="R295" s="16" t="n">
        <v>100</v>
      </c>
      <c r="S295" s="16" t="n">
        <v>150</v>
      </c>
      <c r="T295" s="16" t="n">
        <v>200</v>
      </c>
      <c r="U295" s="16" t="n">
        <v>400</v>
      </c>
      <c r="V295" s="13" t="n">
        <f aca="false">IF(Q295="","",J295*Q295/100)</f>
        <v>77.25</v>
      </c>
      <c r="W295" s="13" t="n">
        <f aca="false">IF(R295="","",J295*R295/100)</f>
        <v>103</v>
      </c>
      <c r="X295" s="13" t="n">
        <f aca="false">IF(S295="","",J295*S295/100)</f>
        <v>154.5</v>
      </c>
      <c r="Y295" s="13" t="n">
        <f aca="false">IF(T295="","",J295*T295/100)</f>
        <v>206</v>
      </c>
      <c r="Z295" s="13" t="n">
        <f aca="false">IF(U295="","",J295*U295/100)</f>
        <v>412</v>
      </c>
      <c r="AA295" s="6" t="s">
        <v>125</v>
      </c>
      <c r="AB295" s="6" t="s">
        <v>147</v>
      </c>
      <c r="AC295" s="6" t="s">
        <v>1227</v>
      </c>
      <c r="AD295" s="13" t="n">
        <f aca="false">IF(AC295="","",IFERROR(INDEX('INDB Full Nutrients'!$D:$D,MATCH(AC295,'INDB Full Nutrients'!$A:$A,0)),""))</f>
        <v>106.177482604981</v>
      </c>
      <c r="AE295" s="6" t="s">
        <v>1228</v>
      </c>
      <c r="AF295" s="6"/>
    </row>
    <row r="296" customFormat="false" ht="15" hidden="false" customHeight="false" outlineLevel="0" collapsed="false">
      <c r="A296" s="6" t="s">
        <v>1229</v>
      </c>
      <c r="B296" s="6" t="s">
        <v>1230</v>
      </c>
      <c r="C296" s="6" t="s">
        <v>1231</v>
      </c>
      <c r="D296" s="6" t="s">
        <v>49</v>
      </c>
      <c r="E296" s="6" t="s">
        <v>161</v>
      </c>
      <c r="F296" s="6" t="s">
        <v>100</v>
      </c>
      <c r="G296" s="6" t="s">
        <v>124</v>
      </c>
      <c r="H296" s="6" t="s">
        <v>588</v>
      </c>
      <c r="I296" s="6" t="s">
        <v>298</v>
      </c>
      <c r="J296" s="13" t="n">
        <f aca="false">4*K296+4*(L296-N296)+9*M296+2*N296</f>
        <v>126</v>
      </c>
      <c r="K296" s="14" t="n">
        <v>2</v>
      </c>
      <c r="L296" s="14" t="n">
        <v>17</v>
      </c>
      <c r="M296" s="14" t="n">
        <v>6</v>
      </c>
      <c r="N296" s="14" t="n">
        <v>2</v>
      </c>
      <c r="O296" s="14" t="n">
        <v>0.8</v>
      </c>
      <c r="P296" s="15" t="n">
        <v>330</v>
      </c>
      <c r="Q296" s="16" t="n">
        <v>75</v>
      </c>
      <c r="R296" s="16" t="n">
        <v>100</v>
      </c>
      <c r="S296" s="16" t="n">
        <v>150</v>
      </c>
      <c r="T296" s="16" t="n">
        <v>200</v>
      </c>
      <c r="U296" s="16" t="n">
        <v>400</v>
      </c>
      <c r="V296" s="13" t="n">
        <f aca="false">IF(Q296="","",J296*Q296/100)</f>
        <v>94.5</v>
      </c>
      <c r="W296" s="13" t="n">
        <f aca="false">IF(R296="","",J296*R296/100)</f>
        <v>126</v>
      </c>
      <c r="X296" s="13" t="n">
        <f aca="false">IF(S296="","",J296*S296/100)</f>
        <v>189</v>
      </c>
      <c r="Y296" s="13" t="n">
        <f aca="false">IF(T296="","",J296*T296/100)</f>
        <v>252</v>
      </c>
      <c r="Z296" s="13" t="n">
        <f aca="false">IF(U296="","",J296*U296/100)</f>
        <v>504</v>
      </c>
      <c r="AA296" s="6" t="s">
        <v>103</v>
      </c>
      <c r="AB296" s="6" t="s">
        <v>104</v>
      </c>
      <c r="AC296" s="6" t="s">
        <v>1232</v>
      </c>
      <c r="AD296" s="13" t="n">
        <f aca="false">IF(AC296="","",IFERROR(INDEX('INDB Full Nutrients'!$D:$D,MATCH(AC296,'INDB Full Nutrients'!$A:$A,0)),""))</f>
        <v>103.145538330078</v>
      </c>
      <c r="AE296" s="6" t="s">
        <v>1233</v>
      </c>
      <c r="AF296" s="6"/>
    </row>
    <row r="297" customFormat="false" ht="15" hidden="false" customHeight="false" outlineLevel="0" collapsed="false">
      <c r="A297" s="6" t="s">
        <v>1234</v>
      </c>
      <c r="B297" s="6" t="s">
        <v>1235</v>
      </c>
      <c r="C297" s="6"/>
      <c r="D297" s="6" t="s">
        <v>49</v>
      </c>
      <c r="E297" s="6" t="s">
        <v>161</v>
      </c>
      <c r="F297" s="6" t="s">
        <v>100</v>
      </c>
      <c r="G297" s="6" t="s">
        <v>124</v>
      </c>
      <c r="H297" s="6" t="s">
        <v>588</v>
      </c>
      <c r="I297" s="6" t="s">
        <v>298</v>
      </c>
      <c r="J297" s="13" t="n">
        <f aca="false">4*K297+4*(L297-N297)+9*M297+2*N297</f>
        <v>122.9</v>
      </c>
      <c r="K297" s="14" t="n">
        <v>2.5</v>
      </c>
      <c r="L297" s="14" t="n">
        <v>15</v>
      </c>
      <c r="M297" s="14" t="n">
        <v>6.5</v>
      </c>
      <c r="N297" s="14" t="n">
        <v>2.8</v>
      </c>
      <c r="O297" s="14" t="n">
        <v>1</v>
      </c>
      <c r="P297" s="15" t="n">
        <v>330</v>
      </c>
      <c r="Q297" s="16" t="n">
        <v>75</v>
      </c>
      <c r="R297" s="16" t="n">
        <v>100</v>
      </c>
      <c r="S297" s="16" t="n">
        <v>150</v>
      </c>
      <c r="T297" s="16" t="n">
        <v>200</v>
      </c>
      <c r="U297" s="16" t="n">
        <v>400</v>
      </c>
      <c r="V297" s="13" t="n">
        <f aca="false">IF(Q297="","",J297*Q297/100)</f>
        <v>92.175</v>
      </c>
      <c r="W297" s="13" t="n">
        <f aca="false">IF(R297="","",J297*R297/100)</f>
        <v>122.9</v>
      </c>
      <c r="X297" s="13" t="n">
        <f aca="false">IF(S297="","",J297*S297/100)</f>
        <v>184.35</v>
      </c>
      <c r="Y297" s="13" t="n">
        <f aca="false">IF(T297="","",J297*T297/100)</f>
        <v>245.8</v>
      </c>
      <c r="Z297" s="13" t="n">
        <f aca="false">IF(U297="","",J297*U297/100)</f>
        <v>491.6</v>
      </c>
      <c r="AA297" s="6" t="s">
        <v>125</v>
      </c>
      <c r="AB297" s="6" t="s">
        <v>147</v>
      </c>
      <c r="AC297" s="6" t="s">
        <v>1236</v>
      </c>
      <c r="AD297" s="13" t="n">
        <f aca="false">IF(AC297="","",IFERROR(INDEX('INDB Full Nutrients'!$D:$D,MATCH(AC297,'INDB Full Nutrients'!$A:$A,0)),""))</f>
        <v>135.147399902344</v>
      </c>
      <c r="AE297" s="6" t="s">
        <v>1237</v>
      </c>
      <c r="AF297" s="6"/>
    </row>
    <row r="298" customFormat="false" ht="15" hidden="false" customHeight="false" outlineLevel="0" collapsed="false">
      <c r="A298" s="6" t="s">
        <v>1238</v>
      </c>
      <c r="B298" s="6" t="s">
        <v>1239</v>
      </c>
      <c r="C298" s="6" t="s">
        <v>1240</v>
      </c>
      <c r="D298" s="6" t="s">
        <v>49</v>
      </c>
      <c r="E298" s="6" t="s">
        <v>161</v>
      </c>
      <c r="F298" s="6" t="s">
        <v>100</v>
      </c>
      <c r="G298" s="6" t="s">
        <v>124</v>
      </c>
      <c r="H298" s="6" t="s">
        <v>588</v>
      </c>
      <c r="I298" s="6" t="s">
        <v>298</v>
      </c>
      <c r="J298" s="13" t="n">
        <f aca="false">4*K298+4*(L298-N298)+9*M298+2*N298</f>
        <v>106.4</v>
      </c>
      <c r="K298" s="14" t="n">
        <v>2.2</v>
      </c>
      <c r="L298" s="14" t="n">
        <v>8</v>
      </c>
      <c r="M298" s="14" t="n">
        <v>8</v>
      </c>
      <c r="N298" s="14" t="n">
        <v>3.2</v>
      </c>
      <c r="O298" s="14" t="n">
        <v>2</v>
      </c>
      <c r="P298" s="15" t="n">
        <v>300</v>
      </c>
      <c r="Q298" s="16" t="n">
        <v>75</v>
      </c>
      <c r="R298" s="16" t="n">
        <v>100</v>
      </c>
      <c r="S298" s="16" t="n">
        <v>150</v>
      </c>
      <c r="T298" s="16" t="n">
        <v>200</v>
      </c>
      <c r="U298" s="16" t="n">
        <v>400</v>
      </c>
      <c r="V298" s="13" t="n">
        <f aca="false">IF(Q298="","",J298*Q298/100)</f>
        <v>79.8</v>
      </c>
      <c r="W298" s="13" t="n">
        <f aca="false">IF(R298="","",J298*R298/100)</f>
        <v>106.4</v>
      </c>
      <c r="X298" s="13" t="n">
        <f aca="false">IF(S298="","",J298*S298/100)</f>
        <v>159.6</v>
      </c>
      <c r="Y298" s="13" t="n">
        <f aca="false">IF(T298="","",J298*T298/100)</f>
        <v>212.8</v>
      </c>
      <c r="Z298" s="13" t="n">
        <f aca="false">IF(U298="","",J298*U298/100)</f>
        <v>425.6</v>
      </c>
      <c r="AA298" s="6" t="s">
        <v>125</v>
      </c>
      <c r="AB298" s="6" t="s">
        <v>147</v>
      </c>
      <c r="AC298" s="6" t="s">
        <v>1241</v>
      </c>
      <c r="AD298" s="13" t="n">
        <f aca="false">IF(AC298="","",IFERROR(INDEX('INDB Full Nutrients'!$D:$D,MATCH(AC298,'INDB Full Nutrients'!$A:$A,0)),""))</f>
        <v>110.808479309082</v>
      </c>
      <c r="AE298" s="6" t="s">
        <v>1242</v>
      </c>
      <c r="AF298" s="6"/>
    </row>
    <row r="299" customFormat="false" ht="15" hidden="false" customHeight="false" outlineLevel="0" collapsed="false">
      <c r="A299" s="6" t="s">
        <v>1243</v>
      </c>
      <c r="B299" s="6" t="s">
        <v>1244</v>
      </c>
      <c r="C299" s="6" t="s">
        <v>1245</v>
      </c>
      <c r="D299" s="6" t="s">
        <v>49</v>
      </c>
      <c r="E299" s="6" t="s">
        <v>161</v>
      </c>
      <c r="F299" s="6" t="s">
        <v>100</v>
      </c>
      <c r="G299" s="6" t="s">
        <v>124</v>
      </c>
      <c r="H299" s="6" t="s">
        <v>603</v>
      </c>
      <c r="I299" s="6" t="s">
        <v>298</v>
      </c>
      <c r="J299" s="13" t="n">
        <f aca="false">4*K299+4*(L299-N299)+9*M299+2*N299</f>
        <v>259</v>
      </c>
      <c r="K299" s="14" t="n">
        <v>4</v>
      </c>
      <c r="L299" s="14" t="n">
        <v>18</v>
      </c>
      <c r="M299" s="14" t="n">
        <v>20</v>
      </c>
      <c r="N299" s="14" t="n">
        <v>4.5</v>
      </c>
      <c r="O299" s="14" t="n">
        <v>2.5</v>
      </c>
      <c r="P299" s="15" t="n">
        <v>400</v>
      </c>
      <c r="Q299" s="16" t="n">
        <v>75</v>
      </c>
      <c r="R299" s="16" t="n">
        <v>100</v>
      </c>
      <c r="S299" s="16" t="n">
        <v>150</v>
      </c>
      <c r="T299" s="16" t="n">
        <v>200</v>
      </c>
      <c r="U299" s="16" t="n">
        <v>400</v>
      </c>
      <c r="V299" s="13" t="n">
        <f aca="false">IF(Q299="","",J299*Q299/100)</f>
        <v>194.25</v>
      </c>
      <c r="W299" s="13" t="n">
        <f aca="false">IF(R299="","",J299*R299/100)</f>
        <v>259</v>
      </c>
      <c r="X299" s="13" t="n">
        <f aca="false">IF(S299="","",J299*S299/100)</f>
        <v>388.5</v>
      </c>
      <c r="Y299" s="13" t="n">
        <f aca="false">IF(T299="","",J299*T299/100)</f>
        <v>518</v>
      </c>
      <c r="Z299" s="13" t="n">
        <f aca="false">IF(U299="","",J299*U299/100)</f>
        <v>1036</v>
      </c>
      <c r="AA299" s="6" t="s">
        <v>103</v>
      </c>
      <c r="AB299" s="6" t="s">
        <v>104</v>
      </c>
      <c r="AC299" s="6" t="s">
        <v>1246</v>
      </c>
      <c r="AD299" s="13" t="n">
        <f aca="false">IF(AC299="","",IFERROR(INDEX('INDB Full Nutrients'!$D:$D,MATCH(AC299,'INDB Full Nutrients'!$A:$A,0)),""))</f>
        <v>657.760070800781</v>
      </c>
      <c r="AE299" s="6" t="s">
        <v>740</v>
      </c>
      <c r="AF299" s="6" t="s">
        <v>1247</v>
      </c>
    </row>
    <row r="300" customFormat="false" ht="15" hidden="false" customHeight="false" outlineLevel="0" collapsed="false">
      <c r="A300" s="6" t="s">
        <v>1248</v>
      </c>
      <c r="B300" s="6" t="s">
        <v>1249</v>
      </c>
      <c r="C300" s="6" t="s">
        <v>1250</v>
      </c>
      <c r="D300" s="6" t="s">
        <v>49</v>
      </c>
      <c r="E300" s="6" t="s">
        <v>99</v>
      </c>
      <c r="F300" s="6" t="s">
        <v>100</v>
      </c>
      <c r="G300" s="6" t="s">
        <v>124</v>
      </c>
      <c r="H300" s="6" t="s">
        <v>588</v>
      </c>
      <c r="I300" s="6" t="s">
        <v>298</v>
      </c>
      <c r="J300" s="13" t="n">
        <f aca="false">4*K300+4*(L300-N300)+9*M300+2*N300</f>
        <v>66.3</v>
      </c>
      <c r="K300" s="14" t="n">
        <v>2.2</v>
      </c>
      <c r="L300" s="14" t="n">
        <v>8</v>
      </c>
      <c r="M300" s="14" t="n">
        <v>3.5</v>
      </c>
      <c r="N300" s="14" t="n">
        <v>3</v>
      </c>
      <c r="O300" s="14" t="n">
        <v>3.5</v>
      </c>
      <c r="P300" s="15" t="n">
        <v>300</v>
      </c>
      <c r="Q300" s="16" t="n">
        <v>75</v>
      </c>
      <c r="R300" s="16" t="n">
        <v>100</v>
      </c>
      <c r="S300" s="16" t="n">
        <v>150</v>
      </c>
      <c r="T300" s="16" t="n">
        <v>200</v>
      </c>
      <c r="U300" s="16" t="n">
        <v>400</v>
      </c>
      <c r="V300" s="13" t="n">
        <f aca="false">IF(Q300="","",J300*Q300/100)</f>
        <v>49.725</v>
      </c>
      <c r="W300" s="13" t="n">
        <f aca="false">IF(R300="","",J300*R300/100)</f>
        <v>66.3</v>
      </c>
      <c r="X300" s="13" t="n">
        <f aca="false">IF(S300="","",J300*S300/100)</f>
        <v>99.45</v>
      </c>
      <c r="Y300" s="13" t="n">
        <f aca="false">IF(T300="","",J300*T300/100)</f>
        <v>132.6</v>
      </c>
      <c r="Z300" s="13" t="n">
        <f aca="false">IF(U300="","",J300*U300/100)</f>
        <v>265.2</v>
      </c>
      <c r="AA300" s="6" t="s">
        <v>125</v>
      </c>
      <c r="AB300" s="6" t="s">
        <v>147</v>
      </c>
      <c r="AC300" s="6" t="s">
        <v>1251</v>
      </c>
      <c r="AD300" s="13" t="n">
        <f aca="false">IF(AC300="","",IFERROR(INDEX('INDB Full Nutrients'!$D:$D,MATCH(AC300,'INDB Full Nutrients'!$A:$A,0)),""))</f>
        <v>63.882942199707</v>
      </c>
      <c r="AE300" s="6" t="s">
        <v>1252</v>
      </c>
      <c r="AF300" s="6"/>
    </row>
    <row r="301" customFormat="false" ht="15" hidden="false" customHeight="false" outlineLevel="0" collapsed="false">
      <c r="A301" s="6" t="s">
        <v>1253</v>
      </c>
      <c r="B301" s="6" t="s">
        <v>1254</v>
      </c>
      <c r="C301" s="6" t="s">
        <v>1255</v>
      </c>
      <c r="D301" s="6" t="s">
        <v>49</v>
      </c>
      <c r="E301" s="6" t="s">
        <v>161</v>
      </c>
      <c r="F301" s="6" t="s">
        <v>100</v>
      </c>
      <c r="G301" s="6" t="s">
        <v>124</v>
      </c>
      <c r="H301" s="6" t="s">
        <v>588</v>
      </c>
      <c r="I301" s="6" t="s">
        <v>298</v>
      </c>
      <c r="J301" s="13" t="n">
        <f aca="false">4*K301+4*(L301-N301)+9*M301+2*N301</f>
        <v>74.5</v>
      </c>
      <c r="K301" s="14" t="n">
        <v>2.5</v>
      </c>
      <c r="L301" s="14" t="n">
        <v>10</v>
      </c>
      <c r="M301" s="14" t="n">
        <v>3.5</v>
      </c>
      <c r="N301" s="14" t="n">
        <v>3.5</v>
      </c>
      <c r="O301" s="14" t="n">
        <v>4</v>
      </c>
      <c r="P301" s="15" t="n">
        <v>300</v>
      </c>
      <c r="Q301" s="16" t="n">
        <v>75</v>
      </c>
      <c r="R301" s="16" t="n">
        <v>100</v>
      </c>
      <c r="S301" s="16" t="n">
        <v>150</v>
      </c>
      <c r="T301" s="16" t="n">
        <v>200</v>
      </c>
      <c r="U301" s="16" t="n">
        <v>400</v>
      </c>
      <c r="V301" s="13" t="n">
        <f aca="false">IF(Q301="","",J301*Q301/100)</f>
        <v>55.875</v>
      </c>
      <c r="W301" s="13" t="n">
        <f aca="false">IF(R301="","",J301*R301/100)</f>
        <v>74.5</v>
      </c>
      <c r="X301" s="13" t="n">
        <f aca="false">IF(S301="","",J301*S301/100)</f>
        <v>111.75</v>
      </c>
      <c r="Y301" s="13" t="n">
        <f aca="false">IF(T301="","",J301*T301/100)</f>
        <v>149</v>
      </c>
      <c r="Z301" s="13" t="n">
        <f aca="false">IF(U301="","",J301*U301/100)</f>
        <v>298</v>
      </c>
      <c r="AA301" s="6" t="s">
        <v>103</v>
      </c>
      <c r="AB301" s="6" t="s">
        <v>104</v>
      </c>
      <c r="AC301" s="6"/>
      <c r="AD301" s="13" t="str">
        <f aca="false">IF(AC301="","",IFERROR(INDEX('INDB Full Nutrients'!$D:$D,MATCH(AC301,'INDB Full Nutrients'!$A:$A,0)),""))</f>
        <v/>
      </c>
      <c r="AE301" s="6"/>
      <c r="AF301" s="6"/>
    </row>
    <row r="302" customFormat="false" ht="15" hidden="false" customHeight="false" outlineLevel="0" collapsed="false">
      <c r="A302" s="6" t="s">
        <v>1256</v>
      </c>
      <c r="B302" s="6" t="s">
        <v>1257</v>
      </c>
      <c r="C302" s="6" t="s">
        <v>1258</v>
      </c>
      <c r="D302" s="6" t="s">
        <v>49</v>
      </c>
      <c r="E302" s="6" t="s">
        <v>161</v>
      </c>
      <c r="F302" s="6" t="s">
        <v>100</v>
      </c>
      <c r="G302" s="6" t="s">
        <v>124</v>
      </c>
      <c r="H302" s="6" t="s">
        <v>588</v>
      </c>
      <c r="I302" s="6" t="s">
        <v>298</v>
      </c>
      <c r="J302" s="13" t="n">
        <f aca="false">4*K302+4*(L302-N302)+9*M302+2*N302</f>
        <v>48.6</v>
      </c>
      <c r="K302" s="14" t="n">
        <v>1</v>
      </c>
      <c r="L302" s="14" t="n">
        <v>5</v>
      </c>
      <c r="M302" s="14" t="n">
        <v>3</v>
      </c>
      <c r="N302" s="14" t="n">
        <v>1.2</v>
      </c>
      <c r="O302" s="14" t="n">
        <v>2.5</v>
      </c>
      <c r="P302" s="15" t="n">
        <v>280</v>
      </c>
      <c r="Q302" s="16" t="n">
        <v>75</v>
      </c>
      <c r="R302" s="16" t="n">
        <v>100</v>
      </c>
      <c r="S302" s="16" t="n">
        <v>150</v>
      </c>
      <c r="T302" s="16" t="n">
        <v>200</v>
      </c>
      <c r="U302" s="16" t="n">
        <v>400</v>
      </c>
      <c r="V302" s="13" t="n">
        <f aca="false">IF(Q302="","",J302*Q302/100)</f>
        <v>36.45</v>
      </c>
      <c r="W302" s="13" t="n">
        <f aca="false">IF(R302="","",J302*R302/100)</f>
        <v>48.6</v>
      </c>
      <c r="X302" s="13" t="n">
        <f aca="false">IF(S302="","",J302*S302/100)</f>
        <v>72.9</v>
      </c>
      <c r="Y302" s="13" t="n">
        <f aca="false">IF(T302="","",J302*T302/100)</f>
        <v>97.2</v>
      </c>
      <c r="Z302" s="13" t="n">
        <f aca="false">IF(U302="","",J302*U302/100)</f>
        <v>194.4</v>
      </c>
      <c r="AA302" s="6" t="s">
        <v>103</v>
      </c>
      <c r="AB302" s="6" t="s">
        <v>104</v>
      </c>
      <c r="AC302" s="6"/>
      <c r="AD302" s="13" t="str">
        <f aca="false">IF(AC302="","",IFERROR(INDEX('INDB Full Nutrients'!$D:$D,MATCH(AC302,'INDB Full Nutrients'!$A:$A,0)),""))</f>
        <v/>
      </c>
      <c r="AE302" s="6"/>
      <c r="AF302" s="6"/>
    </row>
    <row r="303" customFormat="false" ht="15" hidden="false" customHeight="false" outlineLevel="0" collapsed="false">
      <c r="A303" s="6" t="s">
        <v>1259</v>
      </c>
      <c r="B303" s="6" t="s">
        <v>1260</v>
      </c>
      <c r="C303" s="6" t="s">
        <v>1261</v>
      </c>
      <c r="D303" s="6" t="s">
        <v>49</v>
      </c>
      <c r="E303" s="6" t="s">
        <v>161</v>
      </c>
      <c r="F303" s="6" t="s">
        <v>100</v>
      </c>
      <c r="G303" s="6" t="s">
        <v>124</v>
      </c>
      <c r="H303" s="6" t="s">
        <v>588</v>
      </c>
      <c r="I303" s="6" t="s">
        <v>298</v>
      </c>
      <c r="J303" s="13" t="n">
        <f aca="false">4*K303+4*(L303-N303)+9*M303+2*N303</f>
        <v>57.1</v>
      </c>
      <c r="K303" s="14" t="n">
        <v>1.3</v>
      </c>
      <c r="L303" s="14" t="n">
        <v>6</v>
      </c>
      <c r="M303" s="14" t="n">
        <v>3.5</v>
      </c>
      <c r="N303" s="14" t="n">
        <v>1.8</v>
      </c>
      <c r="O303" s="14" t="n">
        <v>2.5</v>
      </c>
      <c r="P303" s="15" t="n">
        <v>280</v>
      </c>
      <c r="Q303" s="16" t="n">
        <v>75</v>
      </c>
      <c r="R303" s="16" t="n">
        <v>100</v>
      </c>
      <c r="S303" s="16" t="n">
        <v>150</v>
      </c>
      <c r="T303" s="16" t="n">
        <v>200</v>
      </c>
      <c r="U303" s="16" t="n">
        <v>400</v>
      </c>
      <c r="V303" s="13" t="n">
        <f aca="false">IF(Q303="","",J303*Q303/100)</f>
        <v>42.825</v>
      </c>
      <c r="W303" s="13" t="n">
        <f aca="false">IF(R303="","",J303*R303/100)</f>
        <v>57.1</v>
      </c>
      <c r="X303" s="13" t="n">
        <f aca="false">IF(S303="","",J303*S303/100)</f>
        <v>85.65</v>
      </c>
      <c r="Y303" s="13" t="n">
        <f aca="false">IF(T303="","",J303*T303/100)</f>
        <v>114.2</v>
      </c>
      <c r="Z303" s="13" t="n">
        <f aca="false">IF(U303="","",J303*U303/100)</f>
        <v>228.4</v>
      </c>
      <c r="AA303" s="6" t="s">
        <v>103</v>
      </c>
      <c r="AB303" s="6" t="s">
        <v>104</v>
      </c>
      <c r="AC303" s="6" t="s">
        <v>1262</v>
      </c>
      <c r="AD303" s="13" t="n">
        <f aca="false">IF(AC303="","",IFERROR(INDEX('INDB Full Nutrients'!$D:$D,MATCH(AC303,'INDB Full Nutrients'!$A:$A,0)),""))</f>
        <v>72.7967758178711</v>
      </c>
      <c r="AE303" s="6" t="s">
        <v>1263</v>
      </c>
      <c r="AF303" s="6"/>
    </row>
    <row r="304" customFormat="false" ht="15" hidden="false" customHeight="false" outlineLevel="0" collapsed="false">
      <c r="A304" s="6" t="s">
        <v>1264</v>
      </c>
      <c r="B304" s="6" t="s">
        <v>1265</v>
      </c>
      <c r="C304" s="6" t="s">
        <v>1266</v>
      </c>
      <c r="D304" s="6" t="s">
        <v>49</v>
      </c>
      <c r="E304" s="6" t="s">
        <v>161</v>
      </c>
      <c r="F304" s="6" t="s">
        <v>100</v>
      </c>
      <c r="G304" s="6" t="s">
        <v>124</v>
      </c>
      <c r="H304" s="6" t="s">
        <v>588</v>
      </c>
      <c r="I304" s="6" t="s">
        <v>298</v>
      </c>
      <c r="J304" s="13" t="n">
        <f aca="false">4*K304+4*(L304-N304)+9*M304+2*N304</f>
        <v>128</v>
      </c>
      <c r="K304" s="14" t="n">
        <v>2.5</v>
      </c>
      <c r="L304" s="14" t="n">
        <v>11</v>
      </c>
      <c r="M304" s="14" t="n">
        <v>9</v>
      </c>
      <c r="N304" s="14" t="n">
        <v>3.5</v>
      </c>
      <c r="O304" s="14" t="n">
        <v>2.5</v>
      </c>
      <c r="P304" s="15" t="n">
        <v>330</v>
      </c>
      <c r="Q304" s="16" t="n">
        <v>75</v>
      </c>
      <c r="R304" s="16" t="n">
        <v>100</v>
      </c>
      <c r="S304" s="16" t="n">
        <v>150</v>
      </c>
      <c r="T304" s="16" t="n">
        <v>200</v>
      </c>
      <c r="U304" s="16" t="n">
        <v>400</v>
      </c>
      <c r="V304" s="13" t="n">
        <f aca="false">IF(Q304="","",J304*Q304/100)</f>
        <v>96</v>
      </c>
      <c r="W304" s="13" t="n">
        <f aca="false">IF(R304="","",J304*R304/100)</f>
        <v>128</v>
      </c>
      <c r="X304" s="13" t="n">
        <f aca="false">IF(S304="","",J304*S304/100)</f>
        <v>192</v>
      </c>
      <c r="Y304" s="13" t="n">
        <f aca="false">IF(T304="","",J304*T304/100)</f>
        <v>256</v>
      </c>
      <c r="Z304" s="13" t="n">
        <f aca="false">IF(U304="","",J304*U304/100)</f>
        <v>512</v>
      </c>
      <c r="AA304" s="6" t="s">
        <v>103</v>
      </c>
      <c r="AB304" s="6" t="s">
        <v>104</v>
      </c>
      <c r="AC304" s="6" t="s">
        <v>1267</v>
      </c>
      <c r="AD304" s="13" t="n">
        <f aca="false">IF(AC304="","",IFERROR(INDEX('INDB Full Nutrients'!$D:$D,MATCH(AC304,'INDB Full Nutrients'!$A:$A,0)),""))</f>
        <v>162.361541748047</v>
      </c>
      <c r="AE304" s="6" t="s">
        <v>1268</v>
      </c>
      <c r="AF304" s="6"/>
    </row>
    <row r="305" customFormat="false" ht="15" hidden="false" customHeight="false" outlineLevel="0" collapsed="false">
      <c r="A305" s="6" t="s">
        <v>1269</v>
      </c>
      <c r="B305" s="6" t="s">
        <v>1270</v>
      </c>
      <c r="C305" s="6" t="s">
        <v>1271</v>
      </c>
      <c r="D305" s="6" t="s">
        <v>49</v>
      </c>
      <c r="E305" s="6" t="s">
        <v>161</v>
      </c>
      <c r="F305" s="6" t="s">
        <v>100</v>
      </c>
      <c r="G305" s="6" t="s">
        <v>124</v>
      </c>
      <c r="H305" s="6" t="s">
        <v>588</v>
      </c>
      <c r="I305" s="6" t="s">
        <v>298</v>
      </c>
      <c r="J305" s="13" t="n">
        <f aca="false">4*K305+4*(L305-N305)+9*M305+2*N305</f>
        <v>137</v>
      </c>
      <c r="K305" s="14" t="n">
        <v>2</v>
      </c>
      <c r="L305" s="14" t="n">
        <v>18</v>
      </c>
      <c r="M305" s="14" t="n">
        <v>7</v>
      </c>
      <c r="N305" s="14" t="n">
        <v>3</v>
      </c>
      <c r="O305" s="14" t="n">
        <v>0.5</v>
      </c>
      <c r="P305" s="15" t="n">
        <v>330</v>
      </c>
      <c r="Q305" s="16" t="n">
        <v>75</v>
      </c>
      <c r="R305" s="16" t="n">
        <v>100</v>
      </c>
      <c r="S305" s="16" t="n">
        <v>150</v>
      </c>
      <c r="T305" s="16" t="n">
        <v>200</v>
      </c>
      <c r="U305" s="16" t="n">
        <v>400</v>
      </c>
      <c r="V305" s="13" t="n">
        <f aca="false">IF(Q305="","",J305*Q305/100)</f>
        <v>102.75</v>
      </c>
      <c r="W305" s="13" t="n">
        <f aca="false">IF(R305="","",J305*R305/100)</f>
        <v>137</v>
      </c>
      <c r="X305" s="13" t="n">
        <f aca="false">IF(S305="","",J305*S305/100)</f>
        <v>205.5</v>
      </c>
      <c r="Y305" s="13" t="n">
        <f aca="false">IF(T305="","",J305*T305/100)</f>
        <v>274</v>
      </c>
      <c r="Z305" s="13" t="n">
        <f aca="false">IF(U305="","",J305*U305/100)</f>
        <v>548</v>
      </c>
      <c r="AA305" s="6" t="s">
        <v>103</v>
      </c>
      <c r="AB305" s="6" t="s">
        <v>104</v>
      </c>
      <c r="AC305" s="6" t="s">
        <v>1272</v>
      </c>
      <c r="AD305" s="13" t="n">
        <f aca="false">IF(AC305="","",IFERROR(INDEX('INDB Full Nutrients'!$D:$D,MATCH(AC305,'INDB Full Nutrients'!$A:$A,0)),""))</f>
        <v>185.376937866211</v>
      </c>
      <c r="AE305" s="6" t="s">
        <v>1273</v>
      </c>
      <c r="AF305" s="6"/>
    </row>
    <row r="306" customFormat="false" ht="15" hidden="false" customHeight="false" outlineLevel="0" collapsed="false">
      <c r="A306" s="6" t="s">
        <v>1274</v>
      </c>
      <c r="B306" s="6" t="s">
        <v>1275</v>
      </c>
      <c r="C306" s="6" t="s">
        <v>1276</v>
      </c>
      <c r="D306" s="6" t="s">
        <v>49</v>
      </c>
      <c r="E306" s="6" t="s">
        <v>161</v>
      </c>
      <c r="F306" s="6" t="s">
        <v>100</v>
      </c>
      <c r="G306" s="6" t="s">
        <v>124</v>
      </c>
      <c r="H306" s="6" t="s">
        <v>588</v>
      </c>
      <c r="I306" s="6" t="s">
        <v>298</v>
      </c>
      <c r="J306" s="13" t="n">
        <f aca="false">4*K306+4*(L306-N306)+9*M306+2*N306</f>
        <v>85.3</v>
      </c>
      <c r="K306" s="14" t="n">
        <v>2.3</v>
      </c>
      <c r="L306" s="14" t="n">
        <v>10</v>
      </c>
      <c r="M306" s="14" t="n">
        <v>4.5</v>
      </c>
      <c r="N306" s="14" t="n">
        <v>2.2</v>
      </c>
      <c r="O306" s="14" t="n">
        <v>1</v>
      </c>
      <c r="P306" s="15" t="n">
        <v>330</v>
      </c>
      <c r="Q306" s="16" t="n">
        <v>75</v>
      </c>
      <c r="R306" s="16" t="n">
        <v>100</v>
      </c>
      <c r="S306" s="16" t="n">
        <v>150</v>
      </c>
      <c r="T306" s="16" t="n">
        <v>200</v>
      </c>
      <c r="U306" s="16" t="n">
        <v>400</v>
      </c>
      <c r="V306" s="13" t="n">
        <f aca="false">IF(Q306="","",J306*Q306/100)</f>
        <v>63.975</v>
      </c>
      <c r="W306" s="13" t="n">
        <f aca="false">IF(R306="","",J306*R306/100)</f>
        <v>85.3</v>
      </c>
      <c r="X306" s="13" t="n">
        <f aca="false">IF(S306="","",J306*S306/100)</f>
        <v>127.95</v>
      </c>
      <c r="Y306" s="13" t="n">
        <f aca="false">IF(T306="","",J306*T306/100)</f>
        <v>170.6</v>
      </c>
      <c r="Z306" s="13" t="n">
        <f aca="false">IF(U306="","",J306*U306/100)</f>
        <v>341.2</v>
      </c>
      <c r="AA306" s="6" t="s">
        <v>103</v>
      </c>
      <c r="AB306" s="6" t="s">
        <v>104</v>
      </c>
      <c r="AC306" s="6" t="s">
        <v>1277</v>
      </c>
      <c r="AD306" s="13" t="n">
        <f aca="false">IF(AC306="","",IFERROR(INDEX('INDB Full Nutrients'!$D:$D,MATCH(AC306,'INDB Full Nutrients'!$A:$A,0)),""))</f>
        <v>57.170955657959</v>
      </c>
      <c r="AE306" s="6" t="s">
        <v>1278</v>
      </c>
      <c r="AF306" s="6"/>
    </row>
    <row r="307" customFormat="false" ht="15" hidden="false" customHeight="false" outlineLevel="0" collapsed="false">
      <c r="A307" s="6" t="s">
        <v>1279</v>
      </c>
      <c r="B307" s="6" t="s">
        <v>1280</v>
      </c>
      <c r="C307" s="6" t="s">
        <v>1281</v>
      </c>
      <c r="D307" s="6" t="s">
        <v>49</v>
      </c>
      <c r="E307" s="6" t="s">
        <v>99</v>
      </c>
      <c r="F307" s="6" t="s">
        <v>100</v>
      </c>
      <c r="G307" s="6" t="s">
        <v>124</v>
      </c>
      <c r="H307" s="6" t="s">
        <v>588</v>
      </c>
      <c r="I307" s="6" t="s">
        <v>298</v>
      </c>
      <c r="J307" s="13" t="n">
        <f aca="false">4*K307+4*(L307-N307)+9*M307+2*N307</f>
        <v>85</v>
      </c>
      <c r="K307" s="14" t="n">
        <v>2.5</v>
      </c>
      <c r="L307" s="14" t="n">
        <v>9</v>
      </c>
      <c r="M307" s="14" t="n">
        <v>5</v>
      </c>
      <c r="N307" s="14" t="n">
        <v>3</v>
      </c>
      <c r="O307" s="14" t="n">
        <v>3</v>
      </c>
      <c r="P307" s="15" t="n">
        <v>330</v>
      </c>
      <c r="Q307" s="16" t="n">
        <v>75</v>
      </c>
      <c r="R307" s="16" t="n">
        <v>100</v>
      </c>
      <c r="S307" s="16" t="n">
        <v>150</v>
      </c>
      <c r="T307" s="16" t="n">
        <v>200</v>
      </c>
      <c r="U307" s="16" t="n">
        <v>400</v>
      </c>
      <c r="V307" s="13" t="n">
        <f aca="false">IF(Q307="","",J307*Q307/100)</f>
        <v>63.75</v>
      </c>
      <c r="W307" s="13" t="n">
        <f aca="false">IF(R307="","",J307*R307/100)</f>
        <v>85</v>
      </c>
      <c r="X307" s="13" t="n">
        <f aca="false">IF(S307="","",J307*S307/100)</f>
        <v>127.5</v>
      </c>
      <c r="Y307" s="13" t="n">
        <f aca="false">IF(T307="","",J307*T307/100)</f>
        <v>170</v>
      </c>
      <c r="Z307" s="13" t="n">
        <f aca="false">IF(U307="","",J307*U307/100)</f>
        <v>340</v>
      </c>
      <c r="AA307" s="6" t="s">
        <v>103</v>
      </c>
      <c r="AB307" s="6" t="s">
        <v>104</v>
      </c>
      <c r="AC307" s="6"/>
      <c r="AD307" s="13" t="str">
        <f aca="false">IF(AC307="","",IFERROR(INDEX('INDB Full Nutrients'!$D:$D,MATCH(AC307,'INDB Full Nutrients'!$A:$A,0)),""))</f>
        <v/>
      </c>
      <c r="AE307" s="6"/>
      <c r="AF307" s="6"/>
    </row>
    <row r="308" customFormat="false" ht="15" hidden="false" customHeight="false" outlineLevel="0" collapsed="false">
      <c r="A308" s="6" t="s">
        <v>1282</v>
      </c>
      <c r="B308" s="6" t="s">
        <v>1283</v>
      </c>
      <c r="C308" s="6" t="s">
        <v>1284</v>
      </c>
      <c r="D308" s="6" t="s">
        <v>49</v>
      </c>
      <c r="E308" s="6" t="s">
        <v>119</v>
      </c>
      <c r="F308" s="6" t="s">
        <v>100</v>
      </c>
      <c r="G308" s="6" t="s">
        <v>124</v>
      </c>
      <c r="H308" s="6" t="s">
        <v>588</v>
      </c>
      <c r="I308" s="6" t="s">
        <v>298</v>
      </c>
      <c r="J308" s="13" t="n">
        <f aca="false">4*K308+4*(L308-N308)+9*M308+2*N308</f>
        <v>83.8</v>
      </c>
      <c r="K308" s="14" t="n">
        <v>2.2</v>
      </c>
      <c r="L308" s="14" t="n">
        <v>9</v>
      </c>
      <c r="M308" s="14" t="n">
        <v>5</v>
      </c>
      <c r="N308" s="14" t="n">
        <v>3</v>
      </c>
      <c r="O308" s="14" t="n">
        <v>3</v>
      </c>
      <c r="P308" s="15" t="n">
        <v>250</v>
      </c>
      <c r="Q308" s="16" t="n">
        <v>75</v>
      </c>
      <c r="R308" s="16" t="n">
        <v>100</v>
      </c>
      <c r="S308" s="16" t="n">
        <v>150</v>
      </c>
      <c r="T308" s="16" t="n">
        <v>200</v>
      </c>
      <c r="U308" s="16" t="n">
        <v>400</v>
      </c>
      <c r="V308" s="13" t="n">
        <f aca="false">IF(Q308="","",J308*Q308/100)</f>
        <v>62.85</v>
      </c>
      <c r="W308" s="13" t="n">
        <f aca="false">IF(R308="","",J308*R308/100)</f>
        <v>83.8</v>
      </c>
      <c r="X308" s="13" t="n">
        <f aca="false">IF(S308="","",J308*S308/100)</f>
        <v>125.7</v>
      </c>
      <c r="Y308" s="13" t="n">
        <f aca="false">IF(T308="","",J308*T308/100)</f>
        <v>167.6</v>
      </c>
      <c r="Z308" s="13" t="n">
        <f aca="false">IF(U308="","",J308*U308/100)</f>
        <v>335.2</v>
      </c>
      <c r="AA308" s="6" t="s">
        <v>103</v>
      </c>
      <c r="AB308" s="6" t="s">
        <v>104</v>
      </c>
      <c r="AC308" s="6"/>
      <c r="AD308" s="13" t="str">
        <f aca="false">IF(AC308="","",IFERROR(INDEX('INDB Full Nutrients'!$D:$D,MATCH(AC308,'INDB Full Nutrients'!$A:$A,0)),""))</f>
        <v/>
      </c>
      <c r="AE308" s="6"/>
      <c r="AF308" s="6" t="s">
        <v>1285</v>
      </c>
    </row>
    <row r="309" customFormat="false" ht="15" hidden="false" customHeight="false" outlineLevel="0" collapsed="false">
      <c r="A309" s="6" t="s">
        <v>1286</v>
      </c>
      <c r="B309" s="6" t="s">
        <v>1287</v>
      </c>
      <c r="C309" s="6" t="s">
        <v>1288</v>
      </c>
      <c r="D309" s="6" t="s">
        <v>49</v>
      </c>
      <c r="E309" s="6" t="s">
        <v>119</v>
      </c>
      <c r="F309" s="6" t="s">
        <v>100</v>
      </c>
      <c r="G309" s="6" t="s">
        <v>124</v>
      </c>
      <c r="H309" s="6" t="s">
        <v>588</v>
      </c>
      <c r="I309" s="6" t="s">
        <v>298</v>
      </c>
      <c r="J309" s="13" t="n">
        <f aca="false">4*K309+4*(L309-N309)+9*M309+2*N309</f>
        <v>105.9</v>
      </c>
      <c r="K309" s="14" t="n">
        <v>2.2</v>
      </c>
      <c r="L309" s="14" t="n">
        <v>9</v>
      </c>
      <c r="M309" s="14" t="n">
        <v>7.5</v>
      </c>
      <c r="N309" s="14" t="n">
        <v>3.2</v>
      </c>
      <c r="O309" s="14" t="n">
        <v>3</v>
      </c>
      <c r="P309" s="15" t="n">
        <v>250</v>
      </c>
      <c r="Q309" s="16" t="n">
        <v>75</v>
      </c>
      <c r="R309" s="16" t="n">
        <v>100</v>
      </c>
      <c r="S309" s="16" t="n">
        <v>150</v>
      </c>
      <c r="T309" s="16" t="n">
        <v>200</v>
      </c>
      <c r="U309" s="16" t="n">
        <v>400</v>
      </c>
      <c r="V309" s="13" t="n">
        <f aca="false">IF(Q309="","",J309*Q309/100)</f>
        <v>79.425</v>
      </c>
      <c r="W309" s="13" t="n">
        <f aca="false">IF(R309="","",J309*R309/100)</f>
        <v>105.9</v>
      </c>
      <c r="X309" s="13" t="n">
        <f aca="false">IF(S309="","",J309*S309/100)</f>
        <v>158.85</v>
      </c>
      <c r="Y309" s="13" t="n">
        <f aca="false">IF(T309="","",J309*T309/100)</f>
        <v>211.8</v>
      </c>
      <c r="Z309" s="13" t="n">
        <f aca="false">IF(U309="","",J309*U309/100)</f>
        <v>423.6</v>
      </c>
      <c r="AA309" s="6" t="s">
        <v>125</v>
      </c>
      <c r="AB309" s="6" t="s">
        <v>147</v>
      </c>
      <c r="AC309" s="6" t="s">
        <v>1289</v>
      </c>
      <c r="AD309" s="13" t="n">
        <f aca="false">IF(AC309="","",IFERROR(INDEX('INDB Full Nutrients'!$D:$D,MATCH(AC309,'INDB Full Nutrients'!$A:$A,0)),""))</f>
        <v>106.612731933594</v>
      </c>
      <c r="AE309" s="6" t="s">
        <v>1290</v>
      </c>
      <c r="AF309" s="6" t="s">
        <v>1291</v>
      </c>
    </row>
    <row r="310" customFormat="false" ht="15" hidden="false" customHeight="false" outlineLevel="0" collapsed="false">
      <c r="A310" s="6" t="s">
        <v>1292</v>
      </c>
      <c r="B310" s="6" t="s">
        <v>1293</v>
      </c>
      <c r="C310" s="6"/>
      <c r="D310" s="6" t="s">
        <v>49</v>
      </c>
      <c r="E310" s="6" t="s">
        <v>205</v>
      </c>
      <c r="F310" s="6" t="s">
        <v>100</v>
      </c>
      <c r="G310" s="6" t="s">
        <v>124</v>
      </c>
      <c r="H310" s="6" t="s">
        <v>588</v>
      </c>
      <c r="I310" s="6" t="s">
        <v>298</v>
      </c>
      <c r="J310" s="13" t="n">
        <f aca="false">4*K310+4*(L310-N310)+9*M310+2*N310</f>
        <v>159</v>
      </c>
      <c r="K310" s="14" t="n">
        <v>3.5</v>
      </c>
      <c r="L310" s="14" t="n">
        <v>15</v>
      </c>
      <c r="M310" s="14" t="n">
        <v>10</v>
      </c>
      <c r="N310" s="14" t="n">
        <v>2.5</v>
      </c>
      <c r="O310" s="14" t="n">
        <v>0.8</v>
      </c>
      <c r="P310" s="15" t="n">
        <v>300</v>
      </c>
      <c r="Q310" s="16" t="n">
        <v>75</v>
      </c>
      <c r="R310" s="16" t="n">
        <v>100</v>
      </c>
      <c r="S310" s="16" t="n">
        <v>150</v>
      </c>
      <c r="T310" s="16" t="n">
        <v>200</v>
      </c>
      <c r="U310" s="16" t="n">
        <v>400</v>
      </c>
      <c r="V310" s="13" t="n">
        <f aca="false">IF(Q310="","",J310*Q310/100)</f>
        <v>119.25</v>
      </c>
      <c r="W310" s="13" t="n">
        <f aca="false">IF(R310="","",J310*R310/100)</f>
        <v>159</v>
      </c>
      <c r="X310" s="13" t="n">
        <f aca="false">IF(S310="","",J310*S310/100)</f>
        <v>238.5</v>
      </c>
      <c r="Y310" s="13" t="n">
        <f aca="false">IF(T310="","",J310*T310/100)</f>
        <v>318</v>
      </c>
      <c r="Z310" s="13" t="n">
        <f aca="false">IF(U310="","",J310*U310/100)</f>
        <v>636</v>
      </c>
      <c r="AA310" s="6" t="s">
        <v>103</v>
      </c>
      <c r="AB310" s="6" t="s">
        <v>104</v>
      </c>
      <c r="AC310" s="6"/>
      <c r="AD310" s="13" t="str">
        <f aca="false">IF(AC310="","",IFERROR(INDEX('INDB Full Nutrients'!$D:$D,MATCH(AC310,'INDB Full Nutrients'!$A:$A,0)),""))</f>
        <v/>
      </c>
      <c r="AE310" s="6"/>
      <c r="AF310" s="6" t="s">
        <v>1294</v>
      </c>
    </row>
    <row r="311" customFormat="false" ht="15" hidden="false" customHeight="false" outlineLevel="0" collapsed="false">
      <c r="A311" s="6" t="s">
        <v>1295</v>
      </c>
      <c r="B311" s="6" t="s">
        <v>1296</v>
      </c>
      <c r="C311" s="6" t="s">
        <v>1297</v>
      </c>
      <c r="D311" s="6" t="s">
        <v>49</v>
      </c>
      <c r="E311" s="6" t="s">
        <v>205</v>
      </c>
      <c r="F311" s="6" t="s">
        <v>100</v>
      </c>
      <c r="G311" s="6" t="s">
        <v>124</v>
      </c>
      <c r="H311" s="6" t="s">
        <v>1298</v>
      </c>
      <c r="I311" s="6" t="s">
        <v>298</v>
      </c>
      <c r="J311" s="13" t="n">
        <f aca="false">4*K311+4*(L311-N311)+9*M311+2*N311</f>
        <v>140</v>
      </c>
      <c r="K311" s="14" t="n">
        <v>1.5</v>
      </c>
      <c r="L311" s="14" t="n">
        <v>8</v>
      </c>
      <c r="M311" s="14" t="n">
        <v>12</v>
      </c>
      <c r="N311" s="14" t="n">
        <v>3</v>
      </c>
      <c r="O311" s="14" t="n">
        <v>3</v>
      </c>
      <c r="P311" s="15" t="n">
        <v>300</v>
      </c>
      <c r="Q311" s="16" t="n">
        <v>75</v>
      </c>
      <c r="R311" s="16" t="n">
        <v>100</v>
      </c>
      <c r="S311" s="16" t="n">
        <v>150</v>
      </c>
      <c r="T311" s="16" t="n">
        <v>200</v>
      </c>
      <c r="U311" s="16" t="n">
        <v>400</v>
      </c>
      <c r="V311" s="13" t="n">
        <f aca="false">IF(Q311="","",J311*Q311/100)</f>
        <v>105</v>
      </c>
      <c r="W311" s="13" t="n">
        <f aca="false">IF(R311="","",J311*R311/100)</f>
        <v>140</v>
      </c>
      <c r="X311" s="13" t="n">
        <f aca="false">IF(S311="","",J311*S311/100)</f>
        <v>210</v>
      </c>
      <c r="Y311" s="13" t="n">
        <f aca="false">IF(T311="","",J311*T311/100)</f>
        <v>280</v>
      </c>
      <c r="Z311" s="13" t="n">
        <f aca="false">IF(U311="","",J311*U311/100)</f>
        <v>560</v>
      </c>
      <c r="AA311" s="6" t="s">
        <v>103</v>
      </c>
      <c r="AB311" s="6" t="s">
        <v>104</v>
      </c>
      <c r="AC311" s="6"/>
      <c r="AD311" s="13" t="str">
        <f aca="false">IF(AC311="","",IFERROR(INDEX('INDB Full Nutrients'!$D:$D,MATCH(AC311,'INDB Full Nutrients'!$A:$A,0)),""))</f>
        <v/>
      </c>
      <c r="AE311" s="6"/>
      <c r="AF311" s="6"/>
    </row>
    <row r="312" customFormat="false" ht="15" hidden="false" customHeight="false" outlineLevel="0" collapsed="false">
      <c r="A312" s="6" t="s">
        <v>1299</v>
      </c>
      <c r="B312" s="6" t="s">
        <v>1300</v>
      </c>
      <c r="C312" s="6" t="s">
        <v>1301</v>
      </c>
      <c r="D312" s="6" t="s">
        <v>49</v>
      </c>
      <c r="E312" s="6" t="s">
        <v>114</v>
      </c>
      <c r="F312" s="6" t="s">
        <v>100</v>
      </c>
      <c r="G312" s="6" t="s">
        <v>124</v>
      </c>
      <c r="H312" s="6" t="s">
        <v>588</v>
      </c>
      <c r="I312" s="6" t="s">
        <v>298</v>
      </c>
      <c r="J312" s="13" t="n">
        <f aca="false">4*K312+4*(L312-N312)+9*M312+2*N312</f>
        <v>152</v>
      </c>
      <c r="K312" s="14" t="n">
        <v>7</v>
      </c>
      <c r="L312" s="14" t="n">
        <v>15</v>
      </c>
      <c r="M312" s="14" t="n">
        <v>8</v>
      </c>
      <c r="N312" s="14" t="n">
        <v>4</v>
      </c>
      <c r="O312" s="14" t="n">
        <v>2</v>
      </c>
      <c r="P312" s="15" t="n">
        <v>400</v>
      </c>
      <c r="Q312" s="16" t="n">
        <v>75</v>
      </c>
      <c r="R312" s="16" t="n">
        <v>100</v>
      </c>
      <c r="S312" s="16" t="n">
        <v>150</v>
      </c>
      <c r="T312" s="16" t="n">
        <v>200</v>
      </c>
      <c r="U312" s="16" t="n">
        <v>400</v>
      </c>
      <c r="V312" s="13" t="n">
        <f aca="false">IF(Q312="","",J312*Q312/100)</f>
        <v>114</v>
      </c>
      <c r="W312" s="13" t="n">
        <f aca="false">IF(R312="","",J312*R312/100)</f>
        <v>152</v>
      </c>
      <c r="X312" s="13" t="n">
        <f aca="false">IF(S312="","",J312*S312/100)</f>
        <v>228</v>
      </c>
      <c r="Y312" s="13" t="n">
        <f aca="false">IF(T312="","",J312*T312/100)</f>
        <v>304</v>
      </c>
      <c r="Z312" s="13" t="n">
        <f aca="false">IF(U312="","",J312*U312/100)</f>
        <v>608</v>
      </c>
      <c r="AA312" s="6" t="s">
        <v>103</v>
      </c>
      <c r="AB312" s="6" t="s">
        <v>104</v>
      </c>
      <c r="AC312" s="6"/>
      <c r="AD312" s="13" t="str">
        <f aca="false">IF(AC312="","",IFERROR(INDEX('INDB Full Nutrients'!$D:$D,MATCH(AC312,'INDB Full Nutrients'!$A:$A,0)),""))</f>
        <v/>
      </c>
      <c r="AE312" s="6"/>
      <c r="AF312" s="6"/>
    </row>
    <row r="313" customFormat="false" ht="15" hidden="false" customHeight="false" outlineLevel="0" collapsed="false">
      <c r="A313" s="6" t="s">
        <v>1302</v>
      </c>
      <c r="B313" s="6" t="s">
        <v>1303</v>
      </c>
      <c r="C313" s="6"/>
      <c r="D313" s="6" t="s">
        <v>49</v>
      </c>
      <c r="E313" s="6" t="s">
        <v>114</v>
      </c>
      <c r="F313" s="6" t="s">
        <v>100</v>
      </c>
      <c r="G313" s="6" t="s">
        <v>124</v>
      </c>
      <c r="H313" s="6" t="s">
        <v>588</v>
      </c>
      <c r="I313" s="6" t="s">
        <v>298</v>
      </c>
      <c r="J313" s="13" t="n">
        <f aca="false">4*K313+4*(L313-N313)+9*M313+2*N313</f>
        <v>133</v>
      </c>
      <c r="K313" s="14" t="n">
        <v>4</v>
      </c>
      <c r="L313" s="14" t="n">
        <v>12</v>
      </c>
      <c r="M313" s="14" t="n">
        <v>9</v>
      </c>
      <c r="N313" s="14" t="n">
        <v>6</v>
      </c>
      <c r="O313" s="14" t="n">
        <v>1.5</v>
      </c>
      <c r="P313" s="15" t="n">
        <v>450</v>
      </c>
      <c r="Q313" s="16" t="n">
        <v>75</v>
      </c>
      <c r="R313" s="16" t="n">
        <v>100</v>
      </c>
      <c r="S313" s="16" t="n">
        <v>150</v>
      </c>
      <c r="T313" s="16" t="n">
        <v>200</v>
      </c>
      <c r="U313" s="16" t="n">
        <v>400</v>
      </c>
      <c r="V313" s="13" t="n">
        <f aca="false">IF(Q313="","",J313*Q313/100)</f>
        <v>99.75</v>
      </c>
      <c r="W313" s="13" t="n">
        <f aca="false">IF(R313="","",J313*R313/100)</f>
        <v>133</v>
      </c>
      <c r="X313" s="13" t="n">
        <f aca="false">IF(S313="","",J313*S313/100)</f>
        <v>199.5</v>
      </c>
      <c r="Y313" s="13" t="n">
        <f aca="false">IF(T313="","",J313*T313/100)</f>
        <v>266</v>
      </c>
      <c r="Z313" s="13" t="n">
        <f aca="false">IF(U313="","",J313*U313/100)</f>
        <v>532</v>
      </c>
      <c r="AA313" s="6" t="s">
        <v>103</v>
      </c>
      <c r="AB313" s="6" t="s">
        <v>104</v>
      </c>
      <c r="AC313" s="6"/>
      <c r="AD313" s="13" t="str">
        <f aca="false">IF(AC313="","",IFERROR(INDEX('INDB Full Nutrients'!$D:$D,MATCH(AC313,'INDB Full Nutrients'!$A:$A,0)),""))</f>
        <v/>
      </c>
      <c r="AE313" s="6"/>
      <c r="AF313" s="6" t="s">
        <v>839</v>
      </c>
    </row>
    <row r="314" customFormat="false" ht="15" hidden="false" customHeight="false" outlineLevel="0" collapsed="false">
      <c r="A314" s="6" t="s">
        <v>1304</v>
      </c>
      <c r="B314" s="6" t="s">
        <v>1305</v>
      </c>
      <c r="C314" s="6"/>
      <c r="D314" s="6" t="s">
        <v>49</v>
      </c>
      <c r="E314" s="6" t="s">
        <v>99</v>
      </c>
      <c r="F314" s="6" t="s">
        <v>100</v>
      </c>
      <c r="G314" s="6" t="s">
        <v>124</v>
      </c>
      <c r="H314" s="6" t="s">
        <v>588</v>
      </c>
      <c r="I314" s="6" t="s">
        <v>298</v>
      </c>
      <c r="J314" s="13" t="n">
        <f aca="false">4*K314+4*(L314-N314)+9*M314+2*N314</f>
        <v>159</v>
      </c>
      <c r="K314" s="14" t="n">
        <v>14</v>
      </c>
      <c r="L314" s="14" t="n">
        <v>12</v>
      </c>
      <c r="M314" s="14" t="n">
        <v>7</v>
      </c>
      <c r="N314" s="14" t="n">
        <v>4</v>
      </c>
      <c r="O314" s="14" t="n">
        <v>3</v>
      </c>
      <c r="P314" s="15" t="n">
        <v>450</v>
      </c>
      <c r="Q314" s="16" t="n">
        <v>75</v>
      </c>
      <c r="R314" s="16" t="n">
        <v>100</v>
      </c>
      <c r="S314" s="16" t="n">
        <v>150</v>
      </c>
      <c r="T314" s="16" t="n">
        <v>200</v>
      </c>
      <c r="U314" s="16" t="n">
        <v>400</v>
      </c>
      <c r="V314" s="13" t="n">
        <f aca="false">IF(Q314="","",J314*Q314/100)</f>
        <v>119.25</v>
      </c>
      <c r="W314" s="13" t="n">
        <f aca="false">IF(R314="","",J314*R314/100)</f>
        <v>159</v>
      </c>
      <c r="X314" s="13" t="n">
        <f aca="false">IF(S314="","",J314*S314/100)</f>
        <v>238.5</v>
      </c>
      <c r="Y314" s="13" t="n">
        <f aca="false">IF(T314="","",J314*T314/100)</f>
        <v>318</v>
      </c>
      <c r="Z314" s="13" t="n">
        <f aca="false">IF(U314="","",J314*U314/100)</f>
        <v>636</v>
      </c>
      <c r="AA314" s="6" t="s">
        <v>103</v>
      </c>
      <c r="AB314" s="6" t="s">
        <v>104</v>
      </c>
      <c r="AC314" s="6"/>
      <c r="AD314" s="13" t="str">
        <f aca="false">IF(AC314="","",IFERROR(INDEX('INDB Full Nutrients'!$D:$D,MATCH(AC314,'INDB Full Nutrients'!$A:$A,0)),""))</f>
        <v/>
      </c>
      <c r="AE314" s="6"/>
      <c r="AF314" s="6"/>
    </row>
    <row r="315" customFormat="false" ht="15" hidden="false" customHeight="false" outlineLevel="0" collapsed="false">
      <c r="A315" s="6" t="s">
        <v>1306</v>
      </c>
      <c r="B315" s="6" t="s">
        <v>1307</v>
      </c>
      <c r="C315" s="6" t="s">
        <v>1308</v>
      </c>
      <c r="D315" s="6" t="s">
        <v>49</v>
      </c>
      <c r="E315" s="6" t="s">
        <v>161</v>
      </c>
      <c r="F315" s="6" t="s">
        <v>100</v>
      </c>
      <c r="G315" s="6"/>
      <c r="H315" s="6" t="s">
        <v>588</v>
      </c>
      <c r="I315" s="6" t="s">
        <v>298</v>
      </c>
      <c r="J315" s="13" t="n">
        <f aca="false">4*K315+4*(L315-N315)+9*M315+2*N315</f>
        <v>213.6</v>
      </c>
      <c r="K315" s="14" t="n">
        <v>12</v>
      </c>
      <c r="L315" s="14" t="n">
        <v>6</v>
      </c>
      <c r="M315" s="14" t="n">
        <v>16</v>
      </c>
      <c r="N315" s="14" t="n">
        <v>1.2</v>
      </c>
      <c r="O315" s="14" t="n">
        <v>2.5</v>
      </c>
      <c r="P315" s="15" t="n">
        <v>400</v>
      </c>
      <c r="Q315" s="16" t="n">
        <v>75</v>
      </c>
      <c r="R315" s="16" t="n">
        <v>100</v>
      </c>
      <c r="S315" s="16" t="n">
        <v>150</v>
      </c>
      <c r="T315" s="16" t="n">
        <v>200</v>
      </c>
      <c r="U315" s="16" t="n">
        <v>400</v>
      </c>
      <c r="V315" s="13" t="n">
        <f aca="false">IF(Q315="","",J315*Q315/100)</f>
        <v>160.2</v>
      </c>
      <c r="W315" s="13" t="n">
        <f aca="false">IF(R315="","",J315*R315/100)</f>
        <v>213.6</v>
      </c>
      <c r="X315" s="13" t="n">
        <f aca="false">IF(S315="","",J315*S315/100)</f>
        <v>320.4</v>
      </c>
      <c r="Y315" s="13" t="n">
        <f aca="false">IF(T315="","",J315*T315/100)</f>
        <v>427.2</v>
      </c>
      <c r="Z315" s="13" t="n">
        <f aca="false">IF(U315="","",J315*U315/100)</f>
        <v>854.4</v>
      </c>
      <c r="AA315" s="6" t="s">
        <v>103</v>
      </c>
      <c r="AB315" s="6" t="s">
        <v>104</v>
      </c>
      <c r="AC315" s="6"/>
      <c r="AD315" s="13" t="str">
        <f aca="false">IF(AC315="","",IFERROR(INDEX('INDB Full Nutrients'!$D:$D,MATCH(AC315,'INDB Full Nutrients'!$A:$A,0)),""))</f>
        <v/>
      </c>
      <c r="AE315" s="6"/>
      <c r="AF315" s="6"/>
    </row>
    <row r="316" customFormat="false" ht="15" hidden="false" customHeight="false" outlineLevel="0" collapsed="false">
      <c r="A316" s="6" t="s">
        <v>1309</v>
      </c>
      <c r="B316" s="6" t="s">
        <v>1310</v>
      </c>
      <c r="C316" s="6" t="s">
        <v>1311</v>
      </c>
      <c r="D316" s="6" t="s">
        <v>50</v>
      </c>
      <c r="E316" s="6" t="s">
        <v>161</v>
      </c>
      <c r="F316" s="6" t="s">
        <v>569</v>
      </c>
      <c r="G316" s="6"/>
      <c r="H316" s="6" t="s">
        <v>588</v>
      </c>
      <c r="I316" s="6" t="s">
        <v>298</v>
      </c>
      <c r="J316" s="13" t="n">
        <f aca="false">4*K316+4*(L316-N316)+9*M316+2*N316</f>
        <v>178.4</v>
      </c>
      <c r="K316" s="14" t="n">
        <v>12</v>
      </c>
      <c r="L316" s="14" t="n">
        <v>6</v>
      </c>
      <c r="M316" s="14" t="n">
        <v>12</v>
      </c>
      <c r="N316" s="14" t="n">
        <v>0.8</v>
      </c>
      <c r="O316" s="14" t="n">
        <v>3.5</v>
      </c>
      <c r="P316" s="15" t="n">
        <v>480</v>
      </c>
      <c r="Q316" s="16" t="n">
        <v>100</v>
      </c>
      <c r="R316" s="16" t="n">
        <v>150</v>
      </c>
      <c r="S316" s="16" t="n">
        <v>200</v>
      </c>
      <c r="T316" s="16" t="n">
        <v>250</v>
      </c>
      <c r="U316" s="16" t="n">
        <v>500</v>
      </c>
      <c r="V316" s="13" t="n">
        <f aca="false">IF(Q316="","",J316*Q316/100)</f>
        <v>178.4</v>
      </c>
      <c r="W316" s="13" t="n">
        <f aca="false">IF(R316="","",J316*R316/100)</f>
        <v>267.6</v>
      </c>
      <c r="X316" s="13" t="n">
        <f aca="false">IF(S316="","",J316*S316/100)</f>
        <v>356.8</v>
      </c>
      <c r="Y316" s="13" t="n">
        <f aca="false">IF(T316="","",J316*T316/100)</f>
        <v>446</v>
      </c>
      <c r="Z316" s="13" t="n">
        <f aca="false">IF(U316="","",J316*U316/100)</f>
        <v>892</v>
      </c>
      <c r="AA316" s="6" t="s">
        <v>103</v>
      </c>
      <c r="AB316" s="6" t="s">
        <v>104</v>
      </c>
      <c r="AC316" s="6" t="s">
        <v>1312</v>
      </c>
      <c r="AD316" s="13" t="n">
        <f aca="false">IF(AC316="","",IFERROR(INDEX('INDB Full Nutrients'!$D:$D,MATCH(AC316,'INDB Full Nutrients'!$A:$A,0)),""))</f>
        <v>137.002899169922</v>
      </c>
      <c r="AE316" s="6" t="s">
        <v>1313</v>
      </c>
      <c r="AF316" s="6" t="s">
        <v>1314</v>
      </c>
    </row>
    <row r="317" customFormat="false" ht="15" hidden="false" customHeight="false" outlineLevel="0" collapsed="false">
      <c r="A317" s="6" t="s">
        <v>1315</v>
      </c>
      <c r="B317" s="6" t="s">
        <v>1316</v>
      </c>
      <c r="C317" s="6"/>
      <c r="D317" s="6" t="s">
        <v>50</v>
      </c>
      <c r="E317" s="6" t="s">
        <v>161</v>
      </c>
      <c r="F317" s="6" t="s">
        <v>569</v>
      </c>
      <c r="G317" s="6"/>
      <c r="H317" s="6" t="s">
        <v>588</v>
      </c>
      <c r="I317" s="6" t="s">
        <v>298</v>
      </c>
      <c r="J317" s="13" t="n">
        <f aca="false">4*K317+4*(L317-N317)+9*M317+2*N317</f>
        <v>166.5</v>
      </c>
      <c r="K317" s="14" t="n">
        <v>12.5</v>
      </c>
      <c r="L317" s="14" t="n">
        <v>6</v>
      </c>
      <c r="M317" s="14" t="n">
        <v>10.5</v>
      </c>
      <c r="N317" s="14" t="n">
        <v>1</v>
      </c>
      <c r="O317" s="14" t="n">
        <v>3</v>
      </c>
      <c r="P317" s="15" t="n">
        <v>480</v>
      </c>
      <c r="Q317" s="16" t="n">
        <v>100</v>
      </c>
      <c r="R317" s="16" t="n">
        <v>150</v>
      </c>
      <c r="S317" s="16" t="n">
        <v>200</v>
      </c>
      <c r="T317" s="16" t="n">
        <v>250</v>
      </c>
      <c r="U317" s="16" t="n">
        <v>500</v>
      </c>
      <c r="V317" s="13" t="n">
        <f aca="false">IF(Q317="","",J317*Q317/100)</f>
        <v>166.5</v>
      </c>
      <c r="W317" s="13" t="n">
        <f aca="false">IF(R317="","",J317*R317/100)</f>
        <v>249.75</v>
      </c>
      <c r="X317" s="13" t="n">
        <f aca="false">IF(S317="","",J317*S317/100)</f>
        <v>333</v>
      </c>
      <c r="Y317" s="13" t="n">
        <f aca="false">IF(T317="","",J317*T317/100)</f>
        <v>416.25</v>
      </c>
      <c r="Z317" s="13" t="n">
        <f aca="false">IF(U317="","",J317*U317/100)</f>
        <v>832.5</v>
      </c>
      <c r="AA317" s="6" t="s">
        <v>103</v>
      </c>
      <c r="AB317" s="6" t="s">
        <v>104</v>
      </c>
      <c r="AC317" s="6"/>
      <c r="AD317" s="13" t="str">
        <f aca="false">IF(AC317="","",IFERROR(INDEX('INDB Full Nutrients'!$D:$D,MATCH(AC317,'INDB Full Nutrients'!$A:$A,0)),""))</f>
        <v/>
      </c>
      <c r="AE317" s="6"/>
      <c r="AF317" s="6" t="s">
        <v>1314</v>
      </c>
    </row>
    <row r="318" customFormat="false" ht="15" hidden="false" customHeight="false" outlineLevel="0" collapsed="false">
      <c r="A318" s="6" t="s">
        <v>1317</v>
      </c>
      <c r="B318" s="6" t="s">
        <v>1318</v>
      </c>
      <c r="C318" s="6" t="s">
        <v>1319</v>
      </c>
      <c r="D318" s="6" t="s">
        <v>50</v>
      </c>
      <c r="E318" s="6" t="s">
        <v>161</v>
      </c>
      <c r="F318" s="6" t="s">
        <v>569</v>
      </c>
      <c r="G318" s="6"/>
      <c r="H318" s="6" t="s">
        <v>588</v>
      </c>
      <c r="I318" s="6" t="s">
        <v>298</v>
      </c>
      <c r="J318" s="13" t="n">
        <f aca="false">4*K318+4*(L318-N318)+9*M318+2*N318</f>
        <v>159.6</v>
      </c>
      <c r="K318" s="14" t="n">
        <v>13</v>
      </c>
      <c r="L318" s="14" t="n">
        <v>5</v>
      </c>
      <c r="M318" s="14" t="n">
        <v>10</v>
      </c>
      <c r="N318" s="14" t="n">
        <v>1.2</v>
      </c>
      <c r="O318" s="14" t="n">
        <v>2.5</v>
      </c>
      <c r="P318" s="15" t="n">
        <v>450</v>
      </c>
      <c r="Q318" s="16" t="n">
        <v>100</v>
      </c>
      <c r="R318" s="16" t="n">
        <v>150</v>
      </c>
      <c r="S318" s="16" t="n">
        <v>200</v>
      </c>
      <c r="T318" s="16" t="n">
        <v>250</v>
      </c>
      <c r="U318" s="16" t="n">
        <v>500</v>
      </c>
      <c r="V318" s="13" t="n">
        <f aca="false">IF(Q318="","",J318*Q318/100)</f>
        <v>159.6</v>
      </c>
      <c r="W318" s="13" t="n">
        <f aca="false">IF(R318="","",J318*R318/100)</f>
        <v>239.4</v>
      </c>
      <c r="X318" s="13" t="n">
        <f aca="false">IF(S318="","",J318*S318/100)</f>
        <v>319.2</v>
      </c>
      <c r="Y318" s="13" t="n">
        <f aca="false">IF(T318="","",J318*T318/100)</f>
        <v>399</v>
      </c>
      <c r="Z318" s="13" t="n">
        <f aca="false">IF(U318="","",J318*U318/100)</f>
        <v>798</v>
      </c>
      <c r="AA318" s="6" t="s">
        <v>103</v>
      </c>
      <c r="AB318" s="6" t="s">
        <v>104</v>
      </c>
      <c r="AC318" s="6"/>
      <c r="AD318" s="13" t="str">
        <f aca="false">IF(AC318="","",IFERROR(INDEX('INDB Full Nutrients'!$D:$D,MATCH(AC318,'INDB Full Nutrients'!$A:$A,0)),""))</f>
        <v/>
      </c>
      <c r="AE318" s="6"/>
      <c r="AF318" s="6" t="s">
        <v>1314</v>
      </c>
    </row>
    <row r="319" customFormat="false" ht="15" hidden="false" customHeight="false" outlineLevel="0" collapsed="false">
      <c r="A319" s="6" t="s">
        <v>1320</v>
      </c>
      <c r="B319" s="6" t="s">
        <v>1321</v>
      </c>
      <c r="C319" s="6" t="s">
        <v>1322</v>
      </c>
      <c r="D319" s="6" t="s">
        <v>50</v>
      </c>
      <c r="E319" s="6" t="s">
        <v>99</v>
      </c>
      <c r="F319" s="6" t="s">
        <v>569</v>
      </c>
      <c r="G319" s="6"/>
      <c r="H319" s="6" t="s">
        <v>588</v>
      </c>
      <c r="I319" s="6" t="s">
        <v>298</v>
      </c>
      <c r="J319" s="13" t="n">
        <f aca="false">4*K319+4*(L319-N319)+9*M319+2*N319</f>
        <v>138</v>
      </c>
      <c r="K319" s="14" t="n">
        <v>12.5</v>
      </c>
      <c r="L319" s="14" t="n">
        <v>4.5</v>
      </c>
      <c r="M319" s="14" t="n">
        <v>8</v>
      </c>
      <c r="N319" s="14" t="n">
        <v>1</v>
      </c>
      <c r="O319" s="14" t="n">
        <v>2</v>
      </c>
      <c r="P319" s="15" t="n">
        <v>400</v>
      </c>
      <c r="Q319" s="16" t="n">
        <v>100</v>
      </c>
      <c r="R319" s="16" t="n">
        <v>150</v>
      </c>
      <c r="S319" s="16" t="n">
        <v>200</v>
      </c>
      <c r="T319" s="16" t="n">
        <v>250</v>
      </c>
      <c r="U319" s="16" t="n">
        <v>500</v>
      </c>
      <c r="V319" s="13" t="n">
        <f aca="false">IF(Q319="","",J319*Q319/100)</f>
        <v>138</v>
      </c>
      <c r="W319" s="13" t="n">
        <f aca="false">IF(R319="","",J319*R319/100)</f>
        <v>207</v>
      </c>
      <c r="X319" s="13" t="n">
        <f aca="false">IF(S319="","",J319*S319/100)</f>
        <v>276</v>
      </c>
      <c r="Y319" s="13" t="n">
        <f aca="false">IF(T319="","",J319*T319/100)</f>
        <v>345</v>
      </c>
      <c r="Z319" s="13" t="n">
        <f aca="false">IF(U319="","",J319*U319/100)</f>
        <v>690</v>
      </c>
      <c r="AA319" s="6" t="s">
        <v>125</v>
      </c>
      <c r="AB319" s="6" t="s">
        <v>147</v>
      </c>
      <c r="AC319" s="6" t="s">
        <v>1323</v>
      </c>
      <c r="AD319" s="13" t="n">
        <f aca="false">IF(AC319="","",IFERROR(INDEX('INDB Full Nutrients'!$D:$D,MATCH(AC319,'INDB Full Nutrients'!$A:$A,0)),""))</f>
        <v>129.223907470703</v>
      </c>
      <c r="AE319" s="6" t="s">
        <v>1324</v>
      </c>
      <c r="AF319" s="6" t="s">
        <v>1314</v>
      </c>
    </row>
    <row r="320" customFormat="false" ht="15" hidden="false" customHeight="false" outlineLevel="0" collapsed="false">
      <c r="A320" s="6" t="s">
        <v>1325</v>
      </c>
      <c r="B320" s="6" t="s">
        <v>1326</v>
      </c>
      <c r="C320" s="6"/>
      <c r="D320" s="6" t="s">
        <v>50</v>
      </c>
      <c r="E320" s="6" t="s">
        <v>161</v>
      </c>
      <c r="F320" s="6" t="s">
        <v>569</v>
      </c>
      <c r="G320" s="6"/>
      <c r="H320" s="6" t="s">
        <v>588</v>
      </c>
      <c r="I320" s="6" t="s">
        <v>298</v>
      </c>
      <c r="J320" s="13" t="n">
        <f aca="false">4*K320+4*(L320-N320)+9*M320+2*N320</f>
        <v>165</v>
      </c>
      <c r="K320" s="14" t="n">
        <v>12</v>
      </c>
      <c r="L320" s="14" t="n">
        <v>5</v>
      </c>
      <c r="M320" s="14" t="n">
        <v>11</v>
      </c>
      <c r="N320" s="14" t="n">
        <v>1</v>
      </c>
      <c r="O320" s="14" t="n">
        <v>2</v>
      </c>
      <c r="P320" s="15" t="n">
        <v>450</v>
      </c>
      <c r="Q320" s="16" t="n">
        <v>100</v>
      </c>
      <c r="R320" s="16" t="n">
        <v>150</v>
      </c>
      <c r="S320" s="16" t="n">
        <v>200</v>
      </c>
      <c r="T320" s="16" t="n">
        <v>250</v>
      </c>
      <c r="U320" s="16" t="n">
        <v>500</v>
      </c>
      <c r="V320" s="13" t="n">
        <f aca="false">IF(Q320="","",J320*Q320/100)</f>
        <v>165</v>
      </c>
      <c r="W320" s="13" t="n">
        <f aca="false">IF(R320="","",J320*R320/100)</f>
        <v>247.5</v>
      </c>
      <c r="X320" s="13" t="n">
        <f aca="false">IF(S320="","",J320*S320/100)</f>
        <v>330</v>
      </c>
      <c r="Y320" s="13" t="n">
        <f aca="false">IF(T320="","",J320*T320/100)</f>
        <v>412.5</v>
      </c>
      <c r="Z320" s="13" t="n">
        <f aca="false">IF(U320="","",J320*U320/100)</f>
        <v>825</v>
      </c>
      <c r="AA320" s="6" t="s">
        <v>103</v>
      </c>
      <c r="AB320" s="6" t="s">
        <v>104</v>
      </c>
      <c r="AC320" s="6"/>
      <c r="AD320" s="13" t="str">
        <f aca="false">IF(AC320="","",IFERROR(INDEX('INDB Full Nutrients'!$D:$D,MATCH(AC320,'INDB Full Nutrients'!$A:$A,0)),""))</f>
        <v/>
      </c>
      <c r="AE320" s="6"/>
      <c r="AF320" s="6" t="s">
        <v>1314</v>
      </c>
    </row>
    <row r="321" customFormat="false" ht="15" hidden="false" customHeight="false" outlineLevel="0" collapsed="false">
      <c r="A321" s="6" t="s">
        <v>1327</v>
      </c>
      <c r="B321" s="6" t="s">
        <v>1328</v>
      </c>
      <c r="C321" s="6"/>
      <c r="D321" s="6" t="s">
        <v>50</v>
      </c>
      <c r="E321" s="6" t="s">
        <v>161</v>
      </c>
      <c r="F321" s="6" t="s">
        <v>569</v>
      </c>
      <c r="G321" s="6"/>
      <c r="H321" s="6" t="s">
        <v>588</v>
      </c>
      <c r="I321" s="6" t="s">
        <v>298</v>
      </c>
      <c r="J321" s="13" t="n">
        <f aca="false">4*K321+4*(L321-N321)+9*M321+2*N321</f>
        <v>182.5</v>
      </c>
      <c r="K321" s="14" t="n">
        <v>12</v>
      </c>
      <c r="L321" s="14" t="n">
        <v>6</v>
      </c>
      <c r="M321" s="14" t="n">
        <v>12.5</v>
      </c>
      <c r="N321" s="14" t="n">
        <v>1</v>
      </c>
      <c r="O321" s="14" t="n">
        <v>3</v>
      </c>
      <c r="P321" s="15" t="n">
        <v>420</v>
      </c>
      <c r="Q321" s="16" t="n">
        <v>100</v>
      </c>
      <c r="R321" s="16" t="n">
        <v>150</v>
      </c>
      <c r="S321" s="16" t="n">
        <v>200</v>
      </c>
      <c r="T321" s="16" t="n">
        <v>250</v>
      </c>
      <c r="U321" s="16" t="n">
        <v>500</v>
      </c>
      <c r="V321" s="13" t="n">
        <f aca="false">IF(Q321="","",J321*Q321/100)</f>
        <v>182.5</v>
      </c>
      <c r="W321" s="13" t="n">
        <f aca="false">IF(R321="","",J321*R321/100)</f>
        <v>273.75</v>
      </c>
      <c r="X321" s="13" t="n">
        <f aca="false">IF(S321="","",J321*S321/100)</f>
        <v>365</v>
      </c>
      <c r="Y321" s="13" t="n">
        <f aca="false">IF(T321="","",J321*T321/100)</f>
        <v>456.25</v>
      </c>
      <c r="Z321" s="13" t="n">
        <f aca="false">IF(U321="","",J321*U321/100)</f>
        <v>912.5</v>
      </c>
      <c r="AA321" s="6" t="s">
        <v>103</v>
      </c>
      <c r="AB321" s="6" t="s">
        <v>104</v>
      </c>
      <c r="AC321" s="6" t="s">
        <v>1329</v>
      </c>
      <c r="AD321" s="13" t="n">
        <f aca="false">IF(AC321="","",IFERROR(INDEX('INDB Full Nutrients'!$D:$D,MATCH(AC321,'INDB Full Nutrients'!$A:$A,0)),""))</f>
        <v>147.958374023438</v>
      </c>
      <c r="AE321" s="6" t="s">
        <v>1330</v>
      </c>
      <c r="AF321" s="6" t="s">
        <v>1314</v>
      </c>
    </row>
    <row r="322" customFormat="false" ht="15" hidden="false" customHeight="false" outlineLevel="0" collapsed="false">
      <c r="A322" s="6" t="s">
        <v>1331</v>
      </c>
      <c r="B322" s="6" t="s">
        <v>1332</v>
      </c>
      <c r="C322" s="6"/>
      <c r="D322" s="6" t="s">
        <v>50</v>
      </c>
      <c r="E322" s="6" t="s">
        <v>161</v>
      </c>
      <c r="F322" s="6" t="s">
        <v>569</v>
      </c>
      <c r="G322" s="6"/>
      <c r="H322" s="6" t="s">
        <v>588</v>
      </c>
      <c r="I322" s="6" t="s">
        <v>298</v>
      </c>
      <c r="J322" s="13" t="n">
        <f aca="false">4*K322+4*(L322-N322)+9*M322+2*N322</f>
        <v>156.9</v>
      </c>
      <c r="K322" s="14" t="n">
        <v>12.5</v>
      </c>
      <c r="L322" s="14" t="n">
        <v>6</v>
      </c>
      <c r="M322" s="14" t="n">
        <v>9.5</v>
      </c>
      <c r="N322" s="14" t="n">
        <v>1.3</v>
      </c>
      <c r="O322" s="14" t="n">
        <v>3</v>
      </c>
      <c r="P322" s="15" t="n">
        <v>420</v>
      </c>
      <c r="Q322" s="16" t="n">
        <v>100</v>
      </c>
      <c r="R322" s="16" t="n">
        <v>150</v>
      </c>
      <c r="S322" s="16" t="n">
        <v>200</v>
      </c>
      <c r="T322" s="16" t="n">
        <v>250</v>
      </c>
      <c r="U322" s="16" t="n">
        <v>500</v>
      </c>
      <c r="V322" s="13" t="n">
        <f aca="false">IF(Q322="","",J322*Q322/100)</f>
        <v>156.9</v>
      </c>
      <c r="W322" s="13" t="n">
        <f aca="false">IF(R322="","",J322*R322/100)</f>
        <v>235.35</v>
      </c>
      <c r="X322" s="13" t="n">
        <f aca="false">IF(S322="","",J322*S322/100)</f>
        <v>313.8</v>
      </c>
      <c r="Y322" s="13" t="n">
        <f aca="false">IF(T322="","",J322*T322/100)</f>
        <v>392.25</v>
      </c>
      <c r="Z322" s="13" t="n">
        <f aca="false">IF(U322="","",J322*U322/100)</f>
        <v>784.5</v>
      </c>
      <c r="AA322" s="6" t="s">
        <v>103</v>
      </c>
      <c r="AB322" s="6" t="s">
        <v>104</v>
      </c>
      <c r="AC322" s="6"/>
      <c r="AD322" s="13" t="str">
        <f aca="false">IF(AC322="","",IFERROR(INDEX('INDB Full Nutrients'!$D:$D,MATCH(AC322,'INDB Full Nutrients'!$A:$A,0)),""))</f>
        <v/>
      </c>
      <c r="AE322" s="6"/>
      <c r="AF322" s="6" t="s">
        <v>1314</v>
      </c>
    </row>
    <row r="323" customFormat="false" ht="15" hidden="false" customHeight="false" outlineLevel="0" collapsed="false">
      <c r="A323" s="6" t="s">
        <v>1333</v>
      </c>
      <c r="B323" s="6" t="s">
        <v>1334</v>
      </c>
      <c r="C323" s="6"/>
      <c r="D323" s="6" t="s">
        <v>50</v>
      </c>
      <c r="E323" s="6" t="s">
        <v>161</v>
      </c>
      <c r="F323" s="6" t="s">
        <v>569</v>
      </c>
      <c r="G323" s="6"/>
      <c r="H323" s="6" t="s">
        <v>588</v>
      </c>
      <c r="I323" s="6" t="s">
        <v>298</v>
      </c>
      <c r="J323" s="13" t="n">
        <f aca="false">4*K323+4*(L323-N323)+9*M323+2*N323</f>
        <v>169.5</v>
      </c>
      <c r="K323" s="14" t="n">
        <v>12</v>
      </c>
      <c r="L323" s="14" t="n">
        <v>5</v>
      </c>
      <c r="M323" s="14" t="n">
        <v>11.5</v>
      </c>
      <c r="N323" s="14" t="n">
        <v>1</v>
      </c>
      <c r="O323" s="14" t="n">
        <v>2.5</v>
      </c>
      <c r="P323" s="15" t="n">
        <v>450</v>
      </c>
      <c r="Q323" s="16" t="n">
        <v>100</v>
      </c>
      <c r="R323" s="16" t="n">
        <v>150</v>
      </c>
      <c r="S323" s="16" t="n">
        <v>200</v>
      </c>
      <c r="T323" s="16" t="n">
        <v>250</v>
      </c>
      <c r="U323" s="16" t="n">
        <v>500</v>
      </c>
      <c r="V323" s="13" t="n">
        <f aca="false">IF(Q323="","",J323*Q323/100)</f>
        <v>169.5</v>
      </c>
      <c r="W323" s="13" t="n">
        <f aca="false">IF(R323="","",J323*R323/100)</f>
        <v>254.25</v>
      </c>
      <c r="X323" s="13" t="n">
        <f aca="false">IF(S323="","",J323*S323/100)</f>
        <v>339</v>
      </c>
      <c r="Y323" s="13" t="n">
        <f aca="false">IF(T323="","",J323*T323/100)</f>
        <v>423.75</v>
      </c>
      <c r="Z323" s="13" t="n">
        <f aca="false">IF(U323="","",J323*U323/100)</f>
        <v>847.5</v>
      </c>
      <c r="AA323" s="6" t="s">
        <v>125</v>
      </c>
      <c r="AB323" s="6" t="s">
        <v>147</v>
      </c>
      <c r="AC323" s="6" t="s">
        <v>1335</v>
      </c>
      <c r="AD323" s="13" t="n">
        <f aca="false">IF(AC323="","",IFERROR(INDEX('INDB Full Nutrients'!$D:$D,MATCH(AC323,'INDB Full Nutrients'!$A:$A,0)),""))</f>
        <v>166.019653320313</v>
      </c>
      <c r="AE323" s="6" t="s">
        <v>1336</v>
      </c>
      <c r="AF323" s="6" t="s">
        <v>1314</v>
      </c>
    </row>
    <row r="324" customFormat="false" ht="15" hidden="false" customHeight="false" outlineLevel="0" collapsed="false">
      <c r="A324" s="6" t="s">
        <v>1337</v>
      </c>
      <c r="B324" s="6" t="s">
        <v>1338</v>
      </c>
      <c r="C324" s="6"/>
      <c r="D324" s="6" t="s">
        <v>50</v>
      </c>
      <c r="E324" s="6" t="s">
        <v>161</v>
      </c>
      <c r="F324" s="6" t="s">
        <v>569</v>
      </c>
      <c r="G324" s="6"/>
      <c r="H324" s="6" t="s">
        <v>588</v>
      </c>
      <c r="I324" s="6" t="s">
        <v>298</v>
      </c>
      <c r="J324" s="13" t="n">
        <f aca="false">4*K324+4*(L324-N324)+9*M324+2*N324</f>
        <v>142</v>
      </c>
      <c r="K324" s="14" t="n">
        <v>12</v>
      </c>
      <c r="L324" s="14" t="n">
        <v>4</v>
      </c>
      <c r="M324" s="14" t="n">
        <v>9</v>
      </c>
      <c r="N324" s="14" t="n">
        <v>1.5</v>
      </c>
      <c r="O324" s="14" t="n">
        <v>1</v>
      </c>
      <c r="P324" s="15" t="n">
        <v>400</v>
      </c>
      <c r="Q324" s="16" t="n">
        <v>100</v>
      </c>
      <c r="R324" s="16" t="n">
        <v>150</v>
      </c>
      <c r="S324" s="16" t="n">
        <v>200</v>
      </c>
      <c r="T324" s="16" t="n">
        <v>250</v>
      </c>
      <c r="U324" s="16" t="n">
        <v>500</v>
      </c>
      <c r="V324" s="13" t="n">
        <f aca="false">IF(Q324="","",J324*Q324/100)</f>
        <v>142</v>
      </c>
      <c r="W324" s="13" t="n">
        <f aca="false">IF(R324="","",J324*R324/100)</f>
        <v>213</v>
      </c>
      <c r="X324" s="13" t="n">
        <f aca="false">IF(S324="","",J324*S324/100)</f>
        <v>284</v>
      </c>
      <c r="Y324" s="13" t="n">
        <f aca="false">IF(T324="","",J324*T324/100)</f>
        <v>355</v>
      </c>
      <c r="Z324" s="13" t="n">
        <f aca="false">IF(U324="","",J324*U324/100)</f>
        <v>710</v>
      </c>
      <c r="AA324" s="6" t="s">
        <v>103</v>
      </c>
      <c r="AB324" s="6" t="s">
        <v>104</v>
      </c>
      <c r="AC324" s="6"/>
      <c r="AD324" s="13" t="str">
        <f aca="false">IF(AC324="","",IFERROR(INDEX('INDB Full Nutrients'!$D:$D,MATCH(AC324,'INDB Full Nutrients'!$A:$A,0)),""))</f>
        <v/>
      </c>
      <c r="AE324" s="6"/>
      <c r="AF324" s="6" t="s">
        <v>1314</v>
      </c>
    </row>
    <row r="325" customFormat="false" ht="15" hidden="false" customHeight="false" outlineLevel="0" collapsed="false">
      <c r="A325" s="6" t="s">
        <v>1339</v>
      </c>
      <c r="B325" s="6" t="s">
        <v>1340</v>
      </c>
      <c r="C325" s="6"/>
      <c r="D325" s="6" t="s">
        <v>50</v>
      </c>
      <c r="E325" s="6" t="s">
        <v>119</v>
      </c>
      <c r="F325" s="6" t="s">
        <v>569</v>
      </c>
      <c r="G325" s="6"/>
      <c r="H325" s="6" t="s">
        <v>588</v>
      </c>
      <c r="I325" s="6" t="s">
        <v>298</v>
      </c>
      <c r="J325" s="13" t="n">
        <f aca="false">4*K325+4*(L325-N325)+9*M325+2*N325</f>
        <v>168</v>
      </c>
      <c r="K325" s="14" t="n">
        <v>13</v>
      </c>
      <c r="L325" s="14" t="n">
        <v>5</v>
      </c>
      <c r="M325" s="14" t="n">
        <v>11</v>
      </c>
      <c r="N325" s="14" t="n">
        <v>1.5</v>
      </c>
      <c r="O325" s="14" t="n">
        <v>2</v>
      </c>
      <c r="P325" s="15" t="n">
        <v>450</v>
      </c>
      <c r="Q325" s="16" t="n">
        <v>100</v>
      </c>
      <c r="R325" s="16" t="n">
        <v>150</v>
      </c>
      <c r="S325" s="16" t="n">
        <v>200</v>
      </c>
      <c r="T325" s="16" t="n">
        <v>250</v>
      </c>
      <c r="U325" s="16" t="n">
        <v>500</v>
      </c>
      <c r="V325" s="13" t="n">
        <f aca="false">IF(Q325="","",J325*Q325/100)</f>
        <v>168</v>
      </c>
      <c r="W325" s="13" t="n">
        <f aca="false">IF(R325="","",J325*R325/100)</f>
        <v>252</v>
      </c>
      <c r="X325" s="13" t="n">
        <f aca="false">IF(S325="","",J325*S325/100)</f>
        <v>336</v>
      </c>
      <c r="Y325" s="13" t="n">
        <f aca="false">IF(T325="","",J325*T325/100)</f>
        <v>420</v>
      </c>
      <c r="Z325" s="13" t="n">
        <f aca="false">IF(U325="","",J325*U325/100)</f>
        <v>840</v>
      </c>
      <c r="AA325" s="6" t="s">
        <v>103</v>
      </c>
      <c r="AB325" s="6" t="s">
        <v>104</v>
      </c>
      <c r="AC325" s="6"/>
      <c r="AD325" s="13" t="str">
        <f aca="false">IF(AC325="","",IFERROR(INDEX('INDB Full Nutrients'!$D:$D,MATCH(AC325,'INDB Full Nutrients'!$A:$A,0)),""))</f>
        <v/>
      </c>
      <c r="AE325" s="6"/>
      <c r="AF325" s="6" t="s">
        <v>1314</v>
      </c>
    </row>
    <row r="326" customFormat="false" ht="15" hidden="false" customHeight="false" outlineLevel="0" collapsed="false">
      <c r="A326" s="6" t="s">
        <v>1341</v>
      </c>
      <c r="B326" s="6" t="s">
        <v>1342</v>
      </c>
      <c r="C326" s="6" t="s">
        <v>1343</v>
      </c>
      <c r="D326" s="6" t="s">
        <v>50</v>
      </c>
      <c r="E326" s="6" t="s">
        <v>119</v>
      </c>
      <c r="F326" s="6" t="s">
        <v>569</v>
      </c>
      <c r="G326" s="6"/>
      <c r="H326" s="6" t="s">
        <v>588</v>
      </c>
      <c r="I326" s="6" t="s">
        <v>298</v>
      </c>
      <c r="J326" s="13" t="n">
        <f aca="false">4*K326+4*(L326-N326)+9*M326+2*N326</f>
        <v>162.1</v>
      </c>
      <c r="K326" s="14" t="n">
        <v>13</v>
      </c>
      <c r="L326" s="14" t="n">
        <v>4.5</v>
      </c>
      <c r="M326" s="14" t="n">
        <v>10.5</v>
      </c>
      <c r="N326" s="14" t="n">
        <v>1.2</v>
      </c>
      <c r="O326" s="14" t="n">
        <v>1.5</v>
      </c>
      <c r="P326" s="15" t="n">
        <v>450</v>
      </c>
      <c r="Q326" s="16" t="n">
        <v>100</v>
      </c>
      <c r="R326" s="16" t="n">
        <v>150</v>
      </c>
      <c r="S326" s="16" t="n">
        <v>200</v>
      </c>
      <c r="T326" s="16" t="n">
        <v>250</v>
      </c>
      <c r="U326" s="16" t="n">
        <v>500</v>
      </c>
      <c r="V326" s="13" t="n">
        <f aca="false">IF(Q326="","",J326*Q326/100)</f>
        <v>162.1</v>
      </c>
      <c r="W326" s="13" t="n">
        <f aca="false">IF(R326="","",J326*R326/100)</f>
        <v>243.15</v>
      </c>
      <c r="X326" s="13" t="n">
        <f aca="false">IF(S326="","",J326*S326/100)</f>
        <v>324.2</v>
      </c>
      <c r="Y326" s="13" t="n">
        <f aca="false">IF(T326="","",J326*T326/100)</f>
        <v>405.25</v>
      </c>
      <c r="Z326" s="13" t="n">
        <f aca="false">IF(U326="","",J326*U326/100)</f>
        <v>810.5</v>
      </c>
      <c r="AA326" s="6" t="s">
        <v>103</v>
      </c>
      <c r="AB326" s="6" t="s">
        <v>104</v>
      </c>
      <c r="AC326" s="6"/>
      <c r="AD326" s="13" t="str">
        <f aca="false">IF(AC326="","",IFERROR(INDEX('INDB Full Nutrients'!$D:$D,MATCH(AC326,'INDB Full Nutrients'!$A:$A,0)),""))</f>
        <v/>
      </c>
      <c r="AE326" s="6"/>
      <c r="AF326" s="6" t="s">
        <v>1314</v>
      </c>
    </row>
    <row r="327" customFormat="false" ht="15" hidden="false" customHeight="false" outlineLevel="0" collapsed="false">
      <c r="A327" s="6" t="s">
        <v>1344</v>
      </c>
      <c r="B327" s="6" t="s">
        <v>1345</v>
      </c>
      <c r="C327" s="6"/>
      <c r="D327" s="6" t="s">
        <v>50</v>
      </c>
      <c r="E327" s="6" t="s">
        <v>119</v>
      </c>
      <c r="F327" s="6" t="s">
        <v>569</v>
      </c>
      <c r="G327" s="6"/>
      <c r="H327" s="6" t="s">
        <v>588</v>
      </c>
      <c r="I327" s="6" t="s">
        <v>298</v>
      </c>
      <c r="J327" s="13" t="n">
        <f aca="false">4*K327+4*(L327-N327)+9*M327+2*N327</f>
        <v>173</v>
      </c>
      <c r="K327" s="14" t="n">
        <v>13</v>
      </c>
      <c r="L327" s="14" t="n">
        <v>4</v>
      </c>
      <c r="M327" s="14" t="n">
        <v>12</v>
      </c>
      <c r="N327" s="14" t="n">
        <v>1.5</v>
      </c>
      <c r="O327" s="14" t="n">
        <v>1</v>
      </c>
      <c r="P327" s="15" t="n">
        <v>450</v>
      </c>
      <c r="Q327" s="16" t="n">
        <v>100</v>
      </c>
      <c r="R327" s="16" t="n">
        <v>150</v>
      </c>
      <c r="S327" s="16" t="n">
        <v>200</v>
      </c>
      <c r="T327" s="16" t="n">
        <v>250</v>
      </c>
      <c r="U327" s="16" t="n">
        <v>500</v>
      </c>
      <c r="V327" s="13" t="n">
        <f aca="false">IF(Q327="","",J327*Q327/100)</f>
        <v>173</v>
      </c>
      <c r="W327" s="13" t="n">
        <f aca="false">IF(R327="","",J327*R327/100)</f>
        <v>259.5</v>
      </c>
      <c r="X327" s="13" t="n">
        <f aca="false">IF(S327="","",J327*S327/100)</f>
        <v>346</v>
      </c>
      <c r="Y327" s="13" t="n">
        <f aca="false">IF(T327="","",J327*T327/100)</f>
        <v>432.5</v>
      </c>
      <c r="Z327" s="13" t="n">
        <f aca="false">IF(U327="","",J327*U327/100)</f>
        <v>865</v>
      </c>
      <c r="AA327" s="6" t="s">
        <v>103</v>
      </c>
      <c r="AB327" s="6" t="s">
        <v>104</v>
      </c>
      <c r="AC327" s="6"/>
      <c r="AD327" s="13" t="str">
        <f aca="false">IF(AC327="","",IFERROR(INDEX('INDB Full Nutrients'!$D:$D,MATCH(AC327,'INDB Full Nutrients'!$A:$A,0)),""))</f>
        <v/>
      </c>
      <c r="AE327" s="6"/>
      <c r="AF327" s="6" t="s">
        <v>1314</v>
      </c>
    </row>
    <row r="328" customFormat="false" ht="15" hidden="false" customHeight="false" outlineLevel="0" collapsed="false">
      <c r="A328" s="6" t="s">
        <v>1346</v>
      </c>
      <c r="B328" s="6" t="s">
        <v>1347</v>
      </c>
      <c r="C328" s="6" t="s">
        <v>1348</v>
      </c>
      <c r="D328" s="6" t="s">
        <v>50</v>
      </c>
      <c r="E328" s="6" t="s">
        <v>119</v>
      </c>
      <c r="F328" s="6" t="s">
        <v>569</v>
      </c>
      <c r="G328" s="6"/>
      <c r="H328" s="6" t="s">
        <v>588</v>
      </c>
      <c r="I328" s="6" t="s">
        <v>298</v>
      </c>
      <c r="J328" s="13" t="n">
        <f aca="false">4*K328+4*(L328-N328)+9*M328+2*N328</f>
        <v>139</v>
      </c>
      <c r="K328" s="14" t="n">
        <v>9</v>
      </c>
      <c r="L328" s="14" t="n">
        <v>6</v>
      </c>
      <c r="M328" s="14" t="n">
        <v>9</v>
      </c>
      <c r="N328" s="14" t="n">
        <v>1</v>
      </c>
      <c r="O328" s="14" t="n">
        <v>2</v>
      </c>
      <c r="P328" s="15" t="n">
        <v>350</v>
      </c>
      <c r="Q328" s="16" t="n">
        <v>100</v>
      </c>
      <c r="R328" s="16" t="n">
        <v>150</v>
      </c>
      <c r="S328" s="16" t="n">
        <v>200</v>
      </c>
      <c r="T328" s="16" t="n">
        <v>250</v>
      </c>
      <c r="U328" s="16" t="n">
        <v>500</v>
      </c>
      <c r="V328" s="13" t="n">
        <f aca="false">IF(Q328="","",J328*Q328/100)</f>
        <v>139</v>
      </c>
      <c r="W328" s="13" t="n">
        <f aca="false">IF(R328="","",J328*R328/100)</f>
        <v>208.5</v>
      </c>
      <c r="X328" s="13" t="n">
        <f aca="false">IF(S328="","",J328*S328/100)</f>
        <v>278</v>
      </c>
      <c r="Y328" s="13" t="n">
        <f aca="false">IF(T328="","",J328*T328/100)</f>
        <v>347.5</v>
      </c>
      <c r="Z328" s="13" t="n">
        <f aca="false">IF(U328="","",J328*U328/100)</f>
        <v>695</v>
      </c>
      <c r="AA328" s="6" t="s">
        <v>125</v>
      </c>
      <c r="AB328" s="6" t="s">
        <v>147</v>
      </c>
      <c r="AC328" s="6" t="s">
        <v>1349</v>
      </c>
      <c r="AD328" s="13" t="n">
        <f aca="false">IF(AC328="","",IFERROR(INDEX('INDB Full Nutrients'!$D:$D,MATCH(AC328,'INDB Full Nutrients'!$A:$A,0)),""))</f>
        <v>127.54557800293</v>
      </c>
      <c r="AE328" s="6" t="s">
        <v>1350</v>
      </c>
      <c r="AF328" s="6" t="s">
        <v>1351</v>
      </c>
    </row>
    <row r="329" customFormat="false" ht="15" hidden="false" customHeight="false" outlineLevel="0" collapsed="false">
      <c r="A329" s="6" t="s">
        <v>1352</v>
      </c>
      <c r="B329" s="6" t="s">
        <v>1353</v>
      </c>
      <c r="C329" s="6" t="s">
        <v>1354</v>
      </c>
      <c r="D329" s="6" t="s">
        <v>50</v>
      </c>
      <c r="E329" s="6" t="s">
        <v>161</v>
      </c>
      <c r="F329" s="6" t="s">
        <v>569</v>
      </c>
      <c r="G329" s="6"/>
      <c r="H329" s="6" t="s">
        <v>588</v>
      </c>
      <c r="I329" s="6" t="s">
        <v>298</v>
      </c>
      <c r="J329" s="13" t="n">
        <f aca="false">4*K329+4*(L329-N329)+9*M329+2*N329</f>
        <v>163</v>
      </c>
      <c r="K329" s="14" t="n">
        <v>14</v>
      </c>
      <c r="L329" s="14" t="n">
        <v>5</v>
      </c>
      <c r="M329" s="14" t="n">
        <v>10</v>
      </c>
      <c r="N329" s="14" t="n">
        <v>1.5</v>
      </c>
      <c r="O329" s="14" t="n">
        <v>2</v>
      </c>
      <c r="P329" s="15" t="n">
        <v>420</v>
      </c>
      <c r="Q329" s="16" t="n">
        <v>100</v>
      </c>
      <c r="R329" s="16" t="n">
        <v>150</v>
      </c>
      <c r="S329" s="16" t="n">
        <v>200</v>
      </c>
      <c r="T329" s="16" t="n">
        <v>250</v>
      </c>
      <c r="U329" s="16" t="n">
        <v>500</v>
      </c>
      <c r="V329" s="13" t="n">
        <f aca="false">IF(Q329="","",J329*Q329/100)</f>
        <v>163</v>
      </c>
      <c r="W329" s="13" t="n">
        <f aca="false">IF(R329="","",J329*R329/100)</f>
        <v>244.5</v>
      </c>
      <c r="X329" s="13" t="n">
        <f aca="false">IF(S329="","",J329*S329/100)</f>
        <v>326</v>
      </c>
      <c r="Y329" s="13" t="n">
        <f aca="false">IF(T329="","",J329*T329/100)</f>
        <v>407.5</v>
      </c>
      <c r="Z329" s="13" t="n">
        <f aca="false">IF(U329="","",J329*U329/100)</f>
        <v>815</v>
      </c>
      <c r="AA329" s="6" t="s">
        <v>103</v>
      </c>
      <c r="AB329" s="6" t="s">
        <v>104</v>
      </c>
      <c r="AC329" s="6"/>
      <c r="AD329" s="13" t="str">
        <f aca="false">IF(AC329="","",IFERROR(INDEX('INDB Full Nutrients'!$D:$D,MATCH(AC329,'INDB Full Nutrients'!$A:$A,0)),""))</f>
        <v/>
      </c>
      <c r="AE329" s="6"/>
      <c r="AF329" s="6"/>
    </row>
    <row r="330" customFormat="false" ht="15" hidden="false" customHeight="false" outlineLevel="0" collapsed="false">
      <c r="A330" s="6" t="s">
        <v>1355</v>
      </c>
      <c r="B330" s="6" t="s">
        <v>1356</v>
      </c>
      <c r="C330" s="6"/>
      <c r="D330" s="6" t="s">
        <v>50</v>
      </c>
      <c r="E330" s="6" t="s">
        <v>114</v>
      </c>
      <c r="F330" s="6" t="s">
        <v>569</v>
      </c>
      <c r="G330" s="6"/>
      <c r="H330" s="6" t="s">
        <v>588</v>
      </c>
      <c r="I330" s="6" t="s">
        <v>298</v>
      </c>
      <c r="J330" s="13" t="n">
        <f aca="false">4*K330+4*(L330-N330)+9*M330+2*N330</f>
        <v>160</v>
      </c>
      <c r="K330" s="14" t="n">
        <v>13</v>
      </c>
      <c r="L330" s="14" t="n">
        <v>5</v>
      </c>
      <c r="M330" s="14" t="n">
        <v>10</v>
      </c>
      <c r="N330" s="14" t="n">
        <v>1</v>
      </c>
      <c r="O330" s="14" t="n">
        <v>2.5</v>
      </c>
      <c r="P330" s="15" t="n">
        <v>450</v>
      </c>
      <c r="Q330" s="16" t="n">
        <v>100</v>
      </c>
      <c r="R330" s="16" t="n">
        <v>150</v>
      </c>
      <c r="S330" s="16" t="n">
        <v>200</v>
      </c>
      <c r="T330" s="16" t="n">
        <v>250</v>
      </c>
      <c r="U330" s="16" t="n">
        <v>500</v>
      </c>
      <c r="V330" s="13" t="n">
        <f aca="false">IF(Q330="","",J330*Q330/100)</f>
        <v>160</v>
      </c>
      <c r="W330" s="13" t="n">
        <f aca="false">IF(R330="","",J330*R330/100)</f>
        <v>240</v>
      </c>
      <c r="X330" s="13" t="n">
        <f aca="false">IF(S330="","",J330*S330/100)</f>
        <v>320</v>
      </c>
      <c r="Y330" s="13" t="n">
        <f aca="false">IF(T330="","",J330*T330/100)</f>
        <v>400</v>
      </c>
      <c r="Z330" s="13" t="n">
        <f aca="false">IF(U330="","",J330*U330/100)</f>
        <v>800</v>
      </c>
      <c r="AA330" s="6" t="s">
        <v>103</v>
      </c>
      <c r="AB330" s="6" t="s">
        <v>104</v>
      </c>
      <c r="AC330" s="6"/>
      <c r="AD330" s="13" t="str">
        <f aca="false">IF(AC330="","",IFERROR(INDEX('INDB Full Nutrients'!$D:$D,MATCH(AC330,'INDB Full Nutrients'!$A:$A,0)),""))</f>
        <v/>
      </c>
      <c r="AE330" s="6"/>
      <c r="AF330" s="6" t="s">
        <v>1357</v>
      </c>
    </row>
    <row r="331" customFormat="false" ht="15" hidden="false" customHeight="false" outlineLevel="0" collapsed="false">
      <c r="A331" s="6" t="s">
        <v>1358</v>
      </c>
      <c r="B331" s="6" t="s">
        <v>1359</v>
      </c>
      <c r="C331" s="6"/>
      <c r="D331" s="6" t="s">
        <v>50</v>
      </c>
      <c r="E331" s="6" t="s">
        <v>114</v>
      </c>
      <c r="F331" s="6" t="s">
        <v>569</v>
      </c>
      <c r="G331" s="6"/>
      <c r="H331" s="6" t="s">
        <v>588</v>
      </c>
      <c r="I331" s="6" t="s">
        <v>298</v>
      </c>
      <c r="J331" s="13" t="n">
        <f aca="false">4*K331+4*(L331-N331)+9*M331+2*N331</f>
        <v>176</v>
      </c>
      <c r="K331" s="14" t="n">
        <v>12</v>
      </c>
      <c r="L331" s="14" t="n">
        <v>6</v>
      </c>
      <c r="M331" s="14" t="n">
        <v>12</v>
      </c>
      <c r="N331" s="14" t="n">
        <v>2</v>
      </c>
      <c r="O331" s="14" t="n">
        <v>2</v>
      </c>
      <c r="P331" s="15" t="n">
        <v>450</v>
      </c>
      <c r="Q331" s="16" t="n">
        <v>100</v>
      </c>
      <c r="R331" s="16" t="n">
        <v>150</v>
      </c>
      <c r="S331" s="16" t="n">
        <v>200</v>
      </c>
      <c r="T331" s="16" t="n">
        <v>250</v>
      </c>
      <c r="U331" s="16" t="n">
        <v>500</v>
      </c>
      <c r="V331" s="13" t="n">
        <f aca="false">IF(Q331="","",J331*Q331/100)</f>
        <v>176</v>
      </c>
      <c r="W331" s="13" t="n">
        <f aca="false">IF(R331="","",J331*R331/100)</f>
        <v>264</v>
      </c>
      <c r="X331" s="13" t="n">
        <f aca="false">IF(S331="","",J331*S331/100)</f>
        <v>352</v>
      </c>
      <c r="Y331" s="13" t="n">
        <f aca="false">IF(T331="","",J331*T331/100)</f>
        <v>440</v>
      </c>
      <c r="Z331" s="13" t="n">
        <f aca="false">IF(U331="","",J331*U331/100)</f>
        <v>880</v>
      </c>
      <c r="AA331" s="6" t="s">
        <v>103</v>
      </c>
      <c r="AB331" s="6" t="s">
        <v>104</v>
      </c>
      <c r="AC331" s="6"/>
      <c r="AD331" s="13" t="str">
        <f aca="false">IF(AC331="","",IFERROR(INDEX('INDB Full Nutrients'!$D:$D,MATCH(AC331,'INDB Full Nutrients'!$A:$A,0)),""))</f>
        <v/>
      </c>
      <c r="AE331" s="6"/>
      <c r="AF331" s="6" t="s">
        <v>1360</v>
      </c>
    </row>
    <row r="332" customFormat="false" ht="15" hidden="false" customHeight="false" outlineLevel="0" collapsed="false">
      <c r="A332" s="6" t="s">
        <v>1361</v>
      </c>
      <c r="B332" s="6" t="s">
        <v>1362</v>
      </c>
      <c r="C332" s="6"/>
      <c r="D332" s="6" t="s">
        <v>50</v>
      </c>
      <c r="E332" s="6" t="s">
        <v>114</v>
      </c>
      <c r="F332" s="6" t="s">
        <v>569</v>
      </c>
      <c r="G332" s="6"/>
      <c r="H332" s="6" t="s">
        <v>588</v>
      </c>
      <c r="I332" s="6" t="s">
        <v>298</v>
      </c>
      <c r="J332" s="13" t="n">
        <f aca="false">4*K332+4*(L332-N332)+9*M332+2*N332</f>
        <v>178</v>
      </c>
      <c r="K332" s="14" t="n">
        <v>13</v>
      </c>
      <c r="L332" s="14" t="n">
        <v>5</v>
      </c>
      <c r="M332" s="14" t="n">
        <v>12</v>
      </c>
      <c r="N332" s="14" t="n">
        <v>1</v>
      </c>
      <c r="O332" s="14" t="n">
        <v>2</v>
      </c>
      <c r="P332" s="15" t="n">
        <v>450</v>
      </c>
      <c r="Q332" s="16" t="n">
        <v>100</v>
      </c>
      <c r="R332" s="16" t="n">
        <v>150</v>
      </c>
      <c r="S332" s="16" t="n">
        <v>200</v>
      </c>
      <c r="T332" s="16" t="n">
        <v>250</v>
      </c>
      <c r="U332" s="16" t="n">
        <v>500</v>
      </c>
      <c r="V332" s="13" t="n">
        <f aca="false">IF(Q332="","",J332*Q332/100)</f>
        <v>178</v>
      </c>
      <c r="W332" s="13" t="n">
        <f aca="false">IF(R332="","",J332*R332/100)</f>
        <v>267</v>
      </c>
      <c r="X332" s="13" t="n">
        <f aca="false">IF(S332="","",J332*S332/100)</f>
        <v>356</v>
      </c>
      <c r="Y332" s="13" t="n">
        <f aca="false">IF(T332="","",J332*T332/100)</f>
        <v>445</v>
      </c>
      <c r="Z332" s="13" t="n">
        <f aca="false">IF(U332="","",J332*U332/100)</f>
        <v>890</v>
      </c>
      <c r="AA332" s="6" t="s">
        <v>103</v>
      </c>
      <c r="AB332" s="6" t="s">
        <v>104</v>
      </c>
      <c r="AC332" s="6"/>
      <c r="AD332" s="13" t="str">
        <f aca="false">IF(AC332="","",IFERROR(INDEX('INDB Full Nutrients'!$D:$D,MATCH(AC332,'INDB Full Nutrients'!$A:$A,0)),""))</f>
        <v/>
      </c>
      <c r="AE332" s="6"/>
      <c r="AF332" s="6" t="s">
        <v>1314</v>
      </c>
    </row>
    <row r="333" customFormat="false" ht="15" hidden="false" customHeight="false" outlineLevel="0" collapsed="false">
      <c r="A333" s="6" t="s">
        <v>1363</v>
      </c>
      <c r="B333" s="6" t="s">
        <v>1364</v>
      </c>
      <c r="C333" s="6" t="s">
        <v>1365</v>
      </c>
      <c r="D333" s="6" t="s">
        <v>50</v>
      </c>
      <c r="E333" s="6" t="s">
        <v>205</v>
      </c>
      <c r="F333" s="6" t="s">
        <v>569</v>
      </c>
      <c r="G333" s="6"/>
      <c r="H333" s="6" t="s">
        <v>588</v>
      </c>
      <c r="I333" s="6" t="s">
        <v>298</v>
      </c>
      <c r="J333" s="13" t="n">
        <f aca="false">4*K333+4*(L333-N333)+9*M333+2*N333</f>
        <v>205</v>
      </c>
      <c r="K333" s="14" t="n">
        <v>14</v>
      </c>
      <c r="L333" s="14" t="n">
        <v>4</v>
      </c>
      <c r="M333" s="14" t="n">
        <v>15</v>
      </c>
      <c r="N333" s="14" t="n">
        <v>1</v>
      </c>
      <c r="O333" s="14" t="n">
        <v>2</v>
      </c>
      <c r="P333" s="15" t="n">
        <v>450</v>
      </c>
      <c r="Q333" s="16" t="n">
        <v>100</v>
      </c>
      <c r="R333" s="16" t="n">
        <v>150</v>
      </c>
      <c r="S333" s="16" t="n">
        <v>200</v>
      </c>
      <c r="T333" s="16" t="n">
        <v>250</v>
      </c>
      <c r="U333" s="16" t="n">
        <v>500</v>
      </c>
      <c r="V333" s="13" t="n">
        <f aca="false">IF(Q333="","",J333*Q333/100)</f>
        <v>205</v>
      </c>
      <c r="W333" s="13" t="n">
        <f aca="false">IF(R333="","",J333*R333/100)</f>
        <v>307.5</v>
      </c>
      <c r="X333" s="13" t="n">
        <f aca="false">IF(S333="","",J333*S333/100)</f>
        <v>410</v>
      </c>
      <c r="Y333" s="13" t="n">
        <f aca="false">IF(T333="","",J333*T333/100)</f>
        <v>512.5</v>
      </c>
      <c r="Z333" s="13" t="n">
        <f aca="false">IF(U333="","",J333*U333/100)</f>
        <v>1025</v>
      </c>
      <c r="AA333" s="6" t="s">
        <v>103</v>
      </c>
      <c r="AB333" s="6" t="s">
        <v>104</v>
      </c>
      <c r="AC333" s="6"/>
      <c r="AD333" s="13" t="str">
        <f aca="false">IF(AC333="","",IFERROR(INDEX('INDB Full Nutrients'!$D:$D,MATCH(AC333,'INDB Full Nutrients'!$A:$A,0)),""))</f>
        <v/>
      </c>
      <c r="AE333" s="6"/>
      <c r="AF333" s="6" t="s">
        <v>1366</v>
      </c>
    </row>
    <row r="334" customFormat="false" ht="15" hidden="false" customHeight="false" outlineLevel="0" collapsed="false">
      <c r="A334" s="6" t="s">
        <v>1367</v>
      </c>
      <c r="B334" s="6" t="s">
        <v>1368</v>
      </c>
      <c r="C334" s="6"/>
      <c r="D334" s="6" t="s">
        <v>50</v>
      </c>
      <c r="E334" s="6" t="s">
        <v>161</v>
      </c>
      <c r="F334" s="6" t="s">
        <v>569</v>
      </c>
      <c r="G334" s="6"/>
      <c r="H334" s="6" t="s">
        <v>588</v>
      </c>
      <c r="I334" s="6" t="s">
        <v>298</v>
      </c>
      <c r="J334" s="13" t="n">
        <f aca="false">4*K334+4*(L334-N334)+9*M334+2*N334</f>
        <v>170</v>
      </c>
      <c r="K334" s="14" t="n">
        <v>14</v>
      </c>
      <c r="L334" s="14" t="n">
        <v>4</v>
      </c>
      <c r="M334" s="14" t="n">
        <v>11</v>
      </c>
      <c r="N334" s="14" t="n">
        <v>0.5</v>
      </c>
      <c r="O334" s="14" t="n">
        <v>2</v>
      </c>
      <c r="P334" s="15" t="n">
        <v>450</v>
      </c>
      <c r="Q334" s="16" t="n">
        <v>100</v>
      </c>
      <c r="R334" s="16" t="n">
        <v>150</v>
      </c>
      <c r="S334" s="16" t="n">
        <v>200</v>
      </c>
      <c r="T334" s="16" t="n">
        <v>250</v>
      </c>
      <c r="U334" s="16" t="n">
        <v>500</v>
      </c>
      <c r="V334" s="13" t="n">
        <f aca="false">IF(Q334="","",J334*Q334/100)</f>
        <v>170</v>
      </c>
      <c r="W334" s="13" t="n">
        <f aca="false">IF(R334="","",J334*R334/100)</f>
        <v>255</v>
      </c>
      <c r="X334" s="13" t="n">
        <f aca="false">IF(S334="","",J334*S334/100)</f>
        <v>340</v>
      </c>
      <c r="Y334" s="13" t="n">
        <f aca="false">IF(T334="","",J334*T334/100)</f>
        <v>425</v>
      </c>
      <c r="Z334" s="13" t="n">
        <f aca="false">IF(U334="","",J334*U334/100)</f>
        <v>850</v>
      </c>
      <c r="AA334" s="6" t="s">
        <v>125</v>
      </c>
      <c r="AB334" s="6" t="s">
        <v>147</v>
      </c>
      <c r="AC334" s="6" t="s">
        <v>1369</v>
      </c>
      <c r="AD334" s="13" t="n">
        <f aca="false">IF(AC334="","",IFERROR(INDEX('INDB Full Nutrients'!$D:$D,MATCH(AC334,'INDB Full Nutrients'!$A:$A,0)),""))</f>
        <v>151.512954711914</v>
      </c>
      <c r="AE334" s="6" t="s">
        <v>1370</v>
      </c>
      <c r="AF334" s="6"/>
    </row>
    <row r="335" customFormat="false" ht="15" hidden="false" customHeight="false" outlineLevel="0" collapsed="false">
      <c r="A335" s="6" t="s">
        <v>1371</v>
      </c>
      <c r="B335" s="6" t="s">
        <v>1372</v>
      </c>
      <c r="C335" s="6" t="s">
        <v>1373</v>
      </c>
      <c r="D335" s="6" t="s">
        <v>50</v>
      </c>
      <c r="E335" s="6" t="s">
        <v>99</v>
      </c>
      <c r="F335" s="6" t="s">
        <v>569</v>
      </c>
      <c r="G335" s="6"/>
      <c r="H335" s="6" t="s">
        <v>588</v>
      </c>
      <c r="I335" s="6" t="s">
        <v>298</v>
      </c>
      <c r="J335" s="13" t="n">
        <f aca="false">4*K335+4*(L335-N335)+9*M335+2*N335</f>
        <v>165.4</v>
      </c>
      <c r="K335" s="14" t="n">
        <v>13</v>
      </c>
      <c r="L335" s="14" t="n">
        <v>4</v>
      </c>
      <c r="M335" s="14" t="n">
        <v>11</v>
      </c>
      <c r="N335" s="14" t="n">
        <v>0.8</v>
      </c>
      <c r="O335" s="14" t="n">
        <v>1.5</v>
      </c>
      <c r="P335" s="15" t="n">
        <v>400</v>
      </c>
      <c r="Q335" s="16" t="n">
        <v>100</v>
      </c>
      <c r="R335" s="16" t="n">
        <v>150</v>
      </c>
      <c r="S335" s="16" t="n">
        <v>200</v>
      </c>
      <c r="T335" s="16" t="n">
        <v>250</v>
      </c>
      <c r="U335" s="16" t="n">
        <v>500</v>
      </c>
      <c r="V335" s="13" t="n">
        <f aca="false">IF(Q335="","",J335*Q335/100)</f>
        <v>165.4</v>
      </c>
      <c r="W335" s="13" t="n">
        <f aca="false">IF(R335="","",J335*R335/100)</f>
        <v>248.1</v>
      </c>
      <c r="X335" s="13" t="n">
        <f aca="false">IF(S335="","",J335*S335/100)</f>
        <v>330.8</v>
      </c>
      <c r="Y335" s="13" t="n">
        <f aca="false">IF(T335="","",J335*T335/100)</f>
        <v>413.5</v>
      </c>
      <c r="Z335" s="13" t="n">
        <f aca="false">IF(U335="","",J335*U335/100)</f>
        <v>827</v>
      </c>
      <c r="AA335" s="6" t="s">
        <v>103</v>
      </c>
      <c r="AB335" s="6" t="s">
        <v>104</v>
      </c>
      <c r="AC335" s="6"/>
      <c r="AD335" s="13" t="str">
        <f aca="false">IF(AC335="","",IFERROR(INDEX('INDB Full Nutrients'!$D:$D,MATCH(AC335,'INDB Full Nutrients'!$A:$A,0)),""))</f>
        <v/>
      </c>
      <c r="AE335" s="6"/>
      <c r="AF335" s="6" t="s">
        <v>1314</v>
      </c>
    </row>
    <row r="336" customFormat="false" ht="15" hidden="false" customHeight="false" outlineLevel="0" collapsed="false">
      <c r="A336" s="6" t="s">
        <v>1374</v>
      </c>
      <c r="B336" s="6" t="s">
        <v>1375</v>
      </c>
      <c r="C336" s="6" t="s">
        <v>1376</v>
      </c>
      <c r="D336" s="6" t="s">
        <v>50</v>
      </c>
      <c r="E336" s="6" t="s">
        <v>161</v>
      </c>
      <c r="F336" s="6" t="s">
        <v>569</v>
      </c>
      <c r="G336" s="6"/>
      <c r="H336" s="6" t="s">
        <v>588</v>
      </c>
      <c r="I336" s="6" t="s">
        <v>298</v>
      </c>
      <c r="J336" s="13" t="n">
        <f aca="false">4*K336+4*(L336-N336)+9*M336+2*N336</f>
        <v>180.5</v>
      </c>
      <c r="K336" s="14" t="n">
        <v>13</v>
      </c>
      <c r="L336" s="14" t="n">
        <v>4.5</v>
      </c>
      <c r="M336" s="14" t="n">
        <v>12.5</v>
      </c>
      <c r="N336" s="14" t="n">
        <v>1</v>
      </c>
      <c r="O336" s="14" t="n">
        <v>2</v>
      </c>
      <c r="P336" s="15" t="n">
        <v>420</v>
      </c>
      <c r="Q336" s="16" t="n">
        <v>100</v>
      </c>
      <c r="R336" s="16" t="n">
        <v>150</v>
      </c>
      <c r="S336" s="16" t="n">
        <v>200</v>
      </c>
      <c r="T336" s="16" t="n">
        <v>250</v>
      </c>
      <c r="U336" s="16" t="n">
        <v>500</v>
      </c>
      <c r="V336" s="13" t="n">
        <f aca="false">IF(Q336="","",J336*Q336/100)</f>
        <v>180.5</v>
      </c>
      <c r="W336" s="13" t="n">
        <f aca="false">IF(R336="","",J336*R336/100)</f>
        <v>270.75</v>
      </c>
      <c r="X336" s="13" t="n">
        <f aca="false">IF(S336="","",J336*S336/100)</f>
        <v>361</v>
      </c>
      <c r="Y336" s="13" t="n">
        <f aca="false">IF(T336="","",J336*T336/100)</f>
        <v>451.25</v>
      </c>
      <c r="Z336" s="13" t="n">
        <f aca="false">IF(U336="","",J336*U336/100)</f>
        <v>902.5</v>
      </c>
      <c r="AA336" s="6" t="s">
        <v>103</v>
      </c>
      <c r="AB336" s="6" t="s">
        <v>104</v>
      </c>
      <c r="AC336" s="6" t="s">
        <v>1377</v>
      </c>
      <c r="AD336" s="13" t="n">
        <f aca="false">IF(AC336="","",IFERROR(INDEX('INDB Full Nutrients'!$D:$D,MATCH(AC336,'INDB Full Nutrients'!$A:$A,0)),""))</f>
        <v>139.586074829102</v>
      </c>
      <c r="AE336" s="6" t="s">
        <v>1378</v>
      </c>
      <c r="AF336" s="6" t="s">
        <v>1314</v>
      </c>
    </row>
    <row r="337" customFormat="false" ht="15" hidden="false" customHeight="false" outlineLevel="0" collapsed="false">
      <c r="A337" s="6" t="s">
        <v>1379</v>
      </c>
      <c r="B337" s="6" t="s">
        <v>1380</v>
      </c>
      <c r="C337" s="6"/>
      <c r="D337" s="6" t="s">
        <v>50</v>
      </c>
      <c r="E337" s="6" t="s">
        <v>161</v>
      </c>
      <c r="F337" s="6" t="s">
        <v>569</v>
      </c>
      <c r="G337" s="6"/>
      <c r="H337" s="6" t="s">
        <v>588</v>
      </c>
      <c r="I337" s="6" t="s">
        <v>298</v>
      </c>
      <c r="J337" s="13" t="n">
        <f aca="false">4*K337+4*(L337-N337)+9*M337+2*N337</f>
        <v>198</v>
      </c>
      <c r="K337" s="14" t="n">
        <v>12.5</v>
      </c>
      <c r="L337" s="14" t="n">
        <v>6</v>
      </c>
      <c r="M337" s="14" t="n">
        <v>14</v>
      </c>
      <c r="N337" s="14" t="n">
        <v>1</v>
      </c>
      <c r="O337" s="14" t="n">
        <v>2.5</v>
      </c>
      <c r="P337" s="15" t="n">
        <v>420</v>
      </c>
      <c r="Q337" s="16" t="n">
        <v>100</v>
      </c>
      <c r="R337" s="16" t="n">
        <v>150</v>
      </c>
      <c r="S337" s="16" t="n">
        <v>200</v>
      </c>
      <c r="T337" s="16" t="n">
        <v>250</v>
      </c>
      <c r="U337" s="16" t="n">
        <v>500</v>
      </c>
      <c r="V337" s="13" t="n">
        <f aca="false">IF(Q337="","",J337*Q337/100)</f>
        <v>198</v>
      </c>
      <c r="W337" s="13" t="n">
        <f aca="false">IF(R337="","",J337*R337/100)</f>
        <v>297</v>
      </c>
      <c r="X337" s="13" t="n">
        <f aca="false">IF(S337="","",J337*S337/100)</f>
        <v>396</v>
      </c>
      <c r="Y337" s="13" t="n">
        <f aca="false">IF(T337="","",J337*T337/100)</f>
        <v>495</v>
      </c>
      <c r="Z337" s="13" t="n">
        <f aca="false">IF(U337="","",J337*U337/100)</f>
        <v>990</v>
      </c>
      <c r="AA337" s="6" t="s">
        <v>103</v>
      </c>
      <c r="AB337" s="6" t="s">
        <v>104</v>
      </c>
      <c r="AC337" s="6" t="s">
        <v>1381</v>
      </c>
      <c r="AD337" s="13" t="n">
        <f aca="false">IF(AC337="","",IFERROR(INDEX('INDB Full Nutrients'!$D:$D,MATCH(AC337,'INDB Full Nutrients'!$A:$A,0)),""))</f>
        <v>115.638771057129</v>
      </c>
      <c r="AE337" s="6" t="s">
        <v>1382</v>
      </c>
      <c r="AF337" s="6" t="s">
        <v>1314</v>
      </c>
    </row>
    <row r="338" customFormat="false" ht="15" hidden="false" customHeight="false" outlineLevel="0" collapsed="false">
      <c r="A338" s="6" t="s">
        <v>1383</v>
      </c>
      <c r="B338" s="6" t="s">
        <v>1384</v>
      </c>
      <c r="C338" s="6"/>
      <c r="D338" s="6" t="s">
        <v>50</v>
      </c>
      <c r="E338" s="6" t="s">
        <v>161</v>
      </c>
      <c r="F338" s="6" t="s">
        <v>569</v>
      </c>
      <c r="G338" s="6"/>
      <c r="H338" s="6" t="s">
        <v>588</v>
      </c>
      <c r="I338" s="6" t="s">
        <v>298</v>
      </c>
      <c r="J338" s="13" t="n">
        <f aca="false">4*K338+4*(L338-N338)+9*M338+2*N338</f>
        <v>203.6</v>
      </c>
      <c r="K338" s="14" t="n">
        <v>15</v>
      </c>
      <c r="L338" s="14" t="n">
        <v>5</v>
      </c>
      <c r="M338" s="14" t="n">
        <v>14</v>
      </c>
      <c r="N338" s="14" t="n">
        <v>1.2</v>
      </c>
      <c r="O338" s="14" t="n">
        <v>2</v>
      </c>
      <c r="P338" s="15" t="n">
        <v>450</v>
      </c>
      <c r="Q338" s="16" t="n">
        <v>100</v>
      </c>
      <c r="R338" s="16" t="n">
        <v>150</v>
      </c>
      <c r="S338" s="16" t="n">
        <v>200</v>
      </c>
      <c r="T338" s="16" t="n">
        <v>250</v>
      </c>
      <c r="U338" s="16" t="n">
        <v>500</v>
      </c>
      <c r="V338" s="13" t="n">
        <f aca="false">IF(Q338="","",J338*Q338/100)</f>
        <v>203.6</v>
      </c>
      <c r="W338" s="13" t="n">
        <f aca="false">IF(R338="","",J338*R338/100)</f>
        <v>305.4</v>
      </c>
      <c r="X338" s="13" t="n">
        <f aca="false">IF(S338="","",J338*S338/100)</f>
        <v>407.2</v>
      </c>
      <c r="Y338" s="13" t="n">
        <f aca="false">IF(T338="","",J338*T338/100)</f>
        <v>509</v>
      </c>
      <c r="Z338" s="13" t="n">
        <f aca="false">IF(U338="","",J338*U338/100)</f>
        <v>1018</v>
      </c>
      <c r="AA338" s="6" t="s">
        <v>103</v>
      </c>
      <c r="AB338" s="6" t="s">
        <v>104</v>
      </c>
      <c r="AC338" s="6"/>
      <c r="AD338" s="13" t="str">
        <f aca="false">IF(AC338="","",IFERROR(INDEX('INDB Full Nutrients'!$D:$D,MATCH(AC338,'INDB Full Nutrients'!$A:$A,0)),""))</f>
        <v/>
      </c>
      <c r="AE338" s="6"/>
      <c r="AF338" s="6" t="s">
        <v>1314</v>
      </c>
    </row>
    <row r="339" customFormat="false" ht="15" hidden="false" customHeight="false" outlineLevel="0" collapsed="false">
      <c r="A339" s="6" t="s">
        <v>1385</v>
      </c>
      <c r="B339" s="6" t="s">
        <v>1386</v>
      </c>
      <c r="C339" s="6" t="s">
        <v>1387</v>
      </c>
      <c r="D339" s="6" t="s">
        <v>50</v>
      </c>
      <c r="E339" s="6" t="s">
        <v>161</v>
      </c>
      <c r="F339" s="6" t="s">
        <v>569</v>
      </c>
      <c r="G339" s="6"/>
      <c r="H339" s="6" t="s">
        <v>588</v>
      </c>
      <c r="I339" s="6" t="s">
        <v>298</v>
      </c>
      <c r="J339" s="13" t="n">
        <f aca="false">4*K339+4*(L339-N339)+9*M339+2*N339</f>
        <v>189</v>
      </c>
      <c r="K339" s="14" t="n">
        <v>13</v>
      </c>
      <c r="L339" s="14" t="n">
        <v>6</v>
      </c>
      <c r="M339" s="14" t="n">
        <v>13</v>
      </c>
      <c r="N339" s="14" t="n">
        <v>2</v>
      </c>
      <c r="O339" s="14" t="n">
        <v>2</v>
      </c>
      <c r="P339" s="15" t="n">
        <v>420</v>
      </c>
      <c r="Q339" s="16" t="n">
        <v>100</v>
      </c>
      <c r="R339" s="16" t="n">
        <v>150</v>
      </c>
      <c r="S339" s="16" t="n">
        <v>200</v>
      </c>
      <c r="T339" s="16" t="n">
        <v>250</v>
      </c>
      <c r="U339" s="16" t="n">
        <v>500</v>
      </c>
      <c r="V339" s="13" t="n">
        <f aca="false">IF(Q339="","",J339*Q339/100)</f>
        <v>189</v>
      </c>
      <c r="W339" s="13" t="n">
        <f aca="false">IF(R339="","",J339*R339/100)</f>
        <v>283.5</v>
      </c>
      <c r="X339" s="13" t="n">
        <f aca="false">IF(S339="","",J339*S339/100)</f>
        <v>378</v>
      </c>
      <c r="Y339" s="13" t="n">
        <f aca="false">IF(T339="","",J339*T339/100)</f>
        <v>472.5</v>
      </c>
      <c r="Z339" s="13" t="n">
        <f aca="false">IF(U339="","",J339*U339/100)</f>
        <v>945</v>
      </c>
      <c r="AA339" s="6" t="s">
        <v>103</v>
      </c>
      <c r="AB339" s="6" t="s">
        <v>104</v>
      </c>
      <c r="AC339" s="6" t="s">
        <v>1388</v>
      </c>
      <c r="AD339" s="13" t="n">
        <f aca="false">IF(AC339="","",IFERROR(INDEX('INDB Full Nutrients'!$D:$D,MATCH(AC339,'INDB Full Nutrients'!$A:$A,0)),""))</f>
        <v>133.002975463867</v>
      </c>
      <c r="AE339" s="6" t="s">
        <v>1389</v>
      </c>
      <c r="AF339" s="6"/>
    </row>
    <row r="340" customFormat="false" ht="15" hidden="false" customHeight="false" outlineLevel="0" collapsed="false">
      <c r="A340" s="6" t="s">
        <v>1390</v>
      </c>
      <c r="B340" s="6" t="s">
        <v>1391</v>
      </c>
      <c r="C340" s="6"/>
      <c r="D340" s="6" t="s">
        <v>50</v>
      </c>
      <c r="E340" s="6" t="s">
        <v>114</v>
      </c>
      <c r="F340" s="6" t="s">
        <v>569</v>
      </c>
      <c r="G340" s="6"/>
      <c r="H340" s="6" t="s">
        <v>588</v>
      </c>
      <c r="I340" s="6" t="s">
        <v>298</v>
      </c>
      <c r="J340" s="13" t="n">
        <f aca="false">4*K340+4*(L340-N340)+9*M340+2*N340</f>
        <v>204.6</v>
      </c>
      <c r="K340" s="14" t="n">
        <v>14</v>
      </c>
      <c r="L340" s="14" t="n">
        <v>4</v>
      </c>
      <c r="M340" s="14" t="n">
        <v>15</v>
      </c>
      <c r="N340" s="14" t="n">
        <v>1.2</v>
      </c>
      <c r="O340" s="14" t="n">
        <v>1.5</v>
      </c>
      <c r="P340" s="15" t="n">
        <v>450</v>
      </c>
      <c r="Q340" s="16" t="n">
        <v>100</v>
      </c>
      <c r="R340" s="16" t="n">
        <v>150</v>
      </c>
      <c r="S340" s="16" t="n">
        <v>200</v>
      </c>
      <c r="T340" s="16" t="n">
        <v>250</v>
      </c>
      <c r="U340" s="16" t="n">
        <v>500</v>
      </c>
      <c r="V340" s="13" t="n">
        <f aca="false">IF(Q340="","",J340*Q340/100)</f>
        <v>204.6</v>
      </c>
      <c r="W340" s="13" t="n">
        <f aca="false">IF(R340="","",J340*R340/100)</f>
        <v>306.9</v>
      </c>
      <c r="X340" s="13" t="n">
        <f aca="false">IF(S340="","",J340*S340/100)</f>
        <v>409.2</v>
      </c>
      <c r="Y340" s="13" t="n">
        <f aca="false">IF(T340="","",J340*T340/100)</f>
        <v>511.5</v>
      </c>
      <c r="Z340" s="13" t="n">
        <f aca="false">IF(U340="","",J340*U340/100)</f>
        <v>1023</v>
      </c>
      <c r="AA340" s="6" t="s">
        <v>103</v>
      </c>
      <c r="AB340" s="6" t="s">
        <v>104</v>
      </c>
      <c r="AC340" s="6"/>
      <c r="AD340" s="13" t="str">
        <f aca="false">IF(AC340="","",IFERROR(INDEX('INDB Full Nutrients'!$D:$D,MATCH(AC340,'INDB Full Nutrients'!$A:$A,0)),""))</f>
        <v/>
      </c>
      <c r="AE340" s="6"/>
      <c r="AF340" s="6" t="s">
        <v>1392</v>
      </c>
    </row>
    <row r="341" customFormat="false" ht="15" hidden="false" customHeight="false" outlineLevel="0" collapsed="false">
      <c r="A341" s="6" t="s">
        <v>1393</v>
      </c>
      <c r="B341" s="6" t="s">
        <v>1394</v>
      </c>
      <c r="C341" s="6" t="s">
        <v>1395</v>
      </c>
      <c r="D341" s="6" t="s">
        <v>50</v>
      </c>
      <c r="E341" s="6" t="s">
        <v>161</v>
      </c>
      <c r="F341" s="6" t="s">
        <v>569</v>
      </c>
      <c r="G341" s="6"/>
      <c r="H341" s="6" t="s">
        <v>588</v>
      </c>
      <c r="I341" s="6" t="s">
        <v>298</v>
      </c>
      <c r="J341" s="13" t="n">
        <f aca="false">4*K341+4*(L341-N341)+9*M341+2*N341</f>
        <v>144.4</v>
      </c>
      <c r="K341" s="14" t="n">
        <v>12</v>
      </c>
      <c r="L341" s="14" t="n">
        <v>4</v>
      </c>
      <c r="M341" s="14" t="n">
        <v>9</v>
      </c>
      <c r="N341" s="14" t="n">
        <v>0.3</v>
      </c>
      <c r="O341" s="14" t="n">
        <v>1.5</v>
      </c>
      <c r="P341" s="15" t="n">
        <v>380</v>
      </c>
      <c r="Q341" s="16" t="n">
        <v>100</v>
      </c>
      <c r="R341" s="16" t="n">
        <v>150</v>
      </c>
      <c r="S341" s="16" t="n">
        <v>200</v>
      </c>
      <c r="T341" s="16" t="n">
        <v>250</v>
      </c>
      <c r="U341" s="16" t="n">
        <v>500</v>
      </c>
      <c r="V341" s="13" t="n">
        <f aca="false">IF(Q341="","",J341*Q341/100)</f>
        <v>144.4</v>
      </c>
      <c r="W341" s="13" t="n">
        <f aca="false">IF(R341="","",J341*R341/100)</f>
        <v>216.6</v>
      </c>
      <c r="X341" s="13" t="n">
        <f aca="false">IF(S341="","",J341*S341/100)</f>
        <v>288.8</v>
      </c>
      <c r="Y341" s="13" t="n">
        <f aca="false">IF(T341="","",J341*T341/100)</f>
        <v>361</v>
      </c>
      <c r="Z341" s="13" t="n">
        <f aca="false">IF(U341="","",J341*U341/100)</f>
        <v>722</v>
      </c>
      <c r="AA341" s="6" t="s">
        <v>103</v>
      </c>
      <c r="AB341" s="6" t="s">
        <v>104</v>
      </c>
      <c r="AC341" s="6" t="s">
        <v>1396</v>
      </c>
      <c r="AD341" s="13" t="n">
        <f aca="false">IF(AC341="","",IFERROR(INDEX('INDB Full Nutrients'!$D:$D,MATCH(AC341,'INDB Full Nutrients'!$A:$A,0)),""))</f>
        <v>104.125045776367</v>
      </c>
      <c r="AE341" s="6" t="s">
        <v>1397</v>
      </c>
      <c r="AF341" s="6" t="s">
        <v>1398</v>
      </c>
    </row>
    <row r="342" customFormat="false" ht="15" hidden="false" customHeight="false" outlineLevel="0" collapsed="false">
      <c r="A342" s="6" t="s">
        <v>1399</v>
      </c>
      <c r="B342" s="6" t="s">
        <v>1400</v>
      </c>
      <c r="C342" s="6"/>
      <c r="D342" s="6" t="s">
        <v>50</v>
      </c>
      <c r="E342" s="6" t="s">
        <v>161</v>
      </c>
      <c r="F342" s="6" t="s">
        <v>569</v>
      </c>
      <c r="G342" s="6"/>
      <c r="H342" s="6" t="s">
        <v>588</v>
      </c>
      <c r="I342" s="6" t="s">
        <v>298</v>
      </c>
      <c r="J342" s="13" t="n">
        <f aca="false">4*K342+4*(L342-N342)+9*M342+2*N342</f>
        <v>188</v>
      </c>
      <c r="K342" s="14" t="n">
        <v>13</v>
      </c>
      <c r="L342" s="14" t="n">
        <v>5</v>
      </c>
      <c r="M342" s="14" t="n">
        <v>13</v>
      </c>
      <c r="N342" s="14" t="n">
        <v>0.5</v>
      </c>
      <c r="O342" s="14" t="n">
        <v>1</v>
      </c>
      <c r="P342" s="15" t="n">
        <v>450</v>
      </c>
      <c r="Q342" s="16" t="n">
        <v>100</v>
      </c>
      <c r="R342" s="16" t="n">
        <v>150</v>
      </c>
      <c r="S342" s="16" t="n">
        <v>200</v>
      </c>
      <c r="T342" s="16" t="n">
        <v>250</v>
      </c>
      <c r="U342" s="16" t="n">
        <v>500</v>
      </c>
      <c r="V342" s="13" t="n">
        <f aca="false">IF(Q342="","",J342*Q342/100)</f>
        <v>188</v>
      </c>
      <c r="W342" s="13" t="n">
        <f aca="false">IF(R342="","",J342*R342/100)</f>
        <v>282</v>
      </c>
      <c r="X342" s="13" t="n">
        <f aca="false">IF(S342="","",J342*S342/100)</f>
        <v>376</v>
      </c>
      <c r="Y342" s="13" t="n">
        <f aca="false">IF(T342="","",J342*T342/100)</f>
        <v>470</v>
      </c>
      <c r="Z342" s="13" t="n">
        <f aca="false">IF(U342="","",J342*U342/100)</f>
        <v>940</v>
      </c>
      <c r="AA342" s="6" t="s">
        <v>103</v>
      </c>
      <c r="AB342" s="6" t="s">
        <v>104</v>
      </c>
      <c r="AC342" s="6"/>
      <c r="AD342" s="13" t="str">
        <f aca="false">IF(AC342="","",IFERROR(INDEX('INDB Full Nutrients'!$D:$D,MATCH(AC342,'INDB Full Nutrients'!$A:$A,0)),""))</f>
        <v/>
      </c>
      <c r="AE342" s="6"/>
      <c r="AF342" s="6" t="s">
        <v>1314</v>
      </c>
    </row>
    <row r="343" customFormat="false" ht="15" hidden="false" customHeight="false" outlineLevel="0" collapsed="false">
      <c r="A343" s="6" t="s">
        <v>1401</v>
      </c>
      <c r="B343" s="6" t="s">
        <v>1402</v>
      </c>
      <c r="C343" s="6"/>
      <c r="D343" s="6" t="s">
        <v>50</v>
      </c>
      <c r="E343" s="6" t="s">
        <v>119</v>
      </c>
      <c r="F343" s="6" t="s">
        <v>569</v>
      </c>
      <c r="G343" s="6"/>
      <c r="H343" s="6" t="s">
        <v>588</v>
      </c>
      <c r="I343" s="6" t="s">
        <v>298</v>
      </c>
      <c r="J343" s="13" t="n">
        <f aca="false">4*K343+4*(L343-N343)+9*M343+2*N343</f>
        <v>164</v>
      </c>
      <c r="K343" s="14" t="n">
        <v>9</v>
      </c>
      <c r="L343" s="14" t="n">
        <v>13</v>
      </c>
      <c r="M343" s="14" t="n">
        <v>9</v>
      </c>
      <c r="N343" s="14" t="n">
        <v>2.5</v>
      </c>
      <c r="O343" s="14" t="n">
        <v>0.8</v>
      </c>
      <c r="P343" s="15" t="n">
        <v>380</v>
      </c>
      <c r="Q343" s="16" t="n">
        <v>100</v>
      </c>
      <c r="R343" s="16" t="n">
        <v>150</v>
      </c>
      <c r="S343" s="16" t="n">
        <v>200</v>
      </c>
      <c r="T343" s="16" t="n">
        <v>250</v>
      </c>
      <c r="U343" s="16" t="n">
        <v>500</v>
      </c>
      <c r="V343" s="13" t="n">
        <f aca="false">IF(Q343="","",J343*Q343/100)</f>
        <v>164</v>
      </c>
      <c r="W343" s="13" t="n">
        <f aca="false">IF(R343="","",J343*R343/100)</f>
        <v>246</v>
      </c>
      <c r="X343" s="13" t="n">
        <f aca="false">IF(S343="","",J343*S343/100)</f>
        <v>328</v>
      </c>
      <c r="Y343" s="13" t="n">
        <f aca="false">IF(T343="","",J343*T343/100)</f>
        <v>410</v>
      </c>
      <c r="Z343" s="13" t="n">
        <f aca="false">IF(U343="","",J343*U343/100)</f>
        <v>820</v>
      </c>
      <c r="AA343" s="6" t="s">
        <v>103</v>
      </c>
      <c r="AB343" s="6" t="s">
        <v>104</v>
      </c>
      <c r="AC343" s="6"/>
      <c r="AD343" s="13" t="str">
        <f aca="false">IF(AC343="","",IFERROR(INDEX('INDB Full Nutrients'!$D:$D,MATCH(AC343,'INDB Full Nutrients'!$A:$A,0)),""))</f>
        <v/>
      </c>
      <c r="AE343" s="6"/>
      <c r="AF343" s="6" t="s">
        <v>1403</v>
      </c>
    </row>
    <row r="344" customFormat="false" ht="15" hidden="false" customHeight="false" outlineLevel="0" collapsed="false">
      <c r="A344" s="6" t="s">
        <v>1404</v>
      </c>
      <c r="B344" s="6" t="s">
        <v>1405</v>
      </c>
      <c r="C344" s="6" t="s">
        <v>1406</v>
      </c>
      <c r="D344" s="6" t="s">
        <v>50</v>
      </c>
      <c r="E344" s="6" t="s">
        <v>119</v>
      </c>
      <c r="F344" s="6" t="s">
        <v>569</v>
      </c>
      <c r="G344" s="6"/>
      <c r="H344" s="6" t="s">
        <v>588</v>
      </c>
      <c r="I344" s="6" t="s">
        <v>298</v>
      </c>
      <c r="J344" s="13" t="n">
        <f aca="false">4*K344+4*(L344-N344)+9*M344+2*N344</f>
        <v>214</v>
      </c>
      <c r="K344" s="14" t="n">
        <v>18</v>
      </c>
      <c r="L344" s="14" t="n">
        <v>5</v>
      </c>
      <c r="M344" s="14" t="n">
        <v>14</v>
      </c>
      <c r="N344" s="14" t="n">
        <v>2</v>
      </c>
      <c r="O344" s="14" t="n">
        <v>1.5</v>
      </c>
      <c r="P344" s="15" t="n">
        <v>450</v>
      </c>
      <c r="Q344" s="16" t="n">
        <v>75</v>
      </c>
      <c r="R344" s="16" t="n">
        <v>100</v>
      </c>
      <c r="S344" s="16" t="n">
        <v>150</v>
      </c>
      <c r="T344" s="16" t="n">
        <v>200</v>
      </c>
      <c r="U344" s="16" t="n">
        <v>400</v>
      </c>
      <c r="V344" s="13" t="n">
        <f aca="false">IF(Q344="","",J344*Q344/100)</f>
        <v>160.5</v>
      </c>
      <c r="W344" s="13" t="n">
        <f aca="false">IF(R344="","",J344*R344/100)</f>
        <v>214</v>
      </c>
      <c r="X344" s="13" t="n">
        <f aca="false">IF(S344="","",J344*S344/100)</f>
        <v>321</v>
      </c>
      <c r="Y344" s="13" t="n">
        <f aca="false">IF(T344="","",J344*T344/100)</f>
        <v>428</v>
      </c>
      <c r="Z344" s="13" t="n">
        <f aca="false">IF(U344="","",J344*U344/100)</f>
        <v>856</v>
      </c>
      <c r="AA344" s="6" t="s">
        <v>103</v>
      </c>
      <c r="AB344" s="6" t="s">
        <v>104</v>
      </c>
      <c r="AC344" s="6"/>
      <c r="AD344" s="13" t="str">
        <f aca="false">IF(AC344="","",IFERROR(INDEX('INDB Full Nutrients'!$D:$D,MATCH(AC344,'INDB Full Nutrients'!$A:$A,0)),""))</f>
        <v/>
      </c>
      <c r="AE344" s="6"/>
      <c r="AF344" s="6"/>
    </row>
    <row r="345" customFormat="false" ht="15" hidden="false" customHeight="false" outlineLevel="0" collapsed="false">
      <c r="A345" s="6" t="s">
        <v>1407</v>
      </c>
      <c r="B345" s="6" t="s">
        <v>1408</v>
      </c>
      <c r="C345" s="6" t="s">
        <v>1409</v>
      </c>
      <c r="D345" s="6" t="s">
        <v>50</v>
      </c>
      <c r="E345" s="6" t="s">
        <v>119</v>
      </c>
      <c r="F345" s="6" t="s">
        <v>569</v>
      </c>
      <c r="G345" s="6"/>
      <c r="H345" s="6" t="s">
        <v>588</v>
      </c>
      <c r="I345" s="6" t="s">
        <v>298</v>
      </c>
      <c r="J345" s="13" t="n">
        <f aca="false">4*K345+4*(L345-N345)+9*M345+2*N345</f>
        <v>219.6</v>
      </c>
      <c r="K345" s="14" t="n">
        <v>20</v>
      </c>
      <c r="L345" s="14" t="n">
        <v>4</v>
      </c>
      <c r="M345" s="14" t="n">
        <v>14</v>
      </c>
      <c r="N345" s="14" t="n">
        <v>1.2</v>
      </c>
      <c r="O345" s="14" t="n">
        <v>1</v>
      </c>
      <c r="P345" s="15" t="n">
        <v>450</v>
      </c>
      <c r="Q345" s="16" t="n">
        <v>75</v>
      </c>
      <c r="R345" s="16" t="n">
        <v>100</v>
      </c>
      <c r="S345" s="16" t="n">
        <v>150</v>
      </c>
      <c r="T345" s="16" t="n">
        <v>200</v>
      </c>
      <c r="U345" s="16" t="n">
        <v>400</v>
      </c>
      <c r="V345" s="13" t="n">
        <f aca="false">IF(Q345="","",J345*Q345/100)</f>
        <v>164.7</v>
      </c>
      <c r="W345" s="13" t="n">
        <f aca="false">IF(R345="","",J345*R345/100)</f>
        <v>219.6</v>
      </c>
      <c r="X345" s="13" t="n">
        <f aca="false">IF(S345="","",J345*S345/100)</f>
        <v>329.4</v>
      </c>
      <c r="Y345" s="13" t="n">
        <f aca="false">IF(T345="","",J345*T345/100)</f>
        <v>439.2</v>
      </c>
      <c r="Z345" s="13" t="n">
        <f aca="false">IF(U345="","",J345*U345/100)</f>
        <v>878.4</v>
      </c>
      <c r="AA345" s="6" t="s">
        <v>103</v>
      </c>
      <c r="AB345" s="6" t="s">
        <v>104</v>
      </c>
      <c r="AC345" s="6"/>
      <c r="AD345" s="13" t="str">
        <f aca="false">IF(AC345="","",IFERROR(INDEX('INDB Full Nutrients'!$D:$D,MATCH(AC345,'INDB Full Nutrients'!$A:$A,0)),""))</f>
        <v/>
      </c>
      <c r="AE345" s="6"/>
      <c r="AF345" s="6" t="s">
        <v>1410</v>
      </c>
    </row>
    <row r="346" customFormat="false" ht="15" hidden="false" customHeight="false" outlineLevel="0" collapsed="false">
      <c r="A346" s="6" t="s">
        <v>1411</v>
      </c>
      <c r="B346" s="6" t="s">
        <v>1412</v>
      </c>
      <c r="C346" s="6"/>
      <c r="D346" s="6" t="s">
        <v>50</v>
      </c>
      <c r="E346" s="6" t="s">
        <v>119</v>
      </c>
      <c r="F346" s="6" t="s">
        <v>569</v>
      </c>
      <c r="G346" s="6"/>
      <c r="H346" s="6" t="s">
        <v>588</v>
      </c>
      <c r="I346" s="6" t="s">
        <v>298</v>
      </c>
      <c r="J346" s="13" t="n">
        <f aca="false">4*K346+4*(L346-N346)+9*M346+2*N346</f>
        <v>169</v>
      </c>
      <c r="K346" s="14" t="n">
        <v>14</v>
      </c>
      <c r="L346" s="14" t="n">
        <v>4</v>
      </c>
      <c r="M346" s="14" t="n">
        <v>11</v>
      </c>
      <c r="N346" s="14" t="n">
        <v>1</v>
      </c>
      <c r="O346" s="14" t="n">
        <v>1.5</v>
      </c>
      <c r="P346" s="15" t="n">
        <v>420</v>
      </c>
      <c r="Q346" s="16" t="n">
        <v>100</v>
      </c>
      <c r="R346" s="16" t="n">
        <v>150</v>
      </c>
      <c r="S346" s="16" t="n">
        <v>200</v>
      </c>
      <c r="T346" s="16" t="n">
        <v>250</v>
      </c>
      <c r="U346" s="16" t="n">
        <v>500</v>
      </c>
      <c r="V346" s="13" t="n">
        <f aca="false">IF(Q346="","",J346*Q346/100)</f>
        <v>169</v>
      </c>
      <c r="W346" s="13" t="n">
        <f aca="false">IF(R346="","",J346*R346/100)</f>
        <v>253.5</v>
      </c>
      <c r="X346" s="13" t="n">
        <f aca="false">IF(S346="","",J346*S346/100)</f>
        <v>338</v>
      </c>
      <c r="Y346" s="13" t="n">
        <f aca="false">IF(T346="","",J346*T346/100)</f>
        <v>422.5</v>
      </c>
      <c r="Z346" s="13" t="n">
        <f aca="false">IF(U346="","",J346*U346/100)</f>
        <v>845</v>
      </c>
      <c r="AA346" s="6" t="s">
        <v>103</v>
      </c>
      <c r="AB346" s="6" t="s">
        <v>104</v>
      </c>
      <c r="AC346" s="6"/>
      <c r="AD346" s="13" t="str">
        <f aca="false">IF(AC346="","",IFERROR(INDEX('INDB Full Nutrients'!$D:$D,MATCH(AC346,'INDB Full Nutrients'!$A:$A,0)),""))</f>
        <v/>
      </c>
      <c r="AE346" s="6"/>
      <c r="AF346" s="6" t="s">
        <v>1314</v>
      </c>
    </row>
    <row r="347" customFormat="false" ht="15" hidden="false" customHeight="false" outlineLevel="0" collapsed="false">
      <c r="A347" s="6" t="s">
        <v>1413</v>
      </c>
      <c r="B347" s="6" t="s">
        <v>1414</v>
      </c>
      <c r="C347" s="6"/>
      <c r="D347" s="6" t="s">
        <v>50</v>
      </c>
      <c r="E347" s="6" t="s">
        <v>114</v>
      </c>
      <c r="F347" s="6" t="s">
        <v>569</v>
      </c>
      <c r="G347" s="6"/>
      <c r="H347" s="6" t="s">
        <v>588</v>
      </c>
      <c r="I347" s="6" t="s">
        <v>298</v>
      </c>
      <c r="J347" s="13" t="n">
        <f aca="false">4*K347+4*(L347-N347)+9*M347+2*N347</f>
        <v>228</v>
      </c>
      <c r="K347" s="14" t="n">
        <v>13</v>
      </c>
      <c r="L347" s="14" t="n">
        <v>4</v>
      </c>
      <c r="M347" s="14" t="n">
        <v>18</v>
      </c>
      <c r="N347" s="14" t="n">
        <v>1</v>
      </c>
      <c r="O347" s="14" t="n">
        <v>2.5</v>
      </c>
      <c r="P347" s="15" t="n">
        <v>500</v>
      </c>
      <c r="Q347" s="16" t="n">
        <v>100</v>
      </c>
      <c r="R347" s="16" t="n">
        <v>150</v>
      </c>
      <c r="S347" s="16" t="n">
        <v>200</v>
      </c>
      <c r="T347" s="16" t="n">
        <v>250</v>
      </c>
      <c r="U347" s="16" t="n">
        <v>500</v>
      </c>
      <c r="V347" s="13" t="n">
        <f aca="false">IF(Q347="","",J347*Q347/100)</f>
        <v>228</v>
      </c>
      <c r="W347" s="13" t="n">
        <f aca="false">IF(R347="","",J347*R347/100)</f>
        <v>342</v>
      </c>
      <c r="X347" s="13" t="n">
        <f aca="false">IF(S347="","",J347*S347/100)</f>
        <v>456</v>
      </c>
      <c r="Y347" s="13" t="n">
        <f aca="false">IF(T347="","",J347*T347/100)</f>
        <v>570</v>
      </c>
      <c r="Z347" s="13" t="n">
        <f aca="false">IF(U347="","",J347*U347/100)</f>
        <v>1140</v>
      </c>
      <c r="AA347" s="6" t="s">
        <v>103</v>
      </c>
      <c r="AB347" s="6" t="s">
        <v>104</v>
      </c>
      <c r="AC347" s="6"/>
      <c r="AD347" s="13" t="str">
        <f aca="false">IF(AC347="","",IFERROR(INDEX('INDB Full Nutrients'!$D:$D,MATCH(AC347,'INDB Full Nutrients'!$A:$A,0)),""))</f>
        <v/>
      </c>
      <c r="AE347" s="6"/>
      <c r="AF347" s="6" t="s">
        <v>1357</v>
      </c>
    </row>
    <row r="348" customFormat="false" ht="15" hidden="false" customHeight="false" outlineLevel="0" collapsed="false">
      <c r="A348" s="6" t="s">
        <v>1415</v>
      </c>
      <c r="B348" s="6" t="s">
        <v>1416</v>
      </c>
      <c r="C348" s="6" t="s">
        <v>1417</v>
      </c>
      <c r="D348" s="6" t="s">
        <v>50</v>
      </c>
      <c r="E348" s="6" t="s">
        <v>119</v>
      </c>
      <c r="F348" s="6" t="s">
        <v>569</v>
      </c>
      <c r="G348" s="6"/>
      <c r="H348" s="6" t="s">
        <v>588</v>
      </c>
      <c r="I348" s="6" t="s">
        <v>298</v>
      </c>
      <c r="J348" s="13" t="n">
        <f aca="false">4*K348+4*(L348-N348)+9*M348+2*N348</f>
        <v>121.4</v>
      </c>
      <c r="K348" s="14" t="n">
        <v>11</v>
      </c>
      <c r="L348" s="14" t="n">
        <v>4</v>
      </c>
      <c r="M348" s="14" t="n">
        <v>7</v>
      </c>
      <c r="N348" s="14" t="n">
        <v>0.8</v>
      </c>
      <c r="O348" s="14" t="n">
        <v>1.5</v>
      </c>
      <c r="P348" s="15" t="n">
        <v>450</v>
      </c>
      <c r="Q348" s="16" t="n">
        <v>100</v>
      </c>
      <c r="R348" s="16" t="n">
        <v>150</v>
      </c>
      <c r="S348" s="16" t="n">
        <v>200</v>
      </c>
      <c r="T348" s="16" t="n">
        <v>250</v>
      </c>
      <c r="U348" s="16" t="n">
        <v>500</v>
      </c>
      <c r="V348" s="13" t="n">
        <f aca="false">IF(Q348="","",J348*Q348/100)</f>
        <v>121.4</v>
      </c>
      <c r="W348" s="13" t="n">
        <f aca="false">IF(R348="","",J348*R348/100)</f>
        <v>182.1</v>
      </c>
      <c r="X348" s="13" t="n">
        <f aca="false">IF(S348="","",J348*S348/100)</f>
        <v>242.8</v>
      </c>
      <c r="Y348" s="13" t="n">
        <f aca="false">IF(T348="","",J348*T348/100)</f>
        <v>303.5</v>
      </c>
      <c r="Z348" s="13" t="n">
        <f aca="false">IF(U348="","",J348*U348/100)</f>
        <v>607</v>
      </c>
      <c r="AA348" s="6" t="s">
        <v>125</v>
      </c>
      <c r="AB348" s="6" t="s">
        <v>147</v>
      </c>
      <c r="AC348" s="6" t="s">
        <v>1418</v>
      </c>
      <c r="AD348" s="13" t="n">
        <f aca="false">IF(AC348="","",IFERROR(INDEX('INDB Full Nutrients'!$D:$D,MATCH(AC348,'INDB Full Nutrients'!$A:$A,0)),""))</f>
        <v>111.127906799316</v>
      </c>
      <c r="AE348" s="6" t="s">
        <v>1419</v>
      </c>
      <c r="AF348" s="6" t="s">
        <v>1314</v>
      </c>
    </row>
    <row r="349" customFormat="false" ht="15" hidden="false" customHeight="false" outlineLevel="0" collapsed="false">
      <c r="A349" s="6" t="s">
        <v>1420</v>
      </c>
      <c r="B349" s="6" t="s">
        <v>1421</v>
      </c>
      <c r="C349" s="6" t="s">
        <v>1422</v>
      </c>
      <c r="D349" s="6" t="s">
        <v>50</v>
      </c>
      <c r="E349" s="6" t="s">
        <v>205</v>
      </c>
      <c r="F349" s="6" t="s">
        <v>569</v>
      </c>
      <c r="G349" s="6"/>
      <c r="H349" s="6" t="s">
        <v>588</v>
      </c>
      <c r="I349" s="6" t="s">
        <v>298</v>
      </c>
      <c r="J349" s="13" t="n">
        <f aca="false">4*K349+4*(L349-N349)+9*M349+2*N349</f>
        <v>128.1</v>
      </c>
      <c r="K349" s="14" t="n">
        <v>12</v>
      </c>
      <c r="L349" s="14" t="n">
        <v>3.5</v>
      </c>
      <c r="M349" s="14" t="n">
        <v>7.5</v>
      </c>
      <c r="N349" s="14" t="n">
        <v>0.7</v>
      </c>
      <c r="O349" s="14" t="n">
        <v>1</v>
      </c>
      <c r="P349" s="15" t="n">
        <v>420</v>
      </c>
      <c r="Q349" s="16" t="n">
        <v>100</v>
      </c>
      <c r="R349" s="16" t="n">
        <v>150</v>
      </c>
      <c r="S349" s="16" t="n">
        <v>200</v>
      </c>
      <c r="T349" s="16" t="n">
        <v>250</v>
      </c>
      <c r="U349" s="16" t="n">
        <v>500</v>
      </c>
      <c r="V349" s="13" t="n">
        <f aca="false">IF(Q349="","",J349*Q349/100)</f>
        <v>128.1</v>
      </c>
      <c r="W349" s="13" t="n">
        <f aca="false">IF(R349="","",J349*R349/100)</f>
        <v>192.15</v>
      </c>
      <c r="X349" s="13" t="n">
        <f aca="false">IF(S349="","",J349*S349/100)</f>
        <v>256.2</v>
      </c>
      <c r="Y349" s="13" t="n">
        <f aca="false">IF(T349="","",J349*T349/100)</f>
        <v>320.25</v>
      </c>
      <c r="Z349" s="13" t="n">
        <f aca="false">IF(U349="","",J349*U349/100)</f>
        <v>640.5</v>
      </c>
      <c r="AA349" s="6" t="s">
        <v>125</v>
      </c>
      <c r="AB349" s="6" t="s">
        <v>147</v>
      </c>
      <c r="AC349" s="6" t="s">
        <v>1423</v>
      </c>
      <c r="AD349" s="13" t="n">
        <f aca="false">IF(AC349="","",IFERROR(INDEX('INDB Full Nutrients'!$D:$D,MATCH(AC349,'INDB Full Nutrients'!$A:$A,0)),""))</f>
        <v>109.433265686035</v>
      </c>
      <c r="AE349" s="6" t="s">
        <v>1424</v>
      </c>
      <c r="AF349" s="6" t="s">
        <v>589</v>
      </c>
    </row>
    <row r="350" customFormat="false" ht="15" hidden="false" customHeight="false" outlineLevel="0" collapsed="false">
      <c r="A350" s="6" t="s">
        <v>1425</v>
      </c>
      <c r="B350" s="6" t="s">
        <v>1426</v>
      </c>
      <c r="C350" s="6"/>
      <c r="D350" s="6" t="s">
        <v>50</v>
      </c>
      <c r="E350" s="6" t="s">
        <v>114</v>
      </c>
      <c r="F350" s="6" t="s">
        <v>569</v>
      </c>
      <c r="G350" s="6"/>
      <c r="H350" s="6" t="s">
        <v>588</v>
      </c>
      <c r="I350" s="6" t="s">
        <v>298</v>
      </c>
      <c r="J350" s="13" t="n">
        <f aca="false">4*K350+4*(L350-N350)+9*M350+2*N350</f>
        <v>136.5</v>
      </c>
      <c r="K350" s="14" t="n">
        <v>11</v>
      </c>
      <c r="L350" s="14" t="n">
        <v>4.5</v>
      </c>
      <c r="M350" s="14" t="n">
        <v>8.5</v>
      </c>
      <c r="N350" s="14" t="n">
        <v>1</v>
      </c>
      <c r="O350" s="14" t="n">
        <v>1.5</v>
      </c>
      <c r="P350" s="15" t="n">
        <v>450</v>
      </c>
      <c r="Q350" s="16" t="n">
        <v>100</v>
      </c>
      <c r="R350" s="16" t="n">
        <v>150</v>
      </c>
      <c r="S350" s="16" t="n">
        <v>200</v>
      </c>
      <c r="T350" s="16" t="n">
        <v>250</v>
      </c>
      <c r="U350" s="16" t="n">
        <v>500</v>
      </c>
      <c r="V350" s="13" t="n">
        <f aca="false">IF(Q350="","",J350*Q350/100)</f>
        <v>136.5</v>
      </c>
      <c r="W350" s="13" t="n">
        <f aca="false">IF(R350="","",J350*R350/100)</f>
        <v>204.75</v>
      </c>
      <c r="X350" s="13" t="n">
        <f aca="false">IF(S350="","",J350*S350/100)</f>
        <v>273</v>
      </c>
      <c r="Y350" s="13" t="n">
        <f aca="false">IF(T350="","",J350*T350/100)</f>
        <v>341.25</v>
      </c>
      <c r="Z350" s="13" t="n">
        <f aca="false">IF(U350="","",J350*U350/100)</f>
        <v>682.5</v>
      </c>
      <c r="AA350" s="6" t="s">
        <v>103</v>
      </c>
      <c r="AB350" s="6" t="s">
        <v>104</v>
      </c>
      <c r="AC350" s="6"/>
      <c r="AD350" s="13" t="str">
        <f aca="false">IF(AC350="","",IFERROR(INDEX('INDB Full Nutrients'!$D:$D,MATCH(AC350,'INDB Full Nutrients'!$A:$A,0)),""))</f>
        <v/>
      </c>
      <c r="AE350" s="6"/>
      <c r="AF350" s="6"/>
    </row>
    <row r="351" customFormat="false" ht="15" hidden="false" customHeight="false" outlineLevel="0" collapsed="false">
      <c r="A351" s="6" t="s">
        <v>1427</v>
      </c>
      <c r="B351" s="6" t="s">
        <v>1428</v>
      </c>
      <c r="C351" s="6" t="s">
        <v>1429</v>
      </c>
      <c r="D351" s="6" t="s">
        <v>50</v>
      </c>
      <c r="E351" s="6" t="s">
        <v>119</v>
      </c>
      <c r="F351" s="6" t="s">
        <v>569</v>
      </c>
      <c r="G351" s="6"/>
      <c r="H351" s="6" t="s">
        <v>588</v>
      </c>
      <c r="I351" s="6" t="s">
        <v>298</v>
      </c>
      <c r="J351" s="13" t="n">
        <f aca="false">4*K351+4*(L351-N351)+9*M351+2*N351</f>
        <v>135.8</v>
      </c>
      <c r="K351" s="14" t="n">
        <v>10</v>
      </c>
      <c r="L351" s="14" t="n">
        <v>4</v>
      </c>
      <c r="M351" s="14" t="n">
        <v>9</v>
      </c>
      <c r="N351" s="14" t="n">
        <v>0.6</v>
      </c>
      <c r="O351" s="14" t="n">
        <v>1.5</v>
      </c>
      <c r="P351" s="15" t="n">
        <v>400</v>
      </c>
      <c r="Q351" s="16" t="n">
        <v>100</v>
      </c>
      <c r="R351" s="16" t="n">
        <v>150</v>
      </c>
      <c r="S351" s="16" t="n">
        <v>200</v>
      </c>
      <c r="T351" s="16" t="n">
        <v>250</v>
      </c>
      <c r="U351" s="16" t="n">
        <v>500</v>
      </c>
      <c r="V351" s="13" t="n">
        <f aca="false">IF(Q351="","",J351*Q351/100)</f>
        <v>135.8</v>
      </c>
      <c r="W351" s="13" t="n">
        <f aca="false">IF(R351="","",J351*R351/100)</f>
        <v>203.7</v>
      </c>
      <c r="X351" s="13" t="n">
        <f aca="false">IF(S351="","",J351*S351/100)</f>
        <v>271.6</v>
      </c>
      <c r="Y351" s="13" t="n">
        <f aca="false">IF(T351="","",J351*T351/100)</f>
        <v>339.5</v>
      </c>
      <c r="Z351" s="13" t="n">
        <f aca="false">IF(U351="","",J351*U351/100)</f>
        <v>679</v>
      </c>
      <c r="AA351" s="6" t="s">
        <v>103</v>
      </c>
      <c r="AB351" s="6" t="s">
        <v>104</v>
      </c>
      <c r="AC351" s="6" t="s">
        <v>1430</v>
      </c>
      <c r="AD351" s="13" t="n">
        <f aca="false">IF(AC351="","",IFERROR(INDEX('INDB Full Nutrients'!$D:$D,MATCH(AC351,'INDB Full Nutrients'!$A:$A,0)),""))</f>
        <v>86.205451965332</v>
      </c>
      <c r="AE351" s="6" t="s">
        <v>1431</v>
      </c>
      <c r="AF351" s="6" t="s">
        <v>1210</v>
      </c>
    </row>
    <row r="352" customFormat="false" ht="15" hidden="false" customHeight="false" outlineLevel="0" collapsed="false">
      <c r="A352" s="6" t="s">
        <v>1432</v>
      </c>
      <c r="B352" s="6" t="s">
        <v>1433</v>
      </c>
      <c r="C352" s="6" t="s">
        <v>1434</v>
      </c>
      <c r="D352" s="6" t="s">
        <v>50</v>
      </c>
      <c r="E352" s="6" t="s">
        <v>99</v>
      </c>
      <c r="F352" s="6" t="s">
        <v>569</v>
      </c>
      <c r="G352" s="6"/>
      <c r="H352" s="6" t="s">
        <v>588</v>
      </c>
      <c r="I352" s="6" t="s">
        <v>298</v>
      </c>
      <c r="J352" s="13" t="n">
        <f aca="false">4*K352+4*(L352-N352)+9*M352+2*N352</f>
        <v>145.6</v>
      </c>
      <c r="K352" s="14" t="n">
        <v>14</v>
      </c>
      <c r="L352" s="14" t="n">
        <v>5</v>
      </c>
      <c r="M352" s="14" t="n">
        <v>8</v>
      </c>
      <c r="N352" s="14" t="n">
        <v>1.2</v>
      </c>
      <c r="O352" s="14" t="n">
        <v>2</v>
      </c>
      <c r="P352" s="15" t="n">
        <v>550</v>
      </c>
      <c r="Q352" s="16" t="n">
        <v>100</v>
      </c>
      <c r="R352" s="16" t="n">
        <v>150</v>
      </c>
      <c r="S352" s="16" t="n">
        <v>200</v>
      </c>
      <c r="T352" s="16" t="n">
        <v>250</v>
      </c>
      <c r="U352" s="16" t="n">
        <v>500</v>
      </c>
      <c r="V352" s="13" t="n">
        <f aca="false">IF(Q352="","",J352*Q352/100)</f>
        <v>145.6</v>
      </c>
      <c r="W352" s="13" t="n">
        <f aca="false">IF(R352="","",J352*R352/100)</f>
        <v>218.4</v>
      </c>
      <c r="X352" s="13" t="n">
        <f aca="false">IF(S352="","",J352*S352/100)</f>
        <v>291.2</v>
      </c>
      <c r="Y352" s="13" t="n">
        <f aca="false">IF(T352="","",J352*T352/100)</f>
        <v>364</v>
      </c>
      <c r="Z352" s="13" t="n">
        <f aca="false">IF(U352="","",J352*U352/100)</f>
        <v>728</v>
      </c>
      <c r="AA352" s="6" t="s">
        <v>103</v>
      </c>
      <c r="AB352" s="6" t="s">
        <v>104</v>
      </c>
      <c r="AC352" s="6"/>
      <c r="AD352" s="13" t="str">
        <f aca="false">IF(AC352="","",IFERROR(INDEX('INDB Full Nutrients'!$D:$D,MATCH(AC352,'INDB Full Nutrients'!$A:$A,0)),""))</f>
        <v/>
      </c>
      <c r="AE352" s="6"/>
      <c r="AF352" s="6"/>
    </row>
    <row r="353" customFormat="false" ht="15" hidden="false" customHeight="false" outlineLevel="0" collapsed="false">
      <c r="A353" s="6" t="s">
        <v>1435</v>
      </c>
      <c r="B353" s="6" t="s">
        <v>1436</v>
      </c>
      <c r="C353" s="6" t="s">
        <v>1437</v>
      </c>
      <c r="D353" s="6" t="s">
        <v>50</v>
      </c>
      <c r="E353" s="6" t="s">
        <v>119</v>
      </c>
      <c r="F353" s="6" t="s">
        <v>569</v>
      </c>
      <c r="G353" s="6"/>
      <c r="H353" s="6" t="s">
        <v>588</v>
      </c>
      <c r="I353" s="6" t="s">
        <v>298</v>
      </c>
      <c r="J353" s="13" t="n">
        <f aca="false">4*K353+4*(L353-N353)+9*M353+2*N353</f>
        <v>128.4</v>
      </c>
      <c r="K353" s="14" t="n">
        <v>10</v>
      </c>
      <c r="L353" s="14" t="n">
        <v>4.5</v>
      </c>
      <c r="M353" s="14" t="n">
        <v>8</v>
      </c>
      <c r="N353" s="14" t="n">
        <v>0.8</v>
      </c>
      <c r="O353" s="14" t="n">
        <v>1.5</v>
      </c>
      <c r="P353" s="15" t="n">
        <v>500</v>
      </c>
      <c r="Q353" s="16" t="n">
        <v>100</v>
      </c>
      <c r="R353" s="16" t="n">
        <v>150</v>
      </c>
      <c r="S353" s="16" t="n">
        <v>200</v>
      </c>
      <c r="T353" s="16" t="n">
        <v>250</v>
      </c>
      <c r="U353" s="16" t="n">
        <v>500</v>
      </c>
      <c r="V353" s="13" t="n">
        <f aca="false">IF(Q353="","",J353*Q353/100)</f>
        <v>128.4</v>
      </c>
      <c r="W353" s="13" t="n">
        <f aca="false">IF(R353="","",J353*R353/100)</f>
        <v>192.6</v>
      </c>
      <c r="X353" s="13" t="n">
        <f aca="false">IF(S353="","",J353*S353/100)</f>
        <v>256.8</v>
      </c>
      <c r="Y353" s="13" t="n">
        <f aca="false">IF(T353="","",J353*T353/100)</f>
        <v>321</v>
      </c>
      <c r="Z353" s="13" t="n">
        <f aca="false">IF(U353="","",J353*U353/100)</f>
        <v>642</v>
      </c>
      <c r="AA353" s="6" t="s">
        <v>125</v>
      </c>
      <c r="AB353" s="6" t="s">
        <v>147</v>
      </c>
      <c r="AC353" s="6" t="s">
        <v>1438</v>
      </c>
      <c r="AD353" s="13" t="n">
        <f aca="false">IF(AC353="","",IFERROR(INDEX('INDB Full Nutrients'!$D:$D,MATCH(AC353,'INDB Full Nutrients'!$A:$A,0)),""))</f>
        <v>109.548690795898</v>
      </c>
      <c r="AE353" s="6" t="s">
        <v>1439</v>
      </c>
      <c r="AF353" s="6"/>
    </row>
    <row r="354" customFormat="false" ht="15" hidden="false" customHeight="false" outlineLevel="0" collapsed="false">
      <c r="A354" s="6" t="s">
        <v>1440</v>
      </c>
      <c r="B354" s="6" t="s">
        <v>1441</v>
      </c>
      <c r="C354" s="6" t="s">
        <v>1442</v>
      </c>
      <c r="D354" s="6" t="s">
        <v>50</v>
      </c>
      <c r="E354" s="6" t="s">
        <v>205</v>
      </c>
      <c r="F354" s="6" t="s">
        <v>569</v>
      </c>
      <c r="G354" s="6"/>
      <c r="H354" s="6" t="s">
        <v>588</v>
      </c>
      <c r="I354" s="6" t="s">
        <v>298</v>
      </c>
      <c r="J354" s="13" t="n">
        <f aca="false">4*K354+4*(L354-N354)+9*M354+2*N354</f>
        <v>158</v>
      </c>
      <c r="K354" s="14" t="n">
        <v>10</v>
      </c>
      <c r="L354" s="14" t="n">
        <v>5</v>
      </c>
      <c r="M354" s="14" t="n">
        <v>11</v>
      </c>
      <c r="N354" s="14" t="n">
        <v>0.5</v>
      </c>
      <c r="O354" s="14" t="n">
        <v>2</v>
      </c>
      <c r="P354" s="15" t="n">
        <v>450</v>
      </c>
      <c r="Q354" s="16" t="n">
        <v>100</v>
      </c>
      <c r="R354" s="16" t="n">
        <v>150</v>
      </c>
      <c r="S354" s="16" t="n">
        <v>200</v>
      </c>
      <c r="T354" s="16" t="n">
        <v>250</v>
      </c>
      <c r="U354" s="16" t="n">
        <v>500</v>
      </c>
      <c r="V354" s="13" t="n">
        <f aca="false">IF(Q354="","",J354*Q354/100)</f>
        <v>158</v>
      </c>
      <c r="W354" s="13" t="n">
        <f aca="false">IF(R354="","",J354*R354/100)</f>
        <v>237</v>
      </c>
      <c r="X354" s="13" t="n">
        <f aca="false">IF(S354="","",J354*S354/100)</f>
        <v>316</v>
      </c>
      <c r="Y354" s="13" t="n">
        <f aca="false">IF(T354="","",J354*T354/100)</f>
        <v>395</v>
      </c>
      <c r="Z354" s="13" t="n">
        <f aca="false">IF(U354="","",J354*U354/100)</f>
        <v>790</v>
      </c>
      <c r="AA354" s="6" t="s">
        <v>103</v>
      </c>
      <c r="AB354" s="6" t="s">
        <v>104</v>
      </c>
      <c r="AC354" s="6"/>
      <c r="AD354" s="13" t="str">
        <f aca="false">IF(AC354="","",IFERROR(INDEX('INDB Full Nutrients'!$D:$D,MATCH(AC354,'INDB Full Nutrients'!$A:$A,0)),""))</f>
        <v/>
      </c>
      <c r="AE354" s="6"/>
      <c r="AF354" s="6"/>
    </row>
    <row r="355" customFormat="false" ht="15" hidden="false" customHeight="false" outlineLevel="0" collapsed="false">
      <c r="A355" s="6" t="s">
        <v>1443</v>
      </c>
      <c r="B355" s="6" t="s">
        <v>1444</v>
      </c>
      <c r="C355" s="6" t="s">
        <v>1445</v>
      </c>
      <c r="D355" s="6" t="s">
        <v>50</v>
      </c>
      <c r="E355" s="6" t="s">
        <v>119</v>
      </c>
      <c r="F355" s="6" t="s">
        <v>569</v>
      </c>
      <c r="G355" s="6"/>
      <c r="H355" s="6" t="s">
        <v>588</v>
      </c>
      <c r="I355" s="6" t="s">
        <v>298</v>
      </c>
      <c r="J355" s="13" t="n">
        <f aca="false">4*K355+4*(L355-N355)+9*M355+2*N355</f>
        <v>125</v>
      </c>
      <c r="K355" s="14" t="n">
        <v>11</v>
      </c>
      <c r="L355" s="14" t="n">
        <v>5</v>
      </c>
      <c r="M355" s="14" t="n">
        <v>7</v>
      </c>
      <c r="N355" s="14" t="n">
        <v>1</v>
      </c>
      <c r="O355" s="14" t="n">
        <v>1.5</v>
      </c>
      <c r="P355" s="15" t="n">
        <v>550</v>
      </c>
      <c r="Q355" s="16" t="n">
        <v>100</v>
      </c>
      <c r="R355" s="16" t="n">
        <v>150</v>
      </c>
      <c r="S355" s="16" t="n">
        <v>200</v>
      </c>
      <c r="T355" s="16" t="n">
        <v>250</v>
      </c>
      <c r="U355" s="16" t="n">
        <v>500</v>
      </c>
      <c r="V355" s="13" t="n">
        <f aca="false">IF(Q355="","",J355*Q355/100)</f>
        <v>125</v>
      </c>
      <c r="W355" s="13" t="n">
        <f aca="false">IF(R355="","",J355*R355/100)</f>
        <v>187.5</v>
      </c>
      <c r="X355" s="13" t="n">
        <f aca="false">IF(S355="","",J355*S355/100)</f>
        <v>250</v>
      </c>
      <c r="Y355" s="13" t="n">
        <f aca="false">IF(T355="","",J355*T355/100)</f>
        <v>312.5</v>
      </c>
      <c r="Z355" s="13" t="n">
        <f aca="false">IF(U355="","",J355*U355/100)</f>
        <v>625</v>
      </c>
      <c r="AA355" s="6" t="s">
        <v>103</v>
      </c>
      <c r="AB355" s="6" t="s">
        <v>104</v>
      </c>
      <c r="AC355" s="6"/>
      <c r="AD355" s="13" t="str">
        <f aca="false">IF(AC355="","",IFERROR(INDEX('INDB Full Nutrients'!$D:$D,MATCH(AC355,'INDB Full Nutrients'!$A:$A,0)),""))</f>
        <v/>
      </c>
      <c r="AE355" s="6"/>
      <c r="AF355" s="6" t="s">
        <v>1446</v>
      </c>
    </row>
    <row r="356" customFormat="false" ht="15" hidden="false" customHeight="false" outlineLevel="0" collapsed="false">
      <c r="A356" s="6" t="s">
        <v>1447</v>
      </c>
      <c r="B356" s="6" t="s">
        <v>1448</v>
      </c>
      <c r="C356" s="6" t="s">
        <v>1449</v>
      </c>
      <c r="D356" s="6" t="s">
        <v>51</v>
      </c>
      <c r="E356" s="6" t="s">
        <v>99</v>
      </c>
      <c r="F356" s="6" t="s">
        <v>537</v>
      </c>
      <c r="G356" s="6"/>
      <c r="H356" s="6" t="s">
        <v>1450</v>
      </c>
      <c r="I356" s="6" t="s">
        <v>298</v>
      </c>
      <c r="J356" s="13" t="n">
        <f aca="false">4*K356+4*(L356-N356)+9*M356+2*N356</f>
        <v>150.2</v>
      </c>
      <c r="K356" s="14" t="n">
        <v>12.6</v>
      </c>
      <c r="L356" s="14" t="n">
        <v>1.1</v>
      </c>
      <c r="M356" s="14" t="n">
        <v>10.6</v>
      </c>
      <c r="N356" s="14" t="n">
        <v>0</v>
      </c>
      <c r="O356" s="14" t="n">
        <v>1.1</v>
      </c>
      <c r="P356" s="15" t="n">
        <v>124</v>
      </c>
      <c r="Q356" s="16" t="n">
        <v>40</v>
      </c>
      <c r="R356" s="16" t="n">
        <v>50</v>
      </c>
      <c r="S356" s="16" t="n">
        <v>60</v>
      </c>
      <c r="T356" s="6"/>
      <c r="U356" s="6"/>
      <c r="V356" s="13" t="n">
        <f aca="false">IF(Q356="","",J356*Q356/100)</f>
        <v>60.08</v>
      </c>
      <c r="W356" s="13" t="n">
        <f aca="false">IF(R356="","",J356*R356/100)</f>
        <v>75.1</v>
      </c>
      <c r="X356" s="13" t="n">
        <f aca="false">IF(S356="","",J356*S356/100)</f>
        <v>90.12</v>
      </c>
      <c r="Y356" s="13" t="str">
        <f aca="false">IF(T356="","",J356*T356/100)</f>
        <v/>
      </c>
      <c r="Z356" s="13" t="str">
        <f aca="false">IF(U356="","",J356*U356/100)</f>
        <v/>
      </c>
      <c r="AA356" s="6" t="s">
        <v>125</v>
      </c>
      <c r="AB356" s="6" t="s">
        <v>126</v>
      </c>
      <c r="AC356" s="6" t="s">
        <v>1451</v>
      </c>
      <c r="AD356" s="13" t="n">
        <f aca="false">IF(AC356="","",IFERROR(INDEX('INDB Full Nutrients'!$D:$D,MATCH(AC356,'INDB Full Nutrients'!$A:$A,0)),""))</f>
        <v>45.3546028137207</v>
      </c>
      <c r="AE356" s="6" t="s">
        <v>1452</v>
      </c>
      <c r="AF356" s="6"/>
    </row>
    <row r="357" customFormat="false" ht="15" hidden="false" customHeight="false" outlineLevel="0" collapsed="false">
      <c r="A357" s="6" t="s">
        <v>1453</v>
      </c>
      <c r="B357" s="6" t="s">
        <v>1454</v>
      </c>
      <c r="C357" s="6" t="s">
        <v>1455</v>
      </c>
      <c r="D357" s="6" t="s">
        <v>51</v>
      </c>
      <c r="E357" s="6" t="s">
        <v>99</v>
      </c>
      <c r="F357" s="6" t="s">
        <v>537</v>
      </c>
      <c r="G357" s="6"/>
      <c r="H357" s="6" t="s">
        <v>1450</v>
      </c>
      <c r="I357" s="6" t="s">
        <v>298</v>
      </c>
      <c r="J357" s="13" t="n">
        <f aca="false">4*K357+4*(L357-N357)+9*M357+2*N357</f>
        <v>48.2</v>
      </c>
      <c r="K357" s="14" t="n">
        <v>10.9</v>
      </c>
      <c r="L357" s="14" t="n">
        <v>0.7</v>
      </c>
      <c r="M357" s="14" t="n">
        <v>0.2</v>
      </c>
      <c r="N357" s="14" t="n">
        <v>0</v>
      </c>
      <c r="O357" s="14" t="n">
        <v>0.7</v>
      </c>
      <c r="P357" s="15" t="n">
        <v>166</v>
      </c>
      <c r="Q357" s="16" t="n">
        <v>25</v>
      </c>
      <c r="R357" s="16" t="n">
        <v>33</v>
      </c>
      <c r="S357" s="16" t="n">
        <v>38</v>
      </c>
      <c r="T357" s="6"/>
      <c r="U357" s="6"/>
      <c r="V357" s="13" t="n">
        <f aca="false">IF(Q357="","",J357*Q357/100)</f>
        <v>12.05</v>
      </c>
      <c r="W357" s="13" t="n">
        <f aca="false">IF(R357="","",J357*R357/100)</f>
        <v>15.906</v>
      </c>
      <c r="X357" s="13" t="n">
        <f aca="false">IF(S357="","",J357*S357/100)</f>
        <v>18.316</v>
      </c>
      <c r="Y357" s="13" t="str">
        <f aca="false">IF(T357="","",J357*T357/100)</f>
        <v/>
      </c>
      <c r="Z357" s="13" t="str">
        <f aca="false">IF(U357="","",J357*U357/100)</f>
        <v/>
      </c>
      <c r="AA357" s="6" t="s">
        <v>125</v>
      </c>
      <c r="AB357" s="6" t="s">
        <v>126</v>
      </c>
      <c r="AC357" s="6"/>
      <c r="AD357" s="13" t="str">
        <f aca="false">IF(AC357="","",IFERROR(INDEX('INDB Full Nutrients'!$D:$D,MATCH(AC357,'INDB Full Nutrients'!$A:$A,0)),""))</f>
        <v/>
      </c>
      <c r="AE357" s="6"/>
      <c r="AF357" s="6"/>
    </row>
    <row r="358" customFormat="false" ht="15" hidden="false" customHeight="false" outlineLevel="0" collapsed="false">
      <c r="A358" s="6" t="s">
        <v>1456</v>
      </c>
      <c r="B358" s="6" t="s">
        <v>1457</v>
      </c>
      <c r="C358" s="6" t="s">
        <v>1458</v>
      </c>
      <c r="D358" s="6" t="s">
        <v>51</v>
      </c>
      <c r="E358" s="6" t="s">
        <v>99</v>
      </c>
      <c r="F358" s="6" t="s">
        <v>537</v>
      </c>
      <c r="G358" s="6"/>
      <c r="H358" s="6" t="s">
        <v>1450</v>
      </c>
      <c r="I358" s="6" t="s">
        <v>298</v>
      </c>
      <c r="J358" s="13" t="n">
        <f aca="false">4*K358+4*(L358-N358)+9*M358+2*N358</f>
        <v>190.8</v>
      </c>
      <c r="K358" s="14" t="n">
        <v>13.6</v>
      </c>
      <c r="L358" s="14" t="n">
        <v>0.8</v>
      </c>
      <c r="M358" s="14" t="n">
        <v>14.8</v>
      </c>
      <c r="N358" s="14" t="n">
        <v>0</v>
      </c>
      <c r="O358" s="14" t="n">
        <v>0.8</v>
      </c>
      <c r="P358" s="15" t="n">
        <v>200</v>
      </c>
      <c r="Q358" s="16" t="n">
        <v>45</v>
      </c>
      <c r="R358" s="16" t="n">
        <v>55</v>
      </c>
      <c r="S358" s="16" t="n">
        <v>65</v>
      </c>
      <c r="T358" s="6"/>
      <c r="U358" s="6"/>
      <c r="V358" s="13" t="n">
        <f aca="false">IF(Q358="","",J358*Q358/100)</f>
        <v>85.86</v>
      </c>
      <c r="W358" s="13" t="n">
        <f aca="false">IF(R358="","",J358*R358/100)</f>
        <v>104.94</v>
      </c>
      <c r="X358" s="13" t="n">
        <f aca="false">IF(S358="","",J358*S358/100)</f>
        <v>124.02</v>
      </c>
      <c r="Y358" s="13" t="str">
        <f aca="false">IF(T358="","",J358*T358/100)</f>
        <v/>
      </c>
      <c r="Z358" s="13" t="str">
        <f aca="false">IF(U358="","",J358*U358/100)</f>
        <v/>
      </c>
      <c r="AA358" s="6" t="s">
        <v>125</v>
      </c>
      <c r="AB358" s="6" t="s">
        <v>147</v>
      </c>
      <c r="AC358" s="6" t="s">
        <v>1459</v>
      </c>
      <c r="AD358" s="13" t="n">
        <f aca="false">IF(AC358="","",IFERROR(INDEX('INDB Full Nutrients'!$D:$D,MATCH(AC358,'INDB Full Nutrients'!$A:$A,0)),""))</f>
        <v>223.667449951172</v>
      </c>
      <c r="AE358" s="6" t="s">
        <v>1460</v>
      </c>
      <c r="AF358" s="6" t="s">
        <v>1461</v>
      </c>
    </row>
    <row r="359" customFormat="false" ht="15" hidden="false" customHeight="false" outlineLevel="0" collapsed="false">
      <c r="A359" s="6" t="s">
        <v>1462</v>
      </c>
      <c r="B359" s="6" t="s">
        <v>1463</v>
      </c>
      <c r="C359" s="6" t="s">
        <v>1464</v>
      </c>
      <c r="D359" s="6" t="s">
        <v>51</v>
      </c>
      <c r="E359" s="6" t="s">
        <v>99</v>
      </c>
      <c r="F359" s="6" t="s">
        <v>537</v>
      </c>
      <c r="G359" s="6"/>
      <c r="H359" s="6" t="s">
        <v>1450</v>
      </c>
      <c r="I359" s="6" t="s">
        <v>298</v>
      </c>
      <c r="J359" s="13" t="n">
        <f aca="false">4*K359+4*(L359-N359)+9*M359+2*N359</f>
        <v>179.9</v>
      </c>
      <c r="K359" s="14" t="n">
        <v>11</v>
      </c>
      <c r="L359" s="14" t="n">
        <v>4</v>
      </c>
      <c r="M359" s="14" t="n">
        <v>13.5</v>
      </c>
      <c r="N359" s="14" t="n">
        <v>0.8</v>
      </c>
      <c r="O359" s="14" t="n">
        <v>2</v>
      </c>
      <c r="P359" s="15" t="n">
        <v>400</v>
      </c>
      <c r="Q359" s="16" t="n">
        <v>75</v>
      </c>
      <c r="R359" s="16" t="n">
        <v>140</v>
      </c>
      <c r="S359" s="16" t="n">
        <v>200</v>
      </c>
      <c r="T359" s="6"/>
      <c r="U359" s="6"/>
      <c r="V359" s="13" t="n">
        <f aca="false">IF(Q359="","",J359*Q359/100)</f>
        <v>134.925</v>
      </c>
      <c r="W359" s="13" t="n">
        <f aca="false">IF(R359="","",J359*R359/100)</f>
        <v>251.86</v>
      </c>
      <c r="X359" s="13" t="n">
        <f aca="false">IF(S359="","",J359*S359/100)</f>
        <v>359.8</v>
      </c>
      <c r="Y359" s="13" t="str">
        <f aca="false">IF(T359="","",J359*T359/100)</f>
        <v/>
      </c>
      <c r="Z359" s="13" t="str">
        <f aca="false">IF(U359="","",J359*U359/100)</f>
        <v/>
      </c>
      <c r="AA359" s="6" t="s">
        <v>125</v>
      </c>
      <c r="AB359" s="6" t="s">
        <v>147</v>
      </c>
      <c r="AC359" s="6" t="s">
        <v>1465</v>
      </c>
      <c r="AD359" s="13" t="n">
        <f aca="false">IF(AC359="","",IFERROR(INDEX('INDB Full Nutrients'!$D:$D,MATCH(AC359,'INDB Full Nutrients'!$A:$A,0)),""))</f>
        <v>155.971008300781</v>
      </c>
      <c r="AE359" s="6" t="s">
        <v>1466</v>
      </c>
      <c r="AF359" s="6" t="s">
        <v>1467</v>
      </c>
    </row>
    <row r="360" customFormat="false" ht="15" hidden="false" customHeight="false" outlineLevel="0" collapsed="false">
      <c r="A360" s="6" t="s">
        <v>1468</v>
      </c>
      <c r="B360" s="6" t="s">
        <v>1469</v>
      </c>
      <c r="C360" s="6" t="s">
        <v>1470</v>
      </c>
      <c r="D360" s="6" t="s">
        <v>51</v>
      </c>
      <c r="E360" s="6" t="s">
        <v>99</v>
      </c>
      <c r="F360" s="6" t="s">
        <v>537</v>
      </c>
      <c r="G360" s="6"/>
      <c r="H360" s="6" t="s">
        <v>588</v>
      </c>
      <c r="I360" s="6" t="s">
        <v>298</v>
      </c>
      <c r="J360" s="13" t="n">
        <f aca="false">4*K360+4*(L360-N360)+9*M360+2*N360</f>
        <v>130.6</v>
      </c>
      <c r="K360" s="14" t="n">
        <v>7.5</v>
      </c>
      <c r="L360" s="14" t="n">
        <v>5.5</v>
      </c>
      <c r="M360" s="14" t="n">
        <v>9</v>
      </c>
      <c r="N360" s="14" t="n">
        <v>1.2</v>
      </c>
      <c r="O360" s="14" t="n">
        <v>2.5</v>
      </c>
      <c r="P360" s="15" t="n">
        <v>400</v>
      </c>
      <c r="Q360" s="16" t="n">
        <v>100</v>
      </c>
      <c r="R360" s="16" t="n">
        <v>150</v>
      </c>
      <c r="S360" s="16" t="n">
        <v>200</v>
      </c>
      <c r="T360" s="16" t="n">
        <v>250</v>
      </c>
      <c r="U360" s="16" t="n">
        <v>500</v>
      </c>
      <c r="V360" s="13" t="n">
        <f aca="false">IF(Q360="","",J360*Q360/100)</f>
        <v>130.6</v>
      </c>
      <c r="W360" s="13" t="n">
        <f aca="false">IF(R360="","",J360*R360/100)</f>
        <v>195.9</v>
      </c>
      <c r="X360" s="13" t="n">
        <f aca="false">IF(S360="","",J360*S360/100)</f>
        <v>261.2</v>
      </c>
      <c r="Y360" s="13" t="n">
        <f aca="false">IF(T360="","",J360*T360/100)</f>
        <v>326.5</v>
      </c>
      <c r="Z360" s="13" t="n">
        <f aca="false">IF(U360="","",J360*U360/100)</f>
        <v>653</v>
      </c>
      <c r="AA360" s="6" t="s">
        <v>125</v>
      </c>
      <c r="AB360" s="6" t="s">
        <v>147</v>
      </c>
      <c r="AC360" s="6" t="s">
        <v>1471</v>
      </c>
      <c r="AD360" s="13" t="n">
        <f aca="false">IF(AC360="","",IFERROR(INDEX('INDB Full Nutrients'!$D:$D,MATCH(AC360,'INDB Full Nutrients'!$A:$A,0)),""))</f>
        <v>117.520690917969</v>
      </c>
      <c r="AE360" s="6" t="s">
        <v>1472</v>
      </c>
      <c r="AF360" s="6" t="s">
        <v>1473</v>
      </c>
    </row>
    <row r="361" customFormat="false" ht="15" hidden="false" customHeight="false" outlineLevel="0" collapsed="false">
      <c r="A361" s="6" t="s">
        <v>1474</v>
      </c>
      <c r="B361" s="6" t="s">
        <v>1475</v>
      </c>
      <c r="C361" s="6" t="s">
        <v>1476</v>
      </c>
      <c r="D361" s="6" t="s">
        <v>51</v>
      </c>
      <c r="E361" s="6" t="s">
        <v>119</v>
      </c>
      <c r="F361" s="6" t="s">
        <v>537</v>
      </c>
      <c r="G361" s="6"/>
      <c r="H361" s="6" t="s">
        <v>588</v>
      </c>
      <c r="I361" s="6" t="s">
        <v>298</v>
      </c>
      <c r="J361" s="13" t="n">
        <f aca="false">4*K361+4*(L361-N361)+9*M361+2*N361</f>
        <v>147</v>
      </c>
      <c r="K361" s="14" t="n">
        <v>8</v>
      </c>
      <c r="L361" s="14" t="n">
        <v>7</v>
      </c>
      <c r="M361" s="14" t="n">
        <v>10</v>
      </c>
      <c r="N361" s="14" t="n">
        <v>1.5</v>
      </c>
      <c r="O361" s="14" t="n">
        <v>3.5</v>
      </c>
      <c r="P361" s="15" t="n">
        <v>400</v>
      </c>
      <c r="Q361" s="16" t="n">
        <v>100</v>
      </c>
      <c r="R361" s="16" t="n">
        <v>150</v>
      </c>
      <c r="S361" s="16" t="n">
        <v>200</v>
      </c>
      <c r="T361" s="16" t="n">
        <v>250</v>
      </c>
      <c r="U361" s="16" t="n">
        <v>500</v>
      </c>
      <c r="V361" s="13" t="n">
        <f aca="false">IF(Q361="","",J361*Q361/100)</f>
        <v>147</v>
      </c>
      <c r="W361" s="13" t="n">
        <f aca="false">IF(R361="","",J361*R361/100)</f>
        <v>220.5</v>
      </c>
      <c r="X361" s="13" t="n">
        <f aca="false">IF(S361="","",J361*S361/100)</f>
        <v>294</v>
      </c>
      <c r="Y361" s="13" t="n">
        <f aca="false">IF(T361="","",J361*T361/100)</f>
        <v>367.5</v>
      </c>
      <c r="Z361" s="13" t="n">
        <f aca="false">IF(U361="","",J361*U361/100)</f>
        <v>735</v>
      </c>
      <c r="AA361" s="6" t="s">
        <v>103</v>
      </c>
      <c r="AB361" s="6" t="s">
        <v>104</v>
      </c>
      <c r="AC361" s="6"/>
      <c r="AD361" s="13" t="str">
        <f aca="false">IF(AC361="","",IFERROR(INDEX('INDB Full Nutrients'!$D:$D,MATCH(AC361,'INDB Full Nutrients'!$A:$A,0)),""))</f>
        <v/>
      </c>
      <c r="AE361" s="6"/>
      <c r="AF361" s="6"/>
    </row>
    <row r="362" customFormat="false" ht="15" hidden="false" customHeight="false" outlineLevel="0" collapsed="false">
      <c r="A362" s="6" t="s">
        <v>1477</v>
      </c>
      <c r="B362" s="6" t="s">
        <v>1478</v>
      </c>
      <c r="C362" s="6" t="s">
        <v>1479</v>
      </c>
      <c r="D362" s="6" t="s">
        <v>52</v>
      </c>
      <c r="E362" s="6" t="s">
        <v>161</v>
      </c>
      <c r="F362" s="6" t="s">
        <v>100</v>
      </c>
      <c r="G362" s="6"/>
      <c r="H362" s="6" t="s">
        <v>1480</v>
      </c>
      <c r="I362" s="6" t="s">
        <v>298</v>
      </c>
      <c r="J362" s="13" t="n">
        <f aca="false">4*K362+4*(L362-N362)+9*M362+2*N362</f>
        <v>222</v>
      </c>
      <c r="K362" s="14" t="n">
        <v>14</v>
      </c>
      <c r="L362" s="14" t="n">
        <v>6</v>
      </c>
      <c r="M362" s="14" t="n">
        <v>16</v>
      </c>
      <c r="N362" s="14" t="n">
        <v>1</v>
      </c>
      <c r="O362" s="14" t="n">
        <v>3</v>
      </c>
      <c r="P362" s="15" t="n">
        <v>450</v>
      </c>
      <c r="Q362" s="16" t="n">
        <v>100</v>
      </c>
      <c r="R362" s="16" t="n">
        <v>150</v>
      </c>
      <c r="S362" s="16" t="n">
        <v>200</v>
      </c>
      <c r="T362" s="16" t="n">
        <v>180</v>
      </c>
      <c r="U362" s="16" t="n">
        <v>350</v>
      </c>
      <c r="V362" s="13" t="n">
        <f aca="false">IF(Q362="","",J362*Q362/100)</f>
        <v>222</v>
      </c>
      <c r="W362" s="13" t="n">
        <f aca="false">IF(R362="","",J362*R362/100)</f>
        <v>333</v>
      </c>
      <c r="X362" s="13" t="n">
        <f aca="false">IF(S362="","",J362*S362/100)</f>
        <v>444</v>
      </c>
      <c r="Y362" s="13" t="n">
        <f aca="false">IF(T362="","",J362*T362/100)</f>
        <v>399.6</v>
      </c>
      <c r="Z362" s="13" t="n">
        <f aca="false">IF(U362="","",J362*U362/100)</f>
        <v>777</v>
      </c>
      <c r="AA362" s="6" t="s">
        <v>103</v>
      </c>
      <c r="AB362" s="6" t="s">
        <v>104</v>
      </c>
      <c r="AC362" s="6" t="s">
        <v>1481</v>
      </c>
      <c r="AD362" s="13" t="n">
        <f aca="false">IF(AC362="","",IFERROR(INDEX('INDB Full Nutrients'!$D:$D,MATCH(AC362,'INDB Full Nutrients'!$A:$A,0)),""))</f>
        <v>93.8495635986328</v>
      </c>
      <c r="AE362" s="6" t="s">
        <v>1482</v>
      </c>
      <c r="AF362" s="6" t="s">
        <v>1483</v>
      </c>
    </row>
    <row r="363" customFormat="false" ht="15" hidden="false" customHeight="false" outlineLevel="0" collapsed="false">
      <c r="A363" s="6" t="s">
        <v>1484</v>
      </c>
      <c r="B363" s="6" t="s">
        <v>1485</v>
      </c>
      <c r="C363" s="6" t="s">
        <v>1486</v>
      </c>
      <c r="D363" s="6" t="s">
        <v>52</v>
      </c>
      <c r="E363" s="6" t="s">
        <v>161</v>
      </c>
      <c r="F363" s="6" t="s">
        <v>100</v>
      </c>
      <c r="G363" s="6"/>
      <c r="H363" s="6" t="s">
        <v>1480</v>
      </c>
      <c r="I363" s="6" t="s">
        <v>298</v>
      </c>
      <c r="J363" s="13" t="n">
        <f aca="false">4*K363+4*(L363-N363)+9*M363+2*N363</f>
        <v>251</v>
      </c>
      <c r="K363" s="14" t="n">
        <v>13</v>
      </c>
      <c r="L363" s="14" t="n">
        <v>5</v>
      </c>
      <c r="M363" s="14" t="n">
        <v>20</v>
      </c>
      <c r="N363" s="14" t="n">
        <v>0.5</v>
      </c>
      <c r="O363" s="14" t="n">
        <v>2.5</v>
      </c>
      <c r="P363" s="15" t="n">
        <v>450</v>
      </c>
      <c r="Q363" s="16" t="n">
        <v>100</v>
      </c>
      <c r="R363" s="16" t="n">
        <v>150</v>
      </c>
      <c r="S363" s="16" t="n">
        <v>200</v>
      </c>
      <c r="T363" s="16" t="n">
        <v>180</v>
      </c>
      <c r="U363" s="16" t="n">
        <v>350</v>
      </c>
      <c r="V363" s="13" t="n">
        <f aca="false">IF(Q363="","",J363*Q363/100)</f>
        <v>251</v>
      </c>
      <c r="W363" s="13" t="n">
        <f aca="false">IF(R363="","",J363*R363/100)</f>
        <v>376.5</v>
      </c>
      <c r="X363" s="13" t="n">
        <f aca="false">IF(S363="","",J363*S363/100)</f>
        <v>502</v>
      </c>
      <c r="Y363" s="13" t="n">
        <f aca="false">IF(T363="","",J363*T363/100)</f>
        <v>451.8</v>
      </c>
      <c r="Z363" s="13" t="n">
        <f aca="false">IF(U363="","",J363*U363/100)</f>
        <v>878.5</v>
      </c>
      <c r="AA363" s="6" t="s">
        <v>103</v>
      </c>
      <c r="AB363" s="6" t="s">
        <v>104</v>
      </c>
      <c r="AC363" s="6"/>
      <c r="AD363" s="13" t="str">
        <f aca="false">IF(AC363="","",IFERROR(INDEX('INDB Full Nutrients'!$D:$D,MATCH(AC363,'INDB Full Nutrients'!$A:$A,0)),""))</f>
        <v/>
      </c>
      <c r="AE363" s="6"/>
      <c r="AF363" s="6"/>
    </row>
    <row r="364" customFormat="false" ht="15" hidden="false" customHeight="false" outlineLevel="0" collapsed="false">
      <c r="A364" s="6" t="s">
        <v>1487</v>
      </c>
      <c r="B364" s="6" t="s">
        <v>1488</v>
      </c>
      <c r="C364" s="6"/>
      <c r="D364" s="6" t="s">
        <v>52</v>
      </c>
      <c r="E364" s="6" t="s">
        <v>161</v>
      </c>
      <c r="F364" s="6" t="s">
        <v>100</v>
      </c>
      <c r="G364" s="6"/>
      <c r="H364" s="6" t="s">
        <v>1480</v>
      </c>
      <c r="I364" s="6" t="s">
        <v>298</v>
      </c>
      <c r="J364" s="13" t="n">
        <f aca="false">4*K364+4*(L364-N364)+9*M364+2*N364</f>
        <v>183</v>
      </c>
      <c r="K364" s="14" t="n">
        <v>5.5</v>
      </c>
      <c r="L364" s="14" t="n">
        <v>20</v>
      </c>
      <c r="M364" s="14" t="n">
        <v>10</v>
      </c>
      <c r="N364" s="14" t="n">
        <v>4.5</v>
      </c>
      <c r="O364" s="14" t="n">
        <v>2</v>
      </c>
      <c r="P364" s="15" t="n">
        <v>420</v>
      </c>
      <c r="Q364" s="16" t="n">
        <v>100</v>
      </c>
      <c r="R364" s="16" t="n">
        <v>150</v>
      </c>
      <c r="S364" s="16" t="n">
        <v>200</v>
      </c>
      <c r="T364" s="16" t="n">
        <v>180</v>
      </c>
      <c r="U364" s="16" t="n">
        <v>350</v>
      </c>
      <c r="V364" s="13" t="n">
        <f aca="false">IF(Q364="","",J364*Q364/100)</f>
        <v>183</v>
      </c>
      <c r="W364" s="13" t="n">
        <f aca="false">IF(R364="","",J364*R364/100)</f>
        <v>274.5</v>
      </c>
      <c r="X364" s="13" t="n">
        <f aca="false">IF(S364="","",J364*S364/100)</f>
        <v>366</v>
      </c>
      <c r="Y364" s="13" t="n">
        <f aca="false">IF(T364="","",J364*T364/100)</f>
        <v>329.4</v>
      </c>
      <c r="Z364" s="13" t="n">
        <f aca="false">IF(U364="","",J364*U364/100)</f>
        <v>640.5</v>
      </c>
      <c r="AA364" s="6" t="s">
        <v>103</v>
      </c>
      <c r="AB364" s="6" t="s">
        <v>104</v>
      </c>
      <c r="AC364" s="6"/>
      <c r="AD364" s="13" t="str">
        <f aca="false">IF(AC364="","",IFERROR(INDEX('INDB Full Nutrients'!$D:$D,MATCH(AC364,'INDB Full Nutrients'!$A:$A,0)),""))</f>
        <v/>
      </c>
      <c r="AE364" s="6"/>
      <c r="AF364" s="6" t="s">
        <v>1489</v>
      </c>
    </row>
    <row r="365" customFormat="false" ht="15" hidden="false" customHeight="false" outlineLevel="0" collapsed="false">
      <c r="A365" s="6" t="s">
        <v>1490</v>
      </c>
      <c r="B365" s="6" t="s">
        <v>1491</v>
      </c>
      <c r="C365" s="6"/>
      <c r="D365" s="6" t="s">
        <v>52</v>
      </c>
      <c r="E365" s="6" t="s">
        <v>161</v>
      </c>
      <c r="F365" s="6" t="s">
        <v>100</v>
      </c>
      <c r="G365" s="6"/>
      <c r="H365" s="6" t="s">
        <v>1480</v>
      </c>
      <c r="I365" s="6" t="s">
        <v>298</v>
      </c>
      <c r="J365" s="13" t="n">
        <f aca="false">4*K365+4*(L365-N365)+9*M365+2*N365</f>
        <v>169</v>
      </c>
      <c r="K365" s="14" t="n">
        <v>6</v>
      </c>
      <c r="L365" s="14" t="n">
        <v>18</v>
      </c>
      <c r="M365" s="14" t="n">
        <v>9</v>
      </c>
      <c r="N365" s="14" t="n">
        <v>4</v>
      </c>
      <c r="O365" s="14" t="n">
        <v>3</v>
      </c>
      <c r="P365" s="15" t="n">
        <v>420</v>
      </c>
      <c r="Q365" s="16" t="n">
        <v>100</v>
      </c>
      <c r="R365" s="16" t="n">
        <v>150</v>
      </c>
      <c r="S365" s="16" t="n">
        <v>200</v>
      </c>
      <c r="T365" s="16" t="n">
        <v>180</v>
      </c>
      <c r="U365" s="16" t="n">
        <v>350</v>
      </c>
      <c r="V365" s="13" t="n">
        <f aca="false">IF(Q365="","",J365*Q365/100)</f>
        <v>169</v>
      </c>
      <c r="W365" s="13" t="n">
        <f aca="false">IF(R365="","",J365*R365/100)</f>
        <v>253.5</v>
      </c>
      <c r="X365" s="13" t="n">
        <f aca="false">IF(S365="","",J365*S365/100)</f>
        <v>338</v>
      </c>
      <c r="Y365" s="13" t="n">
        <f aca="false">IF(T365="","",J365*T365/100)</f>
        <v>304.2</v>
      </c>
      <c r="Z365" s="13" t="n">
        <f aca="false">IF(U365="","",J365*U365/100)</f>
        <v>591.5</v>
      </c>
      <c r="AA365" s="6" t="s">
        <v>103</v>
      </c>
      <c r="AB365" s="6" t="s">
        <v>104</v>
      </c>
      <c r="AC365" s="6" t="s">
        <v>1492</v>
      </c>
      <c r="AD365" s="13" t="n">
        <f aca="false">IF(AC365="","",IFERROR(INDEX('INDB Full Nutrients'!$D:$D,MATCH(AC365,'INDB Full Nutrients'!$A:$A,0)),""))</f>
        <v>690.725219726563</v>
      </c>
      <c r="AE365" s="6" t="s">
        <v>576</v>
      </c>
      <c r="AF365" s="6" t="s">
        <v>577</v>
      </c>
    </row>
    <row r="366" customFormat="false" ht="15" hidden="false" customHeight="false" outlineLevel="0" collapsed="false">
      <c r="A366" s="6" t="s">
        <v>1493</v>
      </c>
      <c r="B366" s="6" t="s">
        <v>1494</v>
      </c>
      <c r="C366" s="6"/>
      <c r="D366" s="6" t="s">
        <v>52</v>
      </c>
      <c r="E366" s="6" t="s">
        <v>161</v>
      </c>
      <c r="F366" s="6" t="s">
        <v>100</v>
      </c>
      <c r="G366" s="6"/>
      <c r="H366" s="6" t="s">
        <v>1480</v>
      </c>
      <c r="I366" s="6" t="s">
        <v>298</v>
      </c>
      <c r="J366" s="13" t="n">
        <f aca="false">4*K366+4*(L366-N366)+9*M366+2*N366</f>
        <v>247.6</v>
      </c>
      <c r="K366" s="14" t="n">
        <v>7</v>
      </c>
      <c r="L366" s="14" t="n">
        <v>15</v>
      </c>
      <c r="M366" s="14" t="n">
        <v>18</v>
      </c>
      <c r="N366" s="14" t="n">
        <v>1.2</v>
      </c>
      <c r="O366" s="14" t="n">
        <v>3</v>
      </c>
      <c r="P366" s="15" t="n">
        <v>380</v>
      </c>
      <c r="Q366" s="16" t="n">
        <v>100</v>
      </c>
      <c r="R366" s="16" t="n">
        <v>150</v>
      </c>
      <c r="S366" s="16" t="n">
        <v>200</v>
      </c>
      <c r="T366" s="16" t="n">
        <v>180</v>
      </c>
      <c r="U366" s="16" t="n">
        <v>350</v>
      </c>
      <c r="V366" s="13" t="n">
        <f aca="false">IF(Q366="","",J366*Q366/100)</f>
        <v>247.6</v>
      </c>
      <c r="W366" s="13" t="n">
        <f aca="false">IF(R366="","",J366*R366/100)</f>
        <v>371.4</v>
      </c>
      <c r="X366" s="13" t="n">
        <f aca="false">IF(S366="","",J366*S366/100)</f>
        <v>495.2</v>
      </c>
      <c r="Y366" s="13" t="n">
        <f aca="false">IF(T366="","",J366*T366/100)</f>
        <v>445.68</v>
      </c>
      <c r="Z366" s="13" t="n">
        <f aca="false">IF(U366="","",J366*U366/100)</f>
        <v>866.6</v>
      </c>
      <c r="AA366" s="6" t="s">
        <v>103</v>
      </c>
      <c r="AB366" s="6" t="s">
        <v>104</v>
      </c>
      <c r="AC366" s="6"/>
      <c r="AD366" s="13" t="str">
        <f aca="false">IF(AC366="","",IFERROR(INDEX('INDB Full Nutrients'!$D:$D,MATCH(AC366,'INDB Full Nutrients'!$A:$A,0)),""))</f>
        <v/>
      </c>
      <c r="AE366" s="6"/>
      <c r="AF366" s="6"/>
    </row>
    <row r="367" customFormat="false" ht="15" hidden="false" customHeight="false" outlineLevel="0" collapsed="false">
      <c r="A367" s="6" t="s">
        <v>1495</v>
      </c>
      <c r="B367" s="6" t="s">
        <v>1496</v>
      </c>
      <c r="C367" s="6"/>
      <c r="D367" s="6" t="s">
        <v>52</v>
      </c>
      <c r="E367" s="6" t="s">
        <v>161</v>
      </c>
      <c r="F367" s="6" t="s">
        <v>100</v>
      </c>
      <c r="G367" s="6"/>
      <c r="H367" s="6" t="s">
        <v>1480</v>
      </c>
      <c r="I367" s="6" t="s">
        <v>298</v>
      </c>
      <c r="J367" s="13" t="n">
        <f aca="false">4*K367+4*(L367-N367)+9*M367+2*N367</f>
        <v>131.6</v>
      </c>
      <c r="K367" s="14" t="n">
        <v>2.5</v>
      </c>
      <c r="L367" s="14" t="n">
        <v>18</v>
      </c>
      <c r="M367" s="14" t="n">
        <v>6</v>
      </c>
      <c r="N367" s="14" t="n">
        <v>2.2</v>
      </c>
      <c r="O367" s="14" t="n">
        <v>1.5</v>
      </c>
      <c r="P367" s="15" t="n">
        <v>380</v>
      </c>
      <c r="Q367" s="16" t="n">
        <v>100</v>
      </c>
      <c r="R367" s="16" t="n">
        <v>150</v>
      </c>
      <c r="S367" s="16" t="n">
        <v>200</v>
      </c>
      <c r="T367" s="16" t="n">
        <v>180</v>
      </c>
      <c r="U367" s="16" t="n">
        <v>350</v>
      </c>
      <c r="V367" s="13" t="n">
        <f aca="false">IF(Q367="","",J367*Q367/100)</f>
        <v>131.6</v>
      </c>
      <c r="W367" s="13" t="n">
        <f aca="false">IF(R367="","",J367*R367/100)</f>
        <v>197.4</v>
      </c>
      <c r="X367" s="13" t="n">
        <f aca="false">IF(S367="","",J367*S367/100)</f>
        <v>263.2</v>
      </c>
      <c r="Y367" s="13" t="n">
        <f aca="false">IF(T367="","",J367*T367/100)</f>
        <v>236.88</v>
      </c>
      <c r="Z367" s="13" t="n">
        <f aca="false">IF(U367="","",J367*U367/100)</f>
        <v>460.6</v>
      </c>
      <c r="AA367" s="6" t="s">
        <v>103</v>
      </c>
      <c r="AB367" s="6" t="s">
        <v>104</v>
      </c>
      <c r="AC367" s="6"/>
      <c r="AD367" s="13" t="str">
        <f aca="false">IF(AC367="","",IFERROR(INDEX('INDB Full Nutrients'!$D:$D,MATCH(AC367,'INDB Full Nutrients'!$A:$A,0)),""))</f>
        <v/>
      </c>
      <c r="AE367" s="6"/>
      <c r="AF367" s="6"/>
    </row>
    <row r="368" customFormat="false" ht="15" hidden="false" customHeight="false" outlineLevel="0" collapsed="false">
      <c r="A368" s="6" t="s">
        <v>1497</v>
      </c>
      <c r="B368" s="6" t="s">
        <v>1498</v>
      </c>
      <c r="C368" s="6" t="s">
        <v>1499</v>
      </c>
      <c r="D368" s="6" t="s">
        <v>52</v>
      </c>
      <c r="E368" s="6" t="s">
        <v>161</v>
      </c>
      <c r="F368" s="6" t="s">
        <v>100</v>
      </c>
      <c r="G368" s="6"/>
      <c r="H368" s="6" t="s">
        <v>1480</v>
      </c>
      <c r="I368" s="6" t="s">
        <v>298</v>
      </c>
      <c r="J368" s="13" t="n">
        <f aca="false">4*K368+4*(L368-N368)+9*M368+2*N368</f>
        <v>108.4</v>
      </c>
      <c r="K368" s="14" t="n">
        <v>4</v>
      </c>
      <c r="L368" s="14" t="n">
        <v>6</v>
      </c>
      <c r="M368" s="14" t="n">
        <v>8</v>
      </c>
      <c r="N368" s="14" t="n">
        <v>1.8</v>
      </c>
      <c r="O368" s="14" t="n">
        <v>2.5</v>
      </c>
      <c r="P368" s="15" t="n">
        <v>400</v>
      </c>
      <c r="Q368" s="16" t="n">
        <v>100</v>
      </c>
      <c r="R368" s="16" t="n">
        <v>150</v>
      </c>
      <c r="S368" s="16" t="n">
        <v>200</v>
      </c>
      <c r="T368" s="16" t="n">
        <v>180</v>
      </c>
      <c r="U368" s="16" t="n">
        <v>350</v>
      </c>
      <c r="V368" s="13" t="n">
        <f aca="false">IF(Q368="","",J368*Q368/100)</f>
        <v>108.4</v>
      </c>
      <c r="W368" s="13" t="n">
        <f aca="false">IF(R368="","",J368*R368/100)</f>
        <v>162.6</v>
      </c>
      <c r="X368" s="13" t="n">
        <f aca="false">IF(S368="","",J368*S368/100)</f>
        <v>216.8</v>
      </c>
      <c r="Y368" s="13" t="n">
        <f aca="false">IF(T368="","",J368*T368/100)</f>
        <v>195.12</v>
      </c>
      <c r="Z368" s="13" t="n">
        <f aca="false">IF(U368="","",J368*U368/100)</f>
        <v>379.4</v>
      </c>
      <c r="AA368" s="6" t="s">
        <v>103</v>
      </c>
      <c r="AB368" s="6" t="s">
        <v>104</v>
      </c>
      <c r="AC368" s="6"/>
      <c r="AD368" s="13" t="str">
        <f aca="false">IF(AC368="","",IFERROR(INDEX('INDB Full Nutrients'!$D:$D,MATCH(AC368,'INDB Full Nutrients'!$A:$A,0)),""))</f>
        <v/>
      </c>
      <c r="AE368" s="6"/>
      <c r="AF368" s="6"/>
    </row>
    <row r="369" customFormat="false" ht="15" hidden="false" customHeight="false" outlineLevel="0" collapsed="false">
      <c r="A369" s="6" t="s">
        <v>1500</v>
      </c>
      <c r="B369" s="6" t="s">
        <v>1501</v>
      </c>
      <c r="C369" s="6" t="s">
        <v>1502</v>
      </c>
      <c r="D369" s="6" t="s">
        <v>52</v>
      </c>
      <c r="E369" s="6" t="s">
        <v>161</v>
      </c>
      <c r="F369" s="6" t="s">
        <v>100</v>
      </c>
      <c r="G369" s="6"/>
      <c r="H369" s="6" t="s">
        <v>1480</v>
      </c>
      <c r="I369" s="6" t="s">
        <v>298</v>
      </c>
      <c r="J369" s="13" t="n">
        <f aca="false">4*K369+4*(L369-N369)+9*M369+2*N369</f>
        <v>175</v>
      </c>
      <c r="K369" s="14" t="n">
        <v>13</v>
      </c>
      <c r="L369" s="14" t="n">
        <v>12</v>
      </c>
      <c r="M369" s="14" t="n">
        <v>9</v>
      </c>
      <c r="N369" s="14" t="n">
        <v>3</v>
      </c>
      <c r="O369" s="14" t="n">
        <v>2</v>
      </c>
      <c r="P369" s="15" t="n">
        <v>450</v>
      </c>
      <c r="Q369" s="16" t="n">
        <v>100</v>
      </c>
      <c r="R369" s="16" t="n">
        <v>150</v>
      </c>
      <c r="S369" s="16" t="n">
        <v>200</v>
      </c>
      <c r="T369" s="16" t="n">
        <v>180</v>
      </c>
      <c r="U369" s="16" t="n">
        <v>350</v>
      </c>
      <c r="V369" s="13" t="n">
        <f aca="false">IF(Q369="","",J369*Q369/100)</f>
        <v>175</v>
      </c>
      <c r="W369" s="13" t="n">
        <f aca="false">IF(R369="","",J369*R369/100)</f>
        <v>262.5</v>
      </c>
      <c r="X369" s="13" t="n">
        <f aca="false">IF(S369="","",J369*S369/100)</f>
        <v>350</v>
      </c>
      <c r="Y369" s="13" t="n">
        <f aca="false">IF(T369="","",J369*T369/100)</f>
        <v>315</v>
      </c>
      <c r="Z369" s="13" t="n">
        <f aca="false">IF(U369="","",J369*U369/100)</f>
        <v>612.5</v>
      </c>
      <c r="AA369" s="6" t="s">
        <v>103</v>
      </c>
      <c r="AB369" s="6" t="s">
        <v>104</v>
      </c>
      <c r="AC369" s="6"/>
      <c r="AD369" s="13" t="str">
        <f aca="false">IF(AC369="","",IFERROR(INDEX('INDB Full Nutrients'!$D:$D,MATCH(AC369,'INDB Full Nutrients'!$A:$A,0)),""))</f>
        <v/>
      </c>
      <c r="AE369" s="6"/>
      <c r="AF369" s="6"/>
    </row>
    <row r="370" customFormat="false" ht="15" hidden="false" customHeight="false" outlineLevel="0" collapsed="false">
      <c r="A370" s="6" t="s">
        <v>1503</v>
      </c>
      <c r="B370" s="6" t="s">
        <v>1504</v>
      </c>
      <c r="C370" s="6" t="s">
        <v>1505</v>
      </c>
      <c r="D370" s="6" t="s">
        <v>52</v>
      </c>
      <c r="E370" s="6" t="s">
        <v>161</v>
      </c>
      <c r="F370" s="6" t="s">
        <v>100</v>
      </c>
      <c r="G370" s="6"/>
      <c r="H370" s="6" t="s">
        <v>1480</v>
      </c>
      <c r="I370" s="6" t="s">
        <v>298</v>
      </c>
      <c r="J370" s="13" t="n">
        <f aca="false">4*K370+4*(L370-N370)+9*M370+2*N370</f>
        <v>213</v>
      </c>
      <c r="K370" s="14" t="n">
        <v>12</v>
      </c>
      <c r="L370" s="14" t="n">
        <v>11</v>
      </c>
      <c r="M370" s="14" t="n">
        <v>14</v>
      </c>
      <c r="N370" s="14" t="n">
        <v>2.5</v>
      </c>
      <c r="O370" s="14" t="n">
        <v>2.5</v>
      </c>
      <c r="P370" s="15" t="n">
        <v>450</v>
      </c>
      <c r="Q370" s="16" t="n">
        <v>100</v>
      </c>
      <c r="R370" s="16" t="n">
        <v>150</v>
      </c>
      <c r="S370" s="16" t="n">
        <v>200</v>
      </c>
      <c r="T370" s="16" t="n">
        <v>180</v>
      </c>
      <c r="U370" s="16" t="n">
        <v>350</v>
      </c>
      <c r="V370" s="13" t="n">
        <f aca="false">IF(Q370="","",J370*Q370/100)</f>
        <v>213</v>
      </c>
      <c r="W370" s="13" t="n">
        <f aca="false">IF(R370="","",J370*R370/100)</f>
        <v>319.5</v>
      </c>
      <c r="X370" s="13" t="n">
        <f aca="false">IF(S370="","",J370*S370/100)</f>
        <v>426</v>
      </c>
      <c r="Y370" s="13" t="n">
        <f aca="false">IF(T370="","",J370*T370/100)</f>
        <v>383.4</v>
      </c>
      <c r="Z370" s="13" t="n">
        <f aca="false">IF(U370="","",J370*U370/100)</f>
        <v>745.5</v>
      </c>
      <c r="AA370" s="6" t="s">
        <v>103</v>
      </c>
      <c r="AB370" s="6" t="s">
        <v>104</v>
      </c>
      <c r="AC370" s="6"/>
      <c r="AD370" s="13" t="str">
        <f aca="false">IF(AC370="","",IFERROR(INDEX('INDB Full Nutrients'!$D:$D,MATCH(AC370,'INDB Full Nutrients'!$A:$A,0)),""))</f>
        <v/>
      </c>
      <c r="AE370" s="6"/>
      <c r="AF370" s="6"/>
    </row>
    <row r="371" customFormat="false" ht="15" hidden="false" customHeight="false" outlineLevel="0" collapsed="false">
      <c r="A371" s="6" t="s">
        <v>1506</v>
      </c>
      <c r="B371" s="6" t="s">
        <v>1507</v>
      </c>
      <c r="C371" s="6"/>
      <c r="D371" s="6" t="s">
        <v>52</v>
      </c>
      <c r="E371" s="6" t="s">
        <v>119</v>
      </c>
      <c r="F371" s="6" t="s">
        <v>100</v>
      </c>
      <c r="G371" s="6"/>
      <c r="H371" s="6" t="s">
        <v>1480</v>
      </c>
      <c r="I371" s="6" t="s">
        <v>298</v>
      </c>
      <c r="J371" s="13" t="n">
        <f aca="false">4*K371+4*(L371-N371)+9*M371+2*N371</f>
        <v>256</v>
      </c>
      <c r="K371" s="14" t="n">
        <v>12</v>
      </c>
      <c r="L371" s="14" t="n">
        <v>12</v>
      </c>
      <c r="M371" s="14" t="n">
        <v>18</v>
      </c>
      <c r="N371" s="14" t="n">
        <v>1</v>
      </c>
      <c r="O371" s="14" t="n">
        <v>2</v>
      </c>
      <c r="P371" s="15" t="n">
        <v>600</v>
      </c>
      <c r="Q371" s="16" t="n">
        <v>100</v>
      </c>
      <c r="R371" s="16" t="n">
        <v>150</v>
      </c>
      <c r="S371" s="16" t="n">
        <v>200</v>
      </c>
      <c r="T371" s="16" t="n">
        <v>180</v>
      </c>
      <c r="U371" s="16" t="n">
        <v>350</v>
      </c>
      <c r="V371" s="13" t="n">
        <f aca="false">IF(Q371="","",J371*Q371/100)</f>
        <v>256</v>
      </c>
      <c r="W371" s="13" t="n">
        <f aca="false">IF(R371="","",J371*R371/100)</f>
        <v>384</v>
      </c>
      <c r="X371" s="13" t="n">
        <f aca="false">IF(S371="","",J371*S371/100)</f>
        <v>512</v>
      </c>
      <c r="Y371" s="13" t="n">
        <f aca="false">IF(T371="","",J371*T371/100)</f>
        <v>460.8</v>
      </c>
      <c r="Z371" s="13" t="n">
        <f aca="false">IF(U371="","",J371*U371/100)</f>
        <v>896</v>
      </c>
      <c r="AA371" s="6" t="s">
        <v>103</v>
      </c>
      <c r="AB371" s="6" t="s">
        <v>104</v>
      </c>
      <c r="AC371" s="6"/>
      <c r="AD371" s="13" t="str">
        <f aca="false">IF(AC371="","",IFERROR(INDEX('INDB Full Nutrients'!$D:$D,MATCH(AC371,'INDB Full Nutrients'!$A:$A,0)),""))</f>
        <v/>
      </c>
      <c r="AE371" s="6"/>
      <c r="AF371" s="6" t="s">
        <v>1508</v>
      </c>
    </row>
    <row r="372" customFormat="false" ht="15" hidden="false" customHeight="false" outlineLevel="0" collapsed="false">
      <c r="A372" s="6" t="s">
        <v>1509</v>
      </c>
      <c r="B372" s="6" t="s">
        <v>1510</v>
      </c>
      <c r="C372" s="6" t="s">
        <v>1511</v>
      </c>
      <c r="D372" s="6" t="s">
        <v>52</v>
      </c>
      <c r="E372" s="6" t="s">
        <v>119</v>
      </c>
      <c r="F372" s="6" t="s">
        <v>100</v>
      </c>
      <c r="G372" s="6"/>
      <c r="H372" s="6" t="s">
        <v>1480</v>
      </c>
      <c r="I372" s="6" t="s">
        <v>298</v>
      </c>
      <c r="J372" s="13" t="n">
        <f aca="false">4*K372+4*(L372-N372)+9*M372+2*N372</f>
        <v>217</v>
      </c>
      <c r="K372" s="14" t="n">
        <v>4</v>
      </c>
      <c r="L372" s="14" t="n">
        <v>20</v>
      </c>
      <c r="M372" s="14" t="n">
        <v>14</v>
      </c>
      <c r="N372" s="14" t="n">
        <v>2.5</v>
      </c>
      <c r="O372" s="14" t="n">
        <v>2</v>
      </c>
      <c r="P372" s="15" t="n">
        <v>600</v>
      </c>
      <c r="Q372" s="16" t="n">
        <v>100</v>
      </c>
      <c r="R372" s="16" t="n">
        <v>150</v>
      </c>
      <c r="S372" s="16" t="n">
        <v>200</v>
      </c>
      <c r="T372" s="16" t="n">
        <v>180</v>
      </c>
      <c r="U372" s="16" t="n">
        <v>350</v>
      </c>
      <c r="V372" s="13" t="n">
        <f aca="false">IF(Q372="","",J372*Q372/100)</f>
        <v>217</v>
      </c>
      <c r="W372" s="13" t="n">
        <f aca="false">IF(R372="","",J372*R372/100)</f>
        <v>325.5</v>
      </c>
      <c r="X372" s="13" t="n">
        <f aca="false">IF(S372="","",J372*S372/100)</f>
        <v>434</v>
      </c>
      <c r="Y372" s="13" t="n">
        <f aca="false">IF(T372="","",J372*T372/100)</f>
        <v>390.6</v>
      </c>
      <c r="Z372" s="13" t="n">
        <f aca="false">IF(U372="","",J372*U372/100)</f>
        <v>759.5</v>
      </c>
      <c r="AA372" s="6" t="s">
        <v>103</v>
      </c>
      <c r="AB372" s="6" t="s">
        <v>104</v>
      </c>
      <c r="AC372" s="6" t="s">
        <v>1512</v>
      </c>
      <c r="AD372" s="13" t="n">
        <f aca="false">IF(AC372="","",IFERROR(INDEX('INDB Full Nutrients'!$D:$D,MATCH(AC372,'INDB Full Nutrients'!$A:$A,0)),""))</f>
        <v>278.293151855469</v>
      </c>
      <c r="AE372" s="6" t="s">
        <v>628</v>
      </c>
      <c r="AF372" s="6" t="s">
        <v>1508</v>
      </c>
    </row>
    <row r="373" customFormat="false" ht="15" hidden="false" customHeight="false" outlineLevel="0" collapsed="false">
      <c r="A373" s="6" t="s">
        <v>1513</v>
      </c>
      <c r="B373" s="6" t="s">
        <v>1514</v>
      </c>
      <c r="C373" s="6" t="s">
        <v>1515</v>
      </c>
      <c r="D373" s="6" t="s">
        <v>52</v>
      </c>
      <c r="E373" s="6" t="s">
        <v>99</v>
      </c>
      <c r="F373" s="6" t="s">
        <v>100</v>
      </c>
      <c r="G373" s="6"/>
      <c r="H373" s="6" t="s">
        <v>603</v>
      </c>
      <c r="I373" s="6" t="s">
        <v>298</v>
      </c>
      <c r="J373" s="13" t="n">
        <f aca="false">4*K373+4*(L373-N373)+9*M373+2*N373</f>
        <v>200</v>
      </c>
      <c r="K373" s="14" t="n">
        <v>4</v>
      </c>
      <c r="L373" s="14" t="n">
        <v>25</v>
      </c>
      <c r="M373" s="14" t="n">
        <v>10</v>
      </c>
      <c r="N373" s="14" t="n">
        <v>3</v>
      </c>
      <c r="O373" s="14" t="n">
        <v>2</v>
      </c>
      <c r="P373" s="15" t="n">
        <v>380</v>
      </c>
      <c r="Q373" s="16" t="n">
        <v>40</v>
      </c>
      <c r="R373" s="16" t="n">
        <v>60</v>
      </c>
      <c r="S373" s="16" t="n">
        <v>80</v>
      </c>
      <c r="T373" s="6"/>
      <c r="U373" s="6"/>
      <c r="V373" s="13" t="n">
        <f aca="false">IF(Q373="","",J373*Q373/100)</f>
        <v>80</v>
      </c>
      <c r="W373" s="13" t="n">
        <f aca="false">IF(R373="","",J373*R373/100)</f>
        <v>120</v>
      </c>
      <c r="X373" s="13" t="n">
        <f aca="false">IF(S373="","",J373*S373/100)</f>
        <v>160</v>
      </c>
      <c r="Y373" s="13" t="str">
        <f aca="false">IF(T373="","",J373*T373/100)</f>
        <v/>
      </c>
      <c r="Z373" s="13" t="str">
        <f aca="false">IF(U373="","",J373*U373/100)</f>
        <v/>
      </c>
      <c r="AA373" s="6" t="s">
        <v>103</v>
      </c>
      <c r="AB373" s="6" t="s">
        <v>104</v>
      </c>
      <c r="AC373" s="6" t="s">
        <v>1516</v>
      </c>
      <c r="AD373" s="13" t="n">
        <f aca="false">IF(AC373="","",IFERROR(INDEX('INDB Full Nutrients'!$D:$D,MATCH(AC373,'INDB Full Nutrients'!$A:$A,0)),""))</f>
        <v>665.454406738281</v>
      </c>
      <c r="AE373" s="6" t="s">
        <v>740</v>
      </c>
      <c r="AF373" s="6" t="s">
        <v>577</v>
      </c>
    </row>
    <row r="374" customFormat="false" ht="15" hidden="false" customHeight="false" outlineLevel="0" collapsed="false">
      <c r="A374" s="6" t="s">
        <v>1517</v>
      </c>
      <c r="B374" s="6" t="s">
        <v>1518</v>
      </c>
      <c r="C374" s="6" t="s">
        <v>1519</v>
      </c>
      <c r="D374" s="6" t="s">
        <v>52</v>
      </c>
      <c r="E374" s="6" t="s">
        <v>161</v>
      </c>
      <c r="F374" s="6" t="s">
        <v>100</v>
      </c>
      <c r="G374" s="6" t="s">
        <v>124</v>
      </c>
      <c r="H374" s="6" t="s">
        <v>603</v>
      </c>
      <c r="I374" s="6" t="s">
        <v>298</v>
      </c>
      <c r="J374" s="13" t="n">
        <f aca="false">4*K374+4*(L374-N374)+9*M374+2*N374</f>
        <v>192</v>
      </c>
      <c r="K374" s="14" t="n">
        <v>3</v>
      </c>
      <c r="L374" s="14" t="n">
        <v>26</v>
      </c>
      <c r="M374" s="14" t="n">
        <v>9</v>
      </c>
      <c r="N374" s="14" t="n">
        <v>2.5</v>
      </c>
      <c r="O374" s="14" t="n">
        <v>1</v>
      </c>
      <c r="P374" s="15" t="n">
        <v>380</v>
      </c>
      <c r="Q374" s="16" t="n">
        <v>40</v>
      </c>
      <c r="R374" s="16" t="n">
        <v>60</v>
      </c>
      <c r="S374" s="16" t="n">
        <v>80</v>
      </c>
      <c r="T374" s="6"/>
      <c r="U374" s="6"/>
      <c r="V374" s="13" t="n">
        <f aca="false">IF(Q374="","",J374*Q374/100)</f>
        <v>76.8</v>
      </c>
      <c r="W374" s="13" t="n">
        <f aca="false">IF(R374="","",J374*R374/100)</f>
        <v>115.2</v>
      </c>
      <c r="X374" s="13" t="n">
        <f aca="false">IF(S374="","",J374*S374/100)</f>
        <v>153.6</v>
      </c>
      <c r="Y374" s="13" t="str">
        <f aca="false">IF(T374="","",J374*T374/100)</f>
        <v/>
      </c>
      <c r="Z374" s="13" t="str">
        <f aca="false">IF(U374="","",J374*U374/100)</f>
        <v/>
      </c>
      <c r="AA374" s="6" t="s">
        <v>103</v>
      </c>
      <c r="AB374" s="6" t="s">
        <v>104</v>
      </c>
      <c r="AC374" s="6"/>
      <c r="AD374" s="13" t="str">
        <f aca="false">IF(AC374="","",IFERROR(INDEX('INDB Full Nutrients'!$D:$D,MATCH(AC374,'INDB Full Nutrients'!$A:$A,0)),""))</f>
        <v/>
      </c>
      <c r="AE374" s="6"/>
      <c r="AF374" s="6" t="s">
        <v>1520</v>
      </c>
    </row>
    <row r="375" customFormat="false" ht="15" hidden="false" customHeight="false" outlineLevel="0" collapsed="false">
      <c r="A375" s="6" t="s">
        <v>1521</v>
      </c>
      <c r="B375" s="6" t="s">
        <v>1522</v>
      </c>
      <c r="C375" s="6"/>
      <c r="D375" s="6" t="s">
        <v>52</v>
      </c>
      <c r="E375" s="6" t="s">
        <v>99</v>
      </c>
      <c r="F375" s="6" t="s">
        <v>100</v>
      </c>
      <c r="G375" s="6"/>
      <c r="H375" s="6" t="s">
        <v>1480</v>
      </c>
      <c r="I375" s="6" t="s">
        <v>298</v>
      </c>
      <c r="J375" s="13" t="n">
        <f aca="false">4*K375+4*(L375-N375)+9*M375+2*N375</f>
        <v>277</v>
      </c>
      <c r="K375" s="14" t="n">
        <v>7</v>
      </c>
      <c r="L375" s="14" t="n">
        <v>25</v>
      </c>
      <c r="M375" s="14" t="n">
        <v>17</v>
      </c>
      <c r="N375" s="14" t="n">
        <v>2</v>
      </c>
      <c r="O375" s="14" t="n">
        <v>3</v>
      </c>
      <c r="P375" s="15" t="n">
        <v>500</v>
      </c>
      <c r="Q375" s="16" t="n">
        <v>60</v>
      </c>
      <c r="R375" s="16" t="n">
        <v>100</v>
      </c>
      <c r="S375" s="16" t="n">
        <v>150</v>
      </c>
      <c r="T375" s="6"/>
      <c r="U375" s="6"/>
      <c r="V375" s="13" t="n">
        <f aca="false">IF(Q375="","",J375*Q375/100)</f>
        <v>166.2</v>
      </c>
      <c r="W375" s="13" t="n">
        <f aca="false">IF(R375="","",J375*R375/100)</f>
        <v>277</v>
      </c>
      <c r="X375" s="13" t="n">
        <f aca="false">IF(S375="","",J375*S375/100)</f>
        <v>415.5</v>
      </c>
      <c r="Y375" s="13" t="str">
        <f aca="false">IF(T375="","",J375*T375/100)</f>
        <v/>
      </c>
      <c r="Z375" s="13" t="str">
        <f aca="false">IF(U375="","",J375*U375/100)</f>
        <v/>
      </c>
      <c r="AA375" s="6" t="s">
        <v>103</v>
      </c>
      <c r="AB375" s="6" t="s">
        <v>104</v>
      </c>
      <c r="AC375" s="6"/>
      <c r="AD375" s="13" t="str">
        <f aca="false">IF(AC375="","",IFERROR(INDEX('INDB Full Nutrients'!$D:$D,MATCH(AC375,'INDB Full Nutrients'!$A:$A,0)),""))</f>
        <v/>
      </c>
      <c r="AE375" s="6"/>
      <c r="AF375" s="6" t="s">
        <v>1508</v>
      </c>
    </row>
    <row r="376" customFormat="false" ht="15" hidden="false" customHeight="false" outlineLevel="0" collapsed="false">
      <c r="A376" s="6" t="s">
        <v>1523</v>
      </c>
      <c r="B376" s="6" t="s">
        <v>1524</v>
      </c>
      <c r="C376" s="6" t="s">
        <v>1525</v>
      </c>
      <c r="D376" s="6" t="s">
        <v>52</v>
      </c>
      <c r="E376" s="6" t="s">
        <v>56</v>
      </c>
      <c r="F376" s="6" t="s">
        <v>100</v>
      </c>
      <c r="G376" s="6" t="s">
        <v>124</v>
      </c>
      <c r="H376" s="6" t="s">
        <v>1480</v>
      </c>
      <c r="I376" s="6" t="s">
        <v>298</v>
      </c>
      <c r="J376" s="13" t="n">
        <f aca="false">4*K376+4*(L376-N376)+9*M376+2*N376</f>
        <v>252</v>
      </c>
      <c r="K376" s="14" t="n">
        <v>5</v>
      </c>
      <c r="L376" s="14" t="n">
        <v>30</v>
      </c>
      <c r="M376" s="14" t="n">
        <v>13</v>
      </c>
      <c r="N376" s="14" t="n">
        <v>2.5</v>
      </c>
      <c r="O376" s="14" t="n">
        <v>3</v>
      </c>
      <c r="P376" s="15" t="n">
        <v>450</v>
      </c>
      <c r="Q376" s="16" t="n">
        <v>40</v>
      </c>
      <c r="R376" s="16" t="n">
        <v>60</v>
      </c>
      <c r="S376" s="16" t="n">
        <v>90</v>
      </c>
      <c r="T376" s="6"/>
      <c r="U376" s="6"/>
      <c r="V376" s="13" t="n">
        <f aca="false">IF(Q376="","",J376*Q376/100)</f>
        <v>100.8</v>
      </c>
      <c r="W376" s="13" t="n">
        <f aca="false">IF(R376="","",J376*R376/100)</f>
        <v>151.2</v>
      </c>
      <c r="X376" s="13" t="n">
        <f aca="false">IF(S376="","",J376*S376/100)</f>
        <v>226.8</v>
      </c>
      <c r="Y376" s="13" t="str">
        <f aca="false">IF(T376="","",J376*T376/100)</f>
        <v/>
      </c>
      <c r="Z376" s="13" t="str">
        <f aca="false">IF(U376="","",J376*U376/100)</f>
        <v/>
      </c>
      <c r="AA376" s="6" t="s">
        <v>103</v>
      </c>
      <c r="AB376" s="6" t="s">
        <v>104</v>
      </c>
      <c r="AC376" s="6" t="s">
        <v>1526</v>
      </c>
      <c r="AD376" s="13" t="n">
        <f aca="false">IF(AC376="","",IFERROR(INDEX('INDB Full Nutrients'!$D:$D,MATCH(AC376,'INDB Full Nutrients'!$A:$A,0)),""))</f>
        <v>623.873962402344</v>
      </c>
      <c r="AE376" s="6" t="s">
        <v>576</v>
      </c>
      <c r="AF376" s="6" t="s">
        <v>577</v>
      </c>
    </row>
    <row r="377" customFormat="false" ht="15" hidden="false" customHeight="false" outlineLevel="0" collapsed="false">
      <c r="A377" s="6" t="s">
        <v>1527</v>
      </c>
      <c r="B377" s="6" t="s">
        <v>1528</v>
      </c>
      <c r="C377" s="6" t="s">
        <v>1529</v>
      </c>
      <c r="D377" s="6" t="s">
        <v>52</v>
      </c>
      <c r="E377" s="6" t="s">
        <v>161</v>
      </c>
      <c r="F377" s="6" t="s">
        <v>100</v>
      </c>
      <c r="G377" s="6"/>
      <c r="H377" s="6" t="s">
        <v>603</v>
      </c>
      <c r="I377" s="6" t="s">
        <v>298</v>
      </c>
      <c r="J377" s="13" t="n">
        <f aca="false">4*K377+4*(L377-N377)+9*M377+2*N377</f>
        <v>302</v>
      </c>
      <c r="K377" s="14" t="n">
        <v>12</v>
      </c>
      <c r="L377" s="14" t="n">
        <v>15</v>
      </c>
      <c r="M377" s="14" t="n">
        <v>22</v>
      </c>
      <c r="N377" s="14" t="n">
        <v>2</v>
      </c>
      <c r="O377" s="14" t="n">
        <v>2</v>
      </c>
      <c r="P377" s="15" t="n">
        <v>400</v>
      </c>
      <c r="Q377" s="16" t="n">
        <v>60</v>
      </c>
      <c r="R377" s="16" t="n">
        <v>100</v>
      </c>
      <c r="S377" s="16" t="n">
        <v>150</v>
      </c>
      <c r="T377" s="6"/>
      <c r="U377" s="6"/>
      <c r="V377" s="13" t="n">
        <f aca="false">IF(Q377="","",J377*Q377/100)</f>
        <v>181.2</v>
      </c>
      <c r="W377" s="13" t="n">
        <f aca="false">IF(R377="","",J377*R377/100)</f>
        <v>302</v>
      </c>
      <c r="X377" s="13" t="n">
        <f aca="false">IF(S377="","",J377*S377/100)</f>
        <v>453</v>
      </c>
      <c r="Y377" s="13" t="str">
        <f aca="false">IF(T377="","",J377*T377/100)</f>
        <v/>
      </c>
      <c r="Z377" s="13" t="str">
        <f aca="false">IF(U377="","",J377*U377/100)</f>
        <v/>
      </c>
      <c r="AA377" s="6" t="s">
        <v>103</v>
      </c>
      <c r="AB377" s="6" t="s">
        <v>104</v>
      </c>
      <c r="AC377" s="6" t="s">
        <v>1530</v>
      </c>
      <c r="AD377" s="13" t="n">
        <f aca="false">IF(AC377="","",IFERROR(INDEX('INDB Full Nutrients'!$D:$D,MATCH(AC377,'INDB Full Nutrients'!$A:$A,0)),""))</f>
        <v>718.121887207031</v>
      </c>
      <c r="AE377" s="6" t="s">
        <v>740</v>
      </c>
      <c r="AF377" s="6" t="s">
        <v>577</v>
      </c>
    </row>
    <row r="378" customFormat="false" ht="15" hidden="false" customHeight="false" outlineLevel="0" collapsed="false">
      <c r="A378" s="6" t="s">
        <v>1531</v>
      </c>
      <c r="B378" s="6" t="s">
        <v>1532</v>
      </c>
      <c r="C378" s="6" t="s">
        <v>1533</v>
      </c>
      <c r="D378" s="6" t="s">
        <v>53</v>
      </c>
      <c r="E378" s="6" t="s">
        <v>161</v>
      </c>
      <c r="F378" s="6" t="s">
        <v>569</v>
      </c>
      <c r="G378" s="6"/>
      <c r="H378" s="6" t="s">
        <v>1480</v>
      </c>
      <c r="I378" s="6" t="s">
        <v>298</v>
      </c>
      <c r="J378" s="13" t="n">
        <f aca="false">4*K378+4*(L378-N378)+9*M378+2*N378</f>
        <v>183</v>
      </c>
      <c r="K378" s="14" t="n">
        <v>24</v>
      </c>
      <c r="L378" s="14" t="n">
        <v>4</v>
      </c>
      <c r="M378" s="14" t="n">
        <v>8</v>
      </c>
      <c r="N378" s="14" t="n">
        <v>0.5</v>
      </c>
      <c r="O378" s="14" t="n">
        <v>2</v>
      </c>
      <c r="P378" s="15" t="n">
        <v>500</v>
      </c>
      <c r="Q378" s="16" t="n">
        <v>100</v>
      </c>
      <c r="R378" s="16" t="n">
        <v>150</v>
      </c>
      <c r="S378" s="16" t="n">
        <v>200</v>
      </c>
      <c r="T378" s="16" t="n">
        <v>180</v>
      </c>
      <c r="U378" s="16" t="n">
        <v>350</v>
      </c>
      <c r="V378" s="13" t="n">
        <f aca="false">IF(Q378="","",J378*Q378/100)</f>
        <v>183</v>
      </c>
      <c r="W378" s="13" t="n">
        <f aca="false">IF(R378="","",J378*R378/100)</f>
        <v>274.5</v>
      </c>
      <c r="X378" s="13" t="n">
        <f aca="false">IF(S378="","",J378*S378/100)</f>
        <v>366</v>
      </c>
      <c r="Y378" s="13" t="n">
        <f aca="false">IF(T378="","",J378*T378/100)</f>
        <v>329.4</v>
      </c>
      <c r="Z378" s="13" t="n">
        <f aca="false">IF(U378="","",J378*U378/100)</f>
        <v>640.5</v>
      </c>
      <c r="AA378" s="6" t="s">
        <v>103</v>
      </c>
      <c r="AB378" s="6" t="s">
        <v>104</v>
      </c>
      <c r="AC378" s="6"/>
      <c r="AD378" s="13" t="str">
        <f aca="false">IF(AC378="","",IFERROR(INDEX('INDB Full Nutrients'!$D:$D,MATCH(AC378,'INDB Full Nutrients'!$A:$A,0)),""))</f>
        <v/>
      </c>
      <c r="AE378" s="6"/>
      <c r="AF378" s="6" t="s">
        <v>1534</v>
      </c>
    </row>
    <row r="379" customFormat="false" ht="15" hidden="false" customHeight="false" outlineLevel="0" collapsed="false">
      <c r="A379" s="6" t="s">
        <v>1535</v>
      </c>
      <c r="B379" s="6" t="s">
        <v>1536</v>
      </c>
      <c r="C379" s="6"/>
      <c r="D379" s="6" t="s">
        <v>53</v>
      </c>
      <c r="E379" s="6" t="s">
        <v>161</v>
      </c>
      <c r="F379" s="6" t="s">
        <v>569</v>
      </c>
      <c r="G379" s="6"/>
      <c r="H379" s="6" t="s">
        <v>1480</v>
      </c>
      <c r="I379" s="6" t="s">
        <v>298</v>
      </c>
      <c r="J379" s="13" t="n">
        <f aca="false">4*K379+4*(L379-N379)+9*M379+2*N379</f>
        <v>183</v>
      </c>
      <c r="K379" s="14" t="n">
        <v>25</v>
      </c>
      <c r="L379" s="14" t="n">
        <v>3</v>
      </c>
      <c r="M379" s="14" t="n">
        <v>8</v>
      </c>
      <c r="N379" s="14" t="n">
        <v>0.5</v>
      </c>
      <c r="O379" s="14" t="n">
        <v>1.5</v>
      </c>
      <c r="P379" s="15" t="n">
        <v>480</v>
      </c>
      <c r="Q379" s="16" t="n">
        <v>60</v>
      </c>
      <c r="R379" s="16" t="n">
        <v>120</v>
      </c>
      <c r="S379" s="16" t="n">
        <v>180</v>
      </c>
      <c r="T379" s="16" t="n">
        <v>250</v>
      </c>
      <c r="U379" s="16" t="n">
        <v>500</v>
      </c>
      <c r="V379" s="13" t="n">
        <f aca="false">IF(Q379="","",J379*Q379/100)</f>
        <v>109.8</v>
      </c>
      <c r="W379" s="13" t="n">
        <f aca="false">IF(R379="","",J379*R379/100)</f>
        <v>219.6</v>
      </c>
      <c r="X379" s="13" t="n">
        <f aca="false">IF(S379="","",J379*S379/100)</f>
        <v>329.4</v>
      </c>
      <c r="Y379" s="13" t="n">
        <f aca="false">IF(T379="","",J379*T379/100)</f>
        <v>457.5</v>
      </c>
      <c r="Z379" s="13" t="n">
        <f aca="false">IF(U379="","",J379*U379/100)</f>
        <v>915</v>
      </c>
      <c r="AA379" s="6" t="s">
        <v>103</v>
      </c>
      <c r="AB379" s="6" t="s">
        <v>104</v>
      </c>
      <c r="AC379" s="6" t="s">
        <v>1537</v>
      </c>
      <c r="AD379" s="13" t="n">
        <f aca="false">IF(AC379="","",IFERROR(INDEX('INDB Full Nutrients'!$D:$D,MATCH(AC379,'INDB Full Nutrients'!$A:$A,0)),""))</f>
        <v>145.198638916016</v>
      </c>
      <c r="AE379" s="6" t="s">
        <v>628</v>
      </c>
      <c r="AF379" s="6" t="s">
        <v>1538</v>
      </c>
    </row>
    <row r="380" customFormat="false" ht="15" hidden="false" customHeight="false" outlineLevel="0" collapsed="false">
      <c r="A380" s="6" t="s">
        <v>1539</v>
      </c>
      <c r="B380" s="6" t="s">
        <v>1540</v>
      </c>
      <c r="C380" s="6" t="s">
        <v>1541</v>
      </c>
      <c r="D380" s="6" t="s">
        <v>53</v>
      </c>
      <c r="E380" s="6" t="s">
        <v>161</v>
      </c>
      <c r="F380" s="6" t="s">
        <v>569</v>
      </c>
      <c r="G380" s="6"/>
      <c r="H380" s="6" t="s">
        <v>1480</v>
      </c>
      <c r="I380" s="6" t="s">
        <v>298</v>
      </c>
      <c r="J380" s="13" t="n">
        <f aca="false">4*K380+4*(L380-N380)+9*M380+2*N380</f>
        <v>225.6</v>
      </c>
      <c r="K380" s="14" t="n">
        <v>22</v>
      </c>
      <c r="L380" s="14" t="n">
        <v>3</v>
      </c>
      <c r="M380" s="14" t="n">
        <v>14</v>
      </c>
      <c r="N380" s="14" t="n">
        <v>0.2</v>
      </c>
      <c r="O380" s="14" t="n">
        <v>1.5</v>
      </c>
      <c r="P380" s="15" t="n">
        <v>450</v>
      </c>
      <c r="Q380" s="16" t="n">
        <v>100</v>
      </c>
      <c r="R380" s="16" t="n">
        <v>150</v>
      </c>
      <c r="S380" s="16" t="n">
        <v>200</v>
      </c>
      <c r="T380" s="16" t="n">
        <v>180</v>
      </c>
      <c r="U380" s="16" t="n">
        <v>350</v>
      </c>
      <c r="V380" s="13" t="n">
        <f aca="false">IF(Q380="","",J380*Q380/100)</f>
        <v>225.6</v>
      </c>
      <c r="W380" s="13" t="n">
        <f aca="false">IF(R380="","",J380*R380/100)</f>
        <v>338.4</v>
      </c>
      <c r="X380" s="13" t="n">
        <f aca="false">IF(S380="","",J380*S380/100)</f>
        <v>451.2</v>
      </c>
      <c r="Y380" s="13" t="n">
        <f aca="false">IF(T380="","",J380*T380/100)</f>
        <v>406.08</v>
      </c>
      <c r="Z380" s="13" t="n">
        <f aca="false">IF(U380="","",J380*U380/100)</f>
        <v>789.6</v>
      </c>
      <c r="AA380" s="6" t="s">
        <v>103</v>
      </c>
      <c r="AB380" s="6" t="s">
        <v>104</v>
      </c>
      <c r="AC380" s="6"/>
      <c r="AD380" s="13" t="str">
        <f aca="false">IF(AC380="","",IFERROR(INDEX('INDB Full Nutrients'!$D:$D,MATCH(AC380,'INDB Full Nutrients'!$A:$A,0)),""))</f>
        <v/>
      </c>
      <c r="AE380" s="6"/>
      <c r="AF380" s="6"/>
    </row>
    <row r="381" customFormat="false" ht="15" hidden="false" customHeight="false" outlineLevel="0" collapsed="false">
      <c r="A381" s="6" t="s">
        <v>1542</v>
      </c>
      <c r="B381" s="6" t="s">
        <v>1543</v>
      </c>
      <c r="C381" s="6"/>
      <c r="D381" s="6" t="s">
        <v>53</v>
      </c>
      <c r="E381" s="6" t="s">
        <v>161</v>
      </c>
      <c r="F381" s="6" t="s">
        <v>569</v>
      </c>
      <c r="G381" s="6"/>
      <c r="H381" s="6" t="s">
        <v>1480</v>
      </c>
      <c r="I381" s="6" t="s">
        <v>298</v>
      </c>
      <c r="J381" s="13" t="n">
        <f aca="false">4*K381+4*(L381-N381)+9*M381+2*N381</f>
        <v>216.4</v>
      </c>
      <c r="K381" s="14" t="n">
        <v>22</v>
      </c>
      <c r="L381" s="14" t="n">
        <v>3</v>
      </c>
      <c r="M381" s="14" t="n">
        <v>13</v>
      </c>
      <c r="N381" s="14" t="n">
        <v>0.3</v>
      </c>
      <c r="O381" s="14" t="n">
        <v>1.5</v>
      </c>
      <c r="P381" s="15" t="n">
        <v>450</v>
      </c>
      <c r="Q381" s="16" t="n">
        <v>100</v>
      </c>
      <c r="R381" s="16" t="n">
        <v>150</v>
      </c>
      <c r="S381" s="16" t="n">
        <v>200</v>
      </c>
      <c r="T381" s="16" t="n">
        <v>180</v>
      </c>
      <c r="U381" s="16" t="n">
        <v>350</v>
      </c>
      <c r="V381" s="13" t="n">
        <f aca="false">IF(Q381="","",J381*Q381/100)</f>
        <v>216.4</v>
      </c>
      <c r="W381" s="13" t="n">
        <f aca="false">IF(R381="","",J381*R381/100)</f>
        <v>324.6</v>
      </c>
      <c r="X381" s="13" t="n">
        <f aca="false">IF(S381="","",J381*S381/100)</f>
        <v>432.8</v>
      </c>
      <c r="Y381" s="13" t="n">
        <f aca="false">IF(T381="","",J381*T381/100)</f>
        <v>389.52</v>
      </c>
      <c r="Z381" s="13" t="n">
        <f aca="false">IF(U381="","",J381*U381/100)</f>
        <v>757.4</v>
      </c>
      <c r="AA381" s="6" t="s">
        <v>103</v>
      </c>
      <c r="AB381" s="6" t="s">
        <v>104</v>
      </c>
      <c r="AC381" s="6"/>
      <c r="AD381" s="13" t="str">
        <f aca="false">IF(AC381="","",IFERROR(INDEX('INDB Full Nutrients'!$D:$D,MATCH(AC381,'INDB Full Nutrients'!$A:$A,0)),""))</f>
        <v/>
      </c>
      <c r="AE381" s="6"/>
      <c r="AF381" s="6" t="s">
        <v>1446</v>
      </c>
    </row>
    <row r="382" customFormat="false" ht="15" hidden="false" customHeight="false" outlineLevel="0" collapsed="false">
      <c r="A382" s="6" t="s">
        <v>1544</v>
      </c>
      <c r="B382" s="6" t="s">
        <v>1545</v>
      </c>
      <c r="C382" s="6"/>
      <c r="D382" s="6" t="s">
        <v>53</v>
      </c>
      <c r="E382" s="6" t="s">
        <v>161</v>
      </c>
      <c r="F382" s="6" t="s">
        <v>569</v>
      </c>
      <c r="G382" s="6"/>
      <c r="H382" s="6" t="s">
        <v>1480</v>
      </c>
      <c r="I382" s="6" t="s">
        <v>298</v>
      </c>
      <c r="J382" s="13" t="n">
        <f aca="false">4*K382+4*(L382-N382)+9*M382+2*N382</f>
        <v>194.4</v>
      </c>
      <c r="K382" s="14" t="n">
        <v>18</v>
      </c>
      <c r="L382" s="14" t="n">
        <v>4</v>
      </c>
      <c r="M382" s="14" t="n">
        <v>12</v>
      </c>
      <c r="N382" s="14" t="n">
        <v>0.8</v>
      </c>
      <c r="O382" s="14" t="n">
        <v>1</v>
      </c>
      <c r="P382" s="15" t="n">
        <v>500</v>
      </c>
      <c r="Q382" s="16" t="n">
        <v>50</v>
      </c>
      <c r="R382" s="16" t="n">
        <v>100</v>
      </c>
      <c r="S382" s="16" t="n">
        <v>150</v>
      </c>
      <c r="T382" s="16" t="n">
        <v>150</v>
      </c>
      <c r="U382" s="16" t="n">
        <v>300</v>
      </c>
      <c r="V382" s="13" t="n">
        <f aca="false">IF(Q382="","",J382*Q382/100)</f>
        <v>97.2</v>
      </c>
      <c r="W382" s="13" t="n">
        <f aca="false">IF(R382="","",J382*R382/100)</f>
        <v>194.4</v>
      </c>
      <c r="X382" s="13" t="n">
        <f aca="false">IF(S382="","",J382*S382/100)</f>
        <v>291.6</v>
      </c>
      <c r="Y382" s="13" t="n">
        <f aca="false">IF(T382="","",J382*T382/100)</f>
        <v>291.6</v>
      </c>
      <c r="Z382" s="13" t="n">
        <f aca="false">IF(U382="","",J382*U382/100)</f>
        <v>583.2</v>
      </c>
      <c r="AA382" s="6" t="s">
        <v>103</v>
      </c>
      <c r="AB382" s="6" t="s">
        <v>104</v>
      </c>
      <c r="AC382" s="6" t="s">
        <v>1546</v>
      </c>
      <c r="AD382" s="13" t="n">
        <f aca="false">IF(AC382="","",IFERROR(INDEX('INDB Full Nutrients'!$D:$D,MATCH(AC382,'INDB Full Nutrients'!$A:$A,0)),""))</f>
        <v>729.406066894531</v>
      </c>
      <c r="AE382" s="6" t="s">
        <v>576</v>
      </c>
      <c r="AF382" s="6"/>
    </row>
    <row r="383" customFormat="false" ht="15" hidden="false" customHeight="false" outlineLevel="0" collapsed="false">
      <c r="A383" s="6" t="s">
        <v>1547</v>
      </c>
      <c r="B383" s="6" t="s">
        <v>1548</v>
      </c>
      <c r="C383" s="6"/>
      <c r="D383" s="6" t="s">
        <v>53</v>
      </c>
      <c r="E383" s="6" t="s">
        <v>161</v>
      </c>
      <c r="F383" s="6" t="s">
        <v>569</v>
      </c>
      <c r="G383" s="6"/>
      <c r="H383" s="6" t="s">
        <v>1480</v>
      </c>
      <c r="I383" s="6" t="s">
        <v>298</v>
      </c>
      <c r="J383" s="13" t="n">
        <f aca="false">4*K383+4*(L383-N383)+9*M383+2*N383</f>
        <v>244.4</v>
      </c>
      <c r="K383" s="14" t="n">
        <v>17</v>
      </c>
      <c r="L383" s="14" t="n">
        <v>4</v>
      </c>
      <c r="M383" s="14" t="n">
        <v>18</v>
      </c>
      <c r="N383" s="14" t="n">
        <v>0.8</v>
      </c>
      <c r="O383" s="14" t="n">
        <v>1</v>
      </c>
      <c r="P383" s="15" t="n">
        <v>500</v>
      </c>
      <c r="Q383" s="16" t="n">
        <v>50</v>
      </c>
      <c r="R383" s="16" t="n">
        <v>100</v>
      </c>
      <c r="S383" s="16" t="n">
        <v>150</v>
      </c>
      <c r="T383" s="16" t="n">
        <v>150</v>
      </c>
      <c r="U383" s="16" t="n">
        <v>300</v>
      </c>
      <c r="V383" s="13" t="n">
        <f aca="false">IF(Q383="","",J383*Q383/100)</f>
        <v>122.2</v>
      </c>
      <c r="W383" s="13" t="n">
        <f aca="false">IF(R383="","",J383*R383/100)</f>
        <v>244.4</v>
      </c>
      <c r="X383" s="13" t="n">
        <f aca="false">IF(S383="","",J383*S383/100)</f>
        <v>366.6</v>
      </c>
      <c r="Y383" s="13" t="n">
        <f aca="false">IF(T383="","",J383*T383/100)</f>
        <v>366.6</v>
      </c>
      <c r="Z383" s="13" t="n">
        <f aca="false">IF(U383="","",J383*U383/100)</f>
        <v>733.2</v>
      </c>
      <c r="AA383" s="6" t="s">
        <v>103</v>
      </c>
      <c r="AB383" s="6" t="s">
        <v>104</v>
      </c>
      <c r="AC383" s="6" t="s">
        <v>1549</v>
      </c>
      <c r="AD383" s="13" t="n">
        <f aca="false">IF(AC383="","",IFERROR(INDEX('INDB Full Nutrients'!$D:$D,MATCH(AC383,'INDB Full Nutrients'!$A:$A,0)),""))</f>
        <v>133.937881469727</v>
      </c>
      <c r="AE383" s="6" t="s">
        <v>1550</v>
      </c>
      <c r="AF383" s="6"/>
    </row>
    <row r="384" customFormat="false" ht="15" hidden="false" customHeight="false" outlineLevel="0" collapsed="false">
      <c r="A384" s="6" t="s">
        <v>1551</v>
      </c>
      <c r="B384" s="6" t="s">
        <v>1552</v>
      </c>
      <c r="C384" s="6"/>
      <c r="D384" s="6" t="s">
        <v>53</v>
      </c>
      <c r="E384" s="6" t="s">
        <v>161</v>
      </c>
      <c r="F384" s="6" t="s">
        <v>569</v>
      </c>
      <c r="G384" s="6"/>
      <c r="H384" s="6" t="s">
        <v>1480</v>
      </c>
      <c r="I384" s="6" t="s">
        <v>298</v>
      </c>
      <c r="J384" s="13" t="n">
        <f aca="false">4*K384+4*(L384-N384)+9*M384+2*N384</f>
        <v>263</v>
      </c>
      <c r="K384" s="14" t="n">
        <v>15</v>
      </c>
      <c r="L384" s="14" t="n">
        <v>6</v>
      </c>
      <c r="M384" s="14" t="n">
        <v>20</v>
      </c>
      <c r="N384" s="14" t="n">
        <v>0.5</v>
      </c>
      <c r="O384" s="14" t="n">
        <v>1</v>
      </c>
      <c r="P384" s="15" t="n">
        <v>450</v>
      </c>
      <c r="Q384" s="16" t="n">
        <v>30</v>
      </c>
      <c r="R384" s="16" t="n">
        <v>40</v>
      </c>
      <c r="S384" s="16" t="n">
        <v>55</v>
      </c>
      <c r="T384" s="6"/>
      <c r="U384" s="6"/>
      <c r="V384" s="13" t="n">
        <f aca="false">IF(Q384="","",J384*Q384/100)</f>
        <v>78.9</v>
      </c>
      <c r="W384" s="13" t="n">
        <f aca="false">IF(R384="","",J384*R384/100)</f>
        <v>105.2</v>
      </c>
      <c r="X384" s="13" t="n">
        <f aca="false">IF(S384="","",J384*S384/100)</f>
        <v>144.65</v>
      </c>
      <c r="Y384" s="13" t="str">
        <f aca="false">IF(T384="","",J384*T384/100)</f>
        <v/>
      </c>
      <c r="Z384" s="13" t="str">
        <f aca="false">IF(U384="","",J384*U384/100)</f>
        <v/>
      </c>
      <c r="AA384" s="6" t="s">
        <v>103</v>
      </c>
      <c r="AB384" s="6" t="s">
        <v>104</v>
      </c>
      <c r="AC384" s="6"/>
      <c r="AD384" s="13" t="str">
        <f aca="false">IF(AC384="","",IFERROR(INDEX('INDB Full Nutrients'!$D:$D,MATCH(AC384,'INDB Full Nutrients'!$A:$A,0)),""))</f>
        <v/>
      </c>
      <c r="AE384" s="6"/>
      <c r="AF384" s="6"/>
    </row>
    <row r="385" customFormat="false" ht="15" hidden="false" customHeight="false" outlineLevel="0" collapsed="false">
      <c r="A385" s="6" t="s">
        <v>1553</v>
      </c>
      <c r="B385" s="6" t="s">
        <v>1554</v>
      </c>
      <c r="C385" s="6"/>
      <c r="D385" s="6" t="s">
        <v>53</v>
      </c>
      <c r="E385" s="6" t="s">
        <v>161</v>
      </c>
      <c r="F385" s="6" t="s">
        <v>569</v>
      </c>
      <c r="G385" s="6"/>
      <c r="H385" s="6" t="s">
        <v>1480</v>
      </c>
      <c r="I385" s="6" t="s">
        <v>298</v>
      </c>
      <c r="J385" s="13" t="n">
        <f aca="false">4*K385+4*(L385-N385)+9*M385+2*N385</f>
        <v>225</v>
      </c>
      <c r="K385" s="14" t="n">
        <v>16</v>
      </c>
      <c r="L385" s="14" t="n">
        <v>10</v>
      </c>
      <c r="M385" s="14" t="n">
        <v>14</v>
      </c>
      <c r="N385" s="14" t="n">
        <v>2.5</v>
      </c>
      <c r="O385" s="14" t="n">
        <v>1</v>
      </c>
      <c r="P385" s="15" t="n">
        <v>450</v>
      </c>
      <c r="Q385" s="16" t="n">
        <v>35</v>
      </c>
      <c r="R385" s="16" t="n">
        <v>50</v>
      </c>
      <c r="S385" s="16" t="n">
        <v>70</v>
      </c>
      <c r="T385" s="6"/>
      <c r="U385" s="6"/>
      <c r="V385" s="13" t="n">
        <f aca="false">IF(Q385="","",J385*Q385/100)</f>
        <v>78.75</v>
      </c>
      <c r="W385" s="13" t="n">
        <f aca="false">IF(R385="","",J385*R385/100)</f>
        <v>112.5</v>
      </c>
      <c r="X385" s="13" t="n">
        <f aca="false">IF(S385="","",J385*S385/100)</f>
        <v>157.5</v>
      </c>
      <c r="Y385" s="13" t="str">
        <f aca="false">IF(T385="","",J385*T385/100)</f>
        <v/>
      </c>
      <c r="Z385" s="13" t="str">
        <f aca="false">IF(U385="","",J385*U385/100)</f>
        <v/>
      </c>
      <c r="AA385" s="6" t="s">
        <v>103</v>
      </c>
      <c r="AB385" s="6" t="s">
        <v>104</v>
      </c>
      <c r="AC385" s="6" t="s">
        <v>1555</v>
      </c>
      <c r="AD385" s="13" t="n">
        <f aca="false">IF(AC385="","",IFERROR(INDEX('INDB Full Nutrients'!$D:$D,MATCH(AC385,'INDB Full Nutrients'!$A:$A,0)),""))</f>
        <v>685.690856933594</v>
      </c>
      <c r="AE385" s="6" t="s">
        <v>576</v>
      </c>
      <c r="AF385" s="6" t="s">
        <v>1556</v>
      </c>
    </row>
    <row r="386" customFormat="false" ht="15" hidden="false" customHeight="false" outlineLevel="0" collapsed="false">
      <c r="A386" s="6" t="s">
        <v>1557</v>
      </c>
      <c r="B386" s="6" t="s">
        <v>1558</v>
      </c>
      <c r="C386" s="6"/>
      <c r="D386" s="6" t="s">
        <v>53</v>
      </c>
      <c r="E386" s="6" t="s">
        <v>161</v>
      </c>
      <c r="F386" s="6" t="s">
        <v>569</v>
      </c>
      <c r="G386" s="6"/>
      <c r="H386" s="6" t="s">
        <v>1480</v>
      </c>
      <c r="I386" s="6" t="s">
        <v>298</v>
      </c>
      <c r="J386" s="13" t="n">
        <f aca="false">4*K386+4*(L386-N386)+9*M386+2*N386</f>
        <v>207</v>
      </c>
      <c r="K386" s="14" t="n">
        <v>22</v>
      </c>
      <c r="L386" s="14" t="n">
        <v>3</v>
      </c>
      <c r="M386" s="14" t="n">
        <v>12</v>
      </c>
      <c r="N386" s="14" t="n">
        <v>0.5</v>
      </c>
      <c r="O386" s="14" t="n">
        <v>1</v>
      </c>
      <c r="P386" s="15" t="n">
        <v>450</v>
      </c>
      <c r="Q386" s="16" t="n">
        <v>100</v>
      </c>
      <c r="R386" s="16" t="n">
        <v>150</v>
      </c>
      <c r="S386" s="16" t="n">
        <v>200</v>
      </c>
      <c r="T386" s="16" t="n">
        <v>180</v>
      </c>
      <c r="U386" s="16" t="n">
        <v>350</v>
      </c>
      <c r="V386" s="13" t="n">
        <f aca="false">IF(Q386="","",J386*Q386/100)</f>
        <v>207</v>
      </c>
      <c r="W386" s="13" t="n">
        <f aca="false">IF(R386="","",J386*R386/100)</f>
        <v>310.5</v>
      </c>
      <c r="X386" s="13" t="n">
        <f aca="false">IF(S386="","",J386*S386/100)</f>
        <v>414</v>
      </c>
      <c r="Y386" s="13" t="n">
        <f aca="false">IF(T386="","",J386*T386/100)</f>
        <v>372.6</v>
      </c>
      <c r="Z386" s="13" t="n">
        <f aca="false">IF(U386="","",J386*U386/100)</f>
        <v>724.5</v>
      </c>
      <c r="AA386" s="6" t="s">
        <v>103</v>
      </c>
      <c r="AB386" s="6" t="s">
        <v>104</v>
      </c>
      <c r="AC386" s="6" t="s">
        <v>1559</v>
      </c>
      <c r="AD386" s="13" t="n">
        <f aca="false">IF(AC386="","",IFERROR(INDEX('INDB Full Nutrients'!$D:$D,MATCH(AC386,'INDB Full Nutrients'!$A:$A,0)),""))</f>
        <v>132.857955932617</v>
      </c>
      <c r="AE386" s="6" t="s">
        <v>1560</v>
      </c>
      <c r="AF386" s="6"/>
    </row>
    <row r="387" customFormat="false" ht="15" hidden="false" customHeight="false" outlineLevel="0" collapsed="false">
      <c r="A387" s="6" t="s">
        <v>1561</v>
      </c>
      <c r="B387" s="6" t="s">
        <v>1562</v>
      </c>
      <c r="C387" s="6"/>
      <c r="D387" s="6" t="s">
        <v>53</v>
      </c>
      <c r="E387" s="6" t="s">
        <v>119</v>
      </c>
      <c r="F387" s="6" t="s">
        <v>569</v>
      </c>
      <c r="G387" s="6"/>
      <c r="H387" s="6" t="s">
        <v>1480</v>
      </c>
      <c r="I387" s="6" t="s">
        <v>298</v>
      </c>
      <c r="J387" s="13" t="n">
        <f aca="false">4*K387+4*(L387-N387)+9*M387+2*N387</f>
        <v>253.4</v>
      </c>
      <c r="K387" s="14" t="n">
        <v>20</v>
      </c>
      <c r="L387" s="14" t="n">
        <v>10</v>
      </c>
      <c r="M387" s="14" t="n">
        <v>15</v>
      </c>
      <c r="N387" s="14" t="n">
        <v>0.8</v>
      </c>
      <c r="O387" s="14" t="n">
        <v>1.5</v>
      </c>
      <c r="P387" s="15" t="n">
        <v>650</v>
      </c>
      <c r="Q387" s="16" t="n">
        <v>100</v>
      </c>
      <c r="R387" s="16" t="n">
        <v>150</v>
      </c>
      <c r="S387" s="16" t="n">
        <v>200</v>
      </c>
      <c r="T387" s="16" t="n">
        <v>180</v>
      </c>
      <c r="U387" s="16" t="n">
        <v>350</v>
      </c>
      <c r="V387" s="13" t="n">
        <f aca="false">IF(Q387="","",J387*Q387/100)</f>
        <v>253.4</v>
      </c>
      <c r="W387" s="13" t="n">
        <f aca="false">IF(R387="","",J387*R387/100)</f>
        <v>380.1</v>
      </c>
      <c r="X387" s="13" t="n">
        <f aca="false">IF(S387="","",J387*S387/100)</f>
        <v>506.8</v>
      </c>
      <c r="Y387" s="13" t="n">
        <f aca="false">IF(T387="","",J387*T387/100)</f>
        <v>456.12</v>
      </c>
      <c r="Z387" s="13" t="n">
        <f aca="false">IF(U387="","",J387*U387/100)</f>
        <v>886.9</v>
      </c>
      <c r="AA387" s="6" t="s">
        <v>103</v>
      </c>
      <c r="AB387" s="6" t="s">
        <v>104</v>
      </c>
      <c r="AC387" s="6"/>
      <c r="AD387" s="13" t="str">
        <f aca="false">IF(AC387="","",IFERROR(INDEX('INDB Full Nutrients'!$D:$D,MATCH(AC387,'INDB Full Nutrients'!$A:$A,0)),""))</f>
        <v/>
      </c>
      <c r="AE387" s="6"/>
      <c r="AF387" s="6" t="s">
        <v>1563</v>
      </c>
    </row>
    <row r="388" customFormat="false" ht="15" hidden="false" customHeight="false" outlineLevel="0" collapsed="false">
      <c r="A388" s="6" t="s">
        <v>1564</v>
      </c>
      <c r="B388" s="6" t="s">
        <v>1565</v>
      </c>
      <c r="C388" s="6"/>
      <c r="D388" s="6" t="s">
        <v>53</v>
      </c>
      <c r="E388" s="6" t="s">
        <v>56</v>
      </c>
      <c r="F388" s="6" t="s">
        <v>569</v>
      </c>
      <c r="G388" s="6"/>
      <c r="H388" s="6" t="s">
        <v>1480</v>
      </c>
      <c r="I388" s="6" t="s">
        <v>298</v>
      </c>
      <c r="J388" s="13" t="n">
        <f aca="false">4*K388+4*(L388-N388)+9*M388+2*N388</f>
        <v>223</v>
      </c>
      <c r="K388" s="14" t="n">
        <v>15</v>
      </c>
      <c r="L388" s="14" t="n">
        <v>12</v>
      </c>
      <c r="M388" s="14" t="n">
        <v>13</v>
      </c>
      <c r="N388" s="14" t="n">
        <v>1</v>
      </c>
      <c r="O388" s="14" t="n">
        <v>4</v>
      </c>
      <c r="P388" s="15" t="n">
        <v>800</v>
      </c>
      <c r="Q388" s="16" t="n">
        <v>100</v>
      </c>
      <c r="R388" s="16" t="n">
        <v>150</v>
      </c>
      <c r="S388" s="16" t="n">
        <v>200</v>
      </c>
      <c r="T388" s="16" t="n">
        <v>180</v>
      </c>
      <c r="U388" s="16" t="n">
        <v>350</v>
      </c>
      <c r="V388" s="13" t="n">
        <f aca="false">IF(Q388="","",J388*Q388/100)</f>
        <v>223</v>
      </c>
      <c r="W388" s="13" t="n">
        <f aca="false">IF(R388="","",J388*R388/100)</f>
        <v>334.5</v>
      </c>
      <c r="X388" s="13" t="n">
        <f aca="false">IF(S388="","",J388*S388/100)</f>
        <v>446</v>
      </c>
      <c r="Y388" s="13" t="n">
        <f aca="false">IF(T388="","",J388*T388/100)</f>
        <v>401.4</v>
      </c>
      <c r="Z388" s="13" t="n">
        <f aca="false">IF(U388="","",J388*U388/100)</f>
        <v>780.5</v>
      </c>
      <c r="AA388" s="6" t="s">
        <v>125</v>
      </c>
      <c r="AB388" s="6" t="s">
        <v>147</v>
      </c>
      <c r="AC388" s="6" t="s">
        <v>1566</v>
      </c>
      <c r="AD388" s="13" t="n">
        <f aca="false">IF(AC388="","",IFERROR(INDEX('INDB Full Nutrients'!$D:$D,MATCH(AC388,'INDB Full Nutrients'!$A:$A,0)),""))</f>
        <v>198.83430480957</v>
      </c>
      <c r="AE388" s="6" t="s">
        <v>1567</v>
      </c>
      <c r="AF388" s="6"/>
    </row>
    <row r="389" customFormat="false" ht="15" hidden="false" customHeight="false" outlineLevel="0" collapsed="false">
      <c r="A389" s="6" t="s">
        <v>1568</v>
      </c>
      <c r="B389" s="6" t="s">
        <v>1569</v>
      </c>
      <c r="C389" s="6"/>
      <c r="D389" s="6" t="s">
        <v>53</v>
      </c>
      <c r="E389" s="6" t="s">
        <v>56</v>
      </c>
      <c r="F389" s="6" t="s">
        <v>569</v>
      </c>
      <c r="G389" s="6"/>
      <c r="H389" s="6" t="s">
        <v>1480</v>
      </c>
      <c r="I389" s="6" t="s">
        <v>298</v>
      </c>
      <c r="J389" s="13" t="n">
        <f aca="false">4*K389+4*(L389-N389)+9*M389+2*N389</f>
        <v>264</v>
      </c>
      <c r="K389" s="14" t="n">
        <v>18</v>
      </c>
      <c r="L389" s="14" t="n">
        <v>10</v>
      </c>
      <c r="M389" s="14" t="n">
        <v>17</v>
      </c>
      <c r="N389" s="14" t="n">
        <v>0.5</v>
      </c>
      <c r="O389" s="14" t="n">
        <v>2</v>
      </c>
      <c r="P389" s="15" t="n">
        <v>600</v>
      </c>
      <c r="Q389" s="16" t="n">
        <v>80</v>
      </c>
      <c r="R389" s="16" t="n">
        <v>160</v>
      </c>
      <c r="S389" s="16" t="n">
        <v>240</v>
      </c>
      <c r="T389" s="16" t="n">
        <v>160</v>
      </c>
      <c r="U389" s="16" t="n">
        <v>320</v>
      </c>
      <c r="V389" s="13" t="n">
        <f aca="false">IF(Q389="","",J389*Q389/100)</f>
        <v>211.2</v>
      </c>
      <c r="W389" s="13" t="n">
        <f aca="false">IF(R389="","",J389*R389/100)</f>
        <v>422.4</v>
      </c>
      <c r="X389" s="13" t="n">
        <f aca="false">IF(S389="","",J389*S389/100)</f>
        <v>633.6</v>
      </c>
      <c r="Y389" s="13" t="n">
        <f aca="false">IF(T389="","",J389*T389/100)</f>
        <v>422.4</v>
      </c>
      <c r="Z389" s="13" t="n">
        <f aca="false">IF(U389="","",J389*U389/100)</f>
        <v>844.8</v>
      </c>
      <c r="AA389" s="6" t="s">
        <v>103</v>
      </c>
      <c r="AB389" s="6" t="s">
        <v>104</v>
      </c>
      <c r="AC389" s="6"/>
      <c r="AD389" s="13" t="str">
        <f aca="false">IF(AC389="","",IFERROR(INDEX('INDB Full Nutrients'!$D:$D,MATCH(AC389,'INDB Full Nutrients'!$A:$A,0)),""))</f>
        <v/>
      </c>
      <c r="AE389" s="6"/>
      <c r="AF389" s="6" t="s">
        <v>1446</v>
      </c>
    </row>
    <row r="390" customFormat="false" ht="15" hidden="false" customHeight="false" outlineLevel="0" collapsed="false">
      <c r="A390" s="6" t="s">
        <v>1570</v>
      </c>
      <c r="B390" s="6" t="s">
        <v>1571</v>
      </c>
      <c r="C390" s="6"/>
      <c r="D390" s="6" t="s">
        <v>53</v>
      </c>
      <c r="E390" s="6" t="s">
        <v>56</v>
      </c>
      <c r="F390" s="6" t="s">
        <v>569</v>
      </c>
      <c r="G390" s="6"/>
      <c r="H390" s="6" t="s">
        <v>1480</v>
      </c>
      <c r="I390" s="6" t="s">
        <v>298</v>
      </c>
      <c r="J390" s="13" t="n">
        <f aca="false">4*K390+4*(L390-N390)+9*M390+2*N390</f>
        <v>259</v>
      </c>
      <c r="K390" s="14" t="n">
        <v>17</v>
      </c>
      <c r="L390" s="14" t="n">
        <v>12</v>
      </c>
      <c r="M390" s="14" t="n">
        <v>16</v>
      </c>
      <c r="N390" s="14" t="n">
        <v>0.5</v>
      </c>
      <c r="O390" s="14" t="n">
        <v>5</v>
      </c>
      <c r="P390" s="15" t="n">
        <v>650</v>
      </c>
      <c r="Q390" s="16" t="n">
        <v>100</v>
      </c>
      <c r="R390" s="16" t="n">
        <v>150</v>
      </c>
      <c r="S390" s="16" t="n">
        <v>200</v>
      </c>
      <c r="T390" s="16" t="n">
        <v>180</v>
      </c>
      <c r="U390" s="16" t="n">
        <v>350</v>
      </c>
      <c r="V390" s="13" t="n">
        <f aca="false">IF(Q390="","",J390*Q390/100)</f>
        <v>259</v>
      </c>
      <c r="W390" s="13" t="n">
        <f aca="false">IF(R390="","",J390*R390/100)</f>
        <v>388.5</v>
      </c>
      <c r="X390" s="13" t="n">
        <f aca="false">IF(S390="","",J390*S390/100)</f>
        <v>518</v>
      </c>
      <c r="Y390" s="13" t="n">
        <f aca="false">IF(T390="","",J390*T390/100)</f>
        <v>466.2</v>
      </c>
      <c r="Z390" s="13" t="n">
        <f aca="false">IF(U390="","",J390*U390/100)</f>
        <v>906.5</v>
      </c>
      <c r="AA390" s="6" t="s">
        <v>103</v>
      </c>
      <c r="AB390" s="6" t="s">
        <v>104</v>
      </c>
      <c r="AC390" s="6"/>
      <c r="AD390" s="13" t="str">
        <f aca="false">IF(AC390="","",IFERROR(INDEX('INDB Full Nutrients'!$D:$D,MATCH(AC390,'INDB Full Nutrients'!$A:$A,0)),""))</f>
        <v/>
      </c>
      <c r="AE390" s="6"/>
      <c r="AF390" s="6" t="s">
        <v>1446</v>
      </c>
    </row>
    <row r="391" customFormat="false" ht="15" hidden="false" customHeight="false" outlineLevel="0" collapsed="false">
      <c r="A391" s="6" t="s">
        <v>1572</v>
      </c>
      <c r="B391" s="6" t="s">
        <v>1573</v>
      </c>
      <c r="C391" s="6" t="s">
        <v>1574</v>
      </c>
      <c r="D391" s="6" t="s">
        <v>53</v>
      </c>
      <c r="E391" s="6" t="s">
        <v>161</v>
      </c>
      <c r="F391" s="6" t="s">
        <v>569</v>
      </c>
      <c r="G391" s="6"/>
      <c r="H391" s="6" t="s">
        <v>603</v>
      </c>
      <c r="I391" s="6" t="s">
        <v>298</v>
      </c>
      <c r="J391" s="13" t="n">
        <f aca="false">4*K391+4*(L391-N391)+9*M391+2*N391</f>
        <v>253</v>
      </c>
      <c r="K391" s="14" t="n">
        <v>18</v>
      </c>
      <c r="L391" s="14" t="n">
        <v>12</v>
      </c>
      <c r="M391" s="14" t="n">
        <v>15</v>
      </c>
      <c r="N391" s="14" t="n">
        <v>1</v>
      </c>
      <c r="O391" s="14" t="n">
        <v>1</v>
      </c>
      <c r="P391" s="15" t="n">
        <v>450</v>
      </c>
      <c r="Q391" s="16" t="n">
        <v>100</v>
      </c>
      <c r="R391" s="16" t="n">
        <v>150</v>
      </c>
      <c r="S391" s="16" t="n">
        <v>200</v>
      </c>
      <c r="T391" s="16" t="n">
        <v>180</v>
      </c>
      <c r="U391" s="16" t="n">
        <v>350</v>
      </c>
      <c r="V391" s="13" t="n">
        <f aca="false">IF(Q391="","",J391*Q391/100)</f>
        <v>253</v>
      </c>
      <c r="W391" s="13" t="n">
        <f aca="false">IF(R391="","",J391*R391/100)</f>
        <v>379.5</v>
      </c>
      <c r="X391" s="13" t="n">
        <f aca="false">IF(S391="","",J391*S391/100)</f>
        <v>506</v>
      </c>
      <c r="Y391" s="13" t="n">
        <f aca="false">IF(T391="","",J391*T391/100)</f>
        <v>455.4</v>
      </c>
      <c r="Z391" s="13" t="n">
        <f aca="false">IF(U391="","",J391*U391/100)</f>
        <v>885.5</v>
      </c>
      <c r="AA391" s="6" t="s">
        <v>103</v>
      </c>
      <c r="AB391" s="6" t="s">
        <v>104</v>
      </c>
      <c r="AC391" s="6" t="s">
        <v>1575</v>
      </c>
      <c r="AD391" s="13" t="n">
        <f aca="false">IF(AC391="","",IFERROR(INDEX('INDB Full Nutrients'!$D:$D,MATCH(AC391,'INDB Full Nutrients'!$A:$A,0)),""))</f>
        <v>590.09326171875</v>
      </c>
      <c r="AE391" s="6" t="s">
        <v>576</v>
      </c>
      <c r="AF391" s="6" t="s">
        <v>577</v>
      </c>
    </row>
    <row r="392" customFormat="false" ht="15" hidden="false" customHeight="false" outlineLevel="0" collapsed="false">
      <c r="A392" s="6" t="s">
        <v>1576</v>
      </c>
      <c r="B392" s="6" t="s">
        <v>1577</v>
      </c>
      <c r="C392" s="6" t="s">
        <v>1578</v>
      </c>
      <c r="D392" s="6" t="s">
        <v>53</v>
      </c>
      <c r="E392" s="6" t="s">
        <v>161</v>
      </c>
      <c r="F392" s="6" t="s">
        <v>569</v>
      </c>
      <c r="G392" s="6"/>
      <c r="H392" s="6" t="s">
        <v>1480</v>
      </c>
      <c r="I392" s="6" t="s">
        <v>298</v>
      </c>
      <c r="J392" s="13" t="n">
        <f aca="false">4*K392+4*(L392-N392)+9*M392+2*N392</f>
        <v>145.4</v>
      </c>
      <c r="K392" s="14" t="n">
        <v>20</v>
      </c>
      <c r="L392" s="14" t="n">
        <v>3</v>
      </c>
      <c r="M392" s="14" t="n">
        <v>6</v>
      </c>
      <c r="N392" s="14" t="n">
        <v>0.3</v>
      </c>
      <c r="O392" s="14" t="n">
        <v>1</v>
      </c>
      <c r="P392" s="15" t="n">
        <v>450</v>
      </c>
      <c r="Q392" s="16" t="n">
        <v>100</v>
      </c>
      <c r="R392" s="16" t="n">
        <v>150</v>
      </c>
      <c r="S392" s="16" t="n">
        <v>200</v>
      </c>
      <c r="T392" s="16" t="n">
        <v>180</v>
      </c>
      <c r="U392" s="16" t="n">
        <v>350</v>
      </c>
      <c r="V392" s="13" t="n">
        <f aca="false">IF(Q392="","",J392*Q392/100)</f>
        <v>145.4</v>
      </c>
      <c r="W392" s="13" t="n">
        <f aca="false">IF(R392="","",J392*R392/100)</f>
        <v>218.1</v>
      </c>
      <c r="X392" s="13" t="n">
        <f aca="false">IF(S392="","",J392*S392/100)</f>
        <v>290.8</v>
      </c>
      <c r="Y392" s="13" t="n">
        <f aca="false">IF(T392="","",J392*T392/100)</f>
        <v>261.72</v>
      </c>
      <c r="Z392" s="13" t="n">
        <f aca="false">IF(U392="","",J392*U392/100)</f>
        <v>508.9</v>
      </c>
      <c r="AA392" s="6" t="s">
        <v>103</v>
      </c>
      <c r="AB392" s="6" t="s">
        <v>104</v>
      </c>
      <c r="AC392" s="6" t="s">
        <v>1579</v>
      </c>
      <c r="AD392" s="13" t="n">
        <f aca="false">IF(AC392="","",IFERROR(INDEX('INDB Full Nutrients'!$D:$D,MATCH(AC392,'INDB Full Nutrients'!$A:$A,0)),""))</f>
        <v>117.330528259277</v>
      </c>
      <c r="AE392" s="6" t="s">
        <v>1580</v>
      </c>
      <c r="AF392" s="6"/>
    </row>
    <row r="393" customFormat="false" ht="15" hidden="false" customHeight="false" outlineLevel="0" collapsed="false">
      <c r="A393" s="6" t="s">
        <v>1581</v>
      </c>
      <c r="B393" s="6" t="s">
        <v>1582</v>
      </c>
      <c r="C393" s="6" t="s">
        <v>1583</v>
      </c>
      <c r="D393" s="6" t="s">
        <v>53</v>
      </c>
      <c r="E393" s="6" t="s">
        <v>119</v>
      </c>
      <c r="F393" s="6" t="s">
        <v>569</v>
      </c>
      <c r="G393" s="6"/>
      <c r="H393" s="6" t="s">
        <v>1480</v>
      </c>
      <c r="I393" s="6" t="s">
        <v>298</v>
      </c>
      <c r="J393" s="13" t="n">
        <f aca="false">4*K393+4*(L393-N393)+9*M393+2*N393</f>
        <v>210</v>
      </c>
      <c r="K393" s="14" t="n">
        <v>20</v>
      </c>
      <c r="L393" s="14" t="n">
        <v>8</v>
      </c>
      <c r="M393" s="14" t="n">
        <v>11</v>
      </c>
      <c r="N393" s="14" t="n">
        <v>0.5</v>
      </c>
      <c r="O393" s="14" t="n">
        <v>0.5</v>
      </c>
      <c r="P393" s="15" t="n">
        <v>500</v>
      </c>
      <c r="Q393" s="16" t="n">
        <v>60</v>
      </c>
      <c r="R393" s="16" t="n">
        <v>90</v>
      </c>
      <c r="S393" s="16" t="n">
        <v>120</v>
      </c>
      <c r="T393" s="6"/>
      <c r="U393" s="6"/>
      <c r="V393" s="13" t="n">
        <f aca="false">IF(Q393="","",J393*Q393/100)</f>
        <v>126</v>
      </c>
      <c r="W393" s="13" t="n">
        <f aca="false">IF(R393="","",J393*R393/100)</f>
        <v>189</v>
      </c>
      <c r="X393" s="13" t="n">
        <f aca="false">IF(S393="","",J393*S393/100)</f>
        <v>252</v>
      </c>
      <c r="Y393" s="13" t="str">
        <f aca="false">IF(T393="","",J393*T393/100)</f>
        <v/>
      </c>
      <c r="Z393" s="13" t="str">
        <f aca="false">IF(U393="","",J393*U393/100)</f>
        <v/>
      </c>
      <c r="AA393" s="6" t="s">
        <v>103</v>
      </c>
      <c r="AB393" s="6" t="s">
        <v>104</v>
      </c>
      <c r="AC393" s="6" t="s">
        <v>1584</v>
      </c>
      <c r="AD393" s="13" t="n">
        <f aca="false">IF(AC393="","",IFERROR(INDEX('INDB Full Nutrients'!$D:$D,MATCH(AC393,'INDB Full Nutrients'!$A:$A,0)),""))</f>
        <v>658.544067382813</v>
      </c>
      <c r="AE393" s="6" t="s">
        <v>740</v>
      </c>
      <c r="AF393" s="6" t="s">
        <v>577</v>
      </c>
    </row>
    <row r="394" customFormat="false" ht="15" hidden="false" customHeight="false" outlineLevel="0" collapsed="false">
      <c r="A394" s="6" t="s">
        <v>1585</v>
      </c>
      <c r="B394" s="6" t="s">
        <v>1586</v>
      </c>
      <c r="C394" s="6"/>
      <c r="D394" s="6" t="s">
        <v>53</v>
      </c>
      <c r="E394" s="6" t="s">
        <v>161</v>
      </c>
      <c r="F394" s="6" t="s">
        <v>569</v>
      </c>
      <c r="G394" s="6"/>
      <c r="H394" s="6" t="s">
        <v>1480</v>
      </c>
      <c r="I394" s="6" t="s">
        <v>298</v>
      </c>
      <c r="J394" s="13" t="n">
        <f aca="false">4*K394+4*(L394-N394)+9*M394+2*N394</f>
        <v>231</v>
      </c>
      <c r="K394" s="14" t="n">
        <v>17</v>
      </c>
      <c r="L394" s="14" t="n">
        <v>12</v>
      </c>
      <c r="M394" s="14" t="n">
        <v>13</v>
      </c>
      <c r="N394" s="14" t="n">
        <v>1</v>
      </c>
      <c r="O394" s="14" t="n">
        <v>1</v>
      </c>
      <c r="P394" s="15" t="n">
        <v>500</v>
      </c>
      <c r="Q394" s="16" t="n">
        <v>100</v>
      </c>
      <c r="R394" s="16" t="n">
        <v>150</v>
      </c>
      <c r="S394" s="16" t="n">
        <v>200</v>
      </c>
      <c r="T394" s="16" t="n">
        <v>180</v>
      </c>
      <c r="U394" s="16" t="n">
        <v>350</v>
      </c>
      <c r="V394" s="13" t="n">
        <f aca="false">IF(Q394="","",J394*Q394/100)</f>
        <v>231</v>
      </c>
      <c r="W394" s="13" t="n">
        <f aca="false">IF(R394="","",J394*R394/100)</f>
        <v>346.5</v>
      </c>
      <c r="X394" s="13" t="n">
        <f aca="false">IF(S394="","",J394*S394/100)</f>
        <v>462</v>
      </c>
      <c r="Y394" s="13" t="n">
        <f aca="false">IF(T394="","",J394*T394/100)</f>
        <v>415.8</v>
      </c>
      <c r="Z394" s="13" t="n">
        <f aca="false">IF(U394="","",J394*U394/100)</f>
        <v>808.5</v>
      </c>
      <c r="AA394" s="6" t="s">
        <v>103</v>
      </c>
      <c r="AB394" s="6" t="s">
        <v>104</v>
      </c>
      <c r="AC394" s="6"/>
      <c r="AD394" s="13" t="str">
        <f aca="false">IF(AC394="","",IFERROR(INDEX('INDB Full Nutrients'!$D:$D,MATCH(AC394,'INDB Full Nutrients'!$A:$A,0)),""))</f>
        <v/>
      </c>
      <c r="AE394" s="6"/>
      <c r="AF394" s="6"/>
    </row>
    <row r="395" customFormat="false" ht="15" hidden="false" customHeight="false" outlineLevel="0" collapsed="false">
      <c r="A395" s="6" t="s">
        <v>1587</v>
      </c>
      <c r="B395" s="6" t="s">
        <v>1588</v>
      </c>
      <c r="C395" s="6" t="s">
        <v>1589</v>
      </c>
      <c r="D395" s="6" t="s">
        <v>53</v>
      </c>
      <c r="E395" s="6" t="s">
        <v>99</v>
      </c>
      <c r="F395" s="6" t="s">
        <v>569</v>
      </c>
      <c r="G395" s="6"/>
      <c r="H395" s="6" t="s">
        <v>603</v>
      </c>
      <c r="I395" s="6" t="s">
        <v>298</v>
      </c>
      <c r="J395" s="13" t="n">
        <f aca="false">4*K395+4*(L395-N395)+9*M395+2*N395</f>
        <v>236</v>
      </c>
      <c r="K395" s="14" t="n">
        <v>16</v>
      </c>
      <c r="L395" s="14" t="n">
        <v>12</v>
      </c>
      <c r="M395" s="14" t="n">
        <v>14</v>
      </c>
      <c r="N395" s="14" t="n">
        <v>1</v>
      </c>
      <c r="O395" s="14" t="n">
        <v>1</v>
      </c>
      <c r="P395" s="15" t="n">
        <v>420</v>
      </c>
      <c r="Q395" s="16" t="n">
        <v>100</v>
      </c>
      <c r="R395" s="16" t="n">
        <v>150</v>
      </c>
      <c r="S395" s="16" t="n">
        <v>200</v>
      </c>
      <c r="T395" s="16" t="n">
        <v>180</v>
      </c>
      <c r="U395" s="16" t="n">
        <v>350</v>
      </c>
      <c r="V395" s="13" t="n">
        <f aca="false">IF(Q395="","",J395*Q395/100)</f>
        <v>236</v>
      </c>
      <c r="W395" s="13" t="n">
        <f aca="false">IF(R395="","",J395*R395/100)</f>
        <v>354</v>
      </c>
      <c r="X395" s="13" t="n">
        <f aca="false">IF(S395="","",J395*S395/100)</f>
        <v>472</v>
      </c>
      <c r="Y395" s="13" t="n">
        <f aca="false">IF(T395="","",J395*T395/100)</f>
        <v>424.8</v>
      </c>
      <c r="Z395" s="13" t="n">
        <f aca="false">IF(U395="","",J395*U395/100)</f>
        <v>826</v>
      </c>
      <c r="AA395" s="6" t="s">
        <v>103</v>
      </c>
      <c r="AB395" s="6" t="s">
        <v>104</v>
      </c>
      <c r="AC395" s="6" t="s">
        <v>1590</v>
      </c>
      <c r="AD395" s="13" t="n">
        <f aca="false">IF(AC395="","",IFERROR(INDEX('INDB Full Nutrients'!$D:$D,MATCH(AC395,'INDB Full Nutrients'!$A:$A,0)),""))</f>
        <v>577.025085449219</v>
      </c>
      <c r="AE395" s="6" t="s">
        <v>576</v>
      </c>
      <c r="AF395" s="6" t="s">
        <v>577</v>
      </c>
    </row>
    <row r="396" customFormat="false" ht="15" hidden="false" customHeight="false" outlineLevel="0" collapsed="false">
      <c r="A396" s="6" t="s">
        <v>1591</v>
      </c>
      <c r="B396" s="6" t="s">
        <v>1592</v>
      </c>
      <c r="C396" s="6" t="s">
        <v>1593</v>
      </c>
      <c r="D396" s="6" t="s">
        <v>53</v>
      </c>
      <c r="E396" s="6" t="s">
        <v>161</v>
      </c>
      <c r="F396" s="6" t="s">
        <v>569</v>
      </c>
      <c r="G396" s="6"/>
      <c r="H396" s="6" t="s">
        <v>1480</v>
      </c>
      <c r="I396" s="6" t="s">
        <v>298</v>
      </c>
      <c r="J396" s="13" t="n">
        <f aca="false">4*K396+4*(L396-N396)+9*M396+2*N396</f>
        <v>136.4</v>
      </c>
      <c r="K396" s="14" t="n">
        <v>20</v>
      </c>
      <c r="L396" s="14" t="n">
        <v>3</v>
      </c>
      <c r="M396" s="14" t="n">
        <v>5</v>
      </c>
      <c r="N396" s="14" t="n">
        <v>0.3</v>
      </c>
      <c r="O396" s="14" t="n">
        <v>1</v>
      </c>
      <c r="P396" s="15" t="n">
        <v>600</v>
      </c>
      <c r="Q396" s="16" t="n">
        <v>100</v>
      </c>
      <c r="R396" s="16" t="n">
        <v>150</v>
      </c>
      <c r="S396" s="16" t="n">
        <v>200</v>
      </c>
      <c r="T396" s="16" t="n">
        <v>180</v>
      </c>
      <c r="U396" s="16" t="n">
        <v>350</v>
      </c>
      <c r="V396" s="13" t="n">
        <f aca="false">IF(Q396="","",J396*Q396/100)</f>
        <v>136.4</v>
      </c>
      <c r="W396" s="13" t="n">
        <f aca="false">IF(R396="","",J396*R396/100)</f>
        <v>204.6</v>
      </c>
      <c r="X396" s="13" t="n">
        <f aca="false">IF(S396="","",J396*S396/100)</f>
        <v>272.8</v>
      </c>
      <c r="Y396" s="13" t="n">
        <f aca="false">IF(T396="","",J396*T396/100)</f>
        <v>245.52</v>
      </c>
      <c r="Z396" s="13" t="n">
        <f aca="false">IF(U396="","",J396*U396/100)</f>
        <v>477.4</v>
      </c>
      <c r="AA396" s="6" t="s">
        <v>103</v>
      </c>
      <c r="AB396" s="6" t="s">
        <v>104</v>
      </c>
      <c r="AC396" s="6"/>
      <c r="AD396" s="13" t="str">
        <f aca="false">IF(AC396="","",IFERROR(INDEX('INDB Full Nutrients'!$D:$D,MATCH(AC396,'INDB Full Nutrients'!$A:$A,0)),""))</f>
        <v/>
      </c>
      <c r="AE396" s="6"/>
      <c r="AF396" s="6"/>
    </row>
    <row r="397" customFormat="false" ht="15" hidden="false" customHeight="false" outlineLevel="0" collapsed="false">
      <c r="A397" s="6" t="s">
        <v>1594</v>
      </c>
      <c r="B397" s="6" t="s">
        <v>1595</v>
      </c>
      <c r="C397" s="6"/>
      <c r="D397" s="6" t="s">
        <v>53</v>
      </c>
      <c r="E397" s="6" t="s">
        <v>114</v>
      </c>
      <c r="F397" s="6" t="s">
        <v>569</v>
      </c>
      <c r="G397" s="6"/>
      <c r="H397" s="6" t="s">
        <v>1480</v>
      </c>
      <c r="I397" s="6" t="s">
        <v>298</v>
      </c>
      <c r="J397" s="13" t="n">
        <f aca="false">4*K397+4*(L397-N397)+9*M397+2*N397</f>
        <v>235.4</v>
      </c>
      <c r="K397" s="14" t="n">
        <v>16</v>
      </c>
      <c r="L397" s="14" t="n">
        <v>14</v>
      </c>
      <c r="M397" s="14" t="n">
        <v>13</v>
      </c>
      <c r="N397" s="14" t="n">
        <v>0.8</v>
      </c>
      <c r="O397" s="14" t="n">
        <v>1</v>
      </c>
      <c r="P397" s="15" t="n">
        <v>650</v>
      </c>
      <c r="Q397" s="16" t="n">
        <v>100</v>
      </c>
      <c r="R397" s="16" t="n">
        <v>150</v>
      </c>
      <c r="S397" s="16" t="n">
        <v>200</v>
      </c>
      <c r="T397" s="16" t="n">
        <v>180</v>
      </c>
      <c r="U397" s="16" t="n">
        <v>350</v>
      </c>
      <c r="V397" s="13" t="n">
        <f aca="false">IF(Q397="","",J397*Q397/100)</f>
        <v>235.4</v>
      </c>
      <c r="W397" s="13" t="n">
        <f aca="false">IF(R397="","",J397*R397/100)</f>
        <v>353.1</v>
      </c>
      <c r="X397" s="13" t="n">
        <f aca="false">IF(S397="","",J397*S397/100)</f>
        <v>470.8</v>
      </c>
      <c r="Y397" s="13" t="n">
        <f aca="false">IF(T397="","",J397*T397/100)</f>
        <v>423.72</v>
      </c>
      <c r="Z397" s="13" t="n">
        <f aca="false">IF(U397="","",J397*U397/100)</f>
        <v>823.9</v>
      </c>
      <c r="AA397" s="6" t="s">
        <v>103</v>
      </c>
      <c r="AB397" s="6" t="s">
        <v>104</v>
      </c>
      <c r="AC397" s="6"/>
      <c r="AD397" s="13" t="str">
        <f aca="false">IF(AC397="","",IFERROR(INDEX('INDB Full Nutrients'!$D:$D,MATCH(AC397,'INDB Full Nutrients'!$A:$A,0)),""))</f>
        <v/>
      </c>
      <c r="AE397" s="6"/>
      <c r="AF397" s="6"/>
    </row>
    <row r="398" customFormat="false" ht="15" hidden="false" customHeight="false" outlineLevel="0" collapsed="false">
      <c r="A398" s="6" t="s">
        <v>1596</v>
      </c>
      <c r="B398" s="6" t="s">
        <v>1597</v>
      </c>
      <c r="C398" s="6"/>
      <c r="D398" s="6" t="s">
        <v>53</v>
      </c>
      <c r="E398" s="6" t="s">
        <v>99</v>
      </c>
      <c r="F398" s="6" t="s">
        <v>569</v>
      </c>
      <c r="G398" s="6"/>
      <c r="H398" s="6" t="s">
        <v>603</v>
      </c>
      <c r="I398" s="6" t="s">
        <v>298</v>
      </c>
      <c r="J398" s="13" t="n">
        <f aca="false">4*K398+4*(L398-N398)+9*M398+2*N398</f>
        <v>222</v>
      </c>
      <c r="K398" s="14" t="n">
        <v>14</v>
      </c>
      <c r="L398" s="14" t="n">
        <v>15</v>
      </c>
      <c r="M398" s="14" t="n">
        <v>12</v>
      </c>
      <c r="N398" s="14" t="n">
        <v>1</v>
      </c>
      <c r="O398" s="14" t="n">
        <v>1</v>
      </c>
      <c r="P398" s="15" t="n">
        <v>450</v>
      </c>
      <c r="Q398" s="16" t="n">
        <v>40</v>
      </c>
      <c r="R398" s="16" t="n">
        <v>60</v>
      </c>
      <c r="S398" s="16" t="n">
        <v>80</v>
      </c>
      <c r="T398" s="6"/>
      <c r="U398" s="6"/>
      <c r="V398" s="13" t="n">
        <f aca="false">IF(Q398="","",J398*Q398/100)</f>
        <v>88.8</v>
      </c>
      <c r="W398" s="13" t="n">
        <f aca="false">IF(R398="","",J398*R398/100)</f>
        <v>133.2</v>
      </c>
      <c r="X398" s="13" t="n">
        <f aca="false">IF(S398="","",J398*S398/100)</f>
        <v>177.6</v>
      </c>
      <c r="Y398" s="13" t="str">
        <f aca="false">IF(T398="","",J398*T398/100)</f>
        <v/>
      </c>
      <c r="Z398" s="13" t="str">
        <f aca="false">IF(U398="","",J398*U398/100)</f>
        <v/>
      </c>
      <c r="AA398" s="6" t="s">
        <v>103</v>
      </c>
      <c r="AB398" s="6" t="s">
        <v>104</v>
      </c>
      <c r="AC398" s="6" t="s">
        <v>1598</v>
      </c>
      <c r="AD398" s="13" t="n">
        <f aca="false">IF(AC398="","",IFERROR(INDEX('INDB Full Nutrients'!$D:$D,MATCH(AC398,'INDB Full Nutrients'!$A:$A,0)),""))</f>
        <v>531.856384277344</v>
      </c>
      <c r="AE398" s="6" t="s">
        <v>740</v>
      </c>
      <c r="AF398" s="6" t="s">
        <v>577</v>
      </c>
    </row>
    <row r="399" customFormat="false" ht="15" hidden="false" customHeight="false" outlineLevel="0" collapsed="false">
      <c r="A399" s="6" t="s">
        <v>1599</v>
      </c>
      <c r="B399" s="6" t="s">
        <v>1600</v>
      </c>
      <c r="C399" s="6"/>
      <c r="D399" s="6" t="s">
        <v>53</v>
      </c>
      <c r="E399" s="6" t="s">
        <v>205</v>
      </c>
      <c r="F399" s="6" t="s">
        <v>569</v>
      </c>
      <c r="G399" s="6"/>
      <c r="H399" s="6" t="s">
        <v>603</v>
      </c>
      <c r="I399" s="6" t="s">
        <v>298</v>
      </c>
      <c r="J399" s="13" t="n">
        <f aca="false">4*K399+4*(L399-N399)+9*M399+2*N399</f>
        <v>205</v>
      </c>
      <c r="K399" s="14" t="n">
        <v>12</v>
      </c>
      <c r="L399" s="14" t="n">
        <v>15</v>
      </c>
      <c r="M399" s="14" t="n">
        <v>11</v>
      </c>
      <c r="N399" s="14" t="n">
        <v>1</v>
      </c>
      <c r="O399" s="14" t="n">
        <v>1</v>
      </c>
      <c r="P399" s="15" t="n">
        <v>450</v>
      </c>
      <c r="Q399" s="16" t="n">
        <v>40</v>
      </c>
      <c r="R399" s="16" t="n">
        <v>60</v>
      </c>
      <c r="S399" s="16" t="n">
        <v>80</v>
      </c>
      <c r="T399" s="6"/>
      <c r="U399" s="6"/>
      <c r="V399" s="13" t="n">
        <f aca="false">IF(Q399="","",J399*Q399/100)</f>
        <v>82</v>
      </c>
      <c r="W399" s="13" t="n">
        <f aca="false">IF(R399="","",J399*R399/100)</f>
        <v>123</v>
      </c>
      <c r="X399" s="13" t="n">
        <f aca="false">IF(S399="","",J399*S399/100)</f>
        <v>164</v>
      </c>
      <c r="Y399" s="13" t="str">
        <f aca="false">IF(T399="","",J399*T399/100)</f>
        <v/>
      </c>
      <c r="Z399" s="13" t="str">
        <f aca="false">IF(U399="","",J399*U399/100)</f>
        <v/>
      </c>
      <c r="AA399" s="6" t="s">
        <v>103</v>
      </c>
      <c r="AB399" s="6" t="s">
        <v>104</v>
      </c>
      <c r="AC399" s="6" t="s">
        <v>1601</v>
      </c>
      <c r="AD399" s="13" t="n">
        <f aca="false">IF(AC399="","",IFERROR(INDEX('INDB Full Nutrients'!$D:$D,MATCH(AC399,'INDB Full Nutrients'!$A:$A,0)),""))</f>
        <v>654.64013671875</v>
      </c>
      <c r="AE399" s="6" t="s">
        <v>740</v>
      </c>
      <c r="AF399" s="6" t="s">
        <v>577</v>
      </c>
    </row>
    <row r="400" customFormat="false" ht="15" hidden="false" customHeight="false" outlineLevel="0" collapsed="false">
      <c r="A400" s="6" t="s">
        <v>1602</v>
      </c>
      <c r="B400" s="6" t="s">
        <v>1603</v>
      </c>
      <c r="C400" s="6" t="s">
        <v>1604</v>
      </c>
      <c r="D400" s="6" t="s">
        <v>53</v>
      </c>
      <c r="E400" s="6" t="s">
        <v>99</v>
      </c>
      <c r="F400" s="6" t="s">
        <v>537</v>
      </c>
      <c r="G400" s="6"/>
      <c r="H400" s="6" t="s">
        <v>603</v>
      </c>
      <c r="I400" s="6" t="s">
        <v>298</v>
      </c>
      <c r="J400" s="13" t="n">
        <f aca="false">4*K400+4*(L400-N400)+9*M400+2*N400</f>
        <v>228</v>
      </c>
      <c r="K400" s="14" t="n">
        <v>10</v>
      </c>
      <c r="L400" s="14" t="n">
        <v>14</v>
      </c>
      <c r="M400" s="14" t="n">
        <v>15</v>
      </c>
      <c r="N400" s="14" t="n">
        <v>1.5</v>
      </c>
      <c r="O400" s="14" t="n">
        <v>1</v>
      </c>
      <c r="P400" s="15" t="n">
        <v>400</v>
      </c>
      <c r="Q400" s="16" t="n">
        <v>50</v>
      </c>
      <c r="R400" s="16" t="n">
        <v>100</v>
      </c>
      <c r="S400" s="16" t="n">
        <v>150</v>
      </c>
      <c r="T400" s="6"/>
      <c r="U400" s="6"/>
      <c r="V400" s="13" t="n">
        <f aca="false">IF(Q400="","",J400*Q400/100)</f>
        <v>114</v>
      </c>
      <c r="W400" s="13" t="n">
        <f aca="false">IF(R400="","",J400*R400/100)</f>
        <v>228</v>
      </c>
      <c r="X400" s="13" t="n">
        <f aca="false">IF(S400="","",J400*S400/100)</f>
        <v>342</v>
      </c>
      <c r="Y400" s="13" t="str">
        <f aca="false">IF(T400="","",J400*T400/100)</f>
        <v/>
      </c>
      <c r="Z400" s="13" t="str">
        <f aca="false">IF(U400="","",J400*U400/100)</f>
        <v/>
      </c>
      <c r="AA400" s="6" t="s">
        <v>103</v>
      </c>
      <c r="AB400" s="6" t="s">
        <v>104</v>
      </c>
      <c r="AC400" s="6" t="s">
        <v>1605</v>
      </c>
      <c r="AD400" s="13" t="n">
        <f aca="false">IF(AC400="","",IFERROR(INDEX('INDB Full Nutrients'!$D:$D,MATCH(AC400,'INDB Full Nutrients'!$A:$A,0)),""))</f>
        <v>710.506713867188</v>
      </c>
      <c r="AE400" s="6" t="s">
        <v>740</v>
      </c>
      <c r="AF400" s="6" t="s">
        <v>1606</v>
      </c>
    </row>
    <row r="401" customFormat="false" ht="15" hidden="false" customHeight="false" outlineLevel="0" collapsed="false">
      <c r="A401" s="6" t="s">
        <v>1607</v>
      </c>
      <c r="B401" s="6" t="s">
        <v>1608</v>
      </c>
      <c r="C401" s="6" t="s">
        <v>1609</v>
      </c>
      <c r="D401" s="6" t="s">
        <v>54</v>
      </c>
      <c r="E401" s="6" t="s">
        <v>161</v>
      </c>
      <c r="F401" s="6" t="s">
        <v>100</v>
      </c>
      <c r="G401" s="6" t="s">
        <v>124</v>
      </c>
      <c r="H401" s="6" t="s">
        <v>603</v>
      </c>
      <c r="I401" s="6" t="s">
        <v>298</v>
      </c>
      <c r="J401" s="13" t="n">
        <f aca="false">4*K401+4*(L401-N401)+9*M401+2*N401</f>
        <v>295</v>
      </c>
      <c r="K401" s="14" t="n">
        <v>5</v>
      </c>
      <c r="L401" s="14" t="n">
        <v>32</v>
      </c>
      <c r="M401" s="14" t="n">
        <v>17</v>
      </c>
      <c r="N401" s="14" t="n">
        <v>3</v>
      </c>
      <c r="O401" s="14" t="n">
        <v>2</v>
      </c>
      <c r="P401" s="15" t="n">
        <v>400</v>
      </c>
      <c r="Q401" s="16" t="n">
        <v>40</v>
      </c>
      <c r="R401" s="16" t="n">
        <v>70</v>
      </c>
      <c r="S401" s="16" t="n">
        <v>100</v>
      </c>
      <c r="T401" s="6"/>
      <c r="U401" s="6"/>
      <c r="V401" s="13" t="n">
        <f aca="false">IF(Q401="","",J401*Q401/100)</f>
        <v>118</v>
      </c>
      <c r="W401" s="13" t="n">
        <f aca="false">IF(R401="","",J401*R401/100)</f>
        <v>206.5</v>
      </c>
      <c r="X401" s="13" t="n">
        <f aca="false">IF(S401="","",J401*S401/100)</f>
        <v>295</v>
      </c>
      <c r="Y401" s="13" t="str">
        <f aca="false">IF(T401="","",J401*T401/100)</f>
        <v/>
      </c>
      <c r="Z401" s="13" t="str">
        <f aca="false">IF(U401="","",J401*U401/100)</f>
        <v/>
      </c>
      <c r="AA401" s="6" t="s">
        <v>103</v>
      </c>
      <c r="AB401" s="6" t="s">
        <v>104</v>
      </c>
      <c r="AC401" s="6" t="s">
        <v>1610</v>
      </c>
      <c r="AD401" s="13" t="n">
        <f aca="false">IF(AC401="","",IFERROR(INDEX('INDB Full Nutrients'!$D:$D,MATCH(AC401,'INDB Full Nutrients'!$A:$A,0)),""))</f>
        <v>577.385681152344</v>
      </c>
      <c r="AE401" s="6" t="s">
        <v>576</v>
      </c>
      <c r="AF401" s="6" t="s">
        <v>577</v>
      </c>
    </row>
    <row r="402" customFormat="false" ht="15" hidden="false" customHeight="false" outlineLevel="0" collapsed="false">
      <c r="A402" s="6" t="s">
        <v>1611</v>
      </c>
      <c r="B402" s="6" t="s">
        <v>1612</v>
      </c>
      <c r="C402" s="6" t="s">
        <v>1613</v>
      </c>
      <c r="D402" s="6" t="s">
        <v>54</v>
      </c>
      <c r="E402" s="6" t="s">
        <v>161</v>
      </c>
      <c r="F402" s="6" t="s">
        <v>569</v>
      </c>
      <c r="G402" s="6"/>
      <c r="H402" s="6" t="s">
        <v>603</v>
      </c>
      <c r="I402" s="6" t="s">
        <v>298</v>
      </c>
      <c r="J402" s="13" t="n">
        <f aca="false">4*K402+4*(L402-N402)+9*M402+2*N402</f>
        <v>307</v>
      </c>
      <c r="K402" s="14" t="n">
        <v>10</v>
      </c>
      <c r="L402" s="14" t="n">
        <v>25</v>
      </c>
      <c r="M402" s="14" t="n">
        <v>19</v>
      </c>
      <c r="N402" s="14" t="n">
        <v>2</v>
      </c>
      <c r="O402" s="14" t="n">
        <v>1.5</v>
      </c>
      <c r="P402" s="15" t="n">
        <v>450</v>
      </c>
      <c r="Q402" s="16" t="n">
        <v>30</v>
      </c>
      <c r="R402" s="16" t="n">
        <v>50</v>
      </c>
      <c r="S402" s="16" t="n">
        <v>70</v>
      </c>
      <c r="T402" s="6"/>
      <c r="U402" s="6"/>
      <c r="V402" s="13" t="n">
        <f aca="false">IF(Q402="","",J402*Q402/100)</f>
        <v>92.1</v>
      </c>
      <c r="W402" s="13" t="n">
        <f aca="false">IF(R402="","",J402*R402/100)</f>
        <v>153.5</v>
      </c>
      <c r="X402" s="13" t="n">
        <f aca="false">IF(S402="","",J402*S402/100)</f>
        <v>214.9</v>
      </c>
      <c r="Y402" s="13" t="str">
        <f aca="false">IF(T402="","",J402*T402/100)</f>
        <v/>
      </c>
      <c r="Z402" s="13" t="str">
        <f aca="false">IF(U402="","",J402*U402/100)</f>
        <v/>
      </c>
      <c r="AA402" s="6" t="s">
        <v>103</v>
      </c>
      <c r="AB402" s="6" t="s">
        <v>104</v>
      </c>
      <c r="AC402" s="6" t="s">
        <v>1614</v>
      </c>
      <c r="AD402" s="13" t="n">
        <f aca="false">IF(AC402="","",IFERROR(INDEX('INDB Full Nutrients'!$D:$D,MATCH(AC402,'INDB Full Nutrients'!$A:$A,0)),""))</f>
        <v>620.988464355469</v>
      </c>
      <c r="AE402" s="6" t="s">
        <v>576</v>
      </c>
      <c r="AF402" s="6" t="s">
        <v>577</v>
      </c>
    </row>
    <row r="403" customFormat="false" ht="15" hidden="false" customHeight="false" outlineLevel="0" collapsed="false">
      <c r="A403" s="6" t="s">
        <v>1615</v>
      </c>
      <c r="B403" s="6" t="s">
        <v>1616</v>
      </c>
      <c r="C403" s="6" t="s">
        <v>1617</v>
      </c>
      <c r="D403" s="6" t="s">
        <v>54</v>
      </c>
      <c r="E403" s="6" t="s">
        <v>119</v>
      </c>
      <c r="F403" s="6" t="s">
        <v>100</v>
      </c>
      <c r="G403" s="6" t="s">
        <v>124</v>
      </c>
      <c r="H403" s="6" t="s">
        <v>603</v>
      </c>
      <c r="I403" s="6" t="s">
        <v>298</v>
      </c>
      <c r="J403" s="13" t="n">
        <f aca="false">4*K403+4*(L403-N403)+9*M403+2*N403</f>
        <v>332</v>
      </c>
      <c r="K403" s="14" t="n">
        <v>6</v>
      </c>
      <c r="L403" s="14" t="n">
        <v>38</v>
      </c>
      <c r="M403" s="14" t="n">
        <v>18</v>
      </c>
      <c r="N403" s="14" t="n">
        <v>3</v>
      </c>
      <c r="O403" s="14" t="n">
        <v>3</v>
      </c>
      <c r="P403" s="15" t="n">
        <v>450</v>
      </c>
      <c r="Q403" s="16" t="n">
        <v>15</v>
      </c>
      <c r="R403" s="16" t="n">
        <v>25</v>
      </c>
      <c r="S403" s="16" t="n">
        <v>35</v>
      </c>
      <c r="T403" s="6"/>
      <c r="U403" s="6"/>
      <c r="V403" s="13" t="n">
        <f aca="false">IF(Q403="","",J403*Q403/100)</f>
        <v>49.8</v>
      </c>
      <c r="W403" s="13" t="n">
        <f aca="false">IF(R403="","",J403*R403/100)</f>
        <v>83</v>
      </c>
      <c r="X403" s="13" t="n">
        <f aca="false">IF(S403="","",J403*S403/100)</f>
        <v>116.2</v>
      </c>
      <c r="Y403" s="13" t="str">
        <f aca="false">IF(T403="","",J403*T403/100)</f>
        <v/>
      </c>
      <c r="Z403" s="13" t="str">
        <f aca="false">IF(U403="","",J403*U403/100)</f>
        <v/>
      </c>
      <c r="AA403" s="6" t="s">
        <v>103</v>
      </c>
      <c r="AB403" s="6" t="s">
        <v>104</v>
      </c>
      <c r="AC403" s="6"/>
      <c r="AD403" s="13" t="str">
        <f aca="false">IF(AC403="","",IFERROR(INDEX('INDB Full Nutrients'!$D:$D,MATCH(AC403,'INDB Full Nutrients'!$A:$A,0)),""))</f>
        <v/>
      </c>
      <c r="AE403" s="6"/>
      <c r="AF403" s="6"/>
    </row>
    <row r="404" customFormat="false" ht="15" hidden="false" customHeight="false" outlineLevel="0" collapsed="false">
      <c r="A404" s="6" t="s">
        <v>1618</v>
      </c>
      <c r="B404" s="6" t="s">
        <v>1619</v>
      </c>
      <c r="C404" s="6" t="s">
        <v>1620</v>
      </c>
      <c r="D404" s="6" t="s">
        <v>54</v>
      </c>
      <c r="E404" s="6" t="s">
        <v>99</v>
      </c>
      <c r="F404" s="6" t="s">
        <v>100</v>
      </c>
      <c r="G404" s="6" t="s">
        <v>124</v>
      </c>
      <c r="H404" s="6" t="s">
        <v>603</v>
      </c>
      <c r="I404" s="6" t="s">
        <v>298</v>
      </c>
      <c r="J404" s="13" t="n">
        <f aca="false">4*K404+4*(L404-N404)+9*M404+2*N404</f>
        <v>285</v>
      </c>
      <c r="K404" s="14" t="n">
        <v>6</v>
      </c>
      <c r="L404" s="14" t="n">
        <v>29</v>
      </c>
      <c r="M404" s="14" t="n">
        <v>17</v>
      </c>
      <c r="N404" s="14" t="n">
        <v>4</v>
      </c>
      <c r="O404" s="14" t="n">
        <v>4</v>
      </c>
      <c r="P404" s="15" t="n">
        <v>400</v>
      </c>
      <c r="Q404" s="16" t="n">
        <v>50</v>
      </c>
      <c r="R404" s="16" t="n">
        <v>100</v>
      </c>
      <c r="S404" s="16" t="n">
        <v>150</v>
      </c>
      <c r="T404" s="6"/>
      <c r="U404" s="6"/>
      <c r="V404" s="13" t="n">
        <f aca="false">IF(Q404="","",J404*Q404/100)</f>
        <v>142.5</v>
      </c>
      <c r="W404" s="13" t="n">
        <f aca="false">IF(R404="","",J404*R404/100)</f>
        <v>285</v>
      </c>
      <c r="X404" s="13" t="n">
        <f aca="false">IF(S404="","",J404*S404/100)</f>
        <v>427.5</v>
      </c>
      <c r="Y404" s="13" t="str">
        <f aca="false">IF(T404="","",J404*T404/100)</f>
        <v/>
      </c>
      <c r="Z404" s="13" t="str">
        <f aca="false">IF(U404="","",J404*U404/100)</f>
        <v/>
      </c>
      <c r="AA404" s="6" t="s">
        <v>103</v>
      </c>
      <c r="AB404" s="6" t="s">
        <v>104</v>
      </c>
      <c r="AC404" s="6" t="s">
        <v>1621</v>
      </c>
      <c r="AD404" s="13" t="n">
        <f aca="false">IF(AC404="","",IFERROR(INDEX('INDB Full Nutrients'!$D:$D,MATCH(AC404,'INDB Full Nutrients'!$A:$A,0)),""))</f>
        <v>674.610656738281</v>
      </c>
      <c r="AE404" s="6" t="s">
        <v>740</v>
      </c>
      <c r="AF404" s="6" t="s">
        <v>577</v>
      </c>
    </row>
    <row r="405" customFormat="false" ht="15" hidden="false" customHeight="false" outlineLevel="0" collapsed="false">
      <c r="A405" s="6" t="s">
        <v>1622</v>
      </c>
      <c r="B405" s="6" t="s">
        <v>1623</v>
      </c>
      <c r="C405" s="6" t="s">
        <v>1624</v>
      </c>
      <c r="D405" s="6" t="s">
        <v>54</v>
      </c>
      <c r="E405" s="6" t="s">
        <v>99</v>
      </c>
      <c r="F405" s="6" t="s">
        <v>100</v>
      </c>
      <c r="G405" s="6" t="s">
        <v>124</v>
      </c>
      <c r="H405" s="6" t="s">
        <v>603</v>
      </c>
      <c r="I405" s="6" t="s">
        <v>298</v>
      </c>
      <c r="J405" s="13" t="n">
        <f aca="false">4*K405+4*(L405-N405)+9*M405+2*N405</f>
        <v>265</v>
      </c>
      <c r="K405" s="14" t="n">
        <v>6</v>
      </c>
      <c r="L405" s="14" t="n">
        <v>26</v>
      </c>
      <c r="M405" s="14" t="n">
        <v>16</v>
      </c>
      <c r="N405" s="14" t="n">
        <v>3.5</v>
      </c>
      <c r="O405" s="14" t="n">
        <v>3</v>
      </c>
      <c r="P405" s="15" t="n">
        <v>400</v>
      </c>
      <c r="Q405" s="16" t="n">
        <v>50</v>
      </c>
      <c r="R405" s="16" t="n">
        <v>100</v>
      </c>
      <c r="S405" s="16" t="n">
        <v>150</v>
      </c>
      <c r="T405" s="6"/>
      <c r="U405" s="6"/>
      <c r="V405" s="13" t="n">
        <f aca="false">IF(Q405="","",J405*Q405/100)</f>
        <v>132.5</v>
      </c>
      <c r="W405" s="13" t="n">
        <f aca="false">IF(R405="","",J405*R405/100)</f>
        <v>265</v>
      </c>
      <c r="X405" s="13" t="n">
        <f aca="false">IF(S405="","",J405*S405/100)</f>
        <v>397.5</v>
      </c>
      <c r="Y405" s="13" t="str">
        <f aca="false">IF(T405="","",J405*T405/100)</f>
        <v/>
      </c>
      <c r="Z405" s="13" t="str">
        <f aca="false">IF(U405="","",J405*U405/100)</f>
        <v/>
      </c>
      <c r="AA405" s="6" t="s">
        <v>103</v>
      </c>
      <c r="AB405" s="6" t="s">
        <v>104</v>
      </c>
      <c r="AC405" s="6" t="s">
        <v>1625</v>
      </c>
      <c r="AD405" s="13" t="n">
        <f aca="false">IF(AC405="","",IFERROR(INDEX('INDB Full Nutrients'!$D:$D,MATCH(AC405,'INDB Full Nutrients'!$A:$A,0)),""))</f>
        <v>673.809875488281</v>
      </c>
      <c r="AE405" s="6" t="s">
        <v>740</v>
      </c>
      <c r="AF405" s="6" t="s">
        <v>577</v>
      </c>
    </row>
    <row r="406" customFormat="false" ht="15" hidden="false" customHeight="false" outlineLevel="0" collapsed="false">
      <c r="A406" s="6" t="s">
        <v>1626</v>
      </c>
      <c r="B406" s="6" t="s">
        <v>1627</v>
      </c>
      <c r="C406" s="6" t="s">
        <v>1628</v>
      </c>
      <c r="D406" s="6" t="s">
        <v>54</v>
      </c>
      <c r="E406" s="6" t="s">
        <v>99</v>
      </c>
      <c r="F406" s="6" t="s">
        <v>100</v>
      </c>
      <c r="G406" s="6" t="s">
        <v>124</v>
      </c>
      <c r="H406" s="6" t="s">
        <v>603</v>
      </c>
      <c r="I406" s="6" t="s">
        <v>298</v>
      </c>
      <c r="J406" s="13" t="n">
        <f aca="false">4*K406+4*(L406-N406)+9*M406+2*N406</f>
        <v>269</v>
      </c>
      <c r="K406" s="14" t="n">
        <v>5</v>
      </c>
      <c r="L406" s="14" t="n">
        <v>30</v>
      </c>
      <c r="M406" s="14" t="n">
        <v>15</v>
      </c>
      <c r="N406" s="14" t="n">
        <v>3</v>
      </c>
      <c r="O406" s="14" t="n">
        <v>1.5</v>
      </c>
      <c r="P406" s="15" t="n">
        <v>400</v>
      </c>
      <c r="Q406" s="16" t="n">
        <v>50</v>
      </c>
      <c r="R406" s="16" t="n">
        <v>100</v>
      </c>
      <c r="S406" s="16" t="n">
        <v>150</v>
      </c>
      <c r="T406" s="6"/>
      <c r="U406" s="6"/>
      <c r="V406" s="13" t="n">
        <f aca="false">IF(Q406="","",J406*Q406/100)</f>
        <v>134.5</v>
      </c>
      <c r="W406" s="13" t="n">
        <f aca="false">IF(R406="","",J406*R406/100)</f>
        <v>269</v>
      </c>
      <c r="X406" s="13" t="n">
        <f aca="false">IF(S406="","",J406*S406/100)</f>
        <v>403.5</v>
      </c>
      <c r="Y406" s="13" t="str">
        <f aca="false">IF(T406="","",J406*T406/100)</f>
        <v/>
      </c>
      <c r="Z406" s="13" t="str">
        <f aca="false">IF(U406="","",J406*U406/100)</f>
        <v/>
      </c>
      <c r="AA406" s="6" t="s">
        <v>103</v>
      </c>
      <c r="AB406" s="6" t="s">
        <v>104</v>
      </c>
      <c r="AC406" s="6" t="s">
        <v>1629</v>
      </c>
      <c r="AD406" s="13" t="n">
        <f aca="false">IF(AC406="","",IFERROR(INDEX('INDB Full Nutrients'!$D:$D,MATCH(AC406,'INDB Full Nutrients'!$A:$A,0)),""))</f>
        <v>677.190246582031</v>
      </c>
      <c r="AE406" s="6" t="s">
        <v>740</v>
      </c>
      <c r="AF406" s="6" t="s">
        <v>577</v>
      </c>
    </row>
    <row r="407" customFormat="false" ht="15" hidden="false" customHeight="false" outlineLevel="0" collapsed="false">
      <c r="A407" s="6" t="s">
        <v>1630</v>
      </c>
      <c r="B407" s="6" t="s">
        <v>1631</v>
      </c>
      <c r="C407" s="6" t="s">
        <v>1632</v>
      </c>
      <c r="D407" s="6" t="s">
        <v>54</v>
      </c>
      <c r="E407" s="6" t="s">
        <v>161</v>
      </c>
      <c r="F407" s="6" t="s">
        <v>100</v>
      </c>
      <c r="G407" s="6" t="s">
        <v>124</v>
      </c>
      <c r="H407" s="6" t="s">
        <v>603</v>
      </c>
      <c r="I407" s="6" t="s">
        <v>298</v>
      </c>
      <c r="J407" s="13" t="n">
        <f aca="false">4*K407+4*(L407-N407)+9*M407+2*N407</f>
        <v>248</v>
      </c>
      <c r="K407" s="14" t="n">
        <v>6</v>
      </c>
      <c r="L407" s="14" t="n">
        <v>22</v>
      </c>
      <c r="M407" s="14" t="n">
        <v>16</v>
      </c>
      <c r="N407" s="14" t="n">
        <v>4</v>
      </c>
      <c r="O407" s="14" t="n">
        <v>1.5</v>
      </c>
      <c r="P407" s="15" t="n">
        <v>400</v>
      </c>
      <c r="Q407" s="16" t="n">
        <v>50</v>
      </c>
      <c r="R407" s="16" t="n">
        <v>100</v>
      </c>
      <c r="S407" s="16" t="n">
        <v>150</v>
      </c>
      <c r="T407" s="6"/>
      <c r="U407" s="6"/>
      <c r="V407" s="13" t="n">
        <f aca="false">IF(Q407="","",J407*Q407/100)</f>
        <v>124</v>
      </c>
      <c r="W407" s="13" t="n">
        <f aca="false">IF(R407="","",J407*R407/100)</f>
        <v>248</v>
      </c>
      <c r="X407" s="13" t="n">
        <f aca="false">IF(S407="","",J407*S407/100)</f>
        <v>372</v>
      </c>
      <c r="Y407" s="13" t="str">
        <f aca="false">IF(T407="","",J407*T407/100)</f>
        <v/>
      </c>
      <c r="Z407" s="13" t="str">
        <f aca="false">IF(U407="","",J407*U407/100)</f>
        <v/>
      </c>
      <c r="AA407" s="6" t="s">
        <v>103</v>
      </c>
      <c r="AB407" s="6" t="s">
        <v>104</v>
      </c>
      <c r="AC407" s="6" t="s">
        <v>1633</v>
      </c>
      <c r="AD407" s="13" t="n">
        <f aca="false">IF(AC407="","",IFERROR(INDEX('INDB Full Nutrients'!$D:$D,MATCH(AC407,'INDB Full Nutrients'!$A:$A,0)),""))</f>
        <v>712.619201660156</v>
      </c>
      <c r="AE407" s="6" t="s">
        <v>740</v>
      </c>
      <c r="AF407" s="6" t="s">
        <v>577</v>
      </c>
    </row>
    <row r="408" customFormat="false" ht="15" hidden="false" customHeight="false" outlineLevel="0" collapsed="false">
      <c r="A408" s="6" t="s">
        <v>1634</v>
      </c>
      <c r="B408" s="6" t="s">
        <v>1635</v>
      </c>
      <c r="C408" s="6" t="s">
        <v>1636</v>
      </c>
      <c r="D408" s="6" t="s">
        <v>54</v>
      </c>
      <c r="E408" s="6" t="s">
        <v>161</v>
      </c>
      <c r="F408" s="6" t="s">
        <v>100</v>
      </c>
      <c r="G408" s="6" t="s">
        <v>124</v>
      </c>
      <c r="H408" s="6" t="s">
        <v>603</v>
      </c>
      <c r="I408" s="6" t="s">
        <v>298</v>
      </c>
      <c r="J408" s="13" t="n">
        <f aca="false">4*K408+4*(L408-N408)+9*M408+2*N408</f>
        <v>238</v>
      </c>
      <c r="K408" s="14" t="n">
        <v>5.5</v>
      </c>
      <c r="L408" s="14" t="n">
        <v>22</v>
      </c>
      <c r="M408" s="14" t="n">
        <v>15</v>
      </c>
      <c r="N408" s="14" t="n">
        <v>3.5</v>
      </c>
      <c r="O408" s="14" t="n">
        <v>2</v>
      </c>
      <c r="P408" s="15" t="n">
        <v>400</v>
      </c>
      <c r="Q408" s="16" t="n">
        <v>50</v>
      </c>
      <c r="R408" s="16" t="n">
        <v>100</v>
      </c>
      <c r="S408" s="16" t="n">
        <v>150</v>
      </c>
      <c r="T408" s="6"/>
      <c r="U408" s="6"/>
      <c r="V408" s="13" t="n">
        <f aca="false">IF(Q408="","",J408*Q408/100)</f>
        <v>119</v>
      </c>
      <c r="W408" s="13" t="n">
        <f aca="false">IF(R408="","",J408*R408/100)</f>
        <v>238</v>
      </c>
      <c r="X408" s="13" t="n">
        <f aca="false">IF(S408="","",J408*S408/100)</f>
        <v>357</v>
      </c>
      <c r="Y408" s="13" t="str">
        <f aca="false">IF(T408="","",J408*T408/100)</f>
        <v/>
      </c>
      <c r="Z408" s="13" t="str">
        <f aca="false">IF(U408="","",J408*U408/100)</f>
        <v/>
      </c>
      <c r="AA408" s="6" t="s">
        <v>103</v>
      </c>
      <c r="AB408" s="6" t="s">
        <v>104</v>
      </c>
      <c r="AC408" s="6" t="s">
        <v>1637</v>
      </c>
      <c r="AD408" s="13" t="n">
        <f aca="false">IF(AC408="","",IFERROR(INDEX('INDB Full Nutrients'!$D:$D,MATCH(AC408,'INDB Full Nutrients'!$A:$A,0)),""))</f>
        <v>671.634216308594</v>
      </c>
      <c r="AE408" s="6" t="s">
        <v>740</v>
      </c>
      <c r="AF408" s="6" t="s">
        <v>577</v>
      </c>
    </row>
    <row r="409" customFormat="false" ht="15" hidden="false" customHeight="false" outlineLevel="0" collapsed="false">
      <c r="A409" s="6" t="s">
        <v>1638</v>
      </c>
      <c r="B409" s="6" t="s">
        <v>1639</v>
      </c>
      <c r="C409" s="6" t="s">
        <v>1640</v>
      </c>
      <c r="D409" s="6" t="s">
        <v>54</v>
      </c>
      <c r="E409" s="6" t="s">
        <v>119</v>
      </c>
      <c r="F409" s="6" t="s">
        <v>100</v>
      </c>
      <c r="G409" s="6" t="s">
        <v>124</v>
      </c>
      <c r="H409" s="6" t="s">
        <v>603</v>
      </c>
      <c r="I409" s="6" t="s">
        <v>298</v>
      </c>
      <c r="J409" s="13" t="n">
        <f aca="false">4*K409+4*(L409-N409)+9*M409+2*N409</f>
        <v>231</v>
      </c>
      <c r="K409" s="14" t="n">
        <v>3.5</v>
      </c>
      <c r="L409" s="14" t="n">
        <v>22</v>
      </c>
      <c r="M409" s="14" t="n">
        <v>15</v>
      </c>
      <c r="N409" s="14" t="n">
        <v>3</v>
      </c>
      <c r="O409" s="14" t="n">
        <v>2</v>
      </c>
      <c r="P409" s="15" t="n">
        <v>380</v>
      </c>
      <c r="Q409" s="16" t="n">
        <v>30</v>
      </c>
      <c r="R409" s="16" t="n">
        <v>45</v>
      </c>
      <c r="S409" s="16" t="n">
        <v>70</v>
      </c>
      <c r="T409" s="6"/>
      <c r="U409" s="6"/>
      <c r="V409" s="13" t="n">
        <f aca="false">IF(Q409="","",J409*Q409/100)</f>
        <v>69.3</v>
      </c>
      <c r="W409" s="13" t="n">
        <f aca="false">IF(R409="","",J409*R409/100)</f>
        <v>103.95</v>
      </c>
      <c r="X409" s="13" t="n">
        <f aca="false">IF(S409="","",J409*S409/100)</f>
        <v>161.7</v>
      </c>
      <c r="Y409" s="13" t="str">
        <f aca="false">IF(T409="","",J409*T409/100)</f>
        <v/>
      </c>
      <c r="Z409" s="13" t="str">
        <f aca="false">IF(U409="","",J409*U409/100)</f>
        <v/>
      </c>
      <c r="AA409" s="6" t="s">
        <v>103</v>
      </c>
      <c r="AB409" s="6" t="s">
        <v>104</v>
      </c>
      <c r="AC409" s="6" t="s">
        <v>1641</v>
      </c>
      <c r="AD409" s="13" t="n">
        <f aca="false">IF(AC409="","",IFERROR(INDEX('INDB Full Nutrients'!$D:$D,MATCH(AC409,'INDB Full Nutrients'!$A:$A,0)),""))</f>
        <v>668.758972167969</v>
      </c>
      <c r="AE409" s="6" t="s">
        <v>576</v>
      </c>
      <c r="AF409" s="6" t="s">
        <v>577</v>
      </c>
    </row>
    <row r="410" customFormat="false" ht="15" hidden="false" customHeight="false" outlineLevel="0" collapsed="false">
      <c r="A410" s="6" t="s">
        <v>1642</v>
      </c>
      <c r="B410" s="6" t="s">
        <v>1643</v>
      </c>
      <c r="C410" s="6"/>
      <c r="D410" s="6" t="s">
        <v>54</v>
      </c>
      <c r="E410" s="6" t="s">
        <v>161</v>
      </c>
      <c r="F410" s="6" t="s">
        <v>100</v>
      </c>
      <c r="G410" s="6" t="s">
        <v>124</v>
      </c>
      <c r="H410" s="6" t="s">
        <v>603</v>
      </c>
      <c r="I410" s="6" t="s">
        <v>298</v>
      </c>
      <c r="J410" s="13" t="n">
        <f aca="false">4*K410+4*(L410-N410)+9*M410+2*N410</f>
        <v>287</v>
      </c>
      <c r="K410" s="14" t="n">
        <v>6.5</v>
      </c>
      <c r="L410" s="14" t="n">
        <v>33</v>
      </c>
      <c r="M410" s="14" t="n">
        <v>15</v>
      </c>
      <c r="N410" s="14" t="n">
        <v>3</v>
      </c>
      <c r="O410" s="14" t="n">
        <v>2.5</v>
      </c>
      <c r="P410" s="15" t="n">
        <v>450</v>
      </c>
      <c r="Q410" s="16" t="n">
        <v>70</v>
      </c>
      <c r="R410" s="16" t="n">
        <v>100</v>
      </c>
      <c r="S410" s="16" t="n">
        <v>130</v>
      </c>
      <c r="T410" s="6"/>
      <c r="U410" s="6"/>
      <c r="V410" s="13" t="n">
        <f aca="false">IF(Q410="","",J410*Q410/100)</f>
        <v>200.9</v>
      </c>
      <c r="W410" s="13" t="n">
        <f aca="false">IF(R410="","",J410*R410/100)</f>
        <v>287</v>
      </c>
      <c r="X410" s="13" t="n">
        <f aca="false">IF(S410="","",J410*S410/100)</f>
        <v>373.1</v>
      </c>
      <c r="Y410" s="13" t="str">
        <f aca="false">IF(T410="","",J410*T410/100)</f>
        <v/>
      </c>
      <c r="Z410" s="13" t="str">
        <f aca="false">IF(U410="","",J410*U410/100)</f>
        <v/>
      </c>
      <c r="AA410" s="6" t="s">
        <v>103</v>
      </c>
      <c r="AB410" s="6" t="s">
        <v>104</v>
      </c>
      <c r="AC410" s="6" t="s">
        <v>1644</v>
      </c>
      <c r="AD410" s="13" t="n">
        <f aca="false">IF(AC410="","",IFERROR(INDEX('INDB Full Nutrients'!$D:$D,MATCH(AC410,'INDB Full Nutrients'!$A:$A,0)),""))</f>
        <v>710.988159179688</v>
      </c>
      <c r="AE410" s="6" t="s">
        <v>740</v>
      </c>
      <c r="AF410" s="6" t="s">
        <v>577</v>
      </c>
    </row>
    <row r="411" customFormat="false" ht="15" hidden="false" customHeight="false" outlineLevel="0" collapsed="false">
      <c r="A411" s="6" t="s">
        <v>1645</v>
      </c>
      <c r="B411" s="6" t="s">
        <v>1646</v>
      </c>
      <c r="C411" s="6" t="s">
        <v>1647</v>
      </c>
      <c r="D411" s="6" t="s">
        <v>54</v>
      </c>
      <c r="E411" s="6" t="s">
        <v>114</v>
      </c>
      <c r="F411" s="6" t="s">
        <v>100</v>
      </c>
      <c r="G411" s="6" t="s">
        <v>124</v>
      </c>
      <c r="H411" s="6" t="s">
        <v>603</v>
      </c>
      <c r="I411" s="6" t="s">
        <v>298</v>
      </c>
      <c r="J411" s="13" t="n">
        <f aca="false">4*K411+4*(L411-N411)+9*M411+2*N411</f>
        <v>258</v>
      </c>
      <c r="K411" s="14" t="n">
        <v>4.5</v>
      </c>
      <c r="L411" s="14" t="n">
        <v>30</v>
      </c>
      <c r="M411" s="14" t="n">
        <v>14</v>
      </c>
      <c r="N411" s="14" t="n">
        <v>3</v>
      </c>
      <c r="O411" s="14" t="n">
        <v>1.5</v>
      </c>
      <c r="P411" s="15" t="n">
        <v>420</v>
      </c>
      <c r="Q411" s="16" t="n">
        <v>40</v>
      </c>
      <c r="R411" s="16" t="n">
        <v>60</v>
      </c>
      <c r="S411" s="16" t="n">
        <v>80</v>
      </c>
      <c r="T411" s="6"/>
      <c r="U411" s="6"/>
      <c r="V411" s="13" t="n">
        <f aca="false">IF(Q411="","",J411*Q411/100)</f>
        <v>103.2</v>
      </c>
      <c r="W411" s="13" t="n">
        <f aca="false">IF(R411="","",J411*R411/100)</f>
        <v>154.8</v>
      </c>
      <c r="X411" s="13" t="n">
        <f aca="false">IF(S411="","",J411*S411/100)</f>
        <v>206.4</v>
      </c>
      <c r="Y411" s="13" t="str">
        <f aca="false">IF(T411="","",J411*T411/100)</f>
        <v/>
      </c>
      <c r="Z411" s="13" t="str">
        <f aca="false">IF(U411="","",J411*U411/100)</f>
        <v/>
      </c>
      <c r="AA411" s="6" t="s">
        <v>103</v>
      </c>
      <c r="AB411" s="6" t="s">
        <v>104</v>
      </c>
      <c r="AC411" s="6" t="s">
        <v>1648</v>
      </c>
      <c r="AD411" s="13" t="n">
        <f aca="false">IF(AC411="","",IFERROR(INDEX('INDB Full Nutrients'!$D:$D,MATCH(AC411,'INDB Full Nutrients'!$A:$A,0)),""))</f>
        <v>632.835021972656</v>
      </c>
      <c r="AE411" s="6" t="s">
        <v>576</v>
      </c>
      <c r="AF411" s="6" t="s">
        <v>577</v>
      </c>
    </row>
    <row r="412" customFormat="false" ht="15" hidden="false" customHeight="false" outlineLevel="0" collapsed="false">
      <c r="A412" s="6" t="s">
        <v>1649</v>
      </c>
      <c r="B412" s="6" t="s">
        <v>1650</v>
      </c>
      <c r="C412" s="6"/>
      <c r="D412" s="6" t="s">
        <v>54</v>
      </c>
      <c r="E412" s="6" t="s">
        <v>114</v>
      </c>
      <c r="F412" s="6" t="s">
        <v>100</v>
      </c>
      <c r="G412" s="6"/>
      <c r="H412" s="6" t="s">
        <v>603</v>
      </c>
      <c r="I412" s="6" t="s">
        <v>298</v>
      </c>
      <c r="J412" s="13" t="n">
        <f aca="false">4*K412+4*(L412-N412)+9*M412+2*N412</f>
        <v>298</v>
      </c>
      <c r="K412" s="14" t="n">
        <v>3.5</v>
      </c>
      <c r="L412" s="14" t="n">
        <v>38</v>
      </c>
      <c r="M412" s="14" t="n">
        <v>15</v>
      </c>
      <c r="N412" s="14" t="n">
        <v>1.5</v>
      </c>
      <c r="O412" s="14" t="n">
        <v>1</v>
      </c>
      <c r="P412" s="15" t="n">
        <v>350</v>
      </c>
      <c r="Q412" s="16" t="n">
        <v>30</v>
      </c>
      <c r="R412" s="16" t="n">
        <v>45</v>
      </c>
      <c r="S412" s="16" t="n">
        <v>60</v>
      </c>
      <c r="T412" s="6"/>
      <c r="U412" s="6"/>
      <c r="V412" s="13" t="n">
        <f aca="false">IF(Q412="","",J412*Q412/100)</f>
        <v>89.4</v>
      </c>
      <c r="W412" s="13" t="n">
        <f aca="false">IF(R412="","",J412*R412/100)</f>
        <v>134.1</v>
      </c>
      <c r="X412" s="13" t="n">
        <f aca="false">IF(S412="","",J412*S412/100)</f>
        <v>178.8</v>
      </c>
      <c r="Y412" s="13" t="str">
        <f aca="false">IF(T412="","",J412*T412/100)</f>
        <v/>
      </c>
      <c r="Z412" s="13" t="str">
        <f aca="false">IF(U412="","",J412*U412/100)</f>
        <v/>
      </c>
      <c r="AA412" s="6" t="s">
        <v>103</v>
      </c>
      <c r="AB412" s="6" t="s">
        <v>104</v>
      </c>
      <c r="AC412" s="6" t="s">
        <v>1651</v>
      </c>
      <c r="AD412" s="13" t="n">
        <f aca="false">IF(AC412="","",IFERROR(INDEX('INDB Full Nutrients'!$D:$D,MATCH(AC412,'INDB Full Nutrients'!$A:$A,0)),""))</f>
        <v>749.8857421875</v>
      </c>
      <c r="AE412" s="6" t="s">
        <v>740</v>
      </c>
      <c r="AF412" s="6" t="s">
        <v>577</v>
      </c>
    </row>
    <row r="413" customFormat="false" ht="15" hidden="false" customHeight="false" outlineLevel="0" collapsed="false">
      <c r="A413" s="6" t="s">
        <v>1652</v>
      </c>
      <c r="B413" s="6" t="s">
        <v>1653</v>
      </c>
      <c r="C413" s="6" t="s">
        <v>1654</v>
      </c>
      <c r="D413" s="6" t="s">
        <v>54</v>
      </c>
      <c r="E413" s="6" t="s">
        <v>161</v>
      </c>
      <c r="F413" s="6" t="s">
        <v>100</v>
      </c>
      <c r="G413" s="6"/>
      <c r="H413" s="6" t="s">
        <v>603</v>
      </c>
      <c r="I413" s="6" t="s">
        <v>298</v>
      </c>
      <c r="J413" s="13" t="n">
        <f aca="false">4*K413+4*(L413-N413)+9*M413+2*N413</f>
        <v>153.9</v>
      </c>
      <c r="K413" s="14" t="n">
        <v>5.5</v>
      </c>
      <c r="L413" s="14" t="n">
        <v>17</v>
      </c>
      <c r="M413" s="14" t="n">
        <v>7.5</v>
      </c>
      <c r="N413" s="14" t="n">
        <v>1.8</v>
      </c>
      <c r="O413" s="14" t="n">
        <v>6</v>
      </c>
      <c r="P413" s="15" t="n">
        <v>320</v>
      </c>
      <c r="Q413" s="16" t="n">
        <v>100</v>
      </c>
      <c r="R413" s="16" t="n">
        <v>150</v>
      </c>
      <c r="S413" s="16" t="n">
        <v>200</v>
      </c>
      <c r="T413" s="6"/>
      <c r="U413" s="6"/>
      <c r="V413" s="13" t="n">
        <f aca="false">IF(Q413="","",J413*Q413/100)</f>
        <v>153.9</v>
      </c>
      <c r="W413" s="13" t="n">
        <f aca="false">IF(R413="","",J413*R413/100)</f>
        <v>230.85</v>
      </c>
      <c r="X413" s="13" t="n">
        <f aca="false">IF(S413="","",J413*S413/100)</f>
        <v>307.8</v>
      </c>
      <c r="Y413" s="13" t="str">
        <f aca="false">IF(T413="","",J413*T413/100)</f>
        <v/>
      </c>
      <c r="Z413" s="13" t="str">
        <f aca="false">IF(U413="","",J413*U413/100)</f>
        <v/>
      </c>
      <c r="AA413" s="6" t="s">
        <v>103</v>
      </c>
      <c r="AB413" s="6" t="s">
        <v>104</v>
      </c>
      <c r="AC413" s="6" t="s">
        <v>1655</v>
      </c>
      <c r="AD413" s="13" t="n">
        <f aca="false">IF(AC413="","",IFERROR(INDEX('INDB Full Nutrients'!$D:$D,MATCH(AC413,'INDB Full Nutrients'!$A:$A,0)),""))</f>
        <v>667.726318359375</v>
      </c>
      <c r="AE413" s="6" t="s">
        <v>576</v>
      </c>
      <c r="AF413" s="6" t="s">
        <v>1656</v>
      </c>
    </row>
    <row r="414" customFormat="false" ht="15" hidden="false" customHeight="false" outlineLevel="0" collapsed="false">
      <c r="A414" s="6" t="s">
        <v>1657</v>
      </c>
      <c r="B414" s="6" t="s">
        <v>1658</v>
      </c>
      <c r="C414" s="6" t="s">
        <v>1659</v>
      </c>
      <c r="D414" s="6" t="s">
        <v>54</v>
      </c>
      <c r="E414" s="6" t="s">
        <v>99</v>
      </c>
      <c r="F414" s="6" t="s">
        <v>100</v>
      </c>
      <c r="G414" s="6"/>
      <c r="H414" s="6" t="s">
        <v>603</v>
      </c>
      <c r="I414" s="6" t="s">
        <v>298</v>
      </c>
      <c r="J414" s="13" t="n">
        <f aca="false">4*K414+4*(L414-N414)+9*M414+2*N414</f>
        <v>322</v>
      </c>
      <c r="K414" s="14" t="n">
        <v>4.5</v>
      </c>
      <c r="L414" s="14" t="n">
        <v>32</v>
      </c>
      <c r="M414" s="14" t="n">
        <v>20</v>
      </c>
      <c r="N414" s="14" t="n">
        <v>2</v>
      </c>
      <c r="O414" s="14" t="n">
        <v>2.5</v>
      </c>
      <c r="P414" s="15" t="n">
        <v>450</v>
      </c>
      <c r="Q414" s="16" t="n">
        <v>60</v>
      </c>
      <c r="R414" s="16" t="n">
        <v>80</v>
      </c>
      <c r="S414" s="16" t="n">
        <v>100</v>
      </c>
      <c r="T414" s="6"/>
      <c r="U414" s="6"/>
      <c r="V414" s="13" t="n">
        <f aca="false">IF(Q414="","",J414*Q414/100)</f>
        <v>193.2</v>
      </c>
      <c r="W414" s="13" t="n">
        <f aca="false">IF(R414="","",J414*R414/100)</f>
        <v>257.6</v>
      </c>
      <c r="X414" s="13" t="n">
        <f aca="false">IF(S414="","",J414*S414/100)</f>
        <v>322</v>
      </c>
      <c r="Y414" s="13" t="str">
        <f aca="false">IF(T414="","",J414*T414/100)</f>
        <v/>
      </c>
      <c r="Z414" s="13" t="str">
        <f aca="false">IF(U414="","",J414*U414/100)</f>
        <v/>
      </c>
      <c r="AA414" s="6" t="s">
        <v>103</v>
      </c>
      <c r="AB414" s="6" t="s">
        <v>104</v>
      </c>
      <c r="AC414" s="6"/>
      <c r="AD414" s="13" t="str">
        <f aca="false">IF(AC414="","",IFERROR(INDEX('INDB Full Nutrients'!$D:$D,MATCH(AC414,'INDB Full Nutrients'!$A:$A,0)),""))</f>
        <v/>
      </c>
      <c r="AE414" s="6"/>
      <c r="AF414" s="6" t="s">
        <v>1660</v>
      </c>
    </row>
    <row r="415" customFormat="false" ht="15" hidden="false" customHeight="false" outlineLevel="0" collapsed="false">
      <c r="A415" s="6" t="s">
        <v>1661</v>
      </c>
      <c r="B415" s="6" t="s">
        <v>1662</v>
      </c>
      <c r="C415" s="6"/>
      <c r="D415" s="6" t="s">
        <v>54</v>
      </c>
      <c r="E415" s="6" t="s">
        <v>99</v>
      </c>
      <c r="F415" s="6" t="s">
        <v>537</v>
      </c>
      <c r="G415" s="6"/>
      <c r="H415" s="6" t="s">
        <v>603</v>
      </c>
      <c r="I415" s="6" t="s">
        <v>298</v>
      </c>
      <c r="J415" s="13" t="n">
        <f aca="false">4*K415+4*(L415-N415)+9*M415+2*N415</f>
        <v>332</v>
      </c>
      <c r="K415" s="14" t="n">
        <v>7</v>
      </c>
      <c r="L415" s="14" t="n">
        <v>27</v>
      </c>
      <c r="M415" s="14" t="n">
        <v>22</v>
      </c>
      <c r="N415" s="14" t="n">
        <v>1</v>
      </c>
      <c r="O415" s="14" t="n">
        <v>2</v>
      </c>
      <c r="P415" s="15" t="n">
        <v>450</v>
      </c>
      <c r="Q415" s="16" t="n">
        <v>70</v>
      </c>
      <c r="R415" s="16" t="n">
        <v>90</v>
      </c>
      <c r="S415" s="16" t="n">
        <v>110</v>
      </c>
      <c r="T415" s="6"/>
      <c r="U415" s="6"/>
      <c r="V415" s="13" t="n">
        <f aca="false">IF(Q415="","",J415*Q415/100)</f>
        <v>232.4</v>
      </c>
      <c r="W415" s="13" t="n">
        <f aca="false">IF(R415="","",J415*R415/100)</f>
        <v>298.8</v>
      </c>
      <c r="X415" s="13" t="n">
        <f aca="false">IF(S415="","",J415*S415/100)</f>
        <v>365.2</v>
      </c>
      <c r="Y415" s="13" t="str">
        <f aca="false">IF(T415="","",J415*T415/100)</f>
        <v/>
      </c>
      <c r="Z415" s="13" t="str">
        <f aca="false">IF(U415="","",J415*U415/100)</f>
        <v/>
      </c>
      <c r="AA415" s="6" t="s">
        <v>103</v>
      </c>
      <c r="AB415" s="6" t="s">
        <v>104</v>
      </c>
      <c r="AC415" s="6"/>
      <c r="AD415" s="13" t="str">
        <f aca="false">IF(AC415="","",IFERROR(INDEX('INDB Full Nutrients'!$D:$D,MATCH(AC415,'INDB Full Nutrients'!$A:$A,0)),""))</f>
        <v/>
      </c>
      <c r="AE415" s="6"/>
      <c r="AF415" s="6"/>
    </row>
    <row r="416" customFormat="false" ht="15" hidden="false" customHeight="false" outlineLevel="0" collapsed="false">
      <c r="A416" s="6" t="s">
        <v>1663</v>
      </c>
      <c r="B416" s="6" t="s">
        <v>1664</v>
      </c>
      <c r="C416" s="6"/>
      <c r="D416" s="6" t="s">
        <v>54</v>
      </c>
      <c r="E416" s="6" t="s">
        <v>99</v>
      </c>
      <c r="F416" s="6" t="s">
        <v>569</v>
      </c>
      <c r="G416" s="6"/>
      <c r="H416" s="6" t="s">
        <v>603</v>
      </c>
      <c r="I416" s="6" t="s">
        <v>298</v>
      </c>
      <c r="J416" s="13" t="n">
        <f aca="false">4*K416+4*(L416-N416)+9*M416+2*N416</f>
        <v>318</v>
      </c>
      <c r="K416" s="14" t="n">
        <v>9</v>
      </c>
      <c r="L416" s="14" t="n">
        <v>26</v>
      </c>
      <c r="M416" s="14" t="n">
        <v>20</v>
      </c>
      <c r="N416" s="14" t="n">
        <v>1</v>
      </c>
      <c r="O416" s="14" t="n">
        <v>2</v>
      </c>
      <c r="P416" s="15" t="n">
        <v>480</v>
      </c>
      <c r="Q416" s="16" t="n">
        <v>70</v>
      </c>
      <c r="R416" s="16" t="n">
        <v>90</v>
      </c>
      <c r="S416" s="16" t="n">
        <v>110</v>
      </c>
      <c r="T416" s="6"/>
      <c r="U416" s="6"/>
      <c r="V416" s="13" t="n">
        <f aca="false">IF(Q416="","",J416*Q416/100)</f>
        <v>222.6</v>
      </c>
      <c r="W416" s="13" t="n">
        <f aca="false">IF(R416="","",J416*R416/100)</f>
        <v>286.2</v>
      </c>
      <c r="X416" s="13" t="n">
        <f aca="false">IF(S416="","",J416*S416/100)</f>
        <v>349.8</v>
      </c>
      <c r="Y416" s="13" t="str">
        <f aca="false">IF(T416="","",J416*T416/100)</f>
        <v/>
      </c>
      <c r="Z416" s="13" t="str">
        <f aca="false">IF(U416="","",J416*U416/100)</f>
        <v/>
      </c>
      <c r="AA416" s="6" t="s">
        <v>103</v>
      </c>
      <c r="AB416" s="6" t="s">
        <v>104</v>
      </c>
      <c r="AC416" s="6"/>
      <c r="AD416" s="13" t="str">
        <f aca="false">IF(AC416="","",IFERROR(INDEX('INDB Full Nutrients'!$D:$D,MATCH(AC416,'INDB Full Nutrients'!$A:$A,0)),""))</f>
        <v/>
      </c>
      <c r="AE416" s="6"/>
      <c r="AF416" s="6"/>
    </row>
    <row r="417" customFormat="false" ht="15" hidden="false" customHeight="false" outlineLevel="0" collapsed="false">
      <c r="A417" s="6" t="s">
        <v>1665</v>
      </c>
      <c r="B417" s="6" t="s">
        <v>1666</v>
      </c>
      <c r="C417" s="6"/>
      <c r="D417" s="6" t="s">
        <v>54</v>
      </c>
      <c r="E417" s="6" t="s">
        <v>99</v>
      </c>
      <c r="F417" s="6" t="s">
        <v>100</v>
      </c>
      <c r="G417" s="6"/>
      <c r="H417" s="6" t="s">
        <v>603</v>
      </c>
      <c r="I417" s="6" t="s">
        <v>298</v>
      </c>
      <c r="J417" s="13" t="n">
        <f aca="false">4*K417+4*(L417-N417)+9*M417+2*N417</f>
        <v>229</v>
      </c>
      <c r="K417" s="14" t="n">
        <v>6</v>
      </c>
      <c r="L417" s="14" t="n">
        <v>30</v>
      </c>
      <c r="M417" s="14" t="n">
        <v>10</v>
      </c>
      <c r="N417" s="14" t="n">
        <v>2.5</v>
      </c>
      <c r="O417" s="14" t="n">
        <v>5</v>
      </c>
      <c r="P417" s="15" t="n">
        <v>500</v>
      </c>
      <c r="Q417" s="16" t="n">
        <v>120</v>
      </c>
      <c r="R417" s="16" t="n">
        <v>150</v>
      </c>
      <c r="S417" s="16" t="n">
        <v>200</v>
      </c>
      <c r="T417" s="6"/>
      <c r="U417" s="6"/>
      <c r="V417" s="13" t="n">
        <f aca="false">IF(Q417="","",J417*Q417/100)</f>
        <v>274.8</v>
      </c>
      <c r="W417" s="13" t="n">
        <f aca="false">IF(R417="","",J417*R417/100)</f>
        <v>343.5</v>
      </c>
      <c r="X417" s="13" t="n">
        <f aca="false">IF(S417="","",J417*S417/100)</f>
        <v>458</v>
      </c>
      <c r="Y417" s="13" t="str">
        <f aca="false">IF(T417="","",J417*T417/100)</f>
        <v/>
      </c>
      <c r="Z417" s="13" t="str">
        <f aca="false">IF(U417="","",J417*U417/100)</f>
        <v/>
      </c>
      <c r="AA417" s="6" t="s">
        <v>103</v>
      </c>
      <c r="AB417" s="6" t="s">
        <v>104</v>
      </c>
      <c r="AC417" s="6" t="s">
        <v>1667</v>
      </c>
      <c r="AD417" s="13" t="n">
        <f aca="false">IF(AC417="","",IFERROR(INDEX('INDB Full Nutrients'!$D:$D,MATCH(AC417,'INDB Full Nutrients'!$A:$A,0)),""))</f>
        <v>519.931091308594</v>
      </c>
      <c r="AE417" s="6" t="s">
        <v>628</v>
      </c>
      <c r="AF417" s="6"/>
    </row>
    <row r="418" customFormat="false" ht="15" hidden="false" customHeight="false" outlineLevel="0" collapsed="false">
      <c r="A418" s="6" t="s">
        <v>1668</v>
      </c>
      <c r="B418" s="6" t="s">
        <v>1669</v>
      </c>
      <c r="C418" s="6" t="s">
        <v>1670</v>
      </c>
      <c r="D418" s="6" t="s">
        <v>55</v>
      </c>
      <c r="E418" s="6" t="s">
        <v>99</v>
      </c>
      <c r="F418" s="6" t="s">
        <v>100</v>
      </c>
      <c r="G418" s="6" t="s">
        <v>124</v>
      </c>
      <c r="H418" s="6" t="s">
        <v>603</v>
      </c>
      <c r="I418" s="6" t="s">
        <v>298</v>
      </c>
      <c r="J418" s="13" t="n">
        <f aca="false">4*K418+4*(L418-N418)+9*M418+2*N418</f>
        <v>145.1</v>
      </c>
      <c r="K418" s="14" t="n">
        <v>3</v>
      </c>
      <c r="L418" s="14" t="n">
        <v>22</v>
      </c>
      <c r="M418" s="14" t="n">
        <v>5.5</v>
      </c>
      <c r="N418" s="14" t="n">
        <v>2.2</v>
      </c>
      <c r="O418" s="14" t="n">
        <v>4</v>
      </c>
      <c r="P418" s="15" t="n">
        <v>500</v>
      </c>
      <c r="Q418" s="16" t="n">
        <v>100</v>
      </c>
      <c r="R418" s="16" t="n">
        <v>150</v>
      </c>
      <c r="S418" s="16" t="n">
        <v>250</v>
      </c>
      <c r="T418" s="6"/>
      <c r="U418" s="6"/>
      <c r="V418" s="13" t="n">
        <f aca="false">IF(Q418="","",J418*Q418/100)</f>
        <v>145.1</v>
      </c>
      <c r="W418" s="13" t="n">
        <f aca="false">IF(R418="","",J418*R418/100)</f>
        <v>217.65</v>
      </c>
      <c r="X418" s="13" t="n">
        <f aca="false">IF(S418="","",J418*S418/100)</f>
        <v>362.75</v>
      </c>
      <c r="Y418" s="13" t="str">
        <f aca="false">IF(T418="","",J418*T418/100)</f>
        <v/>
      </c>
      <c r="Z418" s="13" t="str">
        <f aca="false">IF(U418="","",J418*U418/100)</f>
        <v/>
      </c>
      <c r="AA418" s="6" t="s">
        <v>103</v>
      </c>
      <c r="AB418" s="6" t="s">
        <v>104</v>
      </c>
      <c r="AC418" s="6"/>
      <c r="AD418" s="13" t="str">
        <f aca="false">IF(AC418="","",IFERROR(INDEX('INDB Full Nutrients'!$D:$D,MATCH(AC418,'INDB Full Nutrients'!$A:$A,0)),""))</f>
        <v/>
      </c>
      <c r="AE418" s="6"/>
      <c r="AF418" s="6" t="s">
        <v>1671</v>
      </c>
    </row>
    <row r="419" customFormat="false" ht="15" hidden="false" customHeight="false" outlineLevel="0" collapsed="false">
      <c r="A419" s="6" t="s">
        <v>1672</v>
      </c>
      <c r="B419" s="6" t="s">
        <v>1673</v>
      </c>
      <c r="C419" s="6" t="s">
        <v>1674</v>
      </c>
      <c r="D419" s="6" t="s">
        <v>55</v>
      </c>
      <c r="E419" s="6" t="s">
        <v>114</v>
      </c>
      <c r="F419" s="6" t="s">
        <v>100</v>
      </c>
      <c r="G419" s="6"/>
      <c r="H419" s="6" t="s">
        <v>603</v>
      </c>
      <c r="I419" s="6" t="s">
        <v>298</v>
      </c>
      <c r="J419" s="13" t="n">
        <f aca="false">4*K419+4*(L419-N419)+9*M419+2*N419</f>
        <v>248.3</v>
      </c>
      <c r="K419" s="14" t="n">
        <v>5.5</v>
      </c>
      <c r="L419" s="14" t="n">
        <v>41</v>
      </c>
      <c r="M419" s="14" t="n">
        <v>7.5</v>
      </c>
      <c r="N419" s="14" t="n">
        <v>2.6</v>
      </c>
      <c r="O419" s="14" t="n">
        <v>6</v>
      </c>
      <c r="P419" s="15" t="n">
        <v>450</v>
      </c>
      <c r="Q419" s="16" t="n">
        <v>100</v>
      </c>
      <c r="R419" s="16" t="n">
        <v>150</v>
      </c>
      <c r="S419" s="16" t="n">
        <v>200</v>
      </c>
      <c r="T419" s="6"/>
      <c r="U419" s="6"/>
      <c r="V419" s="13" t="n">
        <f aca="false">IF(Q419="","",J419*Q419/100)</f>
        <v>248.3</v>
      </c>
      <c r="W419" s="13" t="n">
        <f aca="false">IF(R419="","",J419*R419/100)</f>
        <v>372.45</v>
      </c>
      <c r="X419" s="13" t="n">
        <f aca="false">IF(S419="","",J419*S419/100)</f>
        <v>496.6</v>
      </c>
      <c r="Y419" s="13" t="str">
        <f aca="false">IF(T419="","",J419*T419/100)</f>
        <v/>
      </c>
      <c r="Z419" s="13" t="str">
        <f aca="false">IF(U419="","",J419*U419/100)</f>
        <v/>
      </c>
      <c r="AA419" s="6" t="s">
        <v>103</v>
      </c>
      <c r="AB419" s="6" t="s">
        <v>104</v>
      </c>
      <c r="AC419" s="6" t="s">
        <v>1675</v>
      </c>
      <c r="AD419" s="13" t="n">
        <f aca="false">IF(AC419="","",IFERROR(INDEX('INDB Full Nutrients'!$D:$D,MATCH(AC419,'INDB Full Nutrients'!$A:$A,0)),""))</f>
        <v>509.886962890625</v>
      </c>
      <c r="AE419" s="6" t="s">
        <v>740</v>
      </c>
      <c r="AF419" s="6" t="s">
        <v>1676</v>
      </c>
    </row>
    <row r="420" customFormat="false" ht="15" hidden="false" customHeight="false" outlineLevel="0" collapsed="false">
      <c r="A420" s="6" t="s">
        <v>1677</v>
      </c>
      <c r="B420" s="6" t="s">
        <v>1678</v>
      </c>
      <c r="C420" s="6"/>
      <c r="D420" s="6" t="s">
        <v>55</v>
      </c>
      <c r="E420" s="6" t="s">
        <v>205</v>
      </c>
      <c r="F420" s="6" t="s">
        <v>100</v>
      </c>
      <c r="G420" s="6" t="s">
        <v>124</v>
      </c>
      <c r="H420" s="6" t="s">
        <v>603</v>
      </c>
      <c r="I420" s="6" t="s">
        <v>298</v>
      </c>
      <c r="J420" s="13" t="n">
        <f aca="false">4*K420+4*(L420-N420)+9*M420+2*N420</f>
        <v>300.1</v>
      </c>
      <c r="K420" s="14" t="n">
        <v>6.5</v>
      </c>
      <c r="L420" s="14" t="n">
        <v>44</v>
      </c>
      <c r="M420" s="14" t="n">
        <v>11.5</v>
      </c>
      <c r="N420" s="14" t="n">
        <v>2.7</v>
      </c>
      <c r="O420" s="14" t="n">
        <v>2</v>
      </c>
      <c r="P420" s="15" t="n">
        <v>400</v>
      </c>
      <c r="Q420" s="16" t="n">
        <v>50</v>
      </c>
      <c r="R420" s="16" t="n">
        <v>80</v>
      </c>
      <c r="S420" s="16" t="n">
        <v>120</v>
      </c>
      <c r="T420" s="6"/>
      <c r="U420" s="6"/>
      <c r="V420" s="13" t="n">
        <f aca="false">IF(Q420="","",J420*Q420/100)</f>
        <v>150.05</v>
      </c>
      <c r="W420" s="13" t="n">
        <f aca="false">IF(R420="","",J420*R420/100)</f>
        <v>240.08</v>
      </c>
      <c r="X420" s="13" t="n">
        <f aca="false">IF(S420="","",J420*S420/100)</f>
        <v>360.12</v>
      </c>
      <c r="Y420" s="13" t="str">
        <f aca="false">IF(T420="","",J420*T420/100)</f>
        <v/>
      </c>
      <c r="Z420" s="13" t="str">
        <f aca="false">IF(U420="","",J420*U420/100)</f>
        <v/>
      </c>
      <c r="AA420" s="6" t="s">
        <v>103</v>
      </c>
      <c r="AB420" s="6" t="s">
        <v>104</v>
      </c>
      <c r="AC420" s="6"/>
      <c r="AD420" s="13" t="str">
        <f aca="false">IF(AC420="","",IFERROR(INDEX('INDB Full Nutrients'!$D:$D,MATCH(AC420,'INDB Full Nutrients'!$A:$A,0)),""))</f>
        <v/>
      </c>
      <c r="AE420" s="6"/>
      <c r="AF420" s="6" t="s">
        <v>1679</v>
      </c>
    </row>
    <row r="421" customFormat="false" ht="15" hidden="false" customHeight="false" outlineLevel="0" collapsed="false">
      <c r="A421" s="6" t="s">
        <v>1680</v>
      </c>
      <c r="B421" s="6" t="s">
        <v>1681</v>
      </c>
      <c r="C421" s="6"/>
      <c r="D421" s="6" t="s">
        <v>55</v>
      </c>
      <c r="E421" s="6" t="s">
        <v>114</v>
      </c>
      <c r="F421" s="6" t="s">
        <v>100</v>
      </c>
      <c r="G421" s="6"/>
      <c r="H421" s="6" t="s">
        <v>603</v>
      </c>
      <c r="I421" s="6" t="s">
        <v>298</v>
      </c>
      <c r="J421" s="13" t="n">
        <f aca="false">4*K421+4*(L421-N421)+9*M421+2*N421</f>
        <v>244</v>
      </c>
      <c r="K421" s="14" t="n">
        <v>5</v>
      </c>
      <c r="L421" s="14" t="n">
        <v>28</v>
      </c>
      <c r="M421" s="14" t="n">
        <v>13</v>
      </c>
      <c r="N421" s="14" t="n">
        <v>2.5</v>
      </c>
      <c r="O421" s="14" t="n">
        <v>6</v>
      </c>
      <c r="P421" s="15" t="n">
        <v>500</v>
      </c>
      <c r="Q421" s="16" t="n">
        <v>80</v>
      </c>
      <c r="R421" s="16" t="n">
        <v>120</v>
      </c>
      <c r="S421" s="16" t="n">
        <v>180</v>
      </c>
      <c r="T421" s="6"/>
      <c r="U421" s="6"/>
      <c r="V421" s="13" t="n">
        <f aca="false">IF(Q421="","",J421*Q421/100)</f>
        <v>195.2</v>
      </c>
      <c r="W421" s="13" t="n">
        <f aca="false">IF(R421="","",J421*R421/100)</f>
        <v>292.8</v>
      </c>
      <c r="X421" s="13" t="n">
        <f aca="false">IF(S421="","",J421*S421/100)</f>
        <v>439.2</v>
      </c>
      <c r="Y421" s="13" t="str">
        <f aca="false">IF(T421="","",J421*T421/100)</f>
        <v/>
      </c>
      <c r="Z421" s="13" t="str">
        <f aca="false">IF(U421="","",J421*U421/100)</f>
        <v/>
      </c>
      <c r="AA421" s="6" t="s">
        <v>103</v>
      </c>
      <c r="AB421" s="6" t="s">
        <v>104</v>
      </c>
      <c r="AC421" s="6"/>
      <c r="AD421" s="13" t="str">
        <f aca="false">IF(AC421="","",IFERROR(INDEX('INDB Full Nutrients'!$D:$D,MATCH(AC421,'INDB Full Nutrients'!$A:$A,0)),""))</f>
        <v/>
      </c>
      <c r="AE421" s="6"/>
      <c r="AF421" s="6"/>
    </row>
    <row r="422" customFormat="false" ht="15" hidden="false" customHeight="false" outlineLevel="0" collapsed="false">
      <c r="A422" s="6" t="s">
        <v>1682</v>
      </c>
      <c r="B422" s="6" t="s">
        <v>1683</v>
      </c>
      <c r="C422" s="6"/>
      <c r="D422" s="6" t="s">
        <v>55</v>
      </c>
      <c r="E422" s="6" t="s">
        <v>114</v>
      </c>
      <c r="F422" s="6" t="s">
        <v>100</v>
      </c>
      <c r="G422" s="6"/>
      <c r="H422" s="6" t="s">
        <v>603</v>
      </c>
      <c r="I422" s="6" t="s">
        <v>298</v>
      </c>
      <c r="J422" s="13" t="n">
        <f aca="false">4*K422+4*(L422-N422)+9*M422+2*N422</f>
        <v>186</v>
      </c>
      <c r="K422" s="14" t="n">
        <v>4.5</v>
      </c>
      <c r="L422" s="14" t="n">
        <v>25</v>
      </c>
      <c r="M422" s="14" t="n">
        <v>8</v>
      </c>
      <c r="N422" s="14" t="n">
        <v>2</v>
      </c>
      <c r="O422" s="14" t="n">
        <v>7</v>
      </c>
      <c r="P422" s="15" t="n">
        <v>450</v>
      </c>
      <c r="Q422" s="16" t="n">
        <v>100</v>
      </c>
      <c r="R422" s="16" t="n">
        <v>150</v>
      </c>
      <c r="S422" s="16" t="n">
        <v>225</v>
      </c>
      <c r="T422" s="6"/>
      <c r="U422" s="6"/>
      <c r="V422" s="13" t="n">
        <f aca="false">IF(Q422="","",J422*Q422/100)</f>
        <v>186</v>
      </c>
      <c r="W422" s="13" t="n">
        <f aca="false">IF(R422="","",J422*R422/100)</f>
        <v>279</v>
      </c>
      <c r="X422" s="13" t="n">
        <f aca="false">IF(S422="","",J422*S422/100)</f>
        <v>418.5</v>
      </c>
      <c r="Y422" s="13" t="str">
        <f aca="false">IF(T422="","",J422*T422/100)</f>
        <v/>
      </c>
      <c r="Z422" s="13" t="str">
        <f aca="false">IF(U422="","",J422*U422/100)</f>
        <v/>
      </c>
      <c r="AA422" s="6" t="s">
        <v>103</v>
      </c>
      <c r="AB422" s="6" t="s">
        <v>104</v>
      </c>
      <c r="AC422" s="6"/>
      <c r="AD422" s="13" t="str">
        <f aca="false">IF(AC422="","",IFERROR(INDEX('INDB Full Nutrients'!$D:$D,MATCH(AC422,'INDB Full Nutrients'!$A:$A,0)),""))</f>
        <v/>
      </c>
      <c r="AE422" s="6"/>
      <c r="AF422" s="6"/>
    </row>
    <row r="423" customFormat="false" ht="15" hidden="false" customHeight="false" outlineLevel="0" collapsed="false">
      <c r="A423" s="6" t="s">
        <v>1684</v>
      </c>
      <c r="B423" s="6" t="s">
        <v>1685</v>
      </c>
      <c r="C423" s="6"/>
      <c r="D423" s="6" t="s">
        <v>55</v>
      </c>
      <c r="E423" s="6" t="s">
        <v>161</v>
      </c>
      <c r="F423" s="6" t="s">
        <v>100</v>
      </c>
      <c r="G423" s="6"/>
      <c r="H423" s="6" t="s">
        <v>603</v>
      </c>
      <c r="I423" s="6" t="s">
        <v>298</v>
      </c>
      <c r="J423" s="13" t="n">
        <f aca="false">4*K423+4*(L423-N423)+9*M423+2*N423</f>
        <v>209</v>
      </c>
      <c r="K423" s="14" t="n">
        <v>5</v>
      </c>
      <c r="L423" s="14" t="n">
        <v>26</v>
      </c>
      <c r="M423" s="14" t="n">
        <v>10</v>
      </c>
      <c r="N423" s="14" t="n">
        <v>2.5</v>
      </c>
      <c r="O423" s="14" t="n">
        <v>7</v>
      </c>
      <c r="P423" s="15" t="n">
        <v>500</v>
      </c>
      <c r="Q423" s="16" t="n">
        <v>100</v>
      </c>
      <c r="R423" s="16" t="n">
        <v>150</v>
      </c>
      <c r="S423" s="16" t="n">
        <v>200</v>
      </c>
      <c r="T423" s="6"/>
      <c r="U423" s="6"/>
      <c r="V423" s="13" t="n">
        <f aca="false">IF(Q423="","",J423*Q423/100)</f>
        <v>209</v>
      </c>
      <c r="W423" s="13" t="n">
        <f aca="false">IF(R423="","",J423*R423/100)</f>
        <v>313.5</v>
      </c>
      <c r="X423" s="13" t="n">
        <f aca="false">IF(S423="","",J423*S423/100)</f>
        <v>418</v>
      </c>
      <c r="Y423" s="13" t="str">
        <f aca="false">IF(T423="","",J423*T423/100)</f>
        <v/>
      </c>
      <c r="Z423" s="13" t="str">
        <f aca="false">IF(U423="","",J423*U423/100)</f>
        <v/>
      </c>
      <c r="AA423" s="6" t="s">
        <v>103</v>
      </c>
      <c r="AB423" s="6" t="s">
        <v>104</v>
      </c>
      <c r="AC423" s="6"/>
      <c r="AD423" s="13" t="str">
        <f aca="false">IF(AC423="","",IFERROR(INDEX('INDB Full Nutrients'!$D:$D,MATCH(AC423,'INDB Full Nutrients'!$A:$A,0)),""))</f>
        <v/>
      </c>
      <c r="AE423" s="6"/>
      <c r="AF423" s="6"/>
    </row>
    <row r="424" customFormat="false" ht="15" hidden="false" customHeight="false" outlineLevel="0" collapsed="false">
      <c r="A424" s="6" t="s">
        <v>1686</v>
      </c>
      <c r="B424" s="6" t="s">
        <v>1687</v>
      </c>
      <c r="C424" s="6"/>
      <c r="D424" s="6" t="s">
        <v>55</v>
      </c>
      <c r="E424" s="6" t="s">
        <v>161</v>
      </c>
      <c r="F424" s="6" t="s">
        <v>100</v>
      </c>
      <c r="G424" s="6"/>
      <c r="H424" s="6" t="s">
        <v>603</v>
      </c>
      <c r="I424" s="6" t="s">
        <v>298</v>
      </c>
      <c r="J424" s="13" t="n">
        <f aca="false">4*K424+4*(L424-N424)+9*M424+2*N424</f>
        <v>171</v>
      </c>
      <c r="K424" s="14" t="n">
        <v>4.5</v>
      </c>
      <c r="L424" s="14" t="n">
        <v>22</v>
      </c>
      <c r="M424" s="14" t="n">
        <v>8</v>
      </c>
      <c r="N424" s="14" t="n">
        <v>3.5</v>
      </c>
      <c r="O424" s="14" t="n">
        <v>5</v>
      </c>
      <c r="P424" s="15" t="n">
        <v>450</v>
      </c>
      <c r="Q424" s="16" t="n">
        <v>100</v>
      </c>
      <c r="R424" s="16" t="n">
        <v>150</v>
      </c>
      <c r="S424" s="16" t="n">
        <v>200</v>
      </c>
      <c r="T424" s="6"/>
      <c r="U424" s="6"/>
      <c r="V424" s="13" t="n">
        <f aca="false">IF(Q424="","",J424*Q424/100)</f>
        <v>171</v>
      </c>
      <c r="W424" s="13" t="n">
        <f aca="false">IF(R424="","",J424*R424/100)</f>
        <v>256.5</v>
      </c>
      <c r="X424" s="13" t="n">
        <f aca="false">IF(S424="","",J424*S424/100)</f>
        <v>342</v>
      </c>
      <c r="Y424" s="13" t="str">
        <f aca="false">IF(T424="","",J424*T424/100)</f>
        <v/>
      </c>
      <c r="Z424" s="13" t="str">
        <f aca="false">IF(U424="","",J424*U424/100)</f>
        <v/>
      </c>
      <c r="AA424" s="6" t="s">
        <v>103</v>
      </c>
      <c r="AB424" s="6" t="s">
        <v>104</v>
      </c>
      <c r="AC424" s="6"/>
      <c r="AD424" s="13" t="str">
        <f aca="false">IF(AC424="","",IFERROR(INDEX('INDB Full Nutrients'!$D:$D,MATCH(AC424,'INDB Full Nutrients'!$A:$A,0)),""))</f>
        <v/>
      </c>
      <c r="AE424" s="6"/>
      <c r="AF424" s="6" t="s">
        <v>1688</v>
      </c>
    </row>
    <row r="425" customFormat="false" ht="15" hidden="false" customHeight="false" outlineLevel="0" collapsed="false">
      <c r="A425" s="6" t="s">
        <v>1689</v>
      </c>
      <c r="B425" s="6" t="s">
        <v>1690</v>
      </c>
      <c r="C425" s="6"/>
      <c r="D425" s="6" t="s">
        <v>55</v>
      </c>
      <c r="E425" s="6" t="s">
        <v>161</v>
      </c>
      <c r="F425" s="6" t="s">
        <v>100</v>
      </c>
      <c r="G425" s="6"/>
      <c r="H425" s="6" t="s">
        <v>603</v>
      </c>
      <c r="I425" s="6" t="s">
        <v>298</v>
      </c>
      <c r="J425" s="13" t="n">
        <f aca="false">4*K425+4*(L425-N425)+9*M425+2*N425</f>
        <v>208</v>
      </c>
      <c r="K425" s="14" t="n">
        <v>5</v>
      </c>
      <c r="L425" s="14" t="n">
        <v>24</v>
      </c>
      <c r="M425" s="14" t="n">
        <v>11</v>
      </c>
      <c r="N425" s="14" t="n">
        <v>3.5</v>
      </c>
      <c r="O425" s="14" t="n">
        <v>5</v>
      </c>
      <c r="P425" s="15" t="n">
        <v>450</v>
      </c>
      <c r="Q425" s="16" t="n">
        <v>100</v>
      </c>
      <c r="R425" s="16" t="n">
        <v>150</v>
      </c>
      <c r="S425" s="16" t="n">
        <v>200</v>
      </c>
      <c r="T425" s="6"/>
      <c r="U425" s="6"/>
      <c r="V425" s="13" t="n">
        <f aca="false">IF(Q425="","",J425*Q425/100)</f>
        <v>208</v>
      </c>
      <c r="W425" s="13" t="n">
        <f aca="false">IF(R425="","",J425*R425/100)</f>
        <v>312</v>
      </c>
      <c r="X425" s="13" t="n">
        <f aca="false">IF(S425="","",J425*S425/100)</f>
        <v>416</v>
      </c>
      <c r="Y425" s="13" t="str">
        <f aca="false">IF(T425="","",J425*T425/100)</f>
        <v/>
      </c>
      <c r="Z425" s="13" t="str">
        <f aca="false">IF(U425="","",J425*U425/100)</f>
        <v/>
      </c>
      <c r="AA425" s="6" t="s">
        <v>103</v>
      </c>
      <c r="AB425" s="6" t="s">
        <v>104</v>
      </c>
      <c r="AC425" s="6"/>
      <c r="AD425" s="13" t="str">
        <f aca="false">IF(AC425="","",IFERROR(INDEX('INDB Full Nutrients'!$D:$D,MATCH(AC425,'INDB Full Nutrients'!$A:$A,0)),""))</f>
        <v/>
      </c>
      <c r="AE425" s="6"/>
      <c r="AF425" s="6"/>
    </row>
    <row r="426" customFormat="false" ht="15" hidden="false" customHeight="false" outlineLevel="0" collapsed="false">
      <c r="A426" s="6" t="s">
        <v>1691</v>
      </c>
      <c r="B426" s="6" t="s">
        <v>1692</v>
      </c>
      <c r="C426" s="6"/>
      <c r="D426" s="6" t="s">
        <v>55</v>
      </c>
      <c r="E426" s="6" t="s">
        <v>161</v>
      </c>
      <c r="F426" s="6" t="s">
        <v>100</v>
      </c>
      <c r="G426" s="6"/>
      <c r="H426" s="6" t="s">
        <v>603</v>
      </c>
      <c r="I426" s="6" t="s">
        <v>298</v>
      </c>
      <c r="J426" s="13" t="n">
        <f aca="false">4*K426+4*(L426-N426)+9*M426+2*N426</f>
        <v>212</v>
      </c>
      <c r="K426" s="14" t="n">
        <v>6</v>
      </c>
      <c r="L426" s="14" t="n">
        <v>24</v>
      </c>
      <c r="M426" s="14" t="n">
        <v>11</v>
      </c>
      <c r="N426" s="14" t="n">
        <v>3.5</v>
      </c>
      <c r="O426" s="14" t="n">
        <v>6</v>
      </c>
      <c r="P426" s="15" t="n">
        <v>450</v>
      </c>
      <c r="Q426" s="16" t="n">
        <v>150</v>
      </c>
      <c r="R426" s="16" t="n">
        <v>200</v>
      </c>
      <c r="S426" s="16" t="n">
        <v>250</v>
      </c>
      <c r="T426" s="6"/>
      <c r="U426" s="6"/>
      <c r="V426" s="13" t="n">
        <f aca="false">IF(Q426="","",J426*Q426/100)</f>
        <v>318</v>
      </c>
      <c r="W426" s="13" t="n">
        <f aca="false">IF(R426="","",J426*R426/100)</f>
        <v>424</v>
      </c>
      <c r="X426" s="13" t="n">
        <f aca="false">IF(S426="","",J426*S426/100)</f>
        <v>530</v>
      </c>
      <c r="Y426" s="13" t="str">
        <f aca="false">IF(T426="","",J426*T426/100)</f>
        <v/>
      </c>
      <c r="Z426" s="13" t="str">
        <f aca="false">IF(U426="","",J426*U426/100)</f>
        <v/>
      </c>
      <c r="AA426" s="6" t="s">
        <v>103</v>
      </c>
      <c r="AB426" s="6" t="s">
        <v>104</v>
      </c>
      <c r="AC426" s="6"/>
      <c r="AD426" s="13" t="str">
        <f aca="false">IF(AC426="","",IFERROR(INDEX('INDB Full Nutrients'!$D:$D,MATCH(AC426,'INDB Full Nutrients'!$A:$A,0)),""))</f>
        <v/>
      </c>
      <c r="AE426" s="6"/>
      <c r="AF426" s="6"/>
    </row>
    <row r="427" customFormat="false" ht="15" hidden="false" customHeight="false" outlineLevel="0" collapsed="false">
      <c r="A427" s="6" t="s">
        <v>1693</v>
      </c>
      <c r="B427" s="6" t="s">
        <v>1694</v>
      </c>
      <c r="C427" s="6"/>
      <c r="D427" s="6" t="s">
        <v>55</v>
      </c>
      <c r="E427" s="6" t="s">
        <v>114</v>
      </c>
      <c r="F427" s="6" t="s">
        <v>100</v>
      </c>
      <c r="G427" s="6" t="s">
        <v>124</v>
      </c>
      <c r="H427" s="6" t="s">
        <v>603</v>
      </c>
      <c r="I427" s="6" t="s">
        <v>298</v>
      </c>
      <c r="J427" s="13" t="n">
        <f aca="false">4*K427+4*(L427-N427)+9*M427+2*N427</f>
        <v>145</v>
      </c>
      <c r="K427" s="14" t="n">
        <v>4.5</v>
      </c>
      <c r="L427" s="14" t="n">
        <v>20</v>
      </c>
      <c r="M427" s="14" t="n">
        <v>6</v>
      </c>
      <c r="N427" s="14" t="n">
        <v>3.5</v>
      </c>
      <c r="O427" s="14" t="n">
        <v>3.5</v>
      </c>
      <c r="P427" s="15" t="n">
        <v>420</v>
      </c>
      <c r="Q427" s="16" t="n">
        <v>100</v>
      </c>
      <c r="R427" s="16" t="n">
        <v>150</v>
      </c>
      <c r="S427" s="16" t="n">
        <v>200</v>
      </c>
      <c r="T427" s="6"/>
      <c r="U427" s="6"/>
      <c r="V427" s="13" t="n">
        <f aca="false">IF(Q427="","",J427*Q427/100)</f>
        <v>145</v>
      </c>
      <c r="W427" s="13" t="n">
        <f aca="false">IF(R427="","",J427*R427/100)</f>
        <v>217.5</v>
      </c>
      <c r="X427" s="13" t="n">
        <f aca="false">IF(S427="","",J427*S427/100)</f>
        <v>290</v>
      </c>
      <c r="Y427" s="13" t="str">
        <f aca="false">IF(T427="","",J427*T427/100)</f>
        <v/>
      </c>
      <c r="Z427" s="13" t="str">
        <f aca="false">IF(U427="","",J427*U427/100)</f>
        <v/>
      </c>
      <c r="AA427" s="6" t="s">
        <v>103</v>
      </c>
      <c r="AB427" s="6" t="s">
        <v>104</v>
      </c>
      <c r="AC427" s="6"/>
      <c r="AD427" s="13" t="str">
        <f aca="false">IF(AC427="","",IFERROR(INDEX('INDB Full Nutrients'!$D:$D,MATCH(AC427,'INDB Full Nutrients'!$A:$A,0)),""))</f>
        <v/>
      </c>
      <c r="AE427" s="6"/>
      <c r="AF427" s="6"/>
    </row>
    <row r="428" customFormat="false" ht="15" hidden="false" customHeight="false" outlineLevel="0" collapsed="false">
      <c r="A428" s="6" t="s">
        <v>1695</v>
      </c>
      <c r="B428" s="6" t="s">
        <v>1696</v>
      </c>
      <c r="C428" s="6"/>
      <c r="D428" s="6" t="s">
        <v>55</v>
      </c>
      <c r="E428" s="6" t="s">
        <v>114</v>
      </c>
      <c r="F428" s="6" t="s">
        <v>100</v>
      </c>
      <c r="G428" s="6" t="s">
        <v>124</v>
      </c>
      <c r="H428" s="6" t="s">
        <v>603</v>
      </c>
      <c r="I428" s="6" t="s">
        <v>298</v>
      </c>
      <c r="J428" s="13" t="n">
        <f aca="false">4*K428+4*(L428-N428)+9*M428+2*N428</f>
        <v>250.9</v>
      </c>
      <c r="K428" s="14" t="n">
        <v>5.7</v>
      </c>
      <c r="L428" s="14" t="n">
        <v>34.4</v>
      </c>
      <c r="M428" s="14" t="n">
        <v>10.7</v>
      </c>
      <c r="N428" s="14" t="n">
        <v>2.9</v>
      </c>
      <c r="O428" s="14" t="n">
        <v>3</v>
      </c>
      <c r="P428" s="15" t="n">
        <v>500</v>
      </c>
      <c r="Q428" s="16" t="n">
        <v>110</v>
      </c>
      <c r="R428" s="16" t="n">
        <v>140</v>
      </c>
      <c r="S428" s="16" t="n">
        <v>170</v>
      </c>
      <c r="T428" s="6"/>
      <c r="U428" s="6"/>
      <c r="V428" s="13" t="n">
        <f aca="false">IF(Q428="","",J428*Q428/100)</f>
        <v>275.99</v>
      </c>
      <c r="W428" s="13" t="n">
        <f aca="false">IF(R428="","",J428*R428/100)</f>
        <v>351.26</v>
      </c>
      <c r="X428" s="13" t="n">
        <f aca="false">IF(S428="","",J428*S428/100)</f>
        <v>426.53</v>
      </c>
      <c r="Y428" s="13" t="str">
        <f aca="false">IF(T428="","",J428*T428/100)</f>
        <v/>
      </c>
      <c r="Z428" s="13" t="str">
        <f aca="false">IF(U428="","",J428*U428/100)</f>
        <v/>
      </c>
      <c r="AA428" s="6" t="s">
        <v>103</v>
      </c>
      <c r="AB428" s="6" t="s">
        <v>104</v>
      </c>
      <c r="AC428" s="6"/>
      <c r="AD428" s="13" t="str">
        <f aca="false">IF(AC428="","",IFERROR(INDEX('INDB Full Nutrients'!$D:$D,MATCH(AC428,'INDB Full Nutrients'!$A:$A,0)),""))</f>
        <v/>
      </c>
      <c r="AE428" s="6"/>
      <c r="AF428" s="6" t="s">
        <v>1697</v>
      </c>
    </row>
    <row r="429" customFormat="false" ht="15" hidden="false" customHeight="false" outlineLevel="0" collapsed="false">
      <c r="A429" s="6" t="s">
        <v>1698</v>
      </c>
      <c r="B429" s="6" t="s">
        <v>1699</v>
      </c>
      <c r="C429" s="6" t="s">
        <v>1700</v>
      </c>
      <c r="D429" s="6" t="s">
        <v>55</v>
      </c>
      <c r="E429" s="6" t="s">
        <v>114</v>
      </c>
      <c r="F429" s="6" t="s">
        <v>100</v>
      </c>
      <c r="G429" s="6"/>
      <c r="H429" s="6" t="s">
        <v>603</v>
      </c>
      <c r="I429" s="6" t="s">
        <v>298</v>
      </c>
      <c r="J429" s="13" t="n">
        <f aca="false">4*K429+4*(L429-N429)+9*M429+2*N429</f>
        <v>239</v>
      </c>
      <c r="K429" s="14" t="n">
        <v>5</v>
      </c>
      <c r="L429" s="14" t="n">
        <v>36</v>
      </c>
      <c r="M429" s="14" t="n">
        <v>9</v>
      </c>
      <c r="N429" s="14" t="n">
        <v>3</v>
      </c>
      <c r="O429" s="14" t="n">
        <v>9</v>
      </c>
      <c r="P429" s="15" t="n">
        <v>450</v>
      </c>
      <c r="Q429" s="16" t="n">
        <v>100</v>
      </c>
      <c r="R429" s="16" t="n">
        <v>130</v>
      </c>
      <c r="S429" s="16" t="n">
        <v>160</v>
      </c>
      <c r="T429" s="6"/>
      <c r="U429" s="6"/>
      <c r="V429" s="13" t="n">
        <f aca="false">IF(Q429="","",J429*Q429/100)</f>
        <v>239</v>
      </c>
      <c r="W429" s="13" t="n">
        <f aca="false">IF(R429="","",J429*R429/100)</f>
        <v>310.7</v>
      </c>
      <c r="X429" s="13" t="n">
        <f aca="false">IF(S429="","",J429*S429/100)</f>
        <v>382.4</v>
      </c>
      <c r="Y429" s="13" t="str">
        <f aca="false">IF(T429="","",J429*T429/100)</f>
        <v/>
      </c>
      <c r="Z429" s="13" t="str">
        <f aca="false">IF(U429="","",J429*U429/100)</f>
        <v/>
      </c>
      <c r="AA429" s="6" t="s">
        <v>103</v>
      </c>
      <c r="AB429" s="6" t="s">
        <v>104</v>
      </c>
      <c r="AC429" s="6"/>
      <c r="AD429" s="13" t="str">
        <f aca="false">IF(AC429="","",IFERROR(INDEX('INDB Full Nutrients'!$D:$D,MATCH(AC429,'INDB Full Nutrients'!$A:$A,0)),""))</f>
        <v/>
      </c>
      <c r="AE429" s="6"/>
      <c r="AF429" s="6"/>
    </row>
    <row r="430" customFormat="false" ht="15" hidden="false" customHeight="false" outlineLevel="0" collapsed="false">
      <c r="A430" s="6" t="s">
        <v>1701</v>
      </c>
      <c r="B430" s="6" t="s">
        <v>1702</v>
      </c>
      <c r="C430" s="6" t="s">
        <v>1703</v>
      </c>
      <c r="D430" s="6" t="s">
        <v>55</v>
      </c>
      <c r="E430" s="6" t="s">
        <v>205</v>
      </c>
      <c r="F430" s="6" t="s">
        <v>100</v>
      </c>
      <c r="G430" s="6"/>
      <c r="H430" s="6" t="s">
        <v>603</v>
      </c>
      <c r="I430" s="6" t="s">
        <v>298</v>
      </c>
      <c r="J430" s="13" t="n">
        <f aca="false">4*K430+4*(L430-N430)+9*M430+2*N430</f>
        <v>231</v>
      </c>
      <c r="K430" s="14" t="n">
        <v>9</v>
      </c>
      <c r="L430" s="14" t="n">
        <v>25</v>
      </c>
      <c r="M430" s="14" t="n">
        <v>11</v>
      </c>
      <c r="N430" s="14" t="n">
        <v>2</v>
      </c>
      <c r="O430" s="14" t="n">
        <v>2.5</v>
      </c>
      <c r="P430" s="15" t="n">
        <v>500</v>
      </c>
      <c r="Q430" s="16" t="n">
        <v>150</v>
      </c>
      <c r="R430" s="16" t="n">
        <v>200</v>
      </c>
      <c r="S430" s="16" t="n">
        <v>250</v>
      </c>
      <c r="T430" s="6"/>
      <c r="U430" s="6"/>
      <c r="V430" s="13" t="n">
        <f aca="false">IF(Q430="","",J430*Q430/100)</f>
        <v>346.5</v>
      </c>
      <c r="W430" s="13" t="n">
        <f aca="false">IF(R430="","",J430*R430/100)</f>
        <v>462</v>
      </c>
      <c r="X430" s="13" t="n">
        <f aca="false">IF(S430="","",J430*S430/100)</f>
        <v>577.5</v>
      </c>
      <c r="Y430" s="13" t="str">
        <f aca="false">IF(T430="","",J430*T430/100)</f>
        <v/>
      </c>
      <c r="Z430" s="13" t="str">
        <f aca="false">IF(U430="","",J430*U430/100)</f>
        <v/>
      </c>
      <c r="AA430" s="6" t="s">
        <v>125</v>
      </c>
      <c r="AB430" s="6" t="s">
        <v>147</v>
      </c>
      <c r="AC430" s="6" t="s">
        <v>1704</v>
      </c>
      <c r="AD430" s="13" t="n">
        <f aca="false">IF(AC430="","",IFERROR(INDEX('INDB Full Nutrients'!$D:$D,MATCH(AC430,'INDB Full Nutrients'!$A:$A,0)),""))</f>
        <v>285.942138671875</v>
      </c>
      <c r="AE430" s="6" t="s">
        <v>1705</v>
      </c>
      <c r="AF430" s="6"/>
    </row>
    <row r="431" customFormat="false" ht="15" hidden="false" customHeight="false" outlineLevel="0" collapsed="false">
      <c r="A431" s="6" t="s">
        <v>1706</v>
      </c>
      <c r="B431" s="6" t="s">
        <v>1707</v>
      </c>
      <c r="C431" s="6" t="s">
        <v>1708</v>
      </c>
      <c r="D431" s="6" t="s">
        <v>55</v>
      </c>
      <c r="E431" s="6" t="s">
        <v>205</v>
      </c>
      <c r="F431" s="6" t="s">
        <v>569</v>
      </c>
      <c r="G431" s="6"/>
      <c r="H431" s="6" t="s">
        <v>603</v>
      </c>
      <c r="I431" s="6" t="s">
        <v>298</v>
      </c>
      <c r="J431" s="13" t="n">
        <f aca="false">4*K431+4*(L431-N431)+9*M431+2*N431</f>
        <v>226.8</v>
      </c>
      <c r="K431" s="14" t="n">
        <v>12</v>
      </c>
      <c r="L431" s="14" t="n">
        <v>23</v>
      </c>
      <c r="M431" s="14" t="n">
        <v>10</v>
      </c>
      <c r="N431" s="14" t="n">
        <v>1.6</v>
      </c>
      <c r="O431" s="14" t="n">
        <v>2</v>
      </c>
      <c r="P431" s="15" t="n">
        <v>550</v>
      </c>
      <c r="Q431" s="16" t="n">
        <v>150</v>
      </c>
      <c r="R431" s="16" t="n">
        <v>200</v>
      </c>
      <c r="S431" s="16" t="n">
        <v>250</v>
      </c>
      <c r="T431" s="6"/>
      <c r="U431" s="6"/>
      <c r="V431" s="13" t="n">
        <f aca="false">IF(Q431="","",J431*Q431/100)</f>
        <v>340.2</v>
      </c>
      <c r="W431" s="13" t="n">
        <f aca="false">IF(R431="","",J431*R431/100)</f>
        <v>453.6</v>
      </c>
      <c r="X431" s="13" t="n">
        <f aca="false">IF(S431="","",J431*S431/100)</f>
        <v>567</v>
      </c>
      <c r="Y431" s="13" t="str">
        <f aca="false">IF(T431="","",J431*T431/100)</f>
        <v/>
      </c>
      <c r="Z431" s="13" t="str">
        <f aca="false">IF(U431="","",J431*U431/100)</f>
        <v/>
      </c>
      <c r="AA431" s="6" t="s">
        <v>103</v>
      </c>
      <c r="AB431" s="6" t="s">
        <v>104</v>
      </c>
      <c r="AC431" s="6"/>
      <c r="AD431" s="13" t="str">
        <f aca="false">IF(AC431="","",IFERROR(INDEX('INDB Full Nutrients'!$D:$D,MATCH(AC431,'INDB Full Nutrients'!$A:$A,0)),""))</f>
        <v/>
      </c>
      <c r="AE431" s="6"/>
      <c r="AF431" s="6"/>
    </row>
    <row r="432" customFormat="false" ht="15" hidden="false" customHeight="false" outlineLevel="0" collapsed="false">
      <c r="A432" s="6" t="s">
        <v>1709</v>
      </c>
      <c r="B432" s="6" t="s">
        <v>1710</v>
      </c>
      <c r="C432" s="6" t="s">
        <v>1711</v>
      </c>
      <c r="D432" s="6" t="s">
        <v>55</v>
      </c>
      <c r="E432" s="6" t="s">
        <v>205</v>
      </c>
      <c r="F432" s="6" t="s">
        <v>537</v>
      </c>
      <c r="G432" s="6"/>
      <c r="H432" s="6" t="s">
        <v>603</v>
      </c>
      <c r="I432" s="6" t="s">
        <v>298</v>
      </c>
      <c r="J432" s="13" t="n">
        <f aca="false">4*K432+4*(L432-N432)+9*M432+2*N432</f>
        <v>239</v>
      </c>
      <c r="K432" s="14" t="n">
        <v>8.5</v>
      </c>
      <c r="L432" s="14" t="n">
        <v>25</v>
      </c>
      <c r="M432" s="14" t="n">
        <v>12</v>
      </c>
      <c r="N432" s="14" t="n">
        <v>1.5</v>
      </c>
      <c r="O432" s="14" t="n">
        <v>2</v>
      </c>
      <c r="P432" s="15" t="n">
        <v>450</v>
      </c>
      <c r="Q432" s="16" t="n">
        <v>120</v>
      </c>
      <c r="R432" s="16" t="n">
        <v>160</v>
      </c>
      <c r="S432" s="16" t="n">
        <v>220</v>
      </c>
      <c r="T432" s="6"/>
      <c r="U432" s="6"/>
      <c r="V432" s="13" t="n">
        <f aca="false">IF(Q432="","",J432*Q432/100)</f>
        <v>286.8</v>
      </c>
      <c r="W432" s="13" t="n">
        <f aca="false">IF(R432="","",J432*R432/100)</f>
        <v>382.4</v>
      </c>
      <c r="X432" s="13" t="n">
        <f aca="false">IF(S432="","",J432*S432/100)</f>
        <v>525.8</v>
      </c>
      <c r="Y432" s="13" t="str">
        <f aca="false">IF(T432="","",J432*T432/100)</f>
        <v/>
      </c>
      <c r="Z432" s="13" t="str">
        <f aca="false">IF(U432="","",J432*U432/100)</f>
        <v/>
      </c>
      <c r="AA432" s="6" t="s">
        <v>103</v>
      </c>
      <c r="AB432" s="6" t="s">
        <v>104</v>
      </c>
      <c r="AC432" s="6"/>
      <c r="AD432" s="13" t="str">
        <f aca="false">IF(AC432="","",IFERROR(INDEX('INDB Full Nutrients'!$D:$D,MATCH(AC432,'INDB Full Nutrients'!$A:$A,0)),""))</f>
        <v/>
      </c>
      <c r="AE432" s="6"/>
      <c r="AF432" s="6"/>
    </row>
    <row r="433" customFormat="false" ht="15" hidden="false" customHeight="false" outlineLevel="0" collapsed="false">
      <c r="A433" s="6" t="s">
        <v>1712</v>
      </c>
      <c r="B433" s="6" t="s">
        <v>1713</v>
      </c>
      <c r="C433" s="6" t="s">
        <v>1714</v>
      </c>
      <c r="D433" s="6" t="s">
        <v>55</v>
      </c>
      <c r="E433" s="6" t="s">
        <v>99</v>
      </c>
      <c r="F433" s="6" t="s">
        <v>569</v>
      </c>
      <c r="G433" s="6"/>
      <c r="H433" s="6" t="s">
        <v>603</v>
      </c>
      <c r="I433" s="6" t="s">
        <v>298</v>
      </c>
      <c r="J433" s="13" t="n">
        <f aca="false">4*K433+4*(L433-N433)+9*M433+2*N433</f>
        <v>224</v>
      </c>
      <c r="K433" s="14" t="n">
        <v>12</v>
      </c>
      <c r="L433" s="14" t="n">
        <v>20</v>
      </c>
      <c r="M433" s="14" t="n">
        <v>11</v>
      </c>
      <c r="N433" s="14" t="n">
        <v>1.5</v>
      </c>
      <c r="O433" s="14" t="n">
        <v>2</v>
      </c>
      <c r="P433" s="15" t="n">
        <v>600</v>
      </c>
      <c r="Q433" s="16" t="n">
        <v>150</v>
      </c>
      <c r="R433" s="16" t="n">
        <v>200</v>
      </c>
      <c r="S433" s="16" t="n">
        <v>280</v>
      </c>
      <c r="T433" s="6"/>
      <c r="U433" s="6"/>
      <c r="V433" s="13" t="n">
        <f aca="false">IF(Q433="","",J433*Q433/100)</f>
        <v>336</v>
      </c>
      <c r="W433" s="13" t="n">
        <f aca="false">IF(R433="","",J433*R433/100)</f>
        <v>448</v>
      </c>
      <c r="X433" s="13" t="n">
        <f aca="false">IF(S433="","",J433*S433/100)</f>
        <v>627.2</v>
      </c>
      <c r="Y433" s="13" t="str">
        <f aca="false">IF(T433="","",J433*T433/100)</f>
        <v/>
      </c>
      <c r="Z433" s="13" t="str">
        <f aca="false">IF(U433="","",J433*U433/100)</f>
        <v/>
      </c>
      <c r="AA433" s="6" t="s">
        <v>103</v>
      </c>
      <c r="AB433" s="6" t="s">
        <v>104</v>
      </c>
      <c r="AC433" s="6"/>
      <c r="AD433" s="13" t="str">
        <f aca="false">IF(AC433="","",IFERROR(INDEX('INDB Full Nutrients'!$D:$D,MATCH(AC433,'INDB Full Nutrients'!$A:$A,0)),""))</f>
        <v/>
      </c>
      <c r="AE433" s="6"/>
      <c r="AF433" s="6"/>
    </row>
    <row r="434" customFormat="false" ht="15" hidden="false" customHeight="false" outlineLevel="0" collapsed="false">
      <c r="A434" s="6" t="s">
        <v>1715</v>
      </c>
      <c r="B434" s="6" t="s">
        <v>1716</v>
      </c>
      <c r="C434" s="6" t="s">
        <v>1717</v>
      </c>
      <c r="D434" s="6" t="s">
        <v>55</v>
      </c>
      <c r="E434" s="6" t="s">
        <v>99</v>
      </c>
      <c r="F434" s="6" t="s">
        <v>100</v>
      </c>
      <c r="G434" s="6"/>
      <c r="H434" s="6" t="s">
        <v>603</v>
      </c>
      <c r="I434" s="6" t="s">
        <v>298</v>
      </c>
      <c r="J434" s="13" t="n">
        <f aca="false">4*K434+4*(L434-N434)+9*M434+2*N434</f>
        <v>124.1</v>
      </c>
      <c r="K434" s="14" t="n">
        <v>3.4</v>
      </c>
      <c r="L434" s="14" t="n">
        <v>21</v>
      </c>
      <c r="M434" s="14" t="n">
        <v>3.5</v>
      </c>
      <c r="N434" s="14" t="n">
        <v>2.5</v>
      </c>
      <c r="O434" s="14" t="n">
        <v>4.5</v>
      </c>
      <c r="P434" s="15" t="n">
        <v>250</v>
      </c>
      <c r="Q434" s="16" t="n">
        <v>100</v>
      </c>
      <c r="R434" s="16" t="n">
        <v>150</v>
      </c>
      <c r="S434" s="16" t="n">
        <v>200</v>
      </c>
      <c r="T434" s="6"/>
      <c r="U434" s="6"/>
      <c r="V434" s="13" t="n">
        <f aca="false">IF(Q434="","",J434*Q434/100)</f>
        <v>124.1</v>
      </c>
      <c r="W434" s="13" t="n">
        <f aca="false">IF(R434="","",J434*R434/100)</f>
        <v>186.15</v>
      </c>
      <c r="X434" s="13" t="n">
        <f aca="false">IF(S434="","",J434*S434/100)</f>
        <v>248.2</v>
      </c>
      <c r="Y434" s="13" t="str">
        <f aca="false">IF(T434="","",J434*T434/100)</f>
        <v/>
      </c>
      <c r="Z434" s="13" t="str">
        <f aca="false">IF(U434="","",J434*U434/100)</f>
        <v/>
      </c>
      <c r="AA434" s="6" t="s">
        <v>103</v>
      </c>
      <c r="AB434" s="6" t="s">
        <v>104</v>
      </c>
      <c r="AC434" s="6"/>
      <c r="AD434" s="13" t="str">
        <f aca="false">IF(AC434="","",IFERROR(INDEX('INDB Full Nutrients'!$D:$D,MATCH(AC434,'INDB Full Nutrients'!$A:$A,0)),""))</f>
        <v/>
      </c>
      <c r="AE434" s="6"/>
      <c r="AF434" s="6" t="s">
        <v>1718</v>
      </c>
    </row>
    <row r="435" customFormat="false" ht="15" hidden="false" customHeight="false" outlineLevel="0" collapsed="false">
      <c r="A435" s="6" t="s">
        <v>1719</v>
      </c>
      <c r="B435" s="6" t="s">
        <v>1720</v>
      </c>
      <c r="C435" s="6" t="s">
        <v>1721</v>
      </c>
      <c r="D435" s="6" t="s">
        <v>55</v>
      </c>
      <c r="E435" s="6" t="s">
        <v>99</v>
      </c>
      <c r="F435" s="6" t="s">
        <v>100</v>
      </c>
      <c r="G435" s="6" t="s">
        <v>124</v>
      </c>
      <c r="H435" s="6" t="s">
        <v>603</v>
      </c>
      <c r="I435" s="6" t="s">
        <v>298</v>
      </c>
      <c r="J435" s="13" t="n">
        <f aca="false">4*K435+4*(L435-N435)+9*M435+2*N435</f>
        <v>69</v>
      </c>
      <c r="K435" s="14" t="n">
        <v>4.5</v>
      </c>
      <c r="L435" s="14" t="n">
        <v>12</v>
      </c>
      <c r="M435" s="14" t="n">
        <v>1</v>
      </c>
      <c r="N435" s="14" t="n">
        <v>3</v>
      </c>
      <c r="O435" s="14" t="n">
        <v>3</v>
      </c>
      <c r="P435" s="15" t="n">
        <v>250</v>
      </c>
      <c r="Q435" s="16" t="n">
        <v>100</v>
      </c>
      <c r="R435" s="16" t="n">
        <v>150</v>
      </c>
      <c r="S435" s="16" t="n">
        <v>200</v>
      </c>
      <c r="T435" s="6"/>
      <c r="U435" s="6"/>
      <c r="V435" s="13" t="n">
        <f aca="false">IF(Q435="","",J435*Q435/100)</f>
        <v>69</v>
      </c>
      <c r="W435" s="13" t="n">
        <f aca="false">IF(R435="","",J435*R435/100)</f>
        <v>103.5</v>
      </c>
      <c r="X435" s="13" t="n">
        <f aca="false">IF(S435="","",J435*S435/100)</f>
        <v>138</v>
      </c>
      <c r="Y435" s="13" t="str">
        <f aca="false">IF(T435="","",J435*T435/100)</f>
        <v/>
      </c>
      <c r="Z435" s="13" t="str">
        <f aca="false">IF(U435="","",J435*U435/100)</f>
        <v/>
      </c>
      <c r="AA435" s="6" t="s">
        <v>103</v>
      </c>
      <c r="AB435" s="6" t="s">
        <v>104</v>
      </c>
      <c r="AC435" s="6" t="s">
        <v>1722</v>
      </c>
      <c r="AD435" s="13" t="n">
        <f aca="false">IF(AC435="","",IFERROR(INDEX('INDB Full Nutrients'!$D:$D,MATCH(AC435,'INDB Full Nutrients'!$A:$A,0)),""))</f>
        <v>32.473762512207</v>
      </c>
      <c r="AE435" s="6" t="s">
        <v>1723</v>
      </c>
      <c r="AF435" s="6"/>
    </row>
    <row r="436" customFormat="false" ht="15" hidden="false" customHeight="false" outlineLevel="0" collapsed="false">
      <c r="A436" s="6" t="s">
        <v>1724</v>
      </c>
      <c r="B436" s="6" t="s">
        <v>1725</v>
      </c>
      <c r="C436" s="6"/>
      <c r="D436" s="6" t="s">
        <v>55</v>
      </c>
      <c r="E436" s="6" t="s">
        <v>161</v>
      </c>
      <c r="F436" s="6" t="s">
        <v>100</v>
      </c>
      <c r="G436" s="6" t="s">
        <v>124</v>
      </c>
      <c r="H436" s="6" t="s">
        <v>603</v>
      </c>
      <c r="I436" s="6" t="s">
        <v>298</v>
      </c>
      <c r="J436" s="13" t="n">
        <f aca="false">4*K436+4*(L436-N436)+9*M436+2*N436</f>
        <v>122.5</v>
      </c>
      <c r="K436" s="14" t="n">
        <v>7</v>
      </c>
      <c r="L436" s="14" t="n">
        <v>21</v>
      </c>
      <c r="M436" s="14" t="n">
        <v>2.5</v>
      </c>
      <c r="N436" s="14" t="n">
        <v>6</v>
      </c>
      <c r="O436" s="14" t="n">
        <v>3</v>
      </c>
      <c r="P436" s="15" t="n">
        <v>300</v>
      </c>
      <c r="Q436" s="16" t="n">
        <v>100</v>
      </c>
      <c r="R436" s="16" t="n">
        <v>150</v>
      </c>
      <c r="S436" s="16" t="n">
        <v>200</v>
      </c>
      <c r="T436" s="6"/>
      <c r="U436" s="6"/>
      <c r="V436" s="13" t="n">
        <f aca="false">IF(Q436="","",J436*Q436/100)</f>
        <v>122.5</v>
      </c>
      <c r="W436" s="13" t="n">
        <f aca="false">IF(R436="","",J436*R436/100)</f>
        <v>183.75</v>
      </c>
      <c r="X436" s="13" t="n">
        <f aca="false">IF(S436="","",J436*S436/100)</f>
        <v>245</v>
      </c>
      <c r="Y436" s="13" t="str">
        <f aca="false">IF(T436="","",J436*T436/100)</f>
        <v/>
      </c>
      <c r="Z436" s="13" t="str">
        <f aca="false">IF(U436="","",J436*U436/100)</f>
        <v/>
      </c>
      <c r="AA436" s="6" t="s">
        <v>103</v>
      </c>
      <c r="AB436" s="6" t="s">
        <v>104</v>
      </c>
      <c r="AC436" s="6"/>
      <c r="AD436" s="13" t="str">
        <f aca="false">IF(AC436="","",IFERROR(INDEX('INDB Full Nutrients'!$D:$D,MATCH(AC436,'INDB Full Nutrients'!$A:$A,0)),""))</f>
        <v/>
      </c>
      <c r="AE436" s="6"/>
      <c r="AF436" s="6"/>
    </row>
    <row r="437" customFormat="false" ht="15" hidden="false" customHeight="false" outlineLevel="0" collapsed="false">
      <c r="A437" s="6" t="s">
        <v>1726</v>
      </c>
      <c r="B437" s="6" t="s">
        <v>1727</v>
      </c>
      <c r="C437" s="6" t="s">
        <v>1728</v>
      </c>
      <c r="D437" s="6" t="s">
        <v>55</v>
      </c>
      <c r="E437" s="6" t="s">
        <v>99</v>
      </c>
      <c r="F437" s="6" t="s">
        <v>100</v>
      </c>
      <c r="G437" s="6" t="s">
        <v>124</v>
      </c>
      <c r="H437" s="6" t="s">
        <v>603</v>
      </c>
      <c r="I437" s="6" t="s">
        <v>298</v>
      </c>
      <c r="J437" s="13" t="n">
        <f aca="false">4*K437+4*(L437-N437)+9*M437+2*N437</f>
        <v>214</v>
      </c>
      <c r="K437" s="14" t="n">
        <v>10</v>
      </c>
      <c r="L437" s="14" t="n">
        <v>12</v>
      </c>
      <c r="M437" s="14" t="n">
        <v>15</v>
      </c>
      <c r="N437" s="14" t="n">
        <v>4.5</v>
      </c>
      <c r="O437" s="14" t="n">
        <v>2.5</v>
      </c>
      <c r="P437" s="15" t="n">
        <v>250</v>
      </c>
      <c r="Q437" s="16" t="n">
        <v>100</v>
      </c>
      <c r="R437" s="16" t="n">
        <v>150</v>
      </c>
      <c r="S437" s="16" t="n">
        <v>200</v>
      </c>
      <c r="T437" s="6"/>
      <c r="U437" s="6"/>
      <c r="V437" s="13" t="n">
        <f aca="false">IF(Q437="","",J437*Q437/100)</f>
        <v>214</v>
      </c>
      <c r="W437" s="13" t="n">
        <f aca="false">IF(R437="","",J437*R437/100)</f>
        <v>321</v>
      </c>
      <c r="X437" s="13" t="n">
        <f aca="false">IF(S437="","",J437*S437/100)</f>
        <v>428</v>
      </c>
      <c r="Y437" s="13" t="str">
        <f aca="false">IF(T437="","",J437*T437/100)</f>
        <v/>
      </c>
      <c r="Z437" s="13" t="str">
        <f aca="false">IF(U437="","",J437*U437/100)</f>
        <v/>
      </c>
      <c r="AA437" s="6" t="s">
        <v>103</v>
      </c>
      <c r="AB437" s="6" t="s">
        <v>104</v>
      </c>
      <c r="AC437" s="6"/>
      <c r="AD437" s="13" t="str">
        <f aca="false">IF(AC437="","",IFERROR(INDEX('INDB Full Nutrients'!$D:$D,MATCH(AC437,'INDB Full Nutrients'!$A:$A,0)),""))</f>
        <v/>
      </c>
      <c r="AE437" s="6"/>
      <c r="AF437" s="6"/>
    </row>
    <row r="438" customFormat="false" ht="15" hidden="false" customHeight="false" outlineLevel="0" collapsed="false">
      <c r="A438" s="6" t="s">
        <v>1729</v>
      </c>
      <c r="B438" s="6" t="s">
        <v>1730</v>
      </c>
      <c r="C438" s="6" t="s">
        <v>1731</v>
      </c>
      <c r="D438" s="6" t="s">
        <v>55</v>
      </c>
      <c r="E438" s="6" t="s">
        <v>161</v>
      </c>
      <c r="F438" s="6" t="s">
        <v>100</v>
      </c>
      <c r="G438" s="6" t="s">
        <v>124</v>
      </c>
      <c r="H438" s="6" t="s">
        <v>603</v>
      </c>
      <c r="I438" s="6" t="s">
        <v>298</v>
      </c>
      <c r="J438" s="13" t="n">
        <f aca="false">4*K438+4*(L438-N438)+9*M438+2*N438</f>
        <v>61.5</v>
      </c>
      <c r="K438" s="14" t="n">
        <v>0.7</v>
      </c>
      <c r="L438" s="14" t="n">
        <v>15</v>
      </c>
      <c r="M438" s="14" t="n">
        <v>0.3</v>
      </c>
      <c r="N438" s="14" t="n">
        <v>2</v>
      </c>
      <c r="O438" s="14" t="n">
        <v>11.5</v>
      </c>
      <c r="P438" s="15" t="n">
        <v>250</v>
      </c>
      <c r="Q438" s="16" t="n">
        <v>100</v>
      </c>
      <c r="R438" s="16" t="n">
        <v>150</v>
      </c>
      <c r="S438" s="16" t="n">
        <v>200</v>
      </c>
      <c r="T438" s="6"/>
      <c r="U438" s="6"/>
      <c r="V438" s="13" t="n">
        <f aca="false">IF(Q438="","",J438*Q438/100)</f>
        <v>61.5</v>
      </c>
      <c r="W438" s="13" t="n">
        <f aca="false">IF(R438="","",J438*R438/100)</f>
        <v>92.25</v>
      </c>
      <c r="X438" s="13" t="n">
        <f aca="false">IF(S438="","",J438*S438/100)</f>
        <v>123</v>
      </c>
      <c r="Y438" s="13" t="str">
        <f aca="false">IF(T438="","",J438*T438/100)</f>
        <v/>
      </c>
      <c r="Z438" s="13" t="str">
        <f aca="false">IF(U438="","",J438*U438/100)</f>
        <v/>
      </c>
      <c r="AA438" s="6" t="s">
        <v>103</v>
      </c>
      <c r="AB438" s="6" t="s">
        <v>104</v>
      </c>
      <c r="AC438" s="6"/>
      <c r="AD438" s="13" t="str">
        <f aca="false">IF(AC438="","",IFERROR(INDEX('INDB Full Nutrients'!$D:$D,MATCH(AC438,'INDB Full Nutrients'!$A:$A,0)),""))</f>
        <v/>
      </c>
      <c r="AE438" s="6"/>
      <c r="AF438" s="6"/>
    </row>
    <row r="439" customFormat="false" ht="15" hidden="false" customHeight="false" outlineLevel="0" collapsed="false">
      <c r="A439" s="6" t="s">
        <v>1732</v>
      </c>
      <c r="B439" s="6" t="s">
        <v>1733</v>
      </c>
      <c r="C439" s="6" t="s">
        <v>1734</v>
      </c>
      <c r="D439" s="6" t="s">
        <v>55</v>
      </c>
      <c r="E439" s="6" t="s">
        <v>99</v>
      </c>
      <c r="F439" s="6" t="s">
        <v>100</v>
      </c>
      <c r="G439" s="6" t="s">
        <v>124</v>
      </c>
      <c r="H439" s="6" t="s">
        <v>603</v>
      </c>
      <c r="I439" s="6" t="s">
        <v>298</v>
      </c>
      <c r="J439" s="13" t="n">
        <f aca="false">4*K439+4*(L439-N439)+9*M439+2*N439</f>
        <v>142.6</v>
      </c>
      <c r="K439" s="14" t="n">
        <v>5</v>
      </c>
      <c r="L439" s="14" t="n">
        <v>25</v>
      </c>
      <c r="M439" s="14" t="n">
        <v>3</v>
      </c>
      <c r="N439" s="14" t="n">
        <v>2.2</v>
      </c>
      <c r="O439" s="14" t="n">
        <v>1.5</v>
      </c>
      <c r="P439" s="15" t="n">
        <v>400</v>
      </c>
      <c r="Q439" s="16" t="n">
        <v>100</v>
      </c>
      <c r="R439" s="16" t="n">
        <v>150</v>
      </c>
      <c r="S439" s="16" t="n">
        <v>250</v>
      </c>
      <c r="T439" s="6"/>
      <c r="U439" s="6"/>
      <c r="V439" s="13" t="n">
        <f aca="false">IF(Q439="","",J439*Q439/100)</f>
        <v>142.6</v>
      </c>
      <c r="W439" s="13" t="n">
        <f aca="false">IF(R439="","",J439*R439/100)</f>
        <v>213.9</v>
      </c>
      <c r="X439" s="13" t="n">
        <f aca="false">IF(S439="","",J439*S439/100)</f>
        <v>356.5</v>
      </c>
      <c r="Y439" s="13" t="str">
        <f aca="false">IF(T439="","",J439*T439/100)</f>
        <v/>
      </c>
      <c r="Z439" s="13" t="str">
        <f aca="false">IF(U439="","",J439*U439/100)</f>
        <v/>
      </c>
      <c r="AA439" s="6" t="s">
        <v>103</v>
      </c>
      <c r="AB439" s="6" t="s">
        <v>104</v>
      </c>
      <c r="AC439" s="6"/>
      <c r="AD439" s="13" t="str">
        <f aca="false">IF(AC439="","",IFERROR(INDEX('INDB Full Nutrients'!$D:$D,MATCH(AC439,'INDB Full Nutrients'!$A:$A,0)),""))</f>
        <v/>
      </c>
      <c r="AE439" s="6"/>
      <c r="AF439" s="6" t="s">
        <v>1735</v>
      </c>
    </row>
    <row r="440" customFormat="false" ht="15" hidden="false" customHeight="false" outlineLevel="0" collapsed="false">
      <c r="A440" s="6" t="s">
        <v>1736</v>
      </c>
      <c r="B440" s="6" t="s">
        <v>1737</v>
      </c>
      <c r="C440" s="6"/>
      <c r="D440" s="6" t="s">
        <v>55</v>
      </c>
      <c r="E440" s="6" t="s">
        <v>99</v>
      </c>
      <c r="F440" s="6" t="s">
        <v>100</v>
      </c>
      <c r="G440" s="6" t="s">
        <v>124</v>
      </c>
      <c r="H440" s="6" t="s">
        <v>603</v>
      </c>
      <c r="I440" s="6" t="s">
        <v>298</v>
      </c>
      <c r="J440" s="13" t="n">
        <f aca="false">4*K440+4*(L440-N440)+9*M440+2*N440</f>
        <v>218.6</v>
      </c>
      <c r="K440" s="14" t="n">
        <v>5</v>
      </c>
      <c r="L440" s="14" t="n">
        <v>26</v>
      </c>
      <c r="M440" s="14" t="n">
        <v>11</v>
      </c>
      <c r="N440" s="14" t="n">
        <v>2.2</v>
      </c>
      <c r="O440" s="14" t="n">
        <v>1.5</v>
      </c>
      <c r="P440" s="15" t="n">
        <v>420</v>
      </c>
      <c r="Q440" s="16" t="n">
        <v>100</v>
      </c>
      <c r="R440" s="16" t="n">
        <v>150</v>
      </c>
      <c r="S440" s="16" t="n">
        <v>250</v>
      </c>
      <c r="T440" s="6"/>
      <c r="U440" s="6"/>
      <c r="V440" s="13" t="n">
        <f aca="false">IF(Q440="","",J440*Q440/100)</f>
        <v>218.6</v>
      </c>
      <c r="W440" s="13" t="n">
        <f aca="false">IF(R440="","",J440*R440/100)</f>
        <v>327.9</v>
      </c>
      <c r="X440" s="13" t="n">
        <f aca="false">IF(S440="","",J440*S440/100)</f>
        <v>546.5</v>
      </c>
      <c r="Y440" s="13" t="str">
        <f aca="false">IF(T440="","",J440*T440/100)</f>
        <v/>
      </c>
      <c r="Z440" s="13" t="str">
        <f aca="false">IF(U440="","",J440*U440/100)</f>
        <v/>
      </c>
      <c r="AA440" s="6" t="s">
        <v>103</v>
      </c>
      <c r="AB440" s="6" t="s">
        <v>104</v>
      </c>
      <c r="AC440" s="6"/>
      <c r="AD440" s="13" t="str">
        <f aca="false">IF(AC440="","",IFERROR(INDEX('INDB Full Nutrients'!$D:$D,MATCH(AC440,'INDB Full Nutrients'!$A:$A,0)),""))</f>
        <v/>
      </c>
      <c r="AE440" s="6"/>
      <c r="AF440" s="6"/>
    </row>
    <row r="441" customFormat="false" ht="15" hidden="false" customHeight="false" outlineLevel="0" collapsed="false">
      <c r="A441" s="6" t="s">
        <v>1738</v>
      </c>
      <c r="B441" s="6" t="s">
        <v>1739</v>
      </c>
      <c r="C441" s="6"/>
      <c r="D441" s="6" t="s">
        <v>55</v>
      </c>
      <c r="E441" s="6" t="s">
        <v>99</v>
      </c>
      <c r="F441" s="6" t="s">
        <v>100</v>
      </c>
      <c r="G441" s="6"/>
      <c r="H441" s="6" t="s">
        <v>603</v>
      </c>
      <c r="I441" s="6" t="s">
        <v>298</v>
      </c>
      <c r="J441" s="13" t="n">
        <f aca="false">4*K441+4*(L441-N441)+9*M441+2*N441</f>
        <v>175</v>
      </c>
      <c r="K441" s="14" t="n">
        <v>8</v>
      </c>
      <c r="L441" s="14" t="n">
        <v>23</v>
      </c>
      <c r="M441" s="14" t="n">
        <v>6</v>
      </c>
      <c r="N441" s="14" t="n">
        <v>1.5</v>
      </c>
      <c r="O441" s="14" t="n">
        <v>1.5</v>
      </c>
      <c r="P441" s="15" t="n">
        <v>420</v>
      </c>
      <c r="Q441" s="16" t="n">
        <v>100</v>
      </c>
      <c r="R441" s="16" t="n">
        <v>150</v>
      </c>
      <c r="S441" s="16" t="n">
        <v>250</v>
      </c>
      <c r="T441" s="6"/>
      <c r="U441" s="6"/>
      <c r="V441" s="13" t="n">
        <f aca="false">IF(Q441="","",J441*Q441/100)</f>
        <v>175</v>
      </c>
      <c r="W441" s="13" t="n">
        <f aca="false">IF(R441="","",J441*R441/100)</f>
        <v>262.5</v>
      </c>
      <c r="X441" s="13" t="n">
        <f aca="false">IF(S441="","",J441*S441/100)</f>
        <v>437.5</v>
      </c>
      <c r="Y441" s="13" t="str">
        <f aca="false">IF(T441="","",J441*T441/100)</f>
        <v/>
      </c>
      <c r="Z441" s="13" t="str">
        <f aca="false">IF(U441="","",J441*U441/100)</f>
        <v/>
      </c>
      <c r="AA441" s="6" t="s">
        <v>103</v>
      </c>
      <c r="AB441" s="6" t="s">
        <v>104</v>
      </c>
      <c r="AC441" s="6"/>
      <c r="AD441" s="13" t="str">
        <f aca="false">IF(AC441="","",IFERROR(INDEX('INDB Full Nutrients'!$D:$D,MATCH(AC441,'INDB Full Nutrients'!$A:$A,0)),""))</f>
        <v/>
      </c>
      <c r="AE441" s="6"/>
      <c r="AF441" s="6"/>
    </row>
    <row r="442" customFormat="false" ht="15" hidden="false" customHeight="false" outlineLevel="0" collapsed="false">
      <c r="A442" s="6" t="s">
        <v>1740</v>
      </c>
      <c r="B442" s="6" t="s">
        <v>1741</v>
      </c>
      <c r="C442" s="6"/>
      <c r="D442" s="6" t="s">
        <v>55</v>
      </c>
      <c r="E442" s="6" t="s">
        <v>99</v>
      </c>
      <c r="F442" s="6" t="s">
        <v>569</v>
      </c>
      <c r="G442" s="6"/>
      <c r="H442" s="6" t="s">
        <v>603</v>
      </c>
      <c r="I442" s="6" t="s">
        <v>298</v>
      </c>
      <c r="J442" s="13" t="n">
        <f aca="false">4*K442+4*(L442-N442)+9*M442+2*N442</f>
        <v>170.6</v>
      </c>
      <c r="K442" s="14" t="n">
        <v>10</v>
      </c>
      <c r="L442" s="14" t="n">
        <v>22</v>
      </c>
      <c r="M442" s="14" t="n">
        <v>5</v>
      </c>
      <c r="N442" s="14" t="n">
        <v>1.2</v>
      </c>
      <c r="O442" s="14" t="n">
        <v>1</v>
      </c>
      <c r="P442" s="15" t="n">
        <v>450</v>
      </c>
      <c r="Q442" s="16" t="n">
        <v>100</v>
      </c>
      <c r="R442" s="16" t="n">
        <v>150</v>
      </c>
      <c r="S442" s="16" t="n">
        <v>250</v>
      </c>
      <c r="T442" s="6"/>
      <c r="U442" s="6"/>
      <c r="V442" s="13" t="n">
        <f aca="false">IF(Q442="","",J442*Q442/100)</f>
        <v>170.6</v>
      </c>
      <c r="W442" s="13" t="n">
        <f aca="false">IF(R442="","",J442*R442/100)</f>
        <v>255.9</v>
      </c>
      <c r="X442" s="13" t="n">
        <f aca="false">IF(S442="","",J442*S442/100)</f>
        <v>426.5</v>
      </c>
      <c r="Y442" s="13" t="str">
        <f aca="false">IF(T442="","",J442*T442/100)</f>
        <v/>
      </c>
      <c r="Z442" s="13" t="str">
        <f aca="false">IF(U442="","",J442*U442/100)</f>
        <v/>
      </c>
      <c r="AA442" s="6" t="s">
        <v>103</v>
      </c>
      <c r="AB442" s="6" t="s">
        <v>104</v>
      </c>
      <c r="AC442" s="6"/>
      <c r="AD442" s="13" t="str">
        <f aca="false">IF(AC442="","",IFERROR(INDEX('INDB Full Nutrients'!$D:$D,MATCH(AC442,'INDB Full Nutrients'!$A:$A,0)),""))</f>
        <v/>
      </c>
      <c r="AE442" s="6"/>
      <c r="AF442" s="6"/>
    </row>
    <row r="443" customFormat="false" ht="15" hidden="false" customHeight="false" outlineLevel="0" collapsed="false">
      <c r="A443" s="6" t="s">
        <v>1742</v>
      </c>
      <c r="B443" s="6" t="s">
        <v>1743</v>
      </c>
      <c r="C443" s="6"/>
      <c r="D443" s="6" t="s">
        <v>55</v>
      </c>
      <c r="E443" s="6" t="s">
        <v>99</v>
      </c>
      <c r="F443" s="6" t="s">
        <v>569</v>
      </c>
      <c r="G443" s="6"/>
      <c r="H443" s="6" t="s">
        <v>603</v>
      </c>
      <c r="I443" s="6" t="s">
        <v>298</v>
      </c>
      <c r="J443" s="13" t="n">
        <f aca="false">4*K443+4*(L443-N443)+9*M443+2*N443</f>
        <v>237.6</v>
      </c>
      <c r="K443" s="14" t="n">
        <v>10</v>
      </c>
      <c r="L443" s="14" t="n">
        <v>23</v>
      </c>
      <c r="M443" s="14" t="n">
        <v>12</v>
      </c>
      <c r="N443" s="14" t="n">
        <v>1.2</v>
      </c>
      <c r="O443" s="14" t="n">
        <v>1</v>
      </c>
      <c r="P443" s="15" t="n">
        <v>470</v>
      </c>
      <c r="Q443" s="16" t="n">
        <v>100</v>
      </c>
      <c r="R443" s="16" t="n">
        <v>150</v>
      </c>
      <c r="S443" s="16" t="n">
        <v>250</v>
      </c>
      <c r="T443" s="6"/>
      <c r="U443" s="6"/>
      <c r="V443" s="13" t="n">
        <f aca="false">IF(Q443="","",J443*Q443/100)</f>
        <v>237.6</v>
      </c>
      <c r="W443" s="13" t="n">
        <f aca="false">IF(R443="","",J443*R443/100)</f>
        <v>356.4</v>
      </c>
      <c r="X443" s="13" t="n">
        <f aca="false">IF(S443="","",J443*S443/100)</f>
        <v>594</v>
      </c>
      <c r="Y443" s="13" t="str">
        <f aca="false">IF(T443="","",J443*T443/100)</f>
        <v/>
      </c>
      <c r="Z443" s="13" t="str">
        <f aca="false">IF(U443="","",J443*U443/100)</f>
        <v/>
      </c>
      <c r="AA443" s="6" t="s">
        <v>103</v>
      </c>
      <c r="AB443" s="6" t="s">
        <v>104</v>
      </c>
      <c r="AC443" s="6"/>
      <c r="AD443" s="13" t="str">
        <f aca="false">IF(AC443="","",IFERROR(INDEX('INDB Full Nutrients'!$D:$D,MATCH(AC443,'INDB Full Nutrients'!$A:$A,0)),""))</f>
        <v/>
      </c>
      <c r="AE443" s="6"/>
      <c r="AF443" s="6"/>
    </row>
    <row r="444" customFormat="false" ht="15" hidden="false" customHeight="false" outlineLevel="0" collapsed="false">
      <c r="A444" s="6" t="s">
        <v>1744</v>
      </c>
      <c r="B444" s="6" t="s">
        <v>1745</v>
      </c>
      <c r="C444" s="6" t="s">
        <v>1746</v>
      </c>
      <c r="D444" s="6" t="s">
        <v>55</v>
      </c>
      <c r="E444" s="6" t="s">
        <v>99</v>
      </c>
      <c r="F444" s="6" t="s">
        <v>100</v>
      </c>
      <c r="G444" s="6"/>
      <c r="H444" s="6" t="s">
        <v>603</v>
      </c>
      <c r="I444" s="6" t="s">
        <v>298</v>
      </c>
      <c r="J444" s="13" t="n">
        <f aca="false">4*K444+4*(L444-N444)+9*M444+2*N444</f>
        <v>126.4</v>
      </c>
      <c r="K444" s="14" t="n">
        <v>2.8</v>
      </c>
      <c r="L444" s="14" t="n">
        <v>17.5</v>
      </c>
      <c r="M444" s="14" t="n">
        <v>5.2</v>
      </c>
      <c r="N444" s="14" t="n">
        <v>0.8</v>
      </c>
      <c r="O444" s="14" t="n">
        <v>0.6</v>
      </c>
      <c r="P444" s="15" t="n">
        <v>480</v>
      </c>
      <c r="Q444" s="16" t="n">
        <v>120</v>
      </c>
      <c r="R444" s="16" t="n">
        <v>240</v>
      </c>
      <c r="S444" s="16" t="n">
        <v>480</v>
      </c>
      <c r="T444" s="6"/>
      <c r="U444" s="6"/>
      <c r="V444" s="13" t="n">
        <f aca="false">IF(Q444="","",J444*Q444/100)</f>
        <v>151.68</v>
      </c>
      <c r="W444" s="13" t="n">
        <f aca="false">IF(R444="","",J444*R444/100)</f>
        <v>303.36</v>
      </c>
      <c r="X444" s="13" t="n">
        <f aca="false">IF(S444="","",J444*S444/100)</f>
        <v>606.72</v>
      </c>
      <c r="Y444" s="13" t="str">
        <f aca="false">IF(T444="","",J444*T444/100)</f>
        <v/>
      </c>
      <c r="Z444" s="13" t="str">
        <f aca="false">IF(U444="","",J444*U444/100)</f>
        <v/>
      </c>
      <c r="AA444" s="6" t="s">
        <v>103</v>
      </c>
      <c r="AB444" s="6" t="s">
        <v>104</v>
      </c>
      <c r="AC444" s="6"/>
      <c r="AD444" s="13" t="str">
        <f aca="false">IF(AC444="","",IFERROR(INDEX('INDB Full Nutrients'!$D:$D,MATCH(AC444,'INDB Full Nutrients'!$A:$A,0)),""))</f>
        <v/>
      </c>
      <c r="AE444" s="6"/>
      <c r="AF444" s="6" t="s">
        <v>1747</v>
      </c>
    </row>
    <row r="445" customFormat="false" ht="15" hidden="false" customHeight="false" outlineLevel="0" collapsed="false">
      <c r="A445" s="6" t="s">
        <v>1748</v>
      </c>
      <c r="B445" s="6" t="s">
        <v>1749</v>
      </c>
      <c r="C445" s="6" t="s">
        <v>1750</v>
      </c>
      <c r="D445" s="6" t="s">
        <v>55</v>
      </c>
      <c r="E445" s="6" t="s">
        <v>205</v>
      </c>
      <c r="F445" s="6" t="s">
        <v>569</v>
      </c>
      <c r="G445" s="6"/>
      <c r="H445" s="6" t="s">
        <v>588</v>
      </c>
      <c r="I445" s="6" t="s">
        <v>102</v>
      </c>
      <c r="J445" s="13" t="n">
        <f aca="false">4*K445+4*(L445-N445)+9*M445+2*N445</f>
        <v>65.9</v>
      </c>
      <c r="K445" s="14" t="n">
        <v>3.5</v>
      </c>
      <c r="L445" s="14" t="n">
        <v>10</v>
      </c>
      <c r="M445" s="14" t="n">
        <v>1.5</v>
      </c>
      <c r="N445" s="14" t="n">
        <v>0.8</v>
      </c>
      <c r="O445" s="14" t="n">
        <v>1</v>
      </c>
      <c r="P445" s="15" t="n">
        <v>450</v>
      </c>
      <c r="Q445" s="16" t="n">
        <v>150</v>
      </c>
      <c r="R445" s="16" t="n">
        <v>250</v>
      </c>
      <c r="S445" s="16" t="n">
        <v>350</v>
      </c>
      <c r="T445" s="6"/>
      <c r="U445" s="6"/>
      <c r="V445" s="13" t="n">
        <f aca="false">IF(Q445="","",J445*Q445/100)</f>
        <v>98.85</v>
      </c>
      <c r="W445" s="13" t="n">
        <f aca="false">IF(R445="","",J445*R445/100)</f>
        <v>164.75</v>
      </c>
      <c r="X445" s="13" t="n">
        <f aca="false">IF(S445="","",J445*S445/100)</f>
        <v>230.65</v>
      </c>
      <c r="Y445" s="13" t="str">
        <f aca="false">IF(T445="","",J445*T445/100)</f>
        <v/>
      </c>
      <c r="Z445" s="13" t="str">
        <f aca="false">IF(U445="","",J445*U445/100)</f>
        <v/>
      </c>
      <c r="AA445" s="6" t="s">
        <v>103</v>
      </c>
      <c r="AB445" s="6" t="s">
        <v>104</v>
      </c>
      <c r="AC445" s="6"/>
      <c r="AD445" s="13" t="str">
        <f aca="false">IF(AC445="","",IFERROR(INDEX('INDB Full Nutrients'!$D:$D,MATCH(AC445,'INDB Full Nutrients'!$A:$A,0)),""))</f>
        <v/>
      </c>
      <c r="AE445" s="6"/>
      <c r="AF445" s="6"/>
    </row>
    <row r="446" customFormat="false" ht="15" hidden="false" customHeight="false" outlineLevel="0" collapsed="false">
      <c r="A446" s="6" t="s">
        <v>1751</v>
      </c>
      <c r="B446" s="6" t="s">
        <v>1752</v>
      </c>
      <c r="C446" s="6" t="s">
        <v>1753</v>
      </c>
      <c r="D446" s="6" t="s">
        <v>56</v>
      </c>
      <c r="E446" s="6" t="s">
        <v>56</v>
      </c>
      <c r="F446" s="6" t="s">
        <v>100</v>
      </c>
      <c r="G446" s="6" t="s">
        <v>124</v>
      </c>
      <c r="H446" s="6" t="s">
        <v>588</v>
      </c>
      <c r="I446" s="6" t="s">
        <v>298</v>
      </c>
      <c r="J446" s="13" t="n">
        <f aca="false">4*K446+4*(L446-N446)+9*M446+2*N446</f>
        <v>177.4</v>
      </c>
      <c r="K446" s="14" t="n">
        <v>3.5</v>
      </c>
      <c r="L446" s="14" t="n">
        <v>28</v>
      </c>
      <c r="M446" s="14" t="n">
        <v>6</v>
      </c>
      <c r="N446" s="14" t="n">
        <v>1.3</v>
      </c>
      <c r="O446" s="14" t="n">
        <v>1.5</v>
      </c>
      <c r="P446" s="15" t="n">
        <v>450</v>
      </c>
      <c r="Q446" s="16" t="n">
        <v>150</v>
      </c>
      <c r="R446" s="16" t="n">
        <v>250</v>
      </c>
      <c r="S446" s="16" t="n">
        <v>350</v>
      </c>
      <c r="T446" s="16" t="n">
        <v>300</v>
      </c>
      <c r="U446" s="16" t="n">
        <v>550</v>
      </c>
      <c r="V446" s="13" t="n">
        <f aca="false">IF(Q446="","",J446*Q446/100)</f>
        <v>266.1</v>
      </c>
      <c r="W446" s="13" t="n">
        <f aca="false">IF(R446="","",J446*R446/100)</f>
        <v>443.5</v>
      </c>
      <c r="X446" s="13" t="n">
        <f aca="false">IF(S446="","",J446*S446/100)</f>
        <v>620.9</v>
      </c>
      <c r="Y446" s="13" t="n">
        <f aca="false">IF(T446="","",J446*T446/100)</f>
        <v>532.2</v>
      </c>
      <c r="Z446" s="13" t="n">
        <f aca="false">IF(U446="","",J446*U446/100)</f>
        <v>975.7</v>
      </c>
      <c r="AA446" s="6" t="s">
        <v>103</v>
      </c>
      <c r="AB446" s="6" t="s">
        <v>104</v>
      </c>
      <c r="AC446" s="6" t="s">
        <v>1754</v>
      </c>
      <c r="AD446" s="13" t="n">
        <f aca="false">IF(AC446="","",IFERROR(INDEX('INDB Full Nutrients'!$D:$D,MATCH(AC446,'INDB Full Nutrients'!$A:$A,0)),""))</f>
        <v>120.584121704102</v>
      </c>
      <c r="AE446" s="6" t="s">
        <v>1755</v>
      </c>
      <c r="AF446" s="6"/>
    </row>
    <row r="447" customFormat="false" ht="15" hidden="false" customHeight="false" outlineLevel="0" collapsed="false">
      <c r="A447" s="6" t="s">
        <v>1756</v>
      </c>
      <c r="B447" s="6" t="s">
        <v>1757</v>
      </c>
      <c r="C447" s="6"/>
      <c r="D447" s="6" t="s">
        <v>56</v>
      </c>
      <c r="E447" s="6" t="s">
        <v>56</v>
      </c>
      <c r="F447" s="6" t="s">
        <v>537</v>
      </c>
      <c r="G447" s="6"/>
      <c r="H447" s="6" t="s">
        <v>588</v>
      </c>
      <c r="I447" s="6" t="s">
        <v>298</v>
      </c>
      <c r="J447" s="13" t="n">
        <f aca="false">4*K447+4*(L447-N447)+9*M447+2*N447</f>
        <v>185</v>
      </c>
      <c r="K447" s="14" t="n">
        <v>5</v>
      </c>
      <c r="L447" s="14" t="n">
        <v>26</v>
      </c>
      <c r="M447" s="14" t="n">
        <v>7</v>
      </c>
      <c r="N447" s="14" t="n">
        <v>1</v>
      </c>
      <c r="O447" s="14" t="n">
        <v>1.2</v>
      </c>
      <c r="P447" s="15" t="n">
        <v>480</v>
      </c>
      <c r="Q447" s="16" t="n">
        <v>150</v>
      </c>
      <c r="R447" s="16" t="n">
        <v>250</v>
      </c>
      <c r="S447" s="16" t="n">
        <v>350</v>
      </c>
      <c r="T447" s="16" t="n">
        <v>300</v>
      </c>
      <c r="U447" s="16" t="n">
        <v>550</v>
      </c>
      <c r="V447" s="13" t="n">
        <f aca="false">IF(Q447="","",J447*Q447/100)</f>
        <v>277.5</v>
      </c>
      <c r="W447" s="13" t="n">
        <f aca="false">IF(R447="","",J447*R447/100)</f>
        <v>462.5</v>
      </c>
      <c r="X447" s="13" t="n">
        <f aca="false">IF(S447="","",J447*S447/100)</f>
        <v>647.5</v>
      </c>
      <c r="Y447" s="13" t="n">
        <f aca="false">IF(T447="","",J447*T447/100)</f>
        <v>555</v>
      </c>
      <c r="Z447" s="13" t="n">
        <f aca="false">IF(U447="","",J447*U447/100)</f>
        <v>1017.5</v>
      </c>
      <c r="AA447" s="6" t="s">
        <v>103</v>
      </c>
      <c r="AB447" s="6" t="s">
        <v>104</v>
      </c>
      <c r="AC447" s="6"/>
      <c r="AD447" s="13" t="str">
        <f aca="false">IF(AC447="","",IFERROR(INDEX('INDB Full Nutrients'!$D:$D,MATCH(AC447,'INDB Full Nutrients'!$A:$A,0)),""))</f>
        <v/>
      </c>
      <c r="AE447" s="6"/>
      <c r="AF447" s="6"/>
    </row>
    <row r="448" customFormat="false" ht="15" hidden="false" customHeight="false" outlineLevel="0" collapsed="false">
      <c r="A448" s="6" t="s">
        <v>1758</v>
      </c>
      <c r="B448" s="6" t="s">
        <v>1759</v>
      </c>
      <c r="C448" s="6"/>
      <c r="D448" s="6" t="s">
        <v>56</v>
      </c>
      <c r="E448" s="6" t="s">
        <v>56</v>
      </c>
      <c r="F448" s="6" t="s">
        <v>569</v>
      </c>
      <c r="G448" s="6"/>
      <c r="H448" s="6" t="s">
        <v>588</v>
      </c>
      <c r="I448" s="6" t="s">
        <v>298</v>
      </c>
      <c r="J448" s="13" t="n">
        <f aca="false">4*K448+4*(L448-N448)+9*M448+2*N448</f>
        <v>191</v>
      </c>
      <c r="K448" s="14" t="n">
        <v>7.5</v>
      </c>
      <c r="L448" s="14" t="n">
        <v>25</v>
      </c>
      <c r="M448" s="14" t="n">
        <v>7</v>
      </c>
      <c r="N448" s="14" t="n">
        <v>1</v>
      </c>
      <c r="O448" s="14" t="n">
        <v>1.2</v>
      </c>
      <c r="P448" s="15" t="n">
        <v>500</v>
      </c>
      <c r="Q448" s="16" t="n">
        <v>150</v>
      </c>
      <c r="R448" s="16" t="n">
        <v>250</v>
      </c>
      <c r="S448" s="16" t="n">
        <v>350</v>
      </c>
      <c r="T448" s="16" t="n">
        <v>300</v>
      </c>
      <c r="U448" s="16" t="n">
        <v>550</v>
      </c>
      <c r="V448" s="13" t="n">
        <f aca="false">IF(Q448="","",J448*Q448/100)</f>
        <v>286.5</v>
      </c>
      <c r="W448" s="13" t="n">
        <f aca="false">IF(R448="","",J448*R448/100)</f>
        <v>477.5</v>
      </c>
      <c r="X448" s="13" t="n">
        <f aca="false">IF(S448="","",J448*S448/100)</f>
        <v>668.5</v>
      </c>
      <c r="Y448" s="13" t="n">
        <f aca="false">IF(T448="","",J448*T448/100)</f>
        <v>573</v>
      </c>
      <c r="Z448" s="13" t="n">
        <f aca="false">IF(U448="","",J448*U448/100)</f>
        <v>1050.5</v>
      </c>
      <c r="AA448" s="6" t="s">
        <v>103</v>
      </c>
      <c r="AB448" s="6" t="s">
        <v>104</v>
      </c>
      <c r="AC448" s="6"/>
      <c r="AD448" s="13" t="str">
        <f aca="false">IF(AC448="","",IFERROR(INDEX('INDB Full Nutrients'!$D:$D,MATCH(AC448,'INDB Full Nutrients'!$A:$A,0)),""))</f>
        <v/>
      </c>
      <c r="AE448" s="6"/>
      <c r="AF448" s="6"/>
    </row>
    <row r="449" customFormat="false" ht="15" hidden="false" customHeight="false" outlineLevel="0" collapsed="false">
      <c r="A449" s="6" t="s">
        <v>1760</v>
      </c>
      <c r="B449" s="6" t="s">
        <v>1761</v>
      </c>
      <c r="C449" s="6"/>
      <c r="D449" s="6" t="s">
        <v>56</v>
      </c>
      <c r="E449" s="6" t="s">
        <v>56</v>
      </c>
      <c r="F449" s="6" t="s">
        <v>100</v>
      </c>
      <c r="G449" s="6" t="s">
        <v>124</v>
      </c>
      <c r="H449" s="6" t="s">
        <v>588</v>
      </c>
      <c r="I449" s="6" t="s">
        <v>298</v>
      </c>
      <c r="J449" s="13" t="n">
        <f aca="false">4*K449+4*(L449-N449)+9*M449+2*N449</f>
        <v>190.5</v>
      </c>
      <c r="K449" s="14" t="n">
        <v>3.5</v>
      </c>
      <c r="L449" s="14" t="n">
        <v>28</v>
      </c>
      <c r="M449" s="14" t="n">
        <v>7.5</v>
      </c>
      <c r="N449" s="14" t="n">
        <v>1.5</v>
      </c>
      <c r="O449" s="14" t="n">
        <v>2.5</v>
      </c>
      <c r="P449" s="15" t="n">
        <v>600</v>
      </c>
      <c r="Q449" s="16" t="n">
        <v>150</v>
      </c>
      <c r="R449" s="16" t="n">
        <v>250</v>
      </c>
      <c r="S449" s="16" t="n">
        <v>350</v>
      </c>
      <c r="T449" s="16" t="n">
        <v>300</v>
      </c>
      <c r="U449" s="16" t="n">
        <v>550</v>
      </c>
      <c r="V449" s="13" t="n">
        <f aca="false">IF(Q449="","",J449*Q449/100)</f>
        <v>285.75</v>
      </c>
      <c r="W449" s="13" t="n">
        <f aca="false">IF(R449="","",J449*R449/100)</f>
        <v>476.25</v>
      </c>
      <c r="X449" s="13" t="n">
        <f aca="false">IF(S449="","",J449*S449/100)</f>
        <v>666.75</v>
      </c>
      <c r="Y449" s="13" t="n">
        <f aca="false">IF(T449="","",J449*T449/100)</f>
        <v>571.5</v>
      </c>
      <c r="Z449" s="13" t="n">
        <f aca="false">IF(U449="","",J449*U449/100)</f>
        <v>1047.75</v>
      </c>
      <c r="AA449" s="6" t="s">
        <v>103</v>
      </c>
      <c r="AB449" s="6" t="s">
        <v>104</v>
      </c>
      <c r="AC449" s="6"/>
      <c r="AD449" s="13" t="str">
        <f aca="false">IF(AC449="","",IFERROR(INDEX('INDB Full Nutrients'!$D:$D,MATCH(AC449,'INDB Full Nutrients'!$A:$A,0)),""))</f>
        <v/>
      </c>
      <c r="AE449" s="6"/>
      <c r="AF449" s="6"/>
    </row>
    <row r="450" customFormat="false" ht="15" hidden="false" customHeight="false" outlineLevel="0" collapsed="false">
      <c r="A450" s="6" t="s">
        <v>1762</v>
      </c>
      <c r="B450" s="6" t="s">
        <v>1763</v>
      </c>
      <c r="C450" s="6" t="s">
        <v>1764</v>
      </c>
      <c r="D450" s="6" t="s">
        <v>56</v>
      </c>
      <c r="E450" s="6" t="s">
        <v>56</v>
      </c>
      <c r="F450" s="6" t="s">
        <v>100</v>
      </c>
      <c r="G450" s="6" t="s">
        <v>124</v>
      </c>
      <c r="H450" s="6" t="s">
        <v>588</v>
      </c>
      <c r="I450" s="6" t="s">
        <v>298</v>
      </c>
      <c r="J450" s="13" t="n">
        <f aca="false">4*K450+4*(L450-N450)+9*M450+2*N450</f>
        <v>180.9</v>
      </c>
      <c r="K450" s="14" t="n">
        <v>4.5</v>
      </c>
      <c r="L450" s="14" t="n">
        <v>27</v>
      </c>
      <c r="M450" s="14" t="n">
        <v>6.5</v>
      </c>
      <c r="N450" s="14" t="n">
        <v>1.8</v>
      </c>
      <c r="O450" s="14" t="n">
        <v>2</v>
      </c>
      <c r="P450" s="15" t="n">
        <v>500</v>
      </c>
      <c r="Q450" s="16" t="n">
        <v>150</v>
      </c>
      <c r="R450" s="16" t="n">
        <v>250</v>
      </c>
      <c r="S450" s="16" t="n">
        <v>350</v>
      </c>
      <c r="T450" s="16" t="n">
        <v>250</v>
      </c>
      <c r="U450" s="16" t="n">
        <v>450</v>
      </c>
      <c r="V450" s="13" t="n">
        <f aca="false">IF(Q450="","",J450*Q450/100)</f>
        <v>271.35</v>
      </c>
      <c r="W450" s="13" t="n">
        <f aca="false">IF(R450="","",J450*R450/100)</f>
        <v>452.25</v>
      </c>
      <c r="X450" s="13" t="n">
        <f aca="false">IF(S450="","",J450*S450/100)</f>
        <v>633.15</v>
      </c>
      <c r="Y450" s="13" t="n">
        <f aca="false">IF(T450="","",J450*T450/100)</f>
        <v>452.25</v>
      </c>
      <c r="Z450" s="13" t="n">
        <f aca="false">IF(U450="","",J450*U450/100)</f>
        <v>814.05</v>
      </c>
      <c r="AA450" s="6" t="s">
        <v>103</v>
      </c>
      <c r="AB450" s="6" t="s">
        <v>104</v>
      </c>
      <c r="AC450" s="6" t="s">
        <v>1765</v>
      </c>
      <c r="AD450" s="13" t="n">
        <f aca="false">IF(AC450="","",IFERROR(INDEX('INDB Full Nutrients'!$D:$D,MATCH(AC450,'INDB Full Nutrients'!$A:$A,0)),""))</f>
        <v>129.713882446289</v>
      </c>
      <c r="AE450" s="6" t="s">
        <v>1766</v>
      </c>
      <c r="AF450" s="6"/>
    </row>
    <row r="451" customFormat="false" ht="15" hidden="false" customHeight="false" outlineLevel="0" collapsed="false">
      <c r="A451" s="6" t="s">
        <v>1767</v>
      </c>
      <c r="B451" s="6" t="s">
        <v>1768</v>
      </c>
      <c r="C451" s="6" t="s">
        <v>1769</v>
      </c>
      <c r="D451" s="6" t="s">
        <v>56</v>
      </c>
      <c r="E451" s="6" t="s">
        <v>56</v>
      </c>
      <c r="F451" s="6" t="s">
        <v>569</v>
      </c>
      <c r="G451" s="6"/>
      <c r="H451" s="6" t="s">
        <v>588</v>
      </c>
      <c r="I451" s="6" t="s">
        <v>298</v>
      </c>
      <c r="J451" s="13" t="n">
        <f aca="false">4*K451+4*(L451-N451)+9*M451+2*N451</f>
        <v>188</v>
      </c>
      <c r="K451" s="14" t="n">
        <v>8</v>
      </c>
      <c r="L451" s="14" t="n">
        <v>24</v>
      </c>
      <c r="M451" s="14" t="n">
        <v>7</v>
      </c>
      <c r="N451" s="14" t="n">
        <v>1.5</v>
      </c>
      <c r="O451" s="14" t="n">
        <v>2</v>
      </c>
      <c r="P451" s="15" t="n">
        <v>550</v>
      </c>
      <c r="Q451" s="16" t="n">
        <v>150</v>
      </c>
      <c r="R451" s="16" t="n">
        <v>250</v>
      </c>
      <c r="S451" s="16" t="n">
        <v>350</v>
      </c>
      <c r="T451" s="16" t="n">
        <v>250</v>
      </c>
      <c r="U451" s="16" t="n">
        <v>450</v>
      </c>
      <c r="V451" s="13" t="n">
        <f aca="false">IF(Q451="","",J451*Q451/100)</f>
        <v>282</v>
      </c>
      <c r="W451" s="13" t="n">
        <f aca="false">IF(R451="","",J451*R451/100)</f>
        <v>470</v>
      </c>
      <c r="X451" s="13" t="n">
        <f aca="false">IF(S451="","",J451*S451/100)</f>
        <v>658</v>
      </c>
      <c r="Y451" s="13" t="n">
        <f aca="false">IF(T451="","",J451*T451/100)</f>
        <v>470</v>
      </c>
      <c r="Z451" s="13" t="n">
        <f aca="false">IF(U451="","",J451*U451/100)</f>
        <v>846</v>
      </c>
      <c r="AA451" s="6" t="s">
        <v>103</v>
      </c>
      <c r="AB451" s="6" t="s">
        <v>104</v>
      </c>
      <c r="AC451" s="6" t="s">
        <v>1770</v>
      </c>
      <c r="AD451" s="13" t="n">
        <f aca="false">IF(AC451="","",IFERROR(INDEX('INDB Full Nutrients'!$D:$D,MATCH(AC451,'INDB Full Nutrients'!$A:$A,0)),""))</f>
        <v>151.333572387695</v>
      </c>
      <c r="AE451" s="6" t="s">
        <v>1771</v>
      </c>
      <c r="AF451" s="6"/>
    </row>
    <row r="452" customFormat="false" ht="15" hidden="false" customHeight="false" outlineLevel="0" collapsed="false">
      <c r="A452" s="6" t="s">
        <v>1772</v>
      </c>
      <c r="B452" s="6" t="s">
        <v>1773</v>
      </c>
      <c r="C452" s="6" t="s">
        <v>1774</v>
      </c>
      <c r="D452" s="6" t="s">
        <v>56</v>
      </c>
      <c r="E452" s="6" t="s">
        <v>56</v>
      </c>
      <c r="F452" s="6" t="s">
        <v>537</v>
      </c>
      <c r="G452" s="6"/>
      <c r="H452" s="6" t="s">
        <v>588</v>
      </c>
      <c r="I452" s="6" t="s">
        <v>298</v>
      </c>
      <c r="J452" s="13" t="n">
        <f aca="false">4*K452+4*(L452-N452)+9*M452+2*N452</f>
        <v>186</v>
      </c>
      <c r="K452" s="14" t="n">
        <v>6.5</v>
      </c>
      <c r="L452" s="14" t="n">
        <v>25</v>
      </c>
      <c r="M452" s="14" t="n">
        <v>7</v>
      </c>
      <c r="N452" s="14" t="n">
        <v>1.5</v>
      </c>
      <c r="O452" s="14" t="n">
        <v>2</v>
      </c>
      <c r="P452" s="15" t="n">
        <v>520</v>
      </c>
      <c r="Q452" s="16" t="n">
        <v>150</v>
      </c>
      <c r="R452" s="16" t="n">
        <v>250</v>
      </c>
      <c r="S452" s="16" t="n">
        <v>350</v>
      </c>
      <c r="T452" s="16" t="n">
        <v>250</v>
      </c>
      <c r="U452" s="16" t="n">
        <v>450</v>
      </c>
      <c r="V452" s="13" t="n">
        <f aca="false">IF(Q452="","",J452*Q452/100)</f>
        <v>279</v>
      </c>
      <c r="W452" s="13" t="n">
        <f aca="false">IF(R452="","",J452*R452/100)</f>
        <v>465</v>
      </c>
      <c r="X452" s="13" t="n">
        <f aca="false">IF(S452="","",J452*S452/100)</f>
        <v>651</v>
      </c>
      <c r="Y452" s="13" t="n">
        <f aca="false">IF(T452="","",J452*T452/100)</f>
        <v>465</v>
      </c>
      <c r="Z452" s="13" t="n">
        <f aca="false">IF(U452="","",J452*U452/100)</f>
        <v>837</v>
      </c>
      <c r="AA452" s="6" t="s">
        <v>103</v>
      </c>
      <c r="AB452" s="6" t="s">
        <v>104</v>
      </c>
      <c r="AC452" s="6"/>
      <c r="AD452" s="13" t="str">
        <f aca="false">IF(AC452="","",IFERROR(INDEX('INDB Full Nutrients'!$D:$D,MATCH(AC452,'INDB Full Nutrients'!$A:$A,0)),""))</f>
        <v/>
      </c>
      <c r="AE452" s="6"/>
      <c r="AF452" s="6"/>
    </row>
    <row r="453" customFormat="false" ht="15" hidden="false" customHeight="false" outlineLevel="0" collapsed="false">
      <c r="A453" s="6" t="s">
        <v>1775</v>
      </c>
      <c r="B453" s="6" t="s">
        <v>1776</v>
      </c>
      <c r="C453" s="6"/>
      <c r="D453" s="6" t="s">
        <v>56</v>
      </c>
      <c r="E453" s="6" t="s">
        <v>56</v>
      </c>
      <c r="F453" s="6" t="s">
        <v>100</v>
      </c>
      <c r="G453" s="6" t="s">
        <v>124</v>
      </c>
      <c r="H453" s="6" t="s">
        <v>588</v>
      </c>
      <c r="I453" s="6" t="s">
        <v>298</v>
      </c>
      <c r="J453" s="13" t="n">
        <f aca="false">4*K453+4*(L453-N453)+9*M453+2*N453</f>
        <v>194.4</v>
      </c>
      <c r="K453" s="14" t="n">
        <v>4.5</v>
      </c>
      <c r="L453" s="14" t="n">
        <v>27</v>
      </c>
      <c r="M453" s="14" t="n">
        <v>8</v>
      </c>
      <c r="N453" s="14" t="n">
        <v>1.8</v>
      </c>
      <c r="O453" s="14" t="n">
        <v>3</v>
      </c>
      <c r="P453" s="15" t="n">
        <v>650</v>
      </c>
      <c r="Q453" s="16" t="n">
        <v>150</v>
      </c>
      <c r="R453" s="16" t="n">
        <v>250</v>
      </c>
      <c r="S453" s="16" t="n">
        <v>350</v>
      </c>
      <c r="T453" s="16" t="n">
        <v>250</v>
      </c>
      <c r="U453" s="16" t="n">
        <v>450</v>
      </c>
      <c r="V453" s="13" t="n">
        <f aca="false">IF(Q453="","",J453*Q453/100)</f>
        <v>291.6</v>
      </c>
      <c r="W453" s="13" t="n">
        <f aca="false">IF(R453="","",J453*R453/100)</f>
        <v>486</v>
      </c>
      <c r="X453" s="13" t="n">
        <f aca="false">IF(S453="","",J453*S453/100)</f>
        <v>680.4</v>
      </c>
      <c r="Y453" s="13" t="n">
        <f aca="false">IF(T453="","",J453*T453/100)</f>
        <v>486</v>
      </c>
      <c r="Z453" s="13" t="n">
        <f aca="false">IF(U453="","",J453*U453/100)</f>
        <v>874.8</v>
      </c>
      <c r="AA453" s="6" t="s">
        <v>103</v>
      </c>
      <c r="AB453" s="6" t="s">
        <v>104</v>
      </c>
      <c r="AC453" s="6"/>
      <c r="AD453" s="13" t="str">
        <f aca="false">IF(AC453="","",IFERROR(INDEX('INDB Full Nutrients'!$D:$D,MATCH(AC453,'INDB Full Nutrients'!$A:$A,0)),""))</f>
        <v/>
      </c>
      <c r="AE453" s="6"/>
      <c r="AF453" s="6"/>
    </row>
    <row r="454" customFormat="false" ht="15" hidden="false" customHeight="false" outlineLevel="0" collapsed="false">
      <c r="A454" s="6" t="s">
        <v>1777</v>
      </c>
      <c r="B454" s="6" t="s">
        <v>1778</v>
      </c>
      <c r="C454" s="6"/>
      <c r="D454" s="6" t="s">
        <v>56</v>
      </c>
      <c r="E454" s="6" t="s">
        <v>56</v>
      </c>
      <c r="F454" s="6" t="s">
        <v>100</v>
      </c>
      <c r="G454" s="6"/>
      <c r="H454" s="6" t="s">
        <v>588</v>
      </c>
      <c r="I454" s="6" t="s">
        <v>298</v>
      </c>
      <c r="J454" s="13" t="n">
        <f aca="false">4*K454+4*(L454-N454)+9*M454+2*N454</f>
        <v>187.5</v>
      </c>
      <c r="K454" s="14" t="n">
        <v>3.5</v>
      </c>
      <c r="L454" s="14" t="n">
        <v>25</v>
      </c>
      <c r="M454" s="14" t="n">
        <v>8.5</v>
      </c>
      <c r="N454" s="14" t="n">
        <v>1.5</v>
      </c>
      <c r="O454" s="14" t="n">
        <v>6</v>
      </c>
      <c r="P454" s="15" t="n">
        <v>450</v>
      </c>
      <c r="Q454" s="16" t="n">
        <v>150</v>
      </c>
      <c r="R454" s="16" t="n">
        <v>250</v>
      </c>
      <c r="S454" s="16" t="n">
        <v>350</v>
      </c>
      <c r="T454" s="16" t="n">
        <v>250</v>
      </c>
      <c r="U454" s="16" t="n">
        <v>450</v>
      </c>
      <c r="V454" s="13" t="n">
        <f aca="false">IF(Q454="","",J454*Q454/100)</f>
        <v>281.25</v>
      </c>
      <c r="W454" s="13" t="n">
        <f aca="false">IF(R454="","",J454*R454/100)</f>
        <v>468.75</v>
      </c>
      <c r="X454" s="13" t="n">
        <f aca="false">IF(S454="","",J454*S454/100)</f>
        <v>656.25</v>
      </c>
      <c r="Y454" s="13" t="n">
        <f aca="false">IF(T454="","",J454*T454/100)</f>
        <v>468.75</v>
      </c>
      <c r="Z454" s="13" t="n">
        <f aca="false">IF(U454="","",J454*U454/100)</f>
        <v>843.75</v>
      </c>
      <c r="AA454" s="6" t="s">
        <v>103</v>
      </c>
      <c r="AB454" s="6" t="s">
        <v>104</v>
      </c>
      <c r="AC454" s="6"/>
      <c r="AD454" s="13" t="str">
        <f aca="false">IF(AC454="","",IFERROR(INDEX('INDB Full Nutrients'!$D:$D,MATCH(AC454,'INDB Full Nutrients'!$A:$A,0)),""))</f>
        <v/>
      </c>
      <c r="AE454" s="6"/>
      <c r="AF454" s="6" t="s">
        <v>1779</v>
      </c>
    </row>
    <row r="455" customFormat="false" ht="15" hidden="false" customHeight="false" outlineLevel="0" collapsed="false">
      <c r="A455" s="6" t="s">
        <v>1780</v>
      </c>
      <c r="B455" s="6" t="s">
        <v>1781</v>
      </c>
      <c r="C455" s="6"/>
      <c r="D455" s="6" t="s">
        <v>56</v>
      </c>
      <c r="E455" s="6" t="s">
        <v>56</v>
      </c>
      <c r="F455" s="6" t="s">
        <v>100</v>
      </c>
      <c r="G455" s="6" t="s">
        <v>124</v>
      </c>
      <c r="H455" s="6" t="s">
        <v>1480</v>
      </c>
      <c r="I455" s="6" t="s">
        <v>298</v>
      </c>
      <c r="J455" s="13" t="n">
        <f aca="false">4*K455+4*(L455-N455)+9*M455+2*N455</f>
        <v>207</v>
      </c>
      <c r="K455" s="14" t="n">
        <v>4</v>
      </c>
      <c r="L455" s="14" t="n">
        <v>22</v>
      </c>
      <c r="M455" s="14" t="n">
        <v>12</v>
      </c>
      <c r="N455" s="14" t="n">
        <v>2.5</v>
      </c>
      <c r="O455" s="14" t="n">
        <v>5</v>
      </c>
      <c r="P455" s="15" t="n">
        <v>700</v>
      </c>
      <c r="Q455" s="16" t="n">
        <v>100</v>
      </c>
      <c r="R455" s="16" t="n">
        <v>150</v>
      </c>
      <c r="S455" s="16" t="n">
        <v>200</v>
      </c>
      <c r="T455" s="16" t="n">
        <v>180</v>
      </c>
      <c r="U455" s="16" t="n">
        <v>350</v>
      </c>
      <c r="V455" s="13" t="n">
        <f aca="false">IF(Q455="","",J455*Q455/100)</f>
        <v>207</v>
      </c>
      <c r="W455" s="13" t="n">
        <f aca="false">IF(R455="","",J455*R455/100)</f>
        <v>310.5</v>
      </c>
      <c r="X455" s="13" t="n">
        <f aca="false">IF(S455="","",J455*S455/100)</f>
        <v>414</v>
      </c>
      <c r="Y455" s="13" t="n">
        <f aca="false">IF(T455="","",J455*T455/100)</f>
        <v>372.6</v>
      </c>
      <c r="Z455" s="13" t="n">
        <f aca="false">IF(U455="","",J455*U455/100)</f>
        <v>724.5</v>
      </c>
      <c r="AA455" s="6" t="s">
        <v>103</v>
      </c>
      <c r="AB455" s="6" t="s">
        <v>104</v>
      </c>
      <c r="AC455" s="6"/>
      <c r="AD455" s="13" t="str">
        <f aca="false">IF(AC455="","",IFERROR(INDEX('INDB Full Nutrients'!$D:$D,MATCH(AC455,'INDB Full Nutrients'!$A:$A,0)),""))</f>
        <v/>
      </c>
      <c r="AE455" s="6"/>
      <c r="AF455" s="6"/>
    </row>
    <row r="456" customFormat="false" ht="15" hidden="false" customHeight="false" outlineLevel="0" collapsed="false">
      <c r="A456" s="6" t="s">
        <v>1782</v>
      </c>
      <c r="B456" s="6" t="s">
        <v>1783</v>
      </c>
      <c r="C456" s="6"/>
      <c r="D456" s="6" t="s">
        <v>56</v>
      </c>
      <c r="E456" s="6" t="s">
        <v>56</v>
      </c>
      <c r="F456" s="6" t="s">
        <v>100</v>
      </c>
      <c r="G456" s="6" t="s">
        <v>124</v>
      </c>
      <c r="H456" s="6" t="s">
        <v>1480</v>
      </c>
      <c r="I456" s="6" t="s">
        <v>298</v>
      </c>
      <c r="J456" s="13" t="n">
        <f aca="false">4*K456+4*(L456-N456)+9*M456+2*N456</f>
        <v>217</v>
      </c>
      <c r="K456" s="14" t="n">
        <v>4.5</v>
      </c>
      <c r="L456" s="14" t="n">
        <v>22</v>
      </c>
      <c r="M456" s="14" t="n">
        <v>13</v>
      </c>
      <c r="N456" s="14" t="n">
        <v>3</v>
      </c>
      <c r="O456" s="14" t="n">
        <v>4.5</v>
      </c>
      <c r="P456" s="15" t="n">
        <v>700</v>
      </c>
      <c r="Q456" s="16" t="n">
        <v>100</v>
      </c>
      <c r="R456" s="16" t="n">
        <v>150</v>
      </c>
      <c r="S456" s="16" t="n">
        <v>200</v>
      </c>
      <c r="T456" s="16" t="n">
        <v>180</v>
      </c>
      <c r="U456" s="16" t="n">
        <v>350</v>
      </c>
      <c r="V456" s="13" t="n">
        <f aca="false">IF(Q456="","",J456*Q456/100)</f>
        <v>217</v>
      </c>
      <c r="W456" s="13" t="n">
        <f aca="false">IF(R456="","",J456*R456/100)</f>
        <v>325.5</v>
      </c>
      <c r="X456" s="13" t="n">
        <f aca="false">IF(S456="","",J456*S456/100)</f>
        <v>434</v>
      </c>
      <c r="Y456" s="13" t="n">
        <f aca="false">IF(T456="","",J456*T456/100)</f>
        <v>390.6</v>
      </c>
      <c r="Z456" s="13" t="n">
        <f aca="false">IF(U456="","",J456*U456/100)</f>
        <v>759.5</v>
      </c>
      <c r="AA456" s="6" t="s">
        <v>103</v>
      </c>
      <c r="AB456" s="6" t="s">
        <v>104</v>
      </c>
      <c r="AC456" s="6" t="s">
        <v>1784</v>
      </c>
      <c r="AD456" s="13" t="n">
        <f aca="false">IF(AC456="","",IFERROR(INDEX('INDB Full Nutrients'!$D:$D,MATCH(AC456,'INDB Full Nutrients'!$A:$A,0)),""))</f>
        <v>585.640808105469</v>
      </c>
      <c r="AE456" s="6" t="s">
        <v>576</v>
      </c>
      <c r="AF456" s="6"/>
    </row>
    <row r="457" customFormat="false" ht="15" hidden="false" customHeight="false" outlineLevel="0" collapsed="false">
      <c r="A457" s="6" t="s">
        <v>1785</v>
      </c>
      <c r="B457" s="6" t="s">
        <v>1786</v>
      </c>
      <c r="C457" s="6"/>
      <c r="D457" s="6" t="s">
        <v>56</v>
      </c>
      <c r="E457" s="6" t="s">
        <v>56</v>
      </c>
      <c r="F457" s="6" t="s">
        <v>100</v>
      </c>
      <c r="G457" s="6" t="s">
        <v>124</v>
      </c>
      <c r="H457" s="6" t="s">
        <v>588</v>
      </c>
      <c r="I457" s="6" t="s">
        <v>298</v>
      </c>
      <c r="J457" s="13" t="n">
        <f aca="false">4*K457+4*(L457-N457)+9*M457+2*N457</f>
        <v>138</v>
      </c>
      <c r="K457" s="14" t="n">
        <v>3.5</v>
      </c>
      <c r="L457" s="14" t="n">
        <v>14</v>
      </c>
      <c r="M457" s="14" t="n">
        <v>8</v>
      </c>
      <c r="N457" s="14" t="n">
        <v>2</v>
      </c>
      <c r="O457" s="14" t="n">
        <v>4</v>
      </c>
      <c r="P457" s="15" t="n">
        <v>650</v>
      </c>
      <c r="Q457" s="16" t="n">
        <v>100</v>
      </c>
      <c r="R457" s="16" t="n">
        <v>150</v>
      </c>
      <c r="S457" s="16" t="n">
        <v>200</v>
      </c>
      <c r="T457" s="16" t="n">
        <v>250</v>
      </c>
      <c r="U457" s="16" t="n">
        <v>500</v>
      </c>
      <c r="V457" s="13" t="n">
        <f aca="false">IF(Q457="","",J457*Q457/100)</f>
        <v>138</v>
      </c>
      <c r="W457" s="13" t="n">
        <f aca="false">IF(R457="","",J457*R457/100)</f>
        <v>207</v>
      </c>
      <c r="X457" s="13" t="n">
        <f aca="false">IF(S457="","",J457*S457/100)</f>
        <v>276</v>
      </c>
      <c r="Y457" s="13" t="n">
        <f aca="false">IF(T457="","",J457*T457/100)</f>
        <v>345</v>
      </c>
      <c r="Z457" s="13" t="n">
        <f aca="false">IF(U457="","",J457*U457/100)</f>
        <v>690</v>
      </c>
      <c r="AA457" s="6" t="s">
        <v>103</v>
      </c>
      <c r="AB457" s="6" t="s">
        <v>104</v>
      </c>
      <c r="AC457" s="6"/>
      <c r="AD457" s="13" t="str">
        <f aca="false">IF(AC457="","",IFERROR(INDEX('INDB Full Nutrients'!$D:$D,MATCH(AC457,'INDB Full Nutrients'!$A:$A,0)),""))</f>
        <v/>
      </c>
      <c r="AE457" s="6"/>
      <c r="AF457" s="6"/>
    </row>
    <row r="458" customFormat="false" ht="15" hidden="false" customHeight="false" outlineLevel="0" collapsed="false">
      <c r="A458" s="6" t="s">
        <v>1787</v>
      </c>
      <c r="B458" s="6" t="s">
        <v>1788</v>
      </c>
      <c r="C458" s="6"/>
      <c r="D458" s="6" t="s">
        <v>56</v>
      </c>
      <c r="E458" s="6" t="s">
        <v>56</v>
      </c>
      <c r="F458" s="6" t="s">
        <v>100</v>
      </c>
      <c r="G458" s="6"/>
      <c r="H458" s="6" t="s">
        <v>1480</v>
      </c>
      <c r="I458" s="6" t="s">
        <v>298</v>
      </c>
      <c r="J458" s="13" t="n">
        <f aca="false">4*K458+4*(L458-N458)+9*M458+2*N458</f>
        <v>233.6</v>
      </c>
      <c r="K458" s="14" t="n">
        <v>11</v>
      </c>
      <c r="L458" s="14" t="n">
        <v>12</v>
      </c>
      <c r="M458" s="14" t="n">
        <v>16</v>
      </c>
      <c r="N458" s="14" t="n">
        <v>1.2</v>
      </c>
      <c r="O458" s="14" t="n">
        <v>4.5</v>
      </c>
      <c r="P458" s="15" t="n">
        <v>700</v>
      </c>
      <c r="Q458" s="16" t="n">
        <v>100</v>
      </c>
      <c r="R458" s="16" t="n">
        <v>150</v>
      </c>
      <c r="S458" s="16" t="n">
        <v>200</v>
      </c>
      <c r="T458" s="16" t="n">
        <v>180</v>
      </c>
      <c r="U458" s="16" t="n">
        <v>350</v>
      </c>
      <c r="V458" s="13" t="n">
        <f aca="false">IF(Q458="","",J458*Q458/100)</f>
        <v>233.6</v>
      </c>
      <c r="W458" s="13" t="n">
        <f aca="false">IF(R458="","",J458*R458/100)</f>
        <v>350.4</v>
      </c>
      <c r="X458" s="13" t="n">
        <f aca="false">IF(S458="","",J458*S458/100)</f>
        <v>467.2</v>
      </c>
      <c r="Y458" s="13" t="n">
        <f aca="false">IF(T458="","",J458*T458/100)</f>
        <v>420.48</v>
      </c>
      <c r="Z458" s="13" t="n">
        <f aca="false">IF(U458="","",J458*U458/100)</f>
        <v>817.6</v>
      </c>
      <c r="AA458" s="6" t="s">
        <v>103</v>
      </c>
      <c r="AB458" s="6" t="s">
        <v>104</v>
      </c>
      <c r="AC458" s="6" t="s">
        <v>1789</v>
      </c>
      <c r="AD458" s="13" t="n">
        <f aca="false">IF(AC458="","",IFERROR(INDEX('INDB Full Nutrients'!$D:$D,MATCH(AC458,'INDB Full Nutrients'!$A:$A,0)),""))</f>
        <v>777.513732910156</v>
      </c>
      <c r="AE458" s="6" t="s">
        <v>740</v>
      </c>
      <c r="AF458" s="6"/>
    </row>
    <row r="459" customFormat="false" ht="15" hidden="false" customHeight="false" outlineLevel="0" collapsed="false">
      <c r="A459" s="6" t="s">
        <v>1790</v>
      </c>
      <c r="B459" s="6" t="s">
        <v>1791</v>
      </c>
      <c r="C459" s="6"/>
      <c r="D459" s="6" t="s">
        <v>56</v>
      </c>
      <c r="E459" s="6" t="s">
        <v>56</v>
      </c>
      <c r="F459" s="6" t="s">
        <v>100</v>
      </c>
      <c r="G459" s="6"/>
      <c r="H459" s="6" t="s">
        <v>588</v>
      </c>
      <c r="I459" s="6" t="s">
        <v>298</v>
      </c>
      <c r="J459" s="13" t="n">
        <f aca="false">4*K459+4*(L459-N459)+9*M459+2*N459</f>
        <v>178</v>
      </c>
      <c r="K459" s="14" t="n">
        <v>8</v>
      </c>
      <c r="L459" s="14" t="n">
        <v>10</v>
      </c>
      <c r="M459" s="14" t="n">
        <v>12</v>
      </c>
      <c r="N459" s="14" t="n">
        <v>1</v>
      </c>
      <c r="O459" s="14" t="n">
        <v>4</v>
      </c>
      <c r="P459" s="15" t="n">
        <v>650</v>
      </c>
      <c r="Q459" s="16" t="n">
        <v>100</v>
      </c>
      <c r="R459" s="16" t="n">
        <v>150</v>
      </c>
      <c r="S459" s="16" t="n">
        <v>200</v>
      </c>
      <c r="T459" s="16" t="n">
        <v>250</v>
      </c>
      <c r="U459" s="16" t="n">
        <v>500</v>
      </c>
      <c r="V459" s="13" t="n">
        <f aca="false">IF(Q459="","",J459*Q459/100)</f>
        <v>178</v>
      </c>
      <c r="W459" s="13" t="n">
        <f aca="false">IF(R459="","",J459*R459/100)</f>
        <v>267</v>
      </c>
      <c r="X459" s="13" t="n">
        <f aca="false">IF(S459="","",J459*S459/100)</f>
        <v>356</v>
      </c>
      <c r="Y459" s="13" t="n">
        <f aca="false">IF(T459="","",J459*T459/100)</f>
        <v>445</v>
      </c>
      <c r="Z459" s="13" t="n">
        <f aca="false">IF(U459="","",J459*U459/100)</f>
        <v>890</v>
      </c>
      <c r="AA459" s="6" t="s">
        <v>103</v>
      </c>
      <c r="AB459" s="6" t="s">
        <v>104</v>
      </c>
      <c r="AC459" s="6"/>
      <c r="AD459" s="13" t="str">
        <f aca="false">IF(AC459="","",IFERROR(INDEX('INDB Full Nutrients'!$D:$D,MATCH(AC459,'INDB Full Nutrients'!$A:$A,0)),""))</f>
        <v/>
      </c>
      <c r="AE459" s="6"/>
      <c r="AF459" s="6"/>
    </row>
    <row r="460" customFormat="false" ht="15" hidden="false" customHeight="false" outlineLevel="0" collapsed="false">
      <c r="A460" s="6" t="s">
        <v>1792</v>
      </c>
      <c r="B460" s="6" t="s">
        <v>1793</v>
      </c>
      <c r="C460" s="6"/>
      <c r="D460" s="6" t="s">
        <v>56</v>
      </c>
      <c r="E460" s="6" t="s">
        <v>56</v>
      </c>
      <c r="F460" s="6" t="s">
        <v>569</v>
      </c>
      <c r="G460" s="6"/>
      <c r="H460" s="6" t="s">
        <v>588</v>
      </c>
      <c r="I460" s="6" t="s">
        <v>298</v>
      </c>
      <c r="J460" s="13" t="n">
        <f aca="false">4*K460+4*(L460-N460)+9*M460+2*N460</f>
        <v>163.4</v>
      </c>
      <c r="K460" s="14" t="n">
        <v>11</v>
      </c>
      <c r="L460" s="14" t="n">
        <v>10</v>
      </c>
      <c r="M460" s="14" t="n">
        <v>9</v>
      </c>
      <c r="N460" s="14" t="n">
        <v>0.8</v>
      </c>
      <c r="O460" s="14" t="n">
        <v>4</v>
      </c>
      <c r="P460" s="15" t="n">
        <v>700</v>
      </c>
      <c r="Q460" s="16" t="n">
        <v>100</v>
      </c>
      <c r="R460" s="16" t="n">
        <v>150</v>
      </c>
      <c r="S460" s="16" t="n">
        <v>200</v>
      </c>
      <c r="T460" s="16" t="n">
        <v>250</v>
      </c>
      <c r="U460" s="16" t="n">
        <v>500</v>
      </c>
      <c r="V460" s="13" t="n">
        <f aca="false">IF(Q460="","",J460*Q460/100)</f>
        <v>163.4</v>
      </c>
      <c r="W460" s="13" t="n">
        <f aca="false">IF(R460="","",J460*R460/100)</f>
        <v>245.1</v>
      </c>
      <c r="X460" s="13" t="n">
        <f aca="false">IF(S460="","",J460*S460/100)</f>
        <v>326.8</v>
      </c>
      <c r="Y460" s="13" t="n">
        <f aca="false">IF(T460="","",J460*T460/100)</f>
        <v>408.5</v>
      </c>
      <c r="Z460" s="13" t="n">
        <f aca="false">IF(U460="","",J460*U460/100)</f>
        <v>817</v>
      </c>
      <c r="AA460" s="6" t="s">
        <v>103</v>
      </c>
      <c r="AB460" s="6" t="s">
        <v>104</v>
      </c>
      <c r="AC460" s="6"/>
      <c r="AD460" s="13" t="str">
        <f aca="false">IF(AC460="","",IFERROR(INDEX('INDB Full Nutrients'!$D:$D,MATCH(AC460,'INDB Full Nutrients'!$A:$A,0)),""))</f>
        <v/>
      </c>
      <c r="AE460" s="6"/>
      <c r="AF460" s="6"/>
    </row>
    <row r="461" customFormat="false" ht="15" hidden="false" customHeight="false" outlineLevel="0" collapsed="false">
      <c r="A461" s="6" t="s">
        <v>1794</v>
      </c>
      <c r="B461" s="6" t="s">
        <v>1795</v>
      </c>
      <c r="C461" s="6"/>
      <c r="D461" s="6" t="s">
        <v>56</v>
      </c>
      <c r="E461" s="6" t="s">
        <v>56</v>
      </c>
      <c r="F461" s="6" t="s">
        <v>569</v>
      </c>
      <c r="G461" s="6"/>
      <c r="H461" s="6" t="s">
        <v>588</v>
      </c>
      <c r="I461" s="6" t="s">
        <v>298</v>
      </c>
      <c r="J461" s="13" t="n">
        <f aca="false">4*K461+4*(L461-N461)+9*M461+2*N461</f>
        <v>159.4</v>
      </c>
      <c r="K461" s="14" t="n">
        <v>10</v>
      </c>
      <c r="L461" s="14" t="n">
        <v>10</v>
      </c>
      <c r="M461" s="14" t="n">
        <v>9</v>
      </c>
      <c r="N461" s="14" t="n">
        <v>0.8</v>
      </c>
      <c r="O461" s="14" t="n">
        <v>4</v>
      </c>
      <c r="P461" s="15" t="n">
        <v>700</v>
      </c>
      <c r="Q461" s="16" t="n">
        <v>100</v>
      </c>
      <c r="R461" s="16" t="n">
        <v>150</v>
      </c>
      <c r="S461" s="16" t="n">
        <v>200</v>
      </c>
      <c r="T461" s="16" t="n">
        <v>250</v>
      </c>
      <c r="U461" s="16" t="n">
        <v>500</v>
      </c>
      <c r="V461" s="13" t="n">
        <f aca="false">IF(Q461="","",J461*Q461/100)</f>
        <v>159.4</v>
      </c>
      <c r="W461" s="13" t="n">
        <f aca="false">IF(R461="","",J461*R461/100)</f>
        <v>239.1</v>
      </c>
      <c r="X461" s="13" t="n">
        <f aca="false">IF(S461="","",J461*S461/100)</f>
        <v>318.8</v>
      </c>
      <c r="Y461" s="13" t="n">
        <f aca="false">IF(T461="","",J461*T461/100)</f>
        <v>398.5</v>
      </c>
      <c r="Z461" s="13" t="n">
        <f aca="false">IF(U461="","",J461*U461/100)</f>
        <v>797</v>
      </c>
      <c r="AA461" s="6" t="s">
        <v>103</v>
      </c>
      <c r="AB461" s="6" t="s">
        <v>104</v>
      </c>
      <c r="AC461" s="6" t="s">
        <v>1796</v>
      </c>
      <c r="AD461" s="13" t="n">
        <f aca="false">IF(AC461="","",IFERROR(INDEX('INDB Full Nutrients'!$D:$D,MATCH(AC461,'INDB Full Nutrients'!$A:$A,0)),""))</f>
        <v>142.337982177734</v>
      </c>
      <c r="AE461" s="6" t="s">
        <v>922</v>
      </c>
      <c r="AF461" s="6"/>
    </row>
    <row r="462" customFormat="false" ht="15" hidden="false" customHeight="false" outlineLevel="0" collapsed="false">
      <c r="A462" s="6" t="s">
        <v>1797</v>
      </c>
      <c r="B462" s="6" t="s">
        <v>1798</v>
      </c>
      <c r="C462" s="6"/>
      <c r="D462" s="6" t="s">
        <v>56</v>
      </c>
      <c r="E462" s="6" t="s">
        <v>56</v>
      </c>
      <c r="F462" s="6" t="s">
        <v>100</v>
      </c>
      <c r="G462" s="6" t="s">
        <v>124</v>
      </c>
      <c r="H462" s="6" t="s">
        <v>1480</v>
      </c>
      <c r="I462" s="6" t="s">
        <v>298</v>
      </c>
      <c r="J462" s="13" t="n">
        <f aca="false">4*K462+4*(L462-N462)+9*M462+2*N462</f>
        <v>242</v>
      </c>
      <c r="K462" s="14" t="n">
        <v>5</v>
      </c>
      <c r="L462" s="14" t="n">
        <v>30</v>
      </c>
      <c r="M462" s="14" t="n">
        <v>12</v>
      </c>
      <c r="N462" s="14" t="n">
        <v>3</v>
      </c>
      <c r="O462" s="14" t="n">
        <v>4</v>
      </c>
      <c r="P462" s="15" t="n">
        <v>500</v>
      </c>
      <c r="Q462" s="16" t="n">
        <v>100</v>
      </c>
      <c r="R462" s="16" t="n">
        <v>150</v>
      </c>
      <c r="S462" s="16" t="n">
        <v>200</v>
      </c>
      <c r="T462" s="16" t="n">
        <v>180</v>
      </c>
      <c r="U462" s="16" t="n">
        <v>350</v>
      </c>
      <c r="V462" s="13" t="n">
        <f aca="false">IF(Q462="","",J462*Q462/100)</f>
        <v>242</v>
      </c>
      <c r="W462" s="13" t="n">
        <f aca="false">IF(R462="","",J462*R462/100)</f>
        <v>363</v>
      </c>
      <c r="X462" s="13" t="n">
        <f aca="false">IF(S462="","",J462*S462/100)</f>
        <v>484</v>
      </c>
      <c r="Y462" s="13" t="n">
        <f aca="false">IF(T462="","",J462*T462/100)</f>
        <v>435.6</v>
      </c>
      <c r="Z462" s="13" t="n">
        <f aca="false">IF(U462="","",J462*U462/100)</f>
        <v>847</v>
      </c>
      <c r="AA462" s="6" t="s">
        <v>103</v>
      </c>
      <c r="AB462" s="6" t="s">
        <v>104</v>
      </c>
      <c r="AC462" s="6"/>
      <c r="AD462" s="13" t="str">
        <f aca="false">IF(AC462="","",IFERROR(INDEX('INDB Full Nutrients'!$D:$D,MATCH(AC462,'INDB Full Nutrients'!$A:$A,0)),""))</f>
        <v/>
      </c>
      <c r="AE462" s="6"/>
      <c r="AF462" s="6"/>
    </row>
    <row r="463" customFormat="false" ht="15" hidden="false" customHeight="false" outlineLevel="0" collapsed="false">
      <c r="A463" s="6" t="s">
        <v>1799</v>
      </c>
      <c r="B463" s="6" t="s">
        <v>1800</v>
      </c>
      <c r="C463" s="6"/>
      <c r="D463" s="6" t="s">
        <v>56</v>
      </c>
      <c r="E463" s="6" t="s">
        <v>56</v>
      </c>
      <c r="F463" s="6" t="s">
        <v>100</v>
      </c>
      <c r="G463" s="6" t="s">
        <v>124</v>
      </c>
      <c r="H463" s="6" t="s">
        <v>1480</v>
      </c>
      <c r="I463" s="6" t="s">
        <v>298</v>
      </c>
      <c r="J463" s="13" t="n">
        <f aca="false">4*K463+4*(L463-N463)+9*M463+2*N463</f>
        <v>251</v>
      </c>
      <c r="K463" s="14" t="n">
        <v>3</v>
      </c>
      <c r="L463" s="14" t="n">
        <v>34</v>
      </c>
      <c r="M463" s="14" t="n">
        <v>12</v>
      </c>
      <c r="N463" s="14" t="n">
        <v>2.5</v>
      </c>
      <c r="O463" s="14" t="n">
        <v>10</v>
      </c>
      <c r="P463" s="15" t="n">
        <v>500</v>
      </c>
      <c r="Q463" s="16" t="n">
        <v>100</v>
      </c>
      <c r="R463" s="16" t="n">
        <v>150</v>
      </c>
      <c r="S463" s="16" t="n">
        <v>200</v>
      </c>
      <c r="T463" s="16" t="n">
        <v>180</v>
      </c>
      <c r="U463" s="16" t="n">
        <v>350</v>
      </c>
      <c r="V463" s="13" t="n">
        <f aca="false">IF(Q463="","",J463*Q463/100)</f>
        <v>251</v>
      </c>
      <c r="W463" s="13" t="n">
        <f aca="false">IF(R463="","",J463*R463/100)</f>
        <v>376.5</v>
      </c>
      <c r="X463" s="13" t="n">
        <f aca="false">IF(S463="","",J463*S463/100)</f>
        <v>502</v>
      </c>
      <c r="Y463" s="13" t="n">
        <f aca="false">IF(T463="","",J463*T463/100)</f>
        <v>451.8</v>
      </c>
      <c r="Z463" s="13" t="n">
        <f aca="false">IF(U463="","",J463*U463/100)</f>
        <v>878.5</v>
      </c>
      <c r="AA463" s="6" t="s">
        <v>103</v>
      </c>
      <c r="AB463" s="6" t="s">
        <v>104</v>
      </c>
      <c r="AC463" s="6"/>
      <c r="AD463" s="13" t="str">
        <f aca="false">IF(AC463="","",IFERROR(INDEX('INDB Full Nutrients'!$D:$D,MATCH(AC463,'INDB Full Nutrients'!$A:$A,0)),""))</f>
        <v/>
      </c>
      <c r="AE463" s="6"/>
      <c r="AF463" s="6"/>
    </row>
    <row r="464" customFormat="false" ht="15" hidden="false" customHeight="false" outlineLevel="0" collapsed="false">
      <c r="A464" s="6" t="s">
        <v>1801</v>
      </c>
      <c r="B464" s="6" t="s">
        <v>1802</v>
      </c>
      <c r="C464" s="6"/>
      <c r="D464" s="6" t="s">
        <v>56</v>
      </c>
      <c r="E464" s="6" t="s">
        <v>56</v>
      </c>
      <c r="F464" s="6" t="s">
        <v>100</v>
      </c>
      <c r="G464" s="6" t="s">
        <v>124</v>
      </c>
      <c r="H464" s="6" t="s">
        <v>1480</v>
      </c>
      <c r="I464" s="6" t="s">
        <v>298</v>
      </c>
      <c r="J464" s="13" t="n">
        <f aca="false">4*K464+4*(L464-N464)+9*M464+2*N464</f>
        <v>150</v>
      </c>
      <c r="K464" s="14" t="n">
        <v>4</v>
      </c>
      <c r="L464" s="14" t="n">
        <v>12</v>
      </c>
      <c r="M464" s="14" t="n">
        <v>10</v>
      </c>
      <c r="N464" s="14" t="n">
        <v>2</v>
      </c>
      <c r="O464" s="14" t="n">
        <v>4</v>
      </c>
      <c r="P464" s="15" t="n">
        <v>650</v>
      </c>
      <c r="Q464" s="16" t="n">
        <v>100</v>
      </c>
      <c r="R464" s="16" t="n">
        <v>150</v>
      </c>
      <c r="S464" s="16" t="n">
        <v>200</v>
      </c>
      <c r="T464" s="16" t="n">
        <v>180</v>
      </c>
      <c r="U464" s="16" t="n">
        <v>350</v>
      </c>
      <c r="V464" s="13" t="n">
        <f aca="false">IF(Q464="","",J464*Q464/100)</f>
        <v>150</v>
      </c>
      <c r="W464" s="13" t="n">
        <f aca="false">IF(R464="","",J464*R464/100)</f>
        <v>225</v>
      </c>
      <c r="X464" s="13" t="n">
        <f aca="false">IF(S464="","",J464*S464/100)</f>
        <v>300</v>
      </c>
      <c r="Y464" s="13" t="n">
        <f aca="false">IF(T464="","",J464*T464/100)</f>
        <v>270</v>
      </c>
      <c r="Z464" s="13" t="n">
        <f aca="false">IF(U464="","",J464*U464/100)</f>
        <v>525</v>
      </c>
      <c r="AA464" s="6" t="s">
        <v>103</v>
      </c>
      <c r="AB464" s="6" t="s">
        <v>104</v>
      </c>
      <c r="AC464" s="6"/>
      <c r="AD464" s="13" t="str">
        <f aca="false">IF(AC464="","",IFERROR(INDEX('INDB Full Nutrients'!$D:$D,MATCH(AC464,'INDB Full Nutrients'!$A:$A,0)),""))</f>
        <v/>
      </c>
      <c r="AE464" s="6"/>
      <c r="AF464" s="6"/>
    </row>
    <row r="465" customFormat="false" ht="15" hidden="false" customHeight="false" outlineLevel="0" collapsed="false">
      <c r="A465" s="6" t="s">
        <v>1803</v>
      </c>
      <c r="B465" s="6" t="s">
        <v>1804</v>
      </c>
      <c r="C465" s="6"/>
      <c r="D465" s="6" t="s">
        <v>56</v>
      </c>
      <c r="E465" s="6" t="s">
        <v>56</v>
      </c>
      <c r="F465" s="6" t="s">
        <v>100</v>
      </c>
      <c r="G465" s="6" t="s">
        <v>124</v>
      </c>
      <c r="H465" s="6" t="s">
        <v>1480</v>
      </c>
      <c r="I465" s="6" t="s">
        <v>298</v>
      </c>
      <c r="J465" s="13" t="n">
        <f aca="false">4*K465+4*(L465-N465)+9*M465+2*N465</f>
        <v>180</v>
      </c>
      <c r="K465" s="14" t="n">
        <v>3.5</v>
      </c>
      <c r="L465" s="14" t="n">
        <v>18</v>
      </c>
      <c r="M465" s="14" t="n">
        <v>11</v>
      </c>
      <c r="N465" s="14" t="n">
        <v>2.5</v>
      </c>
      <c r="O465" s="14" t="n">
        <v>4.5</v>
      </c>
      <c r="P465" s="15" t="n">
        <v>650</v>
      </c>
      <c r="Q465" s="16" t="n">
        <v>100</v>
      </c>
      <c r="R465" s="16" t="n">
        <v>150</v>
      </c>
      <c r="S465" s="16" t="n">
        <v>200</v>
      </c>
      <c r="T465" s="16" t="n">
        <v>180</v>
      </c>
      <c r="U465" s="16" t="n">
        <v>350</v>
      </c>
      <c r="V465" s="13" t="n">
        <f aca="false">IF(Q465="","",J465*Q465/100)</f>
        <v>180</v>
      </c>
      <c r="W465" s="13" t="n">
        <f aca="false">IF(R465="","",J465*R465/100)</f>
        <v>270</v>
      </c>
      <c r="X465" s="13" t="n">
        <f aca="false">IF(S465="","",J465*S465/100)</f>
        <v>360</v>
      </c>
      <c r="Y465" s="13" t="n">
        <f aca="false">IF(T465="","",J465*T465/100)</f>
        <v>324</v>
      </c>
      <c r="Z465" s="13" t="n">
        <f aca="false">IF(U465="","",J465*U465/100)</f>
        <v>630</v>
      </c>
      <c r="AA465" s="6" t="s">
        <v>103</v>
      </c>
      <c r="AB465" s="6" t="s">
        <v>104</v>
      </c>
      <c r="AC465" s="6"/>
      <c r="AD465" s="13" t="str">
        <f aca="false">IF(AC465="","",IFERROR(INDEX('INDB Full Nutrients'!$D:$D,MATCH(AC465,'INDB Full Nutrients'!$A:$A,0)),""))</f>
        <v/>
      </c>
      <c r="AE465" s="6"/>
      <c r="AF465" s="6"/>
    </row>
    <row r="466" customFormat="false" ht="15" hidden="false" customHeight="false" outlineLevel="0" collapsed="false">
      <c r="A466" s="6" t="s">
        <v>1805</v>
      </c>
      <c r="B466" s="6" t="s">
        <v>1806</v>
      </c>
      <c r="C466" s="6" t="s">
        <v>1807</v>
      </c>
      <c r="D466" s="6" t="s">
        <v>57</v>
      </c>
      <c r="E466" s="6" t="s">
        <v>99</v>
      </c>
      <c r="F466" s="6" t="s">
        <v>100</v>
      </c>
      <c r="G466" s="6"/>
      <c r="H466" s="6" t="s">
        <v>1480</v>
      </c>
      <c r="I466" s="6" t="s">
        <v>102</v>
      </c>
      <c r="J466" s="13" t="n">
        <f aca="false">4*K466+4*(L466-N466)+9*M466+2*N466</f>
        <v>61.8</v>
      </c>
      <c r="K466" s="14" t="n">
        <v>1.2</v>
      </c>
      <c r="L466" s="14" t="n">
        <v>8</v>
      </c>
      <c r="M466" s="14" t="n">
        <v>3</v>
      </c>
      <c r="N466" s="14" t="n">
        <v>1</v>
      </c>
      <c r="O466" s="14" t="n">
        <v>5</v>
      </c>
      <c r="P466" s="15" t="n">
        <v>380</v>
      </c>
      <c r="Q466" s="16" t="n">
        <v>150</v>
      </c>
      <c r="R466" s="16" t="n">
        <v>250</v>
      </c>
      <c r="S466" s="16" t="n">
        <v>350</v>
      </c>
      <c r="T466" s="6"/>
      <c r="U466" s="6"/>
      <c r="V466" s="13" t="n">
        <f aca="false">IF(Q466="","",J466*Q466/100)</f>
        <v>92.7</v>
      </c>
      <c r="W466" s="13" t="n">
        <f aca="false">IF(R466="","",J466*R466/100)</f>
        <v>154.5</v>
      </c>
      <c r="X466" s="13" t="n">
        <f aca="false">IF(S466="","",J466*S466/100)</f>
        <v>216.3</v>
      </c>
      <c r="Y466" s="13" t="str">
        <f aca="false">IF(T466="","",J466*T466/100)</f>
        <v/>
      </c>
      <c r="Z466" s="13" t="str">
        <f aca="false">IF(U466="","",J466*U466/100)</f>
        <v/>
      </c>
      <c r="AA466" s="6" t="s">
        <v>103</v>
      </c>
      <c r="AB466" s="6" t="s">
        <v>104</v>
      </c>
      <c r="AC466" s="6" t="s">
        <v>1808</v>
      </c>
      <c r="AD466" s="13" t="n">
        <f aca="false">IF(AC466="","",IFERROR(INDEX('INDB Full Nutrients'!$D:$D,MATCH(AC466,'INDB Full Nutrients'!$A:$A,0)),""))</f>
        <v>97.8122177124023</v>
      </c>
      <c r="AE466" s="6" t="s">
        <v>922</v>
      </c>
      <c r="AF466" s="6" t="s">
        <v>1809</v>
      </c>
    </row>
    <row r="467" customFormat="false" ht="15" hidden="false" customHeight="false" outlineLevel="0" collapsed="false">
      <c r="A467" s="6" t="s">
        <v>1810</v>
      </c>
      <c r="B467" s="6" t="s">
        <v>1811</v>
      </c>
      <c r="C467" s="6"/>
      <c r="D467" s="6" t="s">
        <v>57</v>
      </c>
      <c r="E467" s="6" t="s">
        <v>56</v>
      </c>
      <c r="F467" s="6" t="s">
        <v>100</v>
      </c>
      <c r="G467" s="6" t="s">
        <v>124</v>
      </c>
      <c r="H467" s="6" t="s">
        <v>1480</v>
      </c>
      <c r="I467" s="6" t="s">
        <v>102</v>
      </c>
      <c r="J467" s="13" t="n">
        <f aca="false">4*K467+4*(L467-N467)+9*M467+2*N467</f>
        <v>57.9</v>
      </c>
      <c r="K467" s="14" t="n">
        <v>1.5</v>
      </c>
      <c r="L467" s="14" t="n">
        <v>10</v>
      </c>
      <c r="M467" s="14" t="n">
        <v>1.5</v>
      </c>
      <c r="N467" s="14" t="n">
        <v>0.8</v>
      </c>
      <c r="O467" s="14" t="n">
        <v>2.5</v>
      </c>
      <c r="P467" s="15" t="n">
        <v>450</v>
      </c>
      <c r="Q467" s="16" t="n">
        <v>150</v>
      </c>
      <c r="R467" s="16" t="n">
        <v>250</v>
      </c>
      <c r="S467" s="16" t="n">
        <v>350</v>
      </c>
      <c r="T467" s="6"/>
      <c r="U467" s="6"/>
      <c r="V467" s="13" t="n">
        <f aca="false">IF(Q467="","",J467*Q467/100)</f>
        <v>86.85</v>
      </c>
      <c r="W467" s="13" t="n">
        <f aca="false">IF(R467="","",J467*R467/100)</f>
        <v>144.75</v>
      </c>
      <c r="X467" s="13" t="n">
        <f aca="false">IF(S467="","",J467*S467/100)</f>
        <v>202.65</v>
      </c>
      <c r="Y467" s="13" t="str">
        <f aca="false">IF(T467="","",J467*T467/100)</f>
        <v/>
      </c>
      <c r="Z467" s="13" t="str">
        <f aca="false">IF(U467="","",J467*U467/100)</f>
        <v/>
      </c>
      <c r="AA467" s="6" t="s">
        <v>103</v>
      </c>
      <c r="AB467" s="6" t="s">
        <v>104</v>
      </c>
      <c r="AC467" s="6" t="s">
        <v>1812</v>
      </c>
      <c r="AD467" s="13" t="n">
        <f aca="false">IF(AC467="","",IFERROR(INDEX('INDB Full Nutrients'!$D:$D,MATCH(AC467,'INDB Full Nutrients'!$A:$A,0)),""))</f>
        <v>32.2457580566406</v>
      </c>
      <c r="AE467" s="6" t="s">
        <v>1813</v>
      </c>
      <c r="AF467" s="6"/>
    </row>
    <row r="468" customFormat="false" ht="15" hidden="false" customHeight="false" outlineLevel="0" collapsed="false">
      <c r="A468" s="6" t="s">
        <v>1814</v>
      </c>
      <c r="B468" s="6" t="s">
        <v>1815</v>
      </c>
      <c r="C468" s="6"/>
      <c r="D468" s="6" t="s">
        <v>57</v>
      </c>
      <c r="E468" s="6" t="s">
        <v>56</v>
      </c>
      <c r="F468" s="6" t="s">
        <v>569</v>
      </c>
      <c r="G468" s="6"/>
      <c r="H468" s="6" t="s">
        <v>1480</v>
      </c>
      <c r="I468" s="6" t="s">
        <v>102</v>
      </c>
      <c r="J468" s="13" t="n">
        <f aca="false">4*K468+4*(L468-N468)+9*M468+2*N468</f>
        <v>61</v>
      </c>
      <c r="K468" s="14" t="n">
        <v>3.5</v>
      </c>
      <c r="L468" s="14" t="n">
        <v>8</v>
      </c>
      <c r="M468" s="14" t="n">
        <v>1.8</v>
      </c>
      <c r="N468" s="14" t="n">
        <v>0.6</v>
      </c>
      <c r="O468" s="14" t="n">
        <v>2</v>
      </c>
      <c r="P468" s="15" t="n">
        <v>480</v>
      </c>
      <c r="Q468" s="16" t="n">
        <v>150</v>
      </c>
      <c r="R468" s="16" t="n">
        <v>250</v>
      </c>
      <c r="S468" s="16" t="n">
        <v>350</v>
      </c>
      <c r="T468" s="6"/>
      <c r="U468" s="6"/>
      <c r="V468" s="13" t="n">
        <f aca="false">IF(Q468="","",J468*Q468/100)</f>
        <v>91.5</v>
      </c>
      <c r="W468" s="13" t="n">
        <f aca="false">IF(R468="","",J468*R468/100)</f>
        <v>152.5</v>
      </c>
      <c r="X468" s="13" t="n">
        <f aca="false">IF(S468="","",J468*S468/100)</f>
        <v>213.5</v>
      </c>
      <c r="Y468" s="13" t="str">
        <f aca="false">IF(T468="","",J468*T468/100)</f>
        <v/>
      </c>
      <c r="Z468" s="13" t="str">
        <f aca="false">IF(U468="","",J468*U468/100)</f>
        <v/>
      </c>
      <c r="AA468" s="6" t="s">
        <v>103</v>
      </c>
      <c r="AB468" s="6" t="s">
        <v>104</v>
      </c>
      <c r="AC468" s="6" t="s">
        <v>1816</v>
      </c>
      <c r="AD468" s="13" t="n">
        <f aca="false">IF(AC468="","",IFERROR(INDEX('INDB Full Nutrients'!$D:$D,MATCH(AC468,'INDB Full Nutrients'!$A:$A,0)),""))</f>
        <v>28.3204822540283</v>
      </c>
      <c r="AE468" s="6" t="s">
        <v>922</v>
      </c>
      <c r="AF468" s="6"/>
    </row>
    <row r="469" customFormat="false" ht="15" hidden="false" customHeight="false" outlineLevel="0" collapsed="false">
      <c r="A469" s="6" t="s">
        <v>1817</v>
      </c>
      <c r="B469" s="6" t="s">
        <v>1818</v>
      </c>
      <c r="C469" s="6"/>
      <c r="D469" s="6" t="s">
        <v>57</v>
      </c>
      <c r="E469" s="6" t="s">
        <v>56</v>
      </c>
      <c r="F469" s="6" t="s">
        <v>100</v>
      </c>
      <c r="G469" s="6" t="s">
        <v>124</v>
      </c>
      <c r="H469" s="6" t="s">
        <v>1480</v>
      </c>
      <c r="I469" s="6" t="s">
        <v>102</v>
      </c>
      <c r="J469" s="13" t="n">
        <f aca="false">4*K469+4*(L469-N469)+9*M469+2*N469</f>
        <v>41.9</v>
      </c>
      <c r="K469" s="14" t="n">
        <v>1.5</v>
      </c>
      <c r="L469" s="14" t="n">
        <v>6</v>
      </c>
      <c r="M469" s="14" t="n">
        <v>1.5</v>
      </c>
      <c r="N469" s="14" t="n">
        <v>0.8</v>
      </c>
      <c r="O469" s="14" t="n">
        <v>2</v>
      </c>
      <c r="P469" s="15" t="n">
        <v>600</v>
      </c>
      <c r="Q469" s="16" t="n">
        <v>150</v>
      </c>
      <c r="R469" s="16" t="n">
        <v>250</v>
      </c>
      <c r="S469" s="16" t="n">
        <v>350</v>
      </c>
      <c r="T469" s="6"/>
      <c r="U469" s="6"/>
      <c r="V469" s="13" t="n">
        <f aca="false">IF(Q469="","",J469*Q469/100)</f>
        <v>62.85</v>
      </c>
      <c r="W469" s="13" t="n">
        <f aca="false">IF(R469="","",J469*R469/100)</f>
        <v>104.75</v>
      </c>
      <c r="X469" s="13" t="n">
        <f aca="false">IF(S469="","",J469*S469/100)</f>
        <v>146.65</v>
      </c>
      <c r="Y469" s="13" t="str">
        <f aca="false">IF(T469="","",J469*T469/100)</f>
        <v/>
      </c>
      <c r="Z469" s="13" t="str">
        <f aca="false">IF(U469="","",J469*U469/100)</f>
        <v/>
      </c>
      <c r="AA469" s="6" t="s">
        <v>103</v>
      </c>
      <c r="AB469" s="6" t="s">
        <v>104</v>
      </c>
      <c r="AC469" s="6" t="s">
        <v>1819</v>
      </c>
      <c r="AD469" s="13" t="n">
        <f aca="false">IF(AC469="","",IFERROR(INDEX('INDB Full Nutrients'!$D:$D,MATCH(AC469,'INDB Full Nutrients'!$A:$A,0)),""))</f>
        <v>31.5139465332031</v>
      </c>
      <c r="AE469" s="6" t="s">
        <v>1820</v>
      </c>
      <c r="AF469" s="6"/>
    </row>
    <row r="470" customFormat="false" ht="15" hidden="false" customHeight="false" outlineLevel="0" collapsed="false">
      <c r="A470" s="6" t="s">
        <v>1821</v>
      </c>
      <c r="B470" s="6" t="s">
        <v>1822</v>
      </c>
      <c r="C470" s="6"/>
      <c r="D470" s="6" t="s">
        <v>57</v>
      </c>
      <c r="E470" s="6" t="s">
        <v>56</v>
      </c>
      <c r="F470" s="6" t="s">
        <v>569</v>
      </c>
      <c r="G470" s="6"/>
      <c r="H470" s="6" t="s">
        <v>1480</v>
      </c>
      <c r="I470" s="6" t="s">
        <v>102</v>
      </c>
      <c r="J470" s="13" t="n">
        <f aca="false">4*K470+4*(L470-N470)+9*M470+2*N470</f>
        <v>49.2</v>
      </c>
      <c r="K470" s="14" t="n">
        <v>3.5</v>
      </c>
      <c r="L470" s="14" t="n">
        <v>5</v>
      </c>
      <c r="M470" s="14" t="n">
        <v>1.8</v>
      </c>
      <c r="N470" s="14" t="n">
        <v>0.5</v>
      </c>
      <c r="O470" s="14" t="n">
        <v>2</v>
      </c>
      <c r="P470" s="15" t="n">
        <v>600</v>
      </c>
      <c r="Q470" s="16" t="n">
        <v>150</v>
      </c>
      <c r="R470" s="16" t="n">
        <v>250</v>
      </c>
      <c r="S470" s="16" t="n">
        <v>350</v>
      </c>
      <c r="T470" s="6"/>
      <c r="U470" s="6"/>
      <c r="V470" s="13" t="n">
        <f aca="false">IF(Q470="","",J470*Q470/100)</f>
        <v>73.8</v>
      </c>
      <c r="W470" s="13" t="n">
        <f aca="false">IF(R470="","",J470*R470/100)</f>
        <v>123</v>
      </c>
      <c r="X470" s="13" t="n">
        <f aca="false">IF(S470="","",J470*S470/100)</f>
        <v>172.2</v>
      </c>
      <c r="Y470" s="13" t="str">
        <f aca="false">IF(T470="","",J470*T470/100)</f>
        <v/>
      </c>
      <c r="Z470" s="13" t="str">
        <f aca="false">IF(U470="","",J470*U470/100)</f>
        <v/>
      </c>
      <c r="AA470" s="6" t="s">
        <v>103</v>
      </c>
      <c r="AB470" s="6" t="s">
        <v>104</v>
      </c>
      <c r="AC470" s="6"/>
      <c r="AD470" s="13" t="str">
        <f aca="false">IF(AC470="","",IFERROR(INDEX('INDB Full Nutrients'!$D:$D,MATCH(AC470,'INDB Full Nutrients'!$A:$A,0)),""))</f>
        <v/>
      </c>
      <c r="AE470" s="6"/>
      <c r="AF470" s="6"/>
    </row>
    <row r="471" customFormat="false" ht="15" hidden="false" customHeight="false" outlineLevel="0" collapsed="false">
      <c r="A471" s="6" t="s">
        <v>1823</v>
      </c>
      <c r="B471" s="6" t="s">
        <v>1824</v>
      </c>
      <c r="C471" s="6"/>
      <c r="D471" s="6" t="s">
        <v>57</v>
      </c>
      <c r="E471" s="6" t="s">
        <v>56</v>
      </c>
      <c r="F471" s="6" t="s">
        <v>100</v>
      </c>
      <c r="G471" s="6" t="s">
        <v>124</v>
      </c>
      <c r="H471" s="6" t="s">
        <v>1480</v>
      </c>
      <c r="I471" s="6" t="s">
        <v>102</v>
      </c>
      <c r="J471" s="13" t="n">
        <f aca="false">4*K471+4*(L471-N471)+9*M471+2*N471</f>
        <v>59.7</v>
      </c>
      <c r="K471" s="14" t="n">
        <v>1.8</v>
      </c>
      <c r="L471" s="14" t="n">
        <v>8</v>
      </c>
      <c r="M471" s="14" t="n">
        <v>2.5</v>
      </c>
      <c r="N471" s="14" t="n">
        <v>1</v>
      </c>
      <c r="O471" s="14" t="n">
        <v>2</v>
      </c>
      <c r="P471" s="15" t="n">
        <v>650</v>
      </c>
      <c r="Q471" s="16" t="n">
        <v>150</v>
      </c>
      <c r="R471" s="16" t="n">
        <v>250</v>
      </c>
      <c r="S471" s="16" t="n">
        <v>350</v>
      </c>
      <c r="T471" s="6"/>
      <c r="U471" s="6"/>
      <c r="V471" s="13" t="n">
        <f aca="false">IF(Q471="","",J471*Q471/100)</f>
        <v>89.55</v>
      </c>
      <c r="W471" s="13" t="n">
        <f aca="false">IF(R471="","",J471*R471/100)</f>
        <v>149.25</v>
      </c>
      <c r="X471" s="13" t="n">
        <f aca="false">IF(S471="","",J471*S471/100)</f>
        <v>208.95</v>
      </c>
      <c r="Y471" s="13" t="str">
        <f aca="false">IF(T471="","",J471*T471/100)</f>
        <v/>
      </c>
      <c r="Z471" s="13" t="str">
        <f aca="false">IF(U471="","",J471*U471/100)</f>
        <v/>
      </c>
      <c r="AA471" s="6" t="s">
        <v>103</v>
      </c>
      <c r="AB471" s="6" t="s">
        <v>104</v>
      </c>
      <c r="AC471" s="6"/>
      <c r="AD471" s="13" t="str">
        <f aca="false">IF(AC471="","",IFERROR(INDEX('INDB Full Nutrients'!$D:$D,MATCH(AC471,'INDB Full Nutrients'!$A:$A,0)),""))</f>
        <v/>
      </c>
      <c r="AE471" s="6"/>
      <c r="AF471" s="6" t="s">
        <v>1825</v>
      </c>
    </row>
    <row r="472" customFormat="false" ht="15" hidden="false" customHeight="false" outlineLevel="0" collapsed="false">
      <c r="A472" s="6" t="s">
        <v>1826</v>
      </c>
      <c r="B472" s="6" t="s">
        <v>1827</v>
      </c>
      <c r="C472" s="6"/>
      <c r="D472" s="6" t="s">
        <v>57</v>
      </c>
      <c r="E472" s="6" t="s">
        <v>56</v>
      </c>
      <c r="F472" s="6" t="s">
        <v>569</v>
      </c>
      <c r="G472" s="6"/>
      <c r="H472" s="6" t="s">
        <v>1480</v>
      </c>
      <c r="I472" s="6" t="s">
        <v>102</v>
      </c>
      <c r="J472" s="13" t="n">
        <f aca="false">4*K472+4*(L472-N472)+9*M472+2*N472</f>
        <v>65.6</v>
      </c>
      <c r="K472" s="14" t="n">
        <v>3.5</v>
      </c>
      <c r="L472" s="14" t="n">
        <v>7</v>
      </c>
      <c r="M472" s="14" t="n">
        <v>2.8</v>
      </c>
      <c r="N472" s="14" t="n">
        <v>0.8</v>
      </c>
      <c r="O472" s="14" t="n">
        <v>2</v>
      </c>
      <c r="P472" s="15" t="n">
        <v>650</v>
      </c>
      <c r="Q472" s="16" t="n">
        <v>150</v>
      </c>
      <c r="R472" s="16" t="n">
        <v>250</v>
      </c>
      <c r="S472" s="16" t="n">
        <v>350</v>
      </c>
      <c r="T472" s="6"/>
      <c r="U472" s="6"/>
      <c r="V472" s="13" t="n">
        <f aca="false">IF(Q472="","",J472*Q472/100)</f>
        <v>98.4</v>
      </c>
      <c r="W472" s="13" t="n">
        <f aca="false">IF(R472="","",J472*R472/100)</f>
        <v>164</v>
      </c>
      <c r="X472" s="13" t="n">
        <f aca="false">IF(S472="","",J472*S472/100)</f>
        <v>229.6</v>
      </c>
      <c r="Y472" s="13" t="str">
        <f aca="false">IF(T472="","",J472*T472/100)</f>
        <v/>
      </c>
      <c r="Z472" s="13" t="str">
        <f aca="false">IF(U472="","",J472*U472/100)</f>
        <v/>
      </c>
      <c r="AA472" s="6" t="s">
        <v>103</v>
      </c>
      <c r="AB472" s="6" t="s">
        <v>104</v>
      </c>
      <c r="AC472" s="6"/>
      <c r="AD472" s="13" t="str">
        <f aca="false">IF(AC472="","",IFERROR(INDEX('INDB Full Nutrients'!$D:$D,MATCH(AC472,'INDB Full Nutrients'!$A:$A,0)),""))</f>
        <v/>
      </c>
      <c r="AE472" s="6"/>
      <c r="AF472" s="6"/>
    </row>
    <row r="473" customFormat="false" ht="15" hidden="false" customHeight="false" outlineLevel="0" collapsed="false">
      <c r="A473" s="6" t="s">
        <v>1828</v>
      </c>
      <c r="B473" s="6" t="s">
        <v>1829</v>
      </c>
      <c r="C473" s="6"/>
      <c r="D473" s="6" t="s">
        <v>57</v>
      </c>
      <c r="E473" s="6" t="s">
        <v>99</v>
      </c>
      <c r="F473" s="6" t="s">
        <v>100</v>
      </c>
      <c r="G473" s="6" t="s">
        <v>124</v>
      </c>
      <c r="H473" s="6" t="s">
        <v>1480</v>
      </c>
      <c r="I473" s="6" t="s">
        <v>102</v>
      </c>
      <c r="J473" s="13" t="n">
        <f aca="false">4*K473+4*(L473-N473)+9*M473+2*N473</f>
        <v>30.2</v>
      </c>
      <c r="K473" s="14" t="n">
        <v>1.2</v>
      </c>
      <c r="L473" s="14" t="n">
        <v>4.5</v>
      </c>
      <c r="M473" s="14" t="n">
        <v>1</v>
      </c>
      <c r="N473" s="14" t="n">
        <v>0.8</v>
      </c>
      <c r="O473" s="14" t="n">
        <v>1.5</v>
      </c>
      <c r="P473" s="15" t="n">
        <v>450</v>
      </c>
      <c r="Q473" s="16" t="n">
        <v>150</v>
      </c>
      <c r="R473" s="16" t="n">
        <v>250</v>
      </c>
      <c r="S473" s="16" t="n">
        <v>350</v>
      </c>
      <c r="T473" s="6"/>
      <c r="U473" s="6"/>
      <c r="V473" s="13" t="n">
        <f aca="false">IF(Q473="","",J473*Q473/100)</f>
        <v>45.3</v>
      </c>
      <c r="W473" s="13" t="n">
        <f aca="false">IF(R473="","",J473*R473/100)</f>
        <v>75.5</v>
      </c>
      <c r="X473" s="13" t="n">
        <f aca="false">IF(S473="","",J473*S473/100)</f>
        <v>105.7</v>
      </c>
      <c r="Y473" s="13" t="str">
        <f aca="false">IF(T473="","",J473*T473/100)</f>
        <v/>
      </c>
      <c r="Z473" s="13" t="str">
        <f aca="false">IF(U473="","",J473*U473/100)</f>
        <v/>
      </c>
      <c r="AA473" s="6" t="s">
        <v>103</v>
      </c>
      <c r="AB473" s="6" t="s">
        <v>104</v>
      </c>
      <c r="AC473" s="6" t="s">
        <v>1830</v>
      </c>
      <c r="AD473" s="13" t="n">
        <f aca="false">IF(AC473="","",IFERROR(INDEX('INDB Full Nutrients'!$D:$D,MATCH(AC473,'INDB Full Nutrients'!$A:$A,0)),""))</f>
        <v>108.062286376953</v>
      </c>
      <c r="AE473" s="6" t="s">
        <v>1831</v>
      </c>
      <c r="AF473" s="6"/>
    </row>
    <row r="474" customFormat="false" ht="15" hidden="false" customHeight="false" outlineLevel="0" collapsed="false">
      <c r="A474" s="6" t="s">
        <v>1832</v>
      </c>
      <c r="B474" s="6" t="s">
        <v>1833</v>
      </c>
      <c r="C474" s="6"/>
      <c r="D474" s="6" t="s">
        <v>57</v>
      </c>
      <c r="E474" s="6" t="s">
        <v>99</v>
      </c>
      <c r="F474" s="6" t="s">
        <v>100</v>
      </c>
      <c r="G474" s="6" t="s">
        <v>124</v>
      </c>
      <c r="H474" s="6" t="s">
        <v>1480</v>
      </c>
      <c r="I474" s="6" t="s">
        <v>102</v>
      </c>
      <c r="J474" s="13" t="n">
        <f aca="false">4*K474+4*(L474-N474)+9*M474+2*N474</f>
        <v>18.3</v>
      </c>
      <c r="K474" s="14" t="n">
        <v>0.8</v>
      </c>
      <c r="L474" s="14" t="n">
        <v>3</v>
      </c>
      <c r="M474" s="14" t="n">
        <v>0.5</v>
      </c>
      <c r="N474" s="14" t="n">
        <v>0.7</v>
      </c>
      <c r="O474" s="14" t="n">
        <v>1.5</v>
      </c>
      <c r="P474" s="15" t="n">
        <v>400</v>
      </c>
      <c r="Q474" s="16" t="n">
        <v>150</v>
      </c>
      <c r="R474" s="16" t="n">
        <v>250</v>
      </c>
      <c r="S474" s="16" t="n">
        <v>350</v>
      </c>
      <c r="T474" s="6"/>
      <c r="U474" s="6"/>
      <c r="V474" s="13" t="n">
        <f aca="false">IF(Q474="","",J474*Q474/100)</f>
        <v>27.45</v>
      </c>
      <c r="W474" s="13" t="n">
        <f aca="false">IF(R474="","",J474*R474/100)</f>
        <v>45.75</v>
      </c>
      <c r="X474" s="13" t="n">
        <f aca="false">IF(S474="","",J474*S474/100)</f>
        <v>64.05</v>
      </c>
      <c r="Y474" s="13" t="str">
        <f aca="false">IF(T474="","",J474*T474/100)</f>
        <v/>
      </c>
      <c r="Z474" s="13" t="str">
        <f aca="false">IF(U474="","",J474*U474/100)</f>
        <v/>
      </c>
      <c r="AA474" s="6" t="s">
        <v>103</v>
      </c>
      <c r="AB474" s="6" t="s">
        <v>104</v>
      </c>
      <c r="AC474" s="6"/>
      <c r="AD474" s="13" t="str">
        <f aca="false">IF(AC474="","",IFERROR(INDEX('INDB Full Nutrients'!$D:$D,MATCH(AC474,'INDB Full Nutrients'!$A:$A,0)),""))</f>
        <v/>
      </c>
      <c r="AE474" s="6"/>
      <c r="AF474" s="6"/>
    </row>
    <row r="475" customFormat="false" ht="15" hidden="false" customHeight="false" outlineLevel="0" collapsed="false">
      <c r="A475" s="6" t="s">
        <v>1834</v>
      </c>
      <c r="B475" s="6" t="s">
        <v>1835</v>
      </c>
      <c r="C475" s="6" t="s">
        <v>1836</v>
      </c>
      <c r="D475" s="6" t="s">
        <v>57</v>
      </c>
      <c r="E475" s="6" t="s">
        <v>99</v>
      </c>
      <c r="F475" s="6" t="s">
        <v>569</v>
      </c>
      <c r="G475" s="6"/>
      <c r="H475" s="6" t="s">
        <v>1480</v>
      </c>
      <c r="I475" s="6" t="s">
        <v>102</v>
      </c>
      <c r="J475" s="13" t="n">
        <f aca="false">4*K475+4*(L475-N475)+9*M475+2*N475</f>
        <v>26.6</v>
      </c>
      <c r="K475" s="14" t="n">
        <v>3</v>
      </c>
      <c r="L475" s="14" t="n">
        <v>1.5</v>
      </c>
      <c r="M475" s="14" t="n">
        <v>1</v>
      </c>
      <c r="N475" s="14" t="n">
        <v>0.2</v>
      </c>
      <c r="O475" s="14" t="n">
        <v>0.5</v>
      </c>
      <c r="P475" s="15" t="n">
        <v>450</v>
      </c>
      <c r="Q475" s="16" t="n">
        <v>150</v>
      </c>
      <c r="R475" s="16" t="n">
        <v>250</v>
      </c>
      <c r="S475" s="16" t="n">
        <v>350</v>
      </c>
      <c r="T475" s="6"/>
      <c r="U475" s="6"/>
      <c r="V475" s="13" t="n">
        <f aca="false">IF(Q475="","",J475*Q475/100)</f>
        <v>39.9</v>
      </c>
      <c r="W475" s="13" t="n">
        <f aca="false">IF(R475="","",J475*R475/100)</f>
        <v>66.5</v>
      </c>
      <c r="X475" s="13" t="n">
        <f aca="false">IF(S475="","",J475*S475/100)</f>
        <v>93.1</v>
      </c>
      <c r="Y475" s="13" t="str">
        <f aca="false">IF(T475="","",J475*T475/100)</f>
        <v/>
      </c>
      <c r="Z475" s="13" t="str">
        <f aca="false">IF(U475="","",J475*U475/100)</f>
        <v/>
      </c>
      <c r="AA475" s="6" t="s">
        <v>103</v>
      </c>
      <c r="AB475" s="6" t="s">
        <v>104</v>
      </c>
      <c r="AC475" s="6" t="s">
        <v>1837</v>
      </c>
      <c r="AD475" s="13" t="n">
        <f aca="false">IF(AC475="","",IFERROR(INDEX('INDB Full Nutrients'!$D:$D,MATCH(AC475,'INDB Full Nutrients'!$A:$A,0)),""))</f>
        <v>47.9448204040527</v>
      </c>
      <c r="AE475" s="6" t="s">
        <v>922</v>
      </c>
      <c r="AF475" s="6"/>
    </row>
    <row r="476" customFormat="false" ht="15" hidden="false" customHeight="false" outlineLevel="0" collapsed="false">
      <c r="A476" s="6" t="s">
        <v>1838</v>
      </c>
      <c r="B476" s="6" t="s">
        <v>1839</v>
      </c>
      <c r="C476" s="6"/>
      <c r="D476" s="6" t="s">
        <v>57</v>
      </c>
      <c r="E476" s="6" t="s">
        <v>119</v>
      </c>
      <c r="F476" s="6" t="s">
        <v>100</v>
      </c>
      <c r="G476" s="6"/>
      <c r="H476" s="6" t="s">
        <v>1480</v>
      </c>
      <c r="I476" s="6" t="s">
        <v>102</v>
      </c>
      <c r="J476" s="13" t="n">
        <f aca="false">4*K476+4*(L476-N476)+9*M476+2*N476</f>
        <v>61.4</v>
      </c>
      <c r="K476" s="14" t="n">
        <v>2.2</v>
      </c>
      <c r="L476" s="14" t="n">
        <v>7</v>
      </c>
      <c r="M476" s="14" t="n">
        <v>3</v>
      </c>
      <c r="N476" s="14" t="n">
        <v>1.2</v>
      </c>
      <c r="O476" s="14" t="n">
        <v>2</v>
      </c>
      <c r="P476" s="15" t="n">
        <v>400</v>
      </c>
      <c r="Q476" s="16" t="n">
        <v>150</v>
      </c>
      <c r="R476" s="16" t="n">
        <v>250</v>
      </c>
      <c r="S476" s="16" t="n">
        <v>350</v>
      </c>
      <c r="T476" s="6"/>
      <c r="U476" s="6"/>
      <c r="V476" s="13" t="n">
        <f aca="false">IF(Q476="","",J476*Q476/100)</f>
        <v>92.1</v>
      </c>
      <c r="W476" s="13" t="n">
        <f aca="false">IF(R476="","",J476*R476/100)</f>
        <v>153.5</v>
      </c>
      <c r="X476" s="13" t="n">
        <f aca="false">IF(S476="","",J476*S476/100)</f>
        <v>214.9</v>
      </c>
      <c r="Y476" s="13" t="str">
        <f aca="false">IF(T476="","",J476*T476/100)</f>
        <v/>
      </c>
      <c r="Z476" s="13" t="str">
        <f aca="false">IF(U476="","",J476*U476/100)</f>
        <v/>
      </c>
      <c r="AA476" s="6" t="s">
        <v>103</v>
      </c>
      <c r="AB476" s="6" t="s">
        <v>104</v>
      </c>
      <c r="AC476" s="6" t="s">
        <v>1840</v>
      </c>
      <c r="AD476" s="13" t="n">
        <f aca="false">IF(AC476="","",IFERROR(INDEX('INDB Full Nutrients'!$D:$D,MATCH(AC476,'INDB Full Nutrients'!$A:$A,0)),""))</f>
        <v>54.4229583740234</v>
      </c>
      <c r="AE476" s="6" t="s">
        <v>922</v>
      </c>
      <c r="AF476" s="6"/>
    </row>
    <row r="477" customFormat="false" ht="15" hidden="false" customHeight="false" outlineLevel="0" collapsed="false">
      <c r="A477" s="6" t="s">
        <v>1841</v>
      </c>
      <c r="B477" s="6" t="s">
        <v>1842</v>
      </c>
      <c r="C477" s="6"/>
      <c r="D477" s="6" t="s">
        <v>57</v>
      </c>
      <c r="E477" s="6" t="s">
        <v>99</v>
      </c>
      <c r="F477" s="6" t="s">
        <v>100</v>
      </c>
      <c r="G477" s="6"/>
      <c r="H477" s="6" t="s">
        <v>1480</v>
      </c>
      <c r="I477" s="6" t="s">
        <v>102</v>
      </c>
      <c r="J477" s="13" t="n">
        <f aca="false">4*K477+4*(L477-N477)+9*M477+2*N477</f>
        <v>79.7</v>
      </c>
      <c r="K477" s="14" t="n">
        <v>1.8</v>
      </c>
      <c r="L477" s="14" t="n">
        <v>6</v>
      </c>
      <c r="M477" s="14" t="n">
        <v>5.5</v>
      </c>
      <c r="N477" s="14" t="n">
        <v>0.5</v>
      </c>
      <c r="O477" s="14" t="n">
        <v>2</v>
      </c>
      <c r="P477" s="15" t="n">
        <v>400</v>
      </c>
      <c r="Q477" s="16" t="n">
        <v>150</v>
      </c>
      <c r="R477" s="16" t="n">
        <v>250</v>
      </c>
      <c r="S477" s="16" t="n">
        <v>350</v>
      </c>
      <c r="T477" s="6"/>
      <c r="U477" s="6"/>
      <c r="V477" s="13" t="n">
        <f aca="false">IF(Q477="","",J477*Q477/100)</f>
        <v>119.55</v>
      </c>
      <c r="W477" s="13" t="n">
        <f aca="false">IF(R477="","",J477*R477/100)</f>
        <v>199.25</v>
      </c>
      <c r="X477" s="13" t="n">
        <f aca="false">IF(S477="","",J477*S477/100)</f>
        <v>278.95</v>
      </c>
      <c r="Y477" s="13" t="str">
        <f aca="false">IF(T477="","",J477*T477/100)</f>
        <v/>
      </c>
      <c r="Z477" s="13" t="str">
        <f aca="false">IF(U477="","",J477*U477/100)</f>
        <v/>
      </c>
      <c r="AA477" s="6" t="s">
        <v>103</v>
      </c>
      <c r="AB477" s="6" t="s">
        <v>104</v>
      </c>
      <c r="AC477" s="6"/>
      <c r="AD477" s="13" t="str">
        <f aca="false">IF(AC477="","",IFERROR(INDEX('INDB Full Nutrients'!$D:$D,MATCH(AC477,'INDB Full Nutrients'!$A:$A,0)),""))</f>
        <v/>
      </c>
      <c r="AE477" s="6"/>
      <c r="AF477" s="6"/>
    </row>
    <row r="478" customFormat="false" ht="15" hidden="false" customHeight="false" outlineLevel="0" collapsed="false">
      <c r="A478" s="6" t="s">
        <v>1843</v>
      </c>
      <c r="B478" s="6" t="s">
        <v>1844</v>
      </c>
      <c r="C478" s="6"/>
      <c r="D478" s="6" t="s">
        <v>57</v>
      </c>
      <c r="E478" s="6" t="s">
        <v>161</v>
      </c>
      <c r="F478" s="6" t="s">
        <v>100</v>
      </c>
      <c r="G478" s="6"/>
      <c r="H478" s="6" t="s">
        <v>1480</v>
      </c>
      <c r="I478" s="6" t="s">
        <v>102</v>
      </c>
      <c r="J478" s="13" t="n">
        <f aca="false">4*K478+4*(L478-N478)+9*M478+2*N478</f>
        <v>50.5</v>
      </c>
      <c r="K478" s="14" t="n">
        <v>3</v>
      </c>
      <c r="L478" s="14" t="n">
        <v>7</v>
      </c>
      <c r="M478" s="14" t="n">
        <v>1.5</v>
      </c>
      <c r="N478" s="14" t="n">
        <v>1.5</v>
      </c>
      <c r="O478" s="14" t="n">
        <v>0.8</v>
      </c>
      <c r="P478" s="15" t="n">
        <v>380</v>
      </c>
      <c r="Q478" s="16" t="n">
        <v>150</v>
      </c>
      <c r="R478" s="16" t="n">
        <v>250</v>
      </c>
      <c r="S478" s="16" t="n">
        <v>350</v>
      </c>
      <c r="T478" s="6"/>
      <c r="U478" s="6"/>
      <c r="V478" s="13" t="n">
        <f aca="false">IF(Q478="","",J478*Q478/100)</f>
        <v>75.75</v>
      </c>
      <c r="W478" s="13" t="n">
        <f aca="false">IF(R478="","",J478*R478/100)</f>
        <v>126.25</v>
      </c>
      <c r="X478" s="13" t="n">
        <f aca="false">IF(S478="","",J478*S478/100)</f>
        <v>176.75</v>
      </c>
      <c r="Y478" s="13" t="str">
        <f aca="false">IF(T478="","",J478*T478/100)</f>
        <v/>
      </c>
      <c r="Z478" s="13" t="str">
        <f aca="false">IF(U478="","",J478*U478/100)</f>
        <v/>
      </c>
      <c r="AA478" s="6" t="s">
        <v>103</v>
      </c>
      <c r="AB478" s="6" t="s">
        <v>104</v>
      </c>
      <c r="AC478" s="6" t="s">
        <v>1845</v>
      </c>
      <c r="AD478" s="13" t="n">
        <f aca="false">IF(AC478="","",IFERROR(INDEX('INDB Full Nutrients'!$D:$D,MATCH(AC478,'INDB Full Nutrients'!$A:$A,0)),""))</f>
        <v>31.16623878479</v>
      </c>
      <c r="AE478" s="6" t="s">
        <v>922</v>
      </c>
      <c r="AF478" s="6"/>
    </row>
    <row r="479" customFormat="false" ht="15" hidden="false" customHeight="false" outlineLevel="0" collapsed="false">
      <c r="A479" s="6" t="s">
        <v>1846</v>
      </c>
      <c r="B479" s="6" t="s">
        <v>1847</v>
      </c>
      <c r="C479" s="6"/>
      <c r="D479" s="6" t="s">
        <v>57</v>
      </c>
      <c r="E479" s="6" t="s">
        <v>161</v>
      </c>
      <c r="F479" s="6" t="s">
        <v>100</v>
      </c>
      <c r="G479" s="6"/>
      <c r="H479" s="6" t="s">
        <v>1480</v>
      </c>
      <c r="I479" s="6" t="s">
        <v>102</v>
      </c>
      <c r="J479" s="13" t="n">
        <f aca="false">4*K479+4*(L479-N479)+9*M479+2*N479</f>
        <v>40.8</v>
      </c>
      <c r="K479" s="14" t="n">
        <v>1.8</v>
      </c>
      <c r="L479" s="14" t="n">
        <v>4.5</v>
      </c>
      <c r="M479" s="14" t="n">
        <v>2</v>
      </c>
      <c r="N479" s="14" t="n">
        <v>1.2</v>
      </c>
      <c r="O479" s="14" t="n">
        <v>1.5</v>
      </c>
      <c r="P479" s="15" t="n">
        <v>380</v>
      </c>
      <c r="Q479" s="16" t="n">
        <v>150</v>
      </c>
      <c r="R479" s="16" t="n">
        <v>250</v>
      </c>
      <c r="S479" s="16" t="n">
        <v>350</v>
      </c>
      <c r="T479" s="6"/>
      <c r="U479" s="6"/>
      <c r="V479" s="13" t="n">
        <f aca="false">IF(Q479="","",J479*Q479/100)</f>
        <v>61.2</v>
      </c>
      <c r="W479" s="13" t="n">
        <f aca="false">IF(R479="","",J479*R479/100)</f>
        <v>102</v>
      </c>
      <c r="X479" s="13" t="n">
        <f aca="false">IF(S479="","",J479*S479/100)</f>
        <v>142.8</v>
      </c>
      <c r="Y479" s="13" t="str">
        <f aca="false">IF(T479="","",J479*T479/100)</f>
        <v/>
      </c>
      <c r="Z479" s="13" t="str">
        <f aca="false">IF(U479="","",J479*U479/100)</f>
        <v/>
      </c>
      <c r="AA479" s="6" t="s">
        <v>103</v>
      </c>
      <c r="AB479" s="6" t="s">
        <v>104</v>
      </c>
      <c r="AC479" s="6" t="s">
        <v>1848</v>
      </c>
      <c r="AD479" s="13" t="n">
        <f aca="false">IF(AC479="","",IFERROR(INDEX('INDB Full Nutrients'!$D:$D,MATCH(AC479,'INDB Full Nutrients'!$A:$A,0)),""))</f>
        <v>32.5922241210938</v>
      </c>
      <c r="AE479" s="6" t="s">
        <v>922</v>
      </c>
      <c r="AF479" s="6"/>
    </row>
    <row r="480" customFormat="false" ht="15" hidden="false" customHeight="false" outlineLevel="0" collapsed="false">
      <c r="A480" s="6" t="s">
        <v>1849</v>
      </c>
      <c r="B480" s="6" t="s">
        <v>1850</v>
      </c>
      <c r="C480" s="6" t="s">
        <v>1851</v>
      </c>
      <c r="D480" s="6" t="s">
        <v>57</v>
      </c>
      <c r="E480" s="6" t="s">
        <v>161</v>
      </c>
      <c r="F480" s="6" t="s">
        <v>569</v>
      </c>
      <c r="G480" s="6"/>
      <c r="H480" s="6" t="s">
        <v>1480</v>
      </c>
      <c r="I480" s="6" t="s">
        <v>102</v>
      </c>
      <c r="J480" s="13" t="n">
        <f aca="false">4*K480+4*(L480-N480)+9*M480+2*N480</f>
        <v>89.4</v>
      </c>
      <c r="K480" s="14" t="n">
        <v>7</v>
      </c>
      <c r="L480" s="14" t="n">
        <v>2</v>
      </c>
      <c r="M480" s="14" t="n">
        <v>6</v>
      </c>
      <c r="N480" s="14" t="n">
        <v>0.3</v>
      </c>
      <c r="O480" s="14" t="n">
        <v>0.5</v>
      </c>
      <c r="P480" s="15" t="n">
        <v>450</v>
      </c>
      <c r="Q480" s="16" t="n">
        <v>150</v>
      </c>
      <c r="R480" s="16" t="n">
        <v>250</v>
      </c>
      <c r="S480" s="16" t="n">
        <v>350</v>
      </c>
      <c r="T480" s="6"/>
      <c r="U480" s="6"/>
      <c r="V480" s="13" t="n">
        <f aca="false">IF(Q480="","",J480*Q480/100)</f>
        <v>134.1</v>
      </c>
      <c r="W480" s="13" t="n">
        <f aca="false">IF(R480="","",J480*R480/100)</f>
        <v>223.5</v>
      </c>
      <c r="X480" s="13" t="n">
        <f aca="false">IF(S480="","",J480*S480/100)</f>
        <v>312.9</v>
      </c>
      <c r="Y480" s="13" t="str">
        <f aca="false">IF(T480="","",J480*T480/100)</f>
        <v/>
      </c>
      <c r="Z480" s="13" t="str">
        <f aca="false">IF(U480="","",J480*U480/100)</f>
        <v/>
      </c>
      <c r="AA480" s="6" t="s">
        <v>103</v>
      </c>
      <c r="AB480" s="6" t="s">
        <v>104</v>
      </c>
      <c r="AC480" s="6"/>
      <c r="AD480" s="13" t="str">
        <f aca="false">IF(AC480="","",IFERROR(INDEX('INDB Full Nutrients'!$D:$D,MATCH(AC480,'INDB Full Nutrients'!$A:$A,0)),""))</f>
        <v/>
      </c>
      <c r="AE480" s="6"/>
      <c r="AF480" s="6"/>
    </row>
    <row r="481" customFormat="false" ht="15" hidden="false" customHeight="false" outlineLevel="0" collapsed="false">
      <c r="A481" s="6" t="s">
        <v>1852</v>
      </c>
      <c r="B481" s="6" t="s">
        <v>1853</v>
      </c>
      <c r="C481" s="6" t="s">
        <v>1854</v>
      </c>
      <c r="D481" s="6" t="s">
        <v>58</v>
      </c>
      <c r="E481" s="6" t="s">
        <v>99</v>
      </c>
      <c r="F481" s="6" t="s">
        <v>100</v>
      </c>
      <c r="G481" s="6"/>
      <c r="H481" s="6" t="s">
        <v>1298</v>
      </c>
      <c r="I481" s="6" t="s">
        <v>298</v>
      </c>
      <c r="J481" s="13" t="n">
        <f aca="false">4*K481+4*(L481-N481)+9*M481+2*N481</f>
        <v>65.4</v>
      </c>
      <c r="K481" s="14" t="n">
        <v>3.3</v>
      </c>
      <c r="L481" s="14" t="n">
        <v>4.5</v>
      </c>
      <c r="M481" s="14" t="n">
        <v>3.8</v>
      </c>
      <c r="N481" s="14" t="n">
        <v>0</v>
      </c>
      <c r="O481" s="14" t="n">
        <v>4.5</v>
      </c>
      <c r="P481" s="15" t="n">
        <v>45</v>
      </c>
      <c r="Q481" s="16" t="n">
        <v>100</v>
      </c>
      <c r="R481" s="16" t="n">
        <v>150</v>
      </c>
      <c r="S481" s="16" t="n">
        <v>200</v>
      </c>
      <c r="T481" s="6"/>
      <c r="U481" s="6"/>
      <c r="V481" s="13" t="n">
        <f aca="false">IF(Q481="","",J481*Q481/100)</f>
        <v>65.4</v>
      </c>
      <c r="W481" s="13" t="n">
        <f aca="false">IF(R481="","",J481*R481/100)</f>
        <v>98.1</v>
      </c>
      <c r="X481" s="13" t="n">
        <f aca="false">IF(S481="","",J481*S481/100)</f>
        <v>130.8</v>
      </c>
      <c r="Y481" s="13" t="str">
        <f aca="false">IF(T481="","",J481*T481/100)</f>
        <v/>
      </c>
      <c r="Z481" s="13" t="str">
        <f aca="false">IF(U481="","",J481*U481/100)</f>
        <v/>
      </c>
      <c r="AA481" s="6" t="s">
        <v>125</v>
      </c>
      <c r="AB481" s="6" t="s">
        <v>126</v>
      </c>
      <c r="AC481" s="6"/>
      <c r="AD481" s="13" t="str">
        <f aca="false">IF(AC481="","",IFERROR(INDEX('INDB Full Nutrients'!$D:$D,MATCH(AC481,'INDB Full Nutrients'!$A:$A,0)),""))</f>
        <v/>
      </c>
      <c r="AE481" s="6"/>
      <c r="AF481" s="6"/>
    </row>
    <row r="482" customFormat="false" ht="15" hidden="false" customHeight="false" outlineLevel="0" collapsed="false">
      <c r="A482" s="6" t="s">
        <v>1855</v>
      </c>
      <c r="B482" s="6" t="s">
        <v>1856</v>
      </c>
      <c r="C482" s="6" t="s">
        <v>1857</v>
      </c>
      <c r="D482" s="6" t="s">
        <v>58</v>
      </c>
      <c r="E482" s="6" t="s">
        <v>99</v>
      </c>
      <c r="F482" s="6" t="s">
        <v>100</v>
      </c>
      <c r="G482" s="6"/>
      <c r="H482" s="6" t="s">
        <v>1298</v>
      </c>
      <c r="I482" s="6" t="s">
        <v>298</v>
      </c>
      <c r="J482" s="13" t="n">
        <f aca="false">4*K482+4*(L482-N482)+9*M482+2*N482</f>
        <v>47.9</v>
      </c>
      <c r="K482" s="14" t="n">
        <v>3.6</v>
      </c>
      <c r="L482" s="14" t="n">
        <v>5</v>
      </c>
      <c r="M482" s="14" t="n">
        <v>1.5</v>
      </c>
      <c r="N482" s="14" t="n">
        <v>0</v>
      </c>
      <c r="O482" s="14" t="n">
        <v>5</v>
      </c>
      <c r="P482" s="15" t="n">
        <v>45</v>
      </c>
      <c r="Q482" s="16" t="n">
        <v>100</v>
      </c>
      <c r="R482" s="16" t="n">
        <v>150</v>
      </c>
      <c r="S482" s="16" t="n">
        <v>200</v>
      </c>
      <c r="T482" s="6"/>
      <c r="U482" s="6"/>
      <c r="V482" s="13" t="n">
        <f aca="false">IF(Q482="","",J482*Q482/100)</f>
        <v>47.9</v>
      </c>
      <c r="W482" s="13" t="n">
        <f aca="false">IF(R482="","",J482*R482/100)</f>
        <v>71.85</v>
      </c>
      <c r="X482" s="13" t="n">
        <f aca="false">IF(S482="","",J482*S482/100)</f>
        <v>95.8</v>
      </c>
      <c r="Y482" s="13" t="str">
        <f aca="false">IF(T482="","",J482*T482/100)</f>
        <v/>
      </c>
      <c r="Z482" s="13" t="str">
        <f aca="false">IF(U482="","",J482*U482/100)</f>
        <v/>
      </c>
      <c r="AA482" s="6" t="s">
        <v>125</v>
      </c>
      <c r="AB482" s="6" t="s">
        <v>126</v>
      </c>
      <c r="AC482" s="6"/>
      <c r="AD482" s="13" t="str">
        <f aca="false">IF(AC482="","",IFERROR(INDEX('INDB Full Nutrients'!$D:$D,MATCH(AC482,'INDB Full Nutrients'!$A:$A,0)),""))</f>
        <v/>
      </c>
      <c r="AE482" s="6"/>
      <c r="AF482" s="6"/>
    </row>
    <row r="483" customFormat="false" ht="15" hidden="false" customHeight="false" outlineLevel="0" collapsed="false">
      <c r="A483" s="6" t="s">
        <v>1858</v>
      </c>
      <c r="B483" s="6" t="s">
        <v>1859</v>
      </c>
      <c r="C483" s="6"/>
      <c r="D483" s="6" t="s">
        <v>58</v>
      </c>
      <c r="E483" s="6" t="s">
        <v>161</v>
      </c>
      <c r="F483" s="6" t="s">
        <v>100</v>
      </c>
      <c r="G483" s="6"/>
      <c r="H483" s="6" t="s">
        <v>1298</v>
      </c>
      <c r="I483" s="6" t="s">
        <v>298</v>
      </c>
      <c r="J483" s="13" t="n">
        <f aca="false">4*K483+4*(L483-N483)+9*M483+2*N483</f>
        <v>103</v>
      </c>
      <c r="K483" s="14" t="n">
        <v>3.5</v>
      </c>
      <c r="L483" s="14" t="n">
        <v>9</v>
      </c>
      <c r="M483" s="14" t="n">
        <v>6</v>
      </c>
      <c r="N483" s="14" t="n">
        <v>0.5</v>
      </c>
      <c r="O483" s="14" t="n">
        <v>3.5</v>
      </c>
      <c r="P483" s="15" t="n">
        <v>350</v>
      </c>
      <c r="Q483" s="16" t="n">
        <v>50</v>
      </c>
      <c r="R483" s="16" t="n">
        <v>100</v>
      </c>
      <c r="S483" s="16" t="n">
        <v>150</v>
      </c>
      <c r="T483" s="6"/>
      <c r="U483" s="6"/>
      <c r="V483" s="13" t="n">
        <f aca="false">IF(Q483="","",J483*Q483/100)</f>
        <v>51.5</v>
      </c>
      <c r="W483" s="13" t="n">
        <f aca="false">IF(R483="","",J483*R483/100)</f>
        <v>103</v>
      </c>
      <c r="X483" s="13" t="n">
        <f aca="false">IF(S483="","",J483*S483/100)</f>
        <v>154.5</v>
      </c>
      <c r="Y483" s="13" t="str">
        <f aca="false">IF(T483="","",J483*T483/100)</f>
        <v/>
      </c>
      <c r="Z483" s="13" t="str">
        <f aca="false">IF(U483="","",J483*U483/100)</f>
        <v/>
      </c>
      <c r="AA483" s="6" t="s">
        <v>103</v>
      </c>
      <c r="AB483" s="6" t="s">
        <v>104</v>
      </c>
      <c r="AC483" s="6" t="s">
        <v>1860</v>
      </c>
      <c r="AD483" s="13" t="n">
        <f aca="false">IF(AC483="","",IFERROR(INDEX('INDB Full Nutrients'!$D:$D,MATCH(AC483,'INDB Full Nutrients'!$A:$A,0)),""))</f>
        <v>687.719116210938</v>
      </c>
      <c r="AE483" s="6" t="s">
        <v>740</v>
      </c>
      <c r="AF483" s="6" t="s">
        <v>577</v>
      </c>
    </row>
    <row r="484" customFormat="false" ht="15" hidden="false" customHeight="false" outlineLevel="0" collapsed="false">
      <c r="A484" s="6" t="s">
        <v>1861</v>
      </c>
      <c r="B484" s="6" t="s">
        <v>1862</v>
      </c>
      <c r="C484" s="6" t="s">
        <v>1863</v>
      </c>
      <c r="D484" s="6" t="s">
        <v>58</v>
      </c>
      <c r="E484" s="6" t="s">
        <v>161</v>
      </c>
      <c r="F484" s="6" t="s">
        <v>100</v>
      </c>
      <c r="G484" s="6"/>
      <c r="H484" s="6" t="s">
        <v>1298</v>
      </c>
      <c r="I484" s="6" t="s">
        <v>298</v>
      </c>
      <c r="J484" s="13" t="n">
        <f aca="false">4*K484+4*(L484-N484)+9*M484+2*N484</f>
        <v>55.4</v>
      </c>
      <c r="K484" s="14" t="n">
        <v>2.8</v>
      </c>
      <c r="L484" s="14" t="n">
        <v>4.5</v>
      </c>
      <c r="M484" s="14" t="n">
        <v>3</v>
      </c>
      <c r="N484" s="14" t="n">
        <v>0.4</v>
      </c>
      <c r="O484" s="14" t="n">
        <v>3.5</v>
      </c>
      <c r="P484" s="15" t="n">
        <v>280</v>
      </c>
      <c r="Q484" s="16" t="n">
        <v>50</v>
      </c>
      <c r="R484" s="16" t="n">
        <v>100</v>
      </c>
      <c r="S484" s="16" t="n">
        <v>150</v>
      </c>
      <c r="T484" s="6"/>
      <c r="U484" s="6"/>
      <c r="V484" s="13" t="n">
        <f aca="false">IF(Q484="","",J484*Q484/100)</f>
        <v>27.7</v>
      </c>
      <c r="W484" s="13" t="n">
        <f aca="false">IF(R484="","",J484*R484/100)</f>
        <v>55.4</v>
      </c>
      <c r="X484" s="13" t="n">
        <f aca="false">IF(S484="","",J484*S484/100)</f>
        <v>83.1</v>
      </c>
      <c r="Y484" s="13" t="str">
        <f aca="false">IF(T484="","",J484*T484/100)</f>
        <v/>
      </c>
      <c r="Z484" s="13" t="str">
        <f aca="false">IF(U484="","",J484*U484/100)</f>
        <v/>
      </c>
      <c r="AA484" s="6" t="s">
        <v>125</v>
      </c>
      <c r="AB484" s="6" t="s">
        <v>147</v>
      </c>
      <c r="AC484" s="6" t="s">
        <v>1864</v>
      </c>
      <c r="AD484" s="13" t="n">
        <f aca="false">IF(AC484="","",IFERROR(INDEX('INDB Full Nutrients'!$D:$D,MATCH(AC484,'INDB Full Nutrients'!$A:$A,0)),""))</f>
        <v>59.1253509521484</v>
      </c>
      <c r="AE484" s="6" t="s">
        <v>1865</v>
      </c>
      <c r="AF484" s="6"/>
    </row>
    <row r="485" customFormat="false" ht="15" hidden="false" customHeight="false" outlineLevel="0" collapsed="false">
      <c r="A485" s="6" t="s">
        <v>1866</v>
      </c>
      <c r="B485" s="6" t="s">
        <v>1867</v>
      </c>
      <c r="C485" s="6" t="s">
        <v>1868</v>
      </c>
      <c r="D485" s="6" t="s">
        <v>58</v>
      </c>
      <c r="E485" s="6" t="s">
        <v>161</v>
      </c>
      <c r="F485" s="6" t="s">
        <v>100</v>
      </c>
      <c r="G485" s="6"/>
      <c r="H485" s="6" t="s">
        <v>1298</v>
      </c>
      <c r="I485" s="6" t="s">
        <v>298</v>
      </c>
      <c r="J485" s="13" t="n">
        <f aca="false">4*K485+4*(L485-N485)+9*M485+2*N485</f>
        <v>57</v>
      </c>
      <c r="K485" s="14" t="n">
        <v>2.8</v>
      </c>
      <c r="L485" s="14" t="n">
        <v>5</v>
      </c>
      <c r="M485" s="14" t="n">
        <v>3</v>
      </c>
      <c r="N485" s="14" t="n">
        <v>0.6</v>
      </c>
      <c r="O485" s="14" t="n">
        <v>3.5</v>
      </c>
      <c r="P485" s="15" t="n">
        <v>280</v>
      </c>
      <c r="Q485" s="16" t="n">
        <v>50</v>
      </c>
      <c r="R485" s="16" t="n">
        <v>100</v>
      </c>
      <c r="S485" s="16" t="n">
        <v>150</v>
      </c>
      <c r="T485" s="6"/>
      <c r="U485" s="6"/>
      <c r="V485" s="13" t="n">
        <f aca="false">IF(Q485="","",J485*Q485/100)</f>
        <v>28.5</v>
      </c>
      <c r="W485" s="13" t="n">
        <f aca="false">IF(R485="","",J485*R485/100)</f>
        <v>57</v>
      </c>
      <c r="X485" s="13" t="n">
        <f aca="false">IF(S485="","",J485*S485/100)</f>
        <v>85.5</v>
      </c>
      <c r="Y485" s="13" t="str">
        <f aca="false">IF(T485="","",J485*T485/100)</f>
        <v/>
      </c>
      <c r="Z485" s="13" t="str">
        <f aca="false">IF(U485="","",J485*U485/100)</f>
        <v/>
      </c>
      <c r="AA485" s="6" t="s">
        <v>125</v>
      </c>
      <c r="AB485" s="6" t="s">
        <v>147</v>
      </c>
      <c r="AC485" s="6" t="s">
        <v>1869</v>
      </c>
      <c r="AD485" s="13" t="n">
        <f aca="false">IF(AC485="","",IFERROR(INDEX('INDB Full Nutrients'!$D:$D,MATCH(AC485,'INDB Full Nutrients'!$A:$A,0)),""))</f>
        <v>59.0047416687012</v>
      </c>
      <c r="AE485" s="6" t="s">
        <v>1870</v>
      </c>
      <c r="AF485" s="6"/>
    </row>
    <row r="486" customFormat="false" ht="15" hidden="false" customHeight="false" outlineLevel="0" collapsed="false">
      <c r="A486" s="6" t="s">
        <v>1871</v>
      </c>
      <c r="B486" s="6" t="s">
        <v>1872</v>
      </c>
      <c r="C486" s="6"/>
      <c r="D486" s="6" t="s">
        <v>58</v>
      </c>
      <c r="E486" s="6" t="s">
        <v>161</v>
      </c>
      <c r="F486" s="6" t="s">
        <v>100</v>
      </c>
      <c r="G486" s="6"/>
      <c r="H486" s="6" t="s">
        <v>1298</v>
      </c>
      <c r="I486" s="6" t="s">
        <v>298</v>
      </c>
      <c r="J486" s="13" t="n">
        <f aca="false">4*K486+4*(L486-N486)+9*M486+2*N486</f>
        <v>78.4</v>
      </c>
      <c r="K486" s="14" t="n">
        <v>2.5</v>
      </c>
      <c r="L486" s="14" t="n">
        <v>11</v>
      </c>
      <c r="M486" s="14" t="n">
        <v>2.8</v>
      </c>
      <c r="N486" s="14" t="n">
        <v>0.4</v>
      </c>
      <c r="O486" s="14" t="n">
        <v>9.5</v>
      </c>
      <c r="P486" s="15" t="n">
        <v>200</v>
      </c>
      <c r="Q486" s="16" t="n">
        <v>50</v>
      </c>
      <c r="R486" s="16" t="n">
        <v>100</v>
      </c>
      <c r="S486" s="16" t="n">
        <v>150</v>
      </c>
      <c r="T486" s="6"/>
      <c r="U486" s="6"/>
      <c r="V486" s="13" t="n">
        <f aca="false">IF(Q486="","",J486*Q486/100)</f>
        <v>39.2</v>
      </c>
      <c r="W486" s="13" t="n">
        <f aca="false">IF(R486="","",J486*R486/100)</f>
        <v>78.4</v>
      </c>
      <c r="X486" s="13" t="n">
        <f aca="false">IF(S486="","",J486*S486/100)</f>
        <v>117.6</v>
      </c>
      <c r="Y486" s="13" t="str">
        <f aca="false">IF(T486="","",J486*T486/100)</f>
        <v/>
      </c>
      <c r="Z486" s="13" t="str">
        <f aca="false">IF(U486="","",J486*U486/100)</f>
        <v/>
      </c>
      <c r="AA486" s="6" t="s">
        <v>125</v>
      </c>
      <c r="AB486" s="6" t="s">
        <v>147</v>
      </c>
      <c r="AC486" s="6" t="s">
        <v>1873</v>
      </c>
      <c r="AD486" s="13" t="n">
        <f aca="false">IF(AC486="","",IFERROR(INDEX('INDB Full Nutrients'!$D:$D,MATCH(AC486,'INDB Full Nutrients'!$A:$A,0)),""))</f>
        <v>67.7418365478516</v>
      </c>
      <c r="AE486" s="6" t="s">
        <v>1874</v>
      </c>
      <c r="AF486" s="6"/>
    </row>
    <row r="487" customFormat="false" ht="15" hidden="false" customHeight="false" outlineLevel="0" collapsed="false">
      <c r="A487" s="6" t="s">
        <v>1875</v>
      </c>
      <c r="B487" s="6" t="s">
        <v>1876</v>
      </c>
      <c r="C487" s="6" t="s">
        <v>1877</v>
      </c>
      <c r="D487" s="6" t="s">
        <v>58</v>
      </c>
      <c r="E487" s="6" t="s">
        <v>119</v>
      </c>
      <c r="F487" s="6" t="s">
        <v>100</v>
      </c>
      <c r="G487" s="6"/>
      <c r="H487" s="6" t="s">
        <v>1298</v>
      </c>
      <c r="I487" s="6" t="s">
        <v>298</v>
      </c>
      <c r="J487" s="13" t="n">
        <f aca="false">4*K487+4*(L487-N487)+9*M487+2*N487</f>
        <v>73.4</v>
      </c>
      <c r="K487" s="14" t="n">
        <v>2.5</v>
      </c>
      <c r="L487" s="14" t="n">
        <v>5</v>
      </c>
      <c r="M487" s="14" t="n">
        <v>5</v>
      </c>
      <c r="N487" s="14" t="n">
        <v>0.8</v>
      </c>
      <c r="O487" s="14" t="n">
        <v>3</v>
      </c>
      <c r="P487" s="15" t="n">
        <v>280</v>
      </c>
      <c r="Q487" s="16" t="n">
        <v>50</v>
      </c>
      <c r="R487" s="16" t="n">
        <v>100</v>
      </c>
      <c r="S487" s="16" t="n">
        <v>150</v>
      </c>
      <c r="T487" s="6"/>
      <c r="U487" s="6"/>
      <c r="V487" s="13" t="n">
        <f aca="false">IF(Q487="","",J487*Q487/100)</f>
        <v>36.7</v>
      </c>
      <c r="W487" s="13" t="n">
        <f aca="false">IF(R487="","",J487*R487/100)</f>
        <v>73.4</v>
      </c>
      <c r="X487" s="13" t="n">
        <f aca="false">IF(S487="","",J487*S487/100)</f>
        <v>110.1</v>
      </c>
      <c r="Y487" s="13" t="str">
        <f aca="false">IF(T487="","",J487*T487/100)</f>
        <v/>
      </c>
      <c r="Z487" s="13" t="str">
        <f aca="false">IF(U487="","",J487*U487/100)</f>
        <v/>
      </c>
      <c r="AA487" s="6" t="s">
        <v>103</v>
      </c>
      <c r="AB487" s="6" t="s">
        <v>104</v>
      </c>
      <c r="AC487" s="6"/>
      <c r="AD487" s="13" t="str">
        <f aca="false">IF(AC487="","",IFERROR(INDEX('INDB Full Nutrients'!$D:$D,MATCH(AC487,'INDB Full Nutrients'!$A:$A,0)),""))</f>
        <v/>
      </c>
      <c r="AE487" s="6"/>
      <c r="AF487" s="6" t="s">
        <v>1206</v>
      </c>
    </row>
    <row r="488" customFormat="false" ht="15" hidden="false" customHeight="false" outlineLevel="0" collapsed="false">
      <c r="A488" s="6" t="s">
        <v>1878</v>
      </c>
      <c r="B488" s="6" t="s">
        <v>1879</v>
      </c>
      <c r="C488" s="6" t="s">
        <v>1880</v>
      </c>
      <c r="D488" s="6" t="s">
        <v>58</v>
      </c>
      <c r="E488" s="6" t="s">
        <v>99</v>
      </c>
      <c r="F488" s="6" t="s">
        <v>100</v>
      </c>
      <c r="G488" s="6" t="s">
        <v>124</v>
      </c>
      <c r="H488" s="6" t="s">
        <v>1298</v>
      </c>
      <c r="I488" s="6" t="s">
        <v>298</v>
      </c>
      <c r="J488" s="13" t="n">
        <f aca="false">4*K488+4*(L488-N488)+9*M488+2*N488</f>
        <v>24.6</v>
      </c>
      <c r="K488" s="14" t="n">
        <v>1</v>
      </c>
      <c r="L488" s="14" t="n">
        <v>5.5</v>
      </c>
      <c r="M488" s="14" t="n">
        <v>0.2</v>
      </c>
      <c r="N488" s="14" t="n">
        <v>1.6</v>
      </c>
      <c r="O488" s="14" t="n">
        <v>3</v>
      </c>
      <c r="P488" s="15" t="n">
        <v>10</v>
      </c>
      <c r="Q488" s="16" t="n">
        <v>50</v>
      </c>
      <c r="R488" s="16" t="n">
        <v>100</v>
      </c>
      <c r="S488" s="16" t="n">
        <v>150</v>
      </c>
      <c r="T488" s="6"/>
      <c r="U488" s="6"/>
      <c r="V488" s="13" t="n">
        <f aca="false">IF(Q488="","",J488*Q488/100)</f>
        <v>12.3</v>
      </c>
      <c r="W488" s="13" t="n">
        <f aca="false">IF(R488="","",J488*R488/100)</f>
        <v>24.6</v>
      </c>
      <c r="X488" s="13" t="n">
        <f aca="false">IF(S488="","",J488*S488/100)</f>
        <v>36.9</v>
      </c>
      <c r="Y488" s="13" t="str">
        <f aca="false">IF(T488="","",J488*T488/100)</f>
        <v/>
      </c>
      <c r="Z488" s="13" t="str">
        <f aca="false">IF(U488="","",J488*U488/100)</f>
        <v/>
      </c>
      <c r="AA488" s="6" t="s">
        <v>103</v>
      </c>
      <c r="AB488" s="6" t="s">
        <v>104</v>
      </c>
      <c r="AC488" s="6"/>
      <c r="AD488" s="13" t="str">
        <f aca="false">IF(AC488="","",IFERROR(INDEX('INDB Full Nutrients'!$D:$D,MATCH(AC488,'INDB Full Nutrients'!$A:$A,0)),""))</f>
        <v/>
      </c>
      <c r="AE488" s="6"/>
      <c r="AF488" s="6" t="s">
        <v>1881</v>
      </c>
    </row>
    <row r="489" customFormat="false" ht="15" hidden="false" customHeight="false" outlineLevel="0" collapsed="false">
      <c r="A489" s="6" t="s">
        <v>1882</v>
      </c>
      <c r="B489" s="6" t="s">
        <v>1883</v>
      </c>
      <c r="C489" s="6"/>
      <c r="D489" s="6" t="s">
        <v>58</v>
      </c>
      <c r="E489" s="6" t="s">
        <v>161</v>
      </c>
      <c r="F489" s="6" t="s">
        <v>100</v>
      </c>
      <c r="G489" s="6" t="s">
        <v>124</v>
      </c>
      <c r="H489" s="6" t="s">
        <v>1298</v>
      </c>
      <c r="I489" s="6" t="s">
        <v>298</v>
      </c>
      <c r="J489" s="13" t="n">
        <f aca="false">4*K489+4*(L489-N489)+9*M489+2*N489</f>
        <v>25.7</v>
      </c>
      <c r="K489" s="14" t="n">
        <v>1</v>
      </c>
      <c r="L489" s="14" t="n">
        <v>5.5</v>
      </c>
      <c r="M489" s="14" t="n">
        <v>0.3</v>
      </c>
      <c r="N489" s="14" t="n">
        <v>1.5</v>
      </c>
      <c r="O489" s="14" t="n">
        <v>3</v>
      </c>
      <c r="P489" s="15" t="n">
        <v>200</v>
      </c>
      <c r="Q489" s="16" t="n">
        <v>50</v>
      </c>
      <c r="R489" s="16" t="n">
        <v>100</v>
      </c>
      <c r="S489" s="16" t="n">
        <v>150</v>
      </c>
      <c r="T489" s="6"/>
      <c r="U489" s="6"/>
      <c r="V489" s="13" t="n">
        <f aca="false">IF(Q489="","",J489*Q489/100)</f>
        <v>12.85</v>
      </c>
      <c r="W489" s="13" t="n">
        <f aca="false">IF(R489="","",J489*R489/100)</f>
        <v>25.7</v>
      </c>
      <c r="X489" s="13" t="n">
        <f aca="false">IF(S489="","",J489*S489/100)</f>
        <v>38.55</v>
      </c>
      <c r="Y489" s="13" t="str">
        <f aca="false">IF(T489="","",J489*T489/100)</f>
        <v/>
      </c>
      <c r="Z489" s="13" t="str">
        <f aca="false">IF(U489="","",J489*U489/100)</f>
        <v/>
      </c>
      <c r="AA489" s="6" t="s">
        <v>103</v>
      </c>
      <c r="AB489" s="6" t="s">
        <v>104</v>
      </c>
      <c r="AC489" s="6"/>
      <c r="AD489" s="13" t="str">
        <f aca="false">IF(AC489="","",IFERROR(INDEX('INDB Full Nutrients'!$D:$D,MATCH(AC489,'INDB Full Nutrients'!$A:$A,0)),""))</f>
        <v/>
      </c>
      <c r="AE489" s="6"/>
      <c r="AF489" s="6" t="s">
        <v>1884</v>
      </c>
    </row>
    <row r="490" customFormat="false" ht="15" hidden="false" customHeight="false" outlineLevel="0" collapsed="false">
      <c r="A490" s="6" t="s">
        <v>1885</v>
      </c>
      <c r="B490" s="6" t="s">
        <v>1886</v>
      </c>
      <c r="C490" s="6" t="s">
        <v>1887</v>
      </c>
      <c r="D490" s="6" t="s">
        <v>58</v>
      </c>
      <c r="E490" s="6" t="s">
        <v>99</v>
      </c>
      <c r="F490" s="6" t="s">
        <v>100</v>
      </c>
      <c r="G490" s="6" t="s">
        <v>124</v>
      </c>
      <c r="H490" s="6" t="s">
        <v>1298</v>
      </c>
      <c r="I490" s="6" t="s">
        <v>298</v>
      </c>
      <c r="J490" s="13" t="n">
        <f aca="false">4*K490+4*(L490-N490)+9*M490+2*N490</f>
        <v>45.2</v>
      </c>
      <c r="K490" s="14" t="n">
        <v>3.5</v>
      </c>
      <c r="L490" s="14" t="n">
        <v>8</v>
      </c>
      <c r="M490" s="14" t="n">
        <v>0.4</v>
      </c>
      <c r="N490" s="14" t="n">
        <v>2.2</v>
      </c>
      <c r="O490" s="14" t="n">
        <v>2.5</v>
      </c>
      <c r="P490" s="15" t="n">
        <v>150</v>
      </c>
      <c r="Q490" s="16" t="n">
        <v>50</v>
      </c>
      <c r="R490" s="16" t="n">
        <v>100</v>
      </c>
      <c r="S490" s="16" t="n">
        <v>150</v>
      </c>
      <c r="T490" s="6"/>
      <c r="U490" s="6"/>
      <c r="V490" s="13" t="n">
        <f aca="false">IF(Q490="","",J490*Q490/100)</f>
        <v>22.6</v>
      </c>
      <c r="W490" s="13" t="n">
        <f aca="false">IF(R490="","",J490*R490/100)</f>
        <v>45.2</v>
      </c>
      <c r="X490" s="13" t="n">
        <f aca="false">IF(S490="","",J490*S490/100)</f>
        <v>67.8</v>
      </c>
      <c r="Y490" s="13" t="str">
        <f aca="false">IF(T490="","",J490*T490/100)</f>
        <v/>
      </c>
      <c r="Z490" s="13" t="str">
        <f aca="false">IF(U490="","",J490*U490/100)</f>
        <v/>
      </c>
      <c r="AA490" s="6" t="s">
        <v>125</v>
      </c>
      <c r="AB490" s="6" t="s">
        <v>147</v>
      </c>
      <c r="AC490" s="6" t="s">
        <v>1888</v>
      </c>
      <c r="AD490" s="13" t="n">
        <f aca="false">IF(AC490="","",IFERROR(INDEX('INDB Full Nutrients'!$D:$D,MATCH(AC490,'INDB Full Nutrients'!$A:$A,0)),""))</f>
        <v>37.8080711364746</v>
      </c>
      <c r="AE490" s="6" t="s">
        <v>1889</v>
      </c>
      <c r="AF490" s="6"/>
    </row>
    <row r="491" customFormat="false" ht="15" hidden="false" customHeight="false" outlineLevel="0" collapsed="false">
      <c r="A491" s="6" t="s">
        <v>1890</v>
      </c>
      <c r="B491" s="6" t="s">
        <v>1891</v>
      </c>
      <c r="C491" s="6" t="s">
        <v>1892</v>
      </c>
      <c r="D491" s="6" t="s">
        <v>58</v>
      </c>
      <c r="E491" s="6" t="s">
        <v>99</v>
      </c>
      <c r="F491" s="6" t="s">
        <v>100</v>
      </c>
      <c r="G491" s="6" t="s">
        <v>124</v>
      </c>
      <c r="H491" s="6" t="s">
        <v>1298</v>
      </c>
      <c r="I491" s="6" t="s">
        <v>298</v>
      </c>
      <c r="J491" s="13" t="n">
        <f aca="false">4*K491+4*(L491-N491)+9*M491+2*N491</f>
        <v>61.5</v>
      </c>
      <c r="K491" s="14" t="n">
        <v>0.7</v>
      </c>
      <c r="L491" s="14" t="n">
        <v>15</v>
      </c>
      <c r="M491" s="14" t="n">
        <v>0.3</v>
      </c>
      <c r="N491" s="14" t="n">
        <v>2</v>
      </c>
      <c r="O491" s="14" t="n">
        <v>11.5</v>
      </c>
      <c r="P491" s="15" t="n">
        <v>2</v>
      </c>
      <c r="Q491" s="16" t="n">
        <v>50</v>
      </c>
      <c r="R491" s="16" t="n">
        <v>100</v>
      </c>
      <c r="S491" s="16" t="n">
        <v>150</v>
      </c>
      <c r="T491" s="6"/>
      <c r="U491" s="6"/>
      <c r="V491" s="13" t="n">
        <f aca="false">IF(Q491="","",J491*Q491/100)</f>
        <v>30.75</v>
      </c>
      <c r="W491" s="13" t="n">
        <f aca="false">IF(R491="","",J491*R491/100)</f>
        <v>61.5</v>
      </c>
      <c r="X491" s="13" t="n">
        <f aca="false">IF(S491="","",J491*S491/100)</f>
        <v>92.25</v>
      </c>
      <c r="Y491" s="13" t="str">
        <f aca="false">IF(T491="","",J491*T491/100)</f>
        <v/>
      </c>
      <c r="Z491" s="13" t="str">
        <f aca="false">IF(U491="","",J491*U491/100)</f>
        <v/>
      </c>
      <c r="AA491" s="6" t="s">
        <v>103</v>
      </c>
      <c r="AB491" s="6" t="s">
        <v>104</v>
      </c>
      <c r="AC491" s="6" t="s">
        <v>1893</v>
      </c>
      <c r="AD491" s="13" t="n">
        <f aca="false">IF(AC491="","",IFERROR(INDEX('INDB Full Nutrients'!$D:$D,MATCH(AC491,'INDB Full Nutrients'!$A:$A,0)),""))</f>
        <v>78.1364593505859</v>
      </c>
      <c r="AE491" s="6" t="s">
        <v>1894</v>
      </c>
      <c r="AF491" s="6"/>
    </row>
    <row r="492" customFormat="false" ht="15" hidden="false" customHeight="false" outlineLevel="0" collapsed="false">
      <c r="A492" s="6" t="s">
        <v>1895</v>
      </c>
      <c r="B492" s="6" t="s">
        <v>1896</v>
      </c>
      <c r="C492" s="6" t="s">
        <v>1897</v>
      </c>
      <c r="D492" s="6" t="s">
        <v>58</v>
      </c>
      <c r="E492" s="6" t="s">
        <v>114</v>
      </c>
      <c r="F492" s="6" t="s">
        <v>100</v>
      </c>
      <c r="G492" s="6" t="s">
        <v>124</v>
      </c>
      <c r="H492" s="6" t="s">
        <v>1298</v>
      </c>
      <c r="I492" s="6" t="s">
        <v>298</v>
      </c>
      <c r="J492" s="13" t="n">
        <f aca="false">4*K492+4*(L492-N492)+9*M492+2*N492</f>
        <v>50.5</v>
      </c>
      <c r="K492" s="14" t="n">
        <v>2</v>
      </c>
      <c r="L492" s="14" t="n">
        <v>6</v>
      </c>
      <c r="M492" s="14" t="n">
        <v>2.5</v>
      </c>
      <c r="N492" s="14" t="n">
        <v>2</v>
      </c>
      <c r="O492" s="14" t="n">
        <v>3</v>
      </c>
      <c r="P492" s="15" t="n">
        <v>200</v>
      </c>
      <c r="Q492" s="16" t="n">
        <v>50</v>
      </c>
      <c r="R492" s="16" t="n">
        <v>100</v>
      </c>
      <c r="S492" s="16" t="n">
        <v>150</v>
      </c>
      <c r="T492" s="6"/>
      <c r="U492" s="6"/>
      <c r="V492" s="13" t="n">
        <f aca="false">IF(Q492="","",J492*Q492/100)</f>
        <v>25.25</v>
      </c>
      <c r="W492" s="13" t="n">
        <f aca="false">IF(R492="","",J492*R492/100)</f>
        <v>50.5</v>
      </c>
      <c r="X492" s="13" t="n">
        <f aca="false">IF(S492="","",J492*S492/100)</f>
        <v>75.75</v>
      </c>
      <c r="Y492" s="13" t="str">
        <f aca="false">IF(T492="","",J492*T492/100)</f>
        <v/>
      </c>
      <c r="Z492" s="13" t="str">
        <f aca="false">IF(U492="","",J492*U492/100)</f>
        <v/>
      </c>
      <c r="AA492" s="6" t="s">
        <v>103</v>
      </c>
      <c r="AB492" s="6" t="s">
        <v>104</v>
      </c>
      <c r="AC492" s="6"/>
      <c r="AD492" s="13" t="str">
        <f aca="false">IF(AC492="","",IFERROR(INDEX('INDB Full Nutrients'!$D:$D,MATCH(AC492,'INDB Full Nutrients'!$A:$A,0)),""))</f>
        <v/>
      </c>
      <c r="AE492" s="6"/>
      <c r="AF492" s="6" t="s">
        <v>1898</v>
      </c>
    </row>
    <row r="493" customFormat="false" ht="15" hidden="false" customHeight="false" outlineLevel="0" collapsed="false">
      <c r="A493" s="6" t="s">
        <v>1899</v>
      </c>
      <c r="B493" s="6" t="s">
        <v>1900</v>
      </c>
      <c r="C493" s="6" t="s">
        <v>1901</v>
      </c>
      <c r="D493" s="6" t="s">
        <v>59</v>
      </c>
      <c r="E493" s="6" t="s">
        <v>119</v>
      </c>
      <c r="F493" s="6" t="s">
        <v>100</v>
      </c>
      <c r="G493" s="6" t="s">
        <v>124</v>
      </c>
      <c r="H493" s="6" t="s">
        <v>1298</v>
      </c>
      <c r="I493" s="6" t="s">
        <v>298</v>
      </c>
      <c r="J493" s="13" t="n">
        <f aca="false">4*K493+4*(L493-N493)+9*M493+2*N493</f>
        <v>217.5</v>
      </c>
      <c r="K493" s="14" t="n">
        <v>3.5</v>
      </c>
      <c r="L493" s="14" t="n">
        <v>12</v>
      </c>
      <c r="M493" s="14" t="n">
        <v>18.5</v>
      </c>
      <c r="N493" s="14" t="n">
        <v>5.5</v>
      </c>
      <c r="O493" s="14" t="n">
        <v>2.5</v>
      </c>
      <c r="P493" s="15" t="n">
        <v>300</v>
      </c>
      <c r="Q493" s="16" t="n">
        <v>15</v>
      </c>
      <c r="R493" s="16" t="n">
        <v>30</v>
      </c>
      <c r="S493" s="16" t="n">
        <v>50</v>
      </c>
      <c r="T493" s="6"/>
      <c r="U493" s="6"/>
      <c r="V493" s="13" t="n">
        <f aca="false">IF(Q493="","",J493*Q493/100)</f>
        <v>32.625</v>
      </c>
      <c r="W493" s="13" t="n">
        <f aca="false">IF(R493="","",J493*R493/100)</f>
        <v>65.25</v>
      </c>
      <c r="X493" s="13" t="n">
        <f aca="false">IF(S493="","",J493*S493/100)</f>
        <v>108.75</v>
      </c>
      <c r="Y493" s="13" t="str">
        <f aca="false">IF(T493="","",J493*T493/100)</f>
        <v/>
      </c>
      <c r="Z493" s="13" t="str">
        <f aca="false">IF(U493="","",J493*U493/100)</f>
        <v/>
      </c>
      <c r="AA493" s="6" t="s">
        <v>125</v>
      </c>
      <c r="AB493" s="6" t="s">
        <v>147</v>
      </c>
      <c r="AC493" s="6" t="s">
        <v>1902</v>
      </c>
      <c r="AD493" s="13" t="n">
        <f aca="false">IF(AC493="","",IFERROR(INDEX('INDB Full Nutrients'!$D:$D,MATCH(AC493,'INDB Full Nutrients'!$A:$A,0)),""))</f>
        <v>265.924591064453</v>
      </c>
      <c r="AE493" s="6" t="s">
        <v>1903</v>
      </c>
      <c r="AF493" s="6"/>
    </row>
    <row r="494" customFormat="false" ht="15" hidden="false" customHeight="false" outlineLevel="0" collapsed="false">
      <c r="A494" s="6" t="s">
        <v>1904</v>
      </c>
      <c r="B494" s="6" t="s">
        <v>1905</v>
      </c>
      <c r="C494" s="6" t="s">
        <v>1906</v>
      </c>
      <c r="D494" s="6" t="s">
        <v>59</v>
      </c>
      <c r="E494" s="6" t="s">
        <v>119</v>
      </c>
      <c r="F494" s="6" t="s">
        <v>100</v>
      </c>
      <c r="G494" s="6" t="s">
        <v>124</v>
      </c>
      <c r="H494" s="6" t="s">
        <v>1298</v>
      </c>
      <c r="I494" s="6" t="s">
        <v>298</v>
      </c>
      <c r="J494" s="13" t="n">
        <f aca="false">4*K494+4*(L494-N494)+9*M494+2*N494</f>
        <v>106.2</v>
      </c>
      <c r="K494" s="14" t="n">
        <v>1.8</v>
      </c>
      <c r="L494" s="14" t="n">
        <v>10</v>
      </c>
      <c r="M494" s="14" t="n">
        <v>7</v>
      </c>
      <c r="N494" s="14" t="n">
        <v>2</v>
      </c>
      <c r="O494" s="14" t="n">
        <v>5</v>
      </c>
      <c r="P494" s="15" t="n">
        <v>450</v>
      </c>
      <c r="Q494" s="16" t="n">
        <v>15</v>
      </c>
      <c r="R494" s="16" t="n">
        <v>30</v>
      </c>
      <c r="S494" s="16" t="n">
        <v>50</v>
      </c>
      <c r="T494" s="6"/>
      <c r="U494" s="6"/>
      <c r="V494" s="13" t="n">
        <f aca="false">IF(Q494="","",J494*Q494/100)</f>
        <v>15.93</v>
      </c>
      <c r="W494" s="13" t="n">
        <f aca="false">IF(R494="","",J494*R494/100)</f>
        <v>31.86</v>
      </c>
      <c r="X494" s="13" t="n">
        <f aca="false">IF(S494="","",J494*S494/100)</f>
        <v>53.1</v>
      </c>
      <c r="Y494" s="13" t="str">
        <f aca="false">IF(T494="","",J494*T494/100)</f>
        <v/>
      </c>
      <c r="Z494" s="13" t="str">
        <f aca="false">IF(U494="","",J494*U494/100)</f>
        <v/>
      </c>
      <c r="AA494" s="6" t="s">
        <v>103</v>
      </c>
      <c r="AB494" s="6" t="s">
        <v>104</v>
      </c>
      <c r="AC494" s="6" t="s">
        <v>1907</v>
      </c>
      <c r="AD494" s="13" t="n">
        <f aca="false">IF(AC494="","",IFERROR(INDEX('INDB Full Nutrients'!$D:$D,MATCH(AC494,'INDB Full Nutrients'!$A:$A,0)),""))</f>
        <v>44.6567535400391</v>
      </c>
      <c r="AE494" s="6" t="s">
        <v>1908</v>
      </c>
      <c r="AF494" s="6"/>
    </row>
    <row r="495" customFormat="false" ht="15" hidden="false" customHeight="false" outlineLevel="0" collapsed="false">
      <c r="A495" s="6" t="s">
        <v>1909</v>
      </c>
      <c r="B495" s="6" t="s">
        <v>1910</v>
      </c>
      <c r="C495" s="6" t="s">
        <v>1911</v>
      </c>
      <c r="D495" s="6" t="s">
        <v>59</v>
      </c>
      <c r="E495" s="6" t="s">
        <v>119</v>
      </c>
      <c r="F495" s="6" t="s">
        <v>100</v>
      </c>
      <c r="G495" s="6" t="s">
        <v>124</v>
      </c>
      <c r="H495" s="6" t="s">
        <v>1298</v>
      </c>
      <c r="I495" s="6" t="s">
        <v>298</v>
      </c>
      <c r="J495" s="13" t="n">
        <f aca="false">4*K495+4*(L495-N495)+9*M495+2*N495</f>
        <v>249</v>
      </c>
      <c r="K495" s="14" t="n">
        <v>9</v>
      </c>
      <c r="L495" s="14" t="n">
        <v>10</v>
      </c>
      <c r="M495" s="14" t="n">
        <v>20</v>
      </c>
      <c r="N495" s="14" t="n">
        <v>3.5</v>
      </c>
      <c r="O495" s="14" t="n">
        <v>3</v>
      </c>
      <c r="P495" s="15" t="n">
        <v>350</v>
      </c>
      <c r="Q495" s="16" t="n">
        <v>15</v>
      </c>
      <c r="R495" s="16" t="n">
        <v>30</v>
      </c>
      <c r="S495" s="16" t="n">
        <v>50</v>
      </c>
      <c r="T495" s="6"/>
      <c r="U495" s="6"/>
      <c r="V495" s="13" t="n">
        <f aca="false">IF(Q495="","",J495*Q495/100)</f>
        <v>37.35</v>
      </c>
      <c r="W495" s="13" t="n">
        <f aca="false">IF(R495="","",J495*R495/100)</f>
        <v>74.7</v>
      </c>
      <c r="X495" s="13" t="n">
        <f aca="false">IF(S495="","",J495*S495/100)</f>
        <v>124.5</v>
      </c>
      <c r="Y495" s="13" t="str">
        <f aca="false">IF(T495="","",J495*T495/100)</f>
        <v/>
      </c>
      <c r="Z495" s="13" t="str">
        <f aca="false">IF(U495="","",J495*U495/100)</f>
        <v/>
      </c>
      <c r="AA495" s="6" t="s">
        <v>125</v>
      </c>
      <c r="AB495" s="6" t="s">
        <v>147</v>
      </c>
      <c r="AC495" s="6" t="s">
        <v>1912</v>
      </c>
      <c r="AD495" s="13" t="n">
        <f aca="false">IF(AC495="","",IFERROR(INDEX('INDB Full Nutrients'!$D:$D,MATCH(AC495,'INDB Full Nutrients'!$A:$A,0)),""))</f>
        <v>258.366760253906</v>
      </c>
      <c r="AE495" s="6" t="s">
        <v>1913</v>
      </c>
      <c r="AF495" s="6"/>
    </row>
    <row r="496" customFormat="false" ht="15" hidden="false" customHeight="false" outlineLevel="0" collapsed="false">
      <c r="A496" s="6" t="s">
        <v>1914</v>
      </c>
      <c r="B496" s="6" t="s">
        <v>1915</v>
      </c>
      <c r="C496" s="6" t="s">
        <v>1916</v>
      </c>
      <c r="D496" s="6" t="s">
        <v>59</v>
      </c>
      <c r="E496" s="6" t="s">
        <v>161</v>
      </c>
      <c r="F496" s="6" t="s">
        <v>100</v>
      </c>
      <c r="G496" s="6" t="s">
        <v>124</v>
      </c>
      <c r="H496" s="6" t="s">
        <v>1298</v>
      </c>
      <c r="I496" s="6" t="s">
        <v>298</v>
      </c>
      <c r="J496" s="13" t="n">
        <f aca="false">4*K496+4*(L496-N496)+9*M496+2*N496</f>
        <v>41</v>
      </c>
      <c r="K496" s="14" t="n">
        <v>2.5</v>
      </c>
      <c r="L496" s="14" t="n">
        <v>7</v>
      </c>
      <c r="M496" s="14" t="n">
        <v>1</v>
      </c>
      <c r="N496" s="14" t="n">
        <v>3</v>
      </c>
      <c r="O496" s="14" t="n">
        <v>2.5</v>
      </c>
      <c r="P496" s="15" t="n">
        <v>400</v>
      </c>
      <c r="Q496" s="16" t="n">
        <v>15</v>
      </c>
      <c r="R496" s="16" t="n">
        <v>30</v>
      </c>
      <c r="S496" s="16" t="n">
        <v>50</v>
      </c>
      <c r="T496" s="6"/>
      <c r="U496" s="6"/>
      <c r="V496" s="13" t="n">
        <f aca="false">IF(Q496="","",J496*Q496/100)</f>
        <v>6.15</v>
      </c>
      <c r="W496" s="13" t="n">
        <f aca="false">IF(R496="","",J496*R496/100)</f>
        <v>12.3</v>
      </c>
      <c r="X496" s="13" t="n">
        <f aca="false">IF(S496="","",J496*S496/100)</f>
        <v>20.5</v>
      </c>
      <c r="Y496" s="13" t="str">
        <f aca="false">IF(T496="","",J496*T496/100)</f>
        <v/>
      </c>
      <c r="Z496" s="13" t="str">
        <f aca="false">IF(U496="","",J496*U496/100)</f>
        <v/>
      </c>
      <c r="AA496" s="6" t="s">
        <v>103</v>
      </c>
      <c r="AB496" s="6" t="s">
        <v>104</v>
      </c>
      <c r="AC496" s="6" t="s">
        <v>1917</v>
      </c>
      <c r="AD496" s="13" t="n">
        <f aca="false">IF(AC496="","",IFERROR(INDEX('INDB Full Nutrients'!$D:$D,MATCH(AC496,'INDB Full Nutrients'!$A:$A,0)),""))</f>
        <v>102.595314025879</v>
      </c>
      <c r="AE496" s="6" t="s">
        <v>1918</v>
      </c>
      <c r="AF496" s="6"/>
    </row>
    <row r="497" customFormat="false" ht="15" hidden="false" customHeight="false" outlineLevel="0" collapsed="false">
      <c r="A497" s="6" t="s">
        <v>1919</v>
      </c>
      <c r="B497" s="6" t="s">
        <v>1920</v>
      </c>
      <c r="C497" s="6" t="s">
        <v>1921</v>
      </c>
      <c r="D497" s="6" t="s">
        <v>59</v>
      </c>
      <c r="E497" s="6" t="s">
        <v>161</v>
      </c>
      <c r="F497" s="6" t="s">
        <v>100</v>
      </c>
      <c r="G497" s="6" t="s">
        <v>124</v>
      </c>
      <c r="H497" s="6" t="s">
        <v>1298</v>
      </c>
      <c r="I497" s="6" t="s">
        <v>298</v>
      </c>
      <c r="J497" s="13" t="n">
        <f aca="false">4*K497+4*(L497-N497)+9*M497+2*N497</f>
        <v>142</v>
      </c>
      <c r="K497" s="14" t="n">
        <v>0.8</v>
      </c>
      <c r="L497" s="14" t="n">
        <v>35</v>
      </c>
      <c r="M497" s="14" t="n">
        <v>0.2</v>
      </c>
      <c r="N497" s="14" t="n">
        <v>1.5</v>
      </c>
      <c r="O497" s="14" t="n">
        <v>30</v>
      </c>
      <c r="P497" s="15" t="n">
        <v>250</v>
      </c>
      <c r="Q497" s="16" t="n">
        <v>15</v>
      </c>
      <c r="R497" s="16" t="n">
        <v>30</v>
      </c>
      <c r="S497" s="16" t="n">
        <v>50</v>
      </c>
      <c r="T497" s="6"/>
      <c r="U497" s="6"/>
      <c r="V497" s="13" t="n">
        <f aca="false">IF(Q497="","",J497*Q497/100)</f>
        <v>21.3</v>
      </c>
      <c r="W497" s="13" t="n">
        <f aca="false">IF(R497="","",J497*R497/100)</f>
        <v>42.6</v>
      </c>
      <c r="X497" s="13" t="n">
        <f aca="false">IF(S497="","",J497*S497/100)</f>
        <v>71</v>
      </c>
      <c r="Y497" s="13" t="str">
        <f aca="false">IF(T497="","",J497*T497/100)</f>
        <v/>
      </c>
      <c r="Z497" s="13" t="str">
        <f aca="false">IF(U497="","",J497*U497/100)</f>
        <v/>
      </c>
      <c r="AA497" s="6" t="s">
        <v>125</v>
      </c>
      <c r="AB497" s="6" t="s">
        <v>147</v>
      </c>
      <c r="AC497" s="6" t="s">
        <v>1922</v>
      </c>
      <c r="AD497" s="13" t="n">
        <f aca="false">IF(AC497="","",IFERROR(INDEX('INDB Full Nutrients'!$D:$D,MATCH(AC497,'INDB Full Nutrients'!$A:$A,0)),""))</f>
        <v>141.525802612305</v>
      </c>
      <c r="AE497" s="6" t="s">
        <v>1923</v>
      </c>
      <c r="AF497" s="6"/>
    </row>
    <row r="498" customFormat="false" ht="15" hidden="false" customHeight="false" outlineLevel="0" collapsed="false">
      <c r="A498" s="6" t="s">
        <v>1924</v>
      </c>
      <c r="B498" s="6" t="s">
        <v>1925</v>
      </c>
      <c r="C498" s="6" t="s">
        <v>1926</v>
      </c>
      <c r="D498" s="6" t="s">
        <v>59</v>
      </c>
      <c r="E498" s="6" t="s">
        <v>119</v>
      </c>
      <c r="F498" s="6" t="s">
        <v>100</v>
      </c>
      <c r="G498" s="6" t="s">
        <v>124</v>
      </c>
      <c r="H498" s="6" t="s">
        <v>1298</v>
      </c>
      <c r="I498" s="6" t="s">
        <v>298</v>
      </c>
      <c r="J498" s="13" t="n">
        <f aca="false">4*K498+4*(L498-N498)+9*M498+2*N498</f>
        <v>318</v>
      </c>
      <c r="K498" s="14" t="n">
        <v>18</v>
      </c>
      <c r="L498" s="14" t="n">
        <v>45</v>
      </c>
      <c r="M498" s="14" t="n">
        <v>10</v>
      </c>
      <c r="N498" s="14" t="n">
        <v>12</v>
      </c>
      <c r="O498" s="14" t="n">
        <v>2</v>
      </c>
      <c r="P498" s="15" t="n">
        <v>1200</v>
      </c>
      <c r="Q498" s="16" t="n">
        <v>5</v>
      </c>
      <c r="R498" s="16" t="n">
        <v>10</v>
      </c>
      <c r="S498" s="16" t="n">
        <v>20</v>
      </c>
      <c r="T498" s="6"/>
      <c r="U498" s="6"/>
      <c r="V498" s="13" t="n">
        <f aca="false">IF(Q498="","",J498*Q498/100)</f>
        <v>15.9</v>
      </c>
      <c r="W498" s="13" t="n">
        <f aca="false">IF(R498="","",J498*R498/100)</f>
        <v>31.8</v>
      </c>
      <c r="X498" s="13" t="n">
        <f aca="false">IF(S498="","",J498*S498/100)</f>
        <v>63.6</v>
      </c>
      <c r="Y498" s="13" t="str">
        <f aca="false">IF(T498="","",J498*T498/100)</f>
        <v/>
      </c>
      <c r="Z498" s="13" t="str">
        <f aca="false">IF(U498="","",J498*U498/100)</f>
        <v/>
      </c>
      <c r="AA498" s="6" t="s">
        <v>125</v>
      </c>
      <c r="AB498" s="6" t="s">
        <v>147</v>
      </c>
      <c r="AC498" s="6" t="s">
        <v>1927</v>
      </c>
      <c r="AD498" s="13" t="n">
        <f aca="false">IF(AC498="","",IFERROR(INDEX('INDB Full Nutrients'!$D:$D,MATCH(AC498,'INDB Full Nutrients'!$A:$A,0)),""))</f>
        <v>312.338439941406</v>
      </c>
      <c r="AE498" s="6" t="s">
        <v>1928</v>
      </c>
      <c r="AF498" s="6" t="s">
        <v>1929</v>
      </c>
    </row>
    <row r="499" customFormat="false" ht="15" hidden="false" customHeight="false" outlineLevel="0" collapsed="false">
      <c r="A499" s="6" t="s">
        <v>1930</v>
      </c>
      <c r="B499" s="6" t="s">
        <v>1931</v>
      </c>
      <c r="C499" s="6" t="s">
        <v>1932</v>
      </c>
      <c r="D499" s="6" t="s">
        <v>59</v>
      </c>
      <c r="E499" s="6" t="s">
        <v>114</v>
      </c>
      <c r="F499" s="6" t="s">
        <v>100</v>
      </c>
      <c r="G499" s="6" t="s">
        <v>124</v>
      </c>
      <c r="H499" s="6" t="s">
        <v>1298</v>
      </c>
      <c r="I499" s="6" t="s">
        <v>298</v>
      </c>
      <c r="J499" s="13" t="n">
        <f aca="false">4*K499+4*(L499-N499)+9*M499+2*N499</f>
        <v>294</v>
      </c>
      <c r="K499" s="14" t="n">
        <v>6</v>
      </c>
      <c r="L499" s="14" t="n">
        <v>22</v>
      </c>
      <c r="M499" s="14" t="n">
        <v>22</v>
      </c>
      <c r="N499" s="14" t="n">
        <v>8</v>
      </c>
      <c r="O499" s="14" t="n">
        <v>3</v>
      </c>
      <c r="P499" s="15" t="n">
        <v>1200</v>
      </c>
      <c r="Q499" s="16" t="n">
        <v>5</v>
      </c>
      <c r="R499" s="16" t="n">
        <v>10</v>
      </c>
      <c r="S499" s="16" t="n">
        <v>20</v>
      </c>
      <c r="T499" s="6"/>
      <c r="U499" s="6"/>
      <c r="V499" s="13" t="n">
        <f aca="false">IF(Q499="","",J499*Q499/100)</f>
        <v>14.7</v>
      </c>
      <c r="W499" s="13" t="n">
        <f aca="false">IF(R499="","",J499*R499/100)</f>
        <v>29.4</v>
      </c>
      <c r="X499" s="13" t="n">
        <f aca="false">IF(S499="","",J499*S499/100)</f>
        <v>58.8</v>
      </c>
      <c r="Y499" s="13" t="str">
        <f aca="false">IF(T499="","",J499*T499/100)</f>
        <v/>
      </c>
      <c r="Z499" s="13" t="str">
        <f aca="false">IF(U499="","",J499*U499/100)</f>
        <v/>
      </c>
      <c r="AA499" s="6" t="s">
        <v>103</v>
      </c>
      <c r="AB499" s="6" t="s">
        <v>104</v>
      </c>
      <c r="AC499" s="6"/>
      <c r="AD499" s="13" t="str">
        <f aca="false">IF(AC499="","",IFERROR(INDEX('INDB Full Nutrients'!$D:$D,MATCH(AC499,'INDB Full Nutrients'!$A:$A,0)),""))</f>
        <v/>
      </c>
      <c r="AE499" s="6"/>
      <c r="AF499" s="6"/>
    </row>
    <row r="500" customFormat="false" ht="15" hidden="false" customHeight="false" outlineLevel="0" collapsed="false">
      <c r="A500" s="6" t="s">
        <v>1933</v>
      </c>
      <c r="B500" s="6" t="s">
        <v>1934</v>
      </c>
      <c r="C500" s="6" t="s">
        <v>1935</v>
      </c>
      <c r="D500" s="6" t="s">
        <v>59</v>
      </c>
      <c r="E500" s="6" t="s">
        <v>99</v>
      </c>
      <c r="F500" s="6" t="s">
        <v>100</v>
      </c>
      <c r="G500" s="6" t="s">
        <v>124</v>
      </c>
      <c r="H500" s="6" t="s">
        <v>1298</v>
      </c>
      <c r="I500" s="6" t="s">
        <v>298</v>
      </c>
      <c r="J500" s="13" t="n">
        <f aca="false">4*K500+4*(L500-N500)+9*M500+2*N500</f>
        <v>166</v>
      </c>
      <c r="K500" s="14" t="n">
        <v>1</v>
      </c>
      <c r="L500" s="14" t="n">
        <v>8</v>
      </c>
      <c r="M500" s="14" t="n">
        <v>15</v>
      </c>
      <c r="N500" s="14" t="n">
        <v>2.5</v>
      </c>
      <c r="O500" s="14" t="n">
        <v>1.5</v>
      </c>
      <c r="P500" s="15" t="n">
        <v>2600</v>
      </c>
      <c r="Q500" s="16" t="n">
        <v>5</v>
      </c>
      <c r="R500" s="16" t="n">
        <v>10</v>
      </c>
      <c r="S500" s="16" t="n">
        <v>20</v>
      </c>
      <c r="T500" s="6"/>
      <c r="U500" s="6"/>
      <c r="V500" s="13" t="n">
        <f aca="false">IF(Q500="","",J500*Q500/100)</f>
        <v>8.3</v>
      </c>
      <c r="W500" s="13" t="n">
        <f aca="false">IF(R500="","",J500*R500/100)</f>
        <v>16.6</v>
      </c>
      <c r="X500" s="13" t="n">
        <f aca="false">IF(S500="","",J500*S500/100)</f>
        <v>33.2</v>
      </c>
      <c r="Y500" s="13" t="str">
        <f aca="false">IF(T500="","",J500*T500/100)</f>
        <v/>
      </c>
      <c r="Z500" s="13" t="str">
        <f aca="false">IF(U500="","",J500*U500/100)</f>
        <v/>
      </c>
      <c r="AA500" s="6" t="s">
        <v>125</v>
      </c>
      <c r="AB500" s="6" t="s">
        <v>147</v>
      </c>
      <c r="AC500" s="6" t="s">
        <v>1936</v>
      </c>
      <c r="AD500" s="13" t="n">
        <f aca="false">IF(AC500="","",IFERROR(INDEX('INDB Full Nutrients'!$D:$D,MATCH(AC500,'INDB Full Nutrients'!$A:$A,0)),""))</f>
        <v>192.119155883789</v>
      </c>
      <c r="AE500" s="6" t="s">
        <v>1937</v>
      </c>
      <c r="AF500" s="6" t="s">
        <v>1938</v>
      </c>
    </row>
    <row r="501" customFormat="false" ht="15" hidden="false" customHeight="false" outlineLevel="0" collapsed="false">
      <c r="A501" s="6" t="s">
        <v>1939</v>
      </c>
      <c r="B501" s="6" t="s">
        <v>1940</v>
      </c>
      <c r="C501" s="6" t="s">
        <v>1941</v>
      </c>
      <c r="D501" s="6" t="s">
        <v>59</v>
      </c>
      <c r="E501" s="6" t="s">
        <v>99</v>
      </c>
      <c r="F501" s="6" t="s">
        <v>100</v>
      </c>
      <c r="G501" s="6" t="s">
        <v>124</v>
      </c>
      <c r="H501" s="6" t="s">
        <v>1298</v>
      </c>
      <c r="I501" s="6" t="s">
        <v>298</v>
      </c>
      <c r="J501" s="13" t="n">
        <f aca="false">4*K501+4*(L501-N501)+9*M501+2*N501</f>
        <v>88</v>
      </c>
      <c r="K501" s="14" t="n">
        <v>1</v>
      </c>
      <c r="L501" s="14" t="n">
        <v>9</v>
      </c>
      <c r="M501" s="14" t="n">
        <v>6</v>
      </c>
      <c r="N501" s="14" t="n">
        <v>3</v>
      </c>
      <c r="O501" s="14" t="n">
        <v>3</v>
      </c>
      <c r="P501" s="15" t="n">
        <v>2500</v>
      </c>
      <c r="Q501" s="16" t="n">
        <v>5</v>
      </c>
      <c r="R501" s="16" t="n">
        <v>10</v>
      </c>
      <c r="S501" s="16" t="n">
        <v>20</v>
      </c>
      <c r="T501" s="6"/>
      <c r="U501" s="6"/>
      <c r="V501" s="13" t="n">
        <f aca="false">IF(Q501="","",J501*Q501/100)</f>
        <v>4.4</v>
      </c>
      <c r="W501" s="13" t="n">
        <f aca="false">IF(R501="","",J501*R501/100)</f>
        <v>8.8</v>
      </c>
      <c r="X501" s="13" t="n">
        <f aca="false">IF(S501="","",J501*S501/100)</f>
        <v>17.6</v>
      </c>
      <c r="Y501" s="13" t="str">
        <f aca="false">IF(T501="","",J501*T501/100)</f>
        <v/>
      </c>
      <c r="Z501" s="13" t="str">
        <f aca="false">IF(U501="","",J501*U501/100)</f>
        <v/>
      </c>
      <c r="AA501" s="6" t="s">
        <v>103</v>
      </c>
      <c r="AB501" s="6" t="s">
        <v>104</v>
      </c>
      <c r="AC501" s="6"/>
      <c r="AD501" s="13" t="str">
        <f aca="false">IF(AC501="","",IFERROR(INDEX('INDB Full Nutrients'!$D:$D,MATCH(AC501,'INDB Full Nutrients'!$A:$A,0)),""))</f>
        <v/>
      </c>
      <c r="AE501" s="6"/>
      <c r="AF501" s="6" t="s">
        <v>1938</v>
      </c>
    </row>
    <row r="502" customFormat="false" ht="15" hidden="false" customHeight="false" outlineLevel="0" collapsed="false">
      <c r="A502" s="6" t="s">
        <v>1942</v>
      </c>
      <c r="B502" s="6" t="s">
        <v>1943</v>
      </c>
      <c r="C502" s="6" t="s">
        <v>1944</v>
      </c>
      <c r="D502" s="6" t="s">
        <v>59</v>
      </c>
      <c r="E502" s="6" t="s">
        <v>99</v>
      </c>
      <c r="F502" s="6" t="s">
        <v>100</v>
      </c>
      <c r="G502" s="6" t="s">
        <v>124</v>
      </c>
      <c r="H502" s="6" t="s">
        <v>1298</v>
      </c>
      <c r="I502" s="6" t="s">
        <v>298</v>
      </c>
      <c r="J502" s="13" t="n">
        <f aca="false">4*K502+4*(L502-N502)+9*M502+2*N502</f>
        <v>318.8</v>
      </c>
      <c r="K502" s="14" t="n">
        <v>22</v>
      </c>
      <c r="L502" s="14" t="n">
        <v>55</v>
      </c>
      <c r="M502" s="14" t="n">
        <v>3.2</v>
      </c>
      <c r="N502" s="14" t="n">
        <v>9</v>
      </c>
      <c r="O502" s="14" t="n">
        <v>1</v>
      </c>
      <c r="P502" s="15" t="n">
        <v>1700</v>
      </c>
      <c r="Q502" s="16" t="n">
        <v>8</v>
      </c>
      <c r="R502" s="16" t="n">
        <v>12</v>
      </c>
      <c r="S502" s="16" t="n">
        <v>16</v>
      </c>
      <c r="T502" s="6"/>
      <c r="U502" s="6"/>
      <c r="V502" s="13" t="n">
        <f aca="false">IF(Q502="","",J502*Q502/100)</f>
        <v>25.504</v>
      </c>
      <c r="W502" s="13" t="n">
        <f aca="false">IF(R502="","",J502*R502/100)</f>
        <v>38.256</v>
      </c>
      <c r="X502" s="13" t="n">
        <f aca="false">IF(S502="","",J502*S502/100)</f>
        <v>51.008</v>
      </c>
      <c r="Y502" s="13" t="str">
        <f aca="false">IF(T502="","",J502*T502/100)</f>
        <v/>
      </c>
      <c r="Z502" s="13" t="str">
        <f aca="false">IF(U502="","",J502*U502/100)</f>
        <v/>
      </c>
      <c r="AA502" s="6" t="s">
        <v>103</v>
      </c>
      <c r="AB502" s="6" t="s">
        <v>104</v>
      </c>
      <c r="AC502" s="6"/>
      <c r="AD502" s="13" t="str">
        <f aca="false">IF(AC502="","",IFERROR(INDEX('INDB Full Nutrients'!$D:$D,MATCH(AC502,'INDB Full Nutrients'!$A:$A,0)),""))</f>
        <v/>
      </c>
      <c r="AE502" s="6"/>
      <c r="AF502" s="6"/>
    </row>
    <row r="503" customFormat="false" ht="15" hidden="false" customHeight="false" outlineLevel="0" collapsed="false">
      <c r="A503" s="6" t="s">
        <v>1945</v>
      </c>
      <c r="B503" s="6" t="s">
        <v>1946</v>
      </c>
      <c r="C503" s="6"/>
      <c r="D503" s="6" t="s">
        <v>59</v>
      </c>
      <c r="E503" s="6" t="s">
        <v>99</v>
      </c>
      <c r="F503" s="6" t="s">
        <v>100</v>
      </c>
      <c r="G503" s="6" t="s">
        <v>124</v>
      </c>
      <c r="H503" s="6" t="s">
        <v>1298</v>
      </c>
      <c r="I503" s="6" t="s">
        <v>298</v>
      </c>
      <c r="J503" s="13" t="n">
        <f aca="false">4*K503+4*(L503-N503)+9*M503+2*N503</f>
        <v>463</v>
      </c>
      <c r="K503" s="14" t="n">
        <v>18</v>
      </c>
      <c r="L503" s="14" t="n">
        <v>45</v>
      </c>
      <c r="M503" s="14" t="n">
        <v>25</v>
      </c>
      <c r="N503" s="14" t="n">
        <v>7</v>
      </c>
      <c r="O503" s="14" t="n">
        <v>1</v>
      </c>
      <c r="P503" s="15" t="n">
        <v>1400</v>
      </c>
      <c r="Q503" s="16" t="n">
        <v>10</v>
      </c>
      <c r="R503" s="16" t="n">
        <v>15</v>
      </c>
      <c r="S503" s="16" t="n">
        <v>20</v>
      </c>
      <c r="T503" s="6"/>
      <c r="U503" s="6"/>
      <c r="V503" s="13" t="n">
        <f aca="false">IF(Q503="","",J503*Q503/100)</f>
        <v>46.3</v>
      </c>
      <c r="W503" s="13" t="n">
        <f aca="false">IF(R503="","",J503*R503/100)</f>
        <v>69.45</v>
      </c>
      <c r="X503" s="13" t="n">
        <f aca="false">IF(S503="","",J503*S503/100)</f>
        <v>92.6</v>
      </c>
      <c r="Y503" s="13" t="str">
        <f aca="false">IF(T503="","",J503*T503/100)</f>
        <v/>
      </c>
      <c r="Z503" s="13" t="str">
        <f aca="false">IF(U503="","",J503*U503/100)</f>
        <v/>
      </c>
      <c r="AA503" s="6" t="s">
        <v>103</v>
      </c>
      <c r="AB503" s="6" t="s">
        <v>104</v>
      </c>
      <c r="AC503" s="6"/>
      <c r="AD503" s="13" t="str">
        <f aca="false">IF(AC503="","",IFERROR(INDEX('INDB Full Nutrients'!$D:$D,MATCH(AC503,'INDB Full Nutrients'!$A:$A,0)),""))</f>
        <v/>
      </c>
      <c r="AE503" s="6"/>
      <c r="AF503" s="6"/>
    </row>
    <row r="504" customFormat="false" ht="15" hidden="false" customHeight="false" outlineLevel="0" collapsed="false">
      <c r="A504" s="6" t="s">
        <v>1947</v>
      </c>
      <c r="B504" s="6" t="s">
        <v>1948</v>
      </c>
      <c r="C504" s="6"/>
      <c r="D504" s="6" t="s">
        <v>59</v>
      </c>
      <c r="E504" s="6" t="s">
        <v>161</v>
      </c>
      <c r="F504" s="6" t="s">
        <v>100</v>
      </c>
      <c r="G504" s="6" t="s">
        <v>124</v>
      </c>
      <c r="H504" s="6" t="s">
        <v>1480</v>
      </c>
      <c r="I504" s="6" t="s">
        <v>298</v>
      </c>
      <c r="J504" s="13" t="n">
        <f aca="false">4*K504+4*(L504-N504)+9*M504+2*N504</f>
        <v>285</v>
      </c>
      <c r="K504" s="14" t="n">
        <v>10</v>
      </c>
      <c r="L504" s="14" t="n">
        <v>30</v>
      </c>
      <c r="M504" s="14" t="n">
        <v>15</v>
      </c>
      <c r="N504" s="14" t="n">
        <v>5</v>
      </c>
      <c r="O504" s="14" t="n">
        <v>2.5</v>
      </c>
      <c r="P504" s="15" t="n">
        <v>900</v>
      </c>
      <c r="Q504" s="16" t="n">
        <v>25</v>
      </c>
      <c r="R504" s="16" t="n">
        <v>35</v>
      </c>
      <c r="S504" s="16" t="n">
        <v>50</v>
      </c>
      <c r="T504" s="6"/>
      <c r="U504" s="6"/>
      <c r="V504" s="13" t="n">
        <f aca="false">IF(Q504="","",J504*Q504/100)</f>
        <v>71.25</v>
      </c>
      <c r="W504" s="13" t="n">
        <f aca="false">IF(R504="","",J504*R504/100)</f>
        <v>99.75</v>
      </c>
      <c r="X504" s="13" t="n">
        <f aca="false">IF(S504="","",J504*S504/100)</f>
        <v>142.5</v>
      </c>
      <c r="Y504" s="13" t="str">
        <f aca="false">IF(T504="","",J504*T504/100)</f>
        <v/>
      </c>
      <c r="Z504" s="13" t="str">
        <f aca="false">IF(U504="","",J504*U504/100)</f>
        <v/>
      </c>
      <c r="AA504" s="6" t="s">
        <v>103</v>
      </c>
      <c r="AB504" s="6" t="s">
        <v>104</v>
      </c>
      <c r="AC504" s="6"/>
      <c r="AD504" s="13" t="str">
        <f aca="false">IF(AC504="","",IFERROR(INDEX('INDB Full Nutrients'!$D:$D,MATCH(AC504,'INDB Full Nutrients'!$A:$A,0)),""))</f>
        <v/>
      </c>
      <c r="AE504" s="6"/>
      <c r="AF504" s="6" t="s">
        <v>1949</v>
      </c>
    </row>
    <row r="505" customFormat="false" ht="15" hidden="false" customHeight="false" outlineLevel="0" collapsed="false">
      <c r="A505" s="6" t="s">
        <v>1950</v>
      </c>
      <c r="B505" s="6" t="s">
        <v>1951</v>
      </c>
      <c r="C505" s="6" t="s">
        <v>1952</v>
      </c>
      <c r="D505" s="6" t="s">
        <v>60</v>
      </c>
      <c r="E505" s="6" t="s">
        <v>114</v>
      </c>
      <c r="F505" s="6" t="s">
        <v>100</v>
      </c>
      <c r="G505" s="6" t="s">
        <v>124</v>
      </c>
      <c r="H505" s="6" t="s">
        <v>603</v>
      </c>
      <c r="I505" s="6" t="s">
        <v>298</v>
      </c>
      <c r="J505" s="13" t="n">
        <f aca="false">4*K505+4*(L505-N505)+9*M505+2*N505</f>
        <v>550</v>
      </c>
      <c r="K505" s="14" t="n">
        <v>9</v>
      </c>
      <c r="L505" s="14" t="n">
        <v>45</v>
      </c>
      <c r="M505" s="14" t="n">
        <v>38</v>
      </c>
      <c r="N505" s="14" t="n">
        <v>4</v>
      </c>
      <c r="O505" s="14" t="n">
        <v>1.5</v>
      </c>
      <c r="P505" s="15" t="n">
        <v>900</v>
      </c>
      <c r="Q505" s="16" t="n">
        <v>15</v>
      </c>
      <c r="R505" s="16" t="n">
        <v>30</v>
      </c>
      <c r="S505" s="16" t="n">
        <v>50</v>
      </c>
      <c r="T505" s="6"/>
      <c r="U505" s="6"/>
      <c r="V505" s="13" t="n">
        <f aca="false">IF(Q505="","",J505*Q505/100)</f>
        <v>82.5</v>
      </c>
      <c r="W505" s="13" t="n">
        <f aca="false">IF(R505="","",J505*R505/100)</f>
        <v>165</v>
      </c>
      <c r="X505" s="13" t="n">
        <f aca="false">IF(S505="","",J505*S505/100)</f>
        <v>275</v>
      </c>
      <c r="Y505" s="13" t="str">
        <f aca="false">IF(T505="","",J505*T505/100)</f>
        <v/>
      </c>
      <c r="Z505" s="13" t="str">
        <f aca="false">IF(U505="","",J505*U505/100)</f>
        <v/>
      </c>
      <c r="AA505" s="6" t="s">
        <v>103</v>
      </c>
      <c r="AB505" s="6" t="s">
        <v>104</v>
      </c>
      <c r="AC505" s="6"/>
      <c r="AD505" s="13" t="str">
        <f aca="false">IF(AC505="","",IFERROR(INDEX('INDB Full Nutrients'!$D:$D,MATCH(AC505,'INDB Full Nutrients'!$A:$A,0)),""))</f>
        <v/>
      </c>
      <c r="AE505" s="6"/>
      <c r="AF505" s="6" t="s">
        <v>1953</v>
      </c>
    </row>
    <row r="506" customFormat="false" ht="15" hidden="false" customHeight="false" outlineLevel="0" collapsed="false">
      <c r="A506" s="6" t="s">
        <v>1954</v>
      </c>
      <c r="B506" s="6" t="s">
        <v>1955</v>
      </c>
      <c r="C506" s="6" t="s">
        <v>1956</v>
      </c>
      <c r="D506" s="6" t="s">
        <v>60</v>
      </c>
      <c r="E506" s="6" t="s">
        <v>99</v>
      </c>
      <c r="F506" s="6" t="s">
        <v>100</v>
      </c>
      <c r="G506" s="6" t="s">
        <v>124</v>
      </c>
      <c r="H506" s="6" t="s">
        <v>603</v>
      </c>
      <c r="I506" s="6" t="s">
        <v>298</v>
      </c>
      <c r="J506" s="13" t="n">
        <f aca="false">4*K506+4*(L506-N506)+9*M506+2*N506</f>
        <v>513</v>
      </c>
      <c r="K506" s="14" t="n">
        <v>12</v>
      </c>
      <c r="L506" s="14" t="n">
        <v>45</v>
      </c>
      <c r="M506" s="14" t="n">
        <v>33</v>
      </c>
      <c r="N506" s="14" t="n">
        <v>6</v>
      </c>
      <c r="O506" s="14" t="n">
        <v>3</v>
      </c>
      <c r="P506" s="15" t="n">
        <v>800</v>
      </c>
      <c r="Q506" s="16" t="n">
        <v>15</v>
      </c>
      <c r="R506" s="16" t="n">
        <v>30</v>
      </c>
      <c r="S506" s="16" t="n">
        <v>50</v>
      </c>
      <c r="T506" s="6"/>
      <c r="U506" s="6"/>
      <c r="V506" s="13" t="n">
        <f aca="false">IF(Q506="","",J506*Q506/100)</f>
        <v>76.95</v>
      </c>
      <c r="W506" s="13" t="n">
        <f aca="false">IF(R506="","",J506*R506/100)</f>
        <v>153.9</v>
      </c>
      <c r="X506" s="13" t="n">
        <f aca="false">IF(S506="","",J506*S506/100)</f>
        <v>256.5</v>
      </c>
      <c r="Y506" s="13" t="str">
        <f aca="false">IF(T506="","",J506*T506/100)</f>
        <v/>
      </c>
      <c r="Z506" s="13" t="str">
        <f aca="false">IF(U506="","",J506*U506/100)</f>
        <v/>
      </c>
      <c r="AA506" s="6" t="s">
        <v>103</v>
      </c>
      <c r="AB506" s="6" t="s">
        <v>104</v>
      </c>
      <c r="AC506" s="6"/>
      <c r="AD506" s="13" t="str">
        <f aca="false">IF(AC506="","",IFERROR(INDEX('INDB Full Nutrients'!$D:$D,MATCH(AC506,'INDB Full Nutrients'!$A:$A,0)),""))</f>
        <v/>
      </c>
      <c r="AE506" s="6"/>
      <c r="AF506" s="6"/>
    </row>
    <row r="507" customFormat="false" ht="15" hidden="false" customHeight="false" outlineLevel="0" collapsed="false">
      <c r="A507" s="6" t="s">
        <v>1957</v>
      </c>
      <c r="B507" s="6" t="s">
        <v>1958</v>
      </c>
      <c r="C507" s="6" t="s">
        <v>1959</v>
      </c>
      <c r="D507" s="6" t="s">
        <v>60</v>
      </c>
      <c r="E507" s="6" t="s">
        <v>114</v>
      </c>
      <c r="F507" s="6" t="s">
        <v>100</v>
      </c>
      <c r="G507" s="6" t="s">
        <v>124</v>
      </c>
      <c r="H507" s="6" t="s">
        <v>603</v>
      </c>
      <c r="I507" s="6" t="s">
        <v>298</v>
      </c>
      <c r="J507" s="13" t="n">
        <f aca="false">4*K507+4*(L507-N507)+9*M507+2*N507</f>
        <v>446</v>
      </c>
      <c r="K507" s="14" t="n">
        <v>8</v>
      </c>
      <c r="L507" s="14" t="n">
        <v>60</v>
      </c>
      <c r="M507" s="14" t="n">
        <v>20</v>
      </c>
      <c r="N507" s="14" t="n">
        <v>3</v>
      </c>
      <c r="O507" s="14" t="n">
        <v>5</v>
      </c>
      <c r="P507" s="15" t="n">
        <v>600</v>
      </c>
      <c r="Q507" s="16" t="n">
        <v>15</v>
      </c>
      <c r="R507" s="16" t="n">
        <v>30</v>
      </c>
      <c r="S507" s="16" t="n">
        <v>50</v>
      </c>
      <c r="T507" s="6"/>
      <c r="U507" s="6"/>
      <c r="V507" s="13" t="n">
        <f aca="false">IF(Q507="","",J507*Q507/100)</f>
        <v>66.9</v>
      </c>
      <c r="W507" s="13" t="n">
        <f aca="false">IF(R507="","",J507*R507/100)</f>
        <v>133.8</v>
      </c>
      <c r="X507" s="13" t="n">
        <f aca="false">IF(S507="","",J507*S507/100)</f>
        <v>223</v>
      </c>
      <c r="Y507" s="13" t="str">
        <f aca="false">IF(T507="","",J507*T507/100)</f>
        <v/>
      </c>
      <c r="Z507" s="13" t="str">
        <f aca="false">IF(U507="","",J507*U507/100)</f>
        <v/>
      </c>
      <c r="AA507" s="6" t="s">
        <v>103</v>
      </c>
      <c r="AB507" s="6" t="s">
        <v>104</v>
      </c>
      <c r="AC507" s="6"/>
      <c r="AD507" s="13" t="str">
        <f aca="false">IF(AC507="","",IFERROR(INDEX('INDB Full Nutrients'!$D:$D,MATCH(AC507,'INDB Full Nutrients'!$A:$A,0)),""))</f>
        <v/>
      </c>
      <c r="AE507" s="6"/>
      <c r="AF507" s="6"/>
    </row>
    <row r="508" customFormat="false" ht="15" hidden="false" customHeight="false" outlineLevel="0" collapsed="false">
      <c r="A508" s="6" t="s">
        <v>1960</v>
      </c>
      <c r="B508" s="6" t="s">
        <v>1961</v>
      </c>
      <c r="C508" s="6" t="s">
        <v>1962</v>
      </c>
      <c r="D508" s="6" t="s">
        <v>60</v>
      </c>
      <c r="E508" s="6" t="s">
        <v>114</v>
      </c>
      <c r="F508" s="6" t="s">
        <v>100</v>
      </c>
      <c r="G508" s="6" t="s">
        <v>124</v>
      </c>
      <c r="H508" s="6" t="s">
        <v>603</v>
      </c>
      <c r="I508" s="6" t="s">
        <v>298</v>
      </c>
      <c r="J508" s="13" t="n">
        <f aca="false">4*K508+4*(L508-N508)+9*M508+2*N508</f>
        <v>526</v>
      </c>
      <c r="K508" s="14" t="n">
        <v>14</v>
      </c>
      <c r="L508" s="14" t="n">
        <v>42</v>
      </c>
      <c r="M508" s="14" t="n">
        <v>35</v>
      </c>
      <c r="N508" s="14" t="n">
        <v>6.5</v>
      </c>
      <c r="O508" s="14" t="n">
        <v>1</v>
      </c>
      <c r="P508" s="15" t="n">
        <v>700</v>
      </c>
      <c r="Q508" s="16" t="n">
        <v>15</v>
      </c>
      <c r="R508" s="16" t="n">
        <v>30</v>
      </c>
      <c r="S508" s="16" t="n">
        <v>50</v>
      </c>
      <c r="T508" s="6"/>
      <c r="U508" s="6"/>
      <c r="V508" s="13" t="n">
        <f aca="false">IF(Q508="","",J508*Q508/100)</f>
        <v>78.9</v>
      </c>
      <c r="W508" s="13" t="n">
        <f aca="false">IF(R508="","",J508*R508/100)</f>
        <v>157.8</v>
      </c>
      <c r="X508" s="13" t="n">
        <f aca="false">IF(S508="","",J508*S508/100)</f>
        <v>263</v>
      </c>
      <c r="Y508" s="13" t="str">
        <f aca="false">IF(T508="","",J508*T508/100)</f>
        <v/>
      </c>
      <c r="Z508" s="13" t="str">
        <f aca="false">IF(U508="","",J508*U508/100)</f>
        <v/>
      </c>
      <c r="AA508" s="6" t="s">
        <v>103</v>
      </c>
      <c r="AB508" s="6" t="s">
        <v>104</v>
      </c>
      <c r="AC508" s="6" t="s">
        <v>1963</v>
      </c>
      <c r="AD508" s="13" t="n">
        <f aca="false">IF(AC508="","",IFERROR(INDEX('INDB Full Nutrients'!$D:$D,MATCH(AC508,'INDB Full Nutrients'!$A:$A,0)),""))</f>
        <v>609.142761230469</v>
      </c>
      <c r="AE508" s="6" t="s">
        <v>576</v>
      </c>
      <c r="AF508" s="6"/>
    </row>
    <row r="509" customFormat="false" ht="15" hidden="false" customHeight="false" outlineLevel="0" collapsed="false">
      <c r="A509" s="6" t="s">
        <v>1964</v>
      </c>
      <c r="B509" s="6" t="s">
        <v>1965</v>
      </c>
      <c r="C509" s="6"/>
      <c r="D509" s="6" t="s">
        <v>60</v>
      </c>
      <c r="E509" s="6" t="s">
        <v>161</v>
      </c>
      <c r="F509" s="6" t="s">
        <v>100</v>
      </c>
      <c r="G509" s="6" t="s">
        <v>124</v>
      </c>
      <c r="H509" s="6" t="s">
        <v>603</v>
      </c>
      <c r="I509" s="6" t="s">
        <v>298</v>
      </c>
      <c r="J509" s="13" t="n">
        <f aca="false">4*K509+4*(L509-N509)+9*M509+2*N509</f>
        <v>497</v>
      </c>
      <c r="K509" s="14" t="n">
        <v>7.5</v>
      </c>
      <c r="L509" s="14" t="n">
        <v>55</v>
      </c>
      <c r="M509" s="14" t="n">
        <v>28</v>
      </c>
      <c r="N509" s="14" t="n">
        <v>2.5</v>
      </c>
      <c r="O509" s="14" t="n">
        <v>1</v>
      </c>
      <c r="P509" s="15" t="n">
        <v>500</v>
      </c>
      <c r="Q509" s="16" t="n">
        <v>10</v>
      </c>
      <c r="R509" s="16" t="n">
        <v>15</v>
      </c>
      <c r="S509" s="16" t="n">
        <v>25</v>
      </c>
      <c r="T509" s="6"/>
      <c r="U509" s="6"/>
      <c r="V509" s="13" t="n">
        <f aca="false">IF(Q509="","",J509*Q509/100)</f>
        <v>49.7</v>
      </c>
      <c r="W509" s="13" t="n">
        <f aca="false">IF(R509="","",J509*R509/100)</f>
        <v>74.55</v>
      </c>
      <c r="X509" s="13" t="n">
        <f aca="false">IF(S509="","",J509*S509/100)</f>
        <v>124.25</v>
      </c>
      <c r="Y509" s="13" t="str">
        <f aca="false">IF(T509="","",J509*T509/100)</f>
        <v/>
      </c>
      <c r="Z509" s="13" t="str">
        <f aca="false">IF(U509="","",J509*U509/100)</f>
        <v/>
      </c>
      <c r="AA509" s="6" t="s">
        <v>103</v>
      </c>
      <c r="AB509" s="6" t="s">
        <v>104</v>
      </c>
      <c r="AC509" s="6" t="s">
        <v>1966</v>
      </c>
      <c r="AD509" s="13" t="n">
        <f aca="false">IF(AC509="","",IFERROR(INDEX('INDB Full Nutrients'!$D:$D,MATCH(AC509,'INDB Full Nutrients'!$A:$A,0)),""))</f>
        <v>805.123352050781</v>
      </c>
      <c r="AE509" s="6" t="s">
        <v>576</v>
      </c>
      <c r="AF509" s="6" t="s">
        <v>577</v>
      </c>
    </row>
    <row r="510" customFormat="false" ht="15" hidden="false" customHeight="false" outlineLevel="0" collapsed="false">
      <c r="A510" s="6" t="s">
        <v>1967</v>
      </c>
      <c r="B510" s="6" t="s">
        <v>1968</v>
      </c>
      <c r="C510" s="6" t="s">
        <v>1969</v>
      </c>
      <c r="D510" s="6" t="s">
        <v>60</v>
      </c>
      <c r="E510" s="6" t="s">
        <v>161</v>
      </c>
      <c r="F510" s="6" t="s">
        <v>100</v>
      </c>
      <c r="G510" s="6" t="s">
        <v>124</v>
      </c>
      <c r="H510" s="6" t="s">
        <v>603</v>
      </c>
      <c r="I510" s="6" t="s">
        <v>298</v>
      </c>
      <c r="J510" s="13" t="n">
        <f aca="false">4*K510+4*(L510-N510)+9*M510+2*N510</f>
        <v>484.6</v>
      </c>
      <c r="K510" s="14" t="n">
        <v>8</v>
      </c>
      <c r="L510" s="14" t="n">
        <v>58</v>
      </c>
      <c r="M510" s="14" t="n">
        <v>25</v>
      </c>
      <c r="N510" s="14" t="n">
        <v>2.2</v>
      </c>
      <c r="O510" s="14" t="n">
        <v>1</v>
      </c>
      <c r="P510" s="15" t="n">
        <v>500</v>
      </c>
      <c r="Q510" s="16" t="n">
        <v>15</v>
      </c>
      <c r="R510" s="16" t="n">
        <v>30</v>
      </c>
      <c r="S510" s="16" t="n">
        <v>50</v>
      </c>
      <c r="T510" s="6"/>
      <c r="U510" s="6"/>
      <c r="V510" s="13" t="n">
        <f aca="false">IF(Q510="","",J510*Q510/100)</f>
        <v>72.69</v>
      </c>
      <c r="W510" s="13" t="n">
        <f aca="false">IF(R510="","",J510*R510/100)</f>
        <v>145.38</v>
      </c>
      <c r="X510" s="13" t="n">
        <f aca="false">IF(S510="","",J510*S510/100)</f>
        <v>242.3</v>
      </c>
      <c r="Y510" s="13" t="str">
        <f aca="false">IF(T510="","",J510*T510/100)</f>
        <v/>
      </c>
      <c r="Z510" s="13" t="str">
        <f aca="false">IF(U510="","",J510*U510/100)</f>
        <v/>
      </c>
      <c r="AA510" s="6" t="s">
        <v>103</v>
      </c>
      <c r="AB510" s="6" t="s">
        <v>104</v>
      </c>
      <c r="AC510" s="6"/>
      <c r="AD510" s="13" t="str">
        <f aca="false">IF(AC510="","",IFERROR(INDEX('INDB Full Nutrients'!$D:$D,MATCH(AC510,'INDB Full Nutrients'!$A:$A,0)),""))</f>
        <v/>
      </c>
      <c r="AE510" s="6"/>
      <c r="AF510" s="6"/>
    </row>
    <row r="511" customFormat="false" ht="15" hidden="false" customHeight="false" outlineLevel="0" collapsed="false">
      <c r="A511" s="6" t="s">
        <v>1970</v>
      </c>
      <c r="B511" s="6" t="s">
        <v>1971</v>
      </c>
      <c r="C511" s="6" t="s">
        <v>1972</v>
      </c>
      <c r="D511" s="6" t="s">
        <v>60</v>
      </c>
      <c r="E511" s="6" t="s">
        <v>119</v>
      </c>
      <c r="F511" s="6" t="s">
        <v>100</v>
      </c>
      <c r="G511" s="6" t="s">
        <v>124</v>
      </c>
      <c r="H511" s="6" t="s">
        <v>603</v>
      </c>
      <c r="I511" s="6" t="s">
        <v>298</v>
      </c>
      <c r="J511" s="13" t="n">
        <f aca="false">4*K511+4*(L511-N511)+9*M511+2*N511</f>
        <v>506</v>
      </c>
      <c r="K511" s="14" t="n">
        <v>7</v>
      </c>
      <c r="L511" s="14" t="n">
        <v>58</v>
      </c>
      <c r="M511" s="14" t="n">
        <v>28</v>
      </c>
      <c r="N511" s="14" t="n">
        <v>3</v>
      </c>
      <c r="O511" s="14" t="n">
        <v>0.5</v>
      </c>
      <c r="P511" s="15" t="n">
        <v>500</v>
      </c>
      <c r="Q511" s="16" t="n">
        <v>10</v>
      </c>
      <c r="R511" s="16" t="n">
        <v>15</v>
      </c>
      <c r="S511" s="16" t="n">
        <v>25</v>
      </c>
      <c r="T511" s="6"/>
      <c r="U511" s="6"/>
      <c r="V511" s="13" t="n">
        <f aca="false">IF(Q511="","",J511*Q511/100)</f>
        <v>50.6</v>
      </c>
      <c r="W511" s="13" t="n">
        <f aca="false">IF(R511="","",J511*R511/100)</f>
        <v>75.9</v>
      </c>
      <c r="X511" s="13" t="n">
        <f aca="false">IF(S511="","",J511*S511/100)</f>
        <v>126.5</v>
      </c>
      <c r="Y511" s="13" t="str">
        <f aca="false">IF(T511="","",J511*T511/100)</f>
        <v/>
      </c>
      <c r="Z511" s="13" t="str">
        <f aca="false">IF(U511="","",J511*U511/100)</f>
        <v/>
      </c>
      <c r="AA511" s="6" t="s">
        <v>103</v>
      </c>
      <c r="AB511" s="6" t="s">
        <v>104</v>
      </c>
      <c r="AC511" s="6" t="s">
        <v>1973</v>
      </c>
      <c r="AD511" s="13" t="n">
        <f aca="false">IF(AC511="","",IFERROR(INDEX('INDB Full Nutrients'!$D:$D,MATCH(AC511,'INDB Full Nutrients'!$A:$A,0)),""))</f>
        <v>593.989990234375</v>
      </c>
      <c r="AE511" s="6" t="s">
        <v>576</v>
      </c>
      <c r="AF511" s="6"/>
    </row>
    <row r="512" customFormat="false" ht="15" hidden="false" customHeight="false" outlineLevel="0" collapsed="false">
      <c r="A512" s="6" t="s">
        <v>1974</v>
      </c>
      <c r="B512" s="6" t="s">
        <v>1975</v>
      </c>
      <c r="C512" s="6" t="s">
        <v>1976</v>
      </c>
      <c r="D512" s="6" t="s">
        <v>60</v>
      </c>
      <c r="E512" s="6" t="s">
        <v>119</v>
      </c>
      <c r="F512" s="6" t="s">
        <v>100</v>
      </c>
      <c r="G512" s="6" t="s">
        <v>124</v>
      </c>
      <c r="H512" s="6" t="s">
        <v>603</v>
      </c>
      <c r="I512" s="6" t="s">
        <v>298</v>
      </c>
      <c r="J512" s="13" t="n">
        <f aca="false">4*K512+4*(L512-N512)+9*M512+2*N512</f>
        <v>531.8</v>
      </c>
      <c r="K512" s="14" t="n">
        <v>2.3</v>
      </c>
      <c r="L512" s="14" t="n">
        <v>58</v>
      </c>
      <c r="M512" s="14" t="n">
        <v>34</v>
      </c>
      <c r="N512" s="14" t="n">
        <v>7.7</v>
      </c>
      <c r="O512" s="14" t="n">
        <v>3.5</v>
      </c>
      <c r="P512" s="15" t="n">
        <v>300</v>
      </c>
      <c r="Q512" s="16" t="n">
        <v>15</v>
      </c>
      <c r="R512" s="16" t="n">
        <v>30</v>
      </c>
      <c r="S512" s="16" t="n">
        <v>50</v>
      </c>
      <c r="T512" s="6"/>
      <c r="U512" s="6"/>
      <c r="V512" s="13" t="n">
        <f aca="false">IF(Q512="","",J512*Q512/100)</f>
        <v>79.77</v>
      </c>
      <c r="W512" s="13" t="n">
        <f aca="false">IF(R512="","",J512*R512/100)</f>
        <v>159.54</v>
      </c>
      <c r="X512" s="13" t="n">
        <f aca="false">IF(S512="","",J512*S512/100)</f>
        <v>265.9</v>
      </c>
      <c r="Y512" s="13" t="str">
        <f aca="false">IF(T512="","",J512*T512/100)</f>
        <v/>
      </c>
      <c r="Z512" s="13" t="str">
        <f aca="false">IF(U512="","",J512*U512/100)</f>
        <v/>
      </c>
      <c r="AA512" s="6" t="s">
        <v>103</v>
      </c>
      <c r="AB512" s="6" t="s">
        <v>104</v>
      </c>
      <c r="AC512" s="6" t="s">
        <v>1977</v>
      </c>
      <c r="AD512" s="13" t="n">
        <f aca="false">IF(AC512="","",IFERROR(INDEX('INDB Full Nutrients'!$D:$D,MATCH(AC512,'INDB Full Nutrients'!$A:$A,0)),""))</f>
        <v>665.666076660156</v>
      </c>
      <c r="AE512" s="6" t="s">
        <v>576</v>
      </c>
      <c r="AF512" s="6" t="s">
        <v>1978</v>
      </c>
    </row>
    <row r="513" customFormat="false" ht="15" hidden="false" customHeight="false" outlineLevel="0" collapsed="false">
      <c r="A513" s="6" t="s">
        <v>1979</v>
      </c>
      <c r="B513" s="6" t="s">
        <v>1980</v>
      </c>
      <c r="C513" s="6" t="s">
        <v>1981</v>
      </c>
      <c r="D513" s="6" t="s">
        <v>60</v>
      </c>
      <c r="E513" s="6" t="s">
        <v>99</v>
      </c>
      <c r="F513" s="6" t="s">
        <v>100</v>
      </c>
      <c r="G513" s="6" t="s">
        <v>124</v>
      </c>
      <c r="H513" s="6" t="s">
        <v>603</v>
      </c>
      <c r="I513" s="6" t="s">
        <v>298</v>
      </c>
      <c r="J513" s="13" t="n">
        <f aca="false">4*K513+4*(L513-N513)+9*M513+2*N513</f>
        <v>339.5</v>
      </c>
      <c r="K513" s="14" t="n">
        <v>20</v>
      </c>
      <c r="L513" s="14" t="n">
        <v>60</v>
      </c>
      <c r="M513" s="14" t="n">
        <v>5.5</v>
      </c>
      <c r="N513" s="14" t="n">
        <v>15</v>
      </c>
      <c r="O513" s="14" t="n">
        <v>6</v>
      </c>
      <c r="P513" s="15" t="n">
        <v>30</v>
      </c>
      <c r="Q513" s="16" t="n">
        <v>15</v>
      </c>
      <c r="R513" s="16" t="n">
        <v>30</v>
      </c>
      <c r="S513" s="16" t="n">
        <v>50</v>
      </c>
      <c r="T513" s="6"/>
      <c r="U513" s="6"/>
      <c r="V513" s="13" t="n">
        <f aca="false">IF(Q513="","",J513*Q513/100)</f>
        <v>50.925</v>
      </c>
      <c r="W513" s="13" t="n">
        <f aca="false">IF(R513="","",J513*R513/100)</f>
        <v>101.85</v>
      </c>
      <c r="X513" s="13" t="n">
        <f aca="false">IF(S513="","",J513*S513/100)</f>
        <v>169.75</v>
      </c>
      <c r="Y513" s="13" t="str">
        <f aca="false">IF(T513="","",J513*T513/100)</f>
        <v/>
      </c>
      <c r="Z513" s="13" t="str">
        <f aca="false">IF(U513="","",J513*U513/100)</f>
        <v/>
      </c>
      <c r="AA513" s="6" t="s">
        <v>125</v>
      </c>
      <c r="AB513" s="6" t="s">
        <v>126</v>
      </c>
      <c r="AC513" s="6"/>
      <c r="AD513" s="13" t="str">
        <f aca="false">IF(AC513="","",IFERROR(INDEX('INDB Full Nutrients'!$D:$D,MATCH(AC513,'INDB Full Nutrients'!$A:$A,0)),""))</f>
        <v/>
      </c>
      <c r="AE513" s="6"/>
      <c r="AF513" s="6"/>
    </row>
    <row r="514" customFormat="false" ht="15" hidden="false" customHeight="false" outlineLevel="0" collapsed="false">
      <c r="A514" s="6" t="s">
        <v>1982</v>
      </c>
      <c r="B514" s="6" t="s">
        <v>1983</v>
      </c>
      <c r="C514" s="6" t="s">
        <v>1984</v>
      </c>
      <c r="D514" s="6" t="s">
        <v>60</v>
      </c>
      <c r="E514" s="6" t="s">
        <v>99</v>
      </c>
      <c r="F514" s="6" t="s">
        <v>100</v>
      </c>
      <c r="G514" s="6"/>
      <c r="H514" s="6" t="s">
        <v>603</v>
      </c>
      <c r="I514" s="6" t="s">
        <v>298</v>
      </c>
      <c r="J514" s="13" t="n">
        <f aca="false">4*K514+4*(L514-N514)+9*M514+2*N514</f>
        <v>366</v>
      </c>
      <c r="K514" s="14" t="n">
        <v>9.5</v>
      </c>
      <c r="L514" s="14" t="n">
        <v>72</v>
      </c>
      <c r="M514" s="14" t="n">
        <v>6</v>
      </c>
      <c r="N514" s="14" t="n">
        <v>7</v>
      </c>
      <c r="O514" s="14" t="n">
        <v>0.5</v>
      </c>
      <c r="P514" s="15" t="n">
        <v>300</v>
      </c>
      <c r="Q514" s="16" t="n">
        <v>10</v>
      </c>
      <c r="R514" s="16" t="n">
        <v>20</v>
      </c>
      <c r="S514" s="16" t="n">
        <v>30</v>
      </c>
      <c r="T514" s="6"/>
      <c r="U514" s="6"/>
      <c r="V514" s="13" t="n">
        <f aca="false">IF(Q514="","",J514*Q514/100)</f>
        <v>36.6</v>
      </c>
      <c r="W514" s="13" t="n">
        <f aca="false">IF(R514="","",J514*R514/100)</f>
        <v>73.2</v>
      </c>
      <c r="X514" s="13" t="n">
        <f aca="false">IF(S514="","",J514*S514/100)</f>
        <v>109.8</v>
      </c>
      <c r="Y514" s="13" t="str">
        <f aca="false">IF(T514="","",J514*T514/100)</f>
        <v/>
      </c>
      <c r="Z514" s="13" t="str">
        <f aca="false">IF(U514="","",J514*U514/100)</f>
        <v/>
      </c>
      <c r="AA514" s="6" t="s">
        <v>103</v>
      </c>
      <c r="AB514" s="6" t="s">
        <v>104</v>
      </c>
      <c r="AC514" s="6"/>
      <c r="AD514" s="13" t="str">
        <f aca="false">IF(AC514="","",IFERROR(INDEX('INDB Full Nutrients'!$D:$D,MATCH(AC514,'INDB Full Nutrients'!$A:$A,0)),""))</f>
        <v/>
      </c>
      <c r="AE514" s="6"/>
      <c r="AF514" s="6"/>
    </row>
    <row r="515" customFormat="false" ht="15" hidden="false" customHeight="false" outlineLevel="0" collapsed="false">
      <c r="A515" s="6" t="s">
        <v>1985</v>
      </c>
      <c r="B515" s="6" t="s">
        <v>1986</v>
      </c>
      <c r="C515" s="6" t="s">
        <v>1987</v>
      </c>
      <c r="D515" s="6" t="s">
        <v>60</v>
      </c>
      <c r="E515" s="6" t="s">
        <v>99</v>
      </c>
      <c r="F515" s="6" t="s">
        <v>100</v>
      </c>
      <c r="G515" s="6" t="s">
        <v>124</v>
      </c>
      <c r="H515" s="6" t="s">
        <v>603</v>
      </c>
      <c r="I515" s="6" t="s">
        <v>298</v>
      </c>
      <c r="J515" s="13" t="n">
        <f aca="false">4*K515+4*(L515-N515)+9*M515+2*N515</f>
        <v>599</v>
      </c>
      <c r="K515" s="14" t="n">
        <v>25</v>
      </c>
      <c r="L515" s="14" t="n">
        <v>21</v>
      </c>
      <c r="M515" s="14" t="n">
        <v>48</v>
      </c>
      <c r="N515" s="14" t="n">
        <v>8.5</v>
      </c>
      <c r="O515" s="14" t="n">
        <v>4</v>
      </c>
      <c r="P515" s="15" t="n">
        <v>300</v>
      </c>
      <c r="Q515" s="16" t="n">
        <v>15</v>
      </c>
      <c r="R515" s="16" t="n">
        <v>30</v>
      </c>
      <c r="S515" s="16" t="n">
        <v>50</v>
      </c>
      <c r="T515" s="6"/>
      <c r="U515" s="6"/>
      <c r="V515" s="13" t="n">
        <f aca="false">IF(Q515="","",J515*Q515/100)</f>
        <v>89.85</v>
      </c>
      <c r="W515" s="13" t="n">
        <f aca="false">IF(R515="","",J515*R515/100)</f>
        <v>179.7</v>
      </c>
      <c r="X515" s="13" t="n">
        <f aca="false">IF(S515="","",J515*S515/100)</f>
        <v>299.5</v>
      </c>
      <c r="Y515" s="13" t="str">
        <f aca="false">IF(T515="","",J515*T515/100)</f>
        <v/>
      </c>
      <c r="Z515" s="13" t="str">
        <f aca="false">IF(U515="","",J515*U515/100)</f>
        <v/>
      </c>
      <c r="AA515" s="6" t="s">
        <v>125</v>
      </c>
      <c r="AB515" s="6" t="s">
        <v>126</v>
      </c>
      <c r="AC515" s="6"/>
      <c r="AD515" s="13" t="str">
        <f aca="false">IF(AC515="","",IFERROR(INDEX('INDB Full Nutrients'!$D:$D,MATCH(AC515,'INDB Full Nutrients'!$A:$A,0)),""))</f>
        <v/>
      </c>
      <c r="AE515" s="6"/>
      <c r="AF515" s="6"/>
    </row>
    <row r="516" customFormat="false" ht="15" hidden="false" customHeight="false" outlineLevel="0" collapsed="false">
      <c r="A516" s="6" t="s">
        <v>1988</v>
      </c>
      <c r="B516" s="6" t="s">
        <v>1989</v>
      </c>
      <c r="C516" s="6"/>
      <c r="D516" s="6" t="s">
        <v>60</v>
      </c>
      <c r="E516" s="6" t="s">
        <v>161</v>
      </c>
      <c r="F516" s="6" t="s">
        <v>100</v>
      </c>
      <c r="G516" s="6" t="s">
        <v>124</v>
      </c>
      <c r="H516" s="6" t="s">
        <v>603</v>
      </c>
      <c r="I516" s="6" t="s">
        <v>298</v>
      </c>
      <c r="J516" s="13" t="n">
        <f aca="false">4*K516+4*(L516-N516)+9*M516+2*N516</f>
        <v>383</v>
      </c>
      <c r="K516" s="14" t="n">
        <v>18</v>
      </c>
      <c r="L516" s="14" t="n">
        <v>50</v>
      </c>
      <c r="M516" s="14" t="n">
        <v>15</v>
      </c>
      <c r="N516" s="14" t="n">
        <v>12</v>
      </c>
      <c r="O516" s="14" t="n">
        <v>2</v>
      </c>
      <c r="P516" s="15" t="n">
        <v>600</v>
      </c>
      <c r="Q516" s="16" t="n">
        <v>15</v>
      </c>
      <c r="R516" s="16" t="n">
        <v>30</v>
      </c>
      <c r="S516" s="16" t="n">
        <v>50</v>
      </c>
      <c r="T516" s="6"/>
      <c r="U516" s="6"/>
      <c r="V516" s="13" t="n">
        <f aca="false">IF(Q516="","",J516*Q516/100)</f>
        <v>57.45</v>
      </c>
      <c r="W516" s="13" t="n">
        <f aca="false">IF(R516="","",J516*R516/100)</f>
        <v>114.9</v>
      </c>
      <c r="X516" s="13" t="n">
        <f aca="false">IF(S516="","",J516*S516/100)</f>
        <v>191.5</v>
      </c>
      <c r="Y516" s="13" t="str">
        <f aca="false">IF(T516="","",J516*T516/100)</f>
        <v/>
      </c>
      <c r="Z516" s="13" t="str">
        <f aca="false">IF(U516="","",J516*U516/100)</f>
        <v/>
      </c>
      <c r="AA516" s="6" t="s">
        <v>103</v>
      </c>
      <c r="AB516" s="6" t="s">
        <v>104</v>
      </c>
      <c r="AC516" s="6"/>
      <c r="AD516" s="13" t="str">
        <f aca="false">IF(AC516="","",IFERROR(INDEX('INDB Full Nutrients'!$D:$D,MATCH(AC516,'INDB Full Nutrients'!$A:$A,0)),""))</f>
        <v/>
      </c>
      <c r="AE516" s="6"/>
      <c r="AF516" s="6"/>
    </row>
    <row r="517" customFormat="false" ht="15" hidden="false" customHeight="false" outlineLevel="0" collapsed="false">
      <c r="A517" s="6" t="s">
        <v>1990</v>
      </c>
      <c r="B517" s="6" t="s">
        <v>1991</v>
      </c>
      <c r="C517" s="6" t="s">
        <v>1992</v>
      </c>
      <c r="D517" s="6" t="s">
        <v>60</v>
      </c>
      <c r="E517" s="6" t="s">
        <v>99</v>
      </c>
      <c r="F517" s="6" t="s">
        <v>100</v>
      </c>
      <c r="G517" s="6" t="s">
        <v>124</v>
      </c>
      <c r="H517" s="6" t="s">
        <v>603</v>
      </c>
      <c r="I517" s="6" t="s">
        <v>298</v>
      </c>
      <c r="J517" s="13" t="n">
        <f aca="false">4*K517+4*(L517-N517)+9*M517+2*N517</f>
        <v>341.5</v>
      </c>
      <c r="K517" s="14" t="n">
        <v>7</v>
      </c>
      <c r="L517" s="14" t="n">
        <v>78</v>
      </c>
      <c r="M517" s="14" t="n">
        <v>0.5</v>
      </c>
      <c r="N517" s="14" t="n">
        <v>1.5</v>
      </c>
      <c r="O517" s="14" t="n">
        <v>0.2</v>
      </c>
      <c r="P517" s="15" t="n">
        <v>5</v>
      </c>
      <c r="Q517" s="16" t="n">
        <v>15</v>
      </c>
      <c r="R517" s="16" t="n">
        <v>30</v>
      </c>
      <c r="S517" s="16" t="n">
        <v>50</v>
      </c>
      <c r="T517" s="6"/>
      <c r="U517" s="6"/>
      <c r="V517" s="13" t="n">
        <f aca="false">IF(Q517="","",J517*Q517/100)</f>
        <v>51.225</v>
      </c>
      <c r="W517" s="13" t="n">
        <f aca="false">IF(R517="","",J517*R517/100)</f>
        <v>102.45</v>
      </c>
      <c r="X517" s="13" t="n">
        <f aca="false">IF(S517="","",J517*S517/100)</f>
        <v>170.75</v>
      </c>
      <c r="Y517" s="13" t="str">
        <f aca="false">IF(T517="","",J517*T517/100)</f>
        <v/>
      </c>
      <c r="Z517" s="13" t="str">
        <f aca="false">IF(U517="","",J517*U517/100)</f>
        <v/>
      </c>
      <c r="AA517" s="6" t="s">
        <v>125</v>
      </c>
      <c r="AB517" s="6" t="s">
        <v>126</v>
      </c>
      <c r="AC517" s="6"/>
      <c r="AD517" s="13" t="str">
        <f aca="false">IF(AC517="","",IFERROR(INDEX('INDB Full Nutrients'!$D:$D,MATCH(AC517,'INDB Full Nutrients'!$A:$A,0)),""))</f>
        <v/>
      </c>
      <c r="AE517" s="6"/>
      <c r="AF517" s="6"/>
    </row>
    <row r="518" customFormat="false" ht="15" hidden="false" customHeight="false" outlineLevel="0" collapsed="false">
      <c r="A518" s="6" t="s">
        <v>1993</v>
      </c>
      <c r="B518" s="6" t="s">
        <v>1994</v>
      </c>
      <c r="C518" s="6"/>
      <c r="D518" s="6" t="s">
        <v>61</v>
      </c>
      <c r="E518" s="6" t="s">
        <v>99</v>
      </c>
      <c r="F518" s="6" t="s">
        <v>100</v>
      </c>
      <c r="G518" s="6"/>
      <c r="H518" s="6" t="s">
        <v>748</v>
      </c>
      <c r="I518" s="6" t="s">
        <v>298</v>
      </c>
      <c r="J518" s="13" t="n">
        <f aca="false">4*K518+4*(L518-N518)+9*M518+2*N518</f>
        <v>333.4</v>
      </c>
      <c r="K518" s="14" t="n">
        <v>4.5</v>
      </c>
      <c r="L518" s="14" t="n">
        <v>52</v>
      </c>
      <c r="M518" s="14" t="n">
        <v>12</v>
      </c>
      <c r="N518" s="14" t="n">
        <v>0.3</v>
      </c>
      <c r="O518" s="14" t="n">
        <v>42</v>
      </c>
      <c r="P518" s="15" t="n">
        <v>40</v>
      </c>
      <c r="Q518" s="16" t="n">
        <v>30</v>
      </c>
      <c r="R518" s="16" t="n">
        <v>50</v>
      </c>
      <c r="S518" s="16" t="n">
        <v>70</v>
      </c>
      <c r="T518" s="6"/>
      <c r="U518" s="6"/>
      <c r="V518" s="13" t="n">
        <f aca="false">IF(Q518="","",J518*Q518/100)</f>
        <v>100.02</v>
      </c>
      <c r="W518" s="13" t="n">
        <f aca="false">IF(R518="","",J518*R518/100)</f>
        <v>166.7</v>
      </c>
      <c r="X518" s="13" t="n">
        <f aca="false">IF(S518="","",J518*S518/100)</f>
        <v>233.38</v>
      </c>
      <c r="Y518" s="13" t="str">
        <f aca="false">IF(T518="","",J518*T518/100)</f>
        <v/>
      </c>
      <c r="Z518" s="13" t="str">
        <f aca="false">IF(U518="","",J518*U518/100)</f>
        <v/>
      </c>
      <c r="AA518" s="6" t="s">
        <v>103</v>
      </c>
      <c r="AB518" s="6" t="s">
        <v>104</v>
      </c>
      <c r="AC518" s="6" t="s">
        <v>1995</v>
      </c>
      <c r="AD518" s="13" t="n">
        <f aca="false">IF(AC518="","",IFERROR(INDEX('INDB Full Nutrients'!$D:$D,MATCH(AC518,'INDB Full Nutrients'!$A:$A,0)),""))</f>
        <v>586.0634765625</v>
      </c>
      <c r="AE518" s="6" t="s">
        <v>576</v>
      </c>
      <c r="AF518" s="6" t="s">
        <v>1996</v>
      </c>
    </row>
    <row r="519" customFormat="false" ht="15" hidden="false" customHeight="false" outlineLevel="0" collapsed="false">
      <c r="A519" s="6" t="s">
        <v>1997</v>
      </c>
      <c r="B519" s="6" t="s">
        <v>1998</v>
      </c>
      <c r="C519" s="6" t="s">
        <v>1999</v>
      </c>
      <c r="D519" s="6" t="s">
        <v>61</v>
      </c>
      <c r="E519" s="6" t="s">
        <v>205</v>
      </c>
      <c r="F519" s="6" t="s">
        <v>100</v>
      </c>
      <c r="G519" s="6"/>
      <c r="H519" s="6" t="s">
        <v>748</v>
      </c>
      <c r="I519" s="6" t="s">
        <v>298</v>
      </c>
      <c r="J519" s="13" t="n">
        <f aca="false">4*K519+4*(L519-N519)+9*M519+2*N519</f>
        <v>193.5</v>
      </c>
      <c r="K519" s="14" t="n">
        <v>4.5</v>
      </c>
      <c r="L519" s="14" t="n">
        <v>36</v>
      </c>
      <c r="M519" s="14" t="n">
        <v>3.5</v>
      </c>
      <c r="N519" s="14" t="n">
        <v>0</v>
      </c>
      <c r="O519" s="14" t="n">
        <v>35</v>
      </c>
      <c r="P519" s="15" t="n">
        <v>20</v>
      </c>
      <c r="Q519" s="16" t="n">
        <v>30</v>
      </c>
      <c r="R519" s="16" t="n">
        <v>50</v>
      </c>
      <c r="S519" s="16" t="n">
        <v>70</v>
      </c>
      <c r="T519" s="6"/>
      <c r="U519" s="6"/>
      <c r="V519" s="13" t="n">
        <f aca="false">IF(Q519="","",J519*Q519/100)</f>
        <v>58.05</v>
      </c>
      <c r="W519" s="13" t="n">
        <f aca="false">IF(R519="","",J519*R519/100)</f>
        <v>96.75</v>
      </c>
      <c r="X519" s="13" t="n">
        <f aca="false">IF(S519="","",J519*S519/100)</f>
        <v>135.45</v>
      </c>
      <c r="Y519" s="13" t="str">
        <f aca="false">IF(T519="","",J519*T519/100)</f>
        <v/>
      </c>
      <c r="Z519" s="13" t="str">
        <f aca="false">IF(U519="","",J519*U519/100)</f>
        <v/>
      </c>
      <c r="AA519" s="6" t="s">
        <v>103</v>
      </c>
      <c r="AB519" s="6" t="s">
        <v>104</v>
      </c>
      <c r="AC519" s="6" t="s">
        <v>2000</v>
      </c>
      <c r="AD519" s="13" t="n">
        <f aca="false">IF(AC519="","",IFERROR(INDEX('INDB Full Nutrients'!$D:$D,MATCH(AC519,'INDB Full Nutrients'!$A:$A,0)),""))</f>
        <v>118.637168884277</v>
      </c>
      <c r="AE519" s="6" t="s">
        <v>2001</v>
      </c>
      <c r="AF519" s="6" t="s">
        <v>2002</v>
      </c>
    </row>
    <row r="520" customFormat="false" ht="15" hidden="false" customHeight="false" outlineLevel="0" collapsed="false">
      <c r="A520" s="6" t="s">
        <v>2003</v>
      </c>
      <c r="B520" s="6" t="s">
        <v>2004</v>
      </c>
      <c r="C520" s="6"/>
      <c r="D520" s="6" t="s">
        <v>61</v>
      </c>
      <c r="E520" s="6" t="s">
        <v>205</v>
      </c>
      <c r="F520" s="6" t="s">
        <v>100</v>
      </c>
      <c r="G520" s="6"/>
      <c r="H520" s="6" t="s">
        <v>748</v>
      </c>
      <c r="I520" s="6" t="s">
        <v>298</v>
      </c>
      <c r="J520" s="13" t="n">
        <f aca="false">4*K520+4*(L520-N520)+9*M520+2*N520</f>
        <v>217</v>
      </c>
      <c r="K520" s="14" t="n">
        <v>6</v>
      </c>
      <c r="L520" s="14" t="n">
        <v>28</v>
      </c>
      <c r="M520" s="14" t="n">
        <v>9</v>
      </c>
      <c r="N520" s="14" t="n">
        <v>0</v>
      </c>
      <c r="O520" s="14" t="n">
        <v>26</v>
      </c>
      <c r="P520" s="15" t="n">
        <v>60</v>
      </c>
      <c r="Q520" s="16" t="n">
        <v>60</v>
      </c>
      <c r="R520" s="16" t="n">
        <v>90</v>
      </c>
      <c r="S520" s="16" t="n">
        <v>120</v>
      </c>
      <c r="T520" s="6"/>
      <c r="U520" s="6"/>
      <c r="V520" s="13" t="n">
        <f aca="false">IF(Q520="","",J520*Q520/100)</f>
        <v>130.2</v>
      </c>
      <c r="W520" s="13" t="n">
        <f aca="false">IF(R520="","",J520*R520/100)</f>
        <v>195.3</v>
      </c>
      <c r="X520" s="13" t="n">
        <f aca="false">IF(S520="","",J520*S520/100)</f>
        <v>260.4</v>
      </c>
      <c r="Y520" s="13" t="str">
        <f aca="false">IF(T520="","",J520*T520/100)</f>
        <v/>
      </c>
      <c r="Z520" s="13" t="str">
        <f aca="false">IF(U520="","",J520*U520/100)</f>
        <v/>
      </c>
      <c r="AA520" s="6" t="s">
        <v>103</v>
      </c>
      <c r="AB520" s="6" t="s">
        <v>104</v>
      </c>
      <c r="AC520" s="6" t="s">
        <v>2005</v>
      </c>
      <c r="AD520" s="13" t="n">
        <f aca="false">IF(AC520="","",IFERROR(INDEX('INDB Full Nutrients'!$D:$D,MATCH(AC520,'INDB Full Nutrients'!$A:$A,0)),""))</f>
        <v>135.549118041992</v>
      </c>
      <c r="AE520" s="6" t="s">
        <v>2006</v>
      </c>
      <c r="AF520" s="6"/>
    </row>
    <row r="521" customFormat="false" ht="15" hidden="false" customHeight="false" outlineLevel="0" collapsed="false">
      <c r="A521" s="6" t="s">
        <v>2007</v>
      </c>
      <c r="B521" s="6" t="s">
        <v>2008</v>
      </c>
      <c r="C521" s="6"/>
      <c r="D521" s="6" t="s">
        <v>61</v>
      </c>
      <c r="E521" s="6" t="s">
        <v>205</v>
      </c>
      <c r="F521" s="6" t="s">
        <v>100</v>
      </c>
      <c r="G521" s="6"/>
      <c r="H521" s="6" t="s">
        <v>748</v>
      </c>
      <c r="I521" s="6" t="s">
        <v>298</v>
      </c>
      <c r="J521" s="13" t="n">
        <f aca="false">4*K521+4*(L521-N521)+9*M521+2*N521</f>
        <v>225</v>
      </c>
      <c r="K521" s="14" t="n">
        <v>5</v>
      </c>
      <c r="L521" s="14" t="n">
        <v>40</v>
      </c>
      <c r="M521" s="14" t="n">
        <v>5</v>
      </c>
      <c r="N521" s="14" t="n">
        <v>0</v>
      </c>
      <c r="O521" s="14" t="n">
        <v>36</v>
      </c>
      <c r="P521" s="15" t="n">
        <v>30</v>
      </c>
      <c r="Q521" s="16" t="n">
        <v>40</v>
      </c>
      <c r="R521" s="16" t="n">
        <v>60</v>
      </c>
      <c r="S521" s="16" t="n">
        <v>80</v>
      </c>
      <c r="T521" s="6"/>
      <c r="U521" s="6"/>
      <c r="V521" s="13" t="n">
        <f aca="false">IF(Q521="","",J521*Q521/100)</f>
        <v>90</v>
      </c>
      <c r="W521" s="13" t="n">
        <f aca="false">IF(R521="","",J521*R521/100)</f>
        <v>135</v>
      </c>
      <c r="X521" s="13" t="n">
        <f aca="false">IF(S521="","",J521*S521/100)</f>
        <v>180</v>
      </c>
      <c r="Y521" s="13" t="str">
        <f aca="false">IF(T521="","",J521*T521/100)</f>
        <v/>
      </c>
      <c r="Z521" s="13" t="str">
        <f aca="false">IF(U521="","",J521*U521/100)</f>
        <v/>
      </c>
      <c r="AA521" s="6" t="s">
        <v>103</v>
      </c>
      <c r="AB521" s="6" t="s">
        <v>104</v>
      </c>
      <c r="AC521" s="6" t="s">
        <v>2009</v>
      </c>
      <c r="AD521" s="13" t="n">
        <f aca="false">IF(AC521="","",IFERROR(INDEX('INDB Full Nutrients'!$D:$D,MATCH(AC521,'INDB Full Nutrients'!$A:$A,0)),""))</f>
        <v>130.053741455078</v>
      </c>
      <c r="AE521" s="6" t="s">
        <v>2010</v>
      </c>
      <c r="AF521" s="6"/>
    </row>
    <row r="522" customFormat="false" ht="15" hidden="false" customHeight="false" outlineLevel="0" collapsed="false">
      <c r="A522" s="6" t="s">
        <v>2011</v>
      </c>
      <c r="B522" s="6" t="s">
        <v>2012</v>
      </c>
      <c r="C522" s="6"/>
      <c r="D522" s="6" t="s">
        <v>61</v>
      </c>
      <c r="E522" s="6" t="s">
        <v>205</v>
      </c>
      <c r="F522" s="6" t="s">
        <v>100</v>
      </c>
      <c r="G522" s="6"/>
      <c r="H522" s="6" t="s">
        <v>748</v>
      </c>
      <c r="I522" s="6" t="s">
        <v>298</v>
      </c>
      <c r="J522" s="13" t="n">
        <f aca="false">4*K522+4*(L522-N522)+9*M522+2*N522</f>
        <v>270</v>
      </c>
      <c r="K522" s="14" t="n">
        <v>10</v>
      </c>
      <c r="L522" s="14" t="n">
        <v>35</v>
      </c>
      <c r="M522" s="14" t="n">
        <v>10</v>
      </c>
      <c r="N522" s="14" t="n">
        <v>0</v>
      </c>
      <c r="O522" s="14" t="n">
        <v>30</v>
      </c>
      <c r="P522" s="15" t="n">
        <v>50</v>
      </c>
      <c r="Q522" s="16" t="n">
        <v>20</v>
      </c>
      <c r="R522" s="16" t="n">
        <v>30</v>
      </c>
      <c r="S522" s="16" t="n">
        <v>45</v>
      </c>
      <c r="T522" s="6"/>
      <c r="U522" s="6"/>
      <c r="V522" s="13" t="n">
        <f aca="false">IF(Q522="","",J522*Q522/100)</f>
        <v>54</v>
      </c>
      <c r="W522" s="13" t="n">
        <f aca="false">IF(R522="","",J522*R522/100)</f>
        <v>81</v>
      </c>
      <c r="X522" s="13" t="n">
        <f aca="false">IF(S522="","",J522*S522/100)</f>
        <v>121.5</v>
      </c>
      <c r="Y522" s="13" t="str">
        <f aca="false">IF(T522="","",J522*T522/100)</f>
        <v/>
      </c>
      <c r="Z522" s="13" t="str">
        <f aca="false">IF(U522="","",J522*U522/100)</f>
        <v/>
      </c>
      <c r="AA522" s="6" t="s">
        <v>103</v>
      </c>
      <c r="AB522" s="6" t="s">
        <v>104</v>
      </c>
      <c r="AC522" s="6"/>
      <c r="AD522" s="13" t="str">
        <f aca="false">IF(AC522="","",IFERROR(INDEX('INDB Full Nutrients'!$D:$D,MATCH(AC522,'INDB Full Nutrients'!$A:$A,0)),""))</f>
        <v/>
      </c>
      <c r="AE522" s="6"/>
      <c r="AF522" s="6"/>
    </row>
    <row r="523" customFormat="false" ht="15" hidden="false" customHeight="false" outlineLevel="0" collapsed="false">
      <c r="A523" s="6" t="s">
        <v>2013</v>
      </c>
      <c r="B523" s="6" t="s">
        <v>2014</v>
      </c>
      <c r="C523" s="6" t="s">
        <v>2015</v>
      </c>
      <c r="D523" s="6" t="s">
        <v>61</v>
      </c>
      <c r="E523" s="6" t="s">
        <v>205</v>
      </c>
      <c r="F523" s="6" t="s">
        <v>100</v>
      </c>
      <c r="G523" s="6"/>
      <c r="H523" s="6" t="s">
        <v>748</v>
      </c>
      <c r="I523" s="6" t="s">
        <v>298</v>
      </c>
      <c r="J523" s="13" t="n">
        <f aca="false">4*K523+4*(L523-N523)+9*M523+2*N523</f>
        <v>135.5</v>
      </c>
      <c r="K523" s="14" t="n">
        <v>4</v>
      </c>
      <c r="L523" s="14" t="n">
        <v>22</v>
      </c>
      <c r="M523" s="14" t="n">
        <v>3.5</v>
      </c>
      <c r="N523" s="14" t="n">
        <v>0</v>
      </c>
      <c r="O523" s="14" t="n">
        <v>20</v>
      </c>
      <c r="P523" s="15" t="n">
        <v>50</v>
      </c>
      <c r="Q523" s="16" t="n">
        <v>75</v>
      </c>
      <c r="R523" s="16" t="n">
        <v>100</v>
      </c>
      <c r="S523" s="16" t="n">
        <v>150</v>
      </c>
      <c r="T523" s="6"/>
      <c r="U523" s="6"/>
      <c r="V523" s="13" t="n">
        <f aca="false">IF(Q523="","",J523*Q523/100)</f>
        <v>101.625</v>
      </c>
      <c r="W523" s="13" t="n">
        <f aca="false">IF(R523="","",J523*R523/100)</f>
        <v>135.5</v>
      </c>
      <c r="X523" s="13" t="n">
        <f aca="false">IF(S523="","",J523*S523/100)</f>
        <v>203.25</v>
      </c>
      <c r="Y523" s="13" t="str">
        <f aca="false">IF(T523="","",J523*T523/100)</f>
        <v/>
      </c>
      <c r="Z523" s="13" t="str">
        <f aca="false">IF(U523="","",J523*U523/100)</f>
        <v/>
      </c>
      <c r="AA523" s="6" t="s">
        <v>103</v>
      </c>
      <c r="AB523" s="6" t="s">
        <v>104</v>
      </c>
      <c r="AC523" s="6"/>
      <c r="AD523" s="13" t="str">
        <f aca="false">IF(AC523="","",IFERROR(INDEX('INDB Full Nutrients'!$D:$D,MATCH(AC523,'INDB Full Nutrients'!$A:$A,0)),""))</f>
        <v/>
      </c>
      <c r="AE523" s="6"/>
      <c r="AF523" s="6"/>
    </row>
    <row r="524" customFormat="false" ht="15" hidden="false" customHeight="false" outlineLevel="0" collapsed="false">
      <c r="A524" s="6" t="s">
        <v>2016</v>
      </c>
      <c r="B524" s="6" t="s">
        <v>2017</v>
      </c>
      <c r="C524" s="6"/>
      <c r="D524" s="6" t="s">
        <v>61</v>
      </c>
      <c r="E524" s="6" t="s">
        <v>205</v>
      </c>
      <c r="F524" s="6" t="s">
        <v>100</v>
      </c>
      <c r="G524" s="6"/>
      <c r="H524" s="6" t="s">
        <v>748</v>
      </c>
      <c r="I524" s="6" t="s">
        <v>298</v>
      </c>
      <c r="J524" s="13" t="n">
        <f aca="false">4*K524+4*(L524-N524)+9*M524+2*N524</f>
        <v>295.4</v>
      </c>
      <c r="K524" s="14" t="n">
        <v>9</v>
      </c>
      <c r="L524" s="14" t="n">
        <v>38</v>
      </c>
      <c r="M524" s="14" t="n">
        <v>12</v>
      </c>
      <c r="N524" s="14" t="n">
        <v>0.3</v>
      </c>
      <c r="O524" s="14" t="n">
        <v>30</v>
      </c>
      <c r="P524" s="15" t="n">
        <v>60</v>
      </c>
      <c r="Q524" s="16" t="n">
        <v>40</v>
      </c>
      <c r="R524" s="16" t="n">
        <v>60</v>
      </c>
      <c r="S524" s="16" t="n">
        <v>90</v>
      </c>
      <c r="T524" s="6"/>
      <c r="U524" s="6"/>
      <c r="V524" s="13" t="n">
        <f aca="false">IF(Q524="","",J524*Q524/100)</f>
        <v>118.16</v>
      </c>
      <c r="W524" s="13" t="n">
        <f aca="false">IF(R524="","",J524*R524/100)</f>
        <v>177.24</v>
      </c>
      <c r="X524" s="13" t="n">
        <f aca="false">IF(S524="","",J524*S524/100)</f>
        <v>265.86</v>
      </c>
      <c r="Y524" s="13" t="str">
        <f aca="false">IF(T524="","",J524*T524/100)</f>
        <v/>
      </c>
      <c r="Z524" s="13" t="str">
        <f aca="false">IF(U524="","",J524*U524/100)</f>
        <v/>
      </c>
      <c r="AA524" s="6" t="s">
        <v>125</v>
      </c>
      <c r="AB524" s="6" t="s">
        <v>147</v>
      </c>
      <c r="AC524" s="6" t="s">
        <v>2018</v>
      </c>
      <c r="AD524" s="13" t="n">
        <f aca="false">IF(AC524="","",IFERROR(INDEX('INDB Full Nutrients'!$D:$D,MATCH(AC524,'INDB Full Nutrients'!$A:$A,0)),""))</f>
        <v>344.565307617188</v>
      </c>
      <c r="AE524" s="6" t="s">
        <v>2019</v>
      </c>
      <c r="AF524" s="6"/>
    </row>
    <row r="525" customFormat="false" ht="15" hidden="false" customHeight="false" outlineLevel="0" collapsed="false">
      <c r="A525" s="6" t="s">
        <v>2020</v>
      </c>
      <c r="B525" s="6" t="s">
        <v>2021</v>
      </c>
      <c r="C525" s="6"/>
      <c r="D525" s="6" t="s">
        <v>61</v>
      </c>
      <c r="E525" s="6" t="s">
        <v>99</v>
      </c>
      <c r="F525" s="6" t="s">
        <v>100</v>
      </c>
      <c r="G525" s="6"/>
      <c r="H525" s="6" t="s">
        <v>748</v>
      </c>
      <c r="I525" s="6" t="s">
        <v>298</v>
      </c>
      <c r="J525" s="13" t="n">
        <f aca="false">4*K525+4*(L525-N525)+9*M525+2*N525</f>
        <v>390</v>
      </c>
      <c r="K525" s="14" t="n">
        <v>2</v>
      </c>
      <c r="L525" s="14" t="n">
        <v>62</v>
      </c>
      <c r="M525" s="14" t="n">
        <v>15</v>
      </c>
      <c r="N525" s="14" t="n">
        <v>0.5</v>
      </c>
      <c r="O525" s="14" t="n">
        <v>45</v>
      </c>
      <c r="P525" s="15" t="n">
        <v>20</v>
      </c>
      <c r="Q525" s="16" t="n">
        <v>20</v>
      </c>
      <c r="R525" s="16" t="n">
        <v>35</v>
      </c>
      <c r="S525" s="16" t="n">
        <v>50</v>
      </c>
      <c r="T525" s="6"/>
      <c r="U525" s="6"/>
      <c r="V525" s="13" t="n">
        <f aca="false">IF(Q525="","",J525*Q525/100)</f>
        <v>78</v>
      </c>
      <c r="W525" s="13" t="n">
        <f aca="false">IF(R525="","",J525*R525/100)</f>
        <v>136.5</v>
      </c>
      <c r="X525" s="13" t="n">
        <f aca="false">IF(S525="","",J525*S525/100)</f>
        <v>195</v>
      </c>
      <c r="Y525" s="13" t="str">
        <f aca="false">IF(T525="","",J525*T525/100)</f>
        <v/>
      </c>
      <c r="Z525" s="13" t="str">
        <f aca="false">IF(U525="","",J525*U525/100)</f>
        <v/>
      </c>
      <c r="AA525" s="6" t="s">
        <v>103</v>
      </c>
      <c r="AB525" s="6" t="s">
        <v>104</v>
      </c>
      <c r="AC525" s="6"/>
      <c r="AD525" s="13" t="str">
        <f aca="false">IF(AC525="","",IFERROR(INDEX('INDB Full Nutrients'!$D:$D,MATCH(AC525,'INDB Full Nutrients'!$A:$A,0)),""))</f>
        <v/>
      </c>
      <c r="AE525" s="6"/>
      <c r="AF525" s="6"/>
    </row>
    <row r="526" customFormat="false" ht="15" hidden="false" customHeight="false" outlineLevel="0" collapsed="false">
      <c r="A526" s="6" t="s">
        <v>2022</v>
      </c>
      <c r="B526" s="6" t="s">
        <v>2023</v>
      </c>
      <c r="C526" s="6" t="s">
        <v>2024</v>
      </c>
      <c r="D526" s="6" t="s">
        <v>61</v>
      </c>
      <c r="E526" s="6" t="s">
        <v>161</v>
      </c>
      <c r="F526" s="6" t="s">
        <v>100</v>
      </c>
      <c r="G526" s="6"/>
      <c r="H526" s="6" t="s">
        <v>748</v>
      </c>
      <c r="I526" s="6" t="s">
        <v>298</v>
      </c>
      <c r="J526" s="13" t="n">
        <f aca="false">4*K526+4*(L526-N526)+9*M526+2*N526</f>
        <v>398</v>
      </c>
      <c r="K526" s="14" t="n">
        <v>4</v>
      </c>
      <c r="L526" s="14" t="n">
        <v>60</v>
      </c>
      <c r="M526" s="14" t="n">
        <v>16</v>
      </c>
      <c r="N526" s="14" t="n">
        <v>1</v>
      </c>
      <c r="O526" s="14" t="n">
        <v>45</v>
      </c>
      <c r="P526" s="15" t="n">
        <v>20</v>
      </c>
      <c r="Q526" s="16" t="n">
        <v>30</v>
      </c>
      <c r="R526" s="16" t="n">
        <v>45</v>
      </c>
      <c r="S526" s="16" t="n">
        <v>60</v>
      </c>
      <c r="T526" s="6"/>
      <c r="U526" s="6"/>
      <c r="V526" s="13" t="n">
        <f aca="false">IF(Q526="","",J526*Q526/100)</f>
        <v>119.4</v>
      </c>
      <c r="W526" s="13" t="n">
        <f aca="false">IF(R526="","",J526*R526/100)</f>
        <v>179.1</v>
      </c>
      <c r="X526" s="13" t="n">
        <f aca="false">IF(S526="","",J526*S526/100)</f>
        <v>238.8</v>
      </c>
      <c r="Y526" s="13" t="str">
        <f aca="false">IF(T526="","",J526*T526/100)</f>
        <v/>
      </c>
      <c r="Z526" s="13" t="str">
        <f aca="false">IF(U526="","",J526*U526/100)</f>
        <v/>
      </c>
      <c r="AA526" s="6" t="s">
        <v>103</v>
      </c>
      <c r="AB526" s="6" t="s">
        <v>104</v>
      </c>
      <c r="AC526" s="6"/>
      <c r="AD526" s="13" t="str">
        <f aca="false">IF(AC526="","",IFERROR(INDEX('INDB Full Nutrients'!$D:$D,MATCH(AC526,'INDB Full Nutrients'!$A:$A,0)),""))</f>
        <v/>
      </c>
      <c r="AE526" s="6"/>
      <c r="AF526" s="6"/>
    </row>
    <row r="527" customFormat="false" ht="15" hidden="false" customHeight="false" outlineLevel="0" collapsed="false">
      <c r="A527" s="6" t="s">
        <v>2025</v>
      </c>
      <c r="B527" s="6" t="s">
        <v>2026</v>
      </c>
      <c r="C527" s="6" t="s">
        <v>2027</v>
      </c>
      <c r="D527" s="6" t="s">
        <v>61</v>
      </c>
      <c r="E527" s="6" t="s">
        <v>99</v>
      </c>
      <c r="F527" s="6" t="s">
        <v>100</v>
      </c>
      <c r="G527" s="6"/>
      <c r="H527" s="6" t="s">
        <v>748</v>
      </c>
      <c r="I527" s="6" t="s">
        <v>298</v>
      </c>
      <c r="J527" s="13" t="n">
        <f aca="false">4*K527+4*(L527-N527)+9*M527+2*N527</f>
        <v>479.8</v>
      </c>
      <c r="K527" s="14" t="n">
        <v>9</v>
      </c>
      <c r="L527" s="14" t="n">
        <v>60</v>
      </c>
      <c r="M527" s="14" t="n">
        <v>23</v>
      </c>
      <c r="N527" s="14" t="n">
        <v>1.6</v>
      </c>
      <c r="O527" s="14" t="n">
        <v>45</v>
      </c>
      <c r="P527" s="15" t="n">
        <v>15</v>
      </c>
      <c r="Q527" s="16" t="n">
        <v>10</v>
      </c>
      <c r="R527" s="16" t="n">
        <v>15</v>
      </c>
      <c r="S527" s="16" t="n">
        <v>20</v>
      </c>
      <c r="T527" s="6"/>
      <c r="U527" s="6"/>
      <c r="V527" s="13" t="n">
        <f aca="false">IF(Q527="","",J527*Q527/100)</f>
        <v>47.98</v>
      </c>
      <c r="W527" s="13" t="n">
        <f aca="false">IF(R527="","",J527*R527/100)</f>
        <v>71.97</v>
      </c>
      <c r="X527" s="13" t="n">
        <f aca="false">IF(S527="","",J527*S527/100)</f>
        <v>95.96</v>
      </c>
      <c r="Y527" s="13" t="str">
        <f aca="false">IF(T527="","",J527*T527/100)</f>
        <v/>
      </c>
      <c r="Z527" s="13" t="str">
        <f aca="false">IF(U527="","",J527*U527/100)</f>
        <v/>
      </c>
      <c r="AA527" s="6" t="s">
        <v>125</v>
      </c>
      <c r="AB527" s="6" t="s">
        <v>147</v>
      </c>
      <c r="AC527" s="6" t="s">
        <v>2028</v>
      </c>
      <c r="AD527" s="13" t="n">
        <f aca="false">IF(AC527="","",IFERROR(INDEX('INDB Full Nutrients'!$D:$D,MATCH(AC527,'INDB Full Nutrients'!$A:$A,0)),""))</f>
        <v>421.744781494141</v>
      </c>
      <c r="AE527" s="6" t="s">
        <v>2029</v>
      </c>
      <c r="AF527" s="6"/>
    </row>
    <row r="528" customFormat="false" ht="15" hidden="false" customHeight="false" outlineLevel="0" collapsed="false">
      <c r="A528" s="6" t="s">
        <v>2030</v>
      </c>
      <c r="B528" s="6" t="s">
        <v>2031</v>
      </c>
      <c r="C528" s="6"/>
      <c r="D528" s="6" t="s">
        <v>61</v>
      </c>
      <c r="E528" s="6" t="s">
        <v>99</v>
      </c>
      <c r="F528" s="6" t="s">
        <v>100</v>
      </c>
      <c r="G528" s="6"/>
      <c r="H528" s="6" t="s">
        <v>748</v>
      </c>
      <c r="I528" s="6" t="s">
        <v>298</v>
      </c>
      <c r="J528" s="13" t="n">
        <f aca="false">4*K528+4*(L528-N528)+9*M528+2*N528</f>
        <v>494</v>
      </c>
      <c r="K528" s="14" t="n">
        <v>8</v>
      </c>
      <c r="L528" s="14" t="n">
        <v>50</v>
      </c>
      <c r="M528" s="14" t="n">
        <v>30</v>
      </c>
      <c r="N528" s="14" t="n">
        <v>4</v>
      </c>
      <c r="O528" s="14" t="n">
        <v>30</v>
      </c>
      <c r="P528" s="15" t="n">
        <v>20</v>
      </c>
      <c r="Q528" s="16" t="n">
        <v>25</v>
      </c>
      <c r="R528" s="16" t="n">
        <v>35</v>
      </c>
      <c r="S528" s="16" t="n">
        <v>50</v>
      </c>
      <c r="T528" s="6"/>
      <c r="U528" s="6"/>
      <c r="V528" s="13" t="n">
        <f aca="false">IF(Q528="","",J528*Q528/100)</f>
        <v>123.5</v>
      </c>
      <c r="W528" s="13" t="n">
        <f aca="false">IF(R528="","",J528*R528/100)</f>
        <v>172.9</v>
      </c>
      <c r="X528" s="13" t="n">
        <f aca="false">IF(S528="","",J528*S528/100)</f>
        <v>247</v>
      </c>
      <c r="Y528" s="13" t="str">
        <f aca="false">IF(T528="","",J528*T528/100)</f>
        <v/>
      </c>
      <c r="Z528" s="13" t="str">
        <f aca="false">IF(U528="","",J528*U528/100)</f>
        <v/>
      </c>
      <c r="AA528" s="6" t="s">
        <v>125</v>
      </c>
      <c r="AB528" s="6" t="s">
        <v>147</v>
      </c>
      <c r="AC528" s="6" t="s">
        <v>2032</v>
      </c>
      <c r="AD528" s="13" t="n">
        <f aca="false">IF(AC528="","",IFERROR(INDEX('INDB Full Nutrients'!$D:$D,MATCH(AC528,'INDB Full Nutrients'!$A:$A,0)),""))</f>
        <v>476.909484863281</v>
      </c>
      <c r="AE528" s="6" t="s">
        <v>2033</v>
      </c>
      <c r="AF528" s="6"/>
    </row>
    <row r="529" customFormat="false" ht="15" hidden="false" customHeight="false" outlineLevel="0" collapsed="false">
      <c r="A529" s="6" t="s">
        <v>2034</v>
      </c>
      <c r="B529" s="6" t="s">
        <v>2035</v>
      </c>
      <c r="C529" s="6"/>
      <c r="D529" s="6" t="s">
        <v>61</v>
      </c>
      <c r="E529" s="6" t="s">
        <v>161</v>
      </c>
      <c r="F529" s="6" t="s">
        <v>100</v>
      </c>
      <c r="G529" s="6"/>
      <c r="H529" s="6" t="s">
        <v>748</v>
      </c>
      <c r="I529" s="6" t="s">
        <v>298</v>
      </c>
      <c r="J529" s="13" t="n">
        <f aca="false">4*K529+4*(L529-N529)+9*M529+2*N529</f>
        <v>435</v>
      </c>
      <c r="K529" s="14" t="n">
        <v>5</v>
      </c>
      <c r="L529" s="14" t="n">
        <v>55</v>
      </c>
      <c r="M529" s="14" t="n">
        <v>22</v>
      </c>
      <c r="N529" s="14" t="n">
        <v>1.5</v>
      </c>
      <c r="O529" s="14" t="n">
        <v>38</v>
      </c>
      <c r="P529" s="15" t="n">
        <v>20</v>
      </c>
      <c r="Q529" s="16" t="n">
        <v>25</v>
      </c>
      <c r="R529" s="16" t="n">
        <v>40</v>
      </c>
      <c r="S529" s="16" t="n">
        <v>55</v>
      </c>
      <c r="T529" s="6"/>
      <c r="U529" s="6"/>
      <c r="V529" s="13" t="n">
        <f aca="false">IF(Q529="","",J529*Q529/100)</f>
        <v>108.75</v>
      </c>
      <c r="W529" s="13" t="n">
        <f aca="false">IF(R529="","",J529*R529/100)</f>
        <v>174</v>
      </c>
      <c r="X529" s="13" t="n">
        <f aca="false">IF(S529="","",J529*S529/100)</f>
        <v>239.25</v>
      </c>
      <c r="Y529" s="13" t="str">
        <f aca="false">IF(T529="","",J529*T529/100)</f>
        <v/>
      </c>
      <c r="Z529" s="13" t="str">
        <f aca="false">IF(U529="","",J529*U529/100)</f>
        <v/>
      </c>
      <c r="AA529" s="6" t="s">
        <v>103</v>
      </c>
      <c r="AB529" s="6" t="s">
        <v>104</v>
      </c>
      <c r="AC529" s="6"/>
      <c r="AD529" s="13" t="str">
        <f aca="false">IF(AC529="","",IFERROR(INDEX('INDB Full Nutrients'!$D:$D,MATCH(AC529,'INDB Full Nutrients'!$A:$A,0)),""))</f>
        <v/>
      </c>
      <c r="AE529" s="6"/>
      <c r="AF529" s="6"/>
    </row>
    <row r="530" customFormat="false" ht="15" hidden="false" customHeight="false" outlineLevel="0" collapsed="false">
      <c r="A530" s="6" t="s">
        <v>2036</v>
      </c>
      <c r="B530" s="6" t="s">
        <v>2037</v>
      </c>
      <c r="C530" s="6"/>
      <c r="D530" s="6" t="s">
        <v>61</v>
      </c>
      <c r="E530" s="6" t="s">
        <v>99</v>
      </c>
      <c r="F530" s="6" t="s">
        <v>100</v>
      </c>
      <c r="G530" s="6"/>
      <c r="H530" s="6" t="s">
        <v>748</v>
      </c>
      <c r="I530" s="6" t="s">
        <v>298</v>
      </c>
      <c r="J530" s="13" t="n">
        <f aca="false">4*K530+4*(L530-N530)+9*M530+2*N530</f>
        <v>430</v>
      </c>
      <c r="K530" s="14" t="n">
        <v>5</v>
      </c>
      <c r="L530" s="14" t="n">
        <v>56</v>
      </c>
      <c r="M530" s="14" t="n">
        <v>21</v>
      </c>
      <c r="N530" s="14" t="n">
        <v>1.5</v>
      </c>
      <c r="O530" s="14" t="n">
        <v>38</v>
      </c>
      <c r="P530" s="15" t="n">
        <v>20</v>
      </c>
      <c r="Q530" s="16" t="n">
        <v>25</v>
      </c>
      <c r="R530" s="16" t="n">
        <v>40</v>
      </c>
      <c r="S530" s="16" t="n">
        <v>55</v>
      </c>
      <c r="T530" s="6"/>
      <c r="U530" s="6"/>
      <c r="V530" s="13" t="n">
        <f aca="false">IF(Q530="","",J530*Q530/100)</f>
        <v>107.5</v>
      </c>
      <c r="W530" s="13" t="n">
        <f aca="false">IF(R530="","",J530*R530/100)</f>
        <v>172</v>
      </c>
      <c r="X530" s="13" t="n">
        <f aca="false">IF(S530="","",J530*S530/100)</f>
        <v>236.5</v>
      </c>
      <c r="Y530" s="13" t="str">
        <f aca="false">IF(T530="","",J530*T530/100)</f>
        <v/>
      </c>
      <c r="Z530" s="13" t="str">
        <f aca="false">IF(U530="","",J530*U530/100)</f>
        <v/>
      </c>
      <c r="AA530" s="6" t="s">
        <v>103</v>
      </c>
      <c r="AB530" s="6" t="s">
        <v>104</v>
      </c>
      <c r="AC530" s="6"/>
      <c r="AD530" s="13" t="str">
        <f aca="false">IF(AC530="","",IFERROR(INDEX('INDB Full Nutrients'!$D:$D,MATCH(AC530,'INDB Full Nutrients'!$A:$A,0)),""))</f>
        <v/>
      </c>
      <c r="AE530" s="6"/>
      <c r="AF530" s="6"/>
    </row>
    <row r="531" customFormat="false" ht="15" hidden="false" customHeight="false" outlineLevel="0" collapsed="false">
      <c r="A531" s="6" t="s">
        <v>2038</v>
      </c>
      <c r="B531" s="6" t="s">
        <v>2039</v>
      </c>
      <c r="C531" s="6" t="s">
        <v>2040</v>
      </c>
      <c r="D531" s="6" t="s">
        <v>61</v>
      </c>
      <c r="E531" s="6" t="s">
        <v>99</v>
      </c>
      <c r="F531" s="6" t="s">
        <v>100</v>
      </c>
      <c r="G531" s="6"/>
      <c r="H531" s="6" t="s">
        <v>748</v>
      </c>
      <c r="I531" s="6" t="s">
        <v>298</v>
      </c>
      <c r="J531" s="13" t="n">
        <f aca="false">4*K531+4*(L531-N531)+9*M531+2*N531</f>
        <v>408</v>
      </c>
      <c r="K531" s="14" t="n">
        <v>5</v>
      </c>
      <c r="L531" s="14" t="n">
        <v>50</v>
      </c>
      <c r="M531" s="14" t="n">
        <v>22</v>
      </c>
      <c r="N531" s="14" t="n">
        <v>5</v>
      </c>
      <c r="O531" s="14" t="n">
        <v>42</v>
      </c>
      <c r="P531" s="15" t="n">
        <v>30</v>
      </c>
      <c r="Q531" s="16" t="n">
        <v>20</v>
      </c>
      <c r="R531" s="16" t="n">
        <v>30</v>
      </c>
      <c r="S531" s="16" t="n">
        <v>40</v>
      </c>
      <c r="T531" s="6"/>
      <c r="U531" s="6"/>
      <c r="V531" s="13" t="n">
        <f aca="false">IF(Q531="","",J531*Q531/100)</f>
        <v>81.6</v>
      </c>
      <c r="W531" s="13" t="n">
        <f aca="false">IF(R531="","",J531*R531/100)</f>
        <v>122.4</v>
      </c>
      <c r="X531" s="13" t="n">
        <f aca="false">IF(S531="","",J531*S531/100)</f>
        <v>163.2</v>
      </c>
      <c r="Y531" s="13" t="str">
        <f aca="false">IF(T531="","",J531*T531/100)</f>
        <v/>
      </c>
      <c r="Z531" s="13" t="str">
        <f aca="false">IF(U531="","",J531*U531/100)</f>
        <v/>
      </c>
      <c r="AA531" s="6" t="s">
        <v>103</v>
      </c>
      <c r="AB531" s="6" t="s">
        <v>104</v>
      </c>
      <c r="AC531" s="6"/>
      <c r="AD531" s="13" t="str">
        <f aca="false">IF(AC531="","",IFERROR(INDEX('INDB Full Nutrients'!$D:$D,MATCH(AC531,'INDB Full Nutrients'!$A:$A,0)),""))</f>
        <v/>
      </c>
      <c r="AE531" s="6"/>
      <c r="AF531" s="6" t="s">
        <v>2041</v>
      </c>
    </row>
    <row r="532" customFormat="false" ht="15" hidden="false" customHeight="false" outlineLevel="0" collapsed="false">
      <c r="A532" s="6" t="s">
        <v>2042</v>
      </c>
      <c r="B532" s="6" t="s">
        <v>2043</v>
      </c>
      <c r="C532" s="6" t="s">
        <v>2044</v>
      </c>
      <c r="D532" s="6" t="s">
        <v>61</v>
      </c>
      <c r="E532" s="6" t="s">
        <v>99</v>
      </c>
      <c r="F532" s="6" t="s">
        <v>100</v>
      </c>
      <c r="G532" s="6"/>
      <c r="H532" s="6" t="s">
        <v>748</v>
      </c>
      <c r="I532" s="6" t="s">
        <v>298</v>
      </c>
      <c r="J532" s="13" t="n">
        <f aca="false">4*K532+4*(L532-N532)+9*M532+2*N532</f>
        <v>423.6</v>
      </c>
      <c r="K532" s="14" t="n">
        <v>6</v>
      </c>
      <c r="L532" s="14" t="n">
        <v>60</v>
      </c>
      <c r="M532" s="14" t="n">
        <v>18</v>
      </c>
      <c r="N532" s="14" t="n">
        <v>1.2</v>
      </c>
      <c r="O532" s="14" t="n">
        <v>35</v>
      </c>
      <c r="P532" s="15" t="n">
        <v>20</v>
      </c>
      <c r="Q532" s="16" t="n">
        <v>25</v>
      </c>
      <c r="R532" s="16" t="n">
        <v>35</v>
      </c>
      <c r="S532" s="16" t="n">
        <v>45</v>
      </c>
      <c r="T532" s="6"/>
      <c r="U532" s="6"/>
      <c r="V532" s="13" t="n">
        <f aca="false">IF(Q532="","",J532*Q532/100)</f>
        <v>105.9</v>
      </c>
      <c r="W532" s="13" t="n">
        <f aca="false">IF(R532="","",J532*R532/100)</f>
        <v>148.26</v>
      </c>
      <c r="X532" s="13" t="n">
        <f aca="false">IF(S532="","",J532*S532/100)</f>
        <v>190.62</v>
      </c>
      <c r="Y532" s="13" t="str">
        <f aca="false">IF(T532="","",J532*T532/100)</f>
        <v/>
      </c>
      <c r="Z532" s="13" t="str">
        <f aca="false">IF(U532="","",J532*U532/100)</f>
        <v/>
      </c>
      <c r="AA532" s="6" t="s">
        <v>125</v>
      </c>
      <c r="AB532" s="6" t="s">
        <v>147</v>
      </c>
      <c r="AC532" s="6" t="s">
        <v>2045</v>
      </c>
      <c r="AD532" s="13" t="n">
        <f aca="false">IF(AC532="","",IFERROR(INDEX('INDB Full Nutrients'!$D:$D,MATCH(AC532,'INDB Full Nutrients'!$A:$A,0)),""))</f>
        <v>441.844787597656</v>
      </c>
      <c r="AE532" s="6" t="s">
        <v>2046</v>
      </c>
      <c r="AF532" s="6"/>
    </row>
    <row r="533" customFormat="false" ht="15" hidden="false" customHeight="false" outlineLevel="0" collapsed="false">
      <c r="A533" s="6" t="s">
        <v>2047</v>
      </c>
      <c r="B533" s="6" t="s">
        <v>2048</v>
      </c>
      <c r="C533" s="6" t="s">
        <v>2049</v>
      </c>
      <c r="D533" s="6" t="s">
        <v>61</v>
      </c>
      <c r="E533" s="6" t="s">
        <v>99</v>
      </c>
      <c r="F533" s="6" t="s">
        <v>100</v>
      </c>
      <c r="G533" s="6"/>
      <c r="H533" s="6" t="s">
        <v>748</v>
      </c>
      <c r="I533" s="6" t="s">
        <v>298</v>
      </c>
      <c r="J533" s="13" t="n">
        <f aca="false">4*K533+4*(L533-N533)+9*M533+2*N533</f>
        <v>480</v>
      </c>
      <c r="K533" s="14" t="n">
        <v>11</v>
      </c>
      <c r="L533" s="14" t="n">
        <v>45</v>
      </c>
      <c r="M533" s="14" t="n">
        <v>30</v>
      </c>
      <c r="N533" s="14" t="n">
        <v>7</v>
      </c>
      <c r="O533" s="14" t="n">
        <v>28</v>
      </c>
      <c r="P533" s="15" t="n">
        <v>20</v>
      </c>
      <c r="Q533" s="16" t="n">
        <v>15</v>
      </c>
      <c r="R533" s="16" t="n">
        <v>25</v>
      </c>
      <c r="S533" s="16" t="n">
        <v>35</v>
      </c>
      <c r="T533" s="6"/>
      <c r="U533" s="6"/>
      <c r="V533" s="13" t="n">
        <f aca="false">IF(Q533="","",J533*Q533/100)</f>
        <v>72</v>
      </c>
      <c r="W533" s="13" t="n">
        <f aca="false">IF(R533="","",J533*R533/100)</f>
        <v>120</v>
      </c>
      <c r="X533" s="13" t="n">
        <f aca="false">IF(S533="","",J533*S533/100)</f>
        <v>168</v>
      </c>
      <c r="Y533" s="13" t="str">
        <f aca="false">IF(T533="","",J533*T533/100)</f>
        <v/>
      </c>
      <c r="Z533" s="13" t="str">
        <f aca="false">IF(U533="","",J533*U533/100)</f>
        <v/>
      </c>
      <c r="AA533" s="6" t="s">
        <v>103</v>
      </c>
      <c r="AB533" s="6" t="s">
        <v>104</v>
      </c>
      <c r="AC533" s="6" t="s">
        <v>2050</v>
      </c>
      <c r="AD533" s="13" t="n">
        <f aca="false">IF(AC533="","",IFERROR(INDEX('INDB Full Nutrients'!$D:$D,MATCH(AC533,'INDB Full Nutrients'!$A:$A,0)),""))</f>
        <v>396.957275390625</v>
      </c>
      <c r="AE533" s="6" t="s">
        <v>2051</v>
      </c>
      <c r="AF533" s="6"/>
    </row>
    <row r="534" customFormat="false" ht="15" hidden="false" customHeight="false" outlineLevel="0" collapsed="false">
      <c r="A534" s="6" t="s">
        <v>2052</v>
      </c>
      <c r="B534" s="6" t="s">
        <v>2053</v>
      </c>
      <c r="C534" s="6" t="s">
        <v>2054</v>
      </c>
      <c r="D534" s="6" t="s">
        <v>61</v>
      </c>
      <c r="E534" s="6" t="s">
        <v>99</v>
      </c>
      <c r="F534" s="6" t="s">
        <v>100</v>
      </c>
      <c r="G534" s="6" t="s">
        <v>124</v>
      </c>
      <c r="H534" s="6" t="s">
        <v>748</v>
      </c>
      <c r="I534" s="6" t="s">
        <v>298</v>
      </c>
      <c r="J534" s="13" t="n">
        <f aca="false">4*K534+4*(L534-N534)+9*M534+2*N534</f>
        <v>418</v>
      </c>
      <c r="K534" s="14" t="n">
        <v>8</v>
      </c>
      <c r="L534" s="14" t="n">
        <v>55</v>
      </c>
      <c r="M534" s="14" t="n">
        <v>20</v>
      </c>
      <c r="N534" s="14" t="n">
        <v>7</v>
      </c>
      <c r="O534" s="14" t="n">
        <v>40</v>
      </c>
      <c r="P534" s="15" t="n">
        <v>10</v>
      </c>
      <c r="Q534" s="16" t="n">
        <v>20</v>
      </c>
      <c r="R534" s="16" t="n">
        <v>30</v>
      </c>
      <c r="S534" s="16" t="n">
        <v>40</v>
      </c>
      <c r="T534" s="6"/>
      <c r="U534" s="6"/>
      <c r="V534" s="13" t="n">
        <f aca="false">IF(Q534="","",J534*Q534/100)</f>
        <v>83.6</v>
      </c>
      <c r="W534" s="13" t="n">
        <f aca="false">IF(R534="","",J534*R534/100)</f>
        <v>125.4</v>
      </c>
      <c r="X534" s="13" t="n">
        <f aca="false">IF(S534="","",J534*S534/100)</f>
        <v>167.2</v>
      </c>
      <c r="Y534" s="13" t="str">
        <f aca="false">IF(T534="","",J534*T534/100)</f>
        <v/>
      </c>
      <c r="Z534" s="13" t="str">
        <f aca="false">IF(U534="","",J534*U534/100)</f>
        <v/>
      </c>
      <c r="AA534" s="6" t="s">
        <v>103</v>
      </c>
      <c r="AB534" s="6" t="s">
        <v>104</v>
      </c>
      <c r="AC534" s="6"/>
      <c r="AD534" s="13" t="str">
        <f aca="false">IF(AC534="","",IFERROR(INDEX('INDB Full Nutrients'!$D:$D,MATCH(AC534,'INDB Full Nutrients'!$A:$A,0)),""))</f>
        <v/>
      </c>
      <c r="AE534" s="6"/>
      <c r="AF534" s="6"/>
    </row>
    <row r="535" customFormat="false" ht="15" hidden="false" customHeight="false" outlineLevel="0" collapsed="false">
      <c r="A535" s="6" t="s">
        <v>2055</v>
      </c>
      <c r="B535" s="6" t="s">
        <v>2056</v>
      </c>
      <c r="C535" s="6" t="s">
        <v>2057</v>
      </c>
      <c r="D535" s="6" t="s">
        <v>61</v>
      </c>
      <c r="E535" s="6" t="s">
        <v>99</v>
      </c>
      <c r="F535" s="6" t="s">
        <v>100</v>
      </c>
      <c r="G535" s="6"/>
      <c r="H535" s="6" t="s">
        <v>748</v>
      </c>
      <c r="I535" s="6" t="s">
        <v>298</v>
      </c>
      <c r="J535" s="13" t="n">
        <f aca="false">4*K535+4*(L535-N535)+9*M535+2*N535</f>
        <v>391</v>
      </c>
      <c r="K535" s="14" t="n">
        <v>9</v>
      </c>
      <c r="L535" s="14" t="n">
        <v>55</v>
      </c>
      <c r="M535" s="14" t="n">
        <v>15</v>
      </c>
      <c r="N535" s="14" t="n">
        <v>0</v>
      </c>
      <c r="O535" s="14" t="n">
        <v>45</v>
      </c>
      <c r="P535" s="15" t="n">
        <v>80</v>
      </c>
      <c r="Q535" s="16" t="n">
        <v>15</v>
      </c>
      <c r="R535" s="16" t="n">
        <v>25</v>
      </c>
      <c r="S535" s="16" t="n">
        <v>35</v>
      </c>
      <c r="T535" s="6"/>
      <c r="U535" s="6"/>
      <c r="V535" s="13" t="n">
        <f aca="false">IF(Q535="","",J535*Q535/100)</f>
        <v>58.65</v>
      </c>
      <c r="W535" s="13" t="n">
        <f aca="false">IF(R535="","",J535*R535/100)</f>
        <v>97.75</v>
      </c>
      <c r="X535" s="13" t="n">
        <f aca="false">IF(S535="","",J535*S535/100)</f>
        <v>136.85</v>
      </c>
      <c r="Y535" s="13" t="str">
        <f aca="false">IF(T535="","",J535*T535/100)</f>
        <v/>
      </c>
      <c r="Z535" s="13" t="str">
        <f aca="false">IF(U535="","",J535*U535/100)</f>
        <v/>
      </c>
      <c r="AA535" s="6" t="s">
        <v>103</v>
      </c>
      <c r="AB535" s="6" t="s">
        <v>104</v>
      </c>
      <c r="AC535" s="6"/>
      <c r="AD535" s="13" t="str">
        <f aca="false">IF(AC535="","",IFERROR(INDEX('INDB Full Nutrients'!$D:$D,MATCH(AC535,'INDB Full Nutrients'!$A:$A,0)),""))</f>
        <v/>
      </c>
      <c r="AE535" s="6"/>
      <c r="AF535" s="6"/>
    </row>
    <row r="536" customFormat="false" ht="15" hidden="false" customHeight="false" outlineLevel="0" collapsed="false">
      <c r="A536" s="6" t="s">
        <v>2058</v>
      </c>
      <c r="B536" s="6" t="s">
        <v>2059</v>
      </c>
      <c r="C536" s="6" t="s">
        <v>2060</v>
      </c>
      <c r="D536" s="6" t="s">
        <v>61</v>
      </c>
      <c r="E536" s="6" t="s">
        <v>99</v>
      </c>
      <c r="F536" s="6" t="s">
        <v>100</v>
      </c>
      <c r="G536" s="6"/>
      <c r="H536" s="6" t="s">
        <v>748</v>
      </c>
      <c r="I536" s="6" t="s">
        <v>298</v>
      </c>
      <c r="J536" s="13" t="n">
        <f aca="false">4*K536+4*(L536-N536)+9*M536+2*N536</f>
        <v>402</v>
      </c>
      <c r="K536" s="14" t="n">
        <v>10</v>
      </c>
      <c r="L536" s="14" t="n">
        <v>50</v>
      </c>
      <c r="M536" s="14" t="n">
        <v>18</v>
      </c>
      <c r="N536" s="14" t="n">
        <v>0</v>
      </c>
      <c r="O536" s="14" t="n">
        <v>40</v>
      </c>
      <c r="P536" s="15" t="n">
        <v>80</v>
      </c>
      <c r="Q536" s="16" t="n">
        <v>20</v>
      </c>
      <c r="R536" s="16" t="n">
        <v>30</v>
      </c>
      <c r="S536" s="16" t="n">
        <v>40</v>
      </c>
      <c r="T536" s="6"/>
      <c r="U536" s="6"/>
      <c r="V536" s="13" t="n">
        <f aca="false">IF(Q536="","",J536*Q536/100)</f>
        <v>80.4</v>
      </c>
      <c r="W536" s="13" t="n">
        <f aca="false">IF(R536="","",J536*R536/100)</f>
        <v>120.6</v>
      </c>
      <c r="X536" s="13" t="n">
        <f aca="false">IF(S536="","",J536*S536/100)</f>
        <v>160.8</v>
      </c>
      <c r="Y536" s="13" t="str">
        <f aca="false">IF(T536="","",J536*T536/100)</f>
        <v/>
      </c>
      <c r="Z536" s="13" t="str">
        <f aca="false">IF(U536="","",J536*U536/100)</f>
        <v/>
      </c>
      <c r="AA536" s="6" t="s">
        <v>125</v>
      </c>
      <c r="AB536" s="6" t="s">
        <v>147</v>
      </c>
      <c r="AC536" s="6" t="s">
        <v>2061</v>
      </c>
      <c r="AD536" s="13" t="n">
        <f aca="false">IF(AC536="","",IFERROR(INDEX('INDB Full Nutrients'!$D:$D,MATCH(AC536,'INDB Full Nutrients'!$A:$A,0)),""))</f>
        <v>408.323944091797</v>
      </c>
      <c r="AE536" s="6" t="s">
        <v>2062</v>
      </c>
      <c r="AF536" s="6"/>
    </row>
    <row r="537" customFormat="false" ht="15" hidden="false" customHeight="false" outlineLevel="0" collapsed="false">
      <c r="A537" s="6" t="s">
        <v>2063</v>
      </c>
      <c r="B537" s="6" t="s">
        <v>2064</v>
      </c>
      <c r="C537" s="6"/>
      <c r="D537" s="6" t="s">
        <v>61</v>
      </c>
      <c r="E537" s="6" t="s">
        <v>161</v>
      </c>
      <c r="F537" s="6" t="s">
        <v>100</v>
      </c>
      <c r="G537" s="6"/>
      <c r="H537" s="6" t="s">
        <v>748</v>
      </c>
      <c r="I537" s="6" t="s">
        <v>298</v>
      </c>
      <c r="J537" s="13" t="n">
        <f aca="false">4*K537+4*(L537-N537)+9*M537+2*N537</f>
        <v>348</v>
      </c>
      <c r="K537" s="14" t="n">
        <v>11</v>
      </c>
      <c r="L537" s="14" t="n">
        <v>40</v>
      </c>
      <c r="M537" s="14" t="n">
        <v>16</v>
      </c>
      <c r="N537" s="14" t="n">
        <v>0</v>
      </c>
      <c r="O537" s="14" t="n">
        <v>32</v>
      </c>
      <c r="P537" s="15" t="n">
        <v>80</v>
      </c>
      <c r="Q537" s="16" t="n">
        <v>25</v>
      </c>
      <c r="R537" s="16" t="n">
        <v>40</v>
      </c>
      <c r="S537" s="16" t="n">
        <v>55</v>
      </c>
      <c r="T537" s="6"/>
      <c r="U537" s="6"/>
      <c r="V537" s="13" t="n">
        <f aca="false">IF(Q537="","",J537*Q537/100)</f>
        <v>87</v>
      </c>
      <c r="W537" s="13" t="n">
        <f aca="false">IF(R537="","",J537*R537/100)</f>
        <v>139.2</v>
      </c>
      <c r="X537" s="13" t="n">
        <f aca="false">IF(S537="","",J537*S537/100)</f>
        <v>191.4</v>
      </c>
      <c r="Y537" s="13" t="str">
        <f aca="false">IF(T537="","",J537*T537/100)</f>
        <v/>
      </c>
      <c r="Z537" s="13" t="str">
        <f aca="false">IF(U537="","",J537*U537/100)</f>
        <v/>
      </c>
      <c r="AA537" s="6" t="s">
        <v>103</v>
      </c>
      <c r="AB537" s="6" t="s">
        <v>104</v>
      </c>
      <c r="AC537" s="6"/>
      <c r="AD537" s="13" t="str">
        <f aca="false">IF(AC537="","",IFERROR(INDEX('INDB Full Nutrients'!$D:$D,MATCH(AC537,'INDB Full Nutrients'!$A:$A,0)),""))</f>
        <v/>
      </c>
      <c r="AE537" s="6"/>
      <c r="AF537" s="6"/>
    </row>
    <row r="538" customFormat="false" ht="15" hidden="false" customHeight="false" outlineLevel="0" collapsed="false">
      <c r="A538" s="6" t="s">
        <v>2065</v>
      </c>
      <c r="B538" s="6" t="s">
        <v>2066</v>
      </c>
      <c r="C538" s="6" t="s">
        <v>2067</v>
      </c>
      <c r="D538" s="6" t="s">
        <v>61</v>
      </c>
      <c r="E538" s="6" t="s">
        <v>161</v>
      </c>
      <c r="F538" s="6" t="s">
        <v>100</v>
      </c>
      <c r="G538" s="6"/>
      <c r="H538" s="6" t="s">
        <v>748</v>
      </c>
      <c r="I538" s="6" t="s">
        <v>298</v>
      </c>
      <c r="J538" s="13" t="n">
        <f aca="false">4*K538+4*(L538-N538)+9*M538+2*N538</f>
        <v>467</v>
      </c>
      <c r="K538" s="14" t="n">
        <v>8</v>
      </c>
      <c r="L538" s="14" t="n">
        <v>52</v>
      </c>
      <c r="M538" s="14" t="n">
        <v>26</v>
      </c>
      <c r="N538" s="14" t="n">
        <v>3.5</v>
      </c>
      <c r="O538" s="14" t="n">
        <v>32</v>
      </c>
      <c r="P538" s="15" t="n">
        <v>20</v>
      </c>
      <c r="Q538" s="16" t="n">
        <v>20</v>
      </c>
      <c r="R538" s="16" t="n">
        <v>30</v>
      </c>
      <c r="S538" s="16" t="n">
        <v>40</v>
      </c>
      <c r="T538" s="6"/>
      <c r="U538" s="6"/>
      <c r="V538" s="13" t="n">
        <f aca="false">IF(Q538="","",J538*Q538/100)</f>
        <v>93.4</v>
      </c>
      <c r="W538" s="13" t="n">
        <f aca="false">IF(R538="","",J538*R538/100)</f>
        <v>140.1</v>
      </c>
      <c r="X538" s="13" t="n">
        <f aca="false">IF(S538="","",J538*S538/100)</f>
        <v>186.8</v>
      </c>
      <c r="Y538" s="13" t="str">
        <f aca="false">IF(T538="","",J538*T538/100)</f>
        <v/>
      </c>
      <c r="Z538" s="13" t="str">
        <f aca="false">IF(U538="","",J538*U538/100)</f>
        <v/>
      </c>
      <c r="AA538" s="6" t="s">
        <v>125</v>
      </c>
      <c r="AB538" s="6" t="s">
        <v>147</v>
      </c>
      <c r="AC538" s="6" t="s">
        <v>2068</v>
      </c>
      <c r="AD538" s="13" t="n">
        <f aca="false">IF(AC538="","",IFERROR(INDEX('INDB Full Nutrients'!$D:$D,MATCH(AC538,'INDB Full Nutrients'!$A:$A,0)),""))</f>
        <v>421.793060302734</v>
      </c>
      <c r="AE538" s="6" t="s">
        <v>2069</v>
      </c>
      <c r="AF538" s="6"/>
    </row>
    <row r="539" customFormat="false" ht="15" hidden="false" customHeight="false" outlineLevel="0" collapsed="false">
      <c r="A539" s="6" t="s">
        <v>2070</v>
      </c>
      <c r="B539" s="6" t="s">
        <v>2071</v>
      </c>
      <c r="C539" s="6" t="s">
        <v>2072</v>
      </c>
      <c r="D539" s="6" t="s">
        <v>61</v>
      </c>
      <c r="E539" s="6" t="s">
        <v>161</v>
      </c>
      <c r="F539" s="6" t="s">
        <v>100</v>
      </c>
      <c r="G539" s="6"/>
      <c r="H539" s="6" t="s">
        <v>748</v>
      </c>
      <c r="I539" s="6" t="s">
        <v>298</v>
      </c>
      <c r="J539" s="13" t="n">
        <f aca="false">4*K539+4*(L539-N539)+9*M539+2*N539</f>
        <v>486</v>
      </c>
      <c r="K539" s="14" t="n">
        <v>6</v>
      </c>
      <c r="L539" s="14" t="n">
        <v>60</v>
      </c>
      <c r="M539" s="14" t="n">
        <v>25</v>
      </c>
      <c r="N539" s="14" t="n">
        <v>1.5</v>
      </c>
      <c r="O539" s="14" t="n">
        <v>40</v>
      </c>
      <c r="P539" s="15" t="n">
        <v>30</v>
      </c>
      <c r="Q539" s="16" t="n">
        <v>15</v>
      </c>
      <c r="R539" s="16" t="n">
        <v>25</v>
      </c>
      <c r="S539" s="16" t="n">
        <v>40</v>
      </c>
      <c r="T539" s="6"/>
      <c r="U539" s="6"/>
      <c r="V539" s="13" t="n">
        <f aca="false">IF(Q539="","",J539*Q539/100)</f>
        <v>72.9</v>
      </c>
      <c r="W539" s="13" t="n">
        <f aca="false">IF(R539="","",J539*R539/100)</f>
        <v>121.5</v>
      </c>
      <c r="X539" s="13" t="n">
        <f aca="false">IF(S539="","",J539*S539/100)</f>
        <v>194.4</v>
      </c>
      <c r="Y539" s="13" t="str">
        <f aca="false">IF(T539="","",J539*T539/100)</f>
        <v/>
      </c>
      <c r="Z539" s="13" t="str">
        <f aca="false">IF(U539="","",J539*U539/100)</f>
        <v/>
      </c>
      <c r="AA539" s="6" t="s">
        <v>103</v>
      </c>
      <c r="AB539" s="6" t="s">
        <v>104</v>
      </c>
      <c r="AC539" s="6"/>
      <c r="AD539" s="13" t="str">
        <f aca="false">IF(AC539="","",IFERROR(INDEX('INDB Full Nutrients'!$D:$D,MATCH(AC539,'INDB Full Nutrients'!$A:$A,0)),""))</f>
        <v/>
      </c>
      <c r="AE539" s="6"/>
      <c r="AF539" s="6"/>
    </row>
    <row r="540" customFormat="false" ht="15" hidden="false" customHeight="false" outlineLevel="0" collapsed="false">
      <c r="A540" s="6" t="s">
        <v>2073</v>
      </c>
      <c r="B540" s="6" t="s">
        <v>2074</v>
      </c>
      <c r="C540" s="6"/>
      <c r="D540" s="6" t="s">
        <v>61</v>
      </c>
      <c r="E540" s="6" t="s">
        <v>119</v>
      </c>
      <c r="F540" s="6" t="s">
        <v>100</v>
      </c>
      <c r="G540" s="6"/>
      <c r="H540" s="6" t="s">
        <v>748</v>
      </c>
      <c r="I540" s="6" t="s">
        <v>298</v>
      </c>
      <c r="J540" s="13" t="n">
        <f aca="false">4*K540+4*(L540-N540)+9*M540+2*N540</f>
        <v>540</v>
      </c>
      <c r="K540" s="14" t="n">
        <v>6</v>
      </c>
      <c r="L540" s="14" t="n">
        <v>45</v>
      </c>
      <c r="M540" s="14" t="n">
        <v>38</v>
      </c>
      <c r="N540" s="14" t="n">
        <v>3</v>
      </c>
      <c r="O540" s="14" t="n">
        <v>35</v>
      </c>
      <c r="P540" s="15" t="n">
        <v>15</v>
      </c>
      <c r="Q540" s="16" t="n">
        <v>20</v>
      </c>
      <c r="R540" s="16" t="n">
        <v>30</v>
      </c>
      <c r="S540" s="16" t="n">
        <v>40</v>
      </c>
      <c r="T540" s="6"/>
      <c r="U540" s="6"/>
      <c r="V540" s="13" t="n">
        <f aca="false">IF(Q540="","",J540*Q540/100)</f>
        <v>108</v>
      </c>
      <c r="W540" s="13" t="n">
        <f aca="false">IF(R540="","",J540*R540/100)</f>
        <v>162</v>
      </c>
      <c r="X540" s="13" t="n">
        <f aca="false">IF(S540="","",J540*S540/100)</f>
        <v>216</v>
      </c>
      <c r="Y540" s="13" t="str">
        <f aca="false">IF(T540="","",J540*T540/100)</f>
        <v/>
      </c>
      <c r="Z540" s="13" t="str">
        <f aca="false">IF(U540="","",J540*U540/100)</f>
        <v/>
      </c>
      <c r="AA540" s="6" t="s">
        <v>103</v>
      </c>
      <c r="AB540" s="6" t="s">
        <v>104</v>
      </c>
      <c r="AC540" s="6"/>
      <c r="AD540" s="13" t="str">
        <f aca="false">IF(AC540="","",IFERROR(INDEX('INDB Full Nutrients'!$D:$D,MATCH(AC540,'INDB Full Nutrients'!$A:$A,0)),""))</f>
        <v/>
      </c>
      <c r="AE540" s="6"/>
      <c r="AF540" s="6" t="s">
        <v>2075</v>
      </c>
    </row>
    <row r="541" customFormat="false" ht="15" hidden="false" customHeight="false" outlineLevel="0" collapsed="false">
      <c r="A541" s="6" t="s">
        <v>2076</v>
      </c>
      <c r="B541" s="6" t="s">
        <v>2077</v>
      </c>
      <c r="C541" s="6"/>
      <c r="D541" s="6" t="s">
        <v>61</v>
      </c>
      <c r="E541" s="6" t="s">
        <v>161</v>
      </c>
      <c r="F541" s="6" t="s">
        <v>100</v>
      </c>
      <c r="G541" s="6"/>
      <c r="H541" s="6" t="s">
        <v>748</v>
      </c>
      <c r="I541" s="6" t="s">
        <v>298</v>
      </c>
      <c r="J541" s="13" t="n">
        <f aca="false">4*K541+4*(L541-N541)+9*M541+2*N541</f>
        <v>360.4</v>
      </c>
      <c r="K541" s="14" t="n">
        <v>5</v>
      </c>
      <c r="L541" s="14" t="n">
        <v>45</v>
      </c>
      <c r="M541" s="14" t="n">
        <v>18</v>
      </c>
      <c r="N541" s="14" t="n">
        <v>0.8</v>
      </c>
      <c r="O541" s="14" t="n">
        <v>28</v>
      </c>
      <c r="P541" s="15" t="n">
        <v>50</v>
      </c>
      <c r="Q541" s="16" t="n">
        <v>40</v>
      </c>
      <c r="R541" s="16" t="n">
        <v>60</v>
      </c>
      <c r="S541" s="16" t="n">
        <v>90</v>
      </c>
      <c r="T541" s="6"/>
      <c r="U541" s="6"/>
      <c r="V541" s="13" t="n">
        <f aca="false">IF(Q541="","",J541*Q541/100)</f>
        <v>144.16</v>
      </c>
      <c r="W541" s="13" t="n">
        <f aca="false">IF(R541="","",J541*R541/100)</f>
        <v>216.24</v>
      </c>
      <c r="X541" s="13" t="n">
        <f aca="false">IF(S541="","",J541*S541/100)</f>
        <v>324.36</v>
      </c>
      <c r="Y541" s="13" t="str">
        <f aca="false">IF(T541="","",J541*T541/100)</f>
        <v/>
      </c>
      <c r="Z541" s="13" t="str">
        <f aca="false">IF(U541="","",J541*U541/100)</f>
        <v/>
      </c>
      <c r="AA541" s="6" t="s">
        <v>103</v>
      </c>
      <c r="AB541" s="6" t="s">
        <v>104</v>
      </c>
      <c r="AC541" s="6" t="s">
        <v>2078</v>
      </c>
      <c r="AD541" s="13" t="n">
        <f aca="false">IF(AC541="","",IFERROR(INDEX('INDB Full Nutrients'!$D:$D,MATCH(AC541,'INDB Full Nutrients'!$A:$A,0)),""))</f>
        <v>566.677673339844</v>
      </c>
      <c r="AE541" s="6" t="s">
        <v>2079</v>
      </c>
      <c r="AF541" s="6" t="s">
        <v>577</v>
      </c>
    </row>
    <row r="542" customFormat="false" ht="15" hidden="false" customHeight="false" outlineLevel="0" collapsed="false">
      <c r="A542" s="6" t="s">
        <v>2080</v>
      </c>
      <c r="B542" s="6" t="s">
        <v>2081</v>
      </c>
      <c r="C542" s="6"/>
      <c r="D542" s="6" t="s">
        <v>61</v>
      </c>
      <c r="E542" s="6" t="s">
        <v>114</v>
      </c>
      <c r="F542" s="6" t="s">
        <v>100</v>
      </c>
      <c r="G542" s="6"/>
      <c r="H542" s="6" t="s">
        <v>748</v>
      </c>
      <c r="I542" s="6" t="s">
        <v>298</v>
      </c>
      <c r="J542" s="13" t="n">
        <f aca="false">4*K542+4*(L542-N542)+9*M542+2*N542</f>
        <v>443.4</v>
      </c>
      <c r="K542" s="14" t="n">
        <v>5</v>
      </c>
      <c r="L542" s="14" t="n">
        <v>50</v>
      </c>
      <c r="M542" s="14" t="n">
        <v>25</v>
      </c>
      <c r="N542" s="14" t="n">
        <v>0.8</v>
      </c>
      <c r="O542" s="14" t="n">
        <v>30</v>
      </c>
      <c r="P542" s="15" t="n">
        <v>30</v>
      </c>
      <c r="Q542" s="16" t="n">
        <v>50</v>
      </c>
      <c r="R542" s="16" t="n">
        <v>100</v>
      </c>
      <c r="S542" s="16" t="n">
        <v>150</v>
      </c>
      <c r="T542" s="6"/>
      <c r="U542" s="6"/>
      <c r="V542" s="13" t="n">
        <f aca="false">IF(Q542="","",J542*Q542/100)</f>
        <v>221.7</v>
      </c>
      <c r="W542" s="13" t="n">
        <f aca="false">IF(R542="","",J542*R542/100)</f>
        <v>443.4</v>
      </c>
      <c r="X542" s="13" t="n">
        <f aca="false">IF(S542="","",J542*S542/100)</f>
        <v>665.1</v>
      </c>
      <c r="Y542" s="13" t="str">
        <f aca="false">IF(T542="","",J542*T542/100)</f>
        <v/>
      </c>
      <c r="Z542" s="13" t="str">
        <f aca="false">IF(U542="","",J542*U542/100)</f>
        <v/>
      </c>
      <c r="AA542" s="6" t="s">
        <v>103</v>
      </c>
      <c r="AB542" s="6" t="s">
        <v>104</v>
      </c>
      <c r="AC542" s="6"/>
      <c r="AD542" s="13" t="str">
        <f aca="false">IF(AC542="","",IFERROR(INDEX('INDB Full Nutrients'!$D:$D,MATCH(AC542,'INDB Full Nutrients'!$A:$A,0)),""))</f>
        <v/>
      </c>
      <c r="AE542" s="6"/>
      <c r="AF542" s="6"/>
    </row>
    <row r="543" customFormat="false" ht="15" hidden="false" customHeight="false" outlineLevel="0" collapsed="false">
      <c r="A543" s="6" t="s">
        <v>2082</v>
      </c>
      <c r="B543" s="6" t="s">
        <v>2083</v>
      </c>
      <c r="C543" s="6" t="s">
        <v>2084</v>
      </c>
      <c r="D543" s="6" t="s">
        <v>61</v>
      </c>
      <c r="E543" s="6" t="s">
        <v>114</v>
      </c>
      <c r="F543" s="6" t="s">
        <v>100</v>
      </c>
      <c r="G543" s="6"/>
      <c r="H543" s="6" t="s">
        <v>748</v>
      </c>
      <c r="I543" s="6" t="s">
        <v>298</v>
      </c>
      <c r="J543" s="13" t="n">
        <f aca="false">4*K543+4*(L543-N543)+9*M543+2*N543</f>
        <v>436</v>
      </c>
      <c r="K543" s="14" t="n">
        <v>6.5</v>
      </c>
      <c r="L543" s="14" t="n">
        <v>55</v>
      </c>
      <c r="M543" s="14" t="n">
        <v>22</v>
      </c>
      <c r="N543" s="14" t="n">
        <v>4</v>
      </c>
      <c r="O543" s="14" t="n">
        <v>25</v>
      </c>
      <c r="P543" s="15" t="n">
        <v>20</v>
      </c>
      <c r="Q543" s="16" t="n">
        <v>50</v>
      </c>
      <c r="R543" s="16" t="n">
        <v>100</v>
      </c>
      <c r="S543" s="16" t="n">
        <v>150</v>
      </c>
      <c r="T543" s="6"/>
      <c r="U543" s="6"/>
      <c r="V543" s="13" t="n">
        <f aca="false">IF(Q543="","",J543*Q543/100)</f>
        <v>218</v>
      </c>
      <c r="W543" s="13" t="n">
        <f aca="false">IF(R543="","",J543*R543/100)</f>
        <v>436</v>
      </c>
      <c r="X543" s="13" t="n">
        <f aca="false">IF(S543="","",J543*S543/100)</f>
        <v>654</v>
      </c>
      <c r="Y543" s="13" t="str">
        <f aca="false">IF(T543="","",J543*T543/100)</f>
        <v/>
      </c>
      <c r="Z543" s="13" t="str">
        <f aca="false">IF(U543="","",J543*U543/100)</f>
        <v/>
      </c>
      <c r="AA543" s="6" t="s">
        <v>103</v>
      </c>
      <c r="AB543" s="6" t="s">
        <v>104</v>
      </c>
      <c r="AC543" s="6"/>
      <c r="AD543" s="13" t="str">
        <f aca="false">IF(AC543="","",IFERROR(INDEX('INDB Full Nutrients'!$D:$D,MATCH(AC543,'INDB Full Nutrients'!$A:$A,0)),""))</f>
        <v/>
      </c>
      <c r="AE543" s="6"/>
      <c r="AF543" s="6" t="s">
        <v>2085</v>
      </c>
    </row>
    <row r="544" customFormat="false" ht="15" hidden="false" customHeight="false" outlineLevel="0" collapsed="false">
      <c r="A544" s="6" t="s">
        <v>2086</v>
      </c>
      <c r="B544" s="6" t="s">
        <v>2087</v>
      </c>
      <c r="C544" s="6" t="s">
        <v>2088</v>
      </c>
      <c r="D544" s="6" t="s">
        <v>61</v>
      </c>
      <c r="E544" s="6" t="s">
        <v>161</v>
      </c>
      <c r="F544" s="6" t="s">
        <v>100</v>
      </c>
      <c r="G544" s="6"/>
      <c r="H544" s="6" t="s">
        <v>748</v>
      </c>
      <c r="I544" s="6" t="s">
        <v>298</v>
      </c>
      <c r="J544" s="13" t="n">
        <f aca="false">4*K544+4*(L544-N544)+9*M544+2*N544</f>
        <v>432</v>
      </c>
      <c r="K544" s="14" t="n">
        <v>4</v>
      </c>
      <c r="L544" s="14" t="n">
        <v>55</v>
      </c>
      <c r="M544" s="14" t="n">
        <v>22</v>
      </c>
      <c r="N544" s="14" t="n">
        <v>1</v>
      </c>
      <c r="O544" s="14" t="n">
        <v>30</v>
      </c>
      <c r="P544" s="15" t="n">
        <v>30</v>
      </c>
      <c r="Q544" s="16" t="n">
        <v>30</v>
      </c>
      <c r="R544" s="16" t="n">
        <v>45</v>
      </c>
      <c r="S544" s="16" t="n">
        <v>60</v>
      </c>
      <c r="T544" s="6"/>
      <c r="U544" s="6"/>
      <c r="V544" s="13" t="n">
        <f aca="false">IF(Q544="","",J544*Q544/100)</f>
        <v>129.6</v>
      </c>
      <c r="W544" s="13" t="n">
        <f aca="false">IF(R544="","",J544*R544/100)</f>
        <v>194.4</v>
      </c>
      <c r="X544" s="13" t="n">
        <f aca="false">IF(S544="","",J544*S544/100)</f>
        <v>259.2</v>
      </c>
      <c r="Y544" s="13" t="str">
        <f aca="false">IF(T544="","",J544*T544/100)</f>
        <v/>
      </c>
      <c r="Z544" s="13" t="str">
        <f aca="false">IF(U544="","",J544*U544/100)</f>
        <v/>
      </c>
      <c r="AA544" s="6" t="s">
        <v>103</v>
      </c>
      <c r="AB544" s="6" t="s">
        <v>104</v>
      </c>
      <c r="AC544" s="6"/>
      <c r="AD544" s="13" t="str">
        <f aca="false">IF(AC544="","",IFERROR(INDEX('INDB Full Nutrients'!$D:$D,MATCH(AC544,'INDB Full Nutrients'!$A:$A,0)),""))</f>
        <v/>
      </c>
      <c r="AE544" s="6"/>
      <c r="AF544" s="6"/>
    </row>
    <row r="545" customFormat="false" ht="15" hidden="false" customHeight="false" outlineLevel="0" collapsed="false">
      <c r="A545" s="6" t="s">
        <v>2089</v>
      </c>
      <c r="B545" s="6" t="s">
        <v>2090</v>
      </c>
      <c r="C545" s="6" t="s">
        <v>2091</v>
      </c>
      <c r="D545" s="6" t="s">
        <v>61</v>
      </c>
      <c r="E545" s="6" t="s">
        <v>161</v>
      </c>
      <c r="F545" s="6" t="s">
        <v>100</v>
      </c>
      <c r="G545" s="6"/>
      <c r="H545" s="6" t="s">
        <v>748</v>
      </c>
      <c r="I545" s="6" t="s">
        <v>298</v>
      </c>
      <c r="J545" s="13" t="n">
        <f aca="false">4*K545+4*(L545-N545)+9*M545+2*N545</f>
        <v>425</v>
      </c>
      <c r="K545" s="14" t="n">
        <v>6</v>
      </c>
      <c r="L545" s="14" t="n">
        <v>45</v>
      </c>
      <c r="M545" s="14" t="n">
        <v>25</v>
      </c>
      <c r="N545" s="14" t="n">
        <v>2</v>
      </c>
      <c r="O545" s="14" t="n">
        <v>25</v>
      </c>
      <c r="P545" s="15" t="n">
        <v>30</v>
      </c>
      <c r="Q545" s="16" t="n">
        <v>30</v>
      </c>
      <c r="R545" s="16" t="n">
        <v>45</v>
      </c>
      <c r="S545" s="16" t="n">
        <v>60</v>
      </c>
      <c r="T545" s="6"/>
      <c r="U545" s="6"/>
      <c r="V545" s="13" t="n">
        <f aca="false">IF(Q545="","",J545*Q545/100)</f>
        <v>127.5</v>
      </c>
      <c r="W545" s="13" t="n">
        <f aca="false">IF(R545="","",J545*R545/100)</f>
        <v>191.25</v>
      </c>
      <c r="X545" s="13" t="n">
        <f aca="false">IF(S545="","",J545*S545/100)</f>
        <v>255</v>
      </c>
      <c r="Y545" s="13" t="str">
        <f aca="false">IF(T545="","",J545*T545/100)</f>
        <v/>
      </c>
      <c r="Z545" s="13" t="str">
        <f aca="false">IF(U545="","",J545*U545/100)</f>
        <v/>
      </c>
      <c r="AA545" s="6" t="s">
        <v>103</v>
      </c>
      <c r="AB545" s="6" t="s">
        <v>104</v>
      </c>
      <c r="AC545" s="6" t="s">
        <v>2092</v>
      </c>
      <c r="AD545" s="13" t="n">
        <f aca="false">IF(AC545="","",IFERROR(INDEX('INDB Full Nutrients'!$D:$D,MATCH(AC545,'INDB Full Nutrients'!$A:$A,0)),""))</f>
        <v>667.341552734375</v>
      </c>
      <c r="AE545" s="6" t="s">
        <v>576</v>
      </c>
      <c r="AF545" s="6" t="s">
        <v>577</v>
      </c>
    </row>
    <row r="546" customFormat="false" ht="15" hidden="false" customHeight="false" outlineLevel="0" collapsed="false">
      <c r="A546" s="6" t="s">
        <v>2093</v>
      </c>
      <c r="B546" s="6" t="s">
        <v>2094</v>
      </c>
      <c r="C546" s="6"/>
      <c r="D546" s="6" t="s">
        <v>61</v>
      </c>
      <c r="E546" s="6" t="s">
        <v>161</v>
      </c>
      <c r="F546" s="6" t="s">
        <v>100</v>
      </c>
      <c r="G546" s="6"/>
      <c r="H546" s="6" t="s">
        <v>748</v>
      </c>
      <c r="I546" s="6" t="s">
        <v>298</v>
      </c>
      <c r="J546" s="13" t="n">
        <f aca="false">4*K546+4*(L546-N546)+9*M546+2*N546</f>
        <v>308</v>
      </c>
      <c r="K546" s="14" t="n">
        <v>5.5</v>
      </c>
      <c r="L546" s="14" t="n">
        <v>38</v>
      </c>
      <c r="M546" s="14" t="n">
        <v>15</v>
      </c>
      <c r="N546" s="14" t="n">
        <v>0.5</v>
      </c>
      <c r="O546" s="14" t="n">
        <v>22</v>
      </c>
      <c r="P546" s="15" t="n">
        <v>150</v>
      </c>
      <c r="Q546" s="16" t="n">
        <v>60</v>
      </c>
      <c r="R546" s="16" t="n">
        <v>90</v>
      </c>
      <c r="S546" s="16" t="n">
        <v>120</v>
      </c>
      <c r="T546" s="6"/>
      <c r="U546" s="6"/>
      <c r="V546" s="13" t="n">
        <f aca="false">IF(Q546="","",J546*Q546/100)</f>
        <v>184.8</v>
      </c>
      <c r="W546" s="13" t="n">
        <f aca="false">IF(R546="","",J546*R546/100)</f>
        <v>277.2</v>
      </c>
      <c r="X546" s="13" t="n">
        <f aca="false">IF(S546="","",J546*S546/100)</f>
        <v>369.6</v>
      </c>
      <c r="Y546" s="13" t="str">
        <f aca="false">IF(T546="","",J546*T546/100)</f>
        <v/>
      </c>
      <c r="Z546" s="13" t="str">
        <f aca="false">IF(U546="","",J546*U546/100)</f>
        <v/>
      </c>
      <c r="AA546" s="6" t="s">
        <v>103</v>
      </c>
      <c r="AB546" s="6" t="s">
        <v>104</v>
      </c>
      <c r="AC546" s="6" t="s">
        <v>2095</v>
      </c>
      <c r="AD546" s="13" t="n">
        <f aca="false">IF(AC546="","",IFERROR(INDEX('INDB Full Nutrients'!$D:$D,MATCH(AC546,'INDB Full Nutrients'!$A:$A,0)),""))</f>
        <v>189.810043334961</v>
      </c>
      <c r="AE546" s="6" t="s">
        <v>2096</v>
      </c>
      <c r="AF546" s="6"/>
    </row>
    <row r="547" customFormat="false" ht="15" hidden="false" customHeight="false" outlineLevel="0" collapsed="false">
      <c r="A547" s="6" t="s">
        <v>2097</v>
      </c>
      <c r="B547" s="6" t="s">
        <v>2098</v>
      </c>
      <c r="C547" s="6" t="s">
        <v>2099</v>
      </c>
      <c r="D547" s="6" t="s">
        <v>61</v>
      </c>
      <c r="E547" s="6" t="s">
        <v>119</v>
      </c>
      <c r="F547" s="6" t="s">
        <v>100</v>
      </c>
      <c r="G547" s="6"/>
      <c r="H547" s="6" t="s">
        <v>748</v>
      </c>
      <c r="I547" s="6" t="s">
        <v>298</v>
      </c>
      <c r="J547" s="13" t="n">
        <f aca="false">4*K547+4*(L547-N547)+9*M547+2*N547</f>
        <v>209</v>
      </c>
      <c r="K547" s="14" t="n">
        <v>2</v>
      </c>
      <c r="L547" s="14" t="n">
        <v>45</v>
      </c>
      <c r="M547" s="14" t="n">
        <v>3</v>
      </c>
      <c r="N547" s="14" t="n">
        <v>3</v>
      </c>
      <c r="O547" s="14" t="n">
        <v>38</v>
      </c>
      <c r="P547" s="15" t="n">
        <v>10</v>
      </c>
      <c r="Q547" s="16" t="n">
        <v>50</v>
      </c>
      <c r="R547" s="16" t="n">
        <v>100</v>
      </c>
      <c r="S547" s="16" t="n">
        <v>150</v>
      </c>
      <c r="T547" s="6"/>
      <c r="U547" s="6"/>
      <c r="V547" s="13" t="n">
        <f aca="false">IF(Q547="","",J547*Q547/100)</f>
        <v>104.5</v>
      </c>
      <c r="W547" s="13" t="n">
        <f aca="false">IF(R547="","",J547*R547/100)</f>
        <v>209</v>
      </c>
      <c r="X547" s="13" t="n">
        <f aca="false">IF(S547="","",J547*S547/100)</f>
        <v>313.5</v>
      </c>
      <c r="Y547" s="13" t="str">
        <f aca="false">IF(T547="","",J547*T547/100)</f>
        <v/>
      </c>
      <c r="Z547" s="13" t="str">
        <f aca="false">IF(U547="","",J547*U547/100)</f>
        <v/>
      </c>
      <c r="AA547" s="6" t="s">
        <v>103</v>
      </c>
      <c r="AB547" s="6" t="s">
        <v>104</v>
      </c>
      <c r="AC547" s="6"/>
      <c r="AD547" s="13" t="str">
        <f aca="false">IF(AC547="","",IFERROR(INDEX('INDB Full Nutrients'!$D:$D,MATCH(AC547,'INDB Full Nutrients'!$A:$A,0)),""))</f>
        <v/>
      </c>
      <c r="AE547" s="6"/>
      <c r="AF547" s="6"/>
    </row>
    <row r="548" customFormat="false" ht="15" hidden="false" customHeight="false" outlineLevel="0" collapsed="false">
      <c r="A548" s="6" t="s">
        <v>2100</v>
      </c>
      <c r="B548" s="6" t="s">
        <v>2101</v>
      </c>
      <c r="C548" s="6" t="s">
        <v>2102</v>
      </c>
      <c r="D548" s="6" t="s">
        <v>61</v>
      </c>
      <c r="E548" s="6" t="s">
        <v>114</v>
      </c>
      <c r="F548" s="6" t="s">
        <v>100</v>
      </c>
      <c r="G548" s="6"/>
      <c r="H548" s="6" t="s">
        <v>748</v>
      </c>
      <c r="I548" s="6" t="s">
        <v>298</v>
      </c>
      <c r="J548" s="13" t="n">
        <f aca="false">4*K548+4*(L548-N548)+9*M548+2*N548</f>
        <v>238</v>
      </c>
      <c r="K548" s="14" t="n">
        <v>3</v>
      </c>
      <c r="L548" s="14" t="n">
        <v>40</v>
      </c>
      <c r="M548" s="14" t="n">
        <v>8</v>
      </c>
      <c r="N548" s="14" t="n">
        <v>3</v>
      </c>
      <c r="O548" s="14" t="n">
        <v>20</v>
      </c>
      <c r="P548" s="15" t="n">
        <v>20</v>
      </c>
      <c r="Q548" s="16" t="n">
        <v>25</v>
      </c>
      <c r="R548" s="16" t="n">
        <v>40</v>
      </c>
      <c r="S548" s="16" t="n">
        <v>50</v>
      </c>
      <c r="T548" s="6"/>
      <c r="U548" s="6"/>
      <c r="V548" s="13" t="n">
        <f aca="false">IF(Q548="","",J548*Q548/100)</f>
        <v>59.5</v>
      </c>
      <c r="W548" s="13" t="n">
        <f aca="false">IF(R548="","",J548*R548/100)</f>
        <v>95.2</v>
      </c>
      <c r="X548" s="13" t="n">
        <f aca="false">IF(S548="","",J548*S548/100)</f>
        <v>119</v>
      </c>
      <c r="Y548" s="13" t="str">
        <f aca="false">IF(T548="","",J548*T548/100)</f>
        <v/>
      </c>
      <c r="Z548" s="13" t="str">
        <f aca="false">IF(U548="","",J548*U548/100)</f>
        <v/>
      </c>
      <c r="AA548" s="6" t="s">
        <v>103</v>
      </c>
      <c r="AB548" s="6" t="s">
        <v>104</v>
      </c>
      <c r="AC548" s="6"/>
      <c r="AD548" s="13" t="str">
        <f aca="false">IF(AC548="","",IFERROR(INDEX('INDB Full Nutrients'!$D:$D,MATCH(AC548,'INDB Full Nutrients'!$A:$A,0)),""))</f>
        <v/>
      </c>
      <c r="AE548" s="6"/>
      <c r="AF548" s="6"/>
    </row>
    <row r="549" customFormat="false" ht="15" hidden="false" customHeight="false" outlineLevel="0" collapsed="false">
      <c r="A549" s="6" t="s">
        <v>2103</v>
      </c>
      <c r="B549" s="6" t="s">
        <v>2104</v>
      </c>
      <c r="C549" s="6"/>
      <c r="D549" s="6" t="s">
        <v>61</v>
      </c>
      <c r="E549" s="6" t="s">
        <v>114</v>
      </c>
      <c r="F549" s="6" t="s">
        <v>100</v>
      </c>
      <c r="G549" s="6"/>
      <c r="H549" s="6" t="s">
        <v>748</v>
      </c>
      <c r="I549" s="6" t="s">
        <v>298</v>
      </c>
      <c r="J549" s="13" t="n">
        <f aca="false">4*K549+4*(L549-N549)+9*M549+2*N549</f>
        <v>352</v>
      </c>
      <c r="K549" s="14" t="n">
        <v>4</v>
      </c>
      <c r="L549" s="14" t="n">
        <v>45</v>
      </c>
      <c r="M549" s="14" t="n">
        <v>18</v>
      </c>
      <c r="N549" s="14" t="n">
        <v>3</v>
      </c>
      <c r="O549" s="14" t="n">
        <v>22</v>
      </c>
      <c r="P549" s="15" t="n">
        <v>20</v>
      </c>
      <c r="Q549" s="16" t="n">
        <v>25</v>
      </c>
      <c r="R549" s="16" t="n">
        <v>40</v>
      </c>
      <c r="S549" s="16" t="n">
        <v>50</v>
      </c>
      <c r="T549" s="6"/>
      <c r="U549" s="6"/>
      <c r="V549" s="13" t="n">
        <f aca="false">IF(Q549="","",J549*Q549/100)</f>
        <v>88</v>
      </c>
      <c r="W549" s="13" t="n">
        <f aca="false">IF(R549="","",J549*R549/100)</f>
        <v>140.8</v>
      </c>
      <c r="X549" s="13" t="n">
        <f aca="false">IF(S549="","",J549*S549/100)</f>
        <v>176</v>
      </c>
      <c r="Y549" s="13" t="str">
        <f aca="false">IF(T549="","",J549*T549/100)</f>
        <v/>
      </c>
      <c r="Z549" s="13" t="str">
        <f aca="false">IF(U549="","",J549*U549/100)</f>
        <v/>
      </c>
      <c r="AA549" s="6" t="s">
        <v>103</v>
      </c>
      <c r="AB549" s="6" t="s">
        <v>104</v>
      </c>
      <c r="AC549" s="6"/>
      <c r="AD549" s="13" t="str">
        <f aca="false">IF(AC549="","",IFERROR(INDEX('INDB Full Nutrients'!$D:$D,MATCH(AC549,'INDB Full Nutrients'!$A:$A,0)),""))</f>
        <v/>
      </c>
      <c r="AE549" s="6"/>
      <c r="AF549" s="6"/>
    </row>
    <row r="550" customFormat="false" ht="15" hidden="false" customHeight="false" outlineLevel="0" collapsed="false">
      <c r="A550" s="6" t="s">
        <v>2105</v>
      </c>
      <c r="B550" s="6" t="s">
        <v>2106</v>
      </c>
      <c r="C550" s="6" t="s">
        <v>2107</v>
      </c>
      <c r="D550" s="6" t="s">
        <v>61</v>
      </c>
      <c r="E550" s="6" t="s">
        <v>114</v>
      </c>
      <c r="F550" s="6" t="s">
        <v>100</v>
      </c>
      <c r="G550" s="6" t="s">
        <v>124</v>
      </c>
      <c r="H550" s="6" t="s">
        <v>748</v>
      </c>
      <c r="I550" s="6" t="s">
        <v>298</v>
      </c>
      <c r="J550" s="13" t="n">
        <f aca="false">4*K550+4*(L550-N550)+9*M550+2*N550</f>
        <v>489</v>
      </c>
      <c r="K550" s="14" t="n">
        <v>13</v>
      </c>
      <c r="L550" s="14" t="n">
        <v>55</v>
      </c>
      <c r="M550" s="14" t="n">
        <v>25</v>
      </c>
      <c r="N550" s="14" t="n">
        <v>4</v>
      </c>
      <c r="O550" s="14" t="n">
        <v>45</v>
      </c>
      <c r="P550" s="15" t="n">
        <v>30</v>
      </c>
      <c r="Q550" s="16" t="n">
        <v>15</v>
      </c>
      <c r="R550" s="16" t="n">
        <v>25</v>
      </c>
      <c r="S550" s="16" t="n">
        <v>40</v>
      </c>
      <c r="T550" s="6"/>
      <c r="U550" s="6"/>
      <c r="V550" s="13" t="n">
        <f aca="false">IF(Q550="","",J550*Q550/100)</f>
        <v>73.35</v>
      </c>
      <c r="W550" s="13" t="n">
        <f aca="false">IF(R550="","",J550*R550/100)</f>
        <v>122.25</v>
      </c>
      <c r="X550" s="13" t="n">
        <f aca="false">IF(S550="","",J550*S550/100)</f>
        <v>195.6</v>
      </c>
      <c r="Y550" s="13" t="str">
        <f aca="false">IF(T550="","",J550*T550/100)</f>
        <v/>
      </c>
      <c r="Z550" s="13" t="str">
        <f aca="false">IF(U550="","",J550*U550/100)</f>
        <v/>
      </c>
      <c r="AA550" s="6" t="s">
        <v>103</v>
      </c>
      <c r="AB550" s="6" t="s">
        <v>104</v>
      </c>
      <c r="AC550" s="6" t="s">
        <v>2108</v>
      </c>
      <c r="AD550" s="13" t="n">
        <f aca="false">IF(AC550="","",IFERROR(INDEX('INDB Full Nutrients'!$D:$D,MATCH(AC550,'INDB Full Nutrients'!$A:$A,0)),""))</f>
        <v>320.462951660156</v>
      </c>
      <c r="AE550" s="6" t="s">
        <v>2109</v>
      </c>
      <c r="AF550" s="6"/>
    </row>
    <row r="551" customFormat="false" ht="15" hidden="false" customHeight="false" outlineLevel="0" collapsed="false">
      <c r="A551" s="6" t="s">
        <v>2110</v>
      </c>
      <c r="B551" s="6" t="s">
        <v>2111</v>
      </c>
      <c r="C551" s="6"/>
      <c r="D551" s="6" t="s">
        <v>61</v>
      </c>
      <c r="E551" s="6" t="s">
        <v>161</v>
      </c>
      <c r="F551" s="6" t="s">
        <v>100</v>
      </c>
      <c r="G551" s="6" t="s">
        <v>124</v>
      </c>
      <c r="H551" s="6" t="s">
        <v>748</v>
      </c>
      <c r="I551" s="6" t="s">
        <v>298</v>
      </c>
      <c r="J551" s="13" t="n">
        <f aca="false">4*K551+4*(L551-N551)+9*M551+2*N551</f>
        <v>320.5</v>
      </c>
      <c r="K551" s="14" t="n">
        <v>0.4</v>
      </c>
      <c r="L551" s="14" t="n">
        <v>80</v>
      </c>
      <c r="M551" s="14" t="n">
        <v>0.1</v>
      </c>
      <c r="N551" s="14" t="n">
        <v>1</v>
      </c>
      <c r="O551" s="14" t="n">
        <v>75</v>
      </c>
      <c r="P551" s="15" t="n">
        <v>10</v>
      </c>
      <c r="Q551" s="16" t="n">
        <v>20</v>
      </c>
      <c r="R551" s="16" t="n">
        <v>35</v>
      </c>
      <c r="S551" s="16" t="n">
        <v>50</v>
      </c>
      <c r="T551" s="6"/>
      <c r="U551" s="6"/>
      <c r="V551" s="13" t="n">
        <f aca="false">IF(Q551="","",J551*Q551/100)</f>
        <v>64.1</v>
      </c>
      <c r="W551" s="13" t="n">
        <f aca="false">IF(R551="","",J551*R551/100)</f>
        <v>112.175</v>
      </c>
      <c r="X551" s="13" t="n">
        <f aca="false">IF(S551="","",J551*S551/100)</f>
        <v>160.25</v>
      </c>
      <c r="Y551" s="13" t="str">
        <f aca="false">IF(T551="","",J551*T551/100)</f>
        <v/>
      </c>
      <c r="Z551" s="13" t="str">
        <f aca="false">IF(U551="","",J551*U551/100)</f>
        <v/>
      </c>
      <c r="AA551" s="6" t="s">
        <v>103</v>
      </c>
      <c r="AB551" s="6" t="s">
        <v>104</v>
      </c>
      <c r="AC551" s="6"/>
      <c r="AD551" s="13" t="str">
        <f aca="false">IF(AC551="","",IFERROR(INDEX('INDB Full Nutrients'!$D:$D,MATCH(AC551,'INDB Full Nutrients'!$A:$A,0)),""))</f>
        <v/>
      </c>
      <c r="AE551" s="6"/>
      <c r="AF551" s="6"/>
    </row>
    <row r="552" customFormat="false" ht="15" hidden="false" customHeight="false" outlineLevel="0" collapsed="false">
      <c r="A552" s="6" t="s">
        <v>2112</v>
      </c>
      <c r="B552" s="6" t="s">
        <v>2113</v>
      </c>
      <c r="C552" s="6"/>
      <c r="D552" s="6" t="s">
        <v>61</v>
      </c>
      <c r="E552" s="6" t="s">
        <v>114</v>
      </c>
      <c r="F552" s="6" t="s">
        <v>100</v>
      </c>
      <c r="G552" s="6"/>
      <c r="H552" s="6" t="s">
        <v>748</v>
      </c>
      <c r="I552" s="6" t="s">
        <v>298</v>
      </c>
      <c r="J552" s="13" t="n">
        <f aca="false">4*K552+4*(L552-N552)+9*M552+2*N552</f>
        <v>418</v>
      </c>
      <c r="K552" s="14" t="n">
        <v>1</v>
      </c>
      <c r="L552" s="14" t="n">
        <v>70</v>
      </c>
      <c r="M552" s="14" t="n">
        <v>15</v>
      </c>
      <c r="N552" s="14" t="n">
        <v>0.5</v>
      </c>
      <c r="O552" s="14" t="n">
        <v>55</v>
      </c>
      <c r="P552" s="15" t="n">
        <v>20</v>
      </c>
      <c r="Q552" s="16" t="n">
        <v>20</v>
      </c>
      <c r="R552" s="16" t="n">
        <v>30</v>
      </c>
      <c r="S552" s="16" t="n">
        <v>45</v>
      </c>
      <c r="T552" s="6"/>
      <c r="U552" s="6"/>
      <c r="V552" s="13" t="n">
        <f aca="false">IF(Q552="","",J552*Q552/100)</f>
        <v>83.6</v>
      </c>
      <c r="W552" s="13" t="n">
        <f aca="false">IF(R552="","",J552*R552/100)</f>
        <v>125.4</v>
      </c>
      <c r="X552" s="13" t="n">
        <f aca="false">IF(S552="","",J552*S552/100)</f>
        <v>188.1</v>
      </c>
      <c r="Y552" s="13" t="str">
        <f aca="false">IF(T552="","",J552*T552/100)</f>
        <v/>
      </c>
      <c r="Z552" s="13" t="str">
        <f aca="false">IF(U552="","",J552*U552/100)</f>
        <v/>
      </c>
      <c r="AA552" s="6" t="s">
        <v>103</v>
      </c>
      <c r="AB552" s="6" t="s">
        <v>104</v>
      </c>
      <c r="AC552" s="6"/>
      <c r="AD552" s="13" t="str">
        <f aca="false">IF(AC552="","",IFERROR(INDEX('INDB Full Nutrients'!$D:$D,MATCH(AC552,'INDB Full Nutrients'!$A:$A,0)),""))</f>
        <v/>
      </c>
      <c r="AE552" s="6"/>
      <c r="AF552" s="6"/>
    </row>
    <row r="553" customFormat="false" ht="15" hidden="false" customHeight="false" outlineLevel="0" collapsed="false">
      <c r="A553" s="6" t="s">
        <v>2114</v>
      </c>
      <c r="B553" s="6" t="s">
        <v>2115</v>
      </c>
      <c r="C553" s="6"/>
      <c r="D553" s="6" t="s">
        <v>61</v>
      </c>
      <c r="E553" s="6" t="s">
        <v>114</v>
      </c>
      <c r="F553" s="6" t="s">
        <v>537</v>
      </c>
      <c r="G553" s="6"/>
      <c r="H553" s="6" t="s">
        <v>748</v>
      </c>
      <c r="I553" s="6" t="s">
        <v>298</v>
      </c>
      <c r="J553" s="13" t="n">
        <f aca="false">4*K553+4*(L553-N553)+9*M553+2*N553</f>
        <v>355</v>
      </c>
      <c r="K553" s="14" t="n">
        <v>4</v>
      </c>
      <c r="L553" s="14" t="n">
        <v>40</v>
      </c>
      <c r="M553" s="14" t="n">
        <v>20</v>
      </c>
      <c r="N553" s="14" t="n">
        <v>0.5</v>
      </c>
      <c r="O553" s="14" t="n">
        <v>30</v>
      </c>
      <c r="P553" s="15" t="n">
        <v>30</v>
      </c>
      <c r="Q553" s="16" t="n">
        <v>40</v>
      </c>
      <c r="R553" s="16" t="n">
        <v>60</v>
      </c>
      <c r="S553" s="16" t="n">
        <v>80</v>
      </c>
      <c r="T553" s="6"/>
      <c r="U553" s="6"/>
      <c r="V553" s="13" t="n">
        <f aca="false">IF(Q553="","",J553*Q553/100)</f>
        <v>142</v>
      </c>
      <c r="W553" s="13" t="n">
        <f aca="false">IF(R553="","",J553*R553/100)</f>
        <v>213</v>
      </c>
      <c r="X553" s="13" t="n">
        <f aca="false">IF(S553="","",J553*S553/100)</f>
        <v>284</v>
      </c>
      <c r="Y553" s="13" t="str">
        <f aca="false">IF(T553="","",J553*T553/100)</f>
        <v/>
      </c>
      <c r="Z553" s="13" t="str">
        <f aca="false">IF(U553="","",J553*U553/100)</f>
        <v/>
      </c>
      <c r="AA553" s="6" t="s">
        <v>103</v>
      </c>
      <c r="AB553" s="6" t="s">
        <v>104</v>
      </c>
      <c r="AC553" s="6"/>
      <c r="AD553" s="13" t="str">
        <f aca="false">IF(AC553="","",IFERROR(INDEX('INDB Full Nutrients'!$D:$D,MATCH(AC553,'INDB Full Nutrients'!$A:$A,0)),""))</f>
        <v/>
      </c>
      <c r="AE553" s="6"/>
      <c r="AF553" s="6" t="s">
        <v>2116</v>
      </c>
    </row>
    <row r="554" customFormat="false" ht="15" hidden="false" customHeight="false" outlineLevel="0" collapsed="false">
      <c r="A554" s="6" t="s">
        <v>2117</v>
      </c>
      <c r="B554" s="6" t="s">
        <v>2118</v>
      </c>
      <c r="C554" s="6" t="s">
        <v>2119</v>
      </c>
      <c r="D554" s="6" t="s">
        <v>61</v>
      </c>
      <c r="E554" s="6" t="s">
        <v>205</v>
      </c>
      <c r="F554" s="6" t="s">
        <v>100</v>
      </c>
      <c r="G554" s="6"/>
      <c r="H554" s="6" t="s">
        <v>748</v>
      </c>
      <c r="I554" s="6" t="s">
        <v>298</v>
      </c>
      <c r="J554" s="13" t="n">
        <f aca="false">4*K554+4*(L554-N554)+9*M554+2*N554</f>
        <v>246</v>
      </c>
      <c r="K554" s="14" t="n">
        <v>4</v>
      </c>
      <c r="L554" s="14" t="n">
        <v>40</v>
      </c>
      <c r="M554" s="14" t="n">
        <v>8</v>
      </c>
      <c r="N554" s="14" t="n">
        <v>1</v>
      </c>
      <c r="O554" s="14" t="n">
        <v>20</v>
      </c>
      <c r="P554" s="15" t="n">
        <v>30</v>
      </c>
      <c r="Q554" s="16" t="n">
        <v>40</v>
      </c>
      <c r="R554" s="16" t="n">
        <v>60</v>
      </c>
      <c r="S554" s="16" t="n">
        <v>80</v>
      </c>
      <c r="T554" s="6"/>
      <c r="U554" s="6"/>
      <c r="V554" s="13" t="n">
        <f aca="false">IF(Q554="","",J554*Q554/100)</f>
        <v>98.4</v>
      </c>
      <c r="W554" s="13" t="n">
        <f aca="false">IF(R554="","",J554*R554/100)</f>
        <v>147.6</v>
      </c>
      <c r="X554" s="13" t="n">
        <f aca="false">IF(S554="","",J554*S554/100)</f>
        <v>196.8</v>
      </c>
      <c r="Y554" s="13" t="str">
        <f aca="false">IF(T554="","",J554*T554/100)</f>
        <v/>
      </c>
      <c r="Z554" s="13" t="str">
        <f aca="false">IF(U554="","",J554*U554/100)</f>
        <v/>
      </c>
      <c r="AA554" s="6" t="s">
        <v>103</v>
      </c>
      <c r="AB554" s="6" t="s">
        <v>104</v>
      </c>
      <c r="AC554" s="6"/>
      <c r="AD554" s="13" t="str">
        <f aca="false">IF(AC554="","",IFERROR(INDEX('INDB Full Nutrients'!$D:$D,MATCH(AC554,'INDB Full Nutrients'!$A:$A,0)),""))</f>
        <v/>
      </c>
      <c r="AE554" s="6"/>
      <c r="AF554" s="6"/>
    </row>
    <row r="555" customFormat="false" ht="15" hidden="false" customHeight="false" outlineLevel="0" collapsed="false">
      <c r="A555" s="6" t="s">
        <v>2120</v>
      </c>
      <c r="B555" s="6" t="s">
        <v>2121</v>
      </c>
      <c r="C555" s="6" t="s">
        <v>2122</v>
      </c>
      <c r="D555" s="6" t="s">
        <v>62</v>
      </c>
      <c r="E555" s="6" t="s">
        <v>161</v>
      </c>
      <c r="F555" s="6" t="s">
        <v>100</v>
      </c>
      <c r="G555" s="6"/>
      <c r="H555" s="6" t="s">
        <v>748</v>
      </c>
      <c r="I555" s="6" t="s">
        <v>298</v>
      </c>
      <c r="J555" s="13" t="n">
        <f aca="false">4*K555+4*(L555-N555)+9*M555+2*N555</f>
        <v>243</v>
      </c>
      <c r="K555" s="14" t="n">
        <v>4.5</v>
      </c>
      <c r="L555" s="14" t="n">
        <v>30</v>
      </c>
      <c r="M555" s="14" t="n">
        <v>12</v>
      </c>
      <c r="N555" s="14" t="n">
        <v>1.5</v>
      </c>
      <c r="O555" s="14" t="n">
        <v>26</v>
      </c>
      <c r="P555" s="15" t="n">
        <v>50</v>
      </c>
      <c r="Q555" s="16" t="n">
        <v>50</v>
      </c>
      <c r="R555" s="16" t="n">
        <v>100</v>
      </c>
      <c r="S555" s="16" t="n">
        <v>150</v>
      </c>
      <c r="T555" s="6"/>
      <c r="U555" s="6"/>
      <c r="V555" s="13" t="n">
        <f aca="false">IF(Q555="","",J555*Q555/100)</f>
        <v>121.5</v>
      </c>
      <c r="W555" s="13" t="n">
        <f aca="false">IF(R555="","",J555*R555/100)</f>
        <v>243</v>
      </c>
      <c r="X555" s="13" t="n">
        <f aca="false">IF(S555="","",J555*S555/100)</f>
        <v>364.5</v>
      </c>
      <c r="Y555" s="13" t="str">
        <f aca="false">IF(T555="","",J555*T555/100)</f>
        <v/>
      </c>
      <c r="Z555" s="13" t="str">
        <f aca="false">IF(U555="","",J555*U555/100)</f>
        <v/>
      </c>
      <c r="AA555" s="6" t="s">
        <v>103</v>
      </c>
      <c r="AB555" s="6" t="s">
        <v>104</v>
      </c>
      <c r="AC555" s="6" t="s">
        <v>2123</v>
      </c>
      <c r="AD555" s="13" t="n">
        <f aca="false">IF(AC555="","",IFERROR(INDEX('INDB Full Nutrients'!$D:$D,MATCH(AC555,'INDB Full Nutrients'!$A:$A,0)),""))</f>
        <v>172.641082763672</v>
      </c>
      <c r="AE555" s="6" t="s">
        <v>2124</v>
      </c>
      <c r="AF555" s="6" t="s">
        <v>2125</v>
      </c>
    </row>
    <row r="556" customFormat="false" ht="15" hidden="false" customHeight="false" outlineLevel="0" collapsed="false">
      <c r="A556" s="6" t="s">
        <v>2126</v>
      </c>
      <c r="B556" s="6" t="s">
        <v>2127</v>
      </c>
      <c r="C556" s="6"/>
      <c r="D556" s="6" t="s">
        <v>62</v>
      </c>
      <c r="E556" s="6" t="s">
        <v>161</v>
      </c>
      <c r="F556" s="6" t="s">
        <v>100</v>
      </c>
      <c r="G556" s="6"/>
      <c r="H556" s="6" t="s">
        <v>748</v>
      </c>
      <c r="I556" s="6" t="s">
        <v>298</v>
      </c>
      <c r="J556" s="13" t="n">
        <f aca="false">4*K556+4*(L556-N556)+9*M556+2*N556</f>
        <v>390</v>
      </c>
      <c r="K556" s="14" t="n">
        <v>7</v>
      </c>
      <c r="L556" s="14" t="n">
        <v>42</v>
      </c>
      <c r="M556" s="14" t="n">
        <v>22</v>
      </c>
      <c r="N556" s="14" t="n">
        <v>2</v>
      </c>
      <c r="O556" s="14" t="n">
        <v>28</v>
      </c>
      <c r="P556" s="15" t="n">
        <v>20</v>
      </c>
      <c r="Q556" s="16" t="n">
        <v>50</v>
      </c>
      <c r="R556" s="16" t="n">
        <v>100</v>
      </c>
      <c r="S556" s="16" t="n">
        <v>150</v>
      </c>
      <c r="T556" s="6"/>
      <c r="U556" s="6"/>
      <c r="V556" s="13" t="n">
        <f aca="false">IF(Q556="","",J556*Q556/100)</f>
        <v>195</v>
      </c>
      <c r="W556" s="13" t="n">
        <f aca="false">IF(R556="","",J556*R556/100)</f>
        <v>390</v>
      </c>
      <c r="X556" s="13" t="n">
        <f aca="false">IF(S556="","",J556*S556/100)</f>
        <v>585</v>
      </c>
      <c r="Y556" s="13" t="str">
        <f aca="false">IF(T556="","",J556*T556/100)</f>
        <v/>
      </c>
      <c r="Z556" s="13" t="str">
        <f aca="false">IF(U556="","",J556*U556/100)</f>
        <v/>
      </c>
      <c r="AA556" s="6" t="s">
        <v>125</v>
      </c>
      <c r="AB556" s="6" t="s">
        <v>147</v>
      </c>
      <c r="AC556" s="6" t="s">
        <v>2128</v>
      </c>
      <c r="AD556" s="13" t="n">
        <f aca="false">IF(AC556="","",IFERROR(INDEX('INDB Full Nutrients'!$D:$D,MATCH(AC556,'INDB Full Nutrients'!$A:$A,0)),""))</f>
        <v>349.803039550781</v>
      </c>
      <c r="AE556" s="6" t="s">
        <v>2129</v>
      </c>
      <c r="AF556" s="6"/>
    </row>
    <row r="557" customFormat="false" ht="15" hidden="false" customHeight="false" outlineLevel="0" collapsed="false">
      <c r="A557" s="6" t="s">
        <v>2130</v>
      </c>
      <c r="B557" s="6" t="s">
        <v>2131</v>
      </c>
      <c r="C557" s="6" t="s">
        <v>2132</v>
      </c>
      <c r="D557" s="6" t="s">
        <v>62</v>
      </c>
      <c r="E557" s="6" t="s">
        <v>99</v>
      </c>
      <c r="F557" s="6" t="s">
        <v>100</v>
      </c>
      <c r="G557" s="6"/>
      <c r="H557" s="6" t="s">
        <v>748</v>
      </c>
      <c r="I557" s="6" t="s">
        <v>298</v>
      </c>
      <c r="J557" s="13" t="n">
        <f aca="false">4*K557+4*(L557-N557)+9*M557+2*N557</f>
        <v>288.4</v>
      </c>
      <c r="K557" s="14" t="n">
        <v>3.5</v>
      </c>
      <c r="L557" s="14" t="n">
        <v>42</v>
      </c>
      <c r="M557" s="14" t="n">
        <v>12</v>
      </c>
      <c r="N557" s="14" t="n">
        <v>0.8</v>
      </c>
      <c r="O557" s="14" t="n">
        <v>25</v>
      </c>
      <c r="P557" s="15" t="n">
        <v>20</v>
      </c>
      <c r="Q557" s="16" t="n">
        <v>50</v>
      </c>
      <c r="R557" s="16" t="n">
        <v>100</v>
      </c>
      <c r="S557" s="16" t="n">
        <v>150</v>
      </c>
      <c r="T557" s="6"/>
      <c r="U557" s="6"/>
      <c r="V557" s="13" t="n">
        <f aca="false">IF(Q557="","",J557*Q557/100)</f>
        <v>144.2</v>
      </c>
      <c r="W557" s="13" t="n">
        <f aca="false">IF(R557="","",J557*R557/100)</f>
        <v>288.4</v>
      </c>
      <c r="X557" s="13" t="n">
        <f aca="false">IF(S557="","",J557*S557/100)</f>
        <v>432.6</v>
      </c>
      <c r="Y557" s="13" t="str">
        <f aca="false">IF(T557="","",J557*T557/100)</f>
        <v/>
      </c>
      <c r="Z557" s="13" t="str">
        <f aca="false">IF(U557="","",J557*U557/100)</f>
        <v/>
      </c>
      <c r="AA557" s="6" t="s">
        <v>103</v>
      </c>
      <c r="AB557" s="6" t="s">
        <v>104</v>
      </c>
      <c r="AC557" s="6" t="s">
        <v>2133</v>
      </c>
      <c r="AD557" s="13" t="n">
        <f aca="false">IF(AC557="","",IFERROR(INDEX('INDB Full Nutrients'!$D:$D,MATCH(AC557,'INDB Full Nutrients'!$A:$A,0)),""))</f>
        <v>225.647766113281</v>
      </c>
      <c r="AE557" s="6" t="s">
        <v>2134</v>
      </c>
      <c r="AF557" s="6"/>
    </row>
    <row r="558" customFormat="false" ht="15" hidden="false" customHeight="false" outlineLevel="0" collapsed="false">
      <c r="A558" s="6" t="s">
        <v>2135</v>
      </c>
      <c r="B558" s="6" t="s">
        <v>2136</v>
      </c>
      <c r="C558" s="6"/>
      <c r="D558" s="6" t="s">
        <v>62</v>
      </c>
      <c r="E558" s="6" t="s">
        <v>161</v>
      </c>
      <c r="F558" s="6" t="s">
        <v>100</v>
      </c>
      <c r="G558" s="6"/>
      <c r="H558" s="6" t="s">
        <v>748</v>
      </c>
      <c r="I558" s="6" t="s">
        <v>298</v>
      </c>
      <c r="J558" s="13" t="n">
        <f aca="false">4*K558+4*(L558-N558)+9*M558+2*N558</f>
        <v>385</v>
      </c>
      <c r="K558" s="14" t="n">
        <v>5</v>
      </c>
      <c r="L558" s="14" t="n">
        <v>48</v>
      </c>
      <c r="M558" s="14" t="n">
        <v>20</v>
      </c>
      <c r="N558" s="14" t="n">
        <v>3.5</v>
      </c>
      <c r="O558" s="14" t="n">
        <v>30</v>
      </c>
      <c r="P558" s="15" t="n">
        <v>10</v>
      </c>
      <c r="Q558" s="16" t="n">
        <v>50</v>
      </c>
      <c r="R558" s="16" t="n">
        <v>100</v>
      </c>
      <c r="S558" s="16" t="n">
        <v>150</v>
      </c>
      <c r="T558" s="6"/>
      <c r="U558" s="6"/>
      <c r="V558" s="13" t="n">
        <f aca="false">IF(Q558="","",J558*Q558/100)</f>
        <v>192.5</v>
      </c>
      <c r="W558" s="13" t="n">
        <f aca="false">IF(R558="","",J558*R558/100)</f>
        <v>385</v>
      </c>
      <c r="X558" s="13" t="n">
        <f aca="false">IF(S558="","",J558*S558/100)</f>
        <v>577.5</v>
      </c>
      <c r="Y558" s="13" t="str">
        <f aca="false">IF(T558="","",J558*T558/100)</f>
        <v/>
      </c>
      <c r="Z558" s="13" t="str">
        <f aca="false">IF(U558="","",J558*U558/100)</f>
        <v/>
      </c>
      <c r="AA558" s="6" t="s">
        <v>103</v>
      </c>
      <c r="AB558" s="6" t="s">
        <v>104</v>
      </c>
      <c r="AC558" s="6"/>
      <c r="AD558" s="13" t="str">
        <f aca="false">IF(AC558="","",IFERROR(INDEX('INDB Full Nutrients'!$D:$D,MATCH(AC558,'INDB Full Nutrients'!$A:$A,0)),""))</f>
        <v/>
      </c>
      <c r="AE558" s="6"/>
      <c r="AF558" s="6"/>
    </row>
    <row r="559" customFormat="false" ht="15" hidden="false" customHeight="false" outlineLevel="0" collapsed="false">
      <c r="A559" s="6" t="s">
        <v>2137</v>
      </c>
      <c r="B559" s="6" t="s">
        <v>2138</v>
      </c>
      <c r="C559" s="6" t="s">
        <v>2139</v>
      </c>
      <c r="D559" s="6" t="s">
        <v>62</v>
      </c>
      <c r="E559" s="6" t="s">
        <v>161</v>
      </c>
      <c r="F559" s="6" t="s">
        <v>100</v>
      </c>
      <c r="G559" s="6"/>
      <c r="H559" s="6" t="s">
        <v>748</v>
      </c>
      <c r="I559" s="6" t="s">
        <v>298</v>
      </c>
      <c r="J559" s="13" t="n">
        <f aca="false">4*K559+4*(L559-N559)+9*M559+2*N559</f>
        <v>160.6</v>
      </c>
      <c r="K559" s="14" t="n">
        <v>3</v>
      </c>
      <c r="L559" s="14" t="n">
        <v>22</v>
      </c>
      <c r="M559" s="14" t="n">
        <v>7</v>
      </c>
      <c r="N559" s="14" t="n">
        <v>1.2</v>
      </c>
      <c r="O559" s="14" t="n">
        <v>18</v>
      </c>
      <c r="P559" s="15" t="n">
        <v>30</v>
      </c>
      <c r="Q559" s="16" t="n">
        <v>50</v>
      </c>
      <c r="R559" s="16" t="n">
        <v>100</v>
      </c>
      <c r="S559" s="16" t="n">
        <v>150</v>
      </c>
      <c r="T559" s="6"/>
      <c r="U559" s="6"/>
      <c r="V559" s="13" t="n">
        <f aca="false">IF(Q559="","",J559*Q559/100)</f>
        <v>80.3</v>
      </c>
      <c r="W559" s="13" t="n">
        <f aca="false">IF(R559="","",J559*R559/100)</f>
        <v>160.6</v>
      </c>
      <c r="X559" s="13" t="n">
        <f aca="false">IF(S559="","",J559*S559/100)</f>
        <v>240.9</v>
      </c>
      <c r="Y559" s="13" t="str">
        <f aca="false">IF(T559="","",J559*T559/100)</f>
        <v/>
      </c>
      <c r="Z559" s="13" t="str">
        <f aca="false">IF(U559="","",J559*U559/100)</f>
        <v/>
      </c>
      <c r="AA559" s="6" t="s">
        <v>103</v>
      </c>
      <c r="AB559" s="6" t="s">
        <v>104</v>
      </c>
      <c r="AC559" s="6"/>
      <c r="AD559" s="13" t="str">
        <f aca="false">IF(AC559="","",IFERROR(INDEX('INDB Full Nutrients'!$D:$D,MATCH(AC559,'INDB Full Nutrients'!$A:$A,0)),""))</f>
        <v/>
      </c>
      <c r="AE559" s="6"/>
      <c r="AF559" s="6"/>
    </row>
    <row r="560" customFormat="false" ht="15" hidden="false" customHeight="false" outlineLevel="0" collapsed="false">
      <c r="A560" s="6" t="s">
        <v>2140</v>
      </c>
      <c r="B560" s="6" t="s">
        <v>2141</v>
      </c>
      <c r="C560" s="6" t="s">
        <v>2142</v>
      </c>
      <c r="D560" s="6" t="s">
        <v>62</v>
      </c>
      <c r="E560" s="6" t="s">
        <v>119</v>
      </c>
      <c r="F560" s="6" t="s">
        <v>100</v>
      </c>
      <c r="G560" s="6"/>
      <c r="H560" s="6" t="s">
        <v>748</v>
      </c>
      <c r="I560" s="6" t="s">
        <v>298</v>
      </c>
      <c r="J560" s="13" t="n">
        <f aca="false">4*K560+4*(L560-N560)+9*M560+2*N560</f>
        <v>479</v>
      </c>
      <c r="K560" s="14" t="n">
        <v>9</v>
      </c>
      <c r="L560" s="14" t="n">
        <v>45</v>
      </c>
      <c r="M560" s="14" t="n">
        <v>30</v>
      </c>
      <c r="N560" s="14" t="n">
        <v>3.5</v>
      </c>
      <c r="O560" s="14" t="n">
        <v>35</v>
      </c>
      <c r="P560" s="15" t="n">
        <v>15</v>
      </c>
      <c r="Q560" s="16" t="n">
        <v>50</v>
      </c>
      <c r="R560" s="16" t="n">
        <v>100</v>
      </c>
      <c r="S560" s="16" t="n">
        <v>150</v>
      </c>
      <c r="T560" s="6"/>
      <c r="U560" s="6"/>
      <c r="V560" s="13" t="n">
        <f aca="false">IF(Q560="","",J560*Q560/100)</f>
        <v>239.5</v>
      </c>
      <c r="W560" s="13" t="n">
        <f aca="false">IF(R560="","",J560*R560/100)</f>
        <v>479</v>
      </c>
      <c r="X560" s="13" t="n">
        <f aca="false">IF(S560="","",J560*S560/100)</f>
        <v>718.5</v>
      </c>
      <c r="Y560" s="13" t="str">
        <f aca="false">IF(T560="","",J560*T560/100)</f>
        <v/>
      </c>
      <c r="Z560" s="13" t="str">
        <f aca="false">IF(U560="","",J560*U560/100)</f>
        <v/>
      </c>
      <c r="AA560" s="6" t="s">
        <v>103</v>
      </c>
      <c r="AB560" s="6" t="s">
        <v>104</v>
      </c>
      <c r="AC560" s="6"/>
      <c r="AD560" s="13" t="str">
        <f aca="false">IF(AC560="","",IFERROR(INDEX('INDB Full Nutrients'!$D:$D,MATCH(AC560,'INDB Full Nutrients'!$A:$A,0)),""))</f>
        <v/>
      </c>
      <c r="AE560" s="6"/>
      <c r="AF560" s="6"/>
    </row>
    <row r="561" customFormat="false" ht="15" hidden="false" customHeight="false" outlineLevel="0" collapsed="false">
      <c r="A561" s="6" t="s">
        <v>2143</v>
      </c>
      <c r="B561" s="6" t="s">
        <v>2144</v>
      </c>
      <c r="C561" s="6"/>
      <c r="D561" s="6" t="s">
        <v>62</v>
      </c>
      <c r="E561" s="6" t="s">
        <v>161</v>
      </c>
      <c r="F561" s="6" t="s">
        <v>100</v>
      </c>
      <c r="G561" s="6"/>
      <c r="H561" s="6" t="s">
        <v>748</v>
      </c>
      <c r="I561" s="6" t="s">
        <v>298</v>
      </c>
      <c r="J561" s="13" t="n">
        <f aca="false">4*K561+4*(L561-N561)+9*M561+2*N561</f>
        <v>362</v>
      </c>
      <c r="K561" s="14" t="n">
        <v>7</v>
      </c>
      <c r="L561" s="14" t="n">
        <v>40</v>
      </c>
      <c r="M561" s="14" t="n">
        <v>20</v>
      </c>
      <c r="N561" s="14" t="n">
        <v>3</v>
      </c>
      <c r="O561" s="14" t="n">
        <v>25</v>
      </c>
      <c r="P561" s="15" t="n">
        <v>15</v>
      </c>
      <c r="Q561" s="16" t="n">
        <v>50</v>
      </c>
      <c r="R561" s="16" t="n">
        <v>100</v>
      </c>
      <c r="S561" s="16" t="n">
        <v>150</v>
      </c>
      <c r="T561" s="6"/>
      <c r="U561" s="6"/>
      <c r="V561" s="13" t="n">
        <f aca="false">IF(Q561="","",J561*Q561/100)</f>
        <v>181</v>
      </c>
      <c r="W561" s="13" t="n">
        <f aca="false">IF(R561="","",J561*R561/100)</f>
        <v>362</v>
      </c>
      <c r="X561" s="13" t="n">
        <f aca="false">IF(S561="","",J561*S561/100)</f>
        <v>543</v>
      </c>
      <c r="Y561" s="13" t="str">
        <f aca="false">IF(T561="","",J561*T561/100)</f>
        <v/>
      </c>
      <c r="Z561" s="13" t="str">
        <f aca="false">IF(U561="","",J561*U561/100)</f>
        <v/>
      </c>
      <c r="AA561" s="6" t="s">
        <v>103</v>
      </c>
      <c r="AB561" s="6" t="s">
        <v>104</v>
      </c>
      <c r="AC561" s="6" t="s">
        <v>2145</v>
      </c>
      <c r="AD561" s="13" t="n">
        <f aca="false">IF(AC561="","",IFERROR(INDEX('INDB Full Nutrients'!$D:$D,MATCH(AC561,'INDB Full Nutrients'!$A:$A,0)),""))</f>
        <v>276.788269042969</v>
      </c>
      <c r="AE561" s="6" t="s">
        <v>2146</v>
      </c>
      <c r="AF561" s="6"/>
    </row>
    <row r="562" customFormat="false" ht="15" hidden="false" customHeight="false" outlineLevel="0" collapsed="false">
      <c r="A562" s="6" t="s">
        <v>2147</v>
      </c>
      <c r="B562" s="6" t="s">
        <v>2148</v>
      </c>
      <c r="C562" s="6" t="s">
        <v>2149</v>
      </c>
      <c r="D562" s="6" t="s">
        <v>62</v>
      </c>
      <c r="E562" s="6" t="s">
        <v>99</v>
      </c>
      <c r="F562" s="6" t="s">
        <v>100</v>
      </c>
      <c r="G562" s="6"/>
      <c r="H562" s="6" t="s">
        <v>748</v>
      </c>
      <c r="I562" s="6" t="s">
        <v>298</v>
      </c>
      <c r="J562" s="13" t="n">
        <f aca="false">4*K562+4*(L562-N562)+9*M562+2*N562</f>
        <v>129.6</v>
      </c>
      <c r="K562" s="14" t="n">
        <v>3.5</v>
      </c>
      <c r="L562" s="14" t="n">
        <v>20</v>
      </c>
      <c r="M562" s="14" t="n">
        <v>4</v>
      </c>
      <c r="N562" s="14" t="n">
        <v>0.2</v>
      </c>
      <c r="O562" s="14" t="n">
        <v>13.5</v>
      </c>
      <c r="P562" s="15" t="n">
        <v>45</v>
      </c>
      <c r="Q562" s="16" t="n">
        <v>100</v>
      </c>
      <c r="R562" s="16" t="n">
        <v>150</v>
      </c>
      <c r="S562" s="16" t="n">
        <v>200</v>
      </c>
      <c r="T562" s="6"/>
      <c r="U562" s="6"/>
      <c r="V562" s="13" t="n">
        <f aca="false">IF(Q562="","",J562*Q562/100)</f>
        <v>129.6</v>
      </c>
      <c r="W562" s="13" t="n">
        <f aca="false">IF(R562="","",J562*R562/100)</f>
        <v>194.4</v>
      </c>
      <c r="X562" s="13" t="n">
        <f aca="false">IF(S562="","",J562*S562/100)</f>
        <v>259.2</v>
      </c>
      <c r="Y562" s="13" t="str">
        <f aca="false">IF(T562="","",J562*T562/100)</f>
        <v/>
      </c>
      <c r="Z562" s="13" t="str">
        <f aca="false">IF(U562="","",J562*U562/100)</f>
        <v/>
      </c>
      <c r="AA562" s="6" t="s">
        <v>103</v>
      </c>
      <c r="AB562" s="6" t="s">
        <v>104</v>
      </c>
      <c r="AC562" s="6" t="s">
        <v>2150</v>
      </c>
      <c r="AD562" s="13" t="n">
        <f aca="false">IF(AC562="","",IFERROR(INDEX('INDB Full Nutrients'!$D:$D,MATCH(AC562,'INDB Full Nutrients'!$A:$A,0)),""))</f>
        <v>75.0260314941406</v>
      </c>
      <c r="AE562" s="6" t="s">
        <v>2151</v>
      </c>
      <c r="AF562" s="6"/>
    </row>
    <row r="563" customFormat="false" ht="15" hidden="false" customHeight="false" outlineLevel="0" collapsed="false">
      <c r="A563" s="6" t="s">
        <v>2152</v>
      </c>
      <c r="B563" s="6" t="s">
        <v>2153</v>
      </c>
      <c r="C563" s="6" t="s">
        <v>2154</v>
      </c>
      <c r="D563" s="6" t="s">
        <v>62</v>
      </c>
      <c r="E563" s="6" t="s">
        <v>161</v>
      </c>
      <c r="F563" s="6" t="s">
        <v>100</v>
      </c>
      <c r="G563" s="6"/>
      <c r="H563" s="6" t="s">
        <v>748</v>
      </c>
      <c r="I563" s="6" t="s">
        <v>298</v>
      </c>
      <c r="J563" s="13" t="n">
        <f aca="false">4*K563+4*(L563-N563)+9*M563+2*N563</f>
        <v>129.8</v>
      </c>
      <c r="K563" s="14" t="n">
        <v>3.6</v>
      </c>
      <c r="L563" s="14" t="n">
        <v>20</v>
      </c>
      <c r="M563" s="14" t="n">
        <v>4</v>
      </c>
      <c r="N563" s="14" t="n">
        <v>0.3</v>
      </c>
      <c r="O563" s="14" t="n">
        <v>13</v>
      </c>
      <c r="P563" s="15" t="n">
        <v>45</v>
      </c>
      <c r="Q563" s="16" t="n">
        <v>100</v>
      </c>
      <c r="R563" s="16" t="n">
        <v>150</v>
      </c>
      <c r="S563" s="16" t="n">
        <v>200</v>
      </c>
      <c r="T563" s="6"/>
      <c r="U563" s="6"/>
      <c r="V563" s="13" t="n">
        <f aca="false">IF(Q563="","",J563*Q563/100)</f>
        <v>129.8</v>
      </c>
      <c r="W563" s="13" t="n">
        <f aca="false">IF(R563="","",J563*R563/100)</f>
        <v>194.7</v>
      </c>
      <c r="X563" s="13" t="n">
        <f aca="false">IF(S563="","",J563*S563/100)</f>
        <v>259.6</v>
      </c>
      <c r="Y563" s="13" t="str">
        <f aca="false">IF(T563="","",J563*T563/100)</f>
        <v/>
      </c>
      <c r="Z563" s="13" t="str">
        <f aca="false">IF(U563="","",J563*U563/100)</f>
        <v/>
      </c>
      <c r="AA563" s="6" t="s">
        <v>125</v>
      </c>
      <c r="AB563" s="6" t="s">
        <v>147</v>
      </c>
      <c r="AC563" s="6" t="s">
        <v>2155</v>
      </c>
      <c r="AD563" s="13" t="n">
        <f aca="false">IF(AC563="","",IFERROR(INDEX('INDB Full Nutrients'!$D:$D,MATCH(AC563,'INDB Full Nutrients'!$A:$A,0)),""))</f>
        <v>120.069236755371</v>
      </c>
      <c r="AE563" s="6" t="s">
        <v>2156</v>
      </c>
      <c r="AF563" s="6"/>
    </row>
    <row r="564" customFormat="false" ht="15" hidden="false" customHeight="false" outlineLevel="0" collapsed="false">
      <c r="A564" s="6" t="s">
        <v>2157</v>
      </c>
      <c r="B564" s="6" t="s">
        <v>2158</v>
      </c>
      <c r="C564" s="6"/>
      <c r="D564" s="6" t="s">
        <v>62</v>
      </c>
      <c r="E564" s="6" t="s">
        <v>161</v>
      </c>
      <c r="F564" s="6" t="s">
        <v>100</v>
      </c>
      <c r="G564" s="6"/>
      <c r="H564" s="6" t="s">
        <v>748</v>
      </c>
      <c r="I564" s="6" t="s">
        <v>298</v>
      </c>
      <c r="J564" s="13" t="n">
        <f aca="false">4*K564+4*(L564-N564)+9*M564+2*N564</f>
        <v>179.9</v>
      </c>
      <c r="K564" s="14" t="n">
        <v>4.5</v>
      </c>
      <c r="L564" s="14" t="n">
        <v>24</v>
      </c>
      <c r="M564" s="14" t="n">
        <v>7.5</v>
      </c>
      <c r="N564" s="14" t="n">
        <v>0.8</v>
      </c>
      <c r="O564" s="14" t="n">
        <v>18</v>
      </c>
      <c r="P564" s="15" t="n">
        <v>45</v>
      </c>
      <c r="Q564" s="16" t="n">
        <v>100</v>
      </c>
      <c r="R564" s="16" t="n">
        <v>150</v>
      </c>
      <c r="S564" s="16" t="n">
        <v>200</v>
      </c>
      <c r="T564" s="6"/>
      <c r="U564" s="6"/>
      <c r="V564" s="13" t="n">
        <f aca="false">IF(Q564="","",J564*Q564/100)</f>
        <v>179.9</v>
      </c>
      <c r="W564" s="13" t="n">
        <f aca="false">IF(R564="","",J564*R564/100)</f>
        <v>269.85</v>
      </c>
      <c r="X564" s="13" t="n">
        <f aca="false">IF(S564="","",J564*S564/100)</f>
        <v>359.8</v>
      </c>
      <c r="Y564" s="13" t="str">
        <f aca="false">IF(T564="","",J564*T564/100)</f>
        <v/>
      </c>
      <c r="Z564" s="13" t="str">
        <f aca="false">IF(U564="","",J564*U564/100)</f>
        <v/>
      </c>
      <c r="AA564" s="6" t="s">
        <v>103</v>
      </c>
      <c r="AB564" s="6" t="s">
        <v>104</v>
      </c>
      <c r="AC564" s="6"/>
      <c r="AD564" s="13" t="str">
        <f aca="false">IF(AC564="","",IFERROR(INDEX('INDB Full Nutrients'!$D:$D,MATCH(AC564,'INDB Full Nutrients'!$A:$A,0)),""))</f>
        <v/>
      </c>
      <c r="AE564" s="6"/>
      <c r="AF564" s="6" t="s">
        <v>2159</v>
      </c>
    </row>
    <row r="565" customFormat="false" ht="15" hidden="false" customHeight="false" outlineLevel="0" collapsed="false">
      <c r="A565" s="6" t="s">
        <v>2160</v>
      </c>
      <c r="B565" s="6" t="s">
        <v>2161</v>
      </c>
      <c r="C565" s="6" t="s">
        <v>2162</v>
      </c>
      <c r="D565" s="6" t="s">
        <v>62</v>
      </c>
      <c r="E565" s="6" t="s">
        <v>161</v>
      </c>
      <c r="F565" s="6" t="s">
        <v>100</v>
      </c>
      <c r="G565" s="6"/>
      <c r="H565" s="6" t="s">
        <v>748</v>
      </c>
      <c r="I565" s="6" t="s">
        <v>298</v>
      </c>
      <c r="J565" s="13" t="n">
        <f aca="false">4*K565+4*(L565-N565)+9*M565+2*N565</f>
        <v>117.1</v>
      </c>
      <c r="K565" s="14" t="n">
        <v>3.5</v>
      </c>
      <c r="L565" s="14" t="n">
        <v>18</v>
      </c>
      <c r="M565" s="14" t="n">
        <v>3.5</v>
      </c>
      <c r="N565" s="14" t="n">
        <v>0.2</v>
      </c>
      <c r="O565" s="14" t="n">
        <v>12</v>
      </c>
      <c r="P565" s="15" t="n">
        <v>45</v>
      </c>
      <c r="Q565" s="16" t="n">
        <v>100</v>
      </c>
      <c r="R565" s="16" t="n">
        <v>150</v>
      </c>
      <c r="S565" s="16" t="n">
        <v>200</v>
      </c>
      <c r="T565" s="6"/>
      <c r="U565" s="6"/>
      <c r="V565" s="13" t="n">
        <f aca="false">IF(Q565="","",J565*Q565/100)</f>
        <v>117.1</v>
      </c>
      <c r="W565" s="13" t="n">
        <f aca="false">IF(R565="","",J565*R565/100)</f>
        <v>175.65</v>
      </c>
      <c r="X565" s="13" t="n">
        <f aca="false">IF(S565="","",J565*S565/100)</f>
        <v>234.2</v>
      </c>
      <c r="Y565" s="13" t="str">
        <f aca="false">IF(T565="","",J565*T565/100)</f>
        <v/>
      </c>
      <c r="Z565" s="13" t="str">
        <f aca="false">IF(U565="","",J565*U565/100)</f>
        <v/>
      </c>
      <c r="AA565" s="6" t="s">
        <v>125</v>
      </c>
      <c r="AB565" s="6" t="s">
        <v>147</v>
      </c>
      <c r="AC565" s="6" t="s">
        <v>2163</v>
      </c>
      <c r="AD565" s="13" t="n">
        <f aca="false">IF(AC565="","",IFERROR(INDEX('INDB Full Nutrients'!$D:$D,MATCH(AC565,'INDB Full Nutrients'!$A:$A,0)),""))</f>
        <v>116.11735534668</v>
      </c>
      <c r="AE565" s="6" t="s">
        <v>2164</v>
      </c>
      <c r="AF565" s="6"/>
    </row>
    <row r="566" customFormat="false" ht="15" hidden="false" customHeight="false" outlineLevel="0" collapsed="false">
      <c r="A566" s="6" t="s">
        <v>2165</v>
      </c>
      <c r="B566" s="6" t="s">
        <v>2166</v>
      </c>
      <c r="C566" s="6" t="s">
        <v>2167</v>
      </c>
      <c r="D566" s="6" t="s">
        <v>62</v>
      </c>
      <c r="E566" s="6" t="s">
        <v>119</v>
      </c>
      <c r="F566" s="6" t="s">
        <v>100</v>
      </c>
      <c r="G566" s="6"/>
      <c r="H566" s="6" t="s">
        <v>748</v>
      </c>
      <c r="I566" s="6" t="s">
        <v>298</v>
      </c>
      <c r="J566" s="13" t="n">
        <f aca="false">4*K566+4*(L566-N566)+9*M566+2*N566</f>
        <v>140.7</v>
      </c>
      <c r="K566" s="14" t="n">
        <v>3.2</v>
      </c>
      <c r="L566" s="14" t="n">
        <v>22</v>
      </c>
      <c r="M566" s="14" t="n">
        <v>4.5</v>
      </c>
      <c r="N566" s="14" t="n">
        <v>0.3</v>
      </c>
      <c r="O566" s="14" t="n">
        <v>15</v>
      </c>
      <c r="P566" s="15" t="n">
        <v>45</v>
      </c>
      <c r="Q566" s="16" t="n">
        <v>100</v>
      </c>
      <c r="R566" s="16" t="n">
        <v>150</v>
      </c>
      <c r="S566" s="16" t="n">
        <v>200</v>
      </c>
      <c r="T566" s="6"/>
      <c r="U566" s="6"/>
      <c r="V566" s="13" t="n">
        <f aca="false">IF(Q566="","",J566*Q566/100)</f>
        <v>140.7</v>
      </c>
      <c r="W566" s="13" t="n">
        <f aca="false">IF(R566="","",J566*R566/100)</f>
        <v>211.05</v>
      </c>
      <c r="X566" s="13" t="n">
        <f aca="false">IF(S566="","",J566*S566/100)</f>
        <v>281.4</v>
      </c>
      <c r="Y566" s="13" t="str">
        <f aca="false">IF(T566="","",J566*T566/100)</f>
        <v/>
      </c>
      <c r="Z566" s="13" t="str">
        <f aca="false">IF(U566="","",J566*U566/100)</f>
        <v/>
      </c>
      <c r="AA566" s="6" t="s">
        <v>103</v>
      </c>
      <c r="AB566" s="6" t="s">
        <v>104</v>
      </c>
      <c r="AC566" s="6"/>
      <c r="AD566" s="13" t="str">
        <f aca="false">IF(AC566="","",IFERROR(INDEX('INDB Full Nutrients'!$D:$D,MATCH(AC566,'INDB Full Nutrients'!$A:$A,0)),""))</f>
        <v/>
      </c>
      <c r="AE566" s="6"/>
      <c r="AF566" s="6"/>
    </row>
    <row r="567" customFormat="false" ht="15" hidden="false" customHeight="false" outlineLevel="0" collapsed="false">
      <c r="A567" s="6" t="s">
        <v>2168</v>
      </c>
      <c r="B567" s="6" t="s">
        <v>2169</v>
      </c>
      <c r="C567" s="6" t="s">
        <v>2170</v>
      </c>
      <c r="D567" s="6" t="s">
        <v>62</v>
      </c>
      <c r="E567" s="6" t="s">
        <v>119</v>
      </c>
      <c r="F567" s="6" t="s">
        <v>100</v>
      </c>
      <c r="G567" s="6"/>
      <c r="H567" s="6" t="s">
        <v>748</v>
      </c>
      <c r="I567" s="6" t="s">
        <v>298</v>
      </c>
      <c r="J567" s="13" t="n">
        <f aca="false">4*K567+4*(L567-N567)+9*M567+2*N567</f>
        <v>145.8</v>
      </c>
      <c r="K567" s="14" t="n">
        <v>3.5</v>
      </c>
      <c r="L567" s="14" t="n">
        <v>24</v>
      </c>
      <c r="M567" s="14" t="n">
        <v>4</v>
      </c>
      <c r="N567" s="14" t="n">
        <v>0.1</v>
      </c>
      <c r="O567" s="14" t="n">
        <v>16</v>
      </c>
      <c r="P567" s="15" t="n">
        <v>45</v>
      </c>
      <c r="Q567" s="16" t="n">
        <v>100</v>
      </c>
      <c r="R567" s="16" t="n">
        <v>150</v>
      </c>
      <c r="S567" s="16" t="n">
        <v>200</v>
      </c>
      <c r="T567" s="6"/>
      <c r="U567" s="6"/>
      <c r="V567" s="13" t="n">
        <f aca="false">IF(Q567="","",J567*Q567/100)</f>
        <v>145.8</v>
      </c>
      <c r="W567" s="13" t="n">
        <f aca="false">IF(R567="","",J567*R567/100)</f>
        <v>218.7</v>
      </c>
      <c r="X567" s="13" t="n">
        <f aca="false">IF(S567="","",J567*S567/100)</f>
        <v>291.6</v>
      </c>
      <c r="Y567" s="13" t="str">
        <f aca="false">IF(T567="","",J567*T567/100)</f>
        <v/>
      </c>
      <c r="Z567" s="13" t="str">
        <f aca="false">IF(U567="","",J567*U567/100)</f>
        <v/>
      </c>
      <c r="AA567" s="6" t="s">
        <v>103</v>
      </c>
      <c r="AB567" s="6" t="s">
        <v>104</v>
      </c>
      <c r="AC567" s="6"/>
      <c r="AD567" s="13" t="str">
        <f aca="false">IF(AC567="","",IFERROR(INDEX('INDB Full Nutrients'!$D:$D,MATCH(AC567,'INDB Full Nutrients'!$A:$A,0)),""))</f>
        <v/>
      </c>
      <c r="AE567" s="6"/>
      <c r="AF567" s="6"/>
    </row>
    <row r="568" customFormat="false" ht="15" hidden="false" customHeight="false" outlineLevel="0" collapsed="false">
      <c r="A568" s="6" t="s">
        <v>2171</v>
      </c>
      <c r="B568" s="6" t="s">
        <v>2172</v>
      </c>
      <c r="C568" s="6" t="s">
        <v>2173</v>
      </c>
      <c r="D568" s="6" t="s">
        <v>62</v>
      </c>
      <c r="E568" s="6" t="s">
        <v>119</v>
      </c>
      <c r="F568" s="6" t="s">
        <v>100</v>
      </c>
      <c r="G568" s="6" t="s">
        <v>124</v>
      </c>
      <c r="H568" s="6" t="s">
        <v>748</v>
      </c>
      <c r="I568" s="6" t="s">
        <v>298</v>
      </c>
      <c r="J568" s="13" t="n">
        <f aca="false">4*K568+4*(L568-N568)+9*M568+2*N568</f>
        <v>196.6</v>
      </c>
      <c r="K568" s="14" t="n">
        <v>1.8</v>
      </c>
      <c r="L568" s="14" t="n">
        <v>32</v>
      </c>
      <c r="M568" s="14" t="n">
        <v>7</v>
      </c>
      <c r="N568" s="14" t="n">
        <v>0.8</v>
      </c>
      <c r="O568" s="14" t="n">
        <v>25</v>
      </c>
      <c r="P568" s="15" t="n">
        <v>20</v>
      </c>
      <c r="Q568" s="16" t="n">
        <v>100</v>
      </c>
      <c r="R568" s="16" t="n">
        <v>150</v>
      </c>
      <c r="S568" s="16" t="n">
        <v>200</v>
      </c>
      <c r="T568" s="6"/>
      <c r="U568" s="6"/>
      <c r="V568" s="13" t="n">
        <f aca="false">IF(Q568="","",J568*Q568/100)</f>
        <v>196.6</v>
      </c>
      <c r="W568" s="13" t="n">
        <f aca="false">IF(R568="","",J568*R568/100)</f>
        <v>294.9</v>
      </c>
      <c r="X568" s="13" t="n">
        <f aca="false">IF(S568="","",J568*S568/100)</f>
        <v>393.2</v>
      </c>
      <c r="Y568" s="13" t="str">
        <f aca="false">IF(T568="","",J568*T568/100)</f>
        <v/>
      </c>
      <c r="Z568" s="13" t="str">
        <f aca="false">IF(U568="","",J568*U568/100)</f>
        <v/>
      </c>
      <c r="AA568" s="6" t="s">
        <v>103</v>
      </c>
      <c r="AB568" s="6" t="s">
        <v>104</v>
      </c>
      <c r="AC568" s="6"/>
      <c r="AD568" s="13" t="str">
        <f aca="false">IF(AC568="","",IFERROR(INDEX('INDB Full Nutrients'!$D:$D,MATCH(AC568,'INDB Full Nutrients'!$A:$A,0)),""))</f>
        <v/>
      </c>
      <c r="AE568" s="6"/>
      <c r="AF568" s="6"/>
    </row>
    <row r="569" customFormat="false" ht="15" hidden="false" customHeight="false" outlineLevel="0" collapsed="false">
      <c r="A569" s="6" t="s">
        <v>2174</v>
      </c>
      <c r="B569" s="6" t="s">
        <v>2175</v>
      </c>
      <c r="C569" s="6" t="s">
        <v>2176</v>
      </c>
      <c r="D569" s="6" t="s">
        <v>62</v>
      </c>
      <c r="E569" s="6" t="s">
        <v>119</v>
      </c>
      <c r="F569" s="6" t="s">
        <v>100</v>
      </c>
      <c r="G569" s="6" t="s">
        <v>124</v>
      </c>
      <c r="H569" s="6" t="s">
        <v>748</v>
      </c>
      <c r="I569" s="6" t="s">
        <v>298</v>
      </c>
      <c r="J569" s="13" t="n">
        <f aca="false">4*K569+4*(L569-N569)+9*M569+2*N569</f>
        <v>183</v>
      </c>
      <c r="K569" s="14" t="n">
        <v>3</v>
      </c>
      <c r="L569" s="14" t="n">
        <v>30</v>
      </c>
      <c r="M569" s="14" t="n">
        <v>6</v>
      </c>
      <c r="N569" s="14" t="n">
        <v>1.5</v>
      </c>
      <c r="O569" s="14" t="n">
        <v>20</v>
      </c>
      <c r="P569" s="15" t="n">
        <v>20</v>
      </c>
      <c r="Q569" s="16" t="n">
        <v>100</v>
      </c>
      <c r="R569" s="16" t="n">
        <v>150</v>
      </c>
      <c r="S569" s="16" t="n">
        <v>200</v>
      </c>
      <c r="T569" s="6"/>
      <c r="U569" s="6"/>
      <c r="V569" s="13" t="n">
        <f aca="false">IF(Q569="","",J569*Q569/100)</f>
        <v>183</v>
      </c>
      <c r="W569" s="13" t="n">
        <f aca="false">IF(R569="","",J569*R569/100)</f>
        <v>274.5</v>
      </c>
      <c r="X569" s="13" t="n">
        <f aca="false">IF(S569="","",J569*S569/100)</f>
        <v>366</v>
      </c>
      <c r="Y569" s="13" t="str">
        <f aca="false">IF(T569="","",J569*T569/100)</f>
        <v/>
      </c>
      <c r="Z569" s="13" t="str">
        <f aca="false">IF(U569="","",J569*U569/100)</f>
        <v/>
      </c>
      <c r="AA569" s="6" t="s">
        <v>103</v>
      </c>
      <c r="AB569" s="6" t="s">
        <v>104</v>
      </c>
      <c r="AC569" s="6"/>
      <c r="AD569" s="13" t="str">
        <f aca="false">IF(AC569="","",IFERROR(INDEX('INDB Full Nutrients'!$D:$D,MATCH(AC569,'INDB Full Nutrients'!$A:$A,0)),""))</f>
        <v/>
      </c>
      <c r="AE569" s="6"/>
      <c r="AF569" s="6"/>
    </row>
    <row r="570" customFormat="false" ht="15" hidden="false" customHeight="false" outlineLevel="0" collapsed="false">
      <c r="A570" s="6" t="s">
        <v>2177</v>
      </c>
      <c r="B570" s="6" t="s">
        <v>2178</v>
      </c>
      <c r="C570" s="6" t="s">
        <v>2179</v>
      </c>
      <c r="D570" s="6" t="s">
        <v>62</v>
      </c>
      <c r="E570" s="6" t="s">
        <v>114</v>
      </c>
      <c r="F570" s="6" t="s">
        <v>100</v>
      </c>
      <c r="G570" s="6"/>
      <c r="H570" s="6" t="s">
        <v>748</v>
      </c>
      <c r="I570" s="6" t="s">
        <v>298</v>
      </c>
      <c r="J570" s="13" t="n">
        <f aca="false">4*K570+4*(L570-N570)+9*M570+2*N570</f>
        <v>131.3</v>
      </c>
      <c r="K570" s="14" t="n">
        <v>3</v>
      </c>
      <c r="L570" s="14" t="n">
        <v>22</v>
      </c>
      <c r="M570" s="14" t="n">
        <v>3.5</v>
      </c>
      <c r="N570" s="14" t="n">
        <v>0.1</v>
      </c>
      <c r="O570" s="14" t="n">
        <v>13</v>
      </c>
      <c r="P570" s="15" t="n">
        <v>45</v>
      </c>
      <c r="Q570" s="16" t="n">
        <v>100</v>
      </c>
      <c r="R570" s="16" t="n">
        <v>150</v>
      </c>
      <c r="S570" s="16" t="n">
        <v>200</v>
      </c>
      <c r="T570" s="6"/>
      <c r="U570" s="6"/>
      <c r="V570" s="13" t="n">
        <f aca="false">IF(Q570="","",J570*Q570/100)</f>
        <v>131.3</v>
      </c>
      <c r="W570" s="13" t="n">
        <f aca="false">IF(R570="","",J570*R570/100)</f>
        <v>196.95</v>
      </c>
      <c r="X570" s="13" t="n">
        <f aca="false">IF(S570="","",J570*S570/100)</f>
        <v>262.6</v>
      </c>
      <c r="Y570" s="13" t="str">
        <f aca="false">IF(T570="","",J570*T570/100)</f>
        <v/>
      </c>
      <c r="Z570" s="13" t="str">
        <f aca="false">IF(U570="","",J570*U570/100)</f>
        <v/>
      </c>
      <c r="AA570" s="6" t="s">
        <v>103</v>
      </c>
      <c r="AB570" s="6" t="s">
        <v>104</v>
      </c>
      <c r="AC570" s="6"/>
      <c r="AD570" s="13" t="str">
        <f aca="false">IF(AC570="","",IFERROR(INDEX('INDB Full Nutrients'!$D:$D,MATCH(AC570,'INDB Full Nutrients'!$A:$A,0)),""))</f>
        <v/>
      </c>
      <c r="AE570" s="6"/>
      <c r="AF570" s="6"/>
    </row>
    <row r="571" customFormat="false" ht="15" hidden="false" customHeight="false" outlineLevel="0" collapsed="false">
      <c r="A571" s="6" t="s">
        <v>2180</v>
      </c>
      <c r="B571" s="6" t="s">
        <v>2181</v>
      </c>
      <c r="C571" s="6" t="s">
        <v>2182</v>
      </c>
      <c r="D571" s="6" t="s">
        <v>62</v>
      </c>
      <c r="E571" s="6" t="s">
        <v>161</v>
      </c>
      <c r="F571" s="6" t="s">
        <v>100</v>
      </c>
      <c r="G571" s="6"/>
      <c r="H571" s="6" t="s">
        <v>748</v>
      </c>
      <c r="I571" s="6" t="s">
        <v>298</v>
      </c>
      <c r="J571" s="13" t="n">
        <f aca="false">4*K571+4*(L571-N571)+9*M571+2*N571</f>
        <v>242</v>
      </c>
      <c r="K571" s="14" t="n">
        <v>6.5</v>
      </c>
      <c r="L571" s="14" t="n">
        <v>27</v>
      </c>
      <c r="M571" s="14" t="n">
        <v>12</v>
      </c>
      <c r="N571" s="14" t="n">
        <v>0</v>
      </c>
      <c r="O571" s="14" t="n">
        <v>25</v>
      </c>
      <c r="P571" s="15" t="n">
        <v>70</v>
      </c>
      <c r="Q571" s="16" t="n">
        <v>50</v>
      </c>
      <c r="R571" s="16" t="n">
        <v>100</v>
      </c>
      <c r="S571" s="16" t="n">
        <v>150</v>
      </c>
      <c r="T571" s="6"/>
      <c r="U571" s="6"/>
      <c r="V571" s="13" t="n">
        <f aca="false">IF(Q571="","",J571*Q571/100)</f>
        <v>121</v>
      </c>
      <c r="W571" s="13" t="n">
        <f aca="false">IF(R571="","",J571*R571/100)</f>
        <v>242</v>
      </c>
      <c r="X571" s="13" t="n">
        <f aca="false">IF(S571="","",J571*S571/100)</f>
        <v>363</v>
      </c>
      <c r="Y571" s="13" t="str">
        <f aca="false">IF(T571="","",J571*T571/100)</f>
        <v/>
      </c>
      <c r="Z571" s="13" t="str">
        <f aca="false">IF(U571="","",J571*U571/100)</f>
        <v/>
      </c>
      <c r="AA571" s="6" t="s">
        <v>103</v>
      </c>
      <c r="AB571" s="6" t="s">
        <v>104</v>
      </c>
      <c r="AC571" s="6" t="s">
        <v>2183</v>
      </c>
      <c r="AD571" s="13" t="n">
        <f aca="false">IF(AC571="","",IFERROR(INDEX('INDB Full Nutrients'!$D:$D,MATCH(AC571,'INDB Full Nutrients'!$A:$A,0)),""))</f>
        <v>102.794555664063</v>
      </c>
      <c r="AE571" s="6" t="s">
        <v>2184</v>
      </c>
      <c r="AF571" s="6"/>
    </row>
    <row r="572" customFormat="false" ht="15" hidden="false" customHeight="false" outlineLevel="0" collapsed="false">
      <c r="A572" s="6" t="s">
        <v>2185</v>
      </c>
      <c r="B572" s="6" t="s">
        <v>2186</v>
      </c>
      <c r="C572" s="6"/>
      <c r="D572" s="6" t="s">
        <v>62</v>
      </c>
      <c r="E572" s="6" t="s">
        <v>114</v>
      </c>
      <c r="F572" s="6" t="s">
        <v>100</v>
      </c>
      <c r="G572" s="6"/>
      <c r="H572" s="6" t="s">
        <v>748</v>
      </c>
      <c r="I572" s="6" t="s">
        <v>298</v>
      </c>
      <c r="J572" s="13" t="n">
        <f aca="false">4*K572+4*(L572-N572)+9*M572+2*N572</f>
        <v>193</v>
      </c>
      <c r="K572" s="14" t="n">
        <v>6</v>
      </c>
      <c r="L572" s="14" t="n">
        <v>22</v>
      </c>
      <c r="M572" s="14" t="n">
        <v>9</v>
      </c>
      <c r="N572" s="14" t="n">
        <v>0</v>
      </c>
      <c r="O572" s="14" t="n">
        <v>20</v>
      </c>
      <c r="P572" s="15" t="n">
        <v>60</v>
      </c>
      <c r="Q572" s="16" t="n">
        <v>50</v>
      </c>
      <c r="R572" s="16" t="n">
        <v>100</v>
      </c>
      <c r="S572" s="16" t="n">
        <v>150</v>
      </c>
      <c r="T572" s="6"/>
      <c r="U572" s="6"/>
      <c r="V572" s="13" t="n">
        <f aca="false">IF(Q572="","",J572*Q572/100)</f>
        <v>96.5</v>
      </c>
      <c r="W572" s="13" t="n">
        <f aca="false">IF(R572="","",J572*R572/100)</f>
        <v>193</v>
      </c>
      <c r="X572" s="13" t="n">
        <f aca="false">IF(S572="","",J572*S572/100)</f>
        <v>289.5</v>
      </c>
      <c r="Y572" s="13" t="str">
        <f aca="false">IF(T572="","",J572*T572/100)</f>
        <v/>
      </c>
      <c r="Z572" s="13" t="str">
        <f aca="false">IF(U572="","",J572*U572/100)</f>
        <v/>
      </c>
      <c r="AA572" s="6" t="s">
        <v>103</v>
      </c>
      <c r="AB572" s="6" t="s">
        <v>104</v>
      </c>
      <c r="AC572" s="6"/>
      <c r="AD572" s="13" t="str">
        <f aca="false">IF(AC572="","",IFERROR(INDEX('INDB Full Nutrients'!$D:$D,MATCH(AC572,'INDB Full Nutrients'!$A:$A,0)),""))</f>
        <v/>
      </c>
      <c r="AE572" s="6"/>
      <c r="AF572" s="6"/>
    </row>
    <row r="573" customFormat="false" ht="15" hidden="false" customHeight="false" outlineLevel="0" collapsed="false">
      <c r="A573" s="6" t="s">
        <v>2187</v>
      </c>
      <c r="B573" s="6" t="s">
        <v>2188</v>
      </c>
      <c r="C573" s="6"/>
      <c r="D573" s="6" t="s">
        <v>62</v>
      </c>
      <c r="E573" s="6" t="s">
        <v>114</v>
      </c>
      <c r="F573" s="6" t="s">
        <v>100</v>
      </c>
      <c r="G573" s="6"/>
      <c r="H573" s="6" t="s">
        <v>748</v>
      </c>
      <c r="I573" s="6" t="s">
        <v>298</v>
      </c>
      <c r="J573" s="13" t="n">
        <f aca="false">4*K573+4*(L573-N573)+9*M573+2*N573</f>
        <v>252.5</v>
      </c>
      <c r="K573" s="14" t="n">
        <v>6</v>
      </c>
      <c r="L573" s="14" t="n">
        <v>38</v>
      </c>
      <c r="M573" s="14" t="n">
        <v>8.5</v>
      </c>
      <c r="N573" s="14" t="n">
        <v>0</v>
      </c>
      <c r="O573" s="14" t="n">
        <v>36</v>
      </c>
      <c r="P573" s="15" t="n">
        <v>40</v>
      </c>
      <c r="Q573" s="16" t="n">
        <v>50</v>
      </c>
      <c r="R573" s="16" t="n">
        <v>100</v>
      </c>
      <c r="S573" s="16" t="n">
        <v>150</v>
      </c>
      <c r="T573" s="6"/>
      <c r="U573" s="6"/>
      <c r="V573" s="13" t="n">
        <f aca="false">IF(Q573="","",J573*Q573/100)</f>
        <v>126.25</v>
      </c>
      <c r="W573" s="13" t="n">
        <f aca="false">IF(R573="","",J573*R573/100)</f>
        <v>252.5</v>
      </c>
      <c r="X573" s="13" t="n">
        <f aca="false">IF(S573="","",J573*S573/100)</f>
        <v>378.75</v>
      </c>
      <c r="Y573" s="13" t="str">
        <f aca="false">IF(T573="","",J573*T573/100)</f>
        <v/>
      </c>
      <c r="Z573" s="13" t="str">
        <f aca="false">IF(U573="","",J573*U573/100)</f>
        <v/>
      </c>
      <c r="AA573" s="6" t="s">
        <v>103</v>
      </c>
      <c r="AB573" s="6" t="s">
        <v>104</v>
      </c>
      <c r="AC573" s="6" t="s">
        <v>2189</v>
      </c>
      <c r="AD573" s="13" t="n">
        <f aca="false">IF(AC573="","",IFERROR(INDEX('INDB Full Nutrients'!$D:$D,MATCH(AC573,'INDB Full Nutrients'!$A:$A,0)),""))</f>
        <v>107.177024841309</v>
      </c>
      <c r="AE573" s="6" t="s">
        <v>2190</v>
      </c>
      <c r="AF573" s="6"/>
    </row>
    <row r="574" customFormat="false" ht="15" hidden="false" customHeight="false" outlineLevel="0" collapsed="false">
      <c r="A574" s="6" t="s">
        <v>2191</v>
      </c>
      <c r="B574" s="6" t="s">
        <v>2192</v>
      </c>
      <c r="C574" s="6"/>
      <c r="D574" s="6" t="s">
        <v>62</v>
      </c>
      <c r="E574" s="6" t="s">
        <v>161</v>
      </c>
      <c r="F574" s="6" t="s">
        <v>100</v>
      </c>
      <c r="G574" s="6"/>
      <c r="H574" s="6" t="s">
        <v>748</v>
      </c>
      <c r="I574" s="6" t="s">
        <v>298</v>
      </c>
      <c r="J574" s="13" t="n">
        <f aca="false">4*K574+4*(L574-N574)+9*M574+2*N574</f>
        <v>215</v>
      </c>
      <c r="K574" s="14" t="n">
        <v>5</v>
      </c>
      <c r="L574" s="14" t="n">
        <v>24</v>
      </c>
      <c r="M574" s="14" t="n">
        <v>11</v>
      </c>
      <c r="N574" s="14" t="n">
        <v>0</v>
      </c>
      <c r="O574" s="14" t="n">
        <v>20</v>
      </c>
      <c r="P574" s="15" t="n">
        <v>60</v>
      </c>
      <c r="Q574" s="16" t="n">
        <v>50</v>
      </c>
      <c r="R574" s="16" t="n">
        <v>70</v>
      </c>
      <c r="S574" s="16" t="n">
        <v>100</v>
      </c>
      <c r="T574" s="6"/>
      <c r="U574" s="6"/>
      <c r="V574" s="13" t="n">
        <f aca="false">IF(Q574="","",J574*Q574/100)</f>
        <v>107.5</v>
      </c>
      <c r="W574" s="13" t="n">
        <f aca="false">IF(R574="","",J574*R574/100)</f>
        <v>150.5</v>
      </c>
      <c r="X574" s="13" t="n">
        <f aca="false">IF(S574="","",J574*S574/100)</f>
        <v>215</v>
      </c>
      <c r="Y574" s="13" t="str">
        <f aca="false">IF(T574="","",J574*T574/100)</f>
        <v/>
      </c>
      <c r="Z574" s="13" t="str">
        <f aca="false">IF(U574="","",J574*U574/100)</f>
        <v/>
      </c>
      <c r="AA574" s="6" t="s">
        <v>103</v>
      </c>
      <c r="AB574" s="6" t="s">
        <v>104</v>
      </c>
      <c r="AC574" s="6" t="s">
        <v>2193</v>
      </c>
      <c r="AD574" s="13" t="n">
        <f aca="false">IF(AC574="","",IFERROR(INDEX('INDB Full Nutrients'!$D:$D,MATCH(AC574,'INDB Full Nutrients'!$A:$A,0)),""))</f>
        <v>98.4265060424805</v>
      </c>
      <c r="AE574" s="6" t="s">
        <v>2194</v>
      </c>
      <c r="AF574" s="6"/>
    </row>
    <row r="575" customFormat="false" ht="15" hidden="false" customHeight="false" outlineLevel="0" collapsed="false">
      <c r="A575" s="6" t="s">
        <v>2195</v>
      </c>
      <c r="B575" s="6" t="s">
        <v>2196</v>
      </c>
      <c r="C575" s="6"/>
      <c r="D575" s="6" t="s">
        <v>62</v>
      </c>
      <c r="E575" s="6" t="s">
        <v>99</v>
      </c>
      <c r="F575" s="6" t="s">
        <v>100</v>
      </c>
      <c r="G575" s="6"/>
      <c r="H575" s="6" t="s">
        <v>748</v>
      </c>
      <c r="I575" s="6" t="s">
        <v>298</v>
      </c>
      <c r="J575" s="13" t="n">
        <f aca="false">4*K575+4*(L575-N575)+9*M575+2*N575</f>
        <v>209</v>
      </c>
      <c r="K575" s="14" t="n">
        <v>3.5</v>
      </c>
      <c r="L575" s="14" t="n">
        <v>24</v>
      </c>
      <c r="M575" s="14" t="n">
        <v>11</v>
      </c>
      <c r="N575" s="14" t="n">
        <v>0</v>
      </c>
      <c r="O575" s="14" t="n">
        <v>21</v>
      </c>
      <c r="P575" s="15" t="n">
        <v>80</v>
      </c>
      <c r="Q575" s="16" t="n">
        <v>50</v>
      </c>
      <c r="R575" s="16" t="n">
        <v>75</v>
      </c>
      <c r="S575" s="16" t="n">
        <v>100</v>
      </c>
      <c r="T575" s="6"/>
      <c r="U575" s="6"/>
      <c r="V575" s="13" t="n">
        <f aca="false">IF(Q575="","",J575*Q575/100)</f>
        <v>104.5</v>
      </c>
      <c r="W575" s="13" t="n">
        <f aca="false">IF(R575="","",J575*R575/100)</f>
        <v>156.75</v>
      </c>
      <c r="X575" s="13" t="n">
        <f aca="false">IF(S575="","",J575*S575/100)</f>
        <v>209</v>
      </c>
      <c r="Y575" s="13" t="str">
        <f aca="false">IF(T575="","",J575*T575/100)</f>
        <v/>
      </c>
      <c r="Z575" s="13" t="str">
        <f aca="false">IF(U575="","",J575*U575/100)</f>
        <v/>
      </c>
      <c r="AA575" s="6" t="s">
        <v>125</v>
      </c>
      <c r="AB575" s="6" t="s">
        <v>147</v>
      </c>
      <c r="AC575" s="6" t="s">
        <v>2197</v>
      </c>
      <c r="AD575" s="13" t="n">
        <f aca="false">IF(AC575="","",IFERROR(INDEX('INDB Full Nutrients'!$D:$D,MATCH(AC575,'INDB Full Nutrients'!$A:$A,0)),""))</f>
        <v>228.672760009766</v>
      </c>
      <c r="AE575" s="6" t="s">
        <v>2198</v>
      </c>
      <c r="AF575" s="6"/>
    </row>
    <row r="576" customFormat="false" ht="15" hidden="false" customHeight="false" outlineLevel="0" collapsed="false">
      <c r="A576" s="6" t="s">
        <v>2199</v>
      </c>
      <c r="B576" s="6" t="s">
        <v>2200</v>
      </c>
      <c r="C576" s="6"/>
      <c r="D576" s="6" t="s">
        <v>62</v>
      </c>
      <c r="E576" s="6" t="s">
        <v>99</v>
      </c>
      <c r="F576" s="6" t="s">
        <v>100</v>
      </c>
      <c r="G576" s="6"/>
      <c r="H576" s="6" t="s">
        <v>748</v>
      </c>
      <c r="I576" s="6" t="s">
        <v>298</v>
      </c>
      <c r="J576" s="13" t="n">
        <f aca="false">4*K576+4*(L576-N576)+9*M576+2*N576</f>
        <v>109.4</v>
      </c>
      <c r="K576" s="14" t="n">
        <v>3</v>
      </c>
      <c r="L576" s="14" t="n">
        <v>18</v>
      </c>
      <c r="M576" s="14" t="n">
        <v>3</v>
      </c>
      <c r="N576" s="14" t="n">
        <v>0.8</v>
      </c>
      <c r="O576" s="14" t="n">
        <v>14</v>
      </c>
      <c r="P576" s="15" t="n">
        <v>45</v>
      </c>
      <c r="Q576" s="16" t="n">
        <v>100</v>
      </c>
      <c r="R576" s="16" t="n">
        <v>150</v>
      </c>
      <c r="S576" s="16" t="n">
        <v>200</v>
      </c>
      <c r="T576" s="6"/>
      <c r="U576" s="6"/>
      <c r="V576" s="13" t="n">
        <f aca="false">IF(Q576="","",J576*Q576/100)</f>
        <v>109.4</v>
      </c>
      <c r="W576" s="13" t="n">
        <f aca="false">IF(R576="","",J576*R576/100)</f>
        <v>164.1</v>
      </c>
      <c r="X576" s="13" t="n">
        <f aca="false">IF(S576="","",J576*S576/100)</f>
        <v>218.8</v>
      </c>
      <c r="Y576" s="13" t="str">
        <f aca="false">IF(T576="","",J576*T576/100)</f>
        <v/>
      </c>
      <c r="Z576" s="13" t="str">
        <f aca="false">IF(U576="","",J576*U576/100)</f>
        <v/>
      </c>
      <c r="AA576" s="6" t="s">
        <v>103</v>
      </c>
      <c r="AB576" s="6" t="s">
        <v>104</v>
      </c>
      <c r="AC576" s="6"/>
      <c r="AD576" s="13" t="str">
        <f aca="false">IF(AC576="","",IFERROR(INDEX('INDB Full Nutrients'!$D:$D,MATCH(AC576,'INDB Full Nutrients'!$A:$A,0)),""))</f>
        <v/>
      </c>
      <c r="AE576" s="6"/>
      <c r="AF576" s="6"/>
    </row>
    <row r="577" customFormat="false" ht="15" hidden="false" customHeight="false" outlineLevel="0" collapsed="false">
      <c r="A577" s="6" t="s">
        <v>2201</v>
      </c>
      <c r="B577" s="6" t="s">
        <v>2202</v>
      </c>
      <c r="C577" s="6"/>
      <c r="D577" s="6" t="s">
        <v>62</v>
      </c>
      <c r="E577" s="6" t="s">
        <v>99</v>
      </c>
      <c r="F577" s="6" t="s">
        <v>537</v>
      </c>
      <c r="G577" s="6"/>
      <c r="H577" s="6" t="s">
        <v>748</v>
      </c>
      <c r="I577" s="6" t="s">
        <v>298</v>
      </c>
      <c r="J577" s="13" t="n">
        <f aca="false">4*K577+4*(L577-N577)+9*M577+2*N577</f>
        <v>134</v>
      </c>
      <c r="K577" s="14" t="n">
        <v>4.5</v>
      </c>
      <c r="L577" s="14" t="n">
        <v>20</v>
      </c>
      <c r="M577" s="14" t="n">
        <v>4</v>
      </c>
      <c r="N577" s="14" t="n">
        <v>0</v>
      </c>
      <c r="O577" s="14" t="n">
        <v>18</v>
      </c>
      <c r="P577" s="15" t="n">
        <v>60</v>
      </c>
      <c r="Q577" s="16" t="n">
        <v>100</v>
      </c>
      <c r="R577" s="16" t="n">
        <v>150</v>
      </c>
      <c r="S577" s="16" t="n">
        <v>200</v>
      </c>
      <c r="T577" s="6"/>
      <c r="U577" s="6"/>
      <c r="V577" s="13" t="n">
        <f aca="false">IF(Q577="","",J577*Q577/100)</f>
        <v>134</v>
      </c>
      <c r="W577" s="13" t="n">
        <f aca="false">IF(R577="","",J577*R577/100)</f>
        <v>201</v>
      </c>
      <c r="X577" s="13" t="n">
        <f aca="false">IF(S577="","",J577*S577/100)</f>
        <v>268</v>
      </c>
      <c r="Y577" s="13" t="str">
        <f aca="false">IF(T577="","",J577*T577/100)</f>
        <v/>
      </c>
      <c r="Z577" s="13" t="str">
        <f aca="false">IF(U577="","",J577*U577/100)</f>
        <v/>
      </c>
      <c r="AA577" s="6" t="s">
        <v>125</v>
      </c>
      <c r="AB577" s="6" t="s">
        <v>147</v>
      </c>
      <c r="AC577" s="6" t="s">
        <v>2203</v>
      </c>
      <c r="AD577" s="13" t="n">
        <f aca="false">IF(AC577="","",IFERROR(INDEX('INDB Full Nutrients'!$D:$D,MATCH(AC577,'INDB Full Nutrients'!$A:$A,0)),""))</f>
        <v>121.57780456543</v>
      </c>
      <c r="AE577" s="6" t="s">
        <v>2204</v>
      </c>
      <c r="AF577" s="6"/>
    </row>
    <row r="578" customFormat="false" ht="15" hidden="false" customHeight="false" outlineLevel="0" collapsed="false">
      <c r="A578" s="6" t="s">
        <v>2205</v>
      </c>
      <c r="B578" s="6" t="s">
        <v>2206</v>
      </c>
      <c r="C578" s="6" t="s">
        <v>2207</v>
      </c>
      <c r="D578" s="6" t="s">
        <v>63</v>
      </c>
      <c r="E578" s="6" t="s">
        <v>99</v>
      </c>
      <c r="F578" s="6" t="s">
        <v>100</v>
      </c>
      <c r="G578" s="6"/>
      <c r="H578" s="6" t="s">
        <v>2208</v>
      </c>
      <c r="I578" s="6" t="s">
        <v>298</v>
      </c>
      <c r="J578" s="13" t="n">
        <f aca="false">4*K578+4*(L578-N578)+9*M578+2*N578</f>
        <v>898.2</v>
      </c>
      <c r="K578" s="14" t="n">
        <v>0</v>
      </c>
      <c r="L578" s="14" t="n">
        <v>0</v>
      </c>
      <c r="M578" s="14" t="n">
        <v>99.8</v>
      </c>
      <c r="N578" s="14" t="n">
        <v>0</v>
      </c>
      <c r="O578" s="14" t="n">
        <v>0</v>
      </c>
      <c r="P578" s="15" t="n">
        <v>2</v>
      </c>
      <c r="Q578" s="16" t="n">
        <v>5</v>
      </c>
      <c r="R578" s="16" t="n">
        <v>10</v>
      </c>
      <c r="S578" s="16" t="n">
        <v>15</v>
      </c>
      <c r="T578" s="6"/>
      <c r="U578" s="6"/>
      <c r="V578" s="13" t="n">
        <f aca="false">IF(Q578="","",J578*Q578/100)</f>
        <v>44.91</v>
      </c>
      <c r="W578" s="13" t="n">
        <f aca="false">IF(R578="","",J578*R578/100)</f>
        <v>89.82</v>
      </c>
      <c r="X578" s="13" t="n">
        <f aca="false">IF(S578="","",J578*S578/100)</f>
        <v>134.73</v>
      </c>
      <c r="Y578" s="13" t="str">
        <f aca="false">IF(T578="","",J578*T578/100)</f>
        <v/>
      </c>
      <c r="Z578" s="13" t="str">
        <f aca="false">IF(U578="","",J578*U578/100)</f>
        <v/>
      </c>
      <c r="AA578" s="6" t="s">
        <v>125</v>
      </c>
      <c r="AB578" s="6" t="s">
        <v>126</v>
      </c>
      <c r="AC578" s="6"/>
      <c r="AD578" s="13" t="str">
        <f aca="false">IF(AC578="","",IFERROR(INDEX('INDB Full Nutrients'!$D:$D,MATCH(AC578,'INDB Full Nutrients'!$A:$A,0)),""))</f>
        <v/>
      </c>
      <c r="AE578" s="6"/>
      <c r="AF578" s="6"/>
    </row>
    <row r="579" customFormat="false" ht="15" hidden="false" customHeight="false" outlineLevel="0" collapsed="false">
      <c r="A579" s="6" t="s">
        <v>2209</v>
      </c>
      <c r="B579" s="6" t="s">
        <v>2210</v>
      </c>
      <c r="C579" s="6" t="s">
        <v>2211</v>
      </c>
      <c r="D579" s="6" t="s">
        <v>63</v>
      </c>
      <c r="E579" s="6" t="s">
        <v>99</v>
      </c>
      <c r="F579" s="6" t="s">
        <v>100</v>
      </c>
      <c r="G579" s="6" t="s">
        <v>124</v>
      </c>
      <c r="H579" s="6" t="s">
        <v>2208</v>
      </c>
      <c r="I579" s="6" t="s">
        <v>298</v>
      </c>
      <c r="J579" s="13" t="n">
        <f aca="false">4*K579+4*(L579-N579)+9*M579+2*N579</f>
        <v>900</v>
      </c>
      <c r="K579" s="14" t="n">
        <v>0</v>
      </c>
      <c r="L579" s="14" t="n">
        <v>0</v>
      </c>
      <c r="M579" s="14" t="n">
        <v>100</v>
      </c>
      <c r="N579" s="14" t="n">
        <v>0</v>
      </c>
      <c r="O579" s="14" t="n">
        <v>0</v>
      </c>
      <c r="P579" s="15" t="n">
        <v>0</v>
      </c>
      <c r="Q579" s="16" t="n">
        <v>5</v>
      </c>
      <c r="R579" s="16" t="n">
        <v>10</v>
      </c>
      <c r="S579" s="16" t="n">
        <v>15</v>
      </c>
      <c r="T579" s="6"/>
      <c r="U579" s="6"/>
      <c r="V579" s="13" t="n">
        <f aca="false">IF(Q579="","",J579*Q579/100)</f>
        <v>45</v>
      </c>
      <c r="W579" s="13" t="n">
        <f aca="false">IF(R579="","",J579*R579/100)</f>
        <v>90</v>
      </c>
      <c r="X579" s="13" t="n">
        <f aca="false">IF(S579="","",J579*S579/100)</f>
        <v>135</v>
      </c>
      <c r="Y579" s="13" t="str">
        <f aca="false">IF(T579="","",J579*T579/100)</f>
        <v/>
      </c>
      <c r="Z579" s="13" t="str">
        <f aca="false">IF(U579="","",J579*U579/100)</f>
        <v/>
      </c>
      <c r="AA579" s="6" t="s">
        <v>125</v>
      </c>
      <c r="AB579" s="6" t="s">
        <v>126</v>
      </c>
      <c r="AC579" s="6"/>
      <c r="AD579" s="13" t="str">
        <f aca="false">IF(AC579="","",IFERROR(INDEX('INDB Full Nutrients'!$D:$D,MATCH(AC579,'INDB Full Nutrients'!$A:$A,0)),""))</f>
        <v/>
      </c>
      <c r="AE579" s="6"/>
      <c r="AF579" s="6"/>
    </row>
    <row r="580" customFormat="false" ht="15" hidden="false" customHeight="false" outlineLevel="0" collapsed="false">
      <c r="A580" s="6" t="s">
        <v>2212</v>
      </c>
      <c r="B580" s="6" t="s">
        <v>2213</v>
      </c>
      <c r="C580" s="6" t="s">
        <v>2214</v>
      </c>
      <c r="D580" s="6" t="s">
        <v>63</v>
      </c>
      <c r="E580" s="6" t="s">
        <v>99</v>
      </c>
      <c r="F580" s="6" t="s">
        <v>100</v>
      </c>
      <c r="G580" s="6"/>
      <c r="H580" s="6" t="s">
        <v>2208</v>
      </c>
      <c r="I580" s="6" t="s">
        <v>298</v>
      </c>
      <c r="J580" s="13" t="n">
        <f aca="false">4*K580+4*(L580-N580)+9*M580+2*N580</f>
        <v>733</v>
      </c>
      <c r="K580" s="14" t="n">
        <v>0.9</v>
      </c>
      <c r="L580" s="14" t="n">
        <v>0.1</v>
      </c>
      <c r="M580" s="14" t="n">
        <v>81</v>
      </c>
      <c r="N580" s="14" t="n">
        <v>0</v>
      </c>
      <c r="O580" s="14" t="n">
        <v>0.1</v>
      </c>
      <c r="P580" s="15" t="n">
        <v>580</v>
      </c>
      <c r="Q580" s="16" t="n">
        <v>5</v>
      </c>
      <c r="R580" s="16" t="n">
        <v>10</v>
      </c>
      <c r="S580" s="16" t="n">
        <v>15</v>
      </c>
      <c r="T580" s="6"/>
      <c r="U580" s="6"/>
      <c r="V580" s="13" t="n">
        <f aca="false">IF(Q580="","",J580*Q580/100)</f>
        <v>36.65</v>
      </c>
      <c r="W580" s="13" t="n">
        <f aca="false">IF(R580="","",J580*R580/100)</f>
        <v>73.3</v>
      </c>
      <c r="X580" s="13" t="n">
        <f aca="false">IF(S580="","",J580*S580/100)</f>
        <v>109.95</v>
      </c>
      <c r="Y580" s="13" t="str">
        <f aca="false">IF(T580="","",J580*T580/100)</f>
        <v/>
      </c>
      <c r="Z580" s="13" t="str">
        <f aca="false">IF(U580="","",J580*U580/100)</f>
        <v/>
      </c>
      <c r="AA580" s="6" t="s">
        <v>125</v>
      </c>
      <c r="AB580" s="6" t="s">
        <v>126</v>
      </c>
      <c r="AC580" s="6"/>
      <c r="AD580" s="13" t="str">
        <f aca="false">IF(AC580="","",IFERROR(INDEX('INDB Full Nutrients'!$D:$D,MATCH(AC580,'INDB Full Nutrients'!$A:$A,0)),""))</f>
        <v/>
      </c>
      <c r="AE580" s="6"/>
      <c r="AF580" s="6"/>
    </row>
    <row r="581" customFormat="false" ht="15" hidden="false" customHeight="false" outlineLevel="0" collapsed="false">
      <c r="A581" s="6" t="s">
        <v>2215</v>
      </c>
      <c r="B581" s="6" t="s">
        <v>2216</v>
      </c>
      <c r="C581" s="6" t="s">
        <v>2217</v>
      </c>
      <c r="D581" s="6" t="s">
        <v>63</v>
      </c>
      <c r="E581" s="6" t="s">
        <v>99</v>
      </c>
      <c r="F581" s="6" t="s">
        <v>100</v>
      </c>
      <c r="G581" s="6" t="s">
        <v>124</v>
      </c>
      <c r="H581" s="6" t="s">
        <v>2208</v>
      </c>
      <c r="I581" s="6" t="s">
        <v>298</v>
      </c>
      <c r="J581" s="13" t="n">
        <f aca="false">4*K581+4*(L581-N581)+9*M581+2*N581</f>
        <v>400</v>
      </c>
      <c r="K581" s="14" t="n">
        <v>0</v>
      </c>
      <c r="L581" s="14" t="n">
        <v>100</v>
      </c>
      <c r="M581" s="14" t="n">
        <v>0</v>
      </c>
      <c r="N581" s="14" t="n">
        <v>0</v>
      </c>
      <c r="O581" s="14" t="n">
        <v>100</v>
      </c>
      <c r="P581" s="15" t="n">
        <v>1</v>
      </c>
      <c r="Q581" s="16" t="n">
        <v>5</v>
      </c>
      <c r="R581" s="16" t="n">
        <v>10</v>
      </c>
      <c r="S581" s="16" t="n">
        <v>15</v>
      </c>
      <c r="T581" s="6"/>
      <c r="U581" s="6"/>
      <c r="V581" s="13" t="n">
        <f aca="false">IF(Q581="","",J581*Q581/100)</f>
        <v>20</v>
      </c>
      <c r="W581" s="13" t="n">
        <f aca="false">IF(R581="","",J581*R581/100)</f>
        <v>40</v>
      </c>
      <c r="X581" s="13" t="n">
        <f aca="false">IF(S581="","",J581*S581/100)</f>
        <v>60</v>
      </c>
      <c r="Y581" s="13" t="str">
        <f aca="false">IF(T581="","",J581*T581/100)</f>
        <v/>
      </c>
      <c r="Z581" s="13" t="str">
        <f aca="false">IF(U581="","",J581*U581/100)</f>
        <v/>
      </c>
      <c r="AA581" s="6" t="s">
        <v>125</v>
      </c>
      <c r="AB581" s="6" t="s">
        <v>126</v>
      </c>
      <c r="AC581" s="6"/>
      <c r="AD581" s="13" t="str">
        <f aca="false">IF(AC581="","",IFERROR(INDEX('INDB Full Nutrients'!$D:$D,MATCH(AC581,'INDB Full Nutrients'!$A:$A,0)),""))</f>
        <v/>
      </c>
      <c r="AE581" s="6"/>
      <c r="AF581" s="6" t="s">
        <v>2218</v>
      </c>
    </row>
    <row r="582" customFormat="false" ht="15" hidden="false" customHeight="false" outlineLevel="0" collapsed="false">
      <c r="A582" s="6" t="s">
        <v>2219</v>
      </c>
      <c r="B582" s="6" t="s">
        <v>2220</v>
      </c>
      <c r="C582" s="6" t="s">
        <v>2221</v>
      </c>
      <c r="D582" s="6" t="s">
        <v>63</v>
      </c>
      <c r="E582" s="6" t="s">
        <v>99</v>
      </c>
      <c r="F582" s="6" t="s">
        <v>100</v>
      </c>
      <c r="G582" s="6" t="s">
        <v>124</v>
      </c>
      <c r="H582" s="6" t="s">
        <v>2208</v>
      </c>
      <c r="I582" s="6" t="s">
        <v>298</v>
      </c>
      <c r="J582" s="13" t="n">
        <f aca="false">4*K582+4*(L582-N582)+9*M582+2*N582</f>
        <v>382.5</v>
      </c>
      <c r="K582" s="14" t="n">
        <v>0.4</v>
      </c>
      <c r="L582" s="14" t="n">
        <v>95</v>
      </c>
      <c r="M582" s="14" t="n">
        <v>0.1</v>
      </c>
      <c r="N582" s="14" t="n">
        <v>0</v>
      </c>
      <c r="O582" s="14" t="n">
        <v>85</v>
      </c>
      <c r="P582" s="15" t="n">
        <v>30</v>
      </c>
      <c r="Q582" s="16" t="n">
        <v>5</v>
      </c>
      <c r="R582" s="16" t="n">
        <v>10</v>
      </c>
      <c r="S582" s="16" t="n">
        <v>15</v>
      </c>
      <c r="T582" s="6"/>
      <c r="U582" s="6"/>
      <c r="V582" s="13" t="n">
        <f aca="false">IF(Q582="","",J582*Q582/100)</f>
        <v>19.125</v>
      </c>
      <c r="W582" s="13" t="n">
        <f aca="false">IF(R582="","",J582*R582/100)</f>
        <v>38.25</v>
      </c>
      <c r="X582" s="13" t="n">
        <f aca="false">IF(S582="","",J582*S582/100)</f>
        <v>57.375</v>
      </c>
      <c r="Y582" s="13" t="str">
        <f aca="false">IF(T582="","",J582*T582/100)</f>
        <v/>
      </c>
      <c r="Z582" s="13" t="str">
        <f aca="false">IF(U582="","",J582*U582/100)</f>
        <v/>
      </c>
      <c r="AA582" s="6" t="s">
        <v>125</v>
      </c>
      <c r="AB582" s="6" t="s">
        <v>126</v>
      </c>
      <c r="AC582" s="6"/>
      <c r="AD582" s="13" t="str">
        <f aca="false">IF(AC582="","",IFERROR(INDEX('INDB Full Nutrients'!$D:$D,MATCH(AC582,'INDB Full Nutrients'!$A:$A,0)),""))</f>
        <v/>
      </c>
      <c r="AE582" s="6"/>
      <c r="AF582" s="6"/>
    </row>
    <row r="583" customFormat="false" ht="15" hidden="false" customHeight="false" outlineLevel="0" collapsed="false">
      <c r="A583" s="6" t="s">
        <v>2222</v>
      </c>
      <c r="B583" s="6" t="s">
        <v>2223</v>
      </c>
      <c r="C583" s="6" t="s">
        <v>2224</v>
      </c>
      <c r="D583" s="6" t="s">
        <v>63</v>
      </c>
      <c r="E583" s="6" t="s">
        <v>99</v>
      </c>
      <c r="F583" s="6" t="s">
        <v>100</v>
      </c>
      <c r="G583" s="6"/>
      <c r="H583" s="6" t="s">
        <v>2208</v>
      </c>
      <c r="I583" s="6" t="s">
        <v>298</v>
      </c>
      <c r="J583" s="13" t="n">
        <f aca="false">4*K583+4*(L583-N583)+9*M583+2*N583</f>
        <v>328.8</v>
      </c>
      <c r="K583" s="14" t="n">
        <v>0.3</v>
      </c>
      <c r="L583" s="14" t="n">
        <v>82</v>
      </c>
      <c r="M583" s="14" t="n">
        <v>0</v>
      </c>
      <c r="N583" s="14" t="n">
        <v>0.2</v>
      </c>
      <c r="O583" s="14" t="n">
        <v>82</v>
      </c>
      <c r="P583" s="15" t="n">
        <v>4</v>
      </c>
      <c r="Q583" s="16" t="n">
        <v>7</v>
      </c>
      <c r="R583" s="16" t="n">
        <v>14</v>
      </c>
      <c r="S583" s="16" t="n">
        <v>21</v>
      </c>
      <c r="T583" s="6"/>
      <c r="U583" s="6"/>
      <c r="V583" s="13" t="n">
        <f aca="false">IF(Q583="","",J583*Q583/100)</f>
        <v>23.016</v>
      </c>
      <c r="W583" s="13" t="n">
        <f aca="false">IF(R583="","",J583*R583/100)</f>
        <v>46.032</v>
      </c>
      <c r="X583" s="13" t="n">
        <f aca="false">IF(S583="","",J583*S583/100)</f>
        <v>69.048</v>
      </c>
      <c r="Y583" s="13" t="str">
        <f aca="false">IF(T583="","",J583*T583/100)</f>
        <v/>
      </c>
      <c r="Z583" s="13" t="str">
        <f aca="false">IF(U583="","",J583*U583/100)</f>
        <v/>
      </c>
      <c r="AA583" s="6" t="s">
        <v>125</v>
      </c>
      <c r="AB583" s="6" t="s">
        <v>126</v>
      </c>
      <c r="AC583" s="6"/>
      <c r="AD583" s="13" t="str">
        <f aca="false">IF(AC583="","",IFERROR(INDEX('INDB Full Nutrients'!$D:$D,MATCH(AC583,'INDB Full Nutrients'!$A:$A,0)),""))</f>
        <v/>
      </c>
      <c r="AE583" s="6"/>
      <c r="AF583" s="6"/>
    </row>
    <row r="584" customFormat="false" ht="15" hidden="false" customHeight="false" outlineLevel="0" collapsed="false">
      <c r="A584" s="6" t="s">
        <v>2225</v>
      </c>
      <c r="B584" s="6" t="s">
        <v>2226</v>
      </c>
      <c r="C584" s="6" t="s">
        <v>2227</v>
      </c>
      <c r="D584" s="6" t="s">
        <v>63</v>
      </c>
      <c r="E584" s="6" t="s">
        <v>99</v>
      </c>
      <c r="F584" s="6" t="s">
        <v>100</v>
      </c>
      <c r="G584" s="6"/>
      <c r="H584" s="6" t="s">
        <v>2208</v>
      </c>
      <c r="I584" s="6" t="s">
        <v>298</v>
      </c>
      <c r="J584" s="13" t="n">
        <f aca="false">4*K584+4*(L584-N584)+9*M584+2*N584</f>
        <v>245</v>
      </c>
      <c r="K584" s="14" t="n">
        <v>2</v>
      </c>
      <c r="L584" s="14" t="n">
        <v>3</v>
      </c>
      <c r="M584" s="14" t="n">
        <v>25</v>
      </c>
      <c r="N584" s="14" t="n">
        <v>0</v>
      </c>
      <c r="O584" s="14" t="n">
        <v>3</v>
      </c>
      <c r="P584" s="15" t="n">
        <v>35</v>
      </c>
      <c r="Q584" s="16" t="n">
        <v>5</v>
      </c>
      <c r="R584" s="16" t="n">
        <v>10</v>
      </c>
      <c r="S584" s="16" t="n">
        <v>15</v>
      </c>
      <c r="T584" s="6"/>
      <c r="U584" s="6"/>
      <c r="V584" s="13" t="n">
        <f aca="false">IF(Q584="","",J584*Q584/100)</f>
        <v>12.25</v>
      </c>
      <c r="W584" s="13" t="n">
        <f aca="false">IF(R584="","",J584*R584/100)</f>
        <v>24.5</v>
      </c>
      <c r="X584" s="13" t="n">
        <f aca="false">IF(S584="","",J584*S584/100)</f>
        <v>36.75</v>
      </c>
      <c r="Y584" s="13" t="str">
        <f aca="false">IF(T584="","",J584*T584/100)</f>
        <v/>
      </c>
      <c r="Z584" s="13" t="str">
        <f aca="false">IF(U584="","",J584*U584/100)</f>
        <v/>
      </c>
      <c r="AA584" s="6" t="s">
        <v>125</v>
      </c>
      <c r="AB584" s="6" t="s">
        <v>126</v>
      </c>
      <c r="AC584" s="6"/>
      <c r="AD584" s="13" t="str">
        <f aca="false">IF(AC584="","",IFERROR(INDEX('INDB Full Nutrients'!$D:$D,MATCH(AC584,'INDB Full Nutrients'!$A:$A,0)),""))</f>
        <v/>
      </c>
      <c r="AE584" s="6"/>
      <c r="AF584" s="6"/>
    </row>
    <row r="585" customFormat="false" ht="15" hidden="false" customHeight="false" outlineLevel="0" collapsed="false">
      <c r="A585" s="6" t="s">
        <v>2228</v>
      </c>
      <c r="B585" s="6" t="s">
        <v>2229</v>
      </c>
      <c r="C585" s="6"/>
      <c r="D585" s="6" t="s">
        <v>63</v>
      </c>
      <c r="E585" s="6" t="s">
        <v>99</v>
      </c>
      <c r="F585" s="6" t="s">
        <v>100</v>
      </c>
      <c r="G585" s="6"/>
      <c r="H585" s="6" t="s">
        <v>2208</v>
      </c>
      <c r="I585" s="6" t="s">
        <v>298</v>
      </c>
      <c r="J585" s="13" t="n">
        <f aca="false">4*K585+4*(L585-N585)+9*M585+2*N585</f>
        <v>294</v>
      </c>
      <c r="K585" s="14" t="n">
        <v>20</v>
      </c>
      <c r="L585" s="14" t="n">
        <v>4</v>
      </c>
      <c r="M585" s="14" t="n">
        <v>22</v>
      </c>
      <c r="N585" s="14" t="n">
        <v>0</v>
      </c>
      <c r="O585" s="14" t="n">
        <v>1</v>
      </c>
      <c r="P585" s="15" t="n">
        <v>1200</v>
      </c>
      <c r="Q585" s="16" t="n">
        <v>15</v>
      </c>
      <c r="R585" s="16" t="n">
        <v>20</v>
      </c>
      <c r="S585" s="16" t="n">
        <v>25</v>
      </c>
      <c r="T585" s="6"/>
      <c r="U585" s="6"/>
      <c r="V585" s="13" t="n">
        <f aca="false">IF(Q585="","",J585*Q585/100)</f>
        <v>44.1</v>
      </c>
      <c r="W585" s="13" t="n">
        <f aca="false">IF(R585="","",J585*R585/100)</f>
        <v>58.8</v>
      </c>
      <c r="X585" s="13" t="n">
        <f aca="false">IF(S585="","",J585*S585/100)</f>
        <v>73.5</v>
      </c>
      <c r="Y585" s="13" t="str">
        <f aca="false">IF(T585="","",J585*T585/100)</f>
        <v/>
      </c>
      <c r="Z585" s="13" t="str">
        <f aca="false">IF(U585="","",J585*U585/100)</f>
        <v/>
      </c>
      <c r="AA585" s="6" t="s">
        <v>125</v>
      </c>
      <c r="AB585" s="6" t="s">
        <v>126</v>
      </c>
      <c r="AC585" s="6"/>
      <c r="AD585" s="13" t="str">
        <f aca="false">IF(AC585="","",IFERROR(INDEX('INDB Full Nutrients'!$D:$D,MATCH(AC585,'INDB Full Nutrients'!$A:$A,0)),""))</f>
        <v/>
      </c>
      <c r="AE585" s="6"/>
      <c r="AF585" s="6"/>
    </row>
    <row r="586" customFormat="false" ht="15" hidden="false" customHeight="false" outlineLevel="0" collapsed="false">
      <c r="A586" s="6" t="s">
        <v>2230</v>
      </c>
      <c r="B586" s="6" t="s">
        <v>2231</v>
      </c>
      <c r="C586" s="6" t="s">
        <v>2232</v>
      </c>
      <c r="D586" s="6" t="s">
        <v>63</v>
      </c>
      <c r="E586" s="6" t="s">
        <v>99</v>
      </c>
      <c r="F586" s="6" t="s">
        <v>100</v>
      </c>
      <c r="G586" s="6"/>
      <c r="H586" s="6" t="s">
        <v>2208</v>
      </c>
      <c r="I586" s="6" t="s">
        <v>298</v>
      </c>
      <c r="J586" s="13" t="n">
        <f aca="false">4*K586+4*(L586-N586)+9*M586+2*N586</f>
        <v>264</v>
      </c>
      <c r="K586" s="14" t="n">
        <v>18</v>
      </c>
      <c r="L586" s="14" t="n">
        <v>3</v>
      </c>
      <c r="M586" s="14" t="n">
        <v>20</v>
      </c>
      <c r="N586" s="14" t="n">
        <v>0</v>
      </c>
      <c r="O586" s="14" t="n">
        <v>1.5</v>
      </c>
      <c r="P586" s="15" t="n">
        <v>30</v>
      </c>
      <c r="Q586" s="16" t="n">
        <v>50</v>
      </c>
      <c r="R586" s="16" t="n">
        <v>100</v>
      </c>
      <c r="S586" s="16" t="n">
        <v>150</v>
      </c>
      <c r="T586" s="6"/>
      <c r="U586" s="6"/>
      <c r="V586" s="13" t="n">
        <f aca="false">IF(Q586="","",J586*Q586/100)</f>
        <v>132</v>
      </c>
      <c r="W586" s="13" t="n">
        <f aca="false">IF(R586="","",J586*R586/100)</f>
        <v>264</v>
      </c>
      <c r="X586" s="13" t="n">
        <f aca="false">IF(S586="","",J586*S586/100)</f>
        <v>396</v>
      </c>
      <c r="Y586" s="13" t="str">
        <f aca="false">IF(T586="","",J586*T586/100)</f>
        <v/>
      </c>
      <c r="Z586" s="13" t="str">
        <f aca="false">IF(U586="","",J586*U586/100)</f>
        <v/>
      </c>
      <c r="AA586" s="6" t="s">
        <v>125</v>
      </c>
      <c r="AB586" s="6" t="s">
        <v>126</v>
      </c>
      <c r="AC586" s="6"/>
      <c r="AD586" s="13" t="str">
        <f aca="false">IF(AC586="","",IFERROR(INDEX('INDB Full Nutrients'!$D:$D,MATCH(AC586,'INDB Full Nutrients'!$A:$A,0)),""))</f>
        <v/>
      </c>
      <c r="AE586" s="6"/>
      <c r="AF586" s="6"/>
    </row>
  </sheetData>
  <autoFilter ref="A1:AF5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30"/>
    <col collapsed="false" customWidth="true" hidden="false" outlineLevel="0" max="8" min="8" style="0" width="9"/>
    <col collapsed="false" customWidth="true" hidden="false" outlineLevel="0" max="9" min="9" style="0" width="6"/>
    <col collapsed="false" customWidth="true" hidden="false" outlineLevel="0" max="16" min="10" style="0" width="9"/>
  </cols>
  <sheetData>
    <row r="1" customFormat="false" ht="36" hidden="false" customHeight="true" outlineLevel="0" collapsed="false">
      <c r="A1" s="8" t="s">
        <v>64</v>
      </c>
      <c r="B1" s="8" t="s">
        <v>65</v>
      </c>
      <c r="C1" s="8" t="s">
        <v>67</v>
      </c>
      <c r="D1" s="8" t="s">
        <v>69</v>
      </c>
      <c r="E1" s="8" t="s">
        <v>68</v>
      </c>
      <c r="F1" s="8" t="s">
        <v>2233</v>
      </c>
      <c r="G1" s="8" t="s">
        <v>2234</v>
      </c>
      <c r="H1" s="8" t="s">
        <v>2235</v>
      </c>
      <c r="I1" s="8" t="s">
        <v>72</v>
      </c>
      <c r="J1" s="8" t="s">
        <v>2236</v>
      </c>
      <c r="K1" s="8" t="s">
        <v>2237</v>
      </c>
      <c r="L1" s="8" t="s">
        <v>2238</v>
      </c>
      <c r="M1" s="8" t="s">
        <v>2239</v>
      </c>
      <c r="N1" s="8" t="s">
        <v>2240</v>
      </c>
      <c r="O1" s="8" t="s">
        <v>2241</v>
      </c>
      <c r="P1" s="8" t="s">
        <v>2242</v>
      </c>
    </row>
    <row r="2" customFormat="false" ht="15" hidden="false" customHeight="false" outlineLevel="0" collapsed="false">
      <c r="A2" s="6" t="str">
        <f aca="false">'Dish Database'!A2</f>
        <v>D001</v>
      </c>
      <c r="B2" s="6" t="str">
        <f aca="false">'Dish Database'!B2</f>
        <v>Masala chai (milk + sugar)</v>
      </c>
      <c r="C2" s="6" t="str">
        <f aca="false">'Dish Database'!D2</f>
        <v>Hot Beverages</v>
      </c>
      <c r="D2" s="6" t="str">
        <f aca="false">'Dish Database'!F2</f>
        <v>Veg</v>
      </c>
      <c r="E2" s="6" t="str">
        <f aca="false">'Dish Database'!E2</f>
        <v>Pan-India</v>
      </c>
      <c r="F2" s="6" t="s">
        <v>2243</v>
      </c>
      <c r="G2" s="6" t="s">
        <v>2244</v>
      </c>
      <c r="H2" s="16" t="n">
        <v>75</v>
      </c>
      <c r="I2" s="6" t="str">
        <f aca="false">'Dish Database'!I2</f>
        <v>ml</v>
      </c>
      <c r="J2" s="13" t="n">
        <f aca="false">'Dish Database'!J2*H2/100</f>
        <v>41.625</v>
      </c>
      <c r="K2" s="17" t="n">
        <f aca="false">'Dish Database'!K2*H2/100</f>
        <v>1.2</v>
      </c>
      <c r="L2" s="17" t="n">
        <f aca="false">'Dish Database'!L2*H2/100</f>
        <v>6.675</v>
      </c>
      <c r="M2" s="17" t="n">
        <f aca="false">'Dish Database'!M2*H2/100</f>
        <v>1.125</v>
      </c>
      <c r="N2" s="17" t="n">
        <f aca="false">'Dish Database'!N2*H2/100</f>
        <v>0</v>
      </c>
      <c r="O2" s="17" t="n">
        <f aca="false">'Dish Database'!O2*H2/100</f>
        <v>6.675</v>
      </c>
      <c r="P2" s="13" t="n">
        <f aca="false">'Dish Database'!P2*H2/100</f>
        <v>16.5</v>
      </c>
    </row>
    <row r="3" customFormat="false" ht="15" hidden="false" customHeight="false" outlineLevel="0" collapsed="false">
      <c r="A3" s="6" t="str">
        <f aca="false">'Dish Database'!A2</f>
        <v>D001</v>
      </c>
      <c r="B3" s="6" t="str">
        <f aca="false">'Dish Database'!B2</f>
        <v>Masala chai (milk + sugar)</v>
      </c>
      <c r="C3" s="6" t="str">
        <f aca="false">'Dish Database'!D2</f>
        <v>Hot Beverages</v>
      </c>
      <c r="D3" s="6" t="str">
        <f aca="false">'Dish Database'!F2</f>
        <v>Veg</v>
      </c>
      <c r="E3" s="6" t="str">
        <f aca="false">'Dish Database'!E2</f>
        <v>Pan-India</v>
      </c>
      <c r="F3" s="6" t="s">
        <v>103</v>
      </c>
      <c r="G3" s="6" t="s">
        <v>2245</v>
      </c>
      <c r="H3" s="16" t="n">
        <v>150</v>
      </c>
      <c r="I3" s="6" t="str">
        <f aca="false">'Dish Database'!I2</f>
        <v>ml</v>
      </c>
      <c r="J3" s="13" t="n">
        <f aca="false">'Dish Database'!J2*H3/100</f>
        <v>83.25</v>
      </c>
      <c r="K3" s="17" t="n">
        <f aca="false">'Dish Database'!K2*H3/100</f>
        <v>2.4</v>
      </c>
      <c r="L3" s="17" t="n">
        <f aca="false">'Dish Database'!L2*H3/100</f>
        <v>13.35</v>
      </c>
      <c r="M3" s="17" t="n">
        <f aca="false">'Dish Database'!M2*H3/100</f>
        <v>2.25</v>
      </c>
      <c r="N3" s="17" t="n">
        <f aca="false">'Dish Database'!N2*H3/100</f>
        <v>0</v>
      </c>
      <c r="O3" s="17" t="n">
        <f aca="false">'Dish Database'!O2*H3/100</f>
        <v>13.35</v>
      </c>
      <c r="P3" s="13" t="n">
        <f aca="false">'Dish Database'!P2*H3/100</f>
        <v>33</v>
      </c>
    </row>
    <row r="4" customFormat="false" ht="15" hidden="false" customHeight="false" outlineLevel="0" collapsed="false">
      <c r="A4" s="6" t="str">
        <f aca="false">'Dish Database'!A2</f>
        <v>D001</v>
      </c>
      <c r="B4" s="6" t="str">
        <f aca="false">'Dish Database'!B2</f>
        <v>Masala chai (milk + sugar)</v>
      </c>
      <c r="C4" s="6" t="str">
        <f aca="false">'Dish Database'!D2</f>
        <v>Hot Beverages</v>
      </c>
      <c r="D4" s="6" t="str">
        <f aca="false">'Dish Database'!F2</f>
        <v>Veg</v>
      </c>
      <c r="E4" s="6" t="str">
        <f aca="false">'Dish Database'!E2</f>
        <v>Pan-India</v>
      </c>
      <c r="F4" s="6" t="s">
        <v>2246</v>
      </c>
      <c r="G4" s="6" t="s">
        <v>2247</v>
      </c>
      <c r="H4" s="16" t="n">
        <v>250</v>
      </c>
      <c r="I4" s="6" t="str">
        <f aca="false">'Dish Database'!I2</f>
        <v>ml</v>
      </c>
      <c r="J4" s="13" t="n">
        <f aca="false">'Dish Database'!J2*H4/100</f>
        <v>138.75</v>
      </c>
      <c r="K4" s="17" t="n">
        <f aca="false">'Dish Database'!K2*H4/100</f>
        <v>4</v>
      </c>
      <c r="L4" s="17" t="n">
        <f aca="false">'Dish Database'!L2*H4/100</f>
        <v>22.25</v>
      </c>
      <c r="M4" s="17" t="n">
        <f aca="false">'Dish Database'!M2*H4/100</f>
        <v>3.75</v>
      </c>
      <c r="N4" s="17" t="n">
        <f aca="false">'Dish Database'!N2*H4/100</f>
        <v>0</v>
      </c>
      <c r="O4" s="17" t="n">
        <f aca="false">'Dish Database'!O2*H4/100</f>
        <v>22.25</v>
      </c>
      <c r="P4" s="13" t="n">
        <f aca="false">'Dish Database'!P2*H4/100</f>
        <v>55</v>
      </c>
    </row>
    <row r="5" customFormat="false" ht="15" hidden="false" customHeight="false" outlineLevel="0" collapsed="false">
      <c r="A5" s="6" t="str">
        <f aca="false">'Dish Database'!A3</f>
        <v>D002</v>
      </c>
      <c r="B5" s="6" t="str">
        <f aca="false">'Dish Database'!B3</f>
        <v>Tea with milk, no sugar</v>
      </c>
      <c r="C5" s="6" t="str">
        <f aca="false">'Dish Database'!D3</f>
        <v>Hot Beverages</v>
      </c>
      <c r="D5" s="6" t="str">
        <f aca="false">'Dish Database'!F3</f>
        <v>Veg</v>
      </c>
      <c r="E5" s="6" t="str">
        <f aca="false">'Dish Database'!E3</f>
        <v>Pan-India</v>
      </c>
      <c r="F5" s="6" t="s">
        <v>2243</v>
      </c>
      <c r="G5" s="6" t="s">
        <v>2244</v>
      </c>
      <c r="H5" s="16" t="n">
        <v>75</v>
      </c>
      <c r="I5" s="6" t="str">
        <f aca="false">'Dish Database'!I3</f>
        <v>ml</v>
      </c>
      <c r="J5" s="13" t="n">
        <f aca="false">'Dish Database'!J3*H5/100</f>
        <v>22.125</v>
      </c>
      <c r="K5" s="17" t="n">
        <f aca="false">'Dish Database'!K3*H5/100</f>
        <v>1.2</v>
      </c>
      <c r="L5" s="17" t="n">
        <f aca="false">'Dish Database'!L3*H5/100</f>
        <v>1.8</v>
      </c>
      <c r="M5" s="17" t="n">
        <f aca="false">'Dish Database'!M3*H5/100</f>
        <v>1.125</v>
      </c>
      <c r="N5" s="17" t="n">
        <f aca="false">'Dish Database'!N3*H5/100</f>
        <v>0</v>
      </c>
      <c r="O5" s="17" t="n">
        <f aca="false">'Dish Database'!O3*H5/100</f>
        <v>1.8</v>
      </c>
      <c r="P5" s="13" t="n">
        <f aca="false">'Dish Database'!P3*H5/100</f>
        <v>16.5</v>
      </c>
    </row>
    <row r="6" customFormat="false" ht="15" hidden="false" customHeight="false" outlineLevel="0" collapsed="false">
      <c r="A6" s="6" t="str">
        <f aca="false">'Dish Database'!A3</f>
        <v>D002</v>
      </c>
      <c r="B6" s="6" t="str">
        <f aca="false">'Dish Database'!B3</f>
        <v>Tea with milk, no sugar</v>
      </c>
      <c r="C6" s="6" t="str">
        <f aca="false">'Dish Database'!D3</f>
        <v>Hot Beverages</v>
      </c>
      <c r="D6" s="6" t="str">
        <f aca="false">'Dish Database'!F3</f>
        <v>Veg</v>
      </c>
      <c r="E6" s="6" t="str">
        <f aca="false">'Dish Database'!E3</f>
        <v>Pan-India</v>
      </c>
      <c r="F6" s="6" t="s">
        <v>103</v>
      </c>
      <c r="G6" s="6" t="s">
        <v>2245</v>
      </c>
      <c r="H6" s="16" t="n">
        <v>150</v>
      </c>
      <c r="I6" s="6" t="str">
        <f aca="false">'Dish Database'!I3</f>
        <v>ml</v>
      </c>
      <c r="J6" s="13" t="n">
        <f aca="false">'Dish Database'!J3*H6/100</f>
        <v>44.25</v>
      </c>
      <c r="K6" s="17" t="n">
        <f aca="false">'Dish Database'!K3*H6/100</f>
        <v>2.4</v>
      </c>
      <c r="L6" s="17" t="n">
        <f aca="false">'Dish Database'!L3*H6/100</f>
        <v>3.6</v>
      </c>
      <c r="M6" s="17" t="n">
        <f aca="false">'Dish Database'!M3*H6/100</f>
        <v>2.25</v>
      </c>
      <c r="N6" s="17" t="n">
        <f aca="false">'Dish Database'!N3*H6/100</f>
        <v>0</v>
      </c>
      <c r="O6" s="17" t="n">
        <f aca="false">'Dish Database'!O3*H6/100</f>
        <v>3.6</v>
      </c>
      <c r="P6" s="13" t="n">
        <f aca="false">'Dish Database'!P3*H6/100</f>
        <v>33</v>
      </c>
    </row>
    <row r="7" customFormat="false" ht="15" hidden="false" customHeight="false" outlineLevel="0" collapsed="false">
      <c r="A7" s="6" t="str">
        <f aca="false">'Dish Database'!A3</f>
        <v>D002</v>
      </c>
      <c r="B7" s="6" t="str">
        <f aca="false">'Dish Database'!B3</f>
        <v>Tea with milk, no sugar</v>
      </c>
      <c r="C7" s="6" t="str">
        <f aca="false">'Dish Database'!D3</f>
        <v>Hot Beverages</v>
      </c>
      <c r="D7" s="6" t="str">
        <f aca="false">'Dish Database'!F3</f>
        <v>Veg</v>
      </c>
      <c r="E7" s="6" t="str">
        <f aca="false">'Dish Database'!E3</f>
        <v>Pan-India</v>
      </c>
      <c r="F7" s="6" t="s">
        <v>2246</v>
      </c>
      <c r="G7" s="6" t="s">
        <v>2247</v>
      </c>
      <c r="H7" s="16" t="n">
        <v>250</v>
      </c>
      <c r="I7" s="6" t="str">
        <f aca="false">'Dish Database'!I3</f>
        <v>ml</v>
      </c>
      <c r="J7" s="13" t="n">
        <f aca="false">'Dish Database'!J3*H7/100</f>
        <v>73.75</v>
      </c>
      <c r="K7" s="17" t="n">
        <f aca="false">'Dish Database'!K3*H7/100</f>
        <v>4</v>
      </c>
      <c r="L7" s="17" t="n">
        <f aca="false">'Dish Database'!L3*H7/100</f>
        <v>6</v>
      </c>
      <c r="M7" s="17" t="n">
        <f aca="false">'Dish Database'!M3*H7/100</f>
        <v>3.75</v>
      </c>
      <c r="N7" s="17" t="n">
        <f aca="false">'Dish Database'!N3*H7/100</f>
        <v>0</v>
      </c>
      <c r="O7" s="17" t="n">
        <f aca="false">'Dish Database'!O3*H7/100</f>
        <v>6</v>
      </c>
      <c r="P7" s="13" t="n">
        <f aca="false">'Dish Database'!P3*H7/100</f>
        <v>55</v>
      </c>
    </row>
    <row r="8" customFormat="false" ht="15" hidden="false" customHeight="false" outlineLevel="0" collapsed="false">
      <c r="A8" s="6" t="str">
        <f aca="false">'Dish Database'!A4</f>
        <v>D003</v>
      </c>
      <c r="B8" s="6" t="str">
        <f aca="false">'Dish Database'!B4</f>
        <v>Cutting chai (strong, extra milk &amp; sugar)</v>
      </c>
      <c r="C8" s="6" t="str">
        <f aca="false">'Dish Database'!D4</f>
        <v>Hot Beverages</v>
      </c>
      <c r="D8" s="6" t="str">
        <f aca="false">'Dish Database'!F4</f>
        <v>Veg</v>
      </c>
      <c r="E8" s="6" t="str">
        <f aca="false">'Dish Database'!E4</f>
        <v>West</v>
      </c>
      <c r="F8" s="6" t="s">
        <v>2243</v>
      </c>
      <c r="G8" s="6" t="s">
        <v>2244</v>
      </c>
      <c r="H8" s="16" t="n">
        <v>75</v>
      </c>
      <c r="I8" s="6" t="str">
        <f aca="false">'Dish Database'!I4</f>
        <v>ml</v>
      </c>
      <c r="J8" s="13" t="n">
        <f aca="false">'Dish Database'!J4*H8/100</f>
        <v>51</v>
      </c>
      <c r="K8" s="17" t="n">
        <f aca="false">'Dish Database'!K4*H8/100</f>
        <v>1.5</v>
      </c>
      <c r="L8" s="17" t="n">
        <f aca="false">'Dish Database'!L4*H8/100</f>
        <v>7.875</v>
      </c>
      <c r="M8" s="17" t="n">
        <f aca="false">'Dish Database'!M4*H8/100</f>
        <v>1.5</v>
      </c>
      <c r="N8" s="17" t="n">
        <f aca="false">'Dish Database'!N4*H8/100</f>
        <v>0</v>
      </c>
      <c r="O8" s="17" t="n">
        <f aca="false">'Dish Database'!O4*H8/100</f>
        <v>7.875</v>
      </c>
      <c r="P8" s="13" t="n">
        <f aca="false">'Dish Database'!P4*H8/100</f>
        <v>21</v>
      </c>
    </row>
    <row r="9" customFormat="false" ht="15" hidden="false" customHeight="false" outlineLevel="0" collapsed="false">
      <c r="A9" s="6" t="str">
        <f aca="false">'Dish Database'!A4</f>
        <v>D003</v>
      </c>
      <c r="B9" s="6" t="str">
        <f aca="false">'Dish Database'!B4</f>
        <v>Cutting chai (strong, extra milk &amp; sugar)</v>
      </c>
      <c r="C9" s="6" t="str">
        <f aca="false">'Dish Database'!D4</f>
        <v>Hot Beverages</v>
      </c>
      <c r="D9" s="6" t="str">
        <f aca="false">'Dish Database'!F4</f>
        <v>Veg</v>
      </c>
      <c r="E9" s="6" t="str">
        <f aca="false">'Dish Database'!E4</f>
        <v>West</v>
      </c>
      <c r="F9" s="6" t="s">
        <v>103</v>
      </c>
      <c r="G9" s="6" t="s">
        <v>2245</v>
      </c>
      <c r="H9" s="16" t="n">
        <v>150</v>
      </c>
      <c r="I9" s="6" t="str">
        <f aca="false">'Dish Database'!I4</f>
        <v>ml</v>
      </c>
      <c r="J9" s="13" t="n">
        <f aca="false">'Dish Database'!J4*H9/100</f>
        <v>102</v>
      </c>
      <c r="K9" s="17" t="n">
        <f aca="false">'Dish Database'!K4*H9/100</f>
        <v>3</v>
      </c>
      <c r="L9" s="17" t="n">
        <f aca="false">'Dish Database'!L4*H9/100</f>
        <v>15.75</v>
      </c>
      <c r="M9" s="17" t="n">
        <f aca="false">'Dish Database'!M4*H9/100</f>
        <v>3</v>
      </c>
      <c r="N9" s="17" t="n">
        <f aca="false">'Dish Database'!N4*H9/100</f>
        <v>0</v>
      </c>
      <c r="O9" s="17" t="n">
        <f aca="false">'Dish Database'!O4*H9/100</f>
        <v>15.75</v>
      </c>
      <c r="P9" s="13" t="n">
        <f aca="false">'Dish Database'!P4*H9/100</f>
        <v>42</v>
      </c>
    </row>
    <row r="10" customFormat="false" ht="15" hidden="false" customHeight="false" outlineLevel="0" collapsed="false">
      <c r="A10" s="6" t="str">
        <f aca="false">'Dish Database'!A4</f>
        <v>D003</v>
      </c>
      <c r="B10" s="6" t="str">
        <f aca="false">'Dish Database'!B4</f>
        <v>Cutting chai (strong, extra milk &amp; sugar)</v>
      </c>
      <c r="C10" s="6" t="str">
        <f aca="false">'Dish Database'!D4</f>
        <v>Hot Beverages</v>
      </c>
      <c r="D10" s="6" t="str">
        <f aca="false">'Dish Database'!F4</f>
        <v>Veg</v>
      </c>
      <c r="E10" s="6" t="str">
        <f aca="false">'Dish Database'!E4</f>
        <v>West</v>
      </c>
      <c r="F10" s="6" t="s">
        <v>2246</v>
      </c>
      <c r="G10" s="6" t="s">
        <v>2247</v>
      </c>
      <c r="H10" s="16" t="n">
        <v>250</v>
      </c>
      <c r="I10" s="6" t="str">
        <f aca="false">'Dish Database'!I4</f>
        <v>ml</v>
      </c>
      <c r="J10" s="13" t="n">
        <f aca="false">'Dish Database'!J4*H10/100</f>
        <v>170</v>
      </c>
      <c r="K10" s="17" t="n">
        <f aca="false">'Dish Database'!K4*H10/100</f>
        <v>5</v>
      </c>
      <c r="L10" s="17" t="n">
        <f aca="false">'Dish Database'!L4*H10/100</f>
        <v>26.25</v>
      </c>
      <c r="M10" s="17" t="n">
        <f aca="false">'Dish Database'!M4*H10/100</f>
        <v>5</v>
      </c>
      <c r="N10" s="17" t="n">
        <f aca="false">'Dish Database'!N4*H10/100</f>
        <v>0</v>
      </c>
      <c r="O10" s="17" t="n">
        <f aca="false">'Dish Database'!O4*H10/100</f>
        <v>26.25</v>
      </c>
      <c r="P10" s="13" t="n">
        <f aca="false">'Dish Database'!P4*H10/100</f>
        <v>70</v>
      </c>
    </row>
    <row r="11" customFormat="false" ht="15" hidden="false" customHeight="false" outlineLevel="0" collapsed="false">
      <c r="A11" s="6" t="str">
        <f aca="false">'Dish Database'!A5</f>
        <v>D004</v>
      </c>
      <c r="B11" s="6" t="str">
        <f aca="false">'Dish Database'!B5</f>
        <v>Irani chai</v>
      </c>
      <c r="C11" s="6" t="str">
        <f aca="false">'Dish Database'!D5</f>
        <v>Hot Beverages</v>
      </c>
      <c r="D11" s="6" t="str">
        <f aca="false">'Dish Database'!F5</f>
        <v>Veg</v>
      </c>
      <c r="E11" s="6" t="str">
        <f aca="false">'Dish Database'!E5</f>
        <v>South</v>
      </c>
      <c r="F11" s="6" t="s">
        <v>2243</v>
      </c>
      <c r="G11" s="6" t="s">
        <v>2244</v>
      </c>
      <c r="H11" s="16" t="n">
        <v>75</v>
      </c>
      <c r="I11" s="6" t="str">
        <f aca="false">'Dish Database'!I5</f>
        <v>ml</v>
      </c>
      <c r="J11" s="13" t="n">
        <f aca="false">'Dish Database'!J5*H11/100</f>
        <v>63.75</v>
      </c>
      <c r="K11" s="17" t="n">
        <f aca="false">'Dish Database'!K5*H11/100</f>
        <v>1.875</v>
      </c>
      <c r="L11" s="17" t="n">
        <f aca="false">'Dish Database'!L5*H11/100</f>
        <v>9</v>
      </c>
      <c r="M11" s="17" t="n">
        <f aca="false">'Dish Database'!M5*H11/100</f>
        <v>2.25</v>
      </c>
      <c r="N11" s="17" t="n">
        <f aca="false">'Dish Database'!N5*H11/100</f>
        <v>0</v>
      </c>
      <c r="O11" s="17" t="n">
        <f aca="false">'Dish Database'!O5*H11/100</f>
        <v>9</v>
      </c>
      <c r="P11" s="13" t="n">
        <f aca="false">'Dish Database'!P5*H11/100</f>
        <v>26.25</v>
      </c>
    </row>
    <row r="12" customFormat="false" ht="15" hidden="false" customHeight="false" outlineLevel="0" collapsed="false">
      <c r="A12" s="6" t="str">
        <f aca="false">'Dish Database'!A5</f>
        <v>D004</v>
      </c>
      <c r="B12" s="6" t="str">
        <f aca="false">'Dish Database'!B5</f>
        <v>Irani chai</v>
      </c>
      <c r="C12" s="6" t="str">
        <f aca="false">'Dish Database'!D5</f>
        <v>Hot Beverages</v>
      </c>
      <c r="D12" s="6" t="str">
        <f aca="false">'Dish Database'!F5</f>
        <v>Veg</v>
      </c>
      <c r="E12" s="6" t="str">
        <f aca="false">'Dish Database'!E5</f>
        <v>South</v>
      </c>
      <c r="F12" s="6" t="s">
        <v>103</v>
      </c>
      <c r="G12" s="6" t="s">
        <v>2245</v>
      </c>
      <c r="H12" s="16" t="n">
        <v>150</v>
      </c>
      <c r="I12" s="6" t="str">
        <f aca="false">'Dish Database'!I5</f>
        <v>ml</v>
      </c>
      <c r="J12" s="13" t="n">
        <f aca="false">'Dish Database'!J5*H12/100</f>
        <v>127.5</v>
      </c>
      <c r="K12" s="17" t="n">
        <f aca="false">'Dish Database'!K5*H12/100</f>
        <v>3.75</v>
      </c>
      <c r="L12" s="17" t="n">
        <f aca="false">'Dish Database'!L5*H12/100</f>
        <v>18</v>
      </c>
      <c r="M12" s="17" t="n">
        <f aca="false">'Dish Database'!M5*H12/100</f>
        <v>4.5</v>
      </c>
      <c r="N12" s="17" t="n">
        <f aca="false">'Dish Database'!N5*H12/100</f>
        <v>0</v>
      </c>
      <c r="O12" s="17" t="n">
        <f aca="false">'Dish Database'!O5*H12/100</f>
        <v>18</v>
      </c>
      <c r="P12" s="13" t="n">
        <f aca="false">'Dish Database'!P5*H12/100</f>
        <v>52.5</v>
      </c>
    </row>
    <row r="13" customFormat="false" ht="15" hidden="false" customHeight="false" outlineLevel="0" collapsed="false">
      <c r="A13" s="6" t="str">
        <f aca="false">'Dish Database'!A5</f>
        <v>D004</v>
      </c>
      <c r="B13" s="6" t="str">
        <f aca="false">'Dish Database'!B5</f>
        <v>Irani chai</v>
      </c>
      <c r="C13" s="6" t="str">
        <f aca="false">'Dish Database'!D5</f>
        <v>Hot Beverages</v>
      </c>
      <c r="D13" s="6" t="str">
        <f aca="false">'Dish Database'!F5</f>
        <v>Veg</v>
      </c>
      <c r="E13" s="6" t="str">
        <f aca="false">'Dish Database'!E5</f>
        <v>South</v>
      </c>
      <c r="F13" s="6" t="s">
        <v>2246</v>
      </c>
      <c r="G13" s="6" t="s">
        <v>2247</v>
      </c>
      <c r="H13" s="16" t="n">
        <v>250</v>
      </c>
      <c r="I13" s="6" t="str">
        <f aca="false">'Dish Database'!I5</f>
        <v>ml</v>
      </c>
      <c r="J13" s="13" t="n">
        <f aca="false">'Dish Database'!J5*H13/100</f>
        <v>212.5</v>
      </c>
      <c r="K13" s="17" t="n">
        <f aca="false">'Dish Database'!K5*H13/100</f>
        <v>6.25</v>
      </c>
      <c r="L13" s="17" t="n">
        <f aca="false">'Dish Database'!L5*H13/100</f>
        <v>30</v>
      </c>
      <c r="M13" s="17" t="n">
        <f aca="false">'Dish Database'!M5*H13/100</f>
        <v>7.5</v>
      </c>
      <c r="N13" s="17" t="n">
        <f aca="false">'Dish Database'!N5*H13/100</f>
        <v>0</v>
      </c>
      <c r="O13" s="17" t="n">
        <f aca="false">'Dish Database'!O5*H13/100</f>
        <v>30</v>
      </c>
      <c r="P13" s="13" t="n">
        <f aca="false">'Dish Database'!P5*H13/100</f>
        <v>87.5</v>
      </c>
    </row>
    <row r="14" customFormat="false" ht="15" hidden="false" customHeight="false" outlineLevel="0" collapsed="false">
      <c r="A14" s="6" t="str">
        <f aca="false">'Dish Database'!A6</f>
        <v>D005</v>
      </c>
      <c r="B14" s="6" t="str">
        <f aca="false">'Dish Database'!B6</f>
        <v>Black tea, no sugar</v>
      </c>
      <c r="C14" s="6" t="str">
        <f aca="false">'Dish Database'!D6</f>
        <v>Hot Beverages</v>
      </c>
      <c r="D14" s="6" t="str">
        <f aca="false">'Dish Database'!F6</f>
        <v>Veg</v>
      </c>
      <c r="E14" s="6" t="str">
        <f aca="false">'Dish Database'!E6</f>
        <v>Pan-India</v>
      </c>
      <c r="F14" s="6" t="s">
        <v>2243</v>
      </c>
      <c r="G14" s="6" t="s">
        <v>2244</v>
      </c>
      <c r="H14" s="16" t="n">
        <v>75</v>
      </c>
      <c r="I14" s="6" t="str">
        <f aca="false">'Dish Database'!I6</f>
        <v>ml</v>
      </c>
      <c r="J14" s="13" t="n">
        <f aca="false">'Dish Database'!J6*H14/100</f>
        <v>0.9</v>
      </c>
      <c r="K14" s="17" t="n">
        <f aca="false">'Dish Database'!K6*H14/100</f>
        <v>0</v>
      </c>
      <c r="L14" s="17" t="n">
        <f aca="false">'Dish Database'!L6*H14/100</f>
        <v>0.225</v>
      </c>
      <c r="M14" s="17" t="n">
        <f aca="false">'Dish Database'!M6*H14/100</f>
        <v>0</v>
      </c>
      <c r="N14" s="17" t="n">
        <f aca="false">'Dish Database'!N6*H14/100</f>
        <v>0</v>
      </c>
      <c r="O14" s="17" t="n">
        <f aca="false">'Dish Database'!O6*H14/100</f>
        <v>0</v>
      </c>
      <c r="P14" s="13" t="n">
        <f aca="false">'Dish Database'!P6*H14/100</f>
        <v>2.25</v>
      </c>
    </row>
    <row r="15" customFormat="false" ht="15" hidden="false" customHeight="false" outlineLevel="0" collapsed="false">
      <c r="A15" s="6" t="str">
        <f aca="false">'Dish Database'!A6</f>
        <v>D005</v>
      </c>
      <c r="B15" s="6" t="str">
        <f aca="false">'Dish Database'!B6</f>
        <v>Black tea, no sugar</v>
      </c>
      <c r="C15" s="6" t="str">
        <f aca="false">'Dish Database'!D6</f>
        <v>Hot Beverages</v>
      </c>
      <c r="D15" s="6" t="str">
        <f aca="false">'Dish Database'!F6</f>
        <v>Veg</v>
      </c>
      <c r="E15" s="6" t="str">
        <f aca="false">'Dish Database'!E6</f>
        <v>Pan-India</v>
      </c>
      <c r="F15" s="6" t="s">
        <v>103</v>
      </c>
      <c r="G15" s="6" t="s">
        <v>2245</v>
      </c>
      <c r="H15" s="16" t="n">
        <v>150</v>
      </c>
      <c r="I15" s="6" t="str">
        <f aca="false">'Dish Database'!I6</f>
        <v>ml</v>
      </c>
      <c r="J15" s="13" t="n">
        <f aca="false">'Dish Database'!J6*H15/100</f>
        <v>1.8</v>
      </c>
      <c r="K15" s="17" t="n">
        <f aca="false">'Dish Database'!K6*H15/100</f>
        <v>0</v>
      </c>
      <c r="L15" s="17" t="n">
        <f aca="false">'Dish Database'!L6*H15/100</f>
        <v>0.45</v>
      </c>
      <c r="M15" s="17" t="n">
        <f aca="false">'Dish Database'!M6*H15/100</f>
        <v>0</v>
      </c>
      <c r="N15" s="17" t="n">
        <f aca="false">'Dish Database'!N6*H15/100</f>
        <v>0</v>
      </c>
      <c r="O15" s="17" t="n">
        <f aca="false">'Dish Database'!O6*H15/100</f>
        <v>0</v>
      </c>
      <c r="P15" s="13" t="n">
        <f aca="false">'Dish Database'!P6*H15/100</f>
        <v>4.5</v>
      </c>
    </row>
    <row r="16" customFormat="false" ht="15" hidden="false" customHeight="false" outlineLevel="0" collapsed="false">
      <c r="A16" s="6" t="str">
        <f aca="false">'Dish Database'!A6</f>
        <v>D005</v>
      </c>
      <c r="B16" s="6" t="str">
        <f aca="false">'Dish Database'!B6</f>
        <v>Black tea, no sugar</v>
      </c>
      <c r="C16" s="6" t="str">
        <f aca="false">'Dish Database'!D6</f>
        <v>Hot Beverages</v>
      </c>
      <c r="D16" s="6" t="str">
        <f aca="false">'Dish Database'!F6</f>
        <v>Veg</v>
      </c>
      <c r="E16" s="6" t="str">
        <f aca="false">'Dish Database'!E6</f>
        <v>Pan-India</v>
      </c>
      <c r="F16" s="6" t="s">
        <v>2246</v>
      </c>
      <c r="G16" s="6" t="s">
        <v>2247</v>
      </c>
      <c r="H16" s="16" t="n">
        <v>250</v>
      </c>
      <c r="I16" s="6" t="str">
        <f aca="false">'Dish Database'!I6</f>
        <v>ml</v>
      </c>
      <c r="J16" s="13" t="n">
        <f aca="false">'Dish Database'!J6*H16/100</f>
        <v>3</v>
      </c>
      <c r="K16" s="17" t="n">
        <f aca="false">'Dish Database'!K6*H16/100</f>
        <v>0</v>
      </c>
      <c r="L16" s="17" t="n">
        <f aca="false">'Dish Database'!L6*H16/100</f>
        <v>0.75</v>
      </c>
      <c r="M16" s="17" t="n">
        <f aca="false">'Dish Database'!M6*H16/100</f>
        <v>0</v>
      </c>
      <c r="N16" s="17" t="n">
        <f aca="false">'Dish Database'!N6*H16/100</f>
        <v>0</v>
      </c>
      <c r="O16" s="17" t="n">
        <f aca="false">'Dish Database'!O6*H16/100</f>
        <v>0</v>
      </c>
      <c r="P16" s="13" t="n">
        <f aca="false">'Dish Database'!P6*H16/100</f>
        <v>7.5</v>
      </c>
    </row>
    <row r="17" customFormat="false" ht="15" hidden="false" customHeight="false" outlineLevel="0" collapsed="false">
      <c r="A17" s="6" t="str">
        <f aca="false">'Dish Database'!A7</f>
        <v>D006</v>
      </c>
      <c r="B17" s="6" t="str">
        <f aca="false">'Dish Database'!B7</f>
        <v>Lemon tea with sugar</v>
      </c>
      <c r="C17" s="6" t="str">
        <f aca="false">'Dish Database'!D7</f>
        <v>Hot Beverages</v>
      </c>
      <c r="D17" s="6" t="str">
        <f aca="false">'Dish Database'!F7</f>
        <v>Veg</v>
      </c>
      <c r="E17" s="6" t="str">
        <f aca="false">'Dish Database'!E7</f>
        <v>Pan-India</v>
      </c>
      <c r="F17" s="6" t="s">
        <v>2243</v>
      </c>
      <c r="G17" s="6" t="s">
        <v>2244</v>
      </c>
      <c r="H17" s="16" t="n">
        <v>75</v>
      </c>
      <c r="I17" s="6" t="str">
        <f aca="false">'Dish Database'!I7</f>
        <v>ml</v>
      </c>
      <c r="J17" s="13" t="n">
        <f aca="false">'Dish Database'!J7*H17/100</f>
        <v>15</v>
      </c>
      <c r="K17" s="17" t="n">
        <f aca="false">'Dish Database'!K7*H17/100</f>
        <v>0</v>
      </c>
      <c r="L17" s="17" t="n">
        <f aca="false">'Dish Database'!L7*H17/100</f>
        <v>3.75</v>
      </c>
      <c r="M17" s="17" t="n">
        <f aca="false">'Dish Database'!M7*H17/100</f>
        <v>0</v>
      </c>
      <c r="N17" s="17" t="n">
        <f aca="false">'Dish Database'!N7*H17/100</f>
        <v>0</v>
      </c>
      <c r="O17" s="17" t="n">
        <f aca="false">'Dish Database'!O7*H17/100</f>
        <v>3.75</v>
      </c>
      <c r="P17" s="13" t="n">
        <f aca="false">'Dish Database'!P7*H17/100</f>
        <v>2.25</v>
      </c>
    </row>
    <row r="18" customFormat="false" ht="15" hidden="false" customHeight="false" outlineLevel="0" collapsed="false">
      <c r="A18" s="6" t="str">
        <f aca="false">'Dish Database'!A7</f>
        <v>D006</v>
      </c>
      <c r="B18" s="6" t="str">
        <f aca="false">'Dish Database'!B7</f>
        <v>Lemon tea with sugar</v>
      </c>
      <c r="C18" s="6" t="str">
        <f aca="false">'Dish Database'!D7</f>
        <v>Hot Beverages</v>
      </c>
      <c r="D18" s="6" t="str">
        <f aca="false">'Dish Database'!F7</f>
        <v>Veg</v>
      </c>
      <c r="E18" s="6" t="str">
        <f aca="false">'Dish Database'!E7</f>
        <v>Pan-India</v>
      </c>
      <c r="F18" s="6" t="s">
        <v>103</v>
      </c>
      <c r="G18" s="6" t="s">
        <v>2245</v>
      </c>
      <c r="H18" s="16" t="n">
        <v>150</v>
      </c>
      <c r="I18" s="6" t="str">
        <f aca="false">'Dish Database'!I7</f>
        <v>ml</v>
      </c>
      <c r="J18" s="13" t="n">
        <f aca="false">'Dish Database'!J7*H18/100</f>
        <v>30</v>
      </c>
      <c r="K18" s="17" t="n">
        <f aca="false">'Dish Database'!K7*H18/100</f>
        <v>0</v>
      </c>
      <c r="L18" s="17" t="n">
        <f aca="false">'Dish Database'!L7*H18/100</f>
        <v>7.5</v>
      </c>
      <c r="M18" s="17" t="n">
        <f aca="false">'Dish Database'!M7*H18/100</f>
        <v>0</v>
      </c>
      <c r="N18" s="17" t="n">
        <f aca="false">'Dish Database'!N7*H18/100</f>
        <v>0</v>
      </c>
      <c r="O18" s="17" t="n">
        <f aca="false">'Dish Database'!O7*H18/100</f>
        <v>7.5</v>
      </c>
      <c r="P18" s="13" t="n">
        <f aca="false">'Dish Database'!P7*H18/100</f>
        <v>4.5</v>
      </c>
    </row>
    <row r="19" customFormat="false" ht="15" hidden="false" customHeight="false" outlineLevel="0" collapsed="false">
      <c r="A19" s="6" t="str">
        <f aca="false">'Dish Database'!A7</f>
        <v>D006</v>
      </c>
      <c r="B19" s="6" t="str">
        <f aca="false">'Dish Database'!B7</f>
        <v>Lemon tea with sugar</v>
      </c>
      <c r="C19" s="6" t="str">
        <f aca="false">'Dish Database'!D7</f>
        <v>Hot Beverages</v>
      </c>
      <c r="D19" s="6" t="str">
        <f aca="false">'Dish Database'!F7</f>
        <v>Veg</v>
      </c>
      <c r="E19" s="6" t="str">
        <f aca="false">'Dish Database'!E7</f>
        <v>Pan-India</v>
      </c>
      <c r="F19" s="6" t="s">
        <v>2246</v>
      </c>
      <c r="G19" s="6" t="s">
        <v>2247</v>
      </c>
      <c r="H19" s="16" t="n">
        <v>250</v>
      </c>
      <c r="I19" s="6" t="str">
        <f aca="false">'Dish Database'!I7</f>
        <v>ml</v>
      </c>
      <c r="J19" s="13" t="n">
        <f aca="false">'Dish Database'!J7*H19/100</f>
        <v>50</v>
      </c>
      <c r="K19" s="17" t="n">
        <f aca="false">'Dish Database'!K7*H19/100</f>
        <v>0</v>
      </c>
      <c r="L19" s="17" t="n">
        <f aca="false">'Dish Database'!L7*H19/100</f>
        <v>12.5</v>
      </c>
      <c r="M19" s="17" t="n">
        <f aca="false">'Dish Database'!M7*H19/100</f>
        <v>0</v>
      </c>
      <c r="N19" s="17" t="n">
        <f aca="false">'Dish Database'!N7*H19/100</f>
        <v>0</v>
      </c>
      <c r="O19" s="17" t="n">
        <f aca="false">'Dish Database'!O7*H19/100</f>
        <v>12.5</v>
      </c>
      <c r="P19" s="13" t="n">
        <f aca="false">'Dish Database'!P7*H19/100</f>
        <v>7.5</v>
      </c>
    </row>
    <row r="20" customFormat="false" ht="15" hidden="false" customHeight="false" outlineLevel="0" collapsed="false">
      <c r="A20" s="6" t="str">
        <f aca="false">'Dish Database'!A8</f>
        <v>D007</v>
      </c>
      <c r="B20" s="6" t="str">
        <f aca="false">'Dish Database'!B8</f>
        <v>Green tea, no sugar</v>
      </c>
      <c r="C20" s="6" t="str">
        <f aca="false">'Dish Database'!D8</f>
        <v>Hot Beverages</v>
      </c>
      <c r="D20" s="6" t="str">
        <f aca="false">'Dish Database'!F8</f>
        <v>Veg</v>
      </c>
      <c r="E20" s="6" t="str">
        <f aca="false">'Dish Database'!E8</f>
        <v>Pan-India</v>
      </c>
      <c r="F20" s="6" t="s">
        <v>2243</v>
      </c>
      <c r="G20" s="6" t="s">
        <v>2244</v>
      </c>
      <c r="H20" s="16" t="n">
        <v>75</v>
      </c>
      <c r="I20" s="6" t="str">
        <f aca="false">'Dish Database'!I8</f>
        <v>ml</v>
      </c>
      <c r="J20" s="13" t="n">
        <f aca="false">'Dish Database'!J8*H20/100</f>
        <v>0.6</v>
      </c>
      <c r="K20" s="17" t="n">
        <f aca="false">'Dish Database'!K8*H20/100</f>
        <v>0.15</v>
      </c>
      <c r="L20" s="17" t="n">
        <f aca="false">'Dish Database'!L8*H20/100</f>
        <v>0</v>
      </c>
      <c r="M20" s="17" t="n">
        <f aca="false">'Dish Database'!M8*H20/100</f>
        <v>0</v>
      </c>
      <c r="N20" s="17" t="n">
        <f aca="false">'Dish Database'!N8*H20/100</f>
        <v>0</v>
      </c>
      <c r="O20" s="17" t="n">
        <f aca="false">'Dish Database'!O8*H20/100</f>
        <v>0</v>
      </c>
      <c r="P20" s="13" t="n">
        <f aca="false">'Dish Database'!P8*H20/100</f>
        <v>0.75</v>
      </c>
    </row>
    <row r="21" customFormat="false" ht="15" hidden="false" customHeight="false" outlineLevel="0" collapsed="false">
      <c r="A21" s="6" t="str">
        <f aca="false">'Dish Database'!A8</f>
        <v>D007</v>
      </c>
      <c r="B21" s="6" t="str">
        <f aca="false">'Dish Database'!B8</f>
        <v>Green tea, no sugar</v>
      </c>
      <c r="C21" s="6" t="str">
        <f aca="false">'Dish Database'!D8</f>
        <v>Hot Beverages</v>
      </c>
      <c r="D21" s="6" t="str">
        <f aca="false">'Dish Database'!F8</f>
        <v>Veg</v>
      </c>
      <c r="E21" s="6" t="str">
        <f aca="false">'Dish Database'!E8</f>
        <v>Pan-India</v>
      </c>
      <c r="F21" s="6" t="s">
        <v>103</v>
      </c>
      <c r="G21" s="6" t="s">
        <v>2245</v>
      </c>
      <c r="H21" s="16" t="n">
        <v>150</v>
      </c>
      <c r="I21" s="6" t="str">
        <f aca="false">'Dish Database'!I8</f>
        <v>ml</v>
      </c>
      <c r="J21" s="13" t="n">
        <f aca="false">'Dish Database'!J8*H21/100</f>
        <v>1.2</v>
      </c>
      <c r="K21" s="17" t="n">
        <f aca="false">'Dish Database'!K8*H21/100</f>
        <v>0.3</v>
      </c>
      <c r="L21" s="17" t="n">
        <f aca="false">'Dish Database'!L8*H21/100</f>
        <v>0</v>
      </c>
      <c r="M21" s="17" t="n">
        <f aca="false">'Dish Database'!M8*H21/100</f>
        <v>0</v>
      </c>
      <c r="N21" s="17" t="n">
        <f aca="false">'Dish Database'!N8*H21/100</f>
        <v>0</v>
      </c>
      <c r="O21" s="17" t="n">
        <f aca="false">'Dish Database'!O8*H21/100</f>
        <v>0</v>
      </c>
      <c r="P21" s="13" t="n">
        <f aca="false">'Dish Database'!P8*H21/100</f>
        <v>1.5</v>
      </c>
    </row>
    <row r="22" customFormat="false" ht="15" hidden="false" customHeight="false" outlineLevel="0" collapsed="false">
      <c r="A22" s="6" t="str">
        <f aca="false">'Dish Database'!A8</f>
        <v>D007</v>
      </c>
      <c r="B22" s="6" t="str">
        <f aca="false">'Dish Database'!B8</f>
        <v>Green tea, no sugar</v>
      </c>
      <c r="C22" s="6" t="str">
        <f aca="false">'Dish Database'!D8</f>
        <v>Hot Beverages</v>
      </c>
      <c r="D22" s="6" t="str">
        <f aca="false">'Dish Database'!F8</f>
        <v>Veg</v>
      </c>
      <c r="E22" s="6" t="str">
        <f aca="false">'Dish Database'!E8</f>
        <v>Pan-India</v>
      </c>
      <c r="F22" s="6" t="s">
        <v>2246</v>
      </c>
      <c r="G22" s="6" t="s">
        <v>2247</v>
      </c>
      <c r="H22" s="16" t="n">
        <v>250</v>
      </c>
      <c r="I22" s="6" t="str">
        <f aca="false">'Dish Database'!I8</f>
        <v>ml</v>
      </c>
      <c r="J22" s="13" t="n">
        <f aca="false">'Dish Database'!J8*H22/100</f>
        <v>2</v>
      </c>
      <c r="K22" s="17" t="n">
        <f aca="false">'Dish Database'!K8*H22/100</f>
        <v>0.5</v>
      </c>
      <c r="L22" s="17" t="n">
        <f aca="false">'Dish Database'!L8*H22/100</f>
        <v>0</v>
      </c>
      <c r="M22" s="17" t="n">
        <f aca="false">'Dish Database'!M8*H22/100</f>
        <v>0</v>
      </c>
      <c r="N22" s="17" t="n">
        <f aca="false">'Dish Database'!N8*H22/100</f>
        <v>0</v>
      </c>
      <c r="O22" s="17" t="n">
        <f aca="false">'Dish Database'!O8*H22/100</f>
        <v>0</v>
      </c>
      <c r="P22" s="13" t="n">
        <f aca="false">'Dish Database'!P8*H22/100</f>
        <v>2.5</v>
      </c>
    </row>
    <row r="23" customFormat="false" ht="15" hidden="false" customHeight="false" outlineLevel="0" collapsed="false">
      <c r="A23" s="6" t="str">
        <f aca="false">'Dish Database'!A9</f>
        <v>D008</v>
      </c>
      <c r="B23" s="6" t="str">
        <f aca="false">'Dish Database'!B9</f>
        <v>South Indian filter coffee (milk + sugar)</v>
      </c>
      <c r="C23" s="6" t="str">
        <f aca="false">'Dish Database'!D9</f>
        <v>Hot Beverages</v>
      </c>
      <c r="D23" s="6" t="str">
        <f aca="false">'Dish Database'!F9</f>
        <v>Veg</v>
      </c>
      <c r="E23" s="6" t="str">
        <f aca="false">'Dish Database'!E9</f>
        <v>South</v>
      </c>
      <c r="F23" s="6" t="s">
        <v>2243</v>
      </c>
      <c r="G23" s="6" t="s">
        <v>2244</v>
      </c>
      <c r="H23" s="16" t="n">
        <v>75</v>
      </c>
      <c r="I23" s="6" t="str">
        <f aca="false">'Dish Database'!I9</f>
        <v>ml</v>
      </c>
      <c r="J23" s="13" t="n">
        <f aca="false">'Dish Database'!J9*H23/100</f>
        <v>53.175</v>
      </c>
      <c r="K23" s="17" t="n">
        <f aca="false">'Dish Database'!K9*H23/100</f>
        <v>1.95</v>
      </c>
      <c r="L23" s="17" t="n">
        <f aca="false">'Dish Database'!L9*H23/100</f>
        <v>7.125</v>
      </c>
      <c r="M23" s="17" t="n">
        <f aca="false">'Dish Database'!M9*H23/100</f>
        <v>1.875</v>
      </c>
      <c r="N23" s="17" t="n">
        <f aca="false">'Dish Database'!N9*H23/100</f>
        <v>0</v>
      </c>
      <c r="O23" s="17" t="n">
        <f aca="false">'Dish Database'!O9*H23/100</f>
        <v>7.125</v>
      </c>
      <c r="P23" s="13" t="n">
        <f aca="false">'Dish Database'!P9*H23/100</f>
        <v>26.25</v>
      </c>
    </row>
    <row r="24" customFormat="false" ht="15" hidden="false" customHeight="false" outlineLevel="0" collapsed="false">
      <c r="A24" s="6" t="str">
        <f aca="false">'Dish Database'!A9</f>
        <v>D008</v>
      </c>
      <c r="B24" s="6" t="str">
        <f aca="false">'Dish Database'!B9</f>
        <v>South Indian filter coffee (milk + sugar)</v>
      </c>
      <c r="C24" s="6" t="str">
        <f aca="false">'Dish Database'!D9</f>
        <v>Hot Beverages</v>
      </c>
      <c r="D24" s="6" t="str">
        <f aca="false">'Dish Database'!F9</f>
        <v>Veg</v>
      </c>
      <c r="E24" s="6" t="str">
        <f aca="false">'Dish Database'!E9</f>
        <v>South</v>
      </c>
      <c r="F24" s="6" t="s">
        <v>103</v>
      </c>
      <c r="G24" s="6" t="s">
        <v>2245</v>
      </c>
      <c r="H24" s="16" t="n">
        <v>150</v>
      </c>
      <c r="I24" s="6" t="str">
        <f aca="false">'Dish Database'!I9</f>
        <v>ml</v>
      </c>
      <c r="J24" s="13" t="n">
        <f aca="false">'Dish Database'!J9*H24/100</f>
        <v>106.35</v>
      </c>
      <c r="K24" s="17" t="n">
        <f aca="false">'Dish Database'!K9*H24/100</f>
        <v>3.9</v>
      </c>
      <c r="L24" s="17" t="n">
        <f aca="false">'Dish Database'!L9*H24/100</f>
        <v>14.25</v>
      </c>
      <c r="M24" s="17" t="n">
        <f aca="false">'Dish Database'!M9*H24/100</f>
        <v>3.75</v>
      </c>
      <c r="N24" s="17" t="n">
        <f aca="false">'Dish Database'!N9*H24/100</f>
        <v>0</v>
      </c>
      <c r="O24" s="17" t="n">
        <f aca="false">'Dish Database'!O9*H24/100</f>
        <v>14.25</v>
      </c>
      <c r="P24" s="13" t="n">
        <f aca="false">'Dish Database'!P9*H24/100</f>
        <v>52.5</v>
      </c>
    </row>
    <row r="25" customFormat="false" ht="15" hidden="false" customHeight="false" outlineLevel="0" collapsed="false">
      <c r="A25" s="6" t="str">
        <f aca="false">'Dish Database'!A9</f>
        <v>D008</v>
      </c>
      <c r="B25" s="6" t="str">
        <f aca="false">'Dish Database'!B9</f>
        <v>South Indian filter coffee (milk + sugar)</v>
      </c>
      <c r="C25" s="6" t="str">
        <f aca="false">'Dish Database'!D9</f>
        <v>Hot Beverages</v>
      </c>
      <c r="D25" s="6" t="str">
        <f aca="false">'Dish Database'!F9</f>
        <v>Veg</v>
      </c>
      <c r="E25" s="6" t="str">
        <f aca="false">'Dish Database'!E9</f>
        <v>South</v>
      </c>
      <c r="F25" s="6" t="s">
        <v>2246</v>
      </c>
      <c r="G25" s="6" t="s">
        <v>2247</v>
      </c>
      <c r="H25" s="16" t="n">
        <v>250</v>
      </c>
      <c r="I25" s="6" t="str">
        <f aca="false">'Dish Database'!I9</f>
        <v>ml</v>
      </c>
      <c r="J25" s="13" t="n">
        <f aca="false">'Dish Database'!J9*H25/100</f>
        <v>177.25</v>
      </c>
      <c r="K25" s="17" t="n">
        <f aca="false">'Dish Database'!K9*H25/100</f>
        <v>6.5</v>
      </c>
      <c r="L25" s="17" t="n">
        <f aca="false">'Dish Database'!L9*H25/100</f>
        <v>23.75</v>
      </c>
      <c r="M25" s="17" t="n">
        <f aca="false">'Dish Database'!M9*H25/100</f>
        <v>6.25</v>
      </c>
      <c r="N25" s="17" t="n">
        <f aca="false">'Dish Database'!N9*H25/100</f>
        <v>0</v>
      </c>
      <c r="O25" s="17" t="n">
        <f aca="false">'Dish Database'!O9*H25/100</f>
        <v>23.75</v>
      </c>
      <c r="P25" s="13" t="n">
        <f aca="false">'Dish Database'!P9*H25/100</f>
        <v>87.5</v>
      </c>
    </row>
    <row r="26" customFormat="false" ht="15" hidden="false" customHeight="false" outlineLevel="0" collapsed="false">
      <c r="A26" s="6" t="str">
        <f aca="false">'Dish Database'!A10</f>
        <v>D009</v>
      </c>
      <c r="B26" s="6" t="str">
        <f aca="false">'Dish Database'!B10</f>
        <v>Instant coffee with milk &amp; sugar</v>
      </c>
      <c r="C26" s="6" t="str">
        <f aca="false">'Dish Database'!D10</f>
        <v>Hot Beverages</v>
      </c>
      <c r="D26" s="6" t="str">
        <f aca="false">'Dish Database'!F10</f>
        <v>Veg</v>
      </c>
      <c r="E26" s="6" t="str">
        <f aca="false">'Dish Database'!E10</f>
        <v>Pan-India</v>
      </c>
      <c r="F26" s="6" t="s">
        <v>2243</v>
      </c>
      <c r="G26" s="6" t="s">
        <v>2244</v>
      </c>
      <c r="H26" s="16" t="n">
        <v>75</v>
      </c>
      <c r="I26" s="6" t="str">
        <f aca="false">'Dish Database'!I10</f>
        <v>ml</v>
      </c>
      <c r="J26" s="13" t="n">
        <f aca="false">'Dish Database'!J10*H26/100</f>
        <v>55.8</v>
      </c>
      <c r="K26" s="17" t="n">
        <f aca="false">'Dish Database'!K10*H26/100</f>
        <v>2.1</v>
      </c>
      <c r="L26" s="17" t="n">
        <f aca="false">'Dish Database'!L10*H26/100</f>
        <v>7.125</v>
      </c>
      <c r="M26" s="17" t="n">
        <f aca="false">'Dish Database'!M10*H26/100</f>
        <v>2.1</v>
      </c>
      <c r="N26" s="17" t="n">
        <f aca="false">'Dish Database'!N10*H26/100</f>
        <v>0</v>
      </c>
      <c r="O26" s="17" t="n">
        <f aca="false">'Dish Database'!O10*H26/100</f>
        <v>7.125</v>
      </c>
      <c r="P26" s="13" t="n">
        <f aca="false">'Dish Database'!P10*H26/100</f>
        <v>30</v>
      </c>
    </row>
    <row r="27" customFormat="false" ht="15" hidden="false" customHeight="false" outlineLevel="0" collapsed="false">
      <c r="A27" s="6" t="str">
        <f aca="false">'Dish Database'!A10</f>
        <v>D009</v>
      </c>
      <c r="B27" s="6" t="str">
        <f aca="false">'Dish Database'!B10</f>
        <v>Instant coffee with milk &amp; sugar</v>
      </c>
      <c r="C27" s="6" t="str">
        <f aca="false">'Dish Database'!D10</f>
        <v>Hot Beverages</v>
      </c>
      <c r="D27" s="6" t="str">
        <f aca="false">'Dish Database'!F10</f>
        <v>Veg</v>
      </c>
      <c r="E27" s="6" t="str">
        <f aca="false">'Dish Database'!E10</f>
        <v>Pan-India</v>
      </c>
      <c r="F27" s="6" t="s">
        <v>103</v>
      </c>
      <c r="G27" s="6" t="s">
        <v>2245</v>
      </c>
      <c r="H27" s="16" t="n">
        <v>150</v>
      </c>
      <c r="I27" s="6" t="str">
        <f aca="false">'Dish Database'!I10</f>
        <v>ml</v>
      </c>
      <c r="J27" s="13" t="n">
        <f aca="false">'Dish Database'!J10*H27/100</f>
        <v>111.6</v>
      </c>
      <c r="K27" s="17" t="n">
        <f aca="false">'Dish Database'!K10*H27/100</f>
        <v>4.2</v>
      </c>
      <c r="L27" s="17" t="n">
        <f aca="false">'Dish Database'!L10*H27/100</f>
        <v>14.25</v>
      </c>
      <c r="M27" s="17" t="n">
        <f aca="false">'Dish Database'!M10*H27/100</f>
        <v>4.2</v>
      </c>
      <c r="N27" s="17" t="n">
        <f aca="false">'Dish Database'!N10*H27/100</f>
        <v>0</v>
      </c>
      <c r="O27" s="17" t="n">
        <f aca="false">'Dish Database'!O10*H27/100</f>
        <v>14.25</v>
      </c>
      <c r="P27" s="13" t="n">
        <f aca="false">'Dish Database'!P10*H27/100</f>
        <v>60</v>
      </c>
    </row>
    <row r="28" customFormat="false" ht="15" hidden="false" customHeight="false" outlineLevel="0" collapsed="false">
      <c r="A28" s="6" t="str">
        <f aca="false">'Dish Database'!A10</f>
        <v>D009</v>
      </c>
      <c r="B28" s="6" t="str">
        <f aca="false">'Dish Database'!B10</f>
        <v>Instant coffee with milk &amp; sugar</v>
      </c>
      <c r="C28" s="6" t="str">
        <f aca="false">'Dish Database'!D10</f>
        <v>Hot Beverages</v>
      </c>
      <c r="D28" s="6" t="str">
        <f aca="false">'Dish Database'!F10</f>
        <v>Veg</v>
      </c>
      <c r="E28" s="6" t="str">
        <f aca="false">'Dish Database'!E10</f>
        <v>Pan-India</v>
      </c>
      <c r="F28" s="6" t="s">
        <v>2246</v>
      </c>
      <c r="G28" s="6" t="s">
        <v>2247</v>
      </c>
      <c r="H28" s="16" t="n">
        <v>250</v>
      </c>
      <c r="I28" s="6" t="str">
        <f aca="false">'Dish Database'!I10</f>
        <v>ml</v>
      </c>
      <c r="J28" s="13" t="n">
        <f aca="false">'Dish Database'!J10*H28/100</f>
        <v>186</v>
      </c>
      <c r="K28" s="17" t="n">
        <f aca="false">'Dish Database'!K10*H28/100</f>
        <v>7</v>
      </c>
      <c r="L28" s="17" t="n">
        <f aca="false">'Dish Database'!L10*H28/100</f>
        <v>23.75</v>
      </c>
      <c r="M28" s="17" t="n">
        <f aca="false">'Dish Database'!M10*H28/100</f>
        <v>7</v>
      </c>
      <c r="N28" s="17" t="n">
        <f aca="false">'Dish Database'!N10*H28/100</f>
        <v>0</v>
      </c>
      <c r="O28" s="17" t="n">
        <f aca="false">'Dish Database'!O10*H28/100</f>
        <v>23.75</v>
      </c>
      <c r="P28" s="13" t="n">
        <f aca="false">'Dish Database'!P10*H28/100</f>
        <v>100</v>
      </c>
    </row>
    <row r="29" customFormat="false" ht="15" hidden="false" customHeight="false" outlineLevel="0" collapsed="false">
      <c r="A29" s="6" t="str">
        <f aca="false">'Dish Database'!A11</f>
        <v>D010</v>
      </c>
      <c r="B29" s="6" t="str">
        <f aca="false">'Dish Database'!B11</f>
        <v>Black coffee, no sugar</v>
      </c>
      <c r="C29" s="6" t="str">
        <f aca="false">'Dish Database'!D11</f>
        <v>Hot Beverages</v>
      </c>
      <c r="D29" s="6" t="str">
        <f aca="false">'Dish Database'!F11</f>
        <v>Veg</v>
      </c>
      <c r="E29" s="6" t="str">
        <f aca="false">'Dish Database'!E11</f>
        <v>Pan-India</v>
      </c>
      <c r="F29" s="6" t="s">
        <v>2243</v>
      </c>
      <c r="G29" s="6" t="s">
        <v>2244</v>
      </c>
      <c r="H29" s="16" t="n">
        <v>75</v>
      </c>
      <c r="I29" s="6" t="str">
        <f aca="false">'Dish Database'!I11</f>
        <v>ml</v>
      </c>
      <c r="J29" s="13" t="n">
        <f aca="false">'Dish Database'!J11*H29/100</f>
        <v>0.6</v>
      </c>
      <c r="K29" s="17" t="n">
        <f aca="false">'Dish Database'!K11*H29/100</f>
        <v>0.075</v>
      </c>
      <c r="L29" s="17" t="n">
        <f aca="false">'Dish Database'!L11*H29/100</f>
        <v>0.075</v>
      </c>
      <c r="M29" s="17" t="n">
        <f aca="false">'Dish Database'!M11*H29/100</f>
        <v>0</v>
      </c>
      <c r="N29" s="17" t="n">
        <f aca="false">'Dish Database'!N11*H29/100</f>
        <v>0</v>
      </c>
      <c r="O29" s="17" t="n">
        <f aca="false">'Dish Database'!O11*H29/100</f>
        <v>0</v>
      </c>
      <c r="P29" s="13" t="n">
        <f aca="false">'Dish Database'!P11*H29/100</f>
        <v>1.5</v>
      </c>
    </row>
    <row r="30" customFormat="false" ht="15" hidden="false" customHeight="false" outlineLevel="0" collapsed="false">
      <c r="A30" s="6" t="str">
        <f aca="false">'Dish Database'!A11</f>
        <v>D010</v>
      </c>
      <c r="B30" s="6" t="str">
        <f aca="false">'Dish Database'!B11</f>
        <v>Black coffee, no sugar</v>
      </c>
      <c r="C30" s="6" t="str">
        <f aca="false">'Dish Database'!D11</f>
        <v>Hot Beverages</v>
      </c>
      <c r="D30" s="6" t="str">
        <f aca="false">'Dish Database'!F11</f>
        <v>Veg</v>
      </c>
      <c r="E30" s="6" t="str">
        <f aca="false">'Dish Database'!E11</f>
        <v>Pan-India</v>
      </c>
      <c r="F30" s="6" t="s">
        <v>103</v>
      </c>
      <c r="G30" s="6" t="s">
        <v>2245</v>
      </c>
      <c r="H30" s="16" t="n">
        <v>150</v>
      </c>
      <c r="I30" s="6" t="str">
        <f aca="false">'Dish Database'!I11</f>
        <v>ml</v>
      </c>
      <c r="J30" s="13" t="n">
        <f aca="false">'Dish Database'!J11*H30/100</f>
        <v>1.2</v>
      </c>
      <c r="K30" s="17" t="n">
        <f aca="false">'Dish Database'!K11*H30/100</f>
        <v>0.15</v>
      </c>
      <c r="L30" s="17" t="n">
        <f aca="false">'Dish Database'!L11*H30/100</f>
        <v>0.15</v>
      </c>
      <c r="M30" s="17" t="n">
        <f aca="false">'Dish Database'!M11*H30/100</f>
        <v>0</v>
      </c>
      <c r="N30" s="17" t="n">
        <f aca="false">'Dish Database'!N11*H30/100</f>
        <v>0</v>
      </c>
      <c r="O30" s="17" t="n">
        <f aca="false">'Dish Database'!O11*H30/100</f>
        <v>0</v>
      </c>
      <c r="P30" s="13" t="n">
        <f aca="false">'Dish Database'!P11*H30/100</f>
        <v>3</v>
      </c>
    </row>
    <row r="31" customFormat="false" ht="15" hidden="false" customHeight="false" outlineLevel="0" collapsed="false">
      <c r="A31" s="6" t="str">
        <f aca="false">'Dish Database'!A11</f>
        <v>D010</v>
      </c>
      <c r="B31" s="6" t="str">
        <f aca="false">'Dish Database'!B11</f>
        <v>Black coffee, no sugar</v>
      </c>
      <c r="C31" s="6" t="str">
        <f aca="false">'Dish Database'!D11</f>
        <v>Hot Beverages</v>
      </c>
      <c r="D31" s="6" t="str">
        <f aca="false">'Dish Database'!F11</f>
        <v>Veg</v>
      </c>
      <c r="E31" s="6" t="str">
        <f aca="false">'Dish Database'!E11</f>
        <v>Pan-India</v>
      </c>
      <c r="F31" s="6" t="s">
        <v>2246</v>
      </c>
      <c r="G31" s="6" t="s">
        <v>2247</v>
      </c>
      <c r="H31" s="16" t="n">
        <v>250</v>
      </c>
      <c r="I31" s="6" t="str">
        <f aca="false">'Dish Database'!I11</f>
        <v>ml</v>
      </c>
      <c r="J31" s="13" t="n">
        <f aca="false">'Dish Database'!J11*H31/100</f>
        <v>2</v>
      </c>
      <c r="K31" s="17" t="n">
        <f aca="false">'Dish Database'!K11*H31/100</f>
        <v>0.25</v>
      </c>
      <c r="L31" s="17" t="n">
        <f aca="false">'Dish Database'!L11*H31/100</f>
        <v>0.25</v>
      </c>
      <c r="M31" s="17" t="n">
        <f aca="false">'Dish Database'!M11*H31/100</f>
        <v>0</v>
      </c>
      <c r="N31" s="17" t="n">
        <f aca="false">'Dish Database'!N11*H31/100</f>
        <v>0</v>
      </c>
      <c r="O31" s="17" t="n">
        <f aca="false">'Dish Database'!O11*H31/100</f>
        <v>0</v>
      </c>
      <c r="P31" s="13" t="n">
        <f aca="false">'Dish Database'!P11*H31/100</f>
        <v>5</v>
      </c>
    </row>
    <row r="32" customFormat="false" ht="15" hidden="false" customHeight="false" outlineLevel="0" collapsed="false">
      <c r="A32" s="6" t="str">
        <f aca="false">'Dish Database'!A12</f>
        <v>D011</v>
      </c>
      <c r="B32" s="6" t="str">
        <f aca="false">'Dish Database'!B12</f>
        <v>Hot chocolate / cocoa milk</v>
      </c>
      <c r="C32" s="6" t="str">
        <f aca="false">'Dish Database'!D12</f>
        <v>Hot Beverages</v>
      </c>
      <c r="D32" s="6" t="str">
        <f aca="false">'Dish Database'!F12</f>
        <v>Veg</v>
      </c>
      <c r="E32" s="6" t="str">
        <f aca="false">'Dish Database'!E12</f>
        <v>Pan-India</v>
      </c>
      <c r="F32" s="6" t="s">
        <v>2243</v>
      </c>
      <c r="G32" s="6" t="s">
        <v>2244</v>
      </c>
      <c r="H32" s="16" t="n">
        <v>75</v>
      </c>
      <c r="I32" s="6" t="str">
        <f aca="false">'Dish Database'!I12</f>
        <v>ml</v>
      </c>
      <c r="J32" s="13" t="n">
        <f aca="false">'Dish Database'!J12*H32/100</f>
        <v>69.825</v>
      </c>
      <c r="K32" s="17" t="n">
        <f aca="false">'Dish Database'!K12*H32/100</f>
        <v>2.4</v>
      </c>
      <c r="L32" s="17" t="n">
        <f aca="false">'Dish Database'!L12*H32/100</f>
        <v>9.375</v>
      </c>
      <c r="M32" s="17" t="n">
        <f aca="false">'Dish Database'!M12*H32/100</f>
        <v>2.625</v>
      </c>
      <c r="N32" s="17" t="n">
        <f aca="false">'Dish Database'!N12*H32/100</f>
        <v>0.45</v>
      </c>
      <c r="O32" s="17" t="n">
        <f aca="false">'Dish Database'!O12*H32/100</f>
        <v>8.25</v>
      </c>
      <c r="P32" s="13" t="n">
        <f aca="false">'Dish Database'!P12*H32/100</f>
        <v>37.5</v>
      </c>
    </row>
    <row r="33" customFormat="false" ht="15" hidden="false" customHeight="false" outlineLevel="0" collapsed="false">
      <c r="A33" s="6" t="str">
        <f aca="false">'Dish Database'!A12</f>
        <v>D011</v>
      </c>
      <c r="B33" s="6" t="str">
        <f aca="false">'Dish Database'!B12</f>
        <v>Hot chocolate / cocoa milk</v>
      </c>
      <c r="C33" s="6" t="str">
        <f aca="false">'Dish Database'!D12</f>
        <v>Hot Beverages</v>
      </c>
      <c r="D33" s="6" t="str">
        <f aca="false">'Dish Database'!F12</f>
        <v>Veg</v>
      </c>
      <c r="E33" s="6" t="str">
        <f aca="false">'Dish Database'!E12</f>
        <v>Pan-India</v>
      </c>
      <c r="F33" s="6" t="s">
        <v>103</v>
      </c>
      <c r="G33" s="6" t="s">
        <v>2245</v>
      </c>
      <c r="H33" s="16" t="n">
        <v>150</v>
      </c>
      <c r="I33" s="6" t="str">
        <f aca="false">'Dish Database'!I12</f>
        <v>ml</v>
      </c>
      <c r="J33" s="13" t="n">
        <f aca="false">'Dish Database'!J12*H33/100</f>
        <v>139.65</v>
      </c>
      <c r="K33" s="17" t="n">
        <f aca="false">'Dish Database'!K12*H33/100</f>
        <v>4.8</v>
      </c>
      <c r="L33" s="17" t="n">
        <f aca="false">'Dish Database'!L12*H33/100</f>
        <v>18.75</v>
      </c>
      <c r="M33" s="17" t="n">
        <f aca="false">'Dish Database'!M12*H33/100</f>
        <v>5.25</v>
      </c>
      <c r="N33" s="17" t="n">
        <f aca="false">'Dish Database'!N12*H33/100</f>
        <v>0.9</v>
      </c>
      <c r="O33" s="17" t="n">
        <f aca="false">'Dish Database'!O12*H33/100</f>
        <v>16.5</v>
      </c>
      <c r="P33" s="13" t="n">
        <f aca="false">'Dish Database'!P12*H33/100</f>
        <v>75</v>
      </c>
    </row>
    <row r="34" customFormat="false" ht="15" hidden="false" customHeight="false" outlineLevel="0" collapsed="false">
      <c r="A34" s="6" t="str">
        <f aca="false">'Dish Database'!A12</f>
        <v>D011</v>
      </c>
      <c r="B34" s="6" t="str">
        <f aca="false">'Dish Database'!B12</f>
        <v>Hot chocolate / cocoa milk</v>
      </c>
      <c r="C34" s="6" t="str">
        <f aca="false">'Dish Database'!D12</f>
        <v>Hot Beverages</v>
      </c>
      <c r="D34" s="6" t="str">
        <f aca="false">'Dish Database'!F12</f>
        <v>Veg</v>
      </c>
      <c r="E34" s="6" t="str">
        <f aca="false">'Dish Database'!E12</f>
        <v>Pan-India</v>
      </c>
      <c r="F34" s="6" t="s">
        <v>2246</v>
      </c>
      <c r="G34" s="6" t="s">
        <v>2247</v>
      </c>
      <c r="H34" s="16" t="n">
        <v>250</v>
      </c>
      <c r="I34" s="6" t="str">
        <f aca="false">'Dish Database'!I12</f>
        <v>ml</v>
      </c>
      <c r="J34" s="13" t="n">
        <f aca="false">'Dish Database'!J12*H34/100</f>
        <v>232.75</v>
      </c>
      <c r="K34" s="17" t="n">
        <f aca="false">'Dish Database'!K12*H34/100</f>
        <v>8</v>
      </c>
      <c r="L34" s="17" t="n">
        <f aca="false">'Dish Database'!L12*H34/100</f>
        <v>31.25</v>
      </c>
      <c r="M34" s="17" t="n">
        <f aca="false">'Dish Database'!M12*H34/100</f>
        <v>8.75</v>
      </c>
      <c r="N34" s="17" t="n">
        <f aca="false">'Dish Database'!N12*H34/100</f>
        <v>1.5</v>
      </c>
      <c r="O34" s="17" t="n">
        <f aca="false">'Dish Database'!O12*H34/100</f>
        <v>27.5</v>
      </c>
      <c r="P34" s="13" t="n">
        <f aca="false">'Dish Database'!P12*H34/100</f>
        <v>125</v>
      </c>
    </row>
    <row r="35" customFormat="false" ht="15" hidden="false" customHeight="false" outlineLevel="0" collapsed="false">
      <c r="A35" s="6" t="str">
        <f aca="false">'Dish Database'!A13</f>
        <v>D012</v>
      </c>
      <c r="B35" s="6" t="str">
        <f aca="false">'Dish Database'!B13</f>
        <v>Haldi doodh (turmeric milk)</v>
      </c>
      <c r="C35" s="6" t="str">
        <f aca="false">'Dish Database'!D13</f>
        <v>Hot Beverages</v>
      </c>
      <c r="D35" s="6" t="str">
        <f aca="false">'Dish Database'!F13</f>
        <v>Veg</v>
      </c>
      <c r="E35" s="6" t="str">
        <f aca="false">'Dish Database'!E13</f>
        <v>Pan-India</v>
      </c>
      <c r="F35" s="6" t="s">
        <v>2243</v>
      </c>
      <c r="G35" s="6" t="s">
        <v>2248</v>
      </c>
      <c r="H35" s="16" t="n">
        <v>150</v>
      </c>
      <c r="I35" s="6" t="str">
        <f aca="false">'Dish Database'!I13</f>
        <v>ml</v>
      </c>
      <c r="J35" s="13" t="n">
        <f aca="false">'Dish Database'!J13*H35/100</f>
        <v>110.1</v>
      </c>
      <c r="K35" s="17" t="n">
        <f aca="false">'Dish Database'!K13*H35/100</f>
        <v>4.8</v>
      </c>
      <c r="L35" s="17" t="n">
        <f aca="false">'Dish Database'!L13*H35/100</f>
        <v>11.25</v>
      </c>
      <c r="M35" s="17" t="n">
        <f aca="false">'Dish Database'!M13*H35/100</f>
        <v>5.1</v>
      </c>
      <c r="N35" s="17" t="n">
        <f aca="false">'Dish Database'!N13*H35/100</f>
        <v>0</v>
      </c>
      <c r="O35" s="17" t="n">
        <f aca="false">'Dish Database'!O13*H35/100</f>
        <v>10.95</v>
      </c>
      <c r="P35" s="13" t="n">
        <f aca="false">'Dish Database'!P13*H35/100</f>
        <v>64.5</v>
      </c>
    </row>
    <row r="36" customFormat="false" ht="15" hidden="false" customHeight="false" outlineLevel="0" collapsed="false">
      <c r="A36" s="6" t="str">
        <f aca="false">'Dish Database'!A13</f>
        <v>D012</v>
      </c>
      <c r="B36" s="6" t="str">
        <f aca="false">'Dish Database'!B13</f>
        <v>Haldi doodh (turmeric milk)</v>
      </c>
      <c r="C36" s="6" t="str">
        <f aca="false">'Dish Database'!D13</f>
        <v>Hot Beverages</v>
      </c>
      <c r="D36" s="6" t="str">
        <f aca="false">'Dish Database'!F13</f>
        <v>Veg</v>
      </c>
      <c r="E36" s="6" t="str">
        <f aca="false">'Dish Database'!E13</f>
        <v>Pan-India</v>
      </c>
      <c r="F36" s="6" t="s">
        <v>103</v>
      </c>
      <c r="G36" s="6" t="s">
        <v>2249</v>
      </c>
      <c r="H36" s="16" t="n">
        <v>200</v>
      </c>
      <c r="I36" s="6" t="str">
        <f aca="false">'Dish Database'!I13</f>
        <v>ml</v>
      </c>
      <c r="J36" s="13" t="n">
        <f aca="false">'Dish Database'!J13*H36/100</f>
        <v>146.8</v>
      </c>
      <c r="K36" s="17" t="n">
        <f aca="false">'Dish Database'!K13*H36/100</f>
        <v>6.4</v>
      </c>
      <c r="L36" s="17" t="n">
        <f aca="false">'Dish Database'!L13*H36/100</f>
        <v>15</v>
      </c>
      <c r="M36" s="17" t="n">
        <f aca="false">'Dish Database'!M13*H36/100</f>
        <v>6.8</v>
      </c>
      <c r="N36" s="17" t="n">
        <f aca="false">'Dish Database'!N13*H36/100</f>
        <v>0</v>
      </c>
      <c r="O36" s="17" t="n">
        <f aca="false">'Dish Database'!O13*H36/100</f>
        <v>14.6</v>
      </c>
      <c r="P36" s="13" t="n">
        <f aca="false">'Dish Database'!P13*H36/100</f>
        <v>86</v>
      </c>
    </row>
    <row r="37" customFormat="false" ht="15" hidden="false" customHeight="false" outlineLevel="0" collapsed="false">
      <c r="A37" s="6" t="str">
        <f aca="false">'Dish Database'!A13</f>
        <v>D012</v>
      </c>
      <c r="B37" s="6" t="str">
        <f aca="false">'Dish Database'!B13</f>
        <v>Haldi doodh (turmeric milk)</v>
      </c>
      <c r="C37" s="6" t="str">
        <f aca="false">'Dish Database'!D13</f>
        <v>Hot Beverages</v>
      </c>
      <c r="D37" s="6" t="str">
        <f aca="false">'Dish Database'!F13</f>
        <v>Veg</v>
      </c>
      <c r="E37" s="6" t="str">
        <f aca="false">'Dish Database'!E13</f>
        <v>Pan-India</v>
      </c>
      <c r="F37" s="6" t="s">
        <v>2246</v>
      </c>
      <c r="G37" s="6" t="s">
        <v>2250</v>
      </c>
      <c r="H37" s="16" t="n">
        <v>300</v>
      </c>
      <c r="I37" s="6" t="str">
        <f aca="false">'Dish Database'!I13</f>
        <v>ml</v>
      </c>
      <c r="J37" s="13" t="n">
        <f aca="false">'Dish Database'!J13*H37/100</f>
        <v>220.2</v>
      </c>
      <c r="K37" s="17" t="n">
        <f aca="false">'Dish Database'!K13*H37/100</f>
        <v>9.6</v>
      </c>
      <c r="L37" s="17" t="n">
        <f aca="false">'Dish Database'!L13*H37/100</f>
        <v>22.5</v>
      </c>
      <c r="M37" s="17" t="n">
        <f aca="false">'Dish Database'!M13*H37/100</f>
        <v>10.2</v>
      </c>
      <c r="N37" s="17" t="n">
        <f aca="false">'Dish Database'!N13*H37/100</f>
        <v>0</v>
      </c>
      <c r="O37" s="17" t="n">
        <f aca="false">'Dish Database'!O13*H37/100</f>
        <v>21.9</v>
      </c>
      <c r="P37" s="13" t="n">
        <f aca="false">'Dish Database'!P13*H37/100</f>
        <v>129</v>
      </c>
    </row>
    <row r="38" customFormat="false" ht="15" hidden="false" customHeight="false" outlineLevel="0" collapsed="false">
      <c r="A38" s="6" t="str">
        <f aca="false">'Dish Database'!A14</f>
        <v>D013</v>
      </c>
      <c r="B38" s="6" t="str">
        <f aca="false">'Dish Database'!B14</f>
        <v>Badam milk (hot or cold)</v>
      </c>
      <c r="C38" s="6" t="str">
        <f aca="false">'Dish Database'!D14</f>
        <v>Hot Beverages</v>
      </c>
      <c r="D38" s="6" t="str">
        <f aca="false">'Dish Database'!F14</f>
        <v>Veg</v>
      </c>
      <c r="E38" s="6" t="str">
        <f aca="false">'Dish Database'!E14</f>
        <v>South</v>
      </c>
      <c r="F38" s="6" t="s">
        <v>2243</v>
      </c>
      <c r="G38" s="6" t="s">
        <v>2248</v>
      </c>
      <c r="H38" s="16" t="n">
        <v>150</v>
      </c>
      <c r="I38" s="6" t="str">
        <f aca="false">'Dish Database'!I14</f>
        <v>ml</v>
      </c>
      <c r="J38" s="13" t="n">
        <f aca="false">'Dish Database'!J14*H38/100</f>
        <v>154.35</v>
      </c>
      <c r="K38" s="17" t="n">
        <f aca="false">'Dish Database'!K14*H38/100</f>
        <v>5.7</v>
      </c>
      <c r="L38" s="17" t="n">
        <f aca="false">'Dish Database'!L14*H38/100</f>
        <v>18</v>
      </c>
      <c r="M38" s="17" t="n">
        <f aca="false">'Dish Database'!M14*H38/100</f>
        <v>6.75</v>
      </c>
      <c r="N38" s="17" t="n">
        <f aca="false">'Dish Database'!N14*H38/100</f>
        <v>0.6</v>
      </c>
      <c r="O38" s="17" t="n">
        <f aca="false">'Dish Database'!O14*H38/100</f>
        <v>17.25</v>
      </c>
      <c r="P38" s="13" t="n">
        <f aca="false">'Dish Database'!P14*H38/100</f>
        <v>63</v>
      </c>
    </row>
    <row r="39" customFormat="false" ht="15" hidden="false" customHeight="false" outlineLevel="0" collapsed="false">
      <c r="A39" s="6" t="str">
        <f aca="false">'Dish Database'!A14</f>
        <v>D013</v>
      </c>
      <c r="B39" s="6" t="str">
        <f aca="false">'Dish Database'!B14</f>
        <v>Badam milk (hot or cold)</v>
      </c>
      <c r="C39" s="6" t="str">
        <f aca="false">'Dish Database'!D14</f>
        <v>Hot Beverages</v>
      </c>
      <c r="D39" s="6" t="str">
        <f aca="false">'Dish Database'!F14</f>
        <v>Veg</v>
      </c>
      <c r="E39" s="6" t="str">
        <f aca="false">'Dish Database'!E14</f>
        <v>South</v>
      </c>
      <c r="F39" s="6" t="s">
        <v>103</v>
      </c>
      <c r="G39" s="6" t="s">
        <v>2249</v>
      </c>
      <c r="H39" s="16" t="n">
        <v>200</v>
      </c>
      <c r="I39" s="6" t="str">
        <f aca="false">'Dish Database'!I14</f>
        <v>ml</v>
      </c>
      <c r="J39" s="13" t="n">
        <f aca="false">'Dish Database'!J14*H39/100</f>
        <v>205.8</v>
      </c>
      <c r="K39" s="17" t="n">
        <f aca="false">'Dish Database'!K14*H39/100</f>
        <v>7.6</v>
      </c>
      <c r="L39" s="17" t="n">
        <f aca="false">'Dish Database'!L14*H39/100</f>
        <v>24</v>
      </c>
      <c r="M39" s="17" t="n">
        <f aca="false">'Dish Database'!M14*H39/100</f>
        <v>9</v>
      </c>
      <c r="N39" s="17" t="n">
        <f aca="false">'Dish Database'!N14*H39/100</f>
        <v>0.8</v>
      </c>
      <c r="O39" s="17" t="n">
        <f aca="false">'Dish Database'!O14*H39/100</f>
        <v>23</v>
      </c>
      <c r="P39" s="13" t="n">
        <f aca="false">'Dish Database'!P14*H39/100</f>
        <v>84</v>
      </c>
    </row>
    <row r="40" customFormat="false" ht="15" hidden="false" customHeight="false" outlineLevel="0" collapsed="false">
      <c r="A40" s="6" t="str">
        <f aca="false">'Dish Database'!A14</f>
        <v>D013</v>
      </c>
      <c r="B40" s="6" t="str">
        <f aca="false">'Dish Database'!B14</f>
        <v>Badam milk (hot or cold)</v>
      </c>
      <c r="C40" s="6" t="str">
        <f aca="false">'Dish Database'!D14</f>
        <v>Hot Beverages</v>
      </c>
      <c r="D40" s="6" t="str">
        <f aca="false">'Dish Database'!F14</f>
        <v>Veg</v>
      </c>
      <c r="E40" s="6" t="str">
        <f aca="false">'Dish Database'!E14</f>
        <v>South</v>
      </c>
      <c r="F40" s="6" t="s">
        <v>2246</v>
      </c>
      <c r="G40" s="6" t="s">
        <v>2250</v>
      </c>
      <c r="H40" s="16" t="n">
        <v>300</v>
      </c>
      <c r="I40" s="6" t="str">
        <f aca="false">'Dish Database'!I14</f>
        <v>ml</v>
      </c>
      <c r="J40" s="13" t="n">
        <f aca="false">'Dish Database'!J14*H40/100</f>
        <v>308.7</v>
      </c>
      <c r="K40" s="17" t="n">
        <f aca="false">'Dish Database'!K14*H40/100</f>
        <v>11.4</v>
      </c>
      <c r="L40" s="17" t="n">
        <f aca="false">'Dish Database'!L14*H40/100</f>
        <v>36</v>
      </c>
      <c r="M40" s="17" t="n">
        <f aca="false">'Dish Database'!M14*H40/100</f>
        <v>13.5</v>
      </c>
      <c r="N40" s="17" t="n">
        <f aca="false">'Dish Database'!N14*H40/100</f>
        <v>1.2</v>
      </c>
      <c r="O40" s="17" t="n">
        <f aca="false">'Dish Database'!O14*H40/100</f>
        <v>34.5</v>
      </c>
      <c r="P40" s="13" t="n">
        <f aca="false">'Dish Database'!P14*H40/100</f>
        <v>126</v>
      </c>
    </row>
    <row r="41" customFormat="false" ht="15" hidden="false" customHeight="false" outlineLevel="0" collapsed="false">
      <c r="A41" s="6" t="str">
        <f aca="false">'Dish Database'!A15</f>
        <v>D014</v>
      </c>
      <c r="B41" s="6" t="str">
        <f aca="false">'Dish Database'!B15</f>
        <v>Kesar doodh (saffron milk)</v>
      </c>
      <c r="C41" s="6" t="str">
        <f aca="false">'Dish Database'!D15</f>
        <v>Hot Beverages</v>
      </c>
      <c r="D41" s="6" t="str">
        <f aca="false">'Dish Database'!F15</f>
        <v>Veg</v>
      </c>
      <c r="E41" s="6" t="str">
        <f aca="false">'Dish Database'!E15</f>
        <v>North</v>
      </c>
      <c r="F41" s="6" t="s">
        <v>2243</v>
      </c>
      <c r="G41" s="6" t="s">
        <v>2248</v>
      </c>
      <c r="H41" s="16" t="n">
        <v>150</v>
      </c>
      <c r="I41" s="6" t="str">
        <f aca="false">'Dish Database'!I15</f>
        <v>ml</v>
      </c>
      <c r="J41" s="13" t="n">
        <f aca="false">'Dish Database'!J15*H41/100</f>
        <v>127.05</v>
      </c>
      <c r="K41" s="17" t="n">
        <f aca="false">'Dish Database'!K15*H41/100</f>
        <v>4.95</v>
      </c>
      <c r="L41" s="17" t="n">
        <f aca="false">'Dish Database'!L15*H41/100</f>
        <v>15</v>
      </c>
      <c r="M41" s="17" t="n">
        <f aca="false">'Dish Database'!M15*H41/100</f>
        <v>5.25</v>
      </c>
      <c r="N41" s="17" t="n">
        <f aca="false">'Dish Database'!N15*H41/100</f>
        <v>0</v>
      </c>
      <c r="O41" s="17" t="n">
        <f aca="false">'Dish Database'!O15*H41/100</f>
        <v>14.25</v>
      </c>
      <c r="P41" s="13" t="n">
        <f aca="false">'Dish Database'!P15*H41/100</f>
        <v>63</v>
      </c>
    </row>
    <row r="42" customFormat="false" ht="15" hidden="false" customHeight="false" outlineLevel="0" collapsed="false">
      <c r="A42" s="6" t="str">
        <f aca="false">'Dish Database'!A15</f>
        <v>D014</v>
      </c>
      <c r="B42" s="6" t="str">
        <f aca="false">'Dish Database'!B15</f>
        <v>Kesar doodh (saffron milk)</v>
      </c>
      <c r="C42" s="6" t="str">
        <f aca="false">'Dish Database'!D15</f>
        <v>Hot Beverages</v>
      </c>
      <c r="D42" s="6" t="str">
        <f aca="false">'Dish Database'!F15</f>
        <v>Veg</v>
      </c>
      <c r="E42" s="6" t="str">
        <f aca="false">'Dish Database'!E15</f>
        <v>North</v>
      </c>
      <c r="F42" s="6" t="s">
        <v>103</v>
      </c>
      <c r="G42" s="6" t="s">
        <v>2249</v>
      </c>
      <c r="H42" s="16" t="n">
        <v>200</v>
      </c>
      <c r="I42" s="6" t="str">
        <f aca="false">'Dish Database'!I15</f>
        <v>ml</v>
      </c>
      <c r="J42" s="13" t="n">
        <f aca="false">'Dish Database'!J15*H42/100</f>
        <v>169.4</v>
      </c>
      <c r="K42" s="17" t="n">
        <f aca="false">'Dish Database'!K15*H42/100</f>
        <v>6.6</v>
      </c>
      <c r="L42" s="17" t="n">
        <f aca="false">'Dish Database'!L15*H42/100</f>
        <v>20</v>
      </c>
      <c r="M42" s="17" t="n">
        <f aca="false">'Dish Database'!M15*H42/100</f>
        <v>7</v>
      </c>
      <c r="N42" s="17" t="n">
        <f aca="false">'Dish Database'!N15*H42/100</f>
        <v>0</v>
      </c>
      <c r="O42" s="17" t="n">
        <f aca="false">'Dish Database'!O15*H42/100</f>
        <v>19</v>
      </c>
      <c r="P42" s="13" t="n">
        <f aca="false">'Dish Database'!P15*H42/100</f>
        <v>84</v>
      </c>
    </row>
    <row r="43" customFormat="false" ht="15" hidden="false" customHeight="false" outlineLevel="0" collapsed="false">
      <c r="A43" s="6" t="str">
        <f aca="false">'Dish Database'!A15</f>
        <v>D014</v>
      </c>
      <c r="B43" s="6" t="str">
        <f aca="false">'Dish Database'!B15</f>
        <v>Kesar doodh (saffron milk)</v>
      </c>
      <c r="C43" s="6" t="str">
        <f aca="false">'Dish Database'!D15</f>
        <v>Hot Beverages</v>
      </c>
      <c r="D43" s="6" t="str">
        <f aca="false">'Dish Database'!F15</f>
        <v>Veg</v>
      </c>
      <c r="E43" s="6" t="str">
        <f aca="false">'Dish Database'!E15</f>
        <v>North</v>
      </c>
      <c r="F43" s="6" t="s">
        <v>2246</v>
      </c>
      <c r="G43" s="6" t="s">
        <v>2250</v>
      </c>
      <c r="H43" s="16" t="n">
        <v>300</v>
      </c>
      <c r="I43" s="6" t="str">
        <f aca="false">'Dish Database'!I15</f>
        <v>ml</v>
      </c>
      <c r="J43" s="13" t="n">
        <f aca="false">'Dish Database'!J15*H43/100</f>
        <v>254.1</v>
      </c>
      <c r="K43" s="17" t="n">
        <f aca="false">'Dish Database'!K15*H43/100</f>
        <v>9.9</v>
      </c>
      <c r="L43" s="17" t="n">
        <f aca="false">'Dish Database'!L15*H43/100</f>
        <v>30</v>
      </c>
      <c r="M43" s="17" t="n">
        <f aca="false">'Dish Database'!M15*H43/100</f>
        <v>10.5</v>
      </c>
      <c r="N43" s="17" t="n">
        <f aca="false">'Dish Database'!N15*H43/100</f>
        <v>0</v>
      </c>
      <c r="O43" s="17" t="n">
        <f aca="false">'Dish Database'!O15*H43/100</f>
        <v>28.5</v>
      </c>
      <c r="P43" s="13" t="n">
        <f aca="false">'Dish Database'!P15*H43/100</f>
        <v>126</v>
      </c>
    </row>
    <row r="44" customFormat="false" ht="15" hidden="false" customHeight="false" outlineLevel="0" collapsed="false">
      <c r="A44" s="6" t="str">
        <f aca="false">'Dish Database'!A16</f>
        <v>D015</v>
      </c>
      <c r="B44" s="6" t="str">
        <f aca="false">'Dish Database'!B16</f>
        <v>Kashmiri kahwa</v>
      </c>
      <c r="C44" s="6" t="str">
        <f aca="false">'Dish Database'!D16</f>
        <v>Hot Beverages</v>
      </c>
      <c r="D44" s="6" t="str">
        <f aca="false">'Dish Database'!F16</f>
        <v>Veg</v>
      </c>
      <c r="E44" s="6" t="str">
        <f aca="false">'Dish Database'!E16</f>
        <v>North</v>
      </c>
      <c r="F44" s="6" t="s">
        <v>2243</v>
      </c>
      <c r="G44" s="6" t="s">
        <v>2244</v>
      </c>
      <c r="H44" s="16" t="n">
        <v>75</v>
      </c>
      <c r="I44" s="6" t="str">
        <f aca="false">'Dish Database'!I16</f>
        <v>ml</v>
      </c>
      <c r="J44" s="13" t="n">
        <f aca="false">'Dish Database'!J16*H44/100</f>
        <v>19.65</v>
      </c>
      <c r="K44" s="17" t="n">
        <f aca="false">'Dish Database'!K16*H44/100</f>
        <v>0.225</v>
      </c>
      <c r="L44" s="17" t="n">
        <f aca="false">'Dish Database'!L16*H44/100</f>
        <v>3.375</v>
      </c>
      <c r="M44" s="17" t="n">
        <f aca="false">'Dish Database'!M16*H44/100</f>
        <v>0.6</v>
      </c>
      <c r="N44" s="17" t="n">
        <f aca="false">'Dish Database'!N16*H44/100</f>
        <v>0.075</v>
      </c>
      <c r="O44" s="17" t="n">
        <f aca="false">'Dish Database'!O16*H44/100</f>
        <v>3.15</v>
      </c>
      <c r="P44" s="13" t="n">
        <f aca="false">'Dish Database'!P16*H44/100</f>
        <v>2.25</v>
      </c>
    </row>
    <row r="45" customFormat="false" ht="15" hidden="false" customHeight="false" outlineLevel="0" collapsed="false">
      <c r="A45" s="6" t="str">
        <f aca="false">'Dish Database'!A16</f>
        <v>D015</v>
      </c>
      <c r="B45" s="6" t="str">
        <f aca="false">'Dish Database'!B16</f>
        <v>Kashmiri kahwa</v>
      </c>
      <c r="C45" s="6" t="str">
        <f aca="false">'Dish Database'!D16</f>
        <v>Hot Beverages</v>
      </c>
      <c r="D45" s="6" t="str">
        <f aca="false">'Dish Database'!F16</f>
        <v>Veg</v>
      </c>
      <c r="E45" s="6" t="str">
        <f aca="false">'Dish Database'!E16</f>
        <v>North</v>
      </c>
      <c r="F45" s="6" t="s">
        <v>103</v>
      </c>
      <c r="G45" s="6" t="s">
        <v>2245</v>
      </c>
      <c r="H45" s="16" t="n">
        <v>150</v>
      </c>
      <c r="I45" s="6" t="str">
        <f aca="false">'Dish Database'!I16</f>
        <v>ml</v>
      </c>
      <c r="J45" s="13" t="n">
        <f aca="false">'Dish Database'!J16*H45/100</f>
        <v>39.3</v>
      </c>
      <c r="K45" s="17" t="n">
        <f aca="false">'Dish Database'!K16*H45/100</f>
        <v>0.45</v>
      </c>
      <c r="L45" s="17" t="n">
        <f aca="false">'Dish Database'!L16*H45/100</f>
        <v>6.75</v>
      </c>
      <c r="M45" s="17" t="n">
        <f aca="false">'Dish Database'!M16*H45/100</f>
        <v>1.2</v>
      </c>
      <c r="N45" s="17" t="n">
        <f aca="false">'Dish Database'!N16*H45/100</f>
        <v>0.15</v>
      </c>
      <c r="O45" s="17" t="n">
        <f aca="false">'Dish Database'!O16*H45/100</f>
        <v>6.3</v>
      </c>
      <c r="P45" s="13" t="n">
        <f aca="false">'Dish Database'!P16*H45/100</f>
        <v>4.5</v>
      </c>
    </row>
    <row r="46" customFormat="false" ht="15" hidden="false" customHeight="false" outlineLevel="0" collapsed="false">
      <c r="A46" s="6" t="str">
        <f aca="false">'Dish Database'!A16</f>
        <v>D015</v>
      </c>
      <c r="B46" s="6" t="str">
        <f aca="false">'Dish Database'!B16</f>
        <v>Kashmiri kahwa</v>
      </c>
      <c r="C46" s="6" t="str">
        <f aca="false">'Dish Database'!D16</f>
        <v>Hot Beverages</v>
      </c>
      <c r="D46" s="6" t="str">
        <f aca="false">'Dish Database'!F16</f>
        <v>Veg</v>
      </c>
      <c r="E46" s="6" t="str">
        <f aca="false">'Dish Database'!E16</f>
        <v>North</v>
      </c>
      <c r="F46" s="6" t="s">
        <v>2246</v>
      </c>
      <c r="G46" s="6" t="s">
        <v>2247</v>
      </c>
      <c r="H46" s="16" t="n">
        <v>250</v>
      </c>
      <c r="I46" s="6" t="str">
        <f aca="false">'Dish Database'!I16</f>
        <v>ml</v>
      </c>
      <c r="J46" s="13" t="n">
        <f aca="false">'Dish Database'!J16*H46/100</f>
        <v>65.5</v>
      </c>
      <c r="K46" s="17" t="n">
        <f aca="false">'Dish Database'!K16*H46/100</f>
        <v>0.75</v>
      </c>
      <c r="L46" s="17" t="n">
        <f aca="false">'Dish Database'!L16*H46/100</f>
        <v>11.25</v>
      </c>
      <c r="M46" s="17" t="n">
        <f aca="false">'Dish Database'!M16*H46/100</f>
        <v>2</v>
      </c>
      <c r="N46" s="17" t="n">
        <f aca="false">'Dish Database'!N16*H46/100</f>
        <v>0.25</v>
      </c>
      <c r="O46" s="17" t="n">
        <f aca="false">'Dish Database'!O16*H46/100</f>
        <v>10.5</v>
      </c>
      <c r="P46" s="13" t="n">
        <f aca="false">'Dish Database'!P16*H46/100</f>
        <v>7.5</v>
      </c>
    </row>
    <row r="47" customFormat="false" ht="15" hidden="false" customHeight="false" outlineLevel="0" collapsed="false">
      <c r="A47" s="6" t="str">
        <f aca="false">'Dish Database'!A17</f>
        <v>D016</v>
      </c>
      <c r="B47" s="6" t="str">
        <f aca="false">'Dish Database'!B17</f>
        <v>Nimbu pani - sweet</v>
      </c>
      <c r="C47" s="6" t="str">
        <f aca="false">'Dish Database'!D17</f>
        <v>Cold Beverages &amp; Sharbat</v>
      </c>
      <c r="D47" s="6" t="str">
        <f aca="false">'Dish Database'!F17</f>
        <v>Veg</v>
      </c>
      <c r="E47" s="6" t="str">
        <f aca="false">'Dish Database'!E17</f>
        <v>Pan-India</v>
      </c>
      <c r="F47" s="6" t="s">
        <v>2243</v>
      </c>
      <c r="G47" s="6" t="s">
        <v>2248</v>
      </c>
      <c r="H47" s="16" t="n">
        <v>150</v>
      </c>
      <c r="I47" s="6" t="str">
        <f aca="false">'Dish Database'!I17</f>
        <v>ml</v>
      </c>
      <c r="J47" s="13" t="n">
        <f aca="false">'Dish Database'!J17*H47/100</f>
        <v>39.45</v>
      </c>
      <c r="K47" s="17" t="n">
        <f aca="false">'Dish Database'!K17*H47/100</f>
        <v>0.15</v>
      </c>
      <c r="L47" s="17" t="n">
        <f aca="false">'Dish Database'!L17*H47/100</f>
        <v>9.75</v>
      </c>
      <c r="M47" s="17" t="n">
        <f aca="false">'Dish Database'!M17*H47/100</f>
        <v>0</v>
      </c>
      <c r="N47" s="17" t="n">
        <f aca="false">'Dish Database'!N17*H47/100</f>
        <v>0.075</v>
      </c>
      <c r="O47" s="17" t="n">
        <f aca="false">'Dish Database'!O17*H47/100</f>
        <v>9.3</v>
      </c>
      <c r="P47" s="13" t="n">
        <f aca="false">'Dish Database'!P17*H47/100</f>
        <v>7.5</v>
      </c>
    </row>
    <row r="48" customFormat="false" ht="15" hidden="false" customHeight="false" outlineLevel="0" collapsed="false">
      <c r="A48" s="6" t="str">
        <f aca="false">'Dish Database'!A17</f>
        <v>D016</v>
      </c>
      <c r="B48" s="6" t="str">
        <f aca="false">'Dish Database'!B17</f>
        <v>Nimbu pani - sweet</v>
      </c>
      <c r="C48" s="6" t="str">
        <f aca="false">'Dish Database'!D17</f>
        <v>Cold Beverages &amp; Sharbat</v>
      </c>
      <c r="D48" s="6" t="str">
        <f aca="false">'Dish Database'!F17</f>
        <v>Veg</v>
      </c>
      <c r="E48" s="6" t="str">
        <f aca="false">'Dish Database'!E17</f>
        <v>Pan-India</v>
      </c>
      <c r="F48" s="6" t="s">
        <v>103</v>
      </c>
      <c r="G48" s="6" t="s">
        <v>2251</v>
      </c>
      <c r="H48" s="16" t="n">
        <v>250</v>
      </c>
      <c r="I48" s="6" t="str">
        <f aca="false">'Dish Database'!I17</f>
        <v>ml</v>
      </c>
      <c r="J48" s="13" t="n">
        <f aca="false">'Dish Database'!J17*H48/100</f>
        <v>65.75</v>
      </c>
      <c r="K48" s="17" t="n">
        <f aca="false">'Dish Database'!K17*H48/100</f>
        <v>0.25</v>
      </c>
      <c r="L48" s="17" t="n">
        <f aca="false">'Dish Database'!L17*H48/100</f>
        <v>16.25</v>
      </c>
      <c r="M48" s="17" t="n">
        <f aca="false">'Dish Database'!M17*H48/100</f>
        <v>0</v>
      </c>
      <c r="N48" s="17" t="n">
        <f aca="false">'Dish Database'!N17*H48/100</f>
        <v>0.125</v>
      </c>
      <c r="O48" s="17" t="n">
        <f aca="false">'Dish Database'!O17*H48/100</f>
        <v>15.5</v>
      </c>
      <c r="P48" s="13" t="n">
        <f aca="false">'Dish Database'!P17*H48/100</f>
        <v>12.5</v>
      </c>
    </row>
    <row r="49" customFormat="false" ht="15" hidden="false" customHeight="false" outlineLevel="0" collapsed="false">
      <c r="A49" s="6" t="str">
        <f aca="false">'Dish Database'!A17</f>
        <v>D016</v>
      </c>
      <c r="B49" s="6" t="str">
        <f aca="false">'Dish Database'!B17</f>
        <v>Nimbu pani - sweet</v>
      </c>
      <c r="C49" s="6" t="str">
        <f aca="false">'Dish Database'!D17</f>
        <v>Cold Beverages &amp; Sharbat</v>
      </c>
      <c r="D49" s="6" t="str">
        <f aca="false">'Dish Database'!F17</f>
        <v>Veg</v>
      </c>
      <c r="E49" s="6" t="str">
        <f aca="false">'Dish Database'!E17</f>
        <v>Pan-India</v>
      </c>
      <c r="F49" s="6" t="s">
        <v>2246</v>
      </c>
      <c r="G49" s="6" t="s">
        <v>2252</v>
      </c>
      <c r="H49" s="16" t="n">
        <v>350</v>
      </c>
      <c r="I49" s="6" t="str">
        <f aca="false">'Dish Database'!I17</f>
        <v>ml</v>
      </c>
      <c r="J49" s="13" t="n">
        <f aca="false">'Dish Database'!J17*H49/100</f>
        <v>92.05</v>
      </c>
      <c r="K49" s="17" t="n">
        <f aca="false">'Dish Database'!K17*H49/100</f>
        <v>0.35</v>
      </c>
      <c r="L49" s="17" t="n">
        <f aca="false">'Dish Database'!L17*H49/100</f>
        <v>22.75</v>
      </c>
      <c r="M49" s="17" t="n">
        <f aca="false">'Dish Database'!M17*H49/100</f>
        <v>0</v>
      </c>
      <c r="N49" s="17" t="n">
        <f aca="false">'Dish Database'!N17*H49/100</f>
        <v>0.175</v>
      </c>
      <c r="O49" s="17" t="n">
        <f aca="false">'Dish Database'!O17*H49/100</f>
        <v>21.7</v>
      </c>
      <c r="P49" s="13" t="n">
        <f aca="false">'Dish Database'!P17*H49/100</f>
        <v>17.5</v>
      </c>
    </row>
    <row r="50" customFormat="false" ht="15" hidden="false" customHeight="false" outlineLevel="0" collapsed="false">
      <c r="A50" s="6" t="str">
        <f aca="false">'Dish Database'!A18</f>
        <v>D017</v>
      </c>
      <c r="B50" s="6" t="str">
        <f aca="false">'Dish Database'!B18</f>
        <v>Nimbu pani - sweet &amp; salty</v>
      </c>
      <c r="C50" s="6" t="str">
        <f aca="false">'Dish Database'!D18</f>
        <v>Cold Beverages &amp; Sharbat</v>
      </c>
      <c r="D50" s="6" t="str">
        <f aca="false">'Dish Database'!F18</f>
        <v>Veg</v>
      </c>
      <c r="E50" s="6" t="str">
        <f aca="false">'Dish Database'!E18</f>
        <v>North</v>
      </c>
      <c r="F50" s="6" t="s">
        <v>2243</v>
      </c>
      <c r="G50" s="6" t="s">
        <v>2248</v>
      </c>
      <c r="H50" s="16" t="n">
        <v>150</v>
      </c>
      <c r="I50" s="6" t="str">
        <f aca="false">'Dish Database'!I18</f>
        <v>ml</v>
      </c>
      <c r="J50" s="13" t="n">
        <f aca="false">'Dish Database'!J18*H50/100</f>
        <v>33.45</v>
      </c>
      <c r="K50" s="17" t="n">
        <f aca="false">'Dish Database'!K18*H50/100</f>
        <v>0.15</v>
      </c>
      <c r="L50" s="17" t="n">
        <f aca="false">'Dish Database'!L18*H50/100</f>
        <v>8.25</v>
      </c>
      <c r="M50" s="17" t="n">
        <f aca="false">'Dish Database'!M18*H50/100</f>
        <v>0</v>
      </c>
      <c r="N50" s="17" t="n">
        <f aca="false">'Dish Database'!N18*H50/100</f>
        <v>0.075</v>
      </c>
      <c r="O50" s="17" t="n">
        <f aca="false">'Dish Database'!O18*H50/100</f>
        <v>7.8</v>
      </c>
      <c r="P50" s="13" t="n">
        <f aca="false">'Dish Database'!P18*H50/100</f>
        <v>225</v>
      </c>
    </row>
    <row r="51" customFormat="false" ht="15" hidden="false" customHeight="false" outlineLevel="0" collapsed="false">
      <c r="A51" s="6" t="str">
        <f aca="false">'Dish Database'!A18</f>
        <v>D017</v>
      </c>
      <c r="B51" s="6" t="str">
        <f aca="false">'Dish Database'!B18</f>
        <v>Nimbu pani - sweet &amp; salty</v>
      </c>
      <c r="C51" s="6" t="str">
        <f aca="false">'Dish Database'!D18</f>
        <v>Cold Beverages &amp; Sharbat</v>
      </c>
      <c r="D51" s="6" t="str">
        <f aca="false">'Dish Database'!F18</f>
        <v>Veg</v>
      </c>
      <c r="E51" s="6" t="str">
        <f aca="false">'Dish Database'!E18</f>
        <v>North</v>
      </c>
      <c r="F51" s="6" t="s">
        <v>103</v>
      </c>
      <c r="G51" s="6" t="s">
        <v>2251</v>
      </c>
      <c r="H51" s="16" t="n">
        <v>250</v>
      </c>
      <c r="I51" s="6" t="str">
        <f aca="false">'Dish Database'!I18</f>
        <v>ml</v>
      </c>
      <c r="J51" s="13" t="n">
        <f aca="false">'Dish Database'!J18*H51/100</f>
        <v>55.75</v>
      </c>
      <c r="K51" s="17" t="n">
        <f aca="false">'Dish Database'!K18*H51/100</f>
        <v>0.25</v>
      </c>
      <c r="L51" s="17" t="n">
        <f aca="false">'Dish Database'!L18*H51/100</f>
        <v>13.75</v>
      </c>
      <c r="M51" s="17" t="n">
        <f aca="false">'Dish Database'!M18*H51/100</f>
        <v>0</v>
      </c>
      <c r="N51" s="17" t="n">
        <f aca="false">'Dish Database'!N18*H51/100</f>
        <v>0.125</v>
      </c>
      <c r="O51" s="17" t="n">
        <f aca="false">'Dish Database'!O18*H51/100</f>
        <v>13</v>
      </c>
      <c r="P51" s="13" t="n">
        <f aca="false">'Dish Database'!P18*H51/100</f>
        <v>375</v>
      </c>
    </row>
    <row r="52" customFormat="false" ht="15" hidden="false" customHeight="false" outlineLevel="0" collapsed="false">
      <c r="A52" s="6" t="str">
        <f aca="false">'Dish Database'!A18</f>
        <v>D017</v>
      </c>
      <c r="B52" s="6" t="str">
        <f aca="false">'Dish Database'!B18</f>
        <v>Nimbu pani - sweet &amp; salty</v>
      </c>
      <c r="C52" s="6" t="str">
        <f aca="false">'Dish Database'!D18</f>
        <v>Cold Beverages &amp; Sharbat</v>
      </c>
      <c r="D52" s="6" t="str">
        <f aca="false">'Dish Database'!F18</f>
        <v>Veg</v>
      </c>
      <c r="E52" s="6" t="str">
        <f aca="false">'Dish Database'!E18</f>
        <v>North</v>
      </c>
      <c r="F52" s="6" t="s">
        <v>2246</v>
      </c>
      <c r="G52" s="6" t="s">
        <v>2252</v>
      </c>
      <c r="H52" s="16" t="n">
        <v>350</v>
      </c>
      <c r="I52" s="6" t="str">
        <f aca="false">'Dish Database'!I18</f>
        <v>ml</v>
      </c>
      <c r="J52" s="13" t="n">
        <f aca="false">'Dish Database'!J18*H52/100</f>
        <v>78.05</v>
      </c>
      <c r="K52" s="17" t="n">
        <f aca="false">'Dish Database'!K18*H52/100</f>
        <v>0.35</v>
      </c>
      <c r="L52" s="17" t="n">
        <f aca="false">'Dish Database'!L18*H52/100</f>
        <v>19.25</v>
      </c>
      <c r="M52" s="17" t="n">
        <f aca="false">'Dish Database'!M18*H52/100</f>
        <v>0</v>
      </c>
      <c r="N52" s="17" t="n">
        <f aca="false">'Dish Database'!N18*H52/100</f>
        <v>0.175</v>
      </c>
      <c r="O52" s="17" t="n">
        <f aca="false">'Dish Database'!O18*H52/100</f>
        <v>18.2</v>
      </c>
      <c r="P52" s="13" t="n">
        <f aca="false">'Dish Database'!P18*H52/100</f>
        <v>525</v>
      </c>
    </row>
    <row r="53" customFormat="false" ht="15" hidden="false" customHeight="false" outlineLevel="0" collapsed="false">
      <c r="A53" s="6" t="str">
        <f aca="false">'Dish Database'!A19</f>
        <v>D018</v>
      </c>
      <c r="B53" s="6" t="str">
        <f aca="false">'Dish Database'!B19</f>
        <v>Nimbu pani - salted, no sugar</v>
      </c>
      <c r="C53" s="6" t="str">
        <f aca="false">'Dish Database'!D19</f>
        <v>Cold Beverages &amp; Sharbat</v>
      </c>
      <c r="D53" s="6" t="str">
        <f aca="false">'Dish Database'!F19</f>
        <v>Veg</v>
      </c>
      <c r="E53" s="6" t="str">
        <f aca="false">'Dish Database'!E19</f>
        <v>Pan-India</v>
      </c>
      <c r="F53" s="6" t="s">
        <v>2243</v>
      </c>
      <c r="G53" s="6" t="s">
        <v>2248</v>
      </c>
      <c r="H53" s="16" t="n">
        <v>150</v>
      </c>
      <c r="I53" s="6" t="str">
        <f aca="false">'Dish Database'!I19</f>
        <v>ml</v>
      </c>
      <c r="J53" s="13" t="n">
        <f aca="false">'Dish Database'!J19*H53/100</f>
        <v>5.25</v>
      </c>
      <c r="K53" s="17" t="n">
        <f aca="false">'Dish Database'!K19*H53/100</f>
        <v>0.15</v>
      </c>
      <c r="L53" s="17" t="n">
        <f aca="false">'Dish Database'!L19*H53/100</f>
        <v>1.2</v>
      </c>
      <c r="M53" s="17" t="n">
        <f aca="false">'Dish Database'!M19*H53/100</f>
        <v>0</v>
      </c>
      <c r="N53" s="17" t="n">
        <f aca="false">'Dish Database'!N19*H53/100</f>
        <v>0.075</v>
      </c>
      <c r="O53" s="17" t="n">
        <f aca="false">'Dish Database'!O19*H53/100</f>
        <v>0.45</v>
      </c>
      <c r="P53" s="13" t="n">
        <f aca="false">'Dish Database'!P19*H53/100</f>
        <v>300</v>
      </c>
    </row>
    <row r="54" customFormat="false" ht="15" hidden="false" customHeight="false" outlineLevel="0" collapsed="false">
      <c r="A54" s="6" t="str">
        <f aca="false">'Dish Database'!A19</f>
        <v>D018</v>
      </c>
      <c r="B54" s="6" t="str">
        <f aca="false">'Dish Database'!B19</f>
        <v>Nimbu pani - salted, no sugar</v>
      </c>
      <c r="C54" s="6" t="str">
        <f aca="false">'Dish Database'!D19</f>
        <v>Cold Beverages &amp; Sharbat</v>
      </c>
      <c r="D54" s="6" t="str">
        <f aca="false">'Dish Database'!F19</f>
        <v>Veg</v>
      </c>
      <c r="E54" s="6" t="str">
        <f aca="false">'Dish Database'!E19</f>
        <v>Pan-India</v>
      </c>
      <c r="F54" s="6" t="s">
        <v>103</v>
      </c>
      <c r="G54" s="6" t="s">
        <v>2251</v>
      </c>
      <c r="H54" s="16" t="n">
        <v>250</v>
      </c>
      <c r="I54" s="6" t="str">
        <f aca="false">'Dish Database'!I19</f>
        <v>ml</v>
      </c>
      <c r="J54" s="13" t="n">
        <f aca="false">'Dish Database'!J19*H54/100</f>
        <v>8.75</v>
      </c>
      <c r="K54" s="17" t="n">
        <f aca="false">'Dish Database'!K19*H54/100</f>
        <v>0.25</v>
      </c>
      <c r="L54" s="17" t="n">
        <f aca="false">'Dish Database'!L19*H54/100</f>
        <v>2</v>
      </c>
      <c r="M54" s="17" t="n">
        <f aca="false">'Dish Database'!M19*H54/100</f>
        <v>0</v>
      </c>
      <c r="N54" s="17" t="n">
        <f aca="false">'Dish Database'!N19*H54/100</f>
        <v>0.125</v>
      </c>
      <c r="O54" s="17" t="n">
        <f aca="false">'Dish Database'!O19*H54/100</f>
        <v>0.75</v>
      </c>
      <c r="P54" s="13" t="n">
        <f aca="false">'Dish Database'!P19*H54/100</f>
        <v>500</v>
      </c>
    </row>
    <row r="55" customFormat="false" ht="15" hidden="false" customHeight="false" outlineLevel="0" collapsed="false">
      <c r="A55" s="6" t="str">
        <f aca="false">'Dish Database'!A19</f>
        <v>D018</v>
      </c>
      <c r="B55" s="6" t="str">
        <f aca="false">'Dish Database'!B19</f>
        <v>Nimbu pani - salted, no sugar</v>
      </c>
      <c r="C55" s="6" t="str">
        <f aca="false">'Dish Database'!D19</f>
        <v>Cold Beverages &amp; Sharbat</v>
      </c>
      <c r="D55" s="6" t="str">
        <f aca="false">'Dish Database'!F19</f>
        <v>Veg</v>
      </c>
      <c r="E55" s="6" t="str">
        <f aca="false">'Dish Database'!E19</f>
        <v>Pan-India</v>
      </c>
      <c r="F55" s="6" t="s">
        <v>2246</v>
      </c>
      <c r="G55" s="6" t="s">
        <v>2252</v>
      </c>
      <c r="H55" s="16" t="n">
        <v>350</v>
      </c>
      <c r="I55" s="6" t="str">
        <f aca="false">'Dish Database'!I19</f>
        <v>ml</v>
      </c>
      <c r="J55" s="13" t="n">
        <f aca="false">'Dish Database'!J19*H55/100</f>
        <v>12.25</v>
      </c>
      <c r="K55" s="17" t="n">
        <f aca="false">'Dish Database'!K19*H55/100</f>
        <v>0.35</v>
      </c>
      <c r="L55" s="17" t="n">
        <f aca="false">'Dish Database'!L19*H55/100</f>
        <v>2.8</v>
      </c>
      <c r="M55" s="17" t="n">
        <f aca="false">'Dish Database'!M19*H55/100</f>
        <v>0</v>
      </c>
      <c r="N55" s="17" t="n">
        <f aca="false">'Dish Database'!N19*H55/100</f>
        <v>0.175</v>
      </c>
      <c r="O55" s="17" t="n">
        <f aca="false">'Dish Database'!O19*H55/100</f>
        <v>1.05</v>
      </c>
      <c r="P55" s="13" t="n">
        <f aca="false">'Dish Database'!P19*H55/100</f>
        <v>700</v>
      </c>
    </row>
    <row r="56" customFormat="false" ht="15" hidden="false" customHeight="false" outlineLevel="0" collapsed="false">
      <c r="A56" s="6" t="str">
        <f aca="false">'Dish Database'!A20</f>
        <v>D019</v>
      </c>
      <c r="B56" s="6" t="str">
        <f aca="false">'Dish Database'!B20</f>
        <v>Lemon soda (sweet)</v>
      </c>
      <c r="C56" s="6" t="str">
        <f aca="false">'Dish Database'!D20</f>
        <v>Cold Beverages &amp; Sharbat</v>
      </c>
      <c r="D56" s="6" t="str">
        <f aca="false">'Dish Database'!F20</f>
        <v>Veg</v>
      </c>
      <c r="E56" s="6" t="str">
        <f aca="false">'Dish Database'!E20</f>
        <v>Pan-India</v>
      </c>
      <c r="F56" s="6" t="s">
        <v>2243</v>
      </c>
      <c r="G56" s="6" t="s">
        <v>2248</v>
      </c>
      <c r="H56" s="16" t="n">
        <v>150</v>
      </c>
      <c r="I56" s="6" t="str">
        <f aca="false">'Dish Database'!I20</f>
        <v>ml</v>
      </c>
      <c r="J56" s="13" t="n">
        <f aca="false">'Dish Database'!J20*H56/100</f>
        <v>42.6</v>
      </c>
      <c r="K56" s="17" t="n">
        <f aca="false">'Dish Database'!K20*H56/100</f>
        <v>0.15</v>
      </c>
      <c r="L56" s="17" t="n">
        <f aca="false">'Dish Database'!L20*H56/100</f>
        <v>10.5</v>
      </c>
      <c r="M56" s="17" t="n">
        <f aca="false">'Dish Database'!M20*H56/100</f>
        <v>0</v>
      </c>
      <c r="N56" s="17" t="n">
        <f aca="false">'Dish Database'!N20*H56/100</f>
        <v>0</v>
      </c>
      <c r="O56" s="17" t="n">
        <f aca="false">'Dish Database'!O20*H56/100</f>
        <v>10.2</v>
      </c>
      <c r="P56" s="13" t="n">
        <f aca="false">'Dish Database'!P20*H56/100</f>
        <v>75</v>
      </c>
    </row>
    <row r="57" customFormat="false" ht="15" hidden="false" customHeight="false" outlineLevel="0" collapsed="false">
      <c r="A57" s="6" t="str">
        <f aca="false">'Dish Database'!A20</f>
        <v>D019</v>
      </c>
      <c r="B57" s="6" t="str">
        <f aca="false">'Dish Database'!B20</f>
        <v>Lemon soda (sweet)</v>
      </c>
      <c r="C57" s="6" t="str">
        <f aca="false">'Dish Database'!D20</f>
        <v>Cold Beverages &amp; Sharbat</v>
      </c>
      <c r="D57" s="6" t="str">
        <f aca="false">'Dish Database'!F20</f>
        <v>Veg</v>
      </c>
      <c r="E57" s="6" t="str">
        <f aca="false">'Dish Database'!E20</f>
        <v>Pan-India</v>
      </c>
      <c r="F57" s="6" t="s">
        <v>103</v>
      </c>
      <c r="G57" s="6" t="s">
        <v>2251</v>
      </c>
      <c r="H57" s="16" t="n">
        <v>250</v>
      </c>
      <c r="I57" s="6" t="str">
        <f aca="false">'Dish Database'!I20</f>
        <v>ml</v>
      </c>
      <c r="J57" s="13" t="n">
        <f aca="false">'Dish Database'!J20*H57/100</f>
        <v>71</v>
      </c>
      <c r="K57" s="17" t="n">
        <f aca="false">'Dish Database'!K20*H57/100</f>
        <v>0.25</v>
      </c>
      <c r="L57" s="17" t="n">
        <f aca="false">'Dish Database'!L20*H57/100</f>
        <v>17.5</v>
      </c>
      <c r="M57" s="17" t="n">
        <f aca="false">'Dish Database'!M20*H57/100</f>
        <v>0</v>
      </c>
      <c r="N57" s="17" t="n">
        <f aca="false">'Dish Database'!N20*H57/100</f>
        <v>0</v>
      </c>
      <c r="O57" s="17" t="n">
        <f aca="false">'Dish Database'!O20*H57/100</f>
        <v>17</v>
      </c>
      <c r="P57" s="13" t="n">
        <f aca="false">'Dish Database'!P20*H57/100</f>
        <v>125</v>
      </c>
    </row>
    <row r="58" customFormat="false" ht="15" hidden="false" customHeight="false" outlineLevel="0" collapsed="false">
      <c r="A58" s="6" t="str">
        <f aca="false">'Dish Database'!A20</f>
        <v>D019</v>
      </c>
      <c r="B58" s="6" t="str">
        <f aca="false">'Dish Database'!B20</f>
        <v>Lemon soda (sweet)</v>
      </c>
      <c r="C58" s="6" t="str">
        <f aca="false">'Dish Database'!D20</f>
        <v>Cold Beverages &amp; Sharbat</v>
      </c>
      <c r="D58" s="6" t="str">
        <f aca="false">'Dish Database'!F20</f>
        <v>Veg</v>
      </c>
      <c r="E58" s="6" t="str">
        <f aca="false">'Dish Database'!E20</f>
        <v>Pan-India</v>
      </c>
      <c r="F58" s="6" t="s">
        <v>2246</v>
      </c>
      <c r="G58" s="6" t="s">
        <v>2252</v>
      </c>
      <c r="H58" s="16" t="n">
        <v>350</v>
      </c>
      <c r="I58" s="6" t="str">
        <f aca="false">'Dish Database'!I20</f>
        <v>ml</v>
      </c>
      <c r="J58" s="13" t="n">
        <f aca="false">'Dish Database'!J20*H58/100</f>
        <v>99.4</v>
      </c>
      <c r="K58" s="17" t="n">
        <f aca="false">'Dish Database'!K20*H58/100</f>
        <v>0.35</v>
      </c>
      <c r="L58" s="17" t="n">
        <f aca="false">'Dish Database'!L20*H58/100</f>
        <v>24.5</v>
      </c>
      <c r="M58" s="17" t="n">
        <f aca="false">'Dish Database'!M20*H58/100</f>
        <v>0</v>
      </c>
      <c r="N58" s="17" t="n">
        <f aca="false">'Dish Database'!N20*H58/100</f>
        <v>0</v>
      </c>
      <c r="O58" s="17" t="n">
        <f aca="false">'Dish Database'!O20*H58/100</f>
        <v>23.8</v>
      </c>
      <c r="P58" s="13" t="n">
        <f aca="false">'Dish Database'!P20*H58/100</f>
        <v>175</v>
      </c>
    </row>
    <row r="59" customFormat="false" ht="15" hidden="false" customHeight="false" outlineLevel="0" collapsed="false">
      <c r="A59" s="6" t="str">
        <f aca="false">'Dish Database'!A21</f>
        <v>D020</v>
      </c>
      <c r="B59" s="6" t="str">
        <f aca="false">'Dish Database'!B21</f>
        <v>Jaljeera</v>
      </c>
      <c r="C59" s="6" t="str">
        <f aca="false">'Dish Database'!D21</f>
        <v>Cold Beverages &amp; Sharbat</v>
      </c>
      <c r="D59" s="6" t="str">
        <f aca="false">'Dish Database'!F21</f>
        <v>Veg</v>
      </c>
      <c r="E59" s="6" t="str">
        <f aca="false">'Dish Database'!E21</f>
        <v>North</v>
      </c>
      <c r="F59" s="6" t="s">
        <v>2243</v>
      </c>
      <c r="G59" s="6" t="s">
        <v>2248</v>
      </c>
      <c r="H59" s="16" t="n">
        <v>150</v>
      </c>
      <c r="I59" s="6" t="str">
        <f aca="false">'Dish Database'!I21</f>
        <v>ml</v>
      </c>
      <c r="J59" s="13" t="n">
        <f aca="false">'Dish Database'!J21*H59/100</f>
        <v>38.25</v>
      </c>
      <c r="K59" s="17" t="n">
        <f aca="false">'Dish Database'!K21*H59/100</f>
        <v>0.3</v>
      </c>
      <c r="L59" s="17" t="n">
        <f aca="false">'Dish Database'!L21*H59/100</f>
        <v>9</v>
      </c>
      <c r="M59" s="17" t="n">
        <f aca="false">'Dish Database'!M21*H59/100</f>
        <v>0.15</v>
      </c>
      <c r="N59" s="17" t="n">
        <f aca="false">'Dish Database'!N21*H59/100</f>
        <v>0.15</v>
      </c>
      <c r="O59" s="17" t="n">
        <f aca="false">'Dish Database'!O21*H59/100</f>
        <v>7.5</v>
      </c>
      <c r="P59" s="13" t="n">
        <f aca="false">'Dish Database'!P21*H59/100</f>
        <v>450</v>
      </c>
    </row>
    <row r="60" customFormat="false" ht="15" hidden="false" customHeight="false" outlineLevel="0" collapsed="false">
      <c r="A60" s="6" t="str">
        <f aca="false">'Dish Database'!A21</f>
        <v>D020</v>
      </c>
      <c r="B60" s="6" t="str">
        <f aca="false">'Dish Database'!B21</f>
        <v>Jaljeera</v>
      </c>
      <c r="C60" s="6" t="str">
        <f aca="false">'Dish Database'!D21</f>
        <v>Cold Beverages &amp; Sharbat</v>
      </c>
      <c r="D60" s="6" t="str">
        <f aca="false">'Dish Database'!F21</f>
        <v>Veg</v>
      </c>
      <c r="E60" s="6" t="str">
        <f aca="false">'Dish Database'!E21</f>
        <v>North</v>
      </c>
      <c r="F60" s="6" t="s">
        <v>103</v>
      </c>
      <c r="G60" s="6" t="s">
        <v>2251</v>
      </c>
      <c r="H60" s="16" t="n">
        <v>250</v>
      </c>
      <c r="I60" s="6" t="str">
        <f aca="false">'Dish Database'!I21</f>
        <v>ml</v>
      </c>
      <c r="J60" s="13" t="n">
        <f aca="false">'Dish Database'!J21*H60/100</f>
        <v>63.75</v>
      </c>
      <c r="K60" s="17" t="n">
        <f aca="false">'Dish Database'!K21*H60/100</f>
        <v>0.5</v>
      </c>
      <c r="L60" s="17" t="n">
        <f aca="false">'Dish Database'!L21*H60/100</f>
        <v>15</v>
      </c>
      <c r="M60" s="17" t="n">
        <f aca="false">'Dish Database'!M21*H60/100</f>
        <v>0.25</v>
      </c>
      <c r="N60" s="17" t="n">
        <f aca="false">'Dish Database'!N21*H60/100</f>
        <v>0.25</v>
      </c>
      <c r="O60" s="17" t="n">
        <f aca="false">'Dish Database'!O21*H60/100</f>
        <v>12.5</v>
      </c>
      <c r="P60" s="13" t="n">
        <f aca="false">'Dish Database'!P21*H60/100</f>
        <v>750</v>
      </c>
    </row>
    <row r="61" customFormat="false" ht="15" hidden="false" customHeight="false" outlineLevel="0" collapsed="false">
      <c r="A61" s="6" t="str">
        <f aca="false">'Dish Database'!A21</f>
        <v>D020</v>
      </c>
      <c r="B61" s="6" t="str">
        <f aca="false">'Dish Database'!B21</f>
        <v>Jaljeera</v>
      </c>
      <c r="C61" s="6" t="str">
        <f aca="false">'Dish Database'!D21</f>
        <v>Cold Beverages &amp; Sharbat</v>
      </c>
      <c r="D61" s="6" t="str">
        <f aca="false">'Dish Database'!F21</f>
        <v>Veg</v>
      </c>
      <c r="E61" s="6" t="str">
        <f aca="false">'Dish Database'!E21</f>
        <v>North</v>
      </c>
      <c r="F61" s="6" t="s">
        <v>2246</v>
      </c>
      <c r="G61" s="6" t="s">
        <v>2252</v>
      </c>
      <c r="H61" s="16" t="n">
        <v>350</v>
      </c>
      <c r="I61" s="6" t="str">
        <f aca="false">'Dish Database'!I21</f>
        <v>ml</v>
      </c>
      <c r="J61" s="13" t="n">
        <f aca="false">'Dish Database'!J21*H61/100</f>
        <v>89.25</v>
      </c>
      <c r="K61" s="17" t="n">
        <f aca="false">'Dish Database'!K21*H61/100</f>
        <v>0.7</v>
      </c>
      <c r="L61" s="17" t="n">
        <f aca="false">'Dish Database'!L21*H61/100</f>
        <v>21</v>
      </c>
      <c r="M61" s="17" t="n">
        <f aca="false">'Dish Database'!M21*H61/100</f>
        <v>0.35</v>
      </c>
      <c r="N61" s="17" t="n">
        <f aca="false">'Dish Database'!N21*H61/100</f>
        <v>0.35</v>
      </c>
      <c r="O61" s="17" t="n">
        <f aca="false">'Dish Database'!O21*H61/100</f>
        <v>17.5</v>
      </c>
      <c r="P61" s="13" t="n">
        <f aca="false">'Dish Database'!P21*H61/100</f>
        <v>1050</v>
      </c>
    </row>
    <row r="62" customFormat="false" ht="15" hidden="false" customHeight="false" outlineLevel="0" collapsed="false">
      <c r="A62" s="6" t="str">
        <f aca="false">'Dish Database'!A22</f>
        <v>D021</v>
      </c>
      <c r="B62" s="6" t="str">
        <f aca="false">'Dish Database'!B22</f>
        <v>Aam panna</v>
      </c>
      <c r="C62" s="6" t="str">
        <f aca="false">'Dish Database'!D22</f>
        <v>Cold Beverages &amp; Sharbat</v>
      </c>
      <c r="D62" s="6" t="str">
        <f aca="false">'Dish Database'!F22</f>
        <v>Veg</v>
      </c>
      <c r="E62" s="6" t="str">
        <f aca="false">'Dish Database'!E22</f>
        <v>North</v>
      </c>
      <c r="F62" s="6" t="s">
        <v>2243</v>
      </c>
      <c r="G62" s="6" t="s">
        <v>2248</v>
      </c>
      <c r="H62" s="16" t="n">
        <v>150</v>
      </c>
      <c r="I62" s="6" t="str">
        <f aca="false">'Dish Database'!I22</f>
        <v>ml</v>
      </c>
      <c r="J62" s="13" t="n">
        <f aca="false">'Dish Database'!J22*H62/100</f>
        <v>60.3</v>
      </c>
      <c r="K62" s="17" t="n">
        <f aca="false">'Dish Database'!K22*H62/100</f>
        <v>0.3</v>
      </c>
      <c r="L62" s="17" t="n">
        <f aca="false">'Dish Database'!L22*H62/100</f>
        <v>15</v>
      </c>
      <c r="M62" s="17" t="n">
        <f aca="false">'Dish Database'!M22*H62/100</f>
        <v>0</v>
      </c>
      <c r="N62" s="17" t="n">
        <f aca="false">'Dish Database'!N22*H62/100</f>
        <v>0.45</v>
      </c>
      <c r="O62" s="17" t="n">
        <f aca="false">'Dish Database'!O22*H62/100</f>
        <v>12.75</v>
      </c>
      <c r="P62" s="13" t="n">
        <f aca="false">'Dish Database'!P22*H62/100</f>
        <v>180</v>
      </c>
    </row>
    <row r="63" customFormat="false" ht="15" hidden="false" customHeight="false" outlineLevel="0" collapsed="false">
      <c r="A63" s="6" t="str">
        <f aca="false">'Dish Database'!A22</f>
        <v>D021</v>
      </c>
      <c r="B63" s="6" t="str">
        <f aca="false">'Dish Database'!B22</f>
        <v>Aam panna</v>
      </c>
      <c r="C63" s="6" t="str">
        <f aca="false">'Dish Database'!D22</f>
        <v>Cold Beverages &amp; Sharbat</v>
      </c>
      <c r="D63" s="6" t="str">
        <f aca="false">'Dish Database'!F22</f>
        <v>Veg</v>
      </c>
      <c r="E63" s="6" t="str">
        <f aca="false">'Dish Database'!E22</f>
        <v>North</v>
      </c>
      <c r="F63" s="6" t="s">
        <v>103</v>
      </c>
      <c r="G63" s="6" t="s">
        <v>2251</v>
      </c>
      <c r="H63" s="16" t="n">
        <v>250</v>
      </c>
      <c r="I63" s="6" t="str">
        <f aca="false">'Dish Database'!I22</f>
        <v>ml</v>
      </c>
      <c r="J63" s="13" t="n">
        <f aca="false">'Dish Database'!J22*H63/100</f>
        <v>100.5</v>
      </c>
      <c r="K63" s="17" t="n">
        <f aca="false">'Dish Database'!K22*H63/100</f>
        <v>0.5</v>
      </c>
      <c r="L63" s="17" t="n">
        <f aca="false">'Dish Database'!L22*H63/100</f>
        <v>25</v>
      </c>
      <c r="M63" s="17" t="n">
        <f aca="false">'Dish Database'!M22*H63/100</f>
        <v>0</v>
      </c>
      <c r="N63" s="17" t="n">
        <f aca="false">'Dish Database'!N22*H63/100</f>
        <v>0.75</v>
      </c>
      <c r="O63" s="17" t="n">
        <f aca="false">'Dish Database'!O22*H63/100</f>
        <v>21.25</v>
      </c>
      <c r="P63" s="13" t="n">
        <f aca="false">'Dish Database'!P22*H63/100</f>
        <v>300</v>
      </c>
    </row>
    <row r="64" customFormat="false" ht="15" hidden="false" customHeight="false" outlineLevel="0" collapsed="false">
      <c r="A64" s="6" t="str">
        <f aca="false">'Dish Database'!A22</f>
        <v>D021</v>
      </c>
      <c r="B64" s="6" t="str">
        <f aca="false">'Dish Database'!B22</f>
        <v>Aam panna</v>
      </c>
      <c r="C64" s="6" t="str">
        <f aca="false">'Dish Database'!D22</f>
        <v>Cold Beverages &amp; Sharbat</v>
      </c>
      <c r="D64" s="6" t="str">
        <f aca="false">'Dish Database'!F22</f>
        <v>Veg</v>
      </c>
      <c r="E64" s="6" t="str">
        <f aca="false">'Dish Database'!E22</f>
        <v>North</v>
      </c>
      <c r="F64" s="6" t="s">
        <v>2246</v>
      </c>
      <c r="G64" s="6" t="s">
        <v>2252</v>
      </c>
      <c r="H64" s="16" t="n">
        <v>350</v>
      </c>
      <c r="I64" s="6" t="str">
        <f aca="false">'Dish Database'!I22</f>
        <v>ml</v>
      </c>
      <c r="J64" s="13" t="n">
        <f aca="false">'Dish Database'!J22*H64/100</f>
        <v>140.7</v>
      </c>
      <c r="K64" s="17" t="n">
        <f aca="false">'Dish Database'!K22*H64/100</f>
        <v>0.7</v>
      </c>
      <c r="L64" s="17" t="n">
        <f aca="false">'Dish Database'!L22*H64/100</f>
        <v>35</v>
      </c>
      <c r="M64" s="17" t="n">
        <f aca="false">'Dish Database'!M22*H64/100</f>
        <v>0</v>
      </c>
      <c r="N64" s="17" t="n">
        <f aca="false">'Dish Database'!N22*H64/100</f>
        <v>1.05</v>
      </c>
      <c r="O64" s="17" t="n">
        <f aca="false">'Dish Database'!O22*H64/100</f>
        <v>29.75</v>
      </c>
      <c r="P64" s="13" t="n">
        <f aca="false">'Dish Database'!P22*H64/100</f>
        <v>420</v>
      </c>
    </row>
    <row r="65" customFormat="false" ht="15" hidden="false" customHeight="false" outlineLevel="0" collapsed="false">
      <c r="A65" s="6" t="str">
        <f aca="false">'Dish Database'!A23</f>
        <v>D022</v>
      </c>
      <c r="B65" s="6" t="str">
        <f aca="false">'Dish Database'!B23</f>
        <v>Kokum sharbat</v>
      </c>
      <c r="C65" s="6" t="str">
        <f aca="false">'Dish Database'!D23</f>
        <v>Cold Beverages &amp; Sharbat</v>
      </c>
      <c r="D65" s="6" t="str">
        <f aca="false">'Dish Database'!F23</f>
        <v>Veg</v>
      </c>
      <c r="E65" s="6" t="str">
        <f aca="false">'Dish Database'!E23</f>
        <v>West</v>
      </c>
      <c r="F65" s="6" t="s">
        <v>2243</v>
      </c>
      <c r="G65" s="6" t="s">
        <v>2248</v>
      </c>
      <c r="H65" s="16" t="n">
        <v>150</v>
      </c>
      <c r="I65" s="6" t="str">
        <f aca="false">'Dish Database'!I23</f>
        <v>ml</v>
      </c>
      <c r="J65" s="13" t="n">
        <f aca="false">'Dish Database'!J23*H65/100</f>
        <v>66.6</v>
      </c>
      <c r="K65" s="17" t="n">
        <f aca="false">'Dish Database'!K23*H65/100</f>
        <v>0.15</v>
      </c>
      <c r="L65" s="17" t="n">
        <f aca="false">'Dish Database'!L23*H65/100</f>
        <v>16.5</v>
      </c>
      <c r="M65" s="17" t="n">
        <f aca="false">'Dish Database'!M23*H65/100</f>
        <v>0</v>
      </c>
      <c r="N65" s="17" t="n">
        <f aca="false">'Dish Database'!N23*H65/100</f>
        <v>0</v>
      </c>
      <c r="O65" s="17" t="n">
        <f aca="false">'Dish Database'!O23*H65/100</f>
        <v>15.75</v>
      </c>
      <c r="P65" s="13" t="n">
        <f aca="false">'Dish Database'!P23*H65/100</f>
        <v>90</v>
      </c>
    </row>
    <row r="66" customFormat="false" ht="15" hidden="false" customHeight="false" outlineLevel="0" collapsed="false">
      <c r="A66" s="6" t="str">
        <f aca="false">'Dish Database'!A23</f>
        <v>D022</v>
      </c>
      <c r="B66" s="6" t="str">
        <f aca="false">'Dish Database'!B23</f>
        <v>Kokum sharbat</v>
      </c>
      <c r="C66" s="6" t="str">
        <f aca="false">'Dish Database'!D23</f>
        <v>Cold Beverages &amp; Sharbat</v>
      </c>
      <c r="D66" s="6" t="str">
        <f aca="false">'Dish Database'!F23</f>
        <v>Veg</v>
      </c>
      <c r="E66" s="6" t="str">
        <f aca="false">'Dish Database'!E23</f>
        <v>West</v>
      </c>
      <c r="F66" s="6" t="s">
        <v>103</v>
      </c>
      <c r="G66" s="6" t="s">
        <v>2251</v>
      </c>
      <c r="H66" s="16" t="n">
        <v>250</v>
      </c>
      <c r="I66" s="6" t="str">
        <f aca="false">'Dish Database'!I23</f>
        <v>ml</v>
      </c>
      <c r="J66" s="13" t="n">
        <f aca="false">'Dish Database'!J23*H66/100</f>
        <v>111</v>
      </c>
      <c r="K66" s="17" t="n">
        <f aca="false">'Dish Database'!K23*H66/100</f>
        <v>0.25</v>
      </c>
      <c r="L66" s="17" t="n">
        <f aca="false">'Dish Database'!L23*H66/100</f>
        <v>27.5</v>
      </c>
      <c r="M66" s="17" t="n">
        <f aca="false">'Dish Database'!M23*H66/100</f>
        <v>0</v>
      </c>
      <c r="N66" s="17" t="n">
        <f aca="false">'Dish Database'!N23*H66/100</f>
        <v>0</v>
      </c>
      <c r="O66" s="17" t="n">
        <f aca="false">'Dish Database'!O23*H66/100</f>
        <v>26.25</v>
      </c>
      <c r="P66" s="13" t="n">
        <f aca="false">'Dish Database'!P23*H66/100</f>
        <v>150</v>
      </c>
    </row>
    <row r="67" customFormat="false" ht="15" hidden="false" customHeight="false" outlineLevel="0" collapsed="false">
      <c r="A67" s="6" t="str">
        <f aca="false">'Dish Database'!A23</f>
        <v>D022</v>
      </c>
      <c r="B67" s="6" t="str">
        <f aca="false">'Dish Database'!B23</f>
        <v>Kokum sharbat</v>
      </c>
      <c r="C67" s="6" t="str">
        <f aca="false">'Dish Database'!D23</f>
        <v>Cold Beverages &amp; Sharbat</v>
      </c>
      <c r="D67" s="6" t="str">
        <f aca="false">'Dish Database'!F23</f>
        <v>Veg</v>
      </c>
      <c r="E67" s="6" t="str">
        <f aca="false">'Dish Database'!E23</f>
        <v>West</v>
      </c>
      <c r="F67" s="6" t="s">
        <v>2246</v>
      </c>
      <c r="G67" s="6" t="s">
        <v>2252</v>
      </c>
      <c r="H67" s="16" t="n">
        <v>350</v>
      </c>
      <c r="I67" s="6" t="str">
        <f aca="false">'Dish Database'!I23</f>
        <v>ml</v>
      </c>
      <c r="J67" s="13" t="n">
        <f aca="false">'Dish Database'!J23*H67/100</f>
        <v>155.4</v>
      </c>
      <c r="K67" s="17" t="n">
        <f aca="false">'Dish Database'!K23*H67/100</f>
        <v>0.35</v>
      </c>
      <c r="L67" s="17" t="n">
        <f aca="false">'Dish Database'!L23*H67/100</f>
        <v>38.5</v>
      </c>
      <c r="M67" s="17" t="n">
        <f aca="false">'Dish Database'!M23*H67/100</f>
        <v>0</v>
      </c>
      <c r="N67" s="17" t="n">
        <f aca="false">'Dish Database'!N23*H67/100</f>
        <v>0</v>
      </c>
      <c r="O67" s="17" t="n">
        <f aca="false">'Dish Database'!O23*H67/100</f>
        <v>36.75</v>
      </c>
      <c r="P67" s="13" t="n">
        <f aca="false">'Dish Database'!P23*H67/100</f>
        <v>210</v>
      </c>
    </row>
    <row r="68" customFormat="false" ht="15" hidden="false" customHeight="false" outlineLevel="0" collapsed="false">
      <c r="A68" s="6" t="str">
        <f aca="false">'Dish Database'!A24</f>
        <v>D023</v>
      </c>
      <c r="B68" s="6" t="str">
        <f aca="false">'Dish Database'!B24</f>
        <v>Bael sharbat</v>
      </c>
      <c r="C68" s="6" t="str">
        <f aca="false">'Dish Database'!D24</f>
        <v>Cold Beverages &amp; Sharbat</v>
      </c>
      <c r="D68" s="6" t="str">
        <f aca="false">'Dish Database'!F24</f>
        <v>Veg</v>
      </c>
      <c r="E68" s="6" t="str">
        <f aca="false">'Dish Database'!E24</f>
        <v>North</v>
      </c>
      <c r="F68" s="6" t="s">
        <v>2243</v>
      </c>
      <c r="G68" s="6" t="s">
        <v>2248</v>
      </c>
      <c r="H68" s="16" t="n">
        <v>150</v>
      </c>
      <c r="I68" s="6" t="str">
        <f aca="false">'Dish Database'!I24</f>
        <v>ml</v>
      </c>
      <c r="J68" s="13" t="n">
        <f aca="false">'Dish Database'!J24*H68/100</f>
        <v>56.55</v>
      </c>
      <c r="K68" s="17" t="n">
        <f aca="false">'Dish Database'!K24*H68/100</f>
        <v>0.9</v>
      </c>
      <c r="L68" s="17" t="n">
        <f aca="false">'Dish Database'!L24*H68/100</f>
        <v>13.5</v>
      </c>
      <c r="M68" s="17" t="n">
        <f aca="false">'Dish Database'!M24*H68/100</f>
        <v>0.15</v>
      </c>
      <c r="N68" s="17" t="n">
        <f aca="false">'Dish Database'!N24*H68/100</f>
        <v>1.2</v>
      </c>
      <c r="O68" s="17" t="n">
        <f aca="false">'Dish Database'!O24*H68/100</f>
        <v>12</v>
      </c>
      <c r="P68" s="13" t="n">
        <f aca="false">'Dish Database'!P24*H68/100</f>
        <v>7.5</v>
      </c>
    </row>
    <row r="69" customFormat="false" ht="15" hidden="false" customHeight="false" outlineLevel="0" collapsed="false">
      <c r="A69" s="6" t="str">
        <f aca="false">'Dish Database'!A24</f>
        <v>D023</v>
      </c>
      <c r="B69" s="6" t="str">
        <f aca="false">'Dish Database'!B24</f>
        <v>Bael sharbat</v>
      </c>
      <c r="C69" s="6" t="str">
        <f aca="false">'Dish Database'!D24</f>
        <v>Cold Beverages &amp; Sharbat</v>
      </c>
      <c r="D69" s="6" t="str">
        <f aca="false">'Dish Database'!F24</f>
        <v>Veg</v>
      </c>
      <c r="E69" s="6" t="str">
        <f aca="false">'Dish Database'!E24</f>
        <v>North</v>
      </c>
      <c r="F69" s="6" t="s">
        <v>103</v>
      </c>
      <c r="G69" s="6" t="s">
        <v>2251</v>
      </c>
      <c r="H69" s="16" t="n">
        <v>250</v>
      </c>
      <c r="I69" s="6" t="str">
        <f aca="false">'Dish Database'!I24</f>
        <v>ml</v>
      </c>
      <c r="J69" s="13" t="n">
        <f aca="false">'Dish Database'!J24*H69/100</f>
        <v>94.25</v>
      </c>
      <c r="K69" s="17" t="n">
        <f aca="false">'Dish Database'!K24*H69/100</f>
        <v>1.5</v>
      </c>
      <c r="L69" s="17" t="n">
        <f aca="false">'Dish Database'!L24*H69/100</f>
        <v>22.5</v>
      </c>
      <c r="M69" s="17" t="n">
        <f aca="false">'Dish Database'!M24*H69/100</f>
        <v>0.25</v>
      </c>
      <c r="N69" s="17" t="n">
        <f aca="false">'Dish Database'!N24*H69/100</f>
        <v>2</v>
      </c>
      <c r="O69" s="17" t="n">
        <f aca="false">'Dish Database'!O24*H69/100</f>
        <v>20</v>
      </c>
      <c r="P69" s="13" t="n">
        <f aca="false">'Dish Database'!P24*H69/100</f>
        <v>12.5</v>
      </c>
    </row>
    <row r="70" customFormat="false" ht="15" hidden="false" customHeight="false" outlineLevel="0" collapsed="false">
      <c r="A70" s="6" t="str">
        <f aca="false">'Dish Database'!A24</f>
        <v>D023</v>
      </c>
      <c r="B70" s="6" t="str">
        <f aca="false">'Dish Database'!B24</f>
        <v>Bael sharbat</v>
      </c>
      <c r="C70" s="6" t="str">
        <f aca="false">'Dish Database'!D24</f>
        <v>Cold Beverages &amp; Sharbat</v>
      </c>
      <c r="D70" s="6" t="str">
        <f aca="false">'Dish Database'!F24</f>
        <v>Veg</v>
      </c>
      <c r="E70" s="6" t="str">
        <f aca="false">'Dish Database'!E24</f>
        <v>North</v>
      </c>
      <c r="F70" s="6" t="s">
        <v>2246</v>
      </c>
      <c r="G70" s="6" t="s">
        <v>2252</v>
      </c>
      <c r="H70" s="16" t="n">
        <v>350</v>
      </c>
      <c r="I70" s="6" t="str">
        <f aca="false">'Dish Database'!I24</f>
        <v>ml</v>
      </c>
      <c r="J70" s="13" t="n">
        <f aca="false">'Dish Database'!J24*H70/100</f>
        <v>131.95</v>
      </c>
      <c r="K70" s="17" t="n">
        <f aca="false">'Dish Database'!K24*H70/100</f>
        <v>2.1</v>
      </c>
      <c r="L70" s="17" t="n">
        <f aca="false">'Dish Database'!L24*H70/100</f>
        <v>31.5</v>
      </c>
      <c r="M70" s="17" t="n">
        <f aca="false">'Dish Database'!M24*H70/100</f>
        <v>0.35</v>
      </c>
      <c r="N70" s="17" t="n">
        <f aca="false">'Dish Database'!N24*H70/100</f>
        <v>2.8</v>
      </c>
      <c r="O70" s="17" t="n">
        <f aca="false">'Dish Database'!O24*H70/100</f>
        <v>28</v>
      </c>
      <c r="P70" s="13" t="n">
        <f aca="false">'Dish Database'!P24*H70/100</f>
        <v>17.5</v>
      </c>
    </row>
    <row r="71" customFormat="false" ht="15" hidden="false" customHeight="false" outlineLevel="0" collapsed="false">
      <c r="A71" s="6" t="str">
        <f aca="false">'Dish Database'!A25</f>
        <v>D024</v>
      </c>
      <c r="B71" s="6" t="str">
        <f aca="false">'Dish Database'!B25</f>
        <v>Sattu sharbat (salted)</v>
      </c>
      <c r="C71" s="6" t="str">
        <f aca="false">'Dish Database'!D25</f>
        <v>Cold Beverages &amp; Sharbat</v>
      </c>
      <c r="D71" s="6" t="str">
        <f aca="false">'Dish Database'!F25</f>
        <v>Veg</v>
      </c>
      <c r="E71" s="6" t="str">
        <f aca="false">'Dish Database'!E25</f>
        <v>East</v>
      </c>
      <c r="F71" s="6" t="s">
        <v>2243</v>
      </c>
      <c r="G71" s="6" t="s">
        <v>2248</v>
      </c>
      <c r="H71" s="16" t="n">
        <v>150</v>
      </c>
      <c r="I71" s="6" t="str">
        <f aca="false">'Dish Database'!I25</f>
        <v>ml</v>
      </c>
      <c r="J71" s="13" t="n">
        <f aca="false">'Dish Database'!J25*H71/100</f>
        <v>56.1</v>
      </c>
      <c r="K71" s="17" t="n">
        <f aca="false">'Dish Database'!K25*H71/100</f>
        <v>3.3</v>
      </c>
      <c r="L71" s="17" t="n">
        <f aca="false">'Dish Database'!L25*H71/100</f>
        <v>9.75</v>
      </c>
      <c r="M71" s="17" t="n">
        <f aca="false">'Dish Database'!M25*H71/100</f>
        <v>0.9</v>
      </c>
      <c r="N71" s="17" t="n">
        <f aca="false">'Dish Database'!N25*H71/100</f>
        <v>2.1</v>
      </c>
      <c r="O71" s="17" t="n">
        <f aca="false">'Dish Database'!O25*H71/100</f>
        <v>0.75</v>
      </c>
      <c r="P71" s="13" t="n">
        <f aca="false">'Dish Database'!P25*H71/100</f>
        <v>225</v>
      </c>
    </row>
    <row r="72" customFormat="false" ht="15" hidden="false" customHeight="false" outlineLevel="0" collapsed="false">
      <c r="A72" s="6" t="str">
        <f aca="false">'Dish Database'!A25</f>
        <v>D024</v>
      </c>
      <c r="B72" s="6" t="str">
        <f aca="false">'Dish Database'!B25</f>
        <v>Sattu sharbat (salted)</v>
      </c>
      <c r="C72" s="6" t="str">
        <f aca="false">'Dish Database'!D25</f>
        <v>Cold Beverages &amp; Sharbat</v>
      </c>
      <c r="D72" s="6" t="str">
        <f aca="false">'Dish Database'!F25</f>
        <v>Veg</v>
      </c>
      <c r="E72" s="6" t="str">
        <f aca="false">'Dish Database'!E25</f>
        <v>East</v>
      </c>
      <c r="F72" s="6" t="s">
        <v>103</v>
      </c>
      <c r="G72" s="6" t="s">
        <v>2251</v>
      </c>
      <c r="H72" s="16" t="n">
        <v>250</v>
      </c>
      <c r="I72" s="6" t="str">
        <f aca="false">'Dish Database'!I25</f>
        <v>ml</v>
      </c>
      <c r="J72" s="13" t="n">
        <f aca="false">'Dish Database'!J25*H72/100</f>
        <v>93.5</v>
      </c>
      <c r="K72" s="17" t="n">
        <f aca="false">'Dish Database'!K25*H72/100</f>
        <v>5.5</v>
      </c>
      <c r="L72" s="17" t="n">
        <f aca="false">'Dish Database'!L25*H72/100</f>
        <v>16.25</v>
      </c>
      <c r="M72" s="17" t="n">
        <f aca="false">'Dish Database'!M25*H72/100</f>
        <v>1.5</v>
      </c>
      <c r="N72" s="17" t="n">
        <f aca="false">'Dish Database'!N25*H72/100</f>
        <v>3.5</v>
      </c>
      <c r="O72" s="17" t="n">
        <f aca="false">'Dish Database'!O25*H72/100</f>
        <v>1.25</v>
      </c>
      <c r="P72" s="13" t="n">
        <f aca="false">'Dish Database'!P25*H72/100</f>
        <v>375</v>
      </c>
    </row>
    <row r="73" customFormat="false" ht="15" hidden="false" customHeight="false" outlineLevel="0" collapsed="false">
      <c r="A73" s="6" t="str">
        <f aca="false">'Dish Database'!A25</f>
        <v>D024</v>
      </c>
      <c r="B73" s="6" t="str">
        <f aca="false">'Dish Database'!B25</f>
        <v>Sattu sharbat (salted)</v>
      </c>
      <c r="C73" s="6" t="str">
        <f aca="false">'Dish Database'!D25</f>
        <v>Cold Beverages &amp; Sharbat</v>
      </c>
      <c r="D73" s="6" t="str">
        <f aca="false">'Dish Database'!F25</f>
        <v>Veg</v>
      </c>
      <c r="E73" s="6" t="str">
        <f aca="false">'Dish Database'!E25</f>
        <v>East</v>
      </c>
      <c r="F73" s="6" t="s">
        <v>2246</v>
      </c>
      <c r="G73" s="6" t="s">
        <v>2252</v>
      </c>
      <c r="H73" s="16" t="n">
        <v>350</v>
      </c>
      <c r="I73" s="6" t="str">
        <f aca="false">'Dish Database'!I25</f>
        <v>ml</v>
      </c>
      <c r="J73" s="13" t="n">
        <f aca="false">'Dish Database'!J25*H73/100</f>
        <v>130.9</v>
      </c>
      <c r="K73" s="17" t="n">
        <f aca="false">'Dish Database'!K25*H73/100</f>
        <v>7.7</v>
      </c>
      <c r="L73" s="17" t="n">
        <f aca="false">'Dish Database'!L25*H73/100</f>
        <v>22.75</v>
      </c>
      <c r="M73" s="17" t="n">
        <f aca="false">'Dish Database'!M25*H73/100</f>
        <v>2.1</v>
      </c>
      <c r="N73" s="17" t="n">
        <f aca="false">'Dish Database'!N25*H73/100</f>
        <v>4.9</v>
      </c>
      <c r="O73" s="17" t="n">
        <f aca="false">'Dish Database'!O25*H73/100</f>
        <v>1.75</v>
      </c>
      <c r="P73" s="13" t="n">
        <f aca="false">'Dish Database'!P25*H73/100</f>
        <v>525</v>
      </c>
    </row>
    <row r="74" customFormat="false" ht="15" hidden="false" customHeight="false" outlineLevel="0" collapsed="false">
      <c r="A74" s="6" t="str">
        <f aca="false">'Dish Database'!A26</f>
        <v>D025</v>
      </c>
      <c r="B74" s="6" t="str">
        <f aca="false">'Dish Database'!B26</f>
        <v>Rose sharbat / Rooh Afza (with water)</v>
      </c>
      <c r="C74" s="6" t="str">
        <f aca="false">'Dish Database'!D26</f>
        <v>Cold Beverages &amp; Sharbat</v>
      </c>
      <c r="D74" s="6" t="str">
        <f aca="false">'Dish Database'!F26</f>
        <v>Veg</v>
      </c>
      <c r="E74" s="6" t="str">
        <f aca="false">'Dish Database'!E26</f>
        <v>Pan-India</v>
      </c>
      <c r="F74" s="6" t="s">
        <v>2243</v>
      </c>
      <c r="G74" s="6" t="s">
        <v>2248</v>
      </c>
      <c r="H74" s="16" t="n">
        <v>150</v>
      </c>
      <c r="I74" s="6" t="str">
        <f aca="false">'Dish Database'!I26</f>
        <v>ml</v>
      </c>
      <c r="J74" s="13" t="n">
        <f aca="false">'Dish Database'!J26*H74/100</f>
        <v>54</v>
      </c>
      <c r="K74" s="17" t="n">
        <f aca="false">'Dish Database'!K26*H74/100</f>
        <v>0</v>
      </c>
      <c r="L74" s="17" t="n">
        <f aca="false">'Dish Database'!L26*H74/100</f>
        <v>13.5</v>
      </c>
      <c r="M74" s="17" t="n">
        <f aca="false">'Dish Database'!M26*H74/100</f>
        <v>0</v>
      </c>
      <c r="N74" s="17" t="n">
        <f aca="false">'Dish Database'!N26*H74/100</f>
        <v>0</v>
      </c>
      <c r="O74" s="17" t="n">
        <f aca="false">'Dish Database'!O26*H74/100</f>
        <v>13.5</v>
      </c>
      <c r="P74" s="13" t="n">
        <f aca="false">'Dish Database'!P26*H74/100</f>
        <v>4.5</v>
      </c>
    </row>
    <row r="75" customFormat="false" ht="15" hidden="false" customHeight="false" outlineLevel="0" collapsed="false">
      <c r="A75" s="6" t="str">
        <f aca="false">'Dish Database'!A26</f>
        <v>D025</v>
      </c>
      <c r="B75" s="6" t="str">
        <f aca="false">'Dish Database'!B26</f>
        <v>Rose sharbat / Rooh Afza (with water)</v>
      </c>
      <c r="C75" s="6" t="str">
        <f aca="false">'Dish Database'!D26</f>
        <v>Cold Beverages &amp; Sharbat</v>
      </c>
      <c r="D75" s="6" t="str">
        <f aca="false">'Dish Database'!F26</f>
        <v>Veg</v>
      </c>
      <c r="E75" s="6" t="str">
        <f aca="false">'Dish Database'!E26</f>
        <v>Pan-India</v>
      </c>
      <c r="F75" s="6" t="s">
        <v>103</v>
      </c>
      <c r="G75" s="6" t="s">
        <v>2251</v>
      </c>
      <c r="H75" s="16" t="n">
        <v>250</v>
      </c>
      <c r="I75" s="6" t="str">
        <f aca="false">'Dish Database'!I26</f>
        <v>ml</v>
      </c>
      <c r="J75" s="13" t="n">
        <f aca="false">'Dish Database'!J26*H75/100</f>
        <v>90</v>
      </c>
      <c r="K75" s="17" t="n">
        <f aca="false">'Dish Database'!K26*H75/100</f>
        <v>0</v>
      </c>
      <c r="L75" s="17" t="n">
        <f aca="false">'Dish Database'!L26*H75/100</f>
        <v>22.5</v>
      </c>
      <c r="M75" s="17" t="n">
        <f aca="false">'Dish Database'!M26*H75/100</f>
        <v>0</v>
      </c>
      <c r="N75" s="17" t="n">
        <f aca="false">'Dish Database'!N26*H75/100</f>
        <v>0</v>
      </c>
      <c r="O75" s="17" t="n">
        <f aca="false">'Dish Database'!O26*H75/100</f>
        <v>22.5</v>
      </c>
      <c r="P75" s="13" t="n">
        <f aca="false">'Dish Database'!P26*H75/100</f>
        <v>7.5</v>
      </c>
    </row>
    <row r="76" customFormat="false" ht="15" hidden="false" customHeight="false" outlineLevel="0" collapsed="false">
      <c r="A76" s="6" t="str">
        <f aca="false">'Dish Database'!A26</f>
        <v>D025</v>
      </c>
      <c r="B76" s="6" t="str">
        <f aca="false">'Dish Database'!B26</f>
        <v>Rose sharbat / Rooh Afza (with water)</v>
      </c>
      <c r="C76" s="6" t="str">
        <f aca="false">'Dish Database'!D26</f>
        <v>Cold Beverages &amp; Sharbat</v>
      </c>
      <c r="D76" s="6" t="str">
        <f aca="false">'Dish Database'!F26</f>
        <v>Veg</v>
      </c>
      <c r="E76" s="6" t="str">
        <f aca="false">'Dish Database'!E26</f>
        <v>Pan-India</v>
      </c>
      <c r="F76" s="6" t="s">
        <v>2246</v>
      </c>
      <c r="G76" s="6" t="s">
        <v>2252</v>
      </c>
      <c r="H76" s="16" t="n">
        <v>350</v>
      </c>
      <c r="I76" s="6" t="str">
        <f aca="false">'Dish Database'!I26</f>
        <v>ml</v>
      </c>
      <c r="J76" s="13" t="n">
        <f aca="false">'Dish Database'!J26*H76/100</f>
        <v>126</v>
      </c>
      <c r="K76" s="17" t="n">
        <f aca="false">'Dish Database'!K26*H76/100</f>
        <v>0</v>
      </c>
      <c r="L76" s="17" t="n">
        <f aca="false">'Dish Database'!L26*H76/100</f>
        <v>31.5</v>
      </c>
      <c r="M76" s="17" t="n">
        <f aca="false">'Dish Database'!M26*H76/100</f>
        <v>0</v>
      </c>
      <c r="N76" s="17" t="n">
        <f aca="false">'Dish Database'!N26*H76/100</f>
        <v>0</v>
      </c>
      <c r="O76" s="17" t="n">
        <f aca="false">'Dish Database'!O26*H76/100</f>
        <v>31.5</v>
      </c>
      <c r="P76" s="13" t="n">
        <f aca="false">'Dish Database'!P26*H76/100</f>
        <v>10.5</v>
      </c>
    </row>
    <row r="77" customFormat="false" ht="15" hidden="false" customHeight="false" outlineLevel="0" collapsed="false">
      <c r="A77" s="6" t="str">
        <f aca="false">'Dish Database'!A27</f>
        <v>D026</v>
      </c>
      <c r="B77" s="6" t="str">
        <f aca="false">'Dish Database'!B27</f>
        <v>Rooh Afza milk</v>
      </c>
      <c r="C77" s="6" t="str">
        <f aca="false">'Dish Database'!D27</f>
        <v>Cold Beverages &amp; Sharbat</v>
      </c>
      <c r="D77" s="6" t="str">
        <f aca="false">'Dish Database'!F27</f>
        <v>Veg</v>
      </c>
      <c r="E77" s="6" t="str">
        <f aca="false">'Dish Database'!E27</f>
        <v>North</v>
      </c>
      <c r="F77" s="6" t="s">
        <v>2243</v>
      </c>
      <c r="G77" s="6" t="s">
        <v>2253</v>
      </c>
      <c r="H77" s="16" t="n">
        <v>200</v>
      </c>
      <c r="I77" s="6" t="str">
        <f aca="false">'Dish Database'!I27</f>
        <v>ml</v>
      </c>
      <c r="J77" s="13" t="n">
        <f aca="false">'Dish Database'!J27*H77/100</f>
        <v>178</v>
      </c>
      <c r="K77" s="17" t="n">
        <f aca="false">'Dish Database'!K27*H77/100</f>
        <v>6</v>
      </c>
      <c r="L77" s="17" t="n">
        <f aca="false">'Dish Database'!L27*H77/100</f>
        <v>25</v>
      </c>
      <c r="M77" s="17" t="n">
        <f aca="false">'Dish Database'!M27*H77/100</f>
        <v>6</v>
      </c>
      <c r="N77" s="17" t="n">
        <f aca="false">'Dish Database'!N27*H77/100</f>
        <v>0</v>
      </c>
      <c r="O77" s="17" t="n">
        <f aca="false">'Dish Database'!O27*H77/100</f>
        <v>25</v>
      </c>
      <c r="P77" s="13" t="n">
        <f aca="false">'Dish Database'!P27*H77/100</f>
        <v>84</v>
      </c>
    </row>
    <row r="78" customFormat="false" ht="15" hidden="false" customHeight="false" outlineLevel="0" collapsed="false">
      <c r="A78" s="6" t="str">
        <f aca="false">'Dish Database'!A27</f>
        <v>D026</v>
      </c>
      <c r="B78" s="6" t="str">
        <f aca="false">'Dish Database'!B27</f>
        <v>Rooh Afza milk</v>
      </c>
      <c r="C78" s="6" t="str">
        <f aca="false">'Dish Database'!D27</f>
        <v>Cold Beverages &amp; Sharbat</v>
      </c>
      <c r="D78" s="6" t="str">
        <f aca="false">'Dish Database'!F27</f>
        <v>Veg</v>
      </c>
      <c r="E78" s="6" t="str">
        <f aca="false">'Dish Database'!E27</f>
        <v>North</v>
      </c>
      <c r="F78" s="6" t="s">
        <v>103</v>
      </c>
      <c r="G78" s="6" t="s">
        <v>2254</v>
      </c>
      <c r="H78" s="16" t="n">
        <v>300</v>
      </c>
      <c r="I78" s="6" t="str">
        <f aca="false">'Dish Database'!I27</f>
        <v>ml</v>
      </c>
      <c r="J78" s="13" t="n">
        <f aca="false">'Dish Database'!J27*H78/100</f>
        <v>267</v>
      </c>
      <c r="K78" s="17" t="n">
        <f aca="false">'Dish Database'!K27*H78/100</f>
        <v>9</v>
      </c>
      <c r="L78" s="17" t="n">
        <f aca="false">'Dish Database'!L27*H78/100</f>
        <v>37.5</v>
      </c>
      <c r="M78" s="17" t="n">
        <f aca="false">'Dish Database'!M27*H78/100</f>
        <v>9</v>
      </c>
      <c r="N78" s="17" t="n">
        <f aca="false">'Dish Database'!N27*H78/100</f>
        <v>0</v>
      </c>
      <c r="O78" s="17" t="n">
        <f aca="false">'Dish Database'!O27*H78/100</f>
        <v>37.5</v>
      </c>
      <c r="P78" s="13" t="n">
        <f aca="false">'Dish Database'!P27*H78/100</f>
        <v>126</v>
      </c>
    </row>
    <row r="79" customFormat="false" ht="15" hidden="false" customHeight="false" outlineLevel="0" collapsed="false">
      <c r="A79" s="6" t="str">
        <f aca="false">'Dish Database'!A27</f>
        <v>D026</v>
      </c>
      <c r="B79" s="6" t="str">
        <f aca="false">'Dish Database'!B27</f>
        <v>Rooh Afza milk</v>
      </c>
      <c r="C79" s="6" t="str">
        <f aca="false">'Dish Database'!D27</f>
        <v>Cold Beverages &amp; Sharbat</v>
      </c>
      <c r="D79" s="6" t="str">
        <f aca="false">'Dish Database'!F27</f>
        <v>Veg</v>
      </c>
      <c r="E79" s="6" t="str">
        <f aca="false">'Dish Database'!E27</f>
        <v>North</v>
      </c>
      <c r="F79" s="6" t="s">
        <v>2246</v>
      </c>
      <c r="G79" s="6" t="s">
        <v>2255</v>
      </c>
      <c r="H79" s="16" t="n">
        <v>400</v>
      </c>
      <c r="I79" s="6" t="str">
        <f aca="false">'Dish Database'!I27</f>
        <v>ml</v>
      </c>
      <c r="J79" s="13" t="n">
        <f aca="false">'Dish Database'!J27*H79/100</f>
        <v>356</v>
      </c>
      <c r="K79" s="17" t="n">
        <f aca="false">'Dish Database'!K27*H79/100</f>
        <v>12</v>
      </c>
      <c r="L79" s="17" t="n">
        <f aca="false">'Dish Database'!L27*H79/100</f>
        <v>50</v>
      </c>
      <c r="M79" s="17" t="n">
        <f aca="false">'Dish Database'!M27*H79/100</f>
        <v>12</v>
      </c>
      <c r="N79" s="17" t="n">
        <f aca="false">'Dish Database'!N27*H79/100</f>
        <v>0</v>
      </c>
      <c r="O79" s="17" t="n">
        <f aca="false">'Dish Database'!O27*H79/100</f>
        <v>50</v>
      </c>
      <c r="P79" s="13" t="n">
        <f aca="false">'Dish Database'!P27*H79/100</f>
        <v>168</v>
      </c>
    </row>
    <row r="80" customFormat="false" ht="15" hidden="false" customHeight="false" outlineLevel="0" collapsed="false">
      <c r="A80" s="6" t="str">
        <f aca="false">'Dish Database'!A28</f>
        <v>D027</v>
      </c>
      <c r="B80" s="6" t="str">
        <f aca="false">'Dish Database'!B28</f>
        <v>Nannari sharbat</v>
      </c>
      <c r="C80" s="6" t="str">
        <f aca="false">'Dish Database'!D28</f>
        <v>Cold Beverages &amp; Sharbat</v>
      </c>
      <c r="D80" s="6" t="str">
        <f aca="false">'Dish Database'!F28</f>
        <v>Veg</v>
      </c>
      <c r="E80" s="6" t="str">
        <f aca="false">'Dish Database'!E28</f>
        <v>South</v>
      </c>
      <c r="F80" s="6" t="s">
        <v>2243</v>
      </c>
      <c r="G80" s="6" t="s">
        <v>2248</v>
      </c>
      <c r="H80" s="16" t="n">
        <v>150</v>
      </c>
      <c r="I80" s="6" t="str">
        <f aca="false">'Dish Database'!I28</f>
        <v>ml</v>
      </c>
      <c r="J80" s="13" t="n">
        <f aca="false">'Dish Database'!J28*H80/100</f>
        <v>60</v>
      </c>
      <c r="K80" s="17" t="n">
        <f aca="false">'Dish Database'!K28*H80/100</f>
        <v>0</v>
      </c>
      <c r="L80" s="17" t="n">
        <f aca="false">'Dish Database'!L28*H80/100</f>
        <v>15</v>
      </c>
      <c r="M80" s="17" t="n">
        <f aca="false">'Dish Database'!M28*H80/100</f>
        <v>0</v>
      </c>
      <c r="N80" s="17" t="n">
        <f aca="false">'Dish Database'!N28*H80/100</f>
        <v>0</v>
      </c>
      <c r="O80" s="17" t="n">
        <f aca="false">'Dish Database'!O28*H80/100</f>
        <v>15</v>
      </c>
      <c r="P80" s="13" t="n">
        <f aca="false">'Dish Database'!P28*H80/100</f>
        <v>7.5</v>
      </c>
    </row>
    <row r="81" customFormat="false" ht="15" hidden="false" customHeight="false" outlineLevel="0" collapsed="false">
      <c r="A81" s="6" t="str">
        <f aca="false">'Dish Database'!A28</f>
        <v>D027</v>
      </c>
      <c r="B81" s="6" t="str">
        <f aca="false">'Dish Database'!B28</f>
        <v>Nannari sharbat</v>
      </c>
      <c r="C81" s="6" t="str">
        <f aca="false">'Dish Database'!D28</f>
        <v>Cold Beverages &amp; Sharbat</v>
      </c>
      <c r="D81" s="6" t="str">
        <f aca="false">'Dish Database'!F28</f>
        <v>Veg</v>
      </c>
      <c r="E81" s="6" t="str">
        <f aca="false">'Dish Database'!E28</f>
        <v>South</v>
      </c>
      <c r="F81" s="6" t="s">
        <v>103</v>
      </c>
      <c r="G81" s="6" t="s">
        <v>2251</v>
      </c>
      <c r="H81" s="16" t="n">
        <v>250</v>
      </c>
      <c r="I81" s="6" t="str">
        <f aca="false">'Dish Database'!I28</f>
        <v>ml</v>
      </c>
      <c r="J81" s="13" t="n">
        <f aca="false">'Dish Database'!J28*H81/100</f>
        <v>100</v>
      </c>
      <c r="K81" s="17" t="n">
        <f aca="false">'Dish Database'!K28*H81/100</f>
        <v>0</v>
      </c>
      <c r="L81" s="17" t="n">
        <f aca="false">'Dish Database'!L28*H81/100</f>
        <v>25</v>
      </c>
      <c r="M81" s="17" t="n">
        <f aca="false">'Dish Database'!M28*H81/100</f>
        <v>0</v>
      </c>
      <c r="N81" s="17" t="n">
        <f aca="false">'Dish Database'!N28*H81/100</f>
        <v>0</v>
      </c>
      <c r="O81" s="17" t="n">
        <f aca="false">'Dish Database'!O28*H81/100</f>
        <v>25</v>
      </c>
      <c r="P81" s="13" t="n">
        <f aca="false">'Dish Database'!P28*H81/100</f>
        <v>12.5</v>
      </c>
    </row>
    <row r="82" customFormat="false" ht="15" hidden="false" customHeight="false" outlineLevel="0" collapsed="false">
      <c r="A82" s="6" t="str">
        <f aca="false">'Dish Database'!A28</f>
        <v>D027</v>
      </c>
      <c r="B82" s="6" t="str">
        <f aca="false">'Dish Database'!B28</f>
        <v>Nannari sharbat</v>
      </c>
      <c r="C82" s="6" t="str">
        <f aca="false">'Dish Database'!D28</f>
        <v>Cold Beverages &amp; Sharbat</v>
      </c>
      <c r="D82" s="6" t="str">
        <f aca="false">'Dish Database'!F28</f>
        <v>Veg</v>
      </c>
      <c r="E82" s="6" t="str">
        <f aca="false">'Dish Database'!E28</f>
        <v>South</v>
      </c>
      <c r="F82" s="6" t="s">
        <v>2246</v>
      </c>
      <c r="G82" s="6" t="s">
        <v>2252</v>
      </c>
      <c r="H82" s="16" t="n">
        <v>350</v>
      </c>
      <c r="I82" s="6" t="str">
        <f aca="false">'Dish Database'!I28</f>
        <v>ml</v>
      </c>
      <c r="J82" s="13" t="n">
        <f aca="false">'Dish Database'!J28*H82/100</f>
        <v>140</v>
      </c>
      <c r="K82" s="17" t="n">
        <f aca="false">'Dish Database'!K28*H82/100</f>
        <v>0</v>
      </c>
      <c r="L82" s="17" t="n">
        <f aca="false">'Dish Database'!L28*H82/100</f>
        <v>35</v>
      </c>
      <c r="M82" s="17" t="n">
        <f aca="false">'Dish Database'!M28*H82/100</f>
        <v>0</v>
      </c>
      <c r="N82" s="17" t="n">
        <f aca="false">'Dish Database'!N28*H82/100</f>
        <v>0</v>
      </c>
      <c r="O82" s="17" t="n">
        <f aca="false">'Dish Database'!O28*H82/100</f>
        <v>35</v>
      </c>
      <c r="P82" s="13" t="n">
        <f aca="false">'Dish Database'!P28*H82/100</f>
        <v>17.5</v>
      </c>
    </row>
    <row r="83" customFormat="false" ht="15" hidden="false" customHeight="false" outlineLevel="0" collapsed="false">
      <c r="A83" s="6" t="str">
        <f aca="false">'Dish Database'!A29</f>
        <v>D028</v>
      </c>
      <c r="B83" s="6" t="str">
        <f aca="false">'Dish Database'!B29</f>
        <v>Sol kadhi</v>
      </c>
      <c r="C83" s="6" t="str">
        <f aca="false">'Dish Database'!D29</f>
        <v>Cold Beverages &amp; Sharbat</v>
      </c>
      <c r="D83" s="6" t="str">
        <f aca="false">'Dish Database'!F29</f>
        <v>Veg</v>
      </c>
      <c r="E83" s="6" t="str">
        <f aca="false">'Dish Database'!E29</f>
        <v>West</v>
      </c>
      <c r="F83" s="6" t="s">
        <v>2243</v>
      </c>
      <c r="G83" s="6" t="s">
        <v>2248</v>
      </c>
      <c r="H83" s="16" t="n">
        <v>150</v>
      </c>
      <c r="I83" s="6" t="str">
        <f aca="false">'Dish Database'!I29</f>
        <v>ml</v>
      </c>
      <c r="J83" s="13" t="n">
        <f aca="false">'Dish Database'!J29*H83/100</f>
        <v>77.7</v>
      </c>
      <c r="K83" s="17" t="n">
        <f aca="false">'Dish Database'!K29*H83/100</f>
        <v>0.9</v>
      </c>
      <c r="L83" s="17" t="n">
        <f aca="false">'Dish Database'!L29*H83/100</f>
        <v>5.25</v>
      </c>
      <c r="M83" s="17" t="n">
        <f aca="false">'Dish Database'!M29*H83/100</f>
        <v>6</v>
      </c>
      <c r="N83" s="17" t="n">
        <f aca="false">'Dish Database'!N29*H83/100</f>
        <v>0.45</v>
      </c>
      <c r="O83" s="17" t="n">
        <f aca="false">'Dish Database'!O29*H83/100</f>
        <v>3</v>
      </c>
      <c r="P83" s="13" t="n">
        <f aca="false">'Dish Database'!P29*H83/100</f>
        <v>300</v>
      </c>
    </row>
    <row r="84" customFormat="false" ht="15" hidden="false" customHeight="false" outlineLevel="0" collapsed="false">
      <c r="A84" s="6" t="str">
        <f aca="false">'Dish Database'!A29</f>
        <v>D028</v>
      </c>
      <c r="B84" s="6" t="str">
        <f aca="false">'Dish Database'!B29</f>
        <v>Sol kadhi</v>
      </c>
      <c r="C84" s="6" t="str">
        <f aca="false">'Dish Database'!D29</f>
        <v>Cold Beverages &amp; Sharbat</v>
      </c>
      <c r="D84" s="6" t="str">
        <f aca="false">'Dish Database'!F29</f>
        <v>Veg</v>
      </c>
      <c r="E84" s="6" t="str">
        <f aca="false">'Dish Database'!E29</f>
        <v>West</v>
      </c>
      <c r="F84" s="6" t="s">
        <v>103</v>
      </c>
      <c r="G84" s="6" t="s">
        <v>2251</v>
      </c>
      <c r="H84" s="16" t="n">
        <v>250</v>
      </c>
      <c r="I84" s="6" t="str">
        <f aca="false">'Dish Database'!I29</f>
        <v>ml</v>
      </c>
      <c r="J84" s="13" t="n">
        <f aca="false">'Dish Database'!J29*H84/100</f>
        <v>129.5</v>
      </c>
      <c r="K84" s="17" t="n">
        <f aca="false">'Dish Database'!K29*H84/100</f>
        <v>1.5</v>
      </c>
      <c r="L84" s="17" t="n">
        <f aca="false">'Dish Database'!L29*H84/100</f>
        <v>8.75</v>
      </c>
      <c r="M84" s="17" t="n">
        <f aca="false">'Dish Database'!M29*H84/100</f>
        <v>10</v>
      </c>
      <c r="N84" s="17" t="n">
        <f aca="false">'Dish Database'!N29*H84/100</f>
        <v>0.75</v>
      </c>
      <c r="O84" s="17" t="n">
        <f aca="false">'Dish Database'!O29*H84/100</f>
        <v>5</v>
      </c>
      <c r="P84" s="13" t="n">
        <f aca="false">'Dish Database'!P29*H84/100</f>
        <v>500</v>
      </c>
    </row>
    <row r="85" customFormat="false" ht="15" hidden="false" customHeight="false" outlineLevel="0" collapsed="false">
      <c r="A85" s="6" t="str">
        <f aca="false">'Dish Database'!A29</f>
        <v>D028</v>
      </c>
      <c r="B85" s="6" t="str">
        <f aca="false">'Dish Database'!B29</f>
        <v>Sol kadhi</v>
      </c>
      <c r="C85" s="6" t="str">
        <f aca="false">'Dish Database'!D29</f>
        <v>Cold Beverages &amp; Sharbat</v>
      </c>
      <c r="D85" s="6" t="str">
        <f aca="false">'Dish Database'!F29</f>
        <v>Veg</v>
      </c>
      <c r="E85" s="6" t="str">
        <f aca="false">'Dish Database'!E29</f>
        <v>West</v>
      </c>
      <c r="F85" s="6" t="s">
        <v>2246</v>
      </c>
      <c r="G85" s="6" t="s">
        <v>2252</v>
      </c>
      <c r="H85" s="16" t="n">
        <v>350</v>
      </c>
      <c r="I85" s="6" t="str">
        <f aca="false">'Dish Database'!I29</f>
        <v>ml</v>
      </c>
      <c r="J85" s="13" t="n">
        <f aca="false">'Dish Database'!J29*H85/100</f>
        <v>181.3</v>
      </c>
      <c r="K85" s="17" t="n">
        <f aca="false">'Dish Database'!K29*H85/100</f>
        <v>2.1</v>
      </c>
      <c r="L85" s="17" t="n">
        <f aca="false">'Dish Database'!L29*H85/100</f>
        <v>12.25</v>
      </c>
      <c r="M85" s="17" t="n">
        <f aca="false">'Dish Database'!M29*H85/100</f>
        <v>14</v>
      </c>
      <c r="N85" s="17" t="n">
        <f aca="false">'Dish Database'!N29*H85/100</f>
        <v>1.05</v>
      </c>
      <c r="O85" s="17" t="n">
        <f aca="false">'Dish Database'!O29*H85/100</f>
        <v>7</v>
      </c>
      <c r="P85" s="13" t="n">
        <f aca="false">'Dish Database'!P29*H85/100</f>
        <v>700</v>
      </c>
    </row>
    <row r="86" customFormat="false" ht="15" hidden="false" customHeight="false" outlineLevel="0" collapsed="false">
      <c r="A86" s="6" t="str">
        <f aca="false">'Dish Database'!A30</f>
        <v>D029</v>
      </c>
      <c r="B86" s="6" t="str">
        <f aca="false">'Dish Database'!B30</f>
        <v>Coconut water (tender coconut)</v>
      </c>
      <c r="C86" s="6" t="str">
        <f aca="false">'Dish Database'!D30</f>
        <v>Cold Beverages &amp; Sharbat</v>
      </c>
      <c r="D86" s="6" t="str">
        <f aca="false">'Dish Database'!F30</f>
        <v>Veg</v>
      </c>
      <c r="E86" s="6" t="str">
        <f aca="false">'Dish Database'!E30</f>
        <v>Pan-India</v>
      </c>
      <c r="F86" s="6" t="s">
        <v>2243</v>
      </c>
      <c r="G86" s="6" t="s">
        <v>2256</v>
      </c>
      <c r="H86" s="16" t="n">
        <v>200</v>
      </c>
      <c r="I86" s="6" t="str">
        <f aca="false">'Dish Database'!I30</f>
        <v>ml</v>
      </c>
      <c r="J86" s="13" t="n">
        <f aca="false">'Dish Database'!J30*H86/100</f>
        <v>34.4</v>
      </c>
      <c r="K86" s="17" t="n">
        <f aca="false">'Dish Database'!K30*H86/100</f>
        <v>1.4</v>
      </c>
      <c r="L86" s="17" t="n">
        <f aca="false">'Dish Database'!L30*H86/100</f>
        <v>7.4</v>
      </c>
      <c r="M86" s="17" t="n">
        <f aca="false">'Dish Database'!M30*H86/100</f>
        <v>0.4</v>
      </c>
      <c r="N86" s="17" t="n">
        <f aca="false">'Dish Database'!N30*H86/100</f>
        <v>2.2</v>
      </c>
      <c r="O86" s="17" t="n">
        <f aca="false">'Dish Database'!O30*H86/100</f>
        <v>5.2</v>
      </c>
      <c r="P86" s="13" t="n">
        <f aca="false">'Dish Database'!P30*H86/100</f>
        <v>210</v>
      </c>
    </row>
    <row r="87" customFormat="false" ht="15" hidden="false" customHeight="false" outlineLevel="0" collapsed="false">
      <c r="A87" s="6" t="str">
        <f aca="false">'Dish Database'!A30</f>
        <v>D029</v>
      </c>
      <c r="B87" s="6" t="str">
        <f aca="false">'Dish Database'!B30</f>
        <v>Coconut water (tender coconut)</v>
      </c>
      <c r="C87" s="6" t="str">
        <f aca="false">'Dish Database'!D30</f>
        <v>Cold Beverages &amp; Sharbat</v>
      </c>
      <c r="D87" s="6" t="str">
        <f aca="false">'Dish Database'!F30</f>
        <v>Veg</v>
      </c>
      <c r="E87" s="6" t="str">
        <f aca="false">'Dish Database'!E30</f>
        <v>Pan-India</v>
      </c>
      <c r="F87" s="6" t="s">
        <v>103</v>
      </c>
      <c r="G87" s="6" t="s">
        <v>2257</v>
      </c>
      <c r="H87" s="16" t="n">
        <v>300</v>
      </c>
      <c r="I87" s="6" t="str">
        <f aca="false">'Dish Database'!I30</f>
        <v>ml</v>
      </c>
      <c r="J87" s="13" t="n">
        <f aca="false">'Dish Database'!J30*H87/100</f>
        <v>51.6</v>
      </c>
      <c r="K87" s="17" t="n">
        <f aca="false">'Dish Database'!K30*H87/100</f>
        <v>2.1</v>
      </c>
      <c r="L87" s="17" t="n">
        <f aca="false">'Dish Database'!L30*H87/100</f>
        <v>11.1</v>
      </c>
      <c r="M87" s="17" t="n">
        <f aca="false">'Dish Database'!M30*H87/100</f>
        <v>0.6</v>
      </c>
      <c r="N87" s="17" t="n">
        <f aca="false">'Dish Database'!N30*H87/100</f>
        <v>3.3</v>
      </c>
      <c r="O87" s="17" t="n">
        <f aca="false">'Dish Database'!O30*H87/100</f>
        <v>7.8</v>
      </c>
      <c r="P87" s="13" t="n">
        <f aca="false">'Dish Database'!P30*H87/100</f>
        <v>315</v>
      </c>
    </row>
    <row r="88" customFormat="false" ht="15" hidden="false" customHeight="false" outlineLevel="0" collapsed="false">
      <c r="A88" s="6" t="str">
        <f aca="false">'Dish Database'!A30</f>
        <v>D029</v>
      </c>
      <c r="B88" s="6" t="str">
        <f aca="false">'Dish Database'!B30</f>
        <v>Coconut water (tender coconut)</v>
      </c>
      <c r="C88" s="6" t="str">
        <f aca="false">'Dish Database'!D30</f>
        <v>Cold Beverages &amp; Sharbat</v>
      </c>
      <c r="D88" s="6" t="str">
        <f aca="false">'Dish Database'!F30</f>
        <v>Veg</v>
      </c>
      <c r="E88" s="6" t="str">
        <f aca="false">'Dish Database'!E30</f>
        <v>Pan-India</v>
      </c>
      <c r="F88" s="6" t="s">
        <v>2246</v>
      </c>
      <c r="G88" s="6" t="s">
        <v>2258</v>
      </c>
      <c r="H88" s="16" t="n">
        <v>400</v>
      </c>
      <c r="I88" s="6" t="str">
        <f aca="false">'Dish Database'!I30</f>
        <v>ml</v>
      </c>
      <c r="J88" s="13" t="n">
        <f aca="false">'Dish Database'!J30*H88/100</f>
        <v>68.8</v>
      </c>
      <c r="K88" s="17" t="n">
        <f aca="false">'Dish Database'!K30*H88/100</f>
        <v>2.8</v>
      </c>
      <c r="L88" s="17" t="n">
        <f aca="false">'Dish Database'!L30*H88/100</f>
        <v>14.8</v>
      </c>
      <c r="M88" s="17" t="n">
        <f aca="false">'Dish Database'!M30*H88/100</f>
        <v>0.8</v>
      </c>
      <c r="N88" s="17" t="n">
        <f aca="false">'Dish Database'!N30*H88/100</f>
        <v>4.4</v>
      </c>
      <c r="O88" s="17" t="n">
        <f aca="false">'Dish Database'!O30*H88/100</f>
        <v>10.4</v>
      </c>
      <c r="P88" s="13" t="n">
        <f aca="false">'Dish Database'!P30*H88/100</f>
        <v>420</v>
      </c>
    </row>
    <row r="89" customFormat="false" ht="15" hidden="false" customHeight="false" outlineLevel="0" collapsed="false">
      <c r="A89" s="6" t="str">
        <f aca="false">'Dish Database'!A31</f>
        <v>D030</v>
      </c>
      <c r="B89" s="6" t="str">
        <f aca="false">'Dish Database'!B31</f>
        <v>Sugarcane juice</v>
      </c>
      <c r="C89" s="6" t="str">
        <f aca="false">'Dish Database'!D31</f>
        <v>Cold Beverages &amp; Sharbat</v>
      </c>
      <c r="D89" s="6" t="str">
        <f aca="false">'Dish Database'!F31</f>
        <v>Veg</v>
      </c>
      <c r="E89" s="6" t="str">
        <f aca="false">'Dish Database'!E31</f>
        <v>Pan-India</v>
      </c>
      <c r="F89" s="6" t="s">
        <v>2243</v>
      </c>
      <c r="G89" s="6" t="s">
        <v>2248</v>
      </c>
      <c r="H89" s="16" t="n">
        <v>150</v>
      </c>
      <c r="I89" s="6" t="str">
        <f aca="false">'Dish Database'!I31</f>
        <v>ml</v>
      </c>
      <c r="J89" s="13" t="n">
        <f aca="false">'Dish Database'!J31*H89/100</f>
        <v>110.55</v>
      </c>
      <c r="K89" s="17" t="n">
        <f aca="false">'Dish Database'!K31*H89/100</f>
        <v>0.3</v>
      </c>
      <c r="L89" s="17" t="n">
        <f aca="false">'Dish Database'!L31*H89/100</f>
        <v>27</v>
      </c>
      <c r="M89" s="17" t="n">
        <f aca="false">'Dish Database'!M31*H89/100</f>
        <v>0.15</v>
      </c>
      <c r="N89" s="17" t="n">
        <f aca="false">'Dish Database'!N31*H89/100</f>
        <v>0</v>
      </c>
      <c r="O89" s="17" t="n">
        <f aca="false">'Dish Database'!O31*H89/100</f>
        <v>24</v>
      </c>
      <c r="P89" s="13" t="n">
        <f aca="false">'Dish Database'!P31*H89/100</f>
        <v>15</v>
      </c>
    </row>
    <row r="90" customFormat="false" ht="15" hidden="false" customHeight="false" outlineLevel="0" collapsed="false">
      <c r="A90" s="6" t="str">
        <f aca="false">'Dish Database'!A31</f>
        <v>D030</v>
      </c>
      <c r="B90" s="6" t="str">
        <f aca="false">'Dish Database'!B31</f>
        <v>Sugarcane juice</v>
      </c>
      <c r="C90" s="6" t="str">
        <f aca="false">'Dish Database'!D31</f>
        <v>Cold Beverages &amp; Sharbat</v>
      </c>
      <c r="D90" s="6" t="str">
        <f aca="false">'Dish Database'!F31</f>
        <v>Veg</v>
      </c>
      <c r="E90" s="6" t="str">
        <f aca="false">'Dish Database'!E31</f>
        <v>Pan-India</v>
      </c>
      <c r="F90" s="6" t="s">
        <v>103</v>
      </c>
      <c r="G90" s="6" t="s">
        <v>2251</v>
      </c>
      <c r="H90" s="16" t="n">
        <v>250</v>
      </c>
      <c r="I90" s="6" t="str">
        <f aca="false">'Dish Database'!I31</f>
        <v>ml</v>
      </c>
      <c r="J90" s="13" t="n">
        <f aca="false">'Dish Database'!J31*H90/100</f>
        <v>184.25</v>
      </c>
      <c r="K90" s="17" t="n">
        <f aca="false">'Dish Database'!K31*H90/100</f>
        <v>0.5</v>
      </c>
      <c r="L90" s="17" t="n">
        <f aca="false">'Dish Database'!L31*H90/100</f>
        <v>45</v>
      </c>
      <c r="M90" s="17" t="n">
        <f aca="false">'Dish Database'!M31*H90/100</f>
        <v>0.25</v>
      </c>
      <c r="N90" s="17" t="n">
        <f aca="false">'Dish Database'!N31*H90/100</f>
        <v>0</v>
      </c>
      <c r="O90" s="17" t="n">
        <f aca="false">'Dish Database'!O31*H90/100</f>
        <v>40</v>
      </c>
      <c r="P90" s="13" t="n">
        <f aca="false">'Dish Database'!P31*H90/100</f>
        <v>25</v>
      </c>
    </row>
    <row r="91" customFormat="false" ht="15" hidden="false" customHeight="false" outlineLevel="0" collapsed="false">
      <c r="A91" s="6" t="str">
        <f aca="false">'Dish Database'!A31</f>
        <v>D030</v>
      </c>
      <c r="B91" s="6" t="str">
        <f aca="false">'Dish Database'!B31</f>
        <v>Sugarcane juice</v>
      </c>
      <c r="C91" s="6" t="str">
        <f aca="false">'Dish Database'!D31</f>
        <v>Cold Beverages &amp; Sharbat</v>
      </c>
      <c r="D91" s="6" t="str">
        <f aca="false">'Dish Database'!F31</f>
        <v>Veg</v>
      </c>
      <c r="E91" s="6" t="str">
        <f aca="false">'Dish Database'!E31</f>
        <v>Pan-India</v>
      </c>
      <c r="F91" s="6" t="s">
        <v>2246</v>
      </c>
      <c r="G91" s="6" t="s">
        <v>2252</v>
      </c>
      <c r="H91" s="16" t="n">
        <v>350</v>
      </c>
      <c r="I91" s="6" t="str">
        <f aca="false">'Dish Database'!I31</f>
        <v>ml</v>
      </c>
      <c r="J91" s="13" t="n">
        <f aca="false">'Dish Database'!J31*H91/100</f>
        <v>257.95</v>
      </c>
      <c r="K91" s="17" t="n">
        <f aca="false">'Dish Database'!K31*H91/100</f>
        <v>0.7</v>
      </c>
      <c r="L91" s="17" t="n">
        <f aca="false">'Dish Database'!L31*H91/100</f>
        <v>63</v>
      </c>
      <c r="M91" s="17" t="n">
        <f aca="false">'Dish Database'!M31*H91/100</f>
        <v>0.35</v>
      </c>
      <c r="N91" s="17" t="n">
        <f aca="false">'Dish Database'!N31*H91/100</f>
        <v>0</v>
      </c>
      <c r="O91" s="17" t="n">
        <f aca="false">'Dish Database'!O31*H91/100</f>
        <v>56</v>
      </c>
      <c r="P91" s="13" t="n">
        <f aca="false">'Dish Database'!P31*H91/100</f>
        <v>35</v>
      </c>
    </row>
    <row r="92" customFormat="false" ht="15" hidden="false" customHeight="false" outlineLevel="0" collapsed="false">
      <c r="A92" s="6" t="str">
        <f aca="false">'Dish Database'!A32</f>
        <v>D031</v>
      </c>
      <c r="B92" s="6" t="str">
        <f aca="false">'Dish Database'!B32</f>
        <v>Thandai</v>
      </c>
      <c r="C92" s="6" t="str">
        <f aca="false">'Dish Database'!D32</f>
        <v>Cold Beverages &amp; Sharbat</v>
      </c>
      <c r="D92" s="6" t="str">
        <f aca="false">'Dish Database'!F32</f>
        <v>Veg</v>
      </c>
      <c r="E92" s="6" t="str">
        <f aca="false">'Dish Database'!E32</f>
        <v>North</v>
      </c>
      <c r="F92" s="6" t="s">
        <v>2243</v>
      </c>
      <c r="G92" s="6" t="s">
        <v>2248</v>
      </c>
      <c r="H92" s="16" t="n">
        <v>150</v>
      </c>
      <c r="I92" s="6" t="str">
        <f aca="false">'Dish Database'!I32</f>
        <v>ml</v>
      </c>
      <c r="J92" s="13" t="n">
        <f aca="false">'Dish Database'!J32*H92/100</f>
        <v>168</v>
      </c>
      <c r="K92" s="17" t="n">
        <f aca="false">'Dish Database'!K32*H92/100</f>
        <v>5.25</v>
      </c>
      <c r="L92" s="17" t="n">
        <f aca="false">'Dish Database'!L32*H92/100</f>
        <v>20.25</v>
      </c>
      <c r="M92" s="17" t="n">
        <f aca="false">'Dish Database'!M32*H92/100</f>
        <v>7.5</v>
      </c>
      <c r="N92" s="17" t="n">
        <f aca="false">'Dish Database'!N32*H92/100</f>
        <v>0.75</v>
      </c>
      <c r="O92" s="17" t="n">
        <f aca="false">'Dish Database'!O32*H92/100</f>
        <v>18</v>
      </c>
      <c r="P92" s="13" t="n">
        <f aca="false">'Dish Database'!P32*H92/100</f>
        <v>60</v>
      </c>
    </row>
    <row r="93" customFormat="false" ht="15" hidden="false" customHeight="false" outlineLevel="0" collapsed="false">
      <c r="A93" s="6" t="str">
        <f aca="false">'Dish Database'!A32</f>
        <v>D031</v>
      </c>
      <c r="B93" s="6" t="str">
        <f aca="false">'Dish Database'!B32</f>
        <v>Thandai</v>
      </c>
      <c r="C93" s="6" t="str">
        <f aca="false">'Dish Database'!D32</f>
        <v>Cold Beverages &amp; Sharbat</v>
      </c>
      <c r="D93" s="6" t="str">
        <f aca="false">'Dish Database'!F32</f>
        <v>Veg</v>
      </c>
      <c r="E93" s="6" t="str">
        <f aca="false">'Dish Database'!E32</f>
        <v>North</v>
      </c>
      <c r="F93" s="6" t="s">
        <v>103</v>
      </c>
      <c r="G93" s="6" t="s">
        <v>2251</v>
      </c>
      <c r="H93" s="16" t="n">
        <v>250</v>
      </c>
      <c r="I93" s="6" t="str">
        <f aca="false">'Dish Database'!I32</f>
        <v>ml</v>
      </c>
      <c r="J93" s="13" t="n">
        <f aca="false">'Dish Database'!J32*H93/100</f>
        <v>280</v>
      </c>
      <c r="K93" s="17" t="n">
        <f aca="false">'Dish Database'!K32*H93/100</f>
        <v>8.75</v>
      </c>
      <c r="L93" s="17" t="n">
        <f aca="false">'Dish Database'!L32*H93/100</f>
        <v>33.75</v>
      </c>
      <c r="M93" s="17" t="n">
        <f aca="false">'Dish Database'!M32*H93/100</f>
        <v>12.5</v>
      </c>
      <c r="N93" s="17" t="n">
        <f aca="false">'Dish Database'!N32*H93/100</f>
        <v>1.25</v>
      </c>
      <c r="O93" s="17" t="n">
        <f aca="false">'Dish Database'!O32*H93/100</f>
        <v>30</v>
      </c>
      <c r="P93" s="13" t="n">
        <f aca="false">'Dish Database'!P32*H93/100</f>
        <v>100</v>
      </c>
    </row>
    <row r="94" customFormat="false" ht="15" hidden="false" customHeight="false" outlineLevel="0" collapsed="false">
      <c r="A94" s="6" t="str">
        <f aca="false">'Dish Database'!A32</f>
        <v>D031</v>
      </c>
      <c r="B94" s="6" t="str">
        <f aca="false">'Dish Database'!B32</f>
        <v>Thandai</v>
      </c>
      <c r="C94" s="6" t="str">
        <f aca="false">'Dish Database'!D32</f>
        <v>Cold Beverages &amp; Sharbat</v>
      </c>
      <c r="D94" s="6" t="str">
        <f aca="false">'Dish Database'!F32</f>
        <v>Veg</v>
      </c>
      <c r="E94" s="6" t="str">
        <f aca="false">'Dish Database'!E32</f>
        <v>North</v>
      </c>
      <c r="F94" s="6" t="s">
        <v>2246</v>
      </c>
      <c r="G94" s="6" t="s">
        <v>2252</v>
      </c>
      <c r="H94" s="16" t="n">
        <v>350</v>
      </c>
      <c r="I94" s="6" t="str">
        <f aca="false">'Dish Database'!I32</f>
        <v>ml</v>
      </c>
      <c r="J94" s="13" t="n">
        <f aca="false">'Dish Database'!J32*H94/100</f>
        <v>392</v>
      </c>
      <c r="K94" s="17" t="n">
        <f aca="false">'Dish Database'!K32*H94/100</f>
        <v>12.25</v>
      </c>
      <c r="L94" s="17" t="n">
        <f aca="false">'Dish Database'!L32*H94/100</f>
        <v>47.25</v>
      </c>
      <c r="M94" s="17" t="n">
        <f aca="false">'Dish Database'!M32*H94/100</f>
        <v>17.5</v>
      </c>
      <c r="N94" s="17" t="n">
        <f aca="false">'Dish Database'!N32*H94/100</f>
        <v>1.75</v>
      </c>
      <c r="O94" s="17" t="n">
        <f aca="false">'Dish Database'!O32*H94/100</f>
        <v>42</v>
      </c>
      <c r="P94" s="13" t="n">
        <f aca="false">'Dish Database'!P32*H94/100</f>
        <v>140</v>
      </c>
    </row>
    <row r="95" customFormat="false" ht="15" hidden="false" customHeight="false" outlineLevel="0" collapsed="false">
      <c r="A95" s="6" t="str">
        <f aca="false">'Dish Database'!A33</f>
        <v>D032</v>
      </c>
      <c r="B95" s="6" t="str">
        <f aca="false">'Dish Database'!B33</f>
        <v>Jigarthanda</v>
      </c>
      <c r="C95" s="6" t="str">
        <f aca="false">'Dish Database'!D33</f>
        <v>Cold Beverages &amp; Sharbat</v>
      </c>
      <c r="D95" s="6" t="str">
        <f aca="false">'Dish Database'!F33</f>
        <v>Veg</v>
      </c>
      <c r="E95" s="6" t="str">
        <f aca="false">'Dish Database'!E33</f>
        <v>South</v>
      </c>
      <c r="F95" s="6" t="s">
        <v>2243</v>
      </c>
      <c r="G95" s="6" t="s">
        <v>2253</v>
      </c>
      <c r="H95" s="16" t="n">
        <v>200</v>
      </c>
      <c r="I95" s="6" t="str">
        <f aca="false">'Dish Database'!I33</f>
        <v>ml</v>
      </c>
      <c r="J95" s="13" t="n">
        <f aca="false">'Dish Database'!J33*H95/100</f>
        <v>277.6</v>
      </c>
      <c r="K95" s="17" t="n">
        <f aca="false">'Dish Database'!K33*H95/100</f>
        <v>7</v>
      </c>
      <c r="L95" s="17" t="n">
        <f aca="false">'Dish Database'!L33*H95/100</f>
        <v>40</v>
      </c>
      <c r="M95" s="17" t="n">
        <f aca="false">'Dish Database'!M33*H95/100</f>
        <v>10</v>
      </c>
      <c r="N95" s="17" t="n">
        <f aca="false">'Dish Database'!N33*H95/100</f>
        <v>0.2</v>
      </c>
      <c r="O95" s="17" t="n">
        <f aca="false">'Dish Database'!O33*H95/100</f>
        <v>36</v>
      </c>
      <c r="P95" s="13" t="n">
        <f aca="false">'Dish Database'!P33*H95/100</f>
        <v>100</v>
      </c>
    </row>
    <row r="96" customFormat="false" ht="15" hidden="false" customHeight="false" outlineLevel="0" collapsed="false">
      <c r="A96" s="6" t="str">
        <f aca="false">'Dish Database'!A33</f>
        <v>D032</v>
      </c>
      <c r="B96" s="6" t="str">
        <f aca="false">'Dish Database'!B33</f>
        <v>Jigarthanda</v>
      </c>
      <c r="C96" s="6" t="str">
        <f aca="false">'Dish Database'!D33</f>
        <v>Cold Beverages &amp; Sharbat</v>
      </c>
      <c r="D96" s="6" t="str">
        <f aca="false">'Dish Database'!F33</f>
        <v>Veg</v>
      </c>
      <c r="E96" s="6" t="str">
        <f aca="false">'Dish Database'!E33</f>
        <v>South</v>
      </c>
      <c r="F96" s="6" t="s">
        <v>103</v>
      </c>
      <c r="G96" s="6" t="s">
        <v>2254</v>
      </c>
      <c r="H96" s="16" t="n">
        <v>300</v>
      </c>
      <c r="I96" s="6" t="str">
        <f aca="false">'Dish Database'!I33</f>
        <v>ml</v>
      </c>
      <c r="J96" s="13" t="n">
        <f aca="false">'Dish Database'!J33*H96/100</f>
        <v>416.4</v>
      </c>
      <c r="K96" s="17" t="n">
        <f aca="false">'Dish Database'!K33*H96/100</f>
        <v>10.5</v>
      </c>
      <c r="L96" s="17" t="n">
        <f aca="false">'Dish Database'!L33*H96/100</f>
        <v>60</v>
      </c>
      <c r="M96" s="17" t="n">
        <f aca="false">'Dish Database'!M33*H96/100</f>
        <v>15</v>
      </c>
      <c r="N96" s="17" t="n">
        <f aca="false">'Dish Database'!N33*H96/100</f>
        <v>0.3</v>
      </c>
      <c r="O96" s="17" t="n">
        <f aca="false">'Dish Database'!O33*H96/100</f>
        <v>54</v>
      </c>
      <c r="P96" s="13" t="n">
        <f aca="false">'Dish Database'!P33*H96/100</f>
        <v>150</v>
      </c>
    </row>
    <row r="97" customFormat="false" ht="15" hidden="false" customHeight="false" outlineLevel="0" collapsed="false">
      <c r="A97" s="6" t="str">
        <f aca="false">'Dish Database'!A33</f>
        <v>D032</v>
      </c>
      <c r="B97" s="6" t="str">
        <f aca="false">'Dish Database'!B33</f>
        <v>Jigarthanda</v>
      </c>
      <c r="C97" s="6" t="str">
        <f aca="false">'Dish Database'!D33</f>
        <v>Cold Beverages &amp; Sharbat</v>
      </c>
      <c r="D97" s="6" t="str">
        <f aca="false">'Dish Database'!F33</f>
        <v>Veg</v>
      </c>
      <c r="E97" s="6" t="str">
        <f aca="false">'Dish Database'!E33</f>
        <v>South</v>
      </c>
      <c r="F97" s="6" t="s">
        <v>2246</v>
      </c>
      <c r="G97" s="6" t="s">
        <v>2255</v>
      </c>
      <c r="H97" s="16" t="n">
        <v>400</v>
      </c>
      <c r="I97" s="6" t="str">
        <f aca="false">'Dish Database'!I33</f>
        <v>ml</v>
      </c>
      <c r="J97" s="13" t="n">
        <f aca="false">'Dish Database'!J33*H97/100</f>
        <v>555.2</v>
      </c>
      <c r="K97" s="17" t="n">
        <f aca="false">'Dish Database'!K33*H97/100</f>
        <v>14</v>
      </c>
      <c r="L97" s="17" t="n">
        <f aca="false">'Dish Database'!L33*H97/100</f>
        <v>80</v>
      </c>
      <c r="M97" s="17" t="n">
        <f aca="false">'Dish Database'!M33*H97/100</f>
        <v>20</v>
      </c>
      <c r="N97" s="17" t="n">
        <f aca="false">'Dish Database'!N33*H97/100</f>
        <v>0.4</v>
      </c>
      <c r="O97" s="17" t="n">
        <f aca="false">'Dish Database'!O33*H97/100</f>
        <v>72</v>
      </c>
      <c r="P97" s="13" t="n">
        <f aca="false">'Dish Database'!P33*H97/100</f>
        <v>200</v>
      </c>
    </row>
    <row r="98" customFormat="false" ht="15" hidden="false" customHeight="false" outlineLevel="0" collapsed="false">
      <c r="A98" s="6" t="str">
        <f aca="false">'Dish Database'!A34</f>
        <v>D033</v>
      </c>
      <c r="B98" s="6" t="str">
        <f aca="false">'Dish Database'!B34</f>
        <v>Falooda</v>
      </c>
      <c r="C98" s="6" t="str">
        <f aca="false">'Dish Database'!D34</f>
        <v>Cold Beverages &amp; Sharbat</v>
      </c>
      <c r="D98" s="6" t="str">
        <f aca="false">'Dish Database'!F34</f>
        <v>Veg</v>
      </c>
      <c r="E98" s="6" t="str">
        <f aca="false">'Dish Database'!E34</f>
        <v>Pan-India</v>
      </c>
      <c r="F98" s="6" t="s">
        <v>2243</v>
      </c>
      <c r="G98" s="6" t="s">
        <v>2253</v>
      </c>
      <c r="H98" s="16" t="n">
        <v>200</v>
      </c>
      <c r="I98" s="6" t="str">
        <f aca="false">'Dish Database'!I34</f>
        <v>ml</v>
      </c>
      <c r="J98" s="13" t="n">
        <f aca="false">'Dish Database'!J34*H98/100</f>
        <v>275.2</v>
      </c>
      <c r="K98" s="17" t="n">
        <f aca="false">'Dish Database'!K34*H98/100</f>
        <v>6.4</v>
      </c>
      <c r="L98" s="17" t="n">
        <f aca="false">'Dish Database'!L34*H98/100</f>
        <v>44</v>
      </c>
      <c r="M98" s="17" t="n">
        <f aca="false">'Dish Database'!M34*H98/100</f>
        <v>8.4</v>
      </c>
      <c r="N98" s="17" t="n">
        <f aca="false">'Dish Database'!N34*H98/100</f>
        <v>1</v>
      </c>
      <c r="O98" s="17" t="n">
        <f aca="false">'Dish Database'!O34*H98/100</f>
        <v>34</v>
      </c>
      <c r="P98" s="13" t="n">
        <f aca="false">'Dish Database'!P34*H98/100</f>
        <v>90</v>
      </c>
    </row>
    <row r="99" customFormat="false" ht="15" hidden="false" customHeight="false" outlineLevel="0" collapsed="false">
      <c r="A99" s="6" t="str">
        <f aca="false">'Dish Database'!A34</f>
        <v>D033</v>
      </c>
      <c r="B99" s="6" t="str">
        <f aca="false">'Dish Database'!B34</f>
        <v>Falooda</v>
      </c>
      <c r="C99" s="6" t="str">
        <f aca="false">'Dish Database'!D34</f>
        <v>Cold Beverages &amp; Sharbat</v>
      </c>
      <c r="D99" s="6" t="str">
        <f aca="false">'Dish Database'!F34</f>
        <v>Veg</v>
      </c>
      <c r="E99" s="6" t="str">
        <f aca="false">'Dish Database'!E34</f>
        <v>Pan-India</v>
      </c>
      <c r="F99" s="6" t="s">
        <v>103</v>
      </c>
      <c r="G99" s="6" t="s">
        <v>2254</v>
      </c>
      <c r="H99" s="16" t="n">
        <v>300</v>
      </c>
      <c r="I99" s="6" t="str">
        <f aca="false">'Dish Database'!I34</f>
        <v>ml</v>
      </c>
      <c r="J99" s="13" t="n">
        <f aca="false">'Dish Database'!J34*H99/100</f>
        <v>412.8</v>
      </c>
      <c r="K99" s="17" t="n">
        <f aca="false">'Dish Database'!K34*H99/100</f>
        <v>9.6</v>
      </c>
      <c r="L99" s="17" t="n">
        <f aca="false">'Dish Database'!L34*H99/100</f>
        <v>66</v>
      </c>
      <c r="M99" s="17" t="n">
        <f aca="false">'Dish Database'!M34*H99/100</f>
        <v>12.6</v>
      </c>
      <c r="N99" s="17" t="n">
        <f aca="false">'Dish Database'!N34*H99/100</f>
        <v>1.5</v>
      </c>
      <c r="O99" s="17" t="n">
        <f aca="false">'Dish Database'!O34*H99/100</f>
        <v>51</v>
      </c>
      <c r="P99" s="13" t="n">
        <f aca="false">'Dish Database'!P34*H99/100</f>
        <v>135</v>
      </c>
    </row>
    <row r="100" customFormat="false" ht="15" hidden="false" customHeight="false" outlineLevel="0" collapsed="false">
      <c r="A100" s="6" t="str">
        <f aca="false">'Dish Database'!A34</f>
        <v>D033</v>
      </c>
      <c r="B100" s="6" t="str">
        <f aca="false">'Dish Database'!B34</f>
        <v>Falooda</v>
      </c>
      <c r="C100" s="6" t="str">
        <f aca="false">'Dish Database'!D34</f>
        <v>Cold Beverages &amp; Sharbat</v>
      </c>
      <c r="D100" s="6" t="str">
        <f aca="false">'Dish Database'!F34</f>
        <v>Veg</v>
      </c>
      <c r="E100" s="6" t="str">
        <f aca="false">'Dish Database'!E34</f>
        <v>Pan-India</v>
      </c>
      <c r="F100" s="6" t="s">
        <v>2246</v>
      </c>
      <c r="G100" s="6" t="s">
        <v>2255</v>
      </c>
      <c r="H100" s="16" t="n">
        <v>400</v>
      </c>
      <c r="I100" s="6" t="str">
        <f aca="false">'Dish Database'!I34</f>
        <v>ml</v>
      </c>
      <c r="J100" s="13" t="n">
        <f aca="false">'Dish Database'!J34*H100/100</f>
        <v>550.4</v>
      </c>
      <c r="K100" s="17" t="n">
        <f aca="false">'Dish Database'!K34*H100/100</f>
        <v>12.8</v>
      </c>
      <c r="L100" s="17" t="n">
        <f aca="false">'Dish Database'!L34*H100/100</f>
        <v>88</v>
      </c>
      <c r="M100" s="17" t="n">
        <f aca="false">'Dish Database'!M34*H100/100</f>
        <v>16.8</v>
      </c>
      <c r="N100" s="17" t="n">
        <f aca="false">'Dish Database'!N34*H100/100</f>
        <v>2</v>
      </c>
      <c r="O100" s="17" t="n">
        <f aca="false">'Dish Database'!O34*H100/100</f>
        <v>68</v>
      </c>
      <c r="P100" s="13" t="n">
        <f aca="false">'Dish Database'!P34*H100/100</f>
        <v>180</v>
      </c>
    </row>
    <row r="101" customFormat="false" ht="15" hidden="false" customHeight="false" outlineLevel="0" collapsed="false">
      <c r="A101" s="6" t="str">
        <f aca="false">'Dish Database'!A35</f>
        <v>D034</v>
      </c>
      <c r="B101" s="6" t="str">
        <f aca="false">'Dish Database'!B35</f>
        <v>Rose milk</v>
      </c>
      <c r="C101" s="6" t="str">
        <f aca="false">'Dish Database'!D35</f>
        <v>Cold Beverages &amp; Sharbat</v>
      </c>
      <c r="D101" s="6" t="str">
        <f aca="false">'Dish Database'!F35</f>
        <v>Veg</v>
      </c>
      <c r="E101" s="6" t="str">
        <f aca="false">'Dish Database'!E35</f>
        <v>South</v>
      </c>
      <c r="F101" s="6" t="s">
        <v>2243</v>
      </c>
      <c r="G101" s="6" t="s">
        <v>2253</v>
      </c>
      <c r="H101" s="16" t="n">
        <v>200</v>
      </c>
      <c r="I101" s="6" t="str">
        <f aca="false">'Dish Database'!I35</f>
        <v>ml</v>
      </c>
      <c r="J101" s="13" t="n">
        <f aca="false">'Dish Database'!J35*H101/100</f>
        <v>182</v>
      </c>
      <c r="K101" s="17" t="n">
        <f aca="false">'Dish Database'!K35*H101/100</f>
        <v>6</v>
      </c>
      <c r="L101" s="17" t="n">
        <f aca="false">'Dish Database'!L35*H101/100</f>
        <v>26</v>
      </c>
      <c r="M101" s="17" t="n">
        <f aca="false">'Dish Database'!M35*H101/100</f>
        <v>6</v>
      </c>
      <c r="N101" s="17" t="n">
        <f aca="false">'Dish Database'!N35*H101/100</f>
        <v>0</v>
      </c>
      <c r="O101" s="17" t="n">
        <f aca="false">'Dish Database'!O35*H101/100</f>
        <v>25.6</v>
      </c>
      <c r="P101" s="13" t="n">
        <f aca="false">'Dish Database'!P35*H101/100</f>
        <v>84</v>
      </c>
    </row>
    <row r="102" customFormat="false" ht="15" hidden="false" customHeight="false" outlineLevel="0" collapsed="false">
      <c r="A102" s="6" t="str">
        <f aca="false">'Dish Database'!A35</f>
        <v>D034</v>
      </c>
      <c r="B102" s="6" t="str">
        <f aca="false">'Dish Database'!B35</f>
        <v>Rose milk</v>
      </c>
      <c r="C102" s="6" t="str">
        <f aca="false">'Dish Database'!D35</f>
        <v>Cold Beverages &amp; Sharbat</v>
      </c>
      <c r="D102" s="6" t="str">
        <f aca="false">'Dish Database'!F35</f>
        <v>Veg</v>
      </c>
      <c r="E102" s="6" t="str">
        <f aca="false">'Dish Database'!E35</f>
        <v>South</v>
      </c>
      <c r="F102" s="6" t="s">
        <v>103</v>
      </c>
      <c r="G102" s="6" t="s">
        <v>2254</v>
      </c>
      <c r="H102" s="16" t="n">
        <v>300</v>
      </c>
      <c r="I102" s="6" t="str">
        <f aca="false">'Dish Database'!I35</f>
        <v>ml</v>
      </c>
      <c r="J102" s="13" t="n">
        <f aca="false">'Dish Database'!J35*H102/100</f>
        <v>273</v>
      </c>
      <c r="K102" s="17" t="n">
        <f aca="false">'Dish Database'!K35*H102/100</f>
        <v>9</v>
      </c>
      <c r="L102" s="17" t="n">
        <f aca="false">'Dish Database'!L35*H102/100</f>
        <v>39</v>
      </c>
      <c r="M102" s="17" t="n">
        <f aca="false">'Dish Database'!M35*H102/100</f>
        <v>9</v>
      </c>
      <c r="N102" s="17" t="n">
        <f aca="false">'Dish Database'!N35*H102/100</f>
        <v>0</v>
      </c>
      <c r="O102" s="17" t="n">
        <f aca="false">'Dish Database'!O35*H102/100</f>
        <v>38.4</v>
      </c>
      <c r="P102" s="13" t="n">
        <f aca="false">'Dish Database'!P35*H102/100</f>
        <v>126</v>
      </c>
    </row>
    <row r="103" customFormat="false" ht="15" hidden="false" customHeight="false" outlineLevel="0" collapsed="false">
      <c r="A103" s="6" t="str">
        <f aca="false">'Dish Database'!A35</f>
        <v>D034</v>
      </c>
      <c r="B103" s="6" t="str">
        <f aca="false">'Dish Database'!B35</f>
        <v>Rose milk</v>
      </c>
      <c r="C103" s="6" t="str">
        <f aca="false">'Dish Database'!D35</f>
        <v>Cold Beverages &amp; Sharbat</v>
      </c>
      <c r="D103" s="6" t="str">
        <f aca="false">'Dish Database'!F35</f>
        <v>Veg</v>
      </c>
      <c r="E103" s="6" t="str">
        <f aca="false">'Dish Database'!E35</f>
        <v>South</v>
      </c>
      <c r="F103" s="6" t="s">
        <v>2246</v>
      </c>
      <c r="G103" s="6" t="s">
        <v>2255</v>
      </c>
      <c r="H103" s="16" t="n">
        <v>400</v>
      </c>
      <c r="I103" s="6" t="str">
        <f aca="false">'Dish Database'!I35</f>
        <v>ml</v>
      </c>
      <c r="J103" s="13" t="n">
        <f aca="false">'Dish Database'!J35*H103/100</f>
        <v>364</v>
      </c>
      <c r="K103" s="17" t="n">
        <f aca="false">'Dish Database'!K35*H103/100</f>
        <v>12</v>
      </c>
      <c r="L103" s="17" t="n">
        <f aca="false">'Dish Database'!L35*H103/100</f>
        <v>52</v>
      </c>
      <c r="M103" s="17" t="n">
        <f aca="false">'Dish Database'!M35*H103/100</f>
        <v>12</v>
      </c>
      <c r="N103" s="17" t="n">
        <f aca="false">'Dish Database'!N35*H103/100</f>
        <v>0</v>
      </c>
      <c r="O103" s="17" t="n">
        <f aca="false">'Dish Database'!O35*H103/100</f>
        <v>51.2</v>
      </c>
      <c r="P103" s="13" t="n">
        <f aca="false">'Dish Database'!P35*H103/100</f>
        <v>168</v>
      </c>
    </row>
    <row r="104" customFormat="false" ht="15" hidden="false" customHeight="false" outlineLevel="0" collapsed="false">
      <c r="A104" s="6" t="str">
        <f aca="false">'Dish Database'!A36</f>
        <v>D035</v>
      </c>
      <c r="B104" s="6" t="str">
        <f aca="false">'Dish Database'!B36</f>
        <v>Cold coffee (milk + sugar)</v>
      </c>
      <c r="C104" s="6" t="str">
        <f aca="false">'Dish Database'!D36</f>
        <v>Cold Beverages &amp; Sharbat</v>
      </c>
      <c r="D104" s="6" t="str">
        <f aca="false">'Dish Database'!F36</f>
        <v>Veg</v>
      </c>
      <c r="E104" s="6" t="str">
        <f aca="false">'Dish Database'!E36</f>
        <v>Pan-India</v>
      </c>
      <c r="F104" s="6" t="s">
        <v>2243</v>
      </c>
      <c r="G104" s="6" t="s">
        <v>2253</v>
      </c>
      <c r="H104" s="16" t="n">
        <v>200</v>
      </c>
      <c r="I104" s="6" t="str">
        <f aca="false">'Dish Database'!I36</f>
        <v>ml</v>
      </c>
      <c r="J104" s="13" t="n">
        <f aca="false">'Dish Database'!J36*H104/100</f>
        <v>160.8</v>
      </c>
      <c r="K104" s="17" t="n">
        <f aca="false">'Dish Database'!K36*H104/100</f>
        <v>5.6</v>
      </c>
      <c r="L104" s="17" t="n">
        <f aca="false">'Dish Database'!L36*H104/100</f>
        <v>22</v>
      </c>
      <c r="M104" s="17" t="n">
        <f aca="false">'Dish Database'!M36*H104/100</f>
        <v>5.6</v>
      </c>
      <c r="N104" s="17" t="n">
        <f aca="false">'Dish Database'!N36*H104/100</f>
        <v>0</v>
      </c>
      <c r="O104" s="17" t="n">
        <f aca="false">'Dish Database'!O36*H104/100</f>
        <v>22</v>
      </c>
      <c r="P104" s="13" t="n">
        <f aca="false">'Dish Database'!P36*H104/100</f>
        <v>80</v>
      </c>
    </row>
    <row r="105" customFormat="false" ht="15" hidden="false" customHeight="false" outlineLevel="0" collapsed="false">
      <c r="A105" s="6" t="str">
        <f aca="false">'Dish Database'!A36</f>
        <v>D035</v>
      </c>
      <c r="B105" s="6" t="str">
        <f aca="false">'Dish Database'!B36</f>
        <v>Cold coffee (milk + sugar)</v>
      </c>
      <c r="C105" s="6" t="str">
        <f aca="false">'Dish Database'!D36</f>
        <v>Cold Beverages &amp; Sharbat</v>
      </c>
      <c r="D105" s="6" t="str">
        <f aca="false">'Dish Database'!F36</f>
        <v>Veg</v>
      </c>
      <c r="E105" s="6" t="str">
        <f aca="false">'Dish Database'!E36</f>
        <v>Pan-India</v>
      </c>
      <c r="F105" s="6" t="s">
        <v>103</v>
      </c>
      <c r="G105" s="6" t="s">
        <v>2254</v>
      </c>
      <c r="H105" s="16" t="n">
        <v>300</v>
      </c>
      <c r="I105" s="6" t="str">
        <f aca="false">'Dish Database'!I36</f>
        <v>ml</v>
      </c>
      <c r="J105" s="13" t="n">
        <f aca="false">'Dish Database'!J36*H105/100</f>
        <v>241.2</v>
      </c>
      <c r="K105" s="17" t="n">
        <f aca="false">'Dish Database'!K36*H105/100</f>
        <v>8.4</v>
      </c>
      <c r="L105" s="17" t="n">
        <f aca="false">'Dish Database'!L36*H105/100</f>
        <v>33</v>
      </c>
      <c r="M105" s="17" t="n">
        <f aca="false">'Dish Database'!M36*H105/100</f>
        <v>8.4</v>
      </c>
      <c r="N105" s="17" t="n">
        <f aca="false">'Dish Database'!N36*H105/100</f>
        <v>0</v>
      </c>
      <c r="O105" s="17" t="n">
        <f aca="false">'Dish Database'!O36*H105/100</f>
        <v>33</v>
      </c>
      <c r="P105" s="13" t="n">
        <f aca="false">'Dish Database'!P36*H105/100</f>
        <v>120</v>
      </c>
    </row>
    <row r="106" customFormat="false" ht="15" hidden="false" customHeight="false" outlineLevel="0" collapsed="false">
      <c r="A106" s="6" t="str">
        <f aca="false">'Dish Database'!A36</f>
        <v>D035</v>
      </c>
      <c r="B106" s="6" t="str">
        <f aca="false">'Dish Database'!B36</f>
        <v>Cold coffee (milk + sugar)</v>
      </c>
      <c r="C106" s="6" t="str">
        <f aca="false">'Dish Database'!D36</f>
        <v>Cold Beverages &amp; Sharbat</v>
      </c>
      <c r="D106" s="6" t="str">
        <f aca="false">'Dish Database'!F36</f>
        <v>Veg</v>
      </c>
      <c r="E106" s="6" t="str">
        <f aca="false">'Dish Database'!E36</f>
        <v>Pan-India</v>
      </c>
      <c r="F106" s="6" t="s">
        <v>2246</v>
      </c>
      <c r="G106" s="6" t="s">
        <v>2255</v>
      </c>
      <c r="H106" s="16" t="n">
        <v>400</v>
      </c>
      <c r="I106" s="6" t="str">
        <f aca="false">'Dish Database'!I36</f>
        <v>ml</v>
      </c>
      <c r="J106" s="13" t="n">
        <f aca="false">'Dish Database'!J36*H106/100</f>
        <v>321.6</v>
      </c>
      <c r="K106" s="17" t="n">
        <f aca="false">'Dish Database'!K36*H106/100</f>
        <v>11.2</v>
      </c>
      <c r="L106" s="17" t="n">
        <f aca="false">'Dish Database'!L36*H106/100</f>
        <v>44</v>
      </c>
      <c r="M106" s="17" t="n">
        <f aca="false">'Dish Database'!M36*H106/100</f>
        <v>11.2</v>
      </c>
      <c r="N106" s="17" t="n">
        <f aca="false">'Dish Database'!N36*H106/100</f>
        <v>0</v>
      </c>
      <c r="O106" s="17" t="n">
        <f aca="false">'Dish Database'!O36*H106/100</f>
        <v>44</v>
      </c>
      <c r="P106" s="13" t="n">
        <f aca="false">'Dish Database'!P36*H106/100</f>
        <v>160</v>
      </c>
    </row>
    <row r="107" customFormat="false" ht="15" hidden="false" customHeight="false" outlineLevel="0" collapsed="false">
      <c r="A107" s="6" t="str">
        <f aca="false">'Dish Database'!A37</f>
        <v>D036</v>
      </c>
      <c r="B107" s="6" t="str">
        <f aca="false">'Dish Database'!B37</f>
        <v>Cold coffee with ice cream</v>
      </c>
      <c r="C107" s="6" t="str">
        <f aca="false">'Dish Database'!D37</f>
        <v>Cold Beverages &amp; Sharbat</v>
      </c>
      <c r="D107" s="6" t="str">
        <f aca="false">'Dish Database'!F37</f>
        <v>Veg</v>
      </c>
      <c r="E107" s="6" t="str">
        <f aca="false">'Dish Database'!E37</f>
        <v>Pan-India</v>
      </c>
      <c r="F107" s="6" t="s">
        <v>2243</v>
      </c>
      <c r="G107" s="6" t="s">
        <v>2253</v>
      </c>
      <c r="H107" s="16" t="n">
        <v>200</v>
      </c>
      <c r="I107" s="6" t="str">
        <f aca="false">'Dish Database'!I37</f>
        <v>ml</v>
      </c>
      <c r="J107" s="13" t="n">
        <f aca="false">'Dish Database'!J37*H107/100</f>
        <v>225</v>
      </c>
      <c r="K107" s="17" t="n">
        <f aca="false">'Dish Database'!K37*H107/100</f>
        <v>6</v>
      </c>
      <c r="L107" s="17" t="n">
        <f aca="false">'Dish Database'!L37*H107/100</f>
        <v>30</v>
      </c>
      <c r="M107" s="17" t="n">
        <f aca="false">'Dish Database'!M37*H107/100</f>
        <v>9</v>
      </c>
      <c r="N107" s="17" t="n">
        <f aca="false">'Dish Database'!N37*H107/100</f>
        <v>0</v>
      </c>
      <c r="O107" s="17" t="n">
        <f aca="false">'Dish Database'!O37*H107/100</f>
        <v>29</v>
      </c>
      <c r="P107" s="13" t="n">
        <f aca="false">'Dish Database'!P37*H107/100</f>
        <v>90</v>
      </c>
    </row>
    <row r="108" customFormat="false" ht="15" hidden="false" customHeight="false" outlineLevel="0" collapsed="false">
      <c r="A108" s="6" t="str">
        <f aca="false">'Dish Database'!A37</f>
        <v>D036</v>
      </c>
      <c r="B108" s="6" t="str">
        <f aca="false">'Dish Database'!B37</f>
        <v>Cold coffee with ice cream</v>
      </c>
      <c r="C108" s="6" t="str">
        <f aca="false">'Dish Database'!D37</f>
        <v>Cold Beverages &amp; Sharbat</v>
      </c>
      <c r="D108" s="6" t="str">
        <f aca="false">'Dish Database'!F37</f>
        <v>Veg</v>
      </c>
      <c r="E108" s="6" t="str">
        <f aca="false">'Dish Database'!E37</f>
        <v>Pan-India</v>
      </c>
      <c r="F108" s="6" t="s">
        <v>103</v>
      </c>
      <c r="G108" s="6" t="s">
        <v>2254</v>
      </c>
      <c r="H108" s="16" t="n">
        <v>300</v>
      </c>
      <c r="I108" s="6" t="str">
        <f aca="false">'Dish Database'!I37</f>
        <v>ml</v>
      </c>
      <c r="J108" s="13" t="n">
        <f aca="false">'Dish Database'!J37*H108/100</f>
        <v>337.5</v>
      </c>
      <c r="K108" s="17" t="n">
        <f aca="false">'Dish Database'!K37*H108/100</f>
        <v>9</v>
      </c>
      <c r="L108" s="17" t="n">
        <f aca="false">'Dish Database'!L37*H108/100</f>
        <v>45</v>
      </c>
      <c r="M108" s="17" t="n">
        <f aca="false">'Dish Database'!M37*H108/100</f>
        <v>13.5</v>
      </c>
      <c r="N108" s="17" t="n">
        <f aca="false">'Dish Database'!N37*H108/100</f>
        <v>0</v>
      </c>
      <c r="O108" s="17" t="n">
        <f aca="false">'Dish Database'!O37*H108/100</f>
        <v>43.5</v>
      </c>
      <c r="P108" s="13" t="n">
        <f aca="false">'Dish Database'!P37*H108/100</f>
        <v>135</v>
      </c>
    </row>
    <row r="109" customFormat="false" ht="15" hidden="false" customHeight="false" outlineLevel="0" collapsed="false">
      <c r="A109" s="6" t="str">
        <f aca="false">'Dish Database'!A37</f>
        <v>D036</v>
      </c>
      <c r="B109" s="6" t="str">
        <f aca="false">'Dish Database'!B37</f>
        <v>Cold coffee with ice cream</v>
      </c>
      <c r="C109" s="6" t="str">
        <f aca="false">'Dish Database'!D37</f>
        <v>Cold Beverages &amp; Sharbat</v>
      </c>
      <c r="D109" s="6" t="str">
        <f aca="false">'Dish Database'!F37</f>
        <v>Veg</v>
      </c>
      <c r="E109" s="6" t="str">
        <f aca="false">'Dish Database'!E37</f>
        <v>Pan-India</v>
      </c>
      <c r="F109" s="6" t="s">
        <v>2246</v>
      </c>
      <c r="G109" s="6" t="s">
        <v>2255</v>
      </c>
      <c r="H109" s="16" t="n">
        <v>400</v>
      </c>
      <c r="I109" s="6" t="str">
        <f aca="false">'Dish Database'!I37</f>
        <v>ml</v>
      </c>
      <c r="J109" s="13" t="n">
        <f aca="false">'Dish Database'!J37*H109/100</f>
        <v>450</v>
      </c>
      <c r="K109" s="17" t="n">
        <f aca="false">'Dish Database'!K37*H109/100</f>
        <v>12</v>
      </c>
      <c r="L109" s="17" t="n">
        <f aca="false">'Dish Database'!L37*H109/100</f>
        <v>60</v>
      </c>
      <c r="M109" s="17" t="n">
        <f aca="false">'Dish Database'!M37*H109/100</f>
        <v>18</v>
      </c>
      <c r="N109" s="17" t="n">
        <f aca="false">'Dish Database'!N37*H109/100</f>
        <v>0</v>
      </c>
      <c r="O109" s="17" t="n">
        <f aca="false">'Dish Database'!O37*H109/100</f>
        <v>58</v>
      </c>
      <c r="P109" s="13" t="n">
        <f aca="false">'Dish Database'!P37*H109/100</f>
        <v>180</v>
      </c>
    </row>
    <row r="110" customFormat="false" ht="15" hidden="false" customHeight="false" outlineLevel="0" collapsed="false">
      <c r="A110" s="6" t="str">
        <f aca="false">'Dish Database'!A38</f>
        <v>D037</v>
      </c>
      <c r="B110" s="6" t="str">
        <f aca="false">'Dish Database'!B38</f>
        <v>Soft drink / cola</v>
      </c>
      <c r="C110" s="6" t="str">
        <f aca="false">'Dish Database'!D38</f>
        <v>Cold Beverages &amp; Sharbat</v>
      </c>
      <c r="D110" s="6" t="str">
        <f aca="false">'Dish Database'!F38</f>
        <v>Veg</v>
      </c>
      <c r="E110" s="6" t="str">
        <f aca="false">'Dish Database'!E38</f>
        <v>Pan-India</v>
      </c>
      <c r="F110" s="6" t="s">
        <v>2243</v>
      </c>
      <c r="G110" s="6" t="s">
        <v>2248</v>
      </c>
      <c r="H110" s="16" t="n">
        <v>150</v>
      </c>
      <c r="I110" s="6" t="str">
        <f aca="false">'Dish Database'!I38</f>
        <v>ml</v>
      </c>
      <c r="J110" s="13" t="n">
        <f aca="false">'Dish Database'!J38*H110/100</f>
        <v>63.6</v>
      </c>
      <c r="K110" s="17" t="n">
        <f aca="false">'Dish Database'!K38*H110/100</f>
        <v>0</v>
      </c>
      <c r="L110" s="17" t="n">
        <f aca="false">'Dish Database'!L38*H110/100</f>
        <v>15.9</v>
      </c>
      <c r="M110" s="17" t="n">
        <f aca="false">'Dish Database'!M38*H110/100</f>
        <v>0</v>
      </c>
      <c r="N110" s="17" t="n">
        <f aca="false">'Dish Database'!N38*H110/100</f>
        <v>0</v>
      </c>
      <c r="O110" s="17" t="n">
        <f aca="false">'Dish Database'!O38*H110/100</f>
        <v>15.9</v>
      </c>
      <c r="P110" s="13" t="n">
        <f aca="false">'Dish Database'!P38*H110/100</f>
        <v>15</v>
      </c>
    </row>
    <row r="111" customFormat="false" ht="15" hidden="false" customHeight="false" outlineLevel="0" collapsed="false">
      <c r="A111" s="6" t="str">
        <f aca="false">'Dish Database'!A38</f>
        <v>D037</v>
      </c>
      <c r="B111" s="6" t="str">
        <f aca="false">'Dish Database'!B38</f>
        <v>Soft drink / cola</v>
      </c>
      <c r="C111" s="6" t="str">
        <f aca="false">'Dish Database'!D38</f>
        <v>Cold Beverages &amp; Sharbat</v>
      </c>
      <c r="D111" s="6" t="str">
        <f aca="false">'Dish Database'!F38</f>
        <v>Veg</v>
      </c>
      <c r="E111" s="6" t="str">
        <f aca="false">'Dish Database'!E38</f>
        <v>Pan-India</v>
      </c>
      <c r="F111" s="6" t="s">
        <v>103</v>
      </c>
      <c r="G111" s="6" t="s">
        <v>2251</v>
      </c>
      <c r="H111" s="16" t="n">
        <v>250</v>
      </c>
      <c r="I111" s="6" t="str">
        <f aca="false">'Dish Database'!I38</f>
        <v>ml</v>
      </c>
      <c r="J111" s="13" t="n">
        <f aca="false">'Dish Database'!J38*H111/100</f>
        <v>106</v>
      </c>
      <c r="K111" s="17" t="n">
        <f aca="false">'Dish Database'!K38*H111/100</f>
        <v>0</v>
      </c>
      <c r="L111" s="17" t="n">
        <f aca="false">'Dish Database'!L38*H111/100</f>
        <v>26.5</v>
      </c>
      <c r="M111" s="17" t="n">
        <f aca="false">'Dish Database'!M38*H111/100</f>
        <v>0</v>
      </c>
      <c r="N111" s="17" t="n">
        <f aca="false">'Dish Database'!N38*H111/100</f>
        <v>0</v>
      </c>
      <c r="O111" s="17" t="n">
        <f aca="false">'Dish Database'!O38*H111/100</f>
        <v>26.5</v>
      </c>
      <c r="P111" s="13" t="n">
        <f aca="false">'Dish Database'!P38*H111/100</f>
        <v>25</v>
      </c>
    </row>
    <row r="112" customFormat="false" ht="15" hidden="false" customHeight="false" outlineLevel="0" collapsed="false">
      <c r="A112" s="6" t="str">
        <f aca="false">'Dish Database'!A38</f>
        <v>D037</v>
      </c>
      <c r="B112" s="6" t="str">
        <f aca="false">'Dish Database'!B38</f>
        <v>Soft drink / cola</v>
      </c>
      <c r="C112" s="6" t="str">
        <f aca="false">'Dish Database'!D38</f>
        <v>Cold Beverages &amp; Sharbat</v>
      </c>
      <c r="D112" s="6" t="str">
        <f aca="false">'Dish Database'!F38</f>
        <v>Veg</v>
      </c>
      <c r="E112" s="6" t="str">
        <f aca="false">'Dish Database'!E38</f>
        <v>Pan-India</v>
      </c>
      <c r="F112" s="6" t="s">
        <v>2246</v>
      </c>
      <c r="G112" s="6" t="s">
        <v>2252</v>
      </c>
      <c r="H112" s="16" t="n">
        <v>350</v>
      </c>
      <c r="I112" s="6" t="str">
        <f aca="false">'Dish Database'!I38</f>
        <v>ml</v>
      </c>
      <c r="J112" s="13" t="n">
        <f aca="false">'Dish Database'!J38*H112/100</f>
        <v>148.4</v>
      </c>
      <c r="K112" s="17" t="n">
        <f aca="false">'Dish Database'!K38*H112/100</f>
        <v>0</v>
      </c>
      <c r="L112" s="17" t="n">
        <f aca="false">'Dish Database'!L38*H112/100</f>
        <v>37.1</v>
      </c>
      <c r="M112" s="17" t="n">
        <f aca="false">'Dish Database'!M38*H112/100</f>
        <v>0</v>
      </c>
      <c r="N112" s="17" t="n">
        <f aca="false">'Dish Database'!N38*H112/100</f>
        <v>0</v>
      </c>
      <c r="O112" s="17" t="n">
        <f aca="false">'Dish Database'!O38*H112/100</f>
        <v>37.1</v>
      </c>
      <c r="P112" s="13" t="n">
        <f aca="false">'Dish Database'!P38*H112/100</f>
        <v>35</v>
      </c>
    </row>
    <row r="113" customFormat="false" ht="15" hidden="false" customHeight="false" outlineLevel="0" collapsed="false">
      <c r="A113" s="6" t="str">
        <f aca="false">'Dish Database'!A39</f>
        <v>D038</v>
      </c>
      <c r="B113" s="6" t="str">
        <f aca="false">'Dish Database'!B39</f>
        <v>Packaged mango drink</v>
      </c>
      <c r="C113" s="6" t="str">
        <f aca="false">'Dish Database'!D39</f>
        <v>Cold Beverages &amp; Sharbat</v>
      </c>
      <c r="D113" s="6" t="str">
        <f aca="false">'Dish Database'!F39</f>
        <v>Veg</v>
      </c>
      <c r="E113" s="6" t="str">
        <f aca="false">'Dish Database'!E39</f>
        <v>Pan-India</v>
      </c>
      <c r="F113" s="6" t="s">
        <v>2243</v>
      </c>
      <c r="G113" s="6" t="s">
        <v>2248</v>
      </c>
      <c r="H113" s="16" t="n">
        <v>150</v>
      </c>
      <c r="I113" s="6" t="str">
        <f aca="false">'Dish Database'!I39</f>
        <v>ml</v>
      </c>
      <c r="J113" s="13" t="n">
        <f aca="false">'Dish Database'!J39*H113/100</f>
        <v>93.3</v>
      </c>
      <c r="K113" s="17" t="n">
        <f aca="false">'Dish Database'!K39*H113/100</f>
        <v>0.15</v>
      </c>
      <c r="L113" s="17" t="n">
        <f aca="false">'Dish Database'!L39*H113/100</f>
        <v>23.25</v>
      </c>
      <c r="M113" s="17" t="n">
        <f aca="false">'Dish Database'!M39*H113/100</f>
        <v>0</v>
      </c>
      <c r="N113" s="17" t="n">
        <f aca="false">'Dish Database'!N39*H113/100</f>
        <v>0.15</v>
      </c>
      <c r="O113" s="17" t="n">
        <f aca="false">'Dish Database'!O39*H113/100</f>
        <v>22.5</v>
      </c>
      <c r="P113" s="13" t="n">
        <f aca="false">'Dish Database'!P39*H113/100</f>
        <v>22.5</v>
      </c>
    </row>
    <row r="114" customFormat="false" ht="15" hidden="false" customHeight="false" outlineLevel="0" collapsed="false">
      <c r="A114" s="6" t="str">
        <f aca="false">'Dish Database'!A39</f>
        <v>D038</v>
      </c>
      <c r="B114" s="6" t="str">
        <f aca="false">'Dish Database'!B39</f>
        <v>Packaged mango drink</v>
      </c>
      <c r="C114" s="6" t="str">
        <f aca="false">'Dish Database'!D39</f>
        <v>Cold Beverages &amp; Sharbat</v>
      </c>
      <c r="D114" s="6" t="str">
        <f aca="false">'Dish Database'!F39</f>
        <v>Veg</v>
      </c>
      <c r="E114" s="6" t="str">
        <f aca="false">'Dish Database'!E39</f>
        <v>Pan-India</v>
      </c>
      <c r="F114" s="6" t="s">
        <v>103</v>
      </c>
      <c r="G114" s="6" t="s">
        <v>2251</v>
      </c>
      <c r="H114" s="16" t="n">
        <v>250</v>
      </c>
      <c r="I114" s="6" t="str">
        <f aca="false">'Dish Database'!I39</f>
        <v>ml</v>
      </c>
      <c r="J114" s="13" t="n">
        <f aca="false">'Dish Database'!J39*H114/100</f>
        <v>155.5</v>
      </c>
      <c r="K114" s="17" t="n">
        <f aca="false">'Dish Database'!K39*H114/100</f>
        <v>0.25</v>
      </c>
      <c r="L114" s="17" t="n">
        <f aca="false">'Dish Database'!L39*H114/100</f>
        <v>38.75</v>
      </c>
      <c r="M114" s="17" t="n">
        <f aca="false">'Dish Database'!M39*H114/100</f>
        <v>0</v>
      </c>
      <c r="N114" s="17" t="n">
        <f aca="false">'Dish Database'!N39*H114/100</f>
        <v>0.25</v>
      </c>
      <c r="O114" s="17" t="n">
        <f aca="false">'Dish Database'!O39*H114/100</f>
        <v>37.5</v>
      </c>
      <c r="P114" s="13" t="n">
        <f aca="false">'Dish Database'!P39*H114/100</f>
        <v>37.5</v>
      </c>
    </row>
    <row r="115" customFormat="false" ht="15" hidden="false" customHeight="false" outlineLevel="0" collapsed="false">
      <c r="A115" s="6" t="str">
        <f aca="false">'Dish Database'!A39</f>
        <v>D038</v>
      </c>
      <c r="B115" s="6" t="str">
        <f aca="false">'Dish Database'!B39</f>
        <v>Packaged mango drink</v>
      </c>
      <c r="C115" s="6" t="str">
        <f aca="false">'Dish Database'!D39</f>
        <v>Cold Beverages &amp; Sharbat</v>
      </c>
      <c r="D115" s="6" t="str">
        <f aca="false">'Dish Database'!F39</f>
        <v>Veg</v>
      </c>
      <c r="E115" s="6" t="str">
        <f aca="false">'Dish Database'!E39</f>
        <v>Pan-India</v>
      </c>
      <c r="F115" s="6" t="s">
        <v>2246</v>
      </c>
      <c r="G115" s="6" t="s">
        <v>2252</v>
      </c>
      <c r="H115" s="16" t="n">
        <v>350</v>
      </c>
      <c r="I115" s="6" t="str">
        <f aca="false">'Dish Database'!I39</f>
        <v>ml</v>
      </c>
      <c r="J115" s="13" t="n">
        <f aca="false">'Dish Database'!J39*H115/100</f>
        <v>217.7</v>
      </c>
      <c r="K115" s="17" t="n">
        <f aca="false">'Dish Database'!K39*H115/100</f>
        <v>0.35</v>
      </c>
      <c r="L115" s="17" t="n">
        <f aca="false">'Dish Database'!L39*H115/100</f>
        <v>54.25</v>
      </c>
      <c r="M115" s="17" t="n">
        <f aca="false">'Dish Database'!M39*H115/100</f>
        <v>0</v>
      </c>
      <c r="N115" s="17" t="n">
        <f aca="false">'Dish Database'!N39*H115/100</f>
        <v>0.35</v>
      </c>
      <c r="O115" s="17" t="n">
        <f aca="false">'Dish Database'!O39*H115/100</f>
        <v>52.5</v>
      </c>
      <c r="P115" s="13" t="n">
        <f aca="false">'Dish Database'!P39*H115/100</f>
        <v>52.5</v>
      </c>
    </row>
    <row r="116" customFormat="false" ht="15" hidden="false" customHeight="false" outlineLevel="0" collapsed="false">
      <c r="A116" s="6" t="str">
        <f aca="false">'Dish Database'!A40</f>
        <v>D039</v>
      </c>
      <c r="B116" s="6" t="str">
        <f aca="false">'Dish Database'!B40</f>
        <v>Orange juice</v>
      </c>
      <c r="C116" s="6" t="str">
        <f aca="false">'Dish Database'!D40</f>
        <v>Fruit Juices</v>
      </c>
      <c r="D116" s="6" t="str">
        <f aca="false">'Dish Database'!F40</f>
        <v>Veg</v>
      </c>
      <c r="E116" s="6" t="str">
        <f aca="false">'Dish Database'!E40</f>
        <v>Pan-India</v>
      </c>
      <c r="F116" s="6" t="s">
        <v>2243</v>
      </c>
      <c r="G116" s="6" t="s">
        <v>2253</v>
      </c>
      <c r="H116" s="16" t="n">
        <v>200</v>
      </c>
      <c r="I116" s="6" t="str">
        <f aca="false">'Dish Database'!I40</f>
        <v>ml</v>
      </c>
      <c r="J116" s="13" t="n">
        <f aca="false">'Dish Database'!J40*H116/100</f>
        <v>91.6</v>
      </c>
      <c r="K116" s="17" t="n">
        <f aca="false">'Dish Database'!K40*H116/100</f>
        <v>1.4</v>
      </c>
      <c r="L116" s="17" t="n">
        <f aca="false">'Dish Database'!L40*H116/100</f>
        <v>20.8</v>
      </c>
      <c r="M116" s="17" t="n">
        <f aca="false">'Dish Database'!M40*H116/100</f>
        <v>0.4</v>
      </c>
      <c r="N116" s="17" t="n">
        <f aca="false">'Dish Database'!N40*H116/100</f>
        <v>0.4</v>
      </c>
      <c r="O116" s="17" t="n">
        <f aca="false">'Dish Database'!O40*H116/100</f>
        <v>16.8</v>
      </c>
      <c r="P116" s="13" t="n">
        <f aca="false">'Dish Database'!P40*H116/100</f>
        <v>2</v>
      </c>
    </row>
    <row r="117" customFormat="false" ht="15" hidden="false" customHeight="false" outlineLevel="0" collapsed="false">
      <c r="A117" s="6" t="str">
        <f aca="false">'Dish Database'!A40</f>
        <v>D039</v>
      </c>
      <c r="B117" s="6" t="str">
        <f aca="false">'Dish Database'!B40</f>
        <v>Orange juice</v>
      </c>
      <c r="C117" s="6" t="str">
        <f aca="false">'Dish Database'!D40</f>
        <v>Fruit Juices</v>
      </c>
      <c r="D117" s="6" t="str">
        <f aca="false">'Dish Database'!F40</f>
        <v>Veg</v>
      </c>
      <c r="E117" s="6" t="str">
        <f aca="false">'Dish Database'!E40</f>
        <v>Pan-India</v>
      </c>
      <c r="F117" s="6" t="s">
        <v>103</v>
      </c>
      <c r="G117" s="6" t="s">
        <v>2254</v>
      </c>
      <c r="H117" s="16" t="n">
        <v>300</v>
      </c>
      <c r="I117" s="6" t="str">
        <f aca="false">'Dish Database'!I40</f>
        <v>ml</v>
      </c>
      <c r="J117" s="13" t="n">
        <f aca="false">'Dish Database'!J40*H117/100</f>
        <v>137.4</v>
      </c>
      <c r="K117" s="17" t="n">
        <f aca="false">'Dish Database'!K40*H117/100</f>
        <v>2.1</v>
      </c>
      <c r="L117" s="17" t="n">
        <f aca="false">'Dish Database'!L40*H117/100</f>
        <v>31.2</v>
      </c>
      <c r="M117" s="17" t="n">
        <f aca="false">'Dish Database'!M40*H117/100</f>
        <v>0.6</v>
      </c>
      <c r="N117" s="17" t="n">
        <f aca="false">'Dish Database'!N40*H117/100</f>
        <v>0.6</v>
      </c>
      <c r="O117" s="17" t="n">
        <f aca="false">'Dish Database'!O40*H117/100</f>
        <v>25.2</v>
      </c>
      <c r="P117" s="13" t="n">
        <f aca="false">'Dish Database'!P40*H117/100</f>
        <v>3</v>
      </c>
    </row>
    <row r="118" customFormat="false" ht="15" hidden="false" customHeight="false" outlineLevel="0" collapsed="false">
      <c r="A118" s="6" t="str">
        <f aca="false">'Dish Database'!A40</f>
        <v>D039</v>
      </c>
      <c r="B118" s="6" t="str">
        <f aca="false">'Dish Database'!B40</f>
        <v>Orange juice</v>
      </c>
      <c r="C118" s="6" t="str">
        <f aca="false">'Dish Database'!D40</f>
        <v>Fruit Juices</v>
      </c>
      <c r="D118" s="6" t="str">
        <f aca="false">'Dish Database'!F40</f>
        <v>Veg</v>
      </c>
      <c r="E118" s="6" t="str">
        <f aca="false">'Dish Database'!E40</f>
        <v>Pan-India</v>
      </c>
      <c r="F118" s="6" t="s">
        <v>2246</v>
      </c>
      <c r="G118" s="6" t="s">
        <v>2255</v>
      </c>
      <c r="H118" s="16" t="n">
        <v>400</v>
      </c>
      <c r="I118" s="6" t="str">
        <f aca="false">'Dish Database'!I40</f>
        <v>ml</v>
      </c>
      <c r="J118" s="13" t="n">
        <f aca="false">'Dish Database'!J40*H118/100</f>
        <v>183.2</v>
      </c>
      <c r="K118" s="17" t="n">
        <f aca="false">'Dish Database'!K40*H118/100</f>
        <v>2.8</v>
      </c>
      <c r="L118" s="17" t="n">
        <f aca="false">'Dish Database'!L40*H118/100</f>
        <v>41.6</v>
      </c>
      <c r="M118" s="17" t="n">
        <f aca="false">'Dish Database'!M40*H118/100</f>
        <v>0.8</v>
      </c>
      <c r="N118" s="17" t="n">
        <f aca="false">'Dish Database'!N40*H118/100</f>
        <v>0.8</v>
      </c>
      <c r="O118" s="17" t="n">
        <f aca="false">'Dish Database'!O40*H118/100</f>
        <v>33.6</v>
      </c>
      <c r="P118" s="13" t="n">
        <f aca="false">'Dish Database'!P40*H118/100</f>
        <v>4</v>
      </c>
    </row>
    <row r="119" customFormat="false" ht="15" hidden="false" customHeight="false" outlineLevel="0" collapsed="false">
      <c r="A119" s="6" t="str">
        <f aca="false">'Dish Database'!A41</f>
        <v>D040</v>
      </c>
      <c r="B119" s="6" t="str">
        <f aca="false">'Dish Database'!B41</f>
        <v>Mosambi juice</v>
      </c>
      <c r="C119" s="6" t="str">
        <f aca="false">'Dish Database'!D41</f>
        <v>Fruit Juices</v>
      </c>
      <c r="D119" s="6" t="str">
        <f aca="false">'Dish Database'!F41</f>
        <v>Veg</v>
      </c>
      <c r="E119" s="6" t="str">
        <f aca="false">'Dish Database'!E41</f>
        <v>Pan-India</v>
      </c>
      <c r="F119" s="6" t="s">
        <v>2243</v>
      </c>
      <c r="G119" s="6" t="s">
        <v>2253</v>
      </c>
      <c r="H119" s="16" t="n">
        <v>200</v>
      </c>
      <c r="I119" s="6" t="str">
        <f aca="false">'Dish Database'!I41</f>
        <v>ml</v>
      </c>
      <c r="J119" s="13" t="n">
        <f aca="false">'Dish Database'!J41*H119/100</f>
        <v>75.4</v>
      </c>
      <c r="K119" s="17" t="n">
        <f aca="false">'Dish Database'!K41*H119/100</f>
        <v>1</v>
      </c>
      <c r="L119" s="17" t="n">
        <f aca="false">'Dish Database'!L41*H119/100</f>
        <v>17.6</v>
      </c>
      <c r="M119" s="17" t="n">
        <f aca="false">'Dish Database'!M41*H119/100</f>
        <v>0.2</v>
      </c>
      <c r="N119" s="17" t="n">
        <f aca="false">'Dish Database'!N41*H119/100</f>
        <v>0.4</v>
      </c>
      <c r="O119" s="17" t="n">
        <f aca="false">'Dish Database'!O41*H119/100</f>
        <v>14</v>
      </c>
      <c r="P119" s="13" t="n">
        <f aca="false">'Dish Database'!P41*H119/100</f>
        <v>2</v>
      </c>
    </row>
    <row r="120" customFormat="false" ht="15" hidden="false" customHeight="false" outlineLevel="0" collapsed="false">
      <c r="A120" s="6" t="str">
        <f aca="false">'Dish Database'!A41</f>
        <v>D040</v>
      </c>
      <c r="B120" s="6" t="str">
        <f aca="false">'Dish Database'!B41</f>
        <v>Mosambi juice</v>
      </c>
      <c r="C120" s="6" t="str">
        <f aca="false">'Dish Database'!D41</f>
        <v>Fruit Juices</v>
      </c>
      <c r="D120" s="6" t="str">
        <f aca="false">'Dish Database'!F41</f>
        <v>Veg</v>
      </c>
      <c r="E120" s="6" t="str">
        <f aca="false">'Dish Database'!E41</f>
        <v>Pan-India</v>
      </c>
      <c r="F120" s="6" t="s">
        <v>103</v>
      </c>
      <c r="G120" s="6" t="s">
        <v>2254</v>
      </c>
      <c r="H120" s="16" t="n">
        <v>300</v>
      </c>
      <c r="I120" s="6" t="str">
        <f aca="false">'Dish Database'!I41</f>
        <v>ml</v>
      </c>
      <c r="J120" s="13" t="n">
        <f aca="false">'Dish Database'!J41*H120/100</f>
        <v>113.1</v>
      </c>
      <c r="K120" s="17" t="n">
        <f aca="false">'Dish Database'!K41*H120/100</f>
        <v>1.5</v>
      </c>
      <c r="L120" s="17" t="n">
        <f aca="false">'Dish Database'!L41*H120/100</f>
        <v>26.4</v>
      </c>
      <c r="M120" s="17" t="n">
        <f aca="false">'Dish Database'!M41*H120/100</f>
        <v>0.3</v>
      </c>
      <c r="N120" s="17" t="n">
        <f aca="false">'Dish Database'!N41*H120/100</f>
        <v>0.6</v>
      </c>
      <c r="O120" s="17" t="n">
        <f aca="false">'Dish Database'!O41*H120/100</f>
        <v>21</v>
      </c>
      <c r="P120" s="13" t="n">
        <f aca="false">'Dish Database'!P41*H120/100</f>
        <v>3</v>
      </c>
    </row>
    <row r="121" customFormat="false" ht="15" hidden="false" customHeight="false" outlineLevel="0" collapsed="false">
      <c r="A121" s="6" t="str">
        <f aca="false">'Dish Database'!A41</f>
        <v>D040</v>
      </c>
      <c r="B121" s="6" t="str">
        <f aca="false">'Dish Database'!B41</f>
        <v>Mosambi juice</v>
      </c>
      <c r="C121" s="6" t="str">
        <f aca="false">'Dish Database'!D41</f>
        <v>Fruit Juices</v>
      </c>
      <c r="D121" s="6" t="str">
        <f aca="false">'Dish Database'!F41</f>
        <v>Veg</v>
      </c>
      <c r="E121" s="6" t="str">
        <f aca="false">'Dish Database'!E41</f>
        <v>Pan-India</v>
      </c>
      <c r="F121" s="6" t="s">
        <v>2246</v>
      </c>
      <c r="G121" s="6" t="s">
        <v>2255</v>
      </c>
      <c r="H121" s="16" t="n">
        <v>400</v>
      </c>
      <c r="I121" s="6" t="str">
        <f aca="false">'Dish Database'!I41</f>
        <v>ml</v>
      </c>
      <c r="J121" s="13" t="n">
        <f aca="false">'Dish Database'!J41*H121/100</f>
        <v>150.8</v>
      </c>
      <c r="K121" s="17" t="n">
        <f aca="false">'Dish Database'!K41*H121/100</f>
        <v>2</v>
      </c>
      <c r="L121" s="17" t="n">
        <f aca="false">'Dish Database'!L41*H121/100</f>
        <v>35.2</v>
      </c>
      <c r="M121" s="17" t="n">
        <f aca="false">'Dish Database'!M41*H121/100</f>
        <v>0.4</v>
      </c>
      <c r="N121" s="17" t="n">
        <f aca="false">'Dish Database'!N41*H121/100</f>
        <v>0.8</v>
      </c>
      <c r="O121" s="17" t="n">
        <f aca="false">'Dish Database'!O41*H121/100</f>
        <v>28</v>
      </c>
      <c r="P121" s="13" t="n">
        <f aca="false">'Dish Database'!P41*H121/100</f>
        <v>4</v>
      </c>
    </row>
    <row r="122" customFormat="false" ht="15" hidden="false" customHeight="false" outlineLevel="0" collapsed="false">
      <c r="A122" s="6" t="str">
        <f aca="false">'Dish Database'!A42</f>
        <v>D041</v>
      </c>
      <c r="B122" s="6" t="str">
        <f aca="false">'Dish Database'!B42</f>
        <v>Apple juice</v>
      </c>
      <c r="C122" s="6" t="str">
        <f aca="false">'Dish Database'!D42</f>
        <v>Fruit Juices</v>
      </c>
      <c r="D122" s="6" t="str">
        <f aca="false">'Dish Database'!F42</f>
        <v>Veg</v>
      </c>
      <c r="E122" s="6" t="str">
        <f aca="false">'Dish Database'!E42</f>
        <v>Pan-India</v>
      </c>
      <c r="F122" s="6" t="s">
        <v>2243</v>
      </c>
      <c r="G122" s="6" t="s">
        <v>2253</v>
      </c>
      <c r="H122" s="16" t="n">
        <v>200</v>
      </c>
      <c r="I122" s="6" t="str">
        <f aca="false">'Dish Database'!I42</f>
        <v>ml</v>
      </c>
      <c r="J122" s="13" t="n">
        <f aca="false">'Dish Database'!J42*H122/100</f>
        <v>92.2</v>
      </c>
      <c r="K122" s="17" t="n">
        <f aca="false">'Dish Database'!K42*H122/100</f>
        <v>0.2</v>
      </c>
      <c r="L122" s="17" t="n">
        <f aca="false">'Dish Database'!L42*H122/100</f>
        <v>22.6</v>
      </c>
      <c r="M122" s="17" t="n">
        <f aca="false">'Dish Database'!M42*H122/100</f>
        <v>0.2</v>
      </c>
      <c r="N122" s="17" t="n">
        <f aca="false">'Dish Database'!N42*H122/100</f>
        <v>0.4</v>
      </c>
      <c r="O122" s="17" t="n">
        <f aca="false">'Dish Database'!O42*H122/100</f>
        <v>19.2</v>
      </c>
      <c r="P122" s="13" t="n">
        <f aca="false">'Dish Database'!P42*H122/100</f>
        <v>8</v>
      </c>
    </row>
    <row r="123" customFormat="false" ht="15" hidden="false" customHeight="false" outlineLevel="0" collapsed="false">
      <c r="A123" s="6" t="str">
        <f aca="false">'Dish Database'!A42</f>
        <v>D041</v>
      </c>
      <c r="B123" s="6" t="str">
        <f aca="false">'Dish Database'!B42</f>
        <v>Apple juice</v>
      </c>
      <c r="C123" s="6" t="str">
        <f aca="false">'Dish Database'!D42</f>
        <v>Fruit Juices</v>
      </c>
      <c r="D123" s="6" t="str">
        <f aca="false">'Dish Database'!F42</f>
        <v>Veg</v>
      </c>
      <c r="E123" s="6" t="str">
        <f aca="false">'Dish Database'!E42</f>
        <v>Pan-India</v>
      </c>
      <c r="F123" s="6" t="s">
        <v>103</v>
      </c>
      <c r="G123" s="6" t="s">
        <v>2254</v>
      </c>
      <c r="H123" s="16" t="n">
        <v>300</v>
      </c>
      <c r="I123" s="6" t="str">
        <f aca="false">'Dish Database'!I42</f>
        <v>ml</v>
      </c>
      <c r="J123" s="13" t="n">
        <f aca="false">'Dish Database'!J42*H123/100</f>
        <v>138.3</v>
      </c>
      <c r="K123" s="17" t="n">
        <f aca="false">'Dish Database'!K42*H123/100</f>
        <v>0.3</v>
      </c>
      <c r="L123" s="17" t="n">
        <f aca="false">'Dish Database'!L42*H123/100</f>
        <v>33.9</v>
      </c>
      <c r="M123" s="17" t="n">
        <f aca="false">'Dish Database'!M42*H123/100</f>
        <v>0.3</v>
      </c>
      <c r="N123" s="17" t="n">
        <f aca="false">'Dish Database'!N42*H123/100</f>
        <v>0.6</v>
      </c>
      <c r="O123" s="17" t="n">
        <f aca="false">'Dish Database'!O42*H123/100</f>
        <v>28.8</v>
      </c>
      <c r="P123" s="13" t="n">
        <f aca="false">'Dish Database'!P42*H123/100</f>
        <v>12</v>
      </c>
    </row>
    <row r="124" customFormat="false" ht="15" hidden="false" customHeight="false" outlineLevel="0" collapsed="false">
      <c r="A124" s="6" t="str">
        <f aca="false">'Dish Database'!A42</f>
        <v>D041</v>
      </c>
      <c r="B124" s="6" t="str">
        <f aca="false">'Dish Database'!B42</f>
        <v>Apple juice</v>
      </c>
      <c r="C124" s="6" t="str">
        <f aca="false">'Dish Database'!D42</f>
        <v>Fruit Juices</v>
      </c>
      <c r="D124" s="6" t="str">
        <f aca="false">'Dish Database'!F42</f>
        <v>Veg</v>
      </c>
      <c r="E124" s="6" t="str">
        <f aca="false">'Dish Database'!E42</f>
        <v>Pan-India</v>
      </c>
      <c r="F124" s="6" t="s">
        <v>2246</v>
      </c>
      <c r="G124" s="6" t="s">
        <v>2255</v>
      </c>
      <c r="H124" s="16" t="n">
        <v>400</v>
      </c>
      <c r="I124" s="6" t="str">
        <f aca="false">'Dish Database'!I42</f>
        <v>ml</v>
      </c>
      <c r="J124" s="13" t="n">
        <f aca="false">'Dish Database'!J42*H124/100</f>
        <v>184.4</v>
      </c>
      <c r="K124" s="17" t="n">
        <f aca="false">'Dish Database'!K42*H124/100</f>
        <v>0.4</v>
      </c>
      <c r="L124" s="17" t="n">
        <f aca="false">'Dish Database'!L42*H124/100</f>
        <v>45.2</v>
      </c>
      <c r="M124" s="17" t="n">
        <f aca="false">'Dish Database'!M42*H124/100</f>
        <v>0.4</v>
      </c>
      <c r="N124" s="17" t="n">
        <f aca="false">'Dish Database'!N42*H124/100</f>
        <v>0.8</v>
      </c>
      <c r="O124" s="17" t="n">
        <f aca="false">'Dish Database'!O42*H124/100</f>
        <v>38.4</v>
      </c>
      <c r="P124" s="13" t="n">
        <f aca="false">'Dish Database'!P42*H124/100</f>
        <v>16</v>
      </c>
    </row>
    <row r="125" customFormat="false" ht="15" hidden="false" customHeight="false" outlineLevel="0" collapsed="false">
      <c r="A125" s="6" t="str">
        <f aca="false">'Dish Database'!A43</f>
        <v>D042</v>
      </c>
      <c r="B125" s="6" t="str">
        <f aca="false">'Dish Database'!B43</f>
        <v>Pomegranate juice</v>
      </c>
      <c r="C125" s="6" t="str">
        <f aca="false">'Dish Database'!D43</f>
        <v>Fruit Juices</v>
      </c>
      <c r="D125" s="6" t="str">
        <f aca="false">'Dish Database'!F43</f>
        <v>Veg</v>
      </c>
      <c r="E125" s="6" t="str">
        <f aca="false">'Dish Database'!E43</f>
        <v>Pan-India</v>
      </c>
      <c r="F125" s="6" t="s">
        <v>2243</v>
      </c>
      <c r="G125" s="6" t="s">
        <v>2253</v>
      </c>
      <c r="H125" s="16" t="n">
        <v>200</v>
      </c>
      <c r="I125" s="6" t="str">
        <f aca="false">'Dish Database'!I43</f>
        <v>ml</v>
      </c>
      <c r="J125" s="13" t="n">
        <f aca="false">'Dish Database'!J43*H125/100</f>
        <v>111.4</v>
      </c>
      <c r="K125" s="17" t="n">
        <f aca="false">'Dish Database'!K43*H125/100</f>
        <v>0.4</v>
      </c>
      <c r="L125" s="17" t="n">
        <f aca="false">'Dish Database'!L43*H125/100</f>
        <v>26.2</v>
      </c>
      <c r="M125" s="17" t="n">
        <f aca="false">'Dish Database'!M43*H125/100</f>
        <v>0.6</v>
      </c>
      <c r="N125" s="17" t="n">
        <f aca="false">'Dish Database'!N43*H125/100</f>
        <v>0.2</v>
      </c>
      <c r="O125" s="17" t="n">
        <f aca="false">'Dish Database'!O43*H125/100</f>
        <v>25.4</v>
      </c>
      <c r="P125" s="13" t="n">
        <f aca="false">'Dish Database'!P43*H125/100</f>
        <v>18</v>
      </c>
    </row>
    <row r="126" customFormat="false" ht="15" hidden="false" customHeight="false" outlineLevel="0" collapsed="false">
      <c r="A126" s="6" t="str">
        <f aca="false">'Dish Database'!A43</f>
        <v>D042</v>
      </c>
      <c r="B126" s="6" t="str">
        <f aca="false">'Dish Database'!B43</f>
        <v>Pomegranate juice</v>
      </c>
      <c r="C126" s="6" t="str">
        <f aca="false">'Dish Database'!D43</f>
        <v>Fruit Juices</v>
      </c>
      <c r="D126" s="6" t="str">
        <f aca="false">'Dish Database'!F43</f>
        <v>Veg</v>
      </c>
      <c r="E126" s="6" t="str">
        <f aca="false">'Dish Database'!E43</f>
        <v>Pan-India</v>
      </c>
      <c r="F126" s="6" t="s">
        <v>103</v>
      </c>
      <c r="G126" s="6" t="s">
        <v>2254</v>
      </c>
      <c r="H126" s="16" t="n">
        <v>300</v>
      </c>
      <c r="I126" s="6" t="str">
        <f aca="false">'Dish Database'!I43</f>
        <v>ml</v>
      </c>
      <c r="J126" s="13" t="n">
        <f aca="false">'Dish Database'!J43*H126/100</f>
        <v>167.1</v>
      </c>
      <c r="K126" s="17" t="n">
        <f aca="false">'Dish Database'!K43*H126/100</f>
        <v>0.6</v>
      </c>
      <c r="L126" s="17" t="n">
        <f aca="false">'Dish Database'!L43*H126/100</f>
        <v>39.3</v>
      </c>
      <c r="M126" s="17" t="n">
        <f aca="false">'Dish Database'!M43*H126/100</f>
        <v>0.9</v>
      </c>
      <c r="N126" s="17" t="n">
        <f aca="false">'Dish Database'!N43*H126/100</f>
        <v>0.3</v>
      </c>
      <c r="O126" s="17" t="n">
        <f aca="false">'Dish Database'!O43*H126/100</f>
        <v>38.1</v>
      </c>
      <c r="P126" s="13" t="n">
        <f aca="false">'Dish Database'!P43*H126/100</f>
        <v>27</v>
      </c>
    </row>
    <row r="127" customFormat="false" ht="15" hidden="false" customHeight="false" outlineLevel="0" collapsed="false">
      <c r="A127" s="6" t="str">
        <f aca="false">'Dish Database'!A43</f>
        <v>D042</v>
      </c>
      <c r="B127" s="6" t="str">
        <f aca="false">'Dish Database'!B43</f>
        <v>Pomegranate juice</v>
      </c>
      <c r="C127" s="6" t="str">
        <f aca="false">'Dish Database'!D43</f>
        <v>Fruit Juices</v>
      </c>
      <c r="D127" s="6" t="str">
        <f aca="false">'Dish Database'!F43</f>
        <v>Veg</v>
      </c>
      <c r="E127" s="6" t="str">
        <f aca="false">'Dish Database'!E43</f>
        <v>Pan-India</v>
      </c>
      <c r="F127" s="6" t="s">
        <v>2246</v>
      </c>
      <c r="G127" s="6" t="s">
        <v>2255</v>
      </c>
      <c r="H127" s="16" t="n">
        <v>400</v>
      </c>
      <c r="I127" s="6" t="str">
        <f aca="false">'Dish Database'!I43</f>
        <v>ml</v>
      </c>
      <c r="J127" s="13" t="n">
        <f aca="false">'Dish Database'!J43*H127/100</f>
        <v>222.8</v>
      </c>
      <c r="K127" s="17" t="n">
        <f aca="false">'Dish Database'!K43*H127/100</f>
        <v>0.8</v>
      </c>
      <c r="L127" s="17" t="n">
        <f aca="false">'Dish Database'!L43*H127/100</f>
        <v>52.4</v>
      </c>
      <c r="M127" s="17" t="n">
        <f aca="false">'Dish Database'!M43*H127/100</f>
        <v>1.2</v>
      </c>
      <c r="N127" s="17" t="n">
        <f aca="false">'Dish Database'!N43*H127/100</f>
        <v>0.4</v>
      </c>
      <c r="O127" s="17" t="n">
        <f aca="false">'Dish Database'!O43*H127/100</f>
        <v>50.8</v>
      </c>
      <c r="P127" s="13" t="n">
        <f aca="false">'Dish Database'!P43*H127/100</f>
        <v>36</v>
      </c>
    </row>
    <row r="128" customFormat="false" ht="15" hidden="false" customHeight="false" outlineLevel="0" collapsed="false">
      <c r="A128" s="6" t="str">
        <f aca="false">'Dish Database'!A44</f>
        <v>D043</v>
      </c>
      <c r="B128" s="6" t="str">
        <f aca="false">'Dish Database'!B44</f>
        <v>Grape juice (black/green)</v>
      </c>
      <c r="C128" s="6" t="str">
        <f aca="false">'Dish Database'!D44</f>
        <v>Fruit Juices</v>
      </c>
      <c r="D128" s="6" t="str">
        <f aca="false">'Dish Database'!F44</f>
        <v>Veg</v>
      </c>
      <c r="E128" s="6" t="str">
        <f aca="false">'Dish Database'!E44</f>
        <v>Pan-India</v>
      </c>
      <c r="F128" s="6" t="s">
        <v>2243</v>
      </c>
      <c r="G128" s="6" t="s">
        <v>2253</v>
      </c>
      <c r="H128" s="16" t="n">
        <v>200</v>
      </c>
      <c r="I128" s="6" t="str">
        <f aca="false">'Dish Database'!I44</f>
        <v>ml</v>
      </c>
      <c r="J128" s="13" t="n">
        <f aca="false">'Dish Database'!J44*H128/100</f>
        <v>122.6</v>
      </c>
      <c r="K128" s="17" t="n">
        <f aca="false">'Dish Database'!K44*H128/100</f>
        <v>0.8</v>
      </c>
      <c r="L128" s="17" t="n">
        <f aca="false">'Dish Database'!L44*H128/100</f>
        <v>29.6</v>
      </c>
      <c r="M128" s="17" t="n">
        <f aca="false">'Dish Database'!M44*H128/100</f>
        <v>0.2</v>
      </c>
      <c r="N128" s="17" t="n">
        <f aca="false">'Dish Database'!N44*H128/100</f>
        <v>0.4</v>
      </c>
      <c r="O128" s="17" t="n">
        <f aca="false">'Dish Database'!O44*H128/100</f>
        <v>28.4</v>
      </c>
      <c r="P128" s="13" t="n">
        <f aca="false">'Dish Database'!P44*H128/100</f>
        <v>10</v>
      </c>
    </row>
    <row r="129" customFormat="false" ht="15" hidden="false" customHeight="false" outlineLevel="0" collapsed="false">
      <c r="A129" s="6" t="str">
        <f aca="false">'Dish Database'!A44</f>
        <v>D043</v>
      </c>
      <c r="B129" s="6" t="str">
        <f aca="false">'Dish Database'!B44</f>
        <v>Grape juice (black/green)</v>
      </c>
      <c r="C129" s="6" t="str">
        <f aca="false">'Dish Database'!D44</f>
        <v>Fruit Juices</v>
      </c>
      <c r="D129" s="6" t="str">
        <f aca="false">'Dish Database'!F44</f>
        <v>Veg</v>
      </c>
      <c r="E129" s="6" t="str">
        <f aca="false">'Dish Database'!E44</f>
        <v>Pan-India</v>
      </c>
      <c r="F129" s="6" t="s">
        <v>103</v>
      </c>
      <c r="G129" s="6" t="s">
        <v>2254</v>
      </c>
      <c r="H129" s="16" t="n">
        <v>300</v>
      </c>
      <c r="I129" s="6" t="str">
        <f aca="false">'Dish Database'!I44</f>
        <v>ml</v>
      </c>
      <c r="J129" s="13" t="n">
        <f aca="false">'Dish Database'!J44*H129/100</f>
        <v>183.9</v>
      </c>
      <c r="K129" s="17" t="n">
        <f aca="false">'Dish Database'!K44*H129/100</f>
        <v>1.2</v>
      </c>
      <c r="L129" s="17" t="n">
        <f aca="false">'Dish Database'!L44*H129/100</f>
        <v>44.4</v>
      </c>
      <c r="M129" s="17" t="n">
        <f aca="false">'Dish Database'!M44*H129/100</f>
        <v>0.3</v>
      </c>
      <c r="N129" s="17" t="n">
        <f aca="false">'Dish Database'!N44*H129/100</f>
        <v>0.6</v>
      </c>
      <c r="O129" s="17" t="n">
        <f aca="false">'Dish Database'!O44*H129/100</f>
        <v>42.6</v>
      </c>
      <c r="P129" s="13" t="n">
        <f aca="false">'Dish Database'!P44*H129/100</f>
        <v>15</v>
      </c>
    </row>
    <row r="130" customFormat="false" ht="15" hidden="false" customHeight="false" outlineLevel="0" collapsed="false">
      <c r="A130" s="6" t="str">
        <f aca="false">'Dish Database'!A44</f>
        <v>D043</v>
      </c>
      <c r="B130" s="6" t="str">
        <f aca="false">'Dish Database'!B44</f>
        <v>Grape juice (black/green)</v>
      </c>
      <c r="C130" s="6" t="str">
        <f aca="false">'Dish Database'!D44</f>
        <v>Fruit Juices</v>
      </c>
      <c r="D130" s="6" t="str">
        <f aca="false">'Dish Database'!F44</f>
        <v>Veg</v>
      </c>
      <c r="E130" s="6" t="str">
        <f aca="false">'Dish Database'!E44</f>
        <v>Pan-India</v>
      </c>
      <c r="F130" s="6" t="s">
        <v>2246</v>
      </c>
      <c r="G130" s="6" t="s">
        <v>2255</v>
      </c>
      <c r="H130" s="16" t="n">
        <v>400</v>
      </c>
      <c r="I130" s="6" t="str">
        <f aca="false">'Dish Database'!I44</f>
        <v>ml</v>
      </c>
      <c r="J130" s="13" t="n">
        <f aca="false">'Dish Database'!J44*H130/100</f>
        <v>245.2</v>
      </c>
      <c r="K130" s="17" t="n">
        <f aca="false">'Dish Database'!K44*H130/100</f>
        <v>1.6</v>
      </c>
      <c r="L130" s="17" t="n">
        <f aca="false">'Dish Database'!L44*H130/100</f>
        <v>59.2</v>
      </c>
      <c r="M130" s="17" t="n">
        <f aca="false">'Dish Database'!M44*H130/100</f>
        <v>0.4</v>
      </c>
      <c r="N130" s="17" t="n">
        <f aca="false">'Dish Database'!N44*H130/100</f>
        <v>0.8</v>
      </c>
      <c r="O130" s="17" t="n">
        <f aca="false">'Dish Database'!O44*H130/100</f>
        <v>56.8</v>
      </c>
      <c r="P130" s="13" t="n">
        <f aca="false">'Dish Database'!P44*H130/100</f>
        <v>20</v>
      </c>
    </row>
    <row r="131" customFormat="false" ht="15" hidden="false" customHeight="false" outlineLevel="0" collapsed="false">
      <c r="A131" s="6" t="str">
        <f aca="false">'Dish Database'!A45</f>
        <v>D044</v>
      </c>
      <c r="B131" s="6" t="str">
        <f aca="false">'Dish Database'!B45</f>
        <v>Pineapple juice</v>
      </c>
      <c r="C131" s="6" t="str">
        <f aca="false">'Dish Database'!D45</f>
        <v>Fruit Juices</v>
      </c>
      <c r="D131" s="6" t="str">
        <f aca="false">'Dish Database'!F45</f>
        <v>Veg</v>
      </c>
      <c r="E131" s="6" t="str">
        <f aca="false">'Dish Database'!E45</f>
        <v>Pan-India</v>
      </c>
      <c r="F131" s="6" t="s">
        <v>2243</v>
      </c>
      <c r="G131" s="6" t="s">
        <v>2253</v>
      </c>
      <c r="H131" s="16" t="n">
        <v>200</v>
      </c>
      <c r="I131" s="6" t="str">
        <f aca="false">'Dish Database'!I45</f>
        <v>ml</v>
      </c>
      <c r="J131" s="13" t="n">
        <f aca="false">'Dish Database'!J45*H131/100</f>
        <v>107.4</v>
      </c>
      <c r="K131" s="17" t="n">
        <f aca="false">'Dish Database'!K45*H131/100</f>
        <v>0.8</v>
      </c>
      <c r="L131" s="17" t="n">
        <f aca="false">'Dish Database'!L45*H131/100</f>
        <v>25.8</v>
      </c>
      <c r="M131" s="17" t="n">
        <f aca="false">'Dish Database'!M45*H131/100</f>
        <v>0.2</v>
      </c>
      <c r="N131" s="17" t="n">
        <f aca="false">'Dish Database'!N45*H131/100</f>
        <v>0.4</v>
      </c>
      <c r="O131" s="17" t="n">
        <f aca="false">'Dish Database'!O45*H131/100</f>
        <v>20</v>
      </c>
      <c r="P131" s="13" t="n">
        <f aca="false">'Dish Database'!P45*H131/100</f>
        <v>4</v>
      </c>
    </row>
    <row r="132" customFormat="false" ht="15" hidden="false" customHeight="false" outlineLevel="0" collapsed="false">
      <c r="A132" s="6" t="str">
        <f aca="false">'Dish Database'!A45</f>
        <v>D044</v>
      </c>
      <c r="B132" s="6" t="str">
        <f aca="false">'Dish Database'!B45</f>
        <v>Pineapple juice</v>
      </c>
      <c r="C132" s="6" t="str">
        <f aca="false">'Dish Database'!D45</f>
        <v>Fruit Juices</v>
      </c>
      <c r="D132" s="6" t="str">
        <f aca="false">'Dish Database'!F45</f>
        <v>Veg</v>
      </c>
      <c r="E132" s="6" t="str">
        <f aca="false">'Dish Database'!E45</f>
        <v>Pan-India</v>
      </c>
      <c r="F132" s="6" t="s">
        <v>103</v>
      </c>
      <c r="G132" s="6" t="s">
        <v>2254</v>
      </c>
      <c r="H132" s="16" t="n">
        <v>300</v>
      </c>
      <c r="I132" s="6" t="str">
        <f aca="false">'Dish Database'!I45</f>
        <v>ml</v>
      </c>
      <c r="J132" s="13" t="n">
        <f aca="false">'Dish Database'!J45*H132/100</f>
        <v>161.1</v>
      </c>
      <c r="K132" s="17" t="n">
        <f aca="false">'Dish Database'!K45*H132/100</f>
        <v>1.2</v>
      </c>
      <c r="L132" s="17" t="n">
        <f aca="false">'Dish Database'!L45*H132/100</f>
        <v>38.7</v>
      </c>
      <c r="M132" s="17" t="n">
        <f aca="false">'Dish Database'!M45*H132/100</f>
        <v>0.3</v>
      </c>
      <c r="N132" s="17" t="n">
        <f aca="false">'Dish Database'!N45*H132/100</f>
        <v>0.6</v>
      </c>
      <c r="O132" s="17" t="n">
        <f aca="false">'Dish Database'!O45*H132/100</f>
        <v>30</v>
      </c>
      <c r="P132" s="13" t="n">
        <f aca="false">'Dish Database'!P45*H132/100</f>
        <v>6</v>
      </c>
    </row>
    <row r="133" customFormat="false" ht="15" hidden="false" customHeight="false" outlineLevel="0" collapsed="false">
      <c r="A133" s="6" t="str">
        <f aca="false">'Dish Database'!A45</f>
        <v>D044</v>
      </c>
      <c r="B133" s="6" t="str">
        <f aca="false">'Dish Database'!B45</f>
        <v>Pineapple juice</v>
      </c>
      <c r="C133" s="6" t="str">
        <f aca="false">'Dish Database'!D45</f>
        <v>Fruit Juices</v>
      </c>
      <c r="D133" s="6" t="str">
        <f aca="false">'Dish Database'!F45</f>
        <v>Veg</v>
      </c>
      <c r="E133" s="6" t="str">
        <f aca="false">'Dish Database'!E45</f>
        <v>Pan-India</v>
      </c>
      <c r="F133" s="6" t="s">
        <v>2246</v>
      </c>
      <c r="G133" s="6" t="s">
        <v>2255</v>
      </c>
      <c r="H133" s="16" t="n">
        <v>400</v>
      </c>
      <c r="I133" s="6" t="str">
        <f aca="false">'Dish Database'!I45</f>
        <v>ml</v>
      </c>
      <c r="J133" s="13" t="n">
        <f aca="false">'Dish Database'!J45*H133/100</f>
        <v>214.8</v>
      </c>
      <c r="K133" s="17" t="n">
        <f aca="false">'Dish Database'!K45*H133/100</f>
        <v>1.6</v>
      </c>
      <c r="L133" s="17" t="n">
        <f aca="false">'Dish Database'!L45*H133/100</f>
        <v>51.6</v>
      </c>
      <c r="M133" s="17" t="n">
        <f aca="false">'Dish Database'!M45*H133/100</f>
        <v>0.4</v>
      </c>
      <c r="N133" s="17" t="n">
        <f aca="false">'Dish Database'!N45*H133/100</f>
        <v>0.8</v>
      </c>
      <c r="O133" s="17" t="n">
        <f aca="false">'Dish Database'!O45*H133/100</f>
        <v>40</v>
      </c>
      <c r="P133" s="13" t="n">
        <f aca="false">'Dish Database'!P45*H133/100</f>
        <v>8</v>
      </c>
    </row>
    <row r="134" customFormat="false" ht="15" hidden="false" customHeight="false" outlineLevel="0" collapsed="false">
      <c r="A134" s="6" t="str">
        <f aca="false">'Dish Database'!A46</f>
        <v>D045</v>
      </c>
      <c r="B134" s="6" t="str">
        <f aca="false">'Dish Database'!B46</f>
        <v>Watermelon juice</v>
      </c>
      <c r="C134" s="6" t="str">
        <f aca="false">'Dish Database'!D46</f>
        <v>Fruit Juices</v>
      </c>
      <c r="D134" s="6" t="str">
        <f aca="false">'Dish Database'!F46</f>
        <v>Veg</v>
      </c>
      <c r="E134" s="6" t="str">
        <f aca="false">'Dish Database'!E46</f>
        <v>Pan-India</v>
      </c>
      <c r="F134" s="6" t="s">
        <v>2243</v>
      </c>
      <c r="G134" s="6" t="s">
        <v>2253</v>
      </c>
      <c r="H134" s="16" t="n">
        <v>200</v>
      </c>
      <c r="I134" s="6" t="str">
        <f aca="false">'Dish Database'!I46</f>
        <v>ml</v>
      </c>
      <c r="J134" s="13" t="n">
        <f aca="false">'Dish Database'!J46*H134/100</f>
        <v>66.4</v>
      </c>
      <c r="K134" s="17" t="n">
        <f aca="false">'Dish Database'!K46*H134/100</f>
        <v>1.2</v>
      </c>
      <c r="L134" s="17" t="n">
        <f aca="false">'Dish Database'!L46*H134/100</f>
        <v>14.8</v>
      </c>
      <c r="M134" s="17" t="n">
        <f aca="false">'Dish Database'!M46*H134/100</f>
        <v>0.4</v>
      </c>
      <c r="N134" s="17" t="n">
        <f aca="false">'Dish Database'!N46*H134/100</f>
        <v>0.6</v>
      </c>
      <c r="O134" s="17" t="n">
        <f aca="false">'Dish Database'!O46*H134/100</f>
        <v>12.4</v>
      </c>
      <c r="P134" s="13" t="n">
        <f aca="false">'Dish Database'!P46*H134/100</f>
        <v>2</v>
      </c>
    </row>
    <row r="135" customFormat="false" ht="15" hidden="false" customHeight="false" outlineLevel="0" collapsed="false">
      <c r="A135" s="6" t="str">
        <f aca="false">'Dish Database'!A46</f>
        <v>D045</v>
      </c>
      <c r="B135" s="6" t="str">
        <f aca="false">'Dish Database'!B46</f>
        <v>Watermelon juice</v>
      </c>
      <c r="C135" s="6" t="str">
        <f aca="false">'Dish Database'!D46</f>
        <v>Fruit Juices</v>
      </c>
      <c r="D135" s="6" t="str">
        <f aca="false">'Dish Database'!F46</f>
        <v>Veg</v>
      </c>
      <c r="E135" s="6" t="str">
        <f aca="false">'Dish Database'!E46</f>
        <v>Pan-India</v>
      </c>
      <c r="F135" s="6" t="s">
        <v>103</v>
      </c>
      <c r="G135" s="6" t="s">
        <v>2254</v>
      </c>
      <c r="H135" s="16" t="n">
        <v>300</v>
      </c>
      <c r="I135" s="6" t="str">
        <f aca="false">'Dish Database'!I46</f>
        <v>ml</v>
      </c>
      <c r="J135" s="13" t="n">
        <f aca="false">'Dish Database'!J46*H135/100</f>
        <v>99.6</v>
      </c>
      <c r="K135" s="17" t="n">
        <f aca="false">'Dish Database'!K46*H135/100</f>
        <v>1.8</v>
      </c>
      <c r="L135" s="17" t="n">
        <f aca="false">'Dish Database'!L46*H135/100</f>
        <v>22.2</v>
      </c>
      <c r="M135" s="17" t="n">
        <f aca="false">'Dish Database'!M46*H135/100</f>
        <v>0.6</v>
      </c>
      <c r="N135" s="17" t="n">
        <f aca="false">'Dish Database'!N46*H135/100</f>
        <v>0.9</v>
      </c>
      <c r="O135" s="17" t="n">
        <f aca="false">'Dish Database'!O46*H135/100</f>
        <v>18.6</v>
      </c>
      <c r="P135" s="13" t="n">
        <f aca="false">'Dish Database'!P46*H135/100</f>
        <v>3</v>
      </c>
    </row>
    <row r="136" customFormat="false" ht="15" hidden="false" customHeight="false" outlineLevel="0" collapsed="false">
      <c r="A136" s="6" t="str">
        <f aca="false">'Dish Database'!A46</f>
        <v>D045</v>
      </c>
      <c r="B136" s="6" t="str">
        <f aca="false">'Dish Database'!B46</f>
        <v>Watermelon juice</v>
      </c>
      <c r="C136" s="6" t="str">
        <f aca="false">'Dish Database'!D46</f>
        <v>Fruit Juices</v>
      </c>
      <c r="D136" s="6" t="str">
        <f aca="false">'Dish Database'!F46</f>
        <v>Veg</v>
      </c>
      <c r="E136" s="6" t="str">
        <f aca="false">'Dish Database'!E46</f>
        <v>Pan-India</v>
      </c>
      <c r="F136" s="6" t="s">
        <v>2246</v>
      </c>
      <c r="G136" s="6" t="s">
        <v>2255</v>
      </c>
      <c r="H136" s="16" t="n">
        <v>400</v>
      </c>
      <c r="I136" s="6" t="str">
        <f aca="false">'Dish Database'!I46</f>
        <v>ml</v>
      </c>
      <c r="J136" s="13" t="n">
        <f aca="false">'Dish Database'!J46*H136/100</f>
        <v>132.8</v>
      </c>
      <c r="K136" s="17" t="n">
        <f aca="false">'Dish Database'!K46*H136/100</f>
        <v>2.4</v>
      </c>
      <c r="L136" s="17" t="n">
        <f aca="false">'Dish Database'!L46*H136/100</f>
        <v>29.6</v>
      </c>
      <c r="M136" s="17" t="n">
        <f aca="false">'Dish Database'!M46*H136/100</f>
        <v>0.8</v>
      </c>
      <c r="N136" s="17" t="n">
        <f aca="false">'Dish Database'!N46*H136/100</f>
        <v>1.2</v>
      </c>
      <c r="O136" s="17" t="n">
        <f aca="false">'Dish Database'!O46*H136/100</f>
        <v>24.8</v>
      </c>
      <c r="P136" s="13" t="n">
        <f aca="false">'Dish Database'!P46*H136/100</f>
        <v>4</v>
      </c>
    </row>
    <row r="137" customFormat="false" ht="15" hidden="false" customHeight="false" outlineLevel="0" collapsed="false">
      <c r="A137" s="6" t="str">
        <f aca="false">'Dish Database'!A47</f>
        <v>D046</v>
      </c>
      <c r="B137" s="6" t="str">
        <f aca="false">'Dish Database'!B47</f>
        <v>Muskmelon juice</v>
      </c>
      <c r="C137" s="6" t="str">
        <f aca="false">'Dish Database'!D47</f>
        <v>Fruit Juices</v>
      </c>
      <c r="D137" s="6" t="str">
        <f aca="false">'Dish Database'!F47</f>
        <v>Veg</v>
      </c>
      <c r="E137" s="6" t="str">
        <f aca="false">'Dish Database'!E47</f>
        <v>Pan-India</v>
      </c>
      <c r="F137" s="6" t="s">
        <v>2243</v>
      </c>
      <c r="G137" s="6" t="s">
        <v>2253</v>
      </c>
      <c r="H137" s="16" t="n">
        <v>200</v>
      </c>
      <c r="I137" s="6" t="str">
        <f aca="false">'Dish Database'!I47</f>
        <v>ml</v>
      </c>
      <c r="J137" s="13" t="n">
        <f aca="false">'Dish Database'!J47*H137/100</f>
        <v>73.6</v>
      </c>
      <c r="K137" s="17" t="n">
        <f aca="false">'Dish Database'!K47*H137/100</f>
        <v>1.6</v>
      </c>
      <c r="L137" s="17" t="n">
        <f aca="false">'Dish Database'!L47*H137/100</f>
        <v>16.4</v>
      </c>
      <c r="M137" s="17" t="n">
        <f aca="false">'Dish Database'!M47*H137/100</f>
        <v>0.4</v>
      </c>
      <c r="N137" s="17" t="n">
        <f aca="false">'Dish Database'!N47*H137/100</f>
        <v>1</v>
      </c>
      <c r="O137" s="17" t="n">
        <f aca="false">'Dish Database'!O47*H137/100</f>
        <v>15.8</v>
      </c>
      <c r="P137" s="13" t="n">
        <f aca="false">'Dish Database'!P47*H137/100</f>
        <v>32</v>
      </c>
    </row>
    <row r="138" customFormat="false" ht="15" hidden="false" customHeight="false" outlineLevel="0" collapsed="false">
      <c r="A138" s="6" t="str">
        <f aca="false">'Dish Database'!A47</f>
        <v>D046</v>
      </c>
      <c r="B138" s="6" t="str">
        <f aca="false">'Dish Database'!B47</f>
        <v>Muskmelon juice</v>
      </c>
      <c r="C138" s="6" t="str">
        <f aca="false">'Dish Database'!D47</f>
        <v>Fruit Juices</v>
      </c>
      <c r="D138" s="6" t="str">
        <f aca="false">'Dish Database'!F47</f>
        <v>Veg</v>
      </c>
      <c r="E138" s="6" t="str">
        <f aca="false">'Dish Database'!E47</f>
        <v>Pan-India</v>
      </c>
      <c r="F138" s="6" t="s">
        <v>103</v>
      </c>
      <c r="G138" s="6" t="s">
        <v>2254</v>
      </c>
      <c r="H138" s="16" t="n">
        <v>300</v>
      </c>
      <c r="I138" s="6" t="str">
        <f aca="false">'Dish Database'!I47</f>
        <v>ml</v>
      </c>
      <c r="J138" s="13" t="n">
        <f aca="false">'Dish Database'!J47*H138/100</f>
        <v>110.4</v>
      </c>
      <c r="K138" s="17" t="n">
        <f aca="false">'Dish Database'!K47*H138/100</f>
        <v>2.4</v>
      </c>
      <c r="L138" s="17" t="n">
        <f aca="false">'Dish Database'!L47*H138/100</f>
        <v>24.6</v>
      </c>
      <c r="M138" s="17" t="n">
        <f aca="false">'Dish Database'!M47*H138/100</f>
        <v>0.6</v>
      </c>
      <c r="N138" s="17" t="n">
        <f aca="false">'Dish Database'!N47*H138/100</f>
        <v>1.5</v>
      </c>
      <c r="O138" s="17" t="n">
        <f aca="false">'Dish Database'!O47*H138/100</f>
        <v>23.7</v>
      </c>
      <c r="P138" s="13" t="n">
        <f aca="false">'Dish Database'!P47*H138/100</f>
        <v>48</v>
      </c>
    </row>
    <row r="139" customFormat="false" ht="15" hidden="false" customHeight="false" outlineLevel="0" collapsed="false">
      <c r="A139" s="6" t="str">
        <f aca="false">'Dish Database'!A47</f>
        <v>D046</v>
      </c>
      <c r="B139" s="6" t="str">
        <f aca="false">'Dish Database'!B47</f>
        <v>Muskmelon juice</v>
      </c>
      <c r="C139" s="6" t="str">
        <f aca="false">'Dish Database'!D47</f>
        <v>Fruit Juices</v>
      </c>
      <c r="D139" s="6" t="str">
        <f aca="false">'Dish Database'!F47</f>
        <v>Veg</v>
      </c>
      <c r="E139" s="6" t="str">
        <f aca="false">'Dish Database'!E47</f>
        <v>Pan-India</v>
      </c>
      <c r="F139" s="6" t="s">
        <v>2246</v>
      </c>
      <c r="G139" s="6" t="s">
        <v>2255</v>
      </c>
      <c r="H139" s="16" t="n">
        <v>400</v>
      </c>
      <c r="I139" s="6" t="str">
        <f aca="false">'Dish Database'!I47</f>
        <v>ml</v>
      </c>
      <c r="J139" s="13" t="n">
        <f aca="false">'Dish Database'!J47*H139/100</f>
        <v>147.2</v>
      </c>
      <c r="K139" s="17" t="n">
        <f aca="false">'Dish Database'!K47*H139/100</f>
        <v>3.2</v>
      </c>
      <c r="L139" s="17" t="n">
        <f aca="false">'Dish Database'!L47*H139/100</f>
        <v>32.8</v>
      </c>
      <c r="M139" s="17" t="n">
        <f aca="false">'Dish Database'!M47*H139/100</f>
        <v>0.8</v>
      </c>
      <c r="N139" s="17" t="n">
        <f aca="false">'Dish Database'!N47*H139/100</f>
        <v>2</v>
      </c>
      <c r="O139" s="17" t="n">
        <f aca="false">'Dish Database'!O47*H139/100</f>
        <v>31.6</v>
      </c>
      <c r="P139" s="13" t="n">
        <f aca="false">'Dish Database'!P47*H139/100</f>
        <v>64</v>
      </c>
    </row>
    <row r="140" customFormat="false" ht="15" hidden="false" customHeight="false" outlineLevel="0" collapsed="false">
      <c r="A140" s="6" t="str">
        <f aca="false">'Dish Database'!A48</f>
        <v>D047</v>
      </c>
      <c r="B140" s="6" t="str">
        <f aca="false">'Dish Database'!B48</f>
        <v>Papaya juice</v>
      </c>
      <c r="C140" s="6" t="str">
        <f aca="false">'Dish Database'!D48</f>
        <v>Fruit Juices</v>
      </c>
      <c r="D140" s="6" t="str">
        <f aca="false">'Dish Database'!F48</f>
        <v>Veg</v>
      </c>
      <c r="E140" s="6" t="str">
        <f aca="false">'Dish Database'!E48</f>
        <v>Pan-India</v>
      </c>
      <c r="F140" s="6" t="s">
        <v>2243</v>
      </c>
      <c r="G140" s="6" t="s">
        <v>2253</v>
      </c>
      <c r="H140" s="16" t="n">
        <v>200</v>
      </c>
      <c r="I140" s="6" t="str">
        <f aca="false">'Dish Database'!I48</f>
        <v>ml</v>
      </c>
      <c r="J140" s="13" t="n">
        <f aca="false">'Dish Database'!J48*H140/100</f>
        <v>74.8</v>
      </c>
      <c r="K140" s="17" t="n">
        <f aca="false">'Dish Database'!K48*H140/100</f>
        <v>0.8</v>
      </c>
      <c r="L140" s="17" t="n">
        <f aca="false">'Dish Database'!L48*H140/100</f>
        <v>18</v>
      </c>
      <c r="M140" s="17" t="n">
        <f aca="false">'Dish Database'!M48*H140/100</f>
        <v>0.4</v>
      </c>
      <c r="N140" s="17" t="n">
        <f aca="false">'Dish Database'!N48*H140/100</f>
        <v>2</v>
      </c>
      <c r="O140" s="17" t="n">
        <f aca="false">'Dish Database'!O48*H140/100</f>
        <v>14</v>
      </c>
      <c r="P140" s="13" t="n">
        <f aca="false">'Dish Database'!P48*H140/100</f>
        <v>12</v>
      </c>
    </row>
    <row r="141" customFormat="false" ht="15" hidden="false" customHeight="false" outlineLevel="0" collapsed="false">
      <c r="A141" s="6" t="str">
        <f aca="false">'Dish Database'!A48</f>
        <v>D047</v>
      </c>
      <c r="B141" s="6" t="str">
        <f aca="false">'Dish Database'!B48</f>
        <v>Papaya juice</v>
      </c>
      <c r="C141" s="6" t="str">
        <f aca="false">'Dish Database'!D48</f>
        <v>Fruit Juices</v>
      </c>
      <c r="D141" s="6" t="str">
        <f aca="false">'Dish Database'!F48</f>
        <v>Veg</v>
      </c>
      <c r="E141" s="6" t="str">
        <f aca="false">'Dish Database'!E48</f>
        <v>Pan-India</v>
      </c>
      <c r="F141" s="6" t="s">
        <v>103</v>
      </c>
      <c r="G141" s="6" t="s">
        <v>2254</v>
      </c>
      <c r="H141" s="16" t="n">
        <v>300</v>
      </c>
      <c r="I141" s="6" t="str">
        <f aca="false">'Dish Database'!I48</f>
        <v>ml</v>
      </c>
      <c r="J141" s="13" t="n">
        <f aca="false">'Dish Database'!J48*H141/100</f>
        <v>112.2</v>
      </c>
      <c r="K141" s="17" t="n">
        <f aca="false">'Dish Database'!K48*H141/100</f>
        <v>1.2</v>
      </c>
      <c r="L141" s="17" t="n">
        <f aca="false">'Dish Database'!L48*H141/100</f>
        <v>27</v>
      </c>
      <c r="M141" s="17" t="n">
        <f aca="false">'Dish Database'!M48*H141/100</f>
        <v>0.6</v>
      </c>
      <c r="N141" s="17" t="n">
        <f aca="false">'Dish Database'!N48*H141/100</f>
        <v>3</v>
      </c>
      <c r="O141" s="17" t="n">
        <f aca="false">'Dish Database'!O48*H141/100</f>
        <v>21</v>
      </c>
      <c r="P141" s="13" t="n">
        <f aca="false">'Dish Database'!P48*H141/100</f>
        <v>18</v>
      </c>
    </row>
    <row r="142" customFormat="false" ht="15" hidden="false" customHeight="false" outlineLevel="0" collapsed="false">
      <c r="A142" s="6" t="str">
        <f aca="false">'Dish Database'!A48</f>
        <v>D047</v>
      </c>
      <c r="B142" s="6" t="str">
        <f aca="false">'Dish Database'!B48</f>
        <v>Papaya juice</v>
      </c>
      <c r="C142" s="6" t="str">
        <f aca="false">'Dish Database'!D48</f>
        <v>Fruit Juices</v>
      </c>
      <c r="D142" s="6" t="str">
        <f aca="false">'Dish Database'!F48</f>
        <v>Veg</v>
      </c>
      <c r="E142" s="6" t="str">
        <f aca="false">'Dish Database'!E48</f>
        <v>Pan-India</v>
      </c>
      <c r="F142" s="6" t="s">
        <v>2246</v>
      </c>
      <c r="G142" s="6" t="s">
        <v>2255</v>
      </c>
      <c r="H142" s="16" t="n">
        <v>400</v>
      </c>
      <c r="I142" s="6" t="str">
        <f aca="false">'Dish Database'!I48</f>
        <v>ml</v>
      </c>
      <c r="J142" s="13" t="n">
        <f aca="false">'Dish Database'!J48*H142/100</f>
        <v>149.6</v>
      </c>
      <c r="K142" s="17" t="n">
        <f aca="false">'Dish Database'!K48*H142/100</f>
        <v>1.6</v>
      </c>
      <c r="L142" s="17" t="n">
        <f aca="false">'Dish Database'!L48*H142/100</f>
        <v>36</v>
      </c>
      <c r="M142" s="17" t="n">
        <f aca="false">'Dish Database'!M48*H142/100</f>
        <v>0.8</v>
      </c>
      <c r="N142" s="17" t="n">
        <f aca="false">'Dish Database'!N48*H142/100</f>
        <v>4</v>
      </c>
      <c r="O142" s="17" t="n">
        <f aca="false">'Dish Database'!O48*H142/100</f>
        <v>28</v>
      </c>
      <c r="P142" s="13" t="n">
        <f aca="false">'Dish Database'!P48*H142/100</f>
        <v>24</v>
      </c>
    </row>
    <row r="143" customFormat="false" ht="15" hidden="false" customHeight="false" outlineLevel="0" collapsed="false">
      <c r="A143" s="6" t="str">
        <f aca="false">'Dish Database'!A49</f>
        <v>D048</v>
      </c>
      <c r="B143" s="6" t="str">
        <f aca="false">'Dish Database'!B49</f>
        <v>Mango juice (fresh pulp + water)</v>
      </c>
      <c r="C143" s="6" t="str">
        <f aca="false">'Dish Database'!D49</f>
        <v>Fruit Juices</v>
      </c>
      <c r="D143" s="6" t="str">
        <f aca="false">'Dish Database'!F49</f>
        <v>Veg</v>
      </c>
      <c r="E143" s="6" t="str">
        <f aca="false">'Dish Database'!E49</f>
        <v>Pan-India</v>
      </c>
      <c r="F143" s="6" t="s">
        <v>2243</v>
      </c>
      <c r="G143" s="6" t="s">
        <v>2253</v>
      </c>
      <c r="H143" s="16" t="n">
        <v>200</v>
      </c>
      <c r="I143" s="6" t="str">
        <f aca="false">'Dish Database'!I49</f>
        <v>ml</v>
      </c>
      <c r="J143" s="13" t="n">
        <f aca="false">'Dish Database'!J49*H143/100</f>
        <v>63.6</v>
      </c>
      <c r="K143" s="17" t="n">
        <f aca="false">'Dish Database'!K49*H143/100</f>
        <v>0.8</v>
      </c>
      <c r="L143" s="17" t="n">
        <f aca="false">'Dish Database'!L49*H143/100</f>
        <v>15</v>
      </c>
      <c r="M143" s="17" t="n">
        <f aca="false">'Dish Database'!M49*H143/100</f>
        <v>0.4</v>
      </c>
      <c r="N143" s="17" t="n">
        <f aca="false">'Dish Database'!N49*H143/100</f>
        <v>1.6</v>
      </c>
      <c r="O143" s="17" t="n">
        <f aca="false">'Dish Database'!O49*H143/100</f>
        <v>13.6</v>
      </c>
      <c r="P143" s="13" t="n">
        <f aca="false">'Dish Database'!P49*H143/100</f>
        <v>2</v>
      </c>
    </row>
    <row r="144" customFormat="false" ht="15" hidden="false" customHeight="false" outlineLevel="0" collapsed="false">
      <c r="A144" s="6" t="str">
        <f aca="false">'Dish Database'!A49</f>
        <v>D048</v>
      </c>
      <c r="B144" s="6" t="str">
        <f aca="false">'Dish Database'!B49</f>
        <v>Mango juice (fresh pulp + water)</v>
      </c>
      <c r="C144" s="6" t="str">
        <f aca="false">'Dish Database'!D49</f>
        <v>Fruit Juices</v>
      </c>
      <c r="D144" s="6" t="str">
        <f aca="false">'Dish Database'!F49</f>
        <v>Veg</v>
      </c>
      <c r="E144" s="6" t="str">
        <f aca="false">'Dish Database'!E49</f>
        <v>Pan-India</v>
      </c>
      <c r="F144" s="6" t="s">
        <v>103</v>
      </c>
      <c r="G144" s="6" t="s">
        <v>2254</v>
      </c>
      <c r="H144" s="16" t="n">
        <v>300</v>
      </c>
      <c r="I144" s="6" t="str">
        <f aca="false">'Dish Database'!I49</f>
        <v>ml</v>
      </c>
      <c r="J144" s="13" t="n">
        <f aca="false">'Dish Database'!J49*H144/100</f>
        <v>95.4</v>
      </c>
      <c r="K144" s="17" t="n">
        <f aca="false">'Dish Database'!K49*H144/100</f>
        <v>1.2</v>
      </c>
      <c r="L144" s="17" t="n">
        <f aca="false">'Dish Database'!L49*H144/100</f>
        <v>22.5</v>
      </c>
      <c r="M144" s="17" t="n">
        <f aca="false">'Dish Database'!M49*H144/100</f>
        <v>0.6</v>
      </c>
      <c r="N144" s="17" t="n">
        <f aca="false">'Dish Database'!N49*H144/100</f>
        <v>2.4</v>
      </c>
      <c r="O144" s="17" t="n">
        <f aca="false">'Dish Database'!O49*H144/100</f>
        <v>20.4</v>
      </c>
      <c r="P144" s="13" t="n">
        <f aca="false">'Dish Database'!P49*H144/100</f>
        <v>3</v>
      </c>
    </row>
    <row r="145" customFormat="false" ht="15" hidden="false" customHeight="false" outlineLevel="0" collapsed="false">
      <c r="A145" s="6" t="str">
        <f aca="false">'Dish Database'!A49</f>
        <v>D048</v>
      </c>
      <c r="B145" s="6" t="str">
        <f aca="false">'Dish Database'!B49</f>
        <v>Mango juice (fresh pulp + water)</v>
      </c>
      <c r="C145" s="6" t="str">
        <f aca="false">'Dish Database'!D49</f>
        <v>Fruit Juices</v>
      </c>
      <c r="D145" s="6" t="str">
        <f aca="false">'Dish Database'!F49</f>
        <v>Veg</v>
      </c>
      <c r="E145" s="6" t="str">
        <f aca="false">'Dish Database'!E49</f>
        <v>Pan-India</v>
      </c>
      <c r="F145" s="6" t="s">
        <v>2246</v>
      </c>
      <c r="G145" s="6" t="s">
        <v>2255</v>
      </c>
      <c r="H145" s="16" t="n">
        <v>400</v>
      </c>
      <c r="I145" s="6" t="str">
        <f aca="false">'Dish Database'!I49</f>
        <v>ml</v>
      </c>
      <c r="J145" s="13" t="n">
        <f aca="false">'Dish Database'!J49*H145/100</f>
        <v>127.2</v>
      </c>
      <c r="K145" s="17" t="n">
        <f aca="false">'Dish Database'!K49*H145/100</f>
        <v>1.6</v>
      </c>
      <c r="L145" s="17" t="n">
        <f aca="false">'Dish Database'!L49*H145/100</f>
        <v>30</v>
      </c>
      <c r="M145" s="17" t="n">
        <f aca="false">'Dish Database'!M49*H145/100</f>
        <v>0.8</v>
      </c>
      <c r="N145" s="17" t="n">
        <f aca="false">'Dish Database'!N49*H145/100</f>
        <v>3.2</v>
      </c>
      <c r="O145" s="17" t="n">
        <f aca="false">'Dish Database'!O49*H145/100</f>
        <v>27.2</v>
      </c>
      <c r="P145" s="13" t="n">
        <f aca="false">'Dish Database'!P49*H145/100</f>
        <v>4</v>
      </c>
    </row>
    <row r="146" customFormat="false" ht="15" hidden="false" customHeight="false" outlineLevel="0" collapsed="false">
      <c r="A146" s="6" t="str">
        <f aca="false">'Dish Database'!A50</f>
        <v>D049</v>
      </c>
      <c r="B146" s="6" t="str">
        <f aca="false">'Dish Database'!B50</f>
        <v>Aamras (thick mango pulp, no sugar)</v>
      </c>
      <c r="C146" s="6" t="str">
        <f aca="false">'Dish Database'!D50</f>
        <v>Fruit Juices</v>
      </c>
      <c r="D146" s="6" t="str">
        <f aca="false">'Dish Database'!F50</f>
        <v>Veg</v>
      </c>
      <c r="E146" s="6" t="str">
        <f aca="false">'Dish Database'!E50</f>
        <v>West</v>
      </c>
      <c r="F146" s="6" t="s">
        <v>2243</v>
      </c>
      <c r="G146" s="6" t="s">
        <v>2259</v>
      </c>
      <c r="H146" s="16" t="n">
        <v>100</v>
      </c>
      <c r="I146" s="6" t="str">
        <f aca="false">'Dish Database'!I50</f>
        <v>g</v>
      </c>
      <c r="J146" s="13" t="n">
        <f aca="false">'Dish Database'!J50*H146/100</f>
        <v>63.6</v>
      </c>
      <c r="K146" s="17" t="n">
        <f aca="false">'Dish Database'!K50*H146/100</f>
        <v>0.8</v>
      </c>
      <c r="L146" s="17" t="n">
        <f aca="false">'Dish Database'!L50*H146/100</f>
        <v>15</v>
      </c>
      <c r="M146" s="17" t="n">
        <f aca="false">'Dish Database'!M50*H146/100</f>
        <v>0.4</v>
      </c>
      <c r="N146" s="17" t="n">
        <f aca="false">'Dish Database'!N50*H146/100</f>
        <v>1.6</v>
      </c>
      <c r="O146" s="17" t="n">
        <f aca="false">'Dish Database'!O50*H146/100</f>
        <v>13.7</v>
      </c>
      <c r="P146" s="13" t="n">
        <f aca="false">'Dish Database'!P50*H146/100</f>
        <v>1</v>
      </c>
    </row>
    <row r="147" customFormat="false" ht="15" hidden="false" customHeight="false" outlineLevel="0" collapsed="false">
      <c r="A147" s="6" t="str">
        <f aca="false">'Dish Database'!A50</f>
        <v>D049</v>
      </c>
      <c r="B147" s="6" t="str">
        <f aca="false">'Dish Database'!B50</f>
        <v>Aamras (thick mango pulp, no sugar)</v>
      </c>
      <c r="C147" s="6" t="str">
        <f aca="false">'Dish Database'!D50</f>
        <v>Fruit Juices</v>
      </c>
      <c r="D147" s="6" t="str">
        <f aca="false">'Dish Database'!F50</f>
        <v>Veg</v>
      </c>
      <c r="E147" s="6" t="str">
        <f aca="false">'Dish Database'!E50</f>
        <v>West</v>
      </c>
      <c r="F147" s="6" t="s">
        <v>103</v>
      </c>
      <c r="G147" s="6" t="s">
        <v>2260</v>
      </c>
      <c r="H147" s="16" t="n">
        <v>150</v>
      </c>
      <c r="I147" s="6" t="str">
        <f aca="false">'Dish Database'!I50</f>
        <v>g</v>
      </c>
      <c r="J147" s="13" t="n">
        <f aca="false">'Dish Database'!J50*H147/100</f>
        <v>95.4</v>
      </c>
      <c r="K147" s="17" t="n">
        <f aca="false">'Dish Database'!K50*H147/100</f>
        <v>1.2</v>
      </c>
      <c r="L147" s="17" t="n">
        <f aca="false">'Dish Database'!L50*H147/100</f>
        <v>22.5</v>
      </c>
      <c r="M147" s="17" t="n">
        <f aca="false">'Dish Database'!M50*H147/100</f>
        <v>0.6</v>
      </c>
      <c r="N147" s="17" t="n">
        <f aca="false">'Dish Database'!N50*H147/100</f>
        <v>2.4</v>
      </c>
      <c r="O147" s="17" t="n">
        <f aca="false">'Dish Database'!O50*H147/100</f>
        <v>20.55</v>
      </c>
      <c r="P147" s="13" t="n">
        <f aca="false">'Dish Database'!P50*H147/100</f>
        <v>1.5</v>
      </c>
    </row>
    <row r="148" customFormat="false" ht="15" hidden="false" customHeight="false" outlineLevel="0" collapsed="false">
      <c r="A148" s="6" t="str">
        <f aca="false">'Dish Database'!A50</f>
        <v>D049</v>
      </c>
      <c r="B148" s="6" t="str">
        <f aca="false">'Dish Database'!B50</f>
        <v>Aamras (thick mango pulp, no sugar)</v>
      </c>
      <c r="C148" s="6" t="str">
        <f aca="false">'Dish Database'!D50</f>
        <v>Fruit Juices</v>
      </c>
      <c r="D148" s="6" t="str">
        <f aca="false">'Dish Database'!F50</f>
        <v>Veg</v>
      </c>
      <c r="E148" s="6" t="str">
        <f aca="false">'Dish Database'!E50</f>
        <v>West</v>
      </c>
      <c r="F148" s="6" t="s">
        <v>2246</v>
      </c>
      <c r="G148" s="6" t="s">
        <v>2261</v>
      </c>
      <c r="H148" s="16" t="n">
        <v>200</v>
      </c>
      <c r="I148" s="6" t="str">
        <f aca="false">'Dish Database'!I50</f>
        <v>g</v>
      </c>
      <c r="J148" s="13" t="n">
        <f aca="false">'Dish Database'!J50*H148/100</f>
        <v>127.2</v>
      </c>
      <c r="K148" s="17" t="n">
        <f aca="false">'Dish Database'!K50*H148/100</f>
        <v>1.6</v>
      </c>
      <c r="L148" s="17" t="n">
        <f aca="false">'Dish Database'!L50*H148/100</f>
        <v>30</v>
      </c>
      <c r="M148" s="17" t="n">
        <f aca="false">'Dish Database'!M50*H148/100</f>
        <v>0.8</v>
      </c>
      <c r="N148" s="17" t="n">
        <f aca="false">'Dish Database'!N50*H148/100</f>
        <v>3.2</v>
      </c>
      <c r="O148" s="17" t="n">
        <f aca="false">'Dish Database'!O50*H148/100</f>
        <v>27.4</v>
      </c>
      <c r="P148" s="13" t="n">
        <f aca="false">'Dish Database'!P50*H148/100</f>
        <v>2</v>
      </c>
    </row>
    <row r="149" customFormat="false" ht="15" hidden="false" customHeight="false" outlineLevel="0" collapsed="false">
      <c r="A149" s="6" t="str">
        <f aca="false">'Dish Database'!A51</f>
        <v>D050</v>
      </c>
      <c r="B149" s="6" t="str">
        <f aca="false">'Dish Database'!B51</f>
        <v>Aamras with sugar</v>
      </c>
      <c r="C149" s="6" t="str">
        <f aca="false">'Dish Database'!D51</f>
        <v>Fruit Juices</v>
      </c>
      <c r="D149" s="6" t="str">
        <f aca="false">'Dish Database'!F51</f>
        <v>Veg</v>
      </c>
      <c r="E149" s="6" t="str">
        <f aca="false">'Dish Database'!E51</f>
        <v>West</v>
      </c>
      <c r="F149" s="6" t="s">
        <v>2243</v>
      </c>
      <c r="G149" s="6" t="s">
        <v>2259</v>
      </c>
      <c r="H149" s="16" t="n">
        <v>100</v>
      </c>
      <c r="I149" s="6" t="str">
        <f aca="false">'Dish Database'!I51</f>
        <v>g</v>
      </c>
      <c r="J149" s="13" t="n">
        <f aca="false">'Dish Database'!J51*H149/100</f>
        <v>83.6</v>
      </c>
      <c r="K149" s="17" t="n">
        <f aca="false">'Dish Database'!K51*H149/100</f>
        <v>0.8</v>
      </c>
      <c r="L149" s="17" t="n">
        <f aca="false">'Dish Database'!L51*H149/100</f>
        <v>20</v>
      </c>
      <c r="M149" s="17" t="n">
        <f aca="false">'Dish Database'!M51*H149/100</f>
        <v>0.4</v>
      </c>
      <c r="N149" s="17" t="n">
        <f aca="false">'Dish Database'!N51*H149/100</f>
        <v>1.6</v>
      </c>
      <c r="O149" s="17" t="n">
        <f aca="false">'Dish Database'!O51*H149/100</f>
        <v>18.5</v>
      </c>
      <c r="P149" s="13" t="n">
        <f aca="false">'Dish Database'!P51*H149/100</f>
        <v>1</v>
      </c>
    </row>
    <row r="150" customFormat="false" ht="15" hidden="false" customHeight="false" outlineLevel="0" collapsed="false">
      <c r="A150" s="6" t="str">
        <f aca="false">'Dish Database'!A51</f>
        <v>D050</v>
      </c>
      <c r="B150" s="6" t="str">
        <f aca="false">'Dish Database'!B51</f>
        <v>Aamras with sugar</v>
      </c>
      <c r="C150" s="6" t="str">
        <f aca="false">'Dish Database'!D51</f>
        <v>Fruit Juices</v>
      </c>
      <c r="D150" s="6" t="str">
        <f aca="false">'Dish Database'!F51</f>
        <v>Veg</v>
      </c>
      <c r="E150" s="6" t="str">
        <f aca="false">'Dish Database'!E51</f>
        <v>West</v>
      </c>
      <c r="F150" s="6" t="s">
        <v>103</v>
      </c>
      <c r="G150" s="6" t="s">
        <v>2260</v>
      </c>
      <c r="H150" s="16" t="n">
        <v>150</v>
      </c>
      <c r="I150" s="6" t="str">
        <f aca="false">'Dish Database'!I51</f>
        <v>g</v>
      </c>
      <c r="J150" s="13" t="n">
        <f aca="false">'Dish Database'!J51*H150/100</f>
        <v>125.4</v>
      </c>
      <c r="K150" s="17" t="n">
        <f aca="false">'Dish Database'!K51*H150/100</f>
        <v>1.2</v>
      </c>
      <c r="L150" s="17" t="n">
        <f aca="false">'Dish Database'!L51*H150/100</f>
        <v>30</v>
      </c>
      <c r="M150" s="17" t="n">
        <f aca="false">'Dish Database'!M51*H150/100</f>
        <v>0.6</v>
      </c>
      <c r="N150" s="17" t="n">
        <f aca="false">'Dish Database'!N51*H150/100</f>
        <v>2.4</v>
      </c>
      <c r="O150" s="17" t="n">
        <f aca="false">'Dish Database'!O51*H150/100</f>
        <v>27.75</v>
      </c>
      <c r="P150" s="13" t="n">
        <f aca="false">'Dish Database'!P51*H150/100</f>
        <v>1.5</v>
      </c>
    </row>
    <row r="151" customFormat="false" ht="15" hidden="false" customHeight="false" outlineLevel="0" collapsed="false">
      <c r="A151" s="6" t="str">
        <f aca="false">'Dish Database'!A51</f>
        <v>D050</v>
      </c>
      <c r="B151" s="6" t="str">
        <f aca="false">'Dish Database'!B51</f>
        <v>Aamras with sugar</v>
      </c>
      <c r="C151" s="6" t="str">
        <f aca="false">'Dish Database'!D51</f>
        <v>Fruit Juices</v>
      </c>
      <c r="D151" s="6" t="str">
        <f aca="false">'Dish Database'!F51</f>
        <v>Veg</v>
      </c>
      <c r="E151" s="6" t="str">
        <f aca="false">'Dish Database'!E51</f>
        <v>West</v>
      </c>
      <c r="F151" s="6" t="s">
        <v>2246</v>
      </c>
      <c r="G151" s="6" t="s">
        <v>2261</v>
      </c>
      <c r="H151" s="16" t="n">
        <v>200</v>
      </c>
      <c r="I151" s="6" t="str">
        <f aca="false">'Dish Database'!I51</f>
        <v>g</v>
      </c>
      <c r="J151" s="13" t="n">
        <f aca="false">'Dish Database'!J51*H151/100</f>
        <v>167.2</v>
      </c>
      <c r="K151" s="17" t="n">
        <f aca="false">'Dish Database'!K51*H151/100</f>
        <v>1.6</v>
      </c>
      <c r="L151" s="17" t="n">
        <f aca="false">'Dish Database'!L51*H151/100</f>
        <v>40</v>
      </c>
      <c r="M151" s="17" t="n">
        <f aca="false">'Dish Database'!M51*H151/100</f>
        <v>0.8</v>
      </c>
      <c r="N151" s="17" t="n">
        <f aca="false">'Dish Database'!N51*H151/100</f>
        <v>3.2</v>
      </c>
      <c r="O151" s="17" t="n">
        <f aca="false">'Dish Database'!O51*H151/100</f>
        <v>37</v>
      </c>
      <c r="P151" s="13" t="n">
        <f aca="false">'Dish Database'!P51*H151/100</f>
        <v>2</v>
      </c>
    </row>
    <row r="152" customFormat="false" ht="15" hidden="false" customHeight="false" outlineLevel="0" collapsed="false">
      <c r="A152" s="6" t="str">
        <f aca="false">'Dish Database'!A52</f>
        <v>D051</v>
      </c>
      <c r="B152" s="6" t="str">
        <f aca="false">'Dish Database'!B52</f>
        <v>Guava juice</v>
      </c>
      <c r="C152" s="6" t="str">
        <f aca="false">'Dish Database'!D52</f>
        <v>Fruit Juices</v>
      </c>
      <c r="D152" s="6" t="str">
        <f aca="false">'Dish Database'!F52</f>
        <v>Veg</v>
      </c>
      <c r="E152" s="6" t="str">
        <f aca="false">'Dish Database'!E52</f>
        <v>Pan-India</v>
      </c>
      <c r="F152" s="6" t="s">
        <v>2243</v>
      </c>
      <c r="G152" s="6" t="s">
        <v>2253</v>
      </c>
      <c r="H152" s="16" t="n">
        <v>200</v>
      </c>
      <c r="I152" s="6" t="str">
        <f aca="false">'Dish Database'!I52</f>
        <v>ml</v>
      </c>
      <c r="J152" s="13" t="n">
        <f aca="false">'Dish Database'!J52*H152/100</f>
        <v>70.4</v>
      </c>
      <c r="K152" s="17" t="n">
        <f aca="false">'Dish Database'!K52*H152/100</f>
        <v>1.2</v>
      </c>
      <c r="L152" s="17" t="n">
        <f aca="false">'Dish Database'!L52*H152/100</f>
        <v>17</v>
      </c>
      <c r="M152" s="17" t="n">
        <f aca="false">'Dish Database'!M52*H152/100</f>
        <v>0.4</v>
      </c>
      <c r="N152" s="17" t="n">
        <f aca="false">'Dish Database'!N52*H152/100</f>
        <v>3</v>
      </c>
      <c r="O152" s="17" t="n">
        <f aca="false">'Dish Database'!O52*H152/100</f>
        <v>10</v>
      </c>
      <c r="P152" s="13" t="n">
        <f aca="false">'Dish Database'!P52*H152/100</f>
        <v>4</v>
      </c>
    </row>
    <row r="153" customFormat="false" ht="15" hidden="false" customHeight="false" outlineLevel="0" collapsed="false">
      <c r="A153" s="6" t="str">
        <f aca="false">'Dish Database'!A52</f>
        <v>D051</v>
      </c>
      <c r="B153" s="6" t="str">
        <f aca="false">'Dish Database'!B52</f>
        <v>Guava juice</v>
      </c>
      <c r="C153" s="6" t="str">
        <f aca="false">'Dish Database'!D52</f>
        <v>Fruit Juices</v>
      </c>
      <c r="D153" s="6" t="str">
        <f aca="false">'Dish Database'!F52</f>
        <v>Veg</v>
      </c>
      <c r="E153" s="6" t="str">
        <f aca="false">'Dish Database'!E52</f>
        <v>Pan-India</v>
      </c>
      <c r="F153" s="6" t="s">
        <v>103</v>
      </c>
      <c r="G153" s="6" t="s">
        <v>2254</v>
      </c>
      <c r="H153" s="16" t="n">
        <v>300</v>
      </c>
      <c r="I153" s="6" t="str">
        <f aca="false">'Dish Database'!I52</f>
        <v>ml</v>
      </c>
      <c r="J153" s="13" t="n">
        <f aca="false">'Dish Database'!J52*H153/100</f>
        <v>105.6</v>
      </c>
      <c r="K153" s="17" t="n">
        <f aca="false">'Dish Database'!K52*H153/100</f>
        <v>1.8</v>
      </c>
      <c r="L153" s="17" t="n">
        <f aca="false">'Dish Database'!L52*H153/100</f>
        <v>25.5</v>
      </c>
      <c r="M153" s="17" t="n">
        <f aca="false">'Dish Database'!M52*H153/100</f>
        <v>0.6</v>
      </c>
      <c r="N153" s="17" t="n">
        <f aca="false">'Dish Database'!N52*H153/100</f>
        <v>4.5</v>
      </c>
      <c r="O153" s="17" t="n">
        <f aca="false">'Dish Database'!O52*H153/100</f>
        <v>15</v>
      </c>
      <c r="P153" s="13" t="n">
        <f aca="false">'Dish Database'!P52*H153/100</f>
        <v>6</v>
      </c>
    </row>
    <row r="154" customFormat="false" ht="15" hidden="false" customHeight="false" outlineLevel="0" collapsed="false">
      <c r="A154" s="6" t="str">
        <f aca="false">'Dish Database'!A52</f>
        <v>D051</v>
      </c>
      <c r="B154" s="6" t="str">
        <f aca="false">'Dish Database'!B52</f>
        <v>Guava juice</v>
      </c>
      <c r="C154" s="6" t="str">
        <f aca="false">'Dish Database'!D52</f>
        <v>Fruit Juices</v>
      </c>
      <c r="D154" s="6" t="str">
        <f aca="false">'Dish Database'!F52</f>
        <v>Veg</v>
      </c>
      <c r="E154" s="6" t="str">
        <f aca="false">'Dish Database'!E52</f>
        <v>Pan-India</v>
      </c>
      <c r="F154" s="6" t="s">
        <v>2246</v>
      </c>
      <c r="G154" s="6" t="s">
        <v>2255</v>
      </c>
      <c r="H154" s="16" t="n">
        <v>400</v>
      </c>
      <c r="I154" s="6" t="str">
        <f aca="false">'Dish Database'!I52</f>
        <v>ml</v>
      </c>
      <c r="J154" s="13" t="n">
        <f aca="false">'Dish Database'!J52*H154/100</f>
        <v>140.8</v>
      </c>
      <c r="K154" s="17" t="n">
        <f aca="false">'Dish Database'!K52*H154/100</f>
        <v>2.4</v>
      </c>
      <c r="L154" s="17" t="n">
        <f aca="false">'Dish Database'!L52*H154/100</f>
        <v>34</v>
      </c>
      <c r="M154" s="17" t="n">
        <f aca="false">'Dish Database'!M52*H154/100</f>
        <v>0.8</v>
      </c>
      <c r="N154" s="17" t="n">
        <f aca="false">'Dish Database'!N52*H154/100</f>
        <v>6</v>
      </c>
      <c r="O154" s="17" t="n">
        <f aca="false">'Dish Database'!O52*H154/100</f>
        <v>20</v>
      </c>
      <c r="P154" s="13" t="n">
        <f aca="false">'Dish Database'!P52*H154/100</f>
        <v>8</v>
      </c>
    </row>
    <row r="155" customFormat="false" ht="15" hidden="false" customHeight="false" outlineLevel="0" collapsed="false">
      <c r="A155" s="6" t="str">
        <f aca="false">'Dish Database'!A53</f>
        <v>D052</v>
      </c>
      <c r="B155" s="6" t="str">
        <f aca="false">'Dish Database'!B53</f>
        <v>Strawberry juice</v>
      </c>
      <c r="C155" s="6" t="str">
        <f aca="false">'Dish Database'!D53</f>
        <v>Fruit Juices</v>
      </c>
      <c r="D155" s="6" t="str">
        <f aca="false">'Dish Database'!F53</f>
        <v>Veg</v>
      </c>
      <c r="E155" s="6" t="str">
        <f aca="false">'Dish Database'!E53</f>
        <v>Pan-India</v>
      </c>
      <c r="F155" s="6" t="s">
        <v>2243</v>
      </c>
      <c r="G155" s="6" t="s">
        <v>2253</v>
      </c>
      <c r="H155" s="16" t="n">
        <v>200</v>
      </c>
      <c r="I155" s="6" t="str">
        <f aca="false">'Dish Database'!I53</f>
        <v>ml</v>
      </c>
      <c r="J155" s="13" t="n">
        <f aca="false">'Dish Database'!J53*H155/100</f>
        <v>67</v>
      </c>
      <c r="K155" s="17" t="n">
        <f aca="false">'Dish Database'!K53*H155/100</f>
        <v>1.2</v>
      </c>
      <c r="L155" s="17" t="n">
        <f aca="false">'Dish Database'!L53*H155/100</f>
        <v>15.4</v>
      </c>
      <c r="M155" s="17" t="n">
        <f aca="false">'Dish Database'!M53*H155/100</f>
        <v>0.6</v>
      </c>
      <c r="N155" s="17" t="n">
        <f aca="false">'Dish Database'!N53*H155/100</f>
        <v>2.4</v>
      </c>
      <c r="O155" s="17" t="n">
        <f aca="false">'Dish Database'!O53*H155/100</f>
        <v>9.8</v>
      </c>
      <c r="P155" s="13" t="n">
        <f aca="false">'Dish Database'!P53*H155/100</f>
        <v>2</v>
      </c>
    </row>
    <row r="156" customFormat="false" ht="15" hidden="false" customHeight="false" outlineLevel="0" collapsed="false">
      <c r="A156" s="6" t="str">
        <f aca="false">'Dish Database'!A53</f>
        <v>D052</v>
      </c>
      <c r="B156" s="6" t="str">
        <f aca="false">'Dish Database'!B53</f>
        <v>Strawberry juice</v>
      </c>
      <c r="C156" s="6" t="str">
        <f aca="false">'Dish Database'!D53</f>
        <v>Fruit Juices</v>
      </c>
      <c r="D156" s="6" t="str">
        <f aca="false">'Dish Database'!F53</f>
        <v>Veg</v>
      </c>
      <c r="E156" s="6" t="str">
        <f aca="false">'Dish Database'!E53</f>
        <v>Pan-India</v>
      </c>
      <c r="F156" s="6" t="s">
        <v>103</v>
      </c>
      <c r="G156" s="6" t="s">
        <v>2254</v>
      </c>
      <c r="H156" s="16" t="n">
        <v>300</v>
      </c>
      <c r="I156" s="6" t="str">
        <f aca="false">'Dish Database'!I53</f>
        <v>ml</v>
      </c>
      <c r="J156" s="13" t="n">
        <f aca="false">'Dish Database'!J53*H156/100</f>
        <v>100.5</v>
      </c>
      <c r="K156" s="17" t="n">
        <f aca="false">'Dish Database'!K53*H156/100</f>
        <v>1.8</v>
      </c>
      <c r="L156" s="17" t="n">
        <f aca="false">'Dish Database'!L53*H156/100</f>
        <v>23.1</v>
      </c>
      <c r="M156" s="17" t="n">
        <f aca="false">'Dish Database'!M53*H156/100</f>
        <v>0.9</v>
      </c>
      <c r="N156" s="17" t="n">
        <f aca="false">'Dish Database'!N53*H156/100</f>
        <v>3.6</v>
      </c>
      <c r="O156" s="17" t="n">
        <f aca="false">'Dish Database'!O53*H156/100</f>
        <v>14.7</v>
      </c>
      <c r="P156" s="13" t="n">
        <f aca="false">'Dish Database'!P53*H156/100</f>
        <v>3</v>
      </c>
    </row>
    <row r="157" customFormat="false" ht="15" hidden="false" customHeight="false" outlineLevel="0" collapsed="false">
      <c r="A157" s="6" t="str">
        <f aca="false">'Dish Database'!A53</f>
        <v>D052</v>
      </c>
      <c r="B157" s="6" t="str">
        <f aca="false">'Dish Database'!B53</f>
        <v>Strawberry juice</v>
      </c>
      <c r="C157" s="6" t="str">
        <f aca="false">'Dish Database'!D53</f>
        <v>Fruit Juices</v>
      </c>
      <c r="D157" s="6" t="str">
        <f aca="false">'Dish Database'!F53</f>
        <v>Veg</v>
      </c>
      <c r="E157" s="6" t="str">
        <f aca="false">'Dish Database'!E53</f>
        <v>Pan-India</v>
      </c>
      <c r="F157" s="6" t="s">
        <v>2246</v>
      </c>
      <c r="G157" s="6" t="s">
        <v>2255</v>
      </c>
      <c r="H157" s="16" t="n">
        <v>400</v>
      </c>
      <c r="I157" s="6" t="str">
        <f aca="false">'Dish Database'!I53</f>
        <v>ml</v>
      </c>
      <c r="J157" s="13" t="n">
        <f aca="false">'Dish Database'!J53*H157/100</f>
        <v>134</v>
      </c>
      <c r="K157" s="17" t="n">
        <f aca="false">'Dish Database'!K53*H157/100</f>
        <v>2.4</v>
      </c>
      <c r="L157" s="17" t="n">
        <f aca="false">'Dish Database'!L53*H157/100</f>
        <v>30.8</v>
      </c>
      <c r="M157" s="17" t="n">
        <f aca="false">'Dish Database'!M53*H157/100</f>
        <v>1.2</v>
      </c>
      <c r="N157" s="17" t="n">
        <f aca="false">'Dish Database'!N53*H157/100</f>
        <v>4.8</v>
      </c>
      <c r="O157" s="17" t="n">
        <f aca="false">'Dish Database'!O53*H157/100</f>
        <v>19.6</v>
      </c>
      <c r="P157" s="13" t="n">
        <f aca="false">'Dish Database'!P53*H157/100</f>
        <v>4</v>
      </c>
    </row>
    <row r="158" customFormat="false" ht="15" hidden="false" customHeight="false" outlineLevel="0" collapsed="false">
      <c r="A158" s="6" t="str">
        <f aca="false">'Dish Database'!A54</f>
        <v>D053</v>
      </c>
      <c r="B158" s="6" t="str">
        <f aca="false">'Dish Database'!B54</f>
        <v>Kiwi juice</v>
      </c>
      <c r="C158" s="6" t="str">
        <f aca="false">'Dish Database'!D54</f>
        <v>Fruit Juices</v>
      </c>
      <c r="D158" s="6" t="str">
        <f aca="false">'Dish Database'!F54</f>
        <v>Veg</v>
      </c>
      <c r="E158" s="6" t="str">
        <f aca="false">'Dish Database'!E54</f>
        <v>Pan-India</v>
      </c>
      <c r="F158" s="6" t="s">
        <v>2243</v>
      </c>
      <c r="G158" s="6" t="s">
        <v>2253</v>
      </c>
      <c r="H158" s="16" t="n">
        <v>200</v>
      </c>
      <c r="I158" s="6" t="str">
        <f aca="false">'Dish Database'!I54</f>
        <v>ml</v>
      </c>
      <c r="J158" s="13" t="n">
        <f aca="false">'Dish Database'!J54*H158/100</f>
        <v>104.8</v>
      </c>
      <c r="K158" s="17" t="n">
        <f aca="false">'Dish Database'!K54*H158/100</f>
        <v>1.6</v>
      </c>
      <c r="L158" s="17" t="n">
        <f aca="false">'Dish Database'!L54*H158/100</f>
        <v>24</v>
      </c>
      <c r="M158" s="17" t="n">
        <f aca="false">'Dish Database'!M54*H158/100</f>
        <v>0.8</v>
      </c>
      <c r="N158" s="17" t="n">
        <f aca="false">'Dish Database'!N54*H158/100</f>
        <v>2.4</v>
      </c>
      <c r="O158" s="17" t="n">
        <f aca="false">'Dish Database'!O54*H158/100</f>
        <v>17</v>
      </c>
      <c r="P158" s="13" t="n">
        <f aca="false">'Dish Database'!P54*H158/100</f>
        <v>6</v>
      </c>
    </row>
    <row r="159" customFormat="false" ht="15" hidden="false" customHeight="false" outlineLevel="0" collapsed="false">
      <c r="A159" s="6" t="str">
        <f aca="false">'Dish Database'!A54</f>
        <v>D053</v>
      </c>
      <c r="B159" s="6" t="str">
        <f aca="false">'Dish Database'!B54</f>
        <v>Kiwi juice</v>
      </c>
      <c r="C159" s="6" t="str">
        <f aca="false">'Dish Database'!D54</f>
        <v>Fruit Juices</v>
      </c>
      <c r="D159" s="6" t="str">
        <f aca="false">'Dish Database'!F54</f>
        <v>Veg</v>
      </c>
      <c r="E159" s="6" t="str">
        <f aca="false">'Dish Database'!E54</f>
        <v>Pan-India</v>
      </c>
      <c r="F159" s="6" t="s">
        <v>103</v>
      </c>
      <c r="G159" s="6" t="s">
        <v>2254</v>
      </c>
      <c r="H159" s="16" t="n">
        <v>300</v>
      </c>
      <c r="I159" s="6" t="str">
        <f aca="false">'Dish Database'!I54</f>
        <v>ml</v>
      </c>
      <c r="J159" s="13" t="n">
        <f aca="false">'Dish Database'!J54*H159/100</f>
        <v>157.2</v>
      </c>
      <c r="K159" s="17" t="n">
        <f aca="false">'Dish Database'!K54*H159/100</f>
        <v>2.4</v>
      </c>
      <c r="L159" s="17" t="n">
        <f aca="false">'Dish Database'!L54*H159/100</f>
        <v>36</v>
      </c>
      <c r="M159" s="17" t="n">
        <f aca="false">'Dish Database'!M54*H159/100</f>
        <v>1.2</v>
      </c>
      <c r="N159" s="17" t="n">
        <f aca="false">'Dish Database'!N54*H159/100</f>
        <v>3.6</v>
      </c>
      <c r="O159" s="17" t="n">
        <f aca="false">'Dish Database'!O54*H159/100</f>
        <v>25.5</v>
      </c>
      <c r="P159" s="13" t="n">
        <f aca="false">'Dish Database'!P54*H159/100</f>
        <v>9</v>
      </c>
    </row>
    <row r="160" customFormat="false" ht="15" hidden="false" customHeight="false" outlineLevel="0" collapsed="false">
      <c r="A160" s="6" t="str">
        <f aca="false">'Dish Database'!A54</f>
        <v>D053</v>
      </c>
      <c r="B160" s="6" t="str">
        <f aca="false">'Dish Database'!B54</f>
        <v>Kiwi juice</v>
      </c>
      <c r="C160" s="6" t="str">
        <f aca="false">'Dish Database'!D54</f>
        <v>Fruit Juices</v>
      </c>
      <c r="D160" s="6" t="str">
        <f aca="false">'Dish Database'!F54</f>
        <v>Veg</v>
      </c>
      <c r="E160" s="6" t="str">
        <f aca="false">'Dish Database'!E54</f>
        <v>Pan-India</v>
      </c>
      <c r="F160" s="6" t="s">
        <v>2246</v>
      </c>
      <c r="G160" s="6" t="s">
        <v>2255</v>
      </c>
      <c r="H160" s="16" t="n">
        <v>400</v>
      </c>
      <c r="I160" s="6" t="str">
        <f aca="false">'Dish Database'!I54</f>
        <v>ml</v>
      </c>
      <c r="J160" s="13" t="n">
        <f aca="false">'Dish Database'!J54*H160/100</f>
        <v>209.6</v>
      </c>
      <c r="K160" s="17" t="n">
        <f aca="false">'Dish Database'!K54*H160/100</f>
        <v>3.2</v>
      </c>
      <c r="L160" s="17" t="n">
        <f aca="false">'Dish Database'!L54*H160/100</f>
        <v>48</v>
      </c>
      <c r="M160" s="17" t="n">
        <f aca="false">'Dish Database'!M54*H160/100</f>
        <v>1.6</v>
      </c>
      <c r="N160" s="17" t="n">
        <f aca="false">'Dish Database'!N54*H160/100</f>
        <v>4.8</v>
      </c>
      <c r="O160" s="17" t="n">
        <f aca="false">'Dish Database'!O54*H160/100</f>
        <v>34</v>
      </c>
      <c r="P160" s="13" t="n">
        <f aca="false">'Dish Database'!P54*H160/100</f>
        <v>12</v>
      </c>
    </row>
    <row r="161" customFormat="false" ht="15" hidden="false" customHeight="false" outlineLevel="0" collapsed="false">
      <c r="A161" s="6" t="str">
        <f aca="false">'Dish Database'!A55</f>
        <v>D054</v>
      </c>
      <c r="B161" s="6" t="str">
        <f aca="false">'Dish Database'!B55</f>
        <v>Litchi juice</v>
      </c>
      <c r="C161" s="6" t="str">
        <f aca="false">'Dish Database'!D55</f>
        <v>Fruit Juices</v>
      </c>
      <c r="D161" s="6" t="str">
        <f aca="false">'Dish Database'!F55</f>
        <v>Veg</v>
      </c>
      <c r="E161" s="6" t="str">
        <f aca="false">'Dish Database'!E55</f>
        <v>Pan-India</v>
      </c>
      <c r="F161" s="6" t="s">
        <v>2243</v>
      </c>
      <c r="G161" s="6" t="s">
        <v>2253</v>
      </c>
      <c r="H161" s="16" t="n">
        <v>200</v>
      </c>
      <c r="I161" s="6" t="str">
        <f aca="false">'Dish Database'!I55</f>
        <v>ml</v>
      </c>
      <c r="J161" s="13" t="n">
        <f aca="false">'Dish Database'!J55*H161/100</f>
        <v>132.2</v>
      </c>
      <c r="K161" s="17" t="n">
        <f aca="false">'Dish Database'!K55*H161/100</f>
        <v>1.2</v>
      </c>
      <c r="L161" s="17" t="n">
        <f aca="false">'Dish Database'!L55*H161/100</f>
        <v>31</v>
      </c>
      <c r="M161" s="17" t="n">
        <f aca="false">'Dish Database'!M55*H161/100</f>
        <v>0.6</v>
      </c>
      <c r="N161" s="17" t="n">
        <f aca="false">'Dish Database'!N55*H161/100</f>
        <v>1</v>
      </c>
      <c r="O161" s="17" t="n">
        <f aca="false">'Dish Database'!O55*H161/100</f>
        <v>28</v>
      </c>
      <c r="P161" s="13" t="n">
        <f aca="false">'Dish Database'!P55*H161/100</f>
        <v>2</v>
      </c>
    </row>
    <row r="162" customFormat="false" ht="15" hidden="false" customHeight="false" outlineLevel="0" collapsed="false">
      <c r="A162" s="6" t="str">
        <f aca="false">'Dish Database'!A55</f>
        <v>D054</v>
      </c>
      <c r="B162" s="6" t="str">
        <f aca="false">'Dish Database'!B55</f>
        <v>Litchi juice</v>
      </c>
      <c r="C162" s="6" t="str">
        <f aca="false">'Dish Database'!D55</f>
        <v>Fruit Juices</v>
      </c>
      <c r="D162" s="6" t="str">
        <f aca="false">'Dish Database'!F55</f>
        <v>Veg</v>
      </c>
      <c r="E162" s="6" t="str">
        <f aca="false">'Dish Database'!E55</f>
        <v>Pan-India</v>
      </c>
      <c r="F162" s="6" t="s">
        <v>103</v>
      </c>
      <c r="G162" s="6" t="s">
        <v>2254</v>
      </c>
      <c r="H162" s="16" t="n">
        <v>300</v>
      </c>
      <c r="I162" s="6" t="str">
        <f aca="false">'Dish Database'!I55</f>
        <v>ml</v>
      </c>
      <c r="J162" s="13" t="n">
        <f aca="false">'Dish Database'!J55*H162/100</f>
        <v>198.3</v>
      </c>
      <c r="K162" s="17" t="n">
        <f aca="false">'Dish Database'!K55*H162/100</f>
        <v>1.8</v>
      </c>
      <c r="L162" s="17" t="n">
        <f aca="false">'Dish Database'!L55*H162/100</f>
        <v>46.5</v>
      </c>
      <c r="M162" s="17" t="n">
        <f aca="false">'Dish Database'!M55*H162/100</f>
        <v>0.9</v>
      </c>
      <c r="N162" s="17" t="n">
        <f aca="false">'Dish Database'!N55*H162/100</f>
        <v>1.5</v>
      </c>
      <c r="O162" s="17" t="n">
        <f aca="false">'Dish Database'!O55*H162/100</f>
        <v>42</v>
      </c>
      <c r="P162" s="13" t="n">
        <f aca="false">'Dish Database'!P55*H162/100</f>
        <v>3</v>
      </c>
    </row>
    <row r="163" customFormat="false" ht="15" hidden="false" customHeight="false" outlineLevel="0" collapsed="false">
      <c r="A163" s="6" t="str">
        <f aca="false">'Dish Database'!A55</f>
        <v>D054</v>
      </c>
      <c r="B163" s="6" t="str">
        <f aca="false">'Dish Database'!B55</f>
        <v>Litchi juice</v>
      </c>
      <c r="C163" s="6" t="str">
        <f aca="false">'Dish Database'!D55</f>
        <v>Fruit Juices</v>
      </c>
      <c r="D163" s="6" t="str">
        <f aca="false">'Dish Database'!F55</f>
        <v>Veg</v>
      </c>
      <c r="E163" s="6" t="str">
        <f aca="false">'Dish Database'!E55</f>
        <v>Pan-India</v>
      </c>
      <c r="F163" s="6" t="s">
        <v>2246</v>
      </c>
      <c r="G163" s="6" t="s">
        <v>2255</v>
      </c>
      <c r="H163" s="16" t="n">
        <v>400</v>
      </c>
      <c r="I163" s="6" t="str">
        <f aca="false">'Dish Database'!I55</f>
        <v>ml</v>
      </c>
      <c r="J163" s="13" t="n">
        <f aca="false">'Dish Database'!J55*H163/100</f>
        <v>264.4</v>
      </c>
      <c r="K163" s="17" t="n">
        <f aca="false">'Dish Database'!K55*H163/100</f>
        <v>2.4</v>
      </c>
      <c r="L163" s="17" t="n">
        <f aca="false">'Dish Database'!L55*H163/100</f>
        <v>62</v>
      </c>
      <c r="M163" s="17" t="n">
        <f aca="false">'Dish Database'!M55*H163/100</f>
        <v>1.2</v>
      </c>
      <c r="N163" s="17" t="n">
        <f aca="false">'Dish Database'!N55*H163/100</f>
        <v>2</v>
      </c>
      <c r="O163" s="17" t="n">
        <f aca="false">'Dish Database'!O55*H163/100</f>
        <v>56</v>
      </c>
      <c r="P163" s="13" t="n">
        <f aca="false">'Dish Database'!P55*H163/100</f>
        <v>4</v>
      </c>
    </row>
    <row r="164" customFormat="false" ht="15" hidden="false" customHeight="false" outlineLevel="0" collapsed="false">
      <c r="A164" s="6" t="str">
        <f aca="false">'Dish Database'!A56</f>
        <v>D055</v>
      </c>
      <c r="B164" s="6" t="str">
        <f aca="false">'Dish Database'!B56</f>
        <v>Jamun juice</v>
      </c>
      <c r="C164" s="6" t="str">
        <f aca="false">'Dish Database'!D56</f>
        <v>Fruit Juices</v>
      </c>
      <c r="D164" s="6" t="str">
        <f aca="false">'Dish Database'!F56</f>
        <v>Veg</v>
      </c>
      <c r="E164" s="6" t="str">
        <f aca="false">'Dish Database'!E56</f>
        <v>Pan-India</v>
      </c>
      <c r="F164" s="6" t="s">
        <v>2243</v>
      </c>
      <c r="G164" s="6" t="s">
        <v>2253</v>
      </c>
      <c r="H164" s="16" t="n">
        <v>200</v>
      </c>
      <c r="I164" s="6" t="str">
        <f aca="false">'Dish Database'!I56</f>
        <v>ml</v>
      </c>
      <c r="J164" s="13" t="n">
        <f aca="false">'Dish Database'!J56*H164/100</f>
        <v>67.8</v>
      </c>
      <c r="K164" s="17" t="n">
        <f aca="false">'Dish Database'!K56*H164/100</f>
        <v>0.8</v>
      </c>
      <c r="L164" s="17" t="n">
        <f aca="false">'Dish Database'!L56*H164/100</f>
        <v>16</v>
      </c>
      <c r="M164" s="17" t="n">
        <f aca="false">'Dish Database'!M56*H164/100</f>
        <v>0.2</v>
      </c>
      <c r="N164" s="17" t="n">
        <f aca="false">'Dish Database'!N56*H164/100</f>
        <v>0.6</v>
      </c>
      <c r="O164" s="17" t="n">
        <f aca="false">'Dish Database'!O56*H164/100</f>
        <v>14</v>
      </c>
      <c r="P164" s="13" t="n">
        <f aca="false">'Dish Database'!P56*H164/100</f>
        <v>14</v>
      </c>
    </row>
    <row r="165" customFormat="false" ht="15" hidden="false" customHeight="false" outlineLevel="0" collapsed="false">
      <c r="A165" s="6" t="str">
        <f aca="false">'Dish Database'!A56</f>
        <v>D055</v>
      </c>
      <c r="B165" s="6" t="str">
        <f aca="false">'Dish Database'!B56</f>
        <v>Jamun juice</v>
      </c>
      <c r="C165" s="6" t="str">
        <f aca="false">'Dish Database'!D56</f>
        <v>Fruit Juices</v>
      </c>
      <c r="D165" s="6" t="str">
        <f aca="false">'Dish Database'!F56</f>
        <v>Veg</v>
      </c>
      <c r="E165" s="6" t="str">
        <f aca="false">'Dish Database'!E56</f>
        <v>Pan-India</v>
      </c>
      <c r="F165" s="6" t="s">
        <v>103</v>
      </c>
      <c r="G165" s="6" t="s">
        <v>2254</v>
      </c>
      <c r="H165" s="16" t="n">
        <v>300</v>
      </c>
      <c r="I165" s="6" t="str">
        <f aca="false">'Dish Database'!I56</f>
        <v>ml</v>
      </c>
      <c r="J165" s="13" t="n">
        <f aca="false">'Dish Database'!J56*H165/100</f>
        <v>101.7</v>
      </c>
      <c r="K165" s="17" t="n">
        <f aca="false">'Dish Database'!K56*H165/100</f>
        <v>1.2</v>
      </c>
      <c r="L165" s="17" t="n">
        <f aca="false">'Dish Database'!L56*H165/100</f>
        <v>24</v>
      </c>
      <c r="M165" s="17" t="n">
        <f aca="false">'Dish Database'!M56*H165/100</f>
        <v>0.3</v>
      </c>
      <c r="N165" s="17" t="n">
        <f aca="false">'Dish Database'!N56*H165/100</f>
        <v>0.9</v>
      </c>
      <c r="O165" s="17" t="n">
        <f aca="false">'Dish Database'!O56*H165/100</f>
        <v>21</v>
      </c>
      <c r="P165" s="13" t="n">
        <f aca="false">'Dish Database'!P56*H165/100</f>
        <v>21</v>
      </c>
    </row>
    <row r="166" customFormat="false" ht="15" hidden="false" customHeight="false" outlineLevel="0" collapsed="false">
      <c r="A166" s="6" t="str">
        <f aca="false">'Dish Database'!A56</f>
        <v>D055</v>
      </c>
      <c r="B166" s="6" t="str">
        <f aca="false">'Dish Database'!B56</f>
        <v>Jamun juice</v>
      </c>
      <c r="C166" s="6" t="str">
        <f aca="false">'Dish Database'!D56</f>
        <v>Fruit Juices</v>
      </c>
      <c r="D166" s="6" t="str">
        <f aca="false">'Dish Database'!F56</f>
        <v>Veg</v>
      </c>
      <c r="E166" s="6" t="str">
        <f aca="false">'Dish Database'!E56</f>
        <v>Pan-India</v>
      </c>
      <c r="F166" s="6" t="s">
        <v>2246</v>
      </c>
      <c r="G166" s="6" t="s">
        <v>2255</v>
      </c>
      <c r="H166" s="16" t="n">
        <v>400</v>
      </c>
      <c r="I166" s="6" t="str">
        <f aca="false">'Dish Database'!I56</f>
        <v>ml</v>
      </c>
      <c r="J166" s="13" t="n">
        <f aca="false">'Dish Database'!J56*H166/100</f>
        <v>135.6</v>
      </c>
      <c r="K166" s="17" t="n">
        <f aca="false">'Dish Database'!K56*H166/100</f>
        <v>1.6</v>
      </c>
      <c r="L166" s="17" t="n">
        <f aca="false">'Dish Database'!L56*H166/100</f>
        <v>32</v>
      </c>
      <c r="M166" s="17" t="n">
        <f aca="false">'Dish Database'!M56*H166/100</f>
        <v>0.4</v>
      </c>
      <c r="N166" s="17" t="n">
        <f aca="false">'Dish Database'!N56*H166/100</f>
        <v>1.2</v>
      </c>
      <c r="O166" s="17" t="n">
        <f aca="false">'Dish Database'!O56*H166/100</f>
        <v>28</v>
      </c>
      <c r="P166" s="13" t="n">
        <f aca="false">'Dish Database'!P56*H166/100</f>
        <v>28</v>
      </c>
    </row>
    <row r="167" customFormat="false" ht="15" hidden="false" customHeight="false" outlineLevel="0" collapsed="false">
      <c r="A167" s="6" t="str">
        <f aca="false">'Dish Database'!A57</f>
        <v>D056</v>
      </c>
      <c r="B167" s="6" t="str">
        <f aca="false">'Dish Database'!B57</f>
        <v>Pear juice</v>
      </c>
      <c r="C167" s="6" t="str">
        <f aca="false">'Dish Database'!D57</f>
        <v>Fruit Juices</v>
      </c>
      <c r="D167" s="6" t="str">
        <f aca="false">'Dish Database'!F57</f>
        <v>Veg</v>
      </c>
      <c r="E167" s="6" t="str">
        <f aca="false">'Dish Database'!E57</f>
        <v>Pan-India</v>
      </c>
      <c r="F167" s="6" t="s">
        <v>2243</v>
      </c>
      <c r="G167" s="6" t="s">
        <v>2253</v>
      </c>
      <c r="H167" s="16" t="n">
        <v>200</v>
      </c>
      <c r="I167" s="6" t="str">
        <f aca="false">'Dish Database'!I57</f>
        <v>ml</v>
      </c>
      <c r="J167" s="13" t="n">
        <f aca="false">'Dish Database'!J57*H167/100</f>
        <v>97.4</v>
      </c>
      <c r="K167" s="17" t="n">
        <f aca="false">'Dish Database'!K57*H167/100</f>
        <v>0.2</v>
      </c>
      <c r="L167" s="17" t="n">
        <f aca="false">'Dish Database'!L57*H167/100</f>
        <v>24</v>
      </c>
      <c r="M167" s="17" t="n">
        <f aca="false">'Dish Database'!M57*H167/100</f>
        <v>0.2</v>
      </c>
      <c r="N167" s="17" t="n">
        <f aca="false">'Dish Database'!N57*H167/100</f>
        <v>0.6</v>
      </c>
      <c r="O167" s="17" t="n">
        <f aca="false">'Dish Database'!O57*H167/100</f>
        <v>20</v>
      </c>
      <c r="P167" s="13" t="n">
        <f aca="false">'Dish Database'!P57*H167/100</f>
        <v>8</v>
      </c>
    </row>
    <row r="168" customFormat="false" ht="15" hidden="false" customHeight="false" outlineLevel="0" collapsed="false">
      <c r="A168" s="6" t="str">
        <f aca="false">'Dish Database'!A57</f>
        <v>D056</v>
      </c>
      <c r="B168" s="6" t="str">
        <f aca="false">'Dish Database'!B57</f>
        <v>Pear juice</v>
      </c>
      <c r="C168" s="6" t="str">
        <f aca="false">'Dish Database'!D57</f>
        <v>Fruit Juices</v>
      </c>
      <c r="D168" s="6" t="str">
        <f aca="false">'Dish Database'!F57</f>
        <v>Veg</v>
      </c>
      <c r="E168" s="6" t="str">
        <f aca="false">'Dish Database'!E57</f>
        <v>Pan-India</v>
      </c>
      <c r="F168" s="6" t="s">
        <v>103</v>
      </c>
      <c r="G168" s="6" t="s">
        <v>2254</v>
      </c>
      <c r="H168" s="16" t="n">
        <v>300</v>
      </c>
      <c r="I168" s="6" t="str">
        <f aca="false">'Dish Database'!I57</f>
        <v>ml</v>
      </c>
      <c r="J168" s="13" t="n">
        <f aca="false">'Dish Database'!J57*H168/100</f>
        <v>146.1</v>
      </c>
      <c r="K168" s="17" t="n">
        <f aca="false">'Dish Database'!K57*H168/100</f>
        <v>0.3</v>
      </c>
      <c r="L168" s="17" t="n">
        <f aca="false">'Dish Database'!L57*H168/100</f>
        <v>36</v>
      </c>
      <c r="M168" s="17" t="n">
        <f aca="false">'Dish Database'!M57*H168/100</f>
        <v>0.3</v>
      </c>
      <c r="N168" s="17" t="n">
        <f aca="false">'Dish Database'!N57*H168/100</f>
        <v>0.9</v>
      </c>
      <c r="O168" s="17" t="n">
        <f aca="false">'Dish Database'!O57*H168/100</f>
        <v>30</v>
      </c>
      <c r="P168" s="13" t="n">
        <f aca="false">'Dish Database'!P57*H168/100</f>
        <v>12</v>
      </c>
    </row>
    <row r="169" customFormat="false" ht="15" hidden="false" customHeight="false" outlineLevel="0" collapsed="false">
      <c r="A169" s="6" t="str">
        <f aca="false">'Dish Database'!A57</f>
        <v>D056</v>
      </c>
      <c r="B169" s="6" t="str">
        <f aca="false">'Dish Database'!B57</f>
        <v>Pear juice</v>
      </c>
      <c r="C169" s="6" t="str">
        <f aca="false">'Dish Database'!D57</f>
        <v>Fruit Juices</v>
      </c>
      <c r="D169" s="6" t="str">
        <f aca="false">'Dish Database'!F57</f>
        <v>Veg</v>
      </c>
      <c r="E169" s="6" t="str">
        <f aca="false">'Dish Database'!E57</f>
        <v>Pan-India</v>
      </c>
      <c r="F169" s="6" t="s">
        <v>2246</v>
      </c>
      <c r="G169" s="6" t="s">
        <v>2255</v>
      </c>
      <c r="H169" s="16" t="n">
        <v>400</v>
      </c>
      <c r="I169" s="6" t="str">
        <f aca="false">'Dish Database'!I57</f>
        <v>ml</v>
      </c>
      <c r="J169" s="13" t="n">
        <f aca="false">'Dish Database'!J57*H169/100</f>
        <v>194.8</v>
      </c>
      <c r="K169" s="17" t="n">
        <f aca="false">'Dish Database'!K57*H169/100</f>
        <v>0.4</v>
      </c>
      <c r="L169" s="17" t="n">
        <f aca="false">'Dish Database'!L57*H169/100</f>
        <v>48</v>
      </c>
      <c r="M169" s="17" t="n">
        <f aca="false">'Dish Database'!M57*H169/100</f>
        <v>0.4</v>
      </c>
      <c r="N169" s="17" t="n">
        <f aca="false">'Dish Database'!N57*H169/100</f>
        <v>1.2</v>
      </c>
      <c r="O169" s="17" t="n">
        <f aca="false">'Dish Database'!O57*H169/100</f>
        <v>40</v>
      </c>
      <c r="P169" s="13" t="n">
        <f aca="false">'Dish Database'!P57*H169/100</f>
        <v>16</v>
      </c>
    </row>
    <row r="170" customFormat="false" ht="15" hidden="false" customHeight="false" outlineLevel="0" collapsed="false">
      <c r="A170" s="6" t="str">
        <f aca="false">'Dish Database'!A58</f>
        <v>D057</v>
      </c>
      <c r="B170" s="6" t="str">
        <f aca="false">'Dish Database'!B58</f>
        <v>Plum juice</v>
      </c>
      <c r="C170" s="6" t="str">
        <f aca="false">'Dish Database'!D58</f>
        <v>Fruit Juices</v>
      </c>
      <c r="D170" s="6" t="str">
        <f aca="false">'Dish Database'!F58</f>
        <v>Veg</v>
      </c>
      <c r="E170" s="6" t="str">
        <f aca="false">'Dish Database'!E58</f>
        <v>Pan-India</v>
      </c>
      <c r="F170" s="6" t="s">
        <v>2243</v>
      </c>
      <c r="G170" s="6" t="s">
        <v>2253</v>
      </c>
      <c r="H170" s="16" t="n">
        <v>200</v>
      </c>
      <c r="I170" s="6" t="str">
        <f aca="false">'Dish Database'!I58</f>
        <v>ml</v>
      </c>
      <c r="J170" s="13" t="n">
        <f aca="false">'Dish Database'!J58*H170/100</f>
        <v>93.2</v>
      </c>
      <c r="K170" s="17" t="n">
        <f aca="false">'Dish Database'!K58*H170/100</f>
        <v>0.8</v>
      </c>
      <c r="L170" s="17" t="n">
        <f aca="false">'Dish Database'!L58*H170/100</f>
        <v>22</v>
      </c>
      <c r="M170" s="17" t="n">
        <f aca="false">'Dish Database'!M58*H170/100</f>
        <v>0.4</v>
      </c>
      <c r="N170" s="17" t="n">
        <f aca="false">'Dish Database'!N58*H170/100</f>
        <v>0.8</v>
      </c>
      <c r="O170" s="17" t="n">
        <f aca="false">'Dish Database'!O58*H170/100</f>
        <v>20</v>
      </c>
      <c r="P170" s="13" t="n">
        <f aca="false">'Dish Database'!P58*H170/100</f>
        <v>2</v>
      </c>
    </row>
    <row r="171" customFormat="false" ht="15" hidden="false" customHeight="false" outlineLevel="0" collapsed="false">
      <c r="A171" s="6" t="str">
        <f aca="false">'Dish Database'!A58</f>
        <v>D057</v>
      </c>
      <c r="B171" s="6" t="str">
        <f aca="false">'Dish Database'!B58</f>
        <v>Plum juice</v>
      </c>
      <c r="C171" s="6" t="str">
        <f aca="false">'Dish Database'!D58</f>
        <v>Fruit Juices</v>
      </c>
      <c r="D171" s="6" t="str">
        <f aca="false">'Dish Database'!F58</f>
        <v>Veg</v>
      </c>
      <c r="E171" s="6" t="str">
        <f aca="false">'Dish Database'!E58</f>
        <v>Pan-India</v>
      </c>
      <c r="F171" s="6" t="s">
        <v>103</v>
      </c>
      <c r="G171" s="6" t="s">
        <v>2254</v>
      </c>
      <c r="H171" s="16" t="n">
        <v>300</v>
      </c>
      <c r="I171" s="6" t="str">
        <f aca="false">'Dish Database'!I58</f>
        <v>ml</v>
      </c>
      <c r="J171" s="13" t="n">
        <f aca="false">'Dish Database'!J58*H171/100</f>
        <v>139.8</v>
      </c>
      <c r="K171" s="17" t="n">
        <f aca="false">'Dish Database'!K58*H171/100</f>
        <v>1.2</v>
      </c>
      <c r="L171" s="17" t="n">
        <f aca="false">'Dish Database'!L58*H171/100</f>
        <v>33</v>
      </c>
      <c r="M171" s="17" t="n">
        <f aca="false">'Dish Database'!M58*H171/100</f>
        <v>0.6</v>
      </c>
      <c r="N171" s="17" t="n">
        <f aca="false">'Dish Database'!N58*H171/100</f>
        <v>1.2</v>
      </c>
      <c r="O171" s="17" t="n">
        <f aca="false">'Dish Database'!O58*H171/100</f>
        <v>30</v>
      </c>
      <c r="P171" s="13" t="n">
        <f aca="false">'Dish Database'!P58*H171/100</f>
        <v>3</v>
      </c>
    </row>
    <row r="172" customFormat="false" ht="15" hidden="false" customHeight="false" outlineLevel="0" collapsed="false">
      <c r="A172" s="6" t="str">
        <f aca="false">'Dish Database'!A58</f>
        <v>D057</v>
      </c>
      <c r="B172" s="6" t="str">
        <f aca="false">'Dish Database'!B58</f>
        <v>Plum juice</v>
      </c>
      <c r="C172" s="6" t="str">
        <f aca="false">'Dish Database'!D58</f>
        <v>Fruit Juices</v>
      </c>
      <c r="D172" s="6" t="str">
        <f aca="false">'Dish Database'!F58</f>
        <v>Veg</v>
      </c>
      <c r="E172" s="6" t="str">
        <f aca="false">'Dish Database'!E58</f>
        <v>Pan-India</v>
      </c>
      <c r="F172" s="6" t="s">
        <v>2246</v>
      </c>
      <c r="G172" s="6" t="s">
        <v>2255</v>
      </c>
      <c r="H172" s="16" t="n">
        <v>400</v>
      </c>
      <c r="I172" s="6" t="str">
        <f aca="false">'Dish Database'!I58</f>
        <v>ml</v>
      </c>
      <c r="J172" s="13" t="n">
        <f aca="false">'Dish Database'!J58*H172/100</f>
        <v>186.4</v>
      </c>
      <c r="K172" s="17" t="n">
        <f aca="false">'Dish Database'!K58*H172/100</f>
        <v>1.6</v>
      </c>
      <c r="L172" s="17" t="n">
        <f aca="false">'Dish Database'!L58*H172/100</f>
        <v>44</v>
      </c>
      <c r="M172" s="17" t="n">
        <f aca="false">'Dish Database'!M58*H172/100</f>
        <v>0.8</v>
      </c>
      <c r="N172" s="17" t="n">
        <f aca="false">'Dish Database'!N58*H172/100</f>
        <v>1.6</v>
      </c>
      <c r="O172" s="17" t="n">
        <f aca="false">'Dish Database'!O58*H172/100</f>
        <v>40</v>
      </c>
      <c r="P172" s="13" t="n">
        <f aca="false">'Dish Database'!P58*H172/100</f>
        <v>4</v>
      </c>
    </row>
    <row r="173" customFormat="false" ht="15" hidden="false" customHeight="false" outlineLevel="0" collapsed="false">
      <c r="A173" s="6" t="str">
        <f aca="false">'Dish Database'!A59</f>
        <v>D058</v>
      </c>
      <c r="B173" s="6" t="str">
        <f aca="false">'Dish Database'!B59</f>
        <v>Peach juice</v>
      </c>
      <c r="C173" s="6" t="str">
        <f aca="false">'Dish Database'!D59</f>
        <v>Fruit Juices</v>
      </c>
      <c r="D173" s="6" t="str">
        <f aca="false">'Dish Database'!F59</f>
        <v>Veg</v>
      </c>
      <c r="E173" s="6" t="str">
        <f aca="false">'Dish Database'!E59</f>
        <v>Pan-India</v>
      </c>
      <c r="F173" s="6" t="s">
        <v>2243</v>
      </c>
      <c r="G173" s="6" t="s">
        <v>2253</v>
      </c>
      <c r="H173" s="16" t="n">
        <v>200</v>
      </c>
      <c r="I173" s="6" t="str">
        <f aca="false">'Dish Database'!I59</f>
        <v>ml</v>
      </c>
      <c r="J173" s="13" t="n">
        <f aca="false">'Dish Database'!J59*H173/100</f>
        <v>82.4</v>
      </c>
      <c r="K173" s="17" t="n">
        <f aca="false">'Dish Database'!K59*H173/100</f>
        <v>1.2</v>
      </c>
      <c r="L173" s="17" t="n">
        <f aca="false">'Dish Database'!L59*H173/100</f>
        <v>19</v>
      </c>
      <c r="M173" s="17" t="n">
        <f aca="false">'Dish Database'!M59*H173/100</f>
        <v>0.4</v>
      </c>
      <c r="N173" s="17" t="n">
        <f aca="false">'Dish Database'!N59*H173/100</f>
        <v>1</v>
      </c>
      <c r="O173" s="17" t="n">
        <f aca="false">'Dish Database'!O59*H173/100</f>
        <v>16.8</v>
      </c>
      <c r="P173" s="13" t="n">
        <f aca="false">'Dish Database'!P59*H173/100</f>
        <v>2</v>
      </c>
    </row>
    <row r="174" customFormat="false" ht="15" hidden="false" customHeight="false" outlineLevel="0" collapsed="false">
      <c r="A174" s="6" t="str">
        <f aca="false">'Dish Database'!A59</f>
        <v>D058</v>
      </c>
      <c r="B174" s="6" t="str">
        <f aca="false">'Dish Database'!B59</f>
        <v>Peach juice</v>
      </c>
      <c r="C174" s="6" t="str">
        <f aca="false">'Dish Database'!D59</f>
        <v>Fruit Juices</v>
      </c>
      <c r="D174" s="6" t="str">
        <f aca="false">'Dish Database'!F59</f>
        <v>Veg</v>
      </c>
      <c r="E174" s="6" t="str">
        <f aca="false">'Dish Database'!E59</f>
        <v>Pan-India</v>
      </c>
      <c r="F174" s="6" t="s">
        <v>103</v>
      </c>
      <c r="G174" s="6" t="s">
        <v>2254</v>
      </c>
      <c r="H174" s="16" t="n">
        <v>300</v>
      </c>
      <c r="I174" s="6" t="str">
        <f aca="false">'Dish Database'!I59</f>
        <v>ml</v>
      </c>
      <c r="J174" s="13" t="n">
        <f aca="false">'Dish Database'!J59*H174/100</f>
        <v>123.6</v>
      </c>
      <c r="K174" s="17" t="n">
        <f aca="false">'Dish Database'!K59*H174/100</f>
        <v>1.8</v>
      </c>
      <c r="L174" s="17" t="n">
        <f aca="false">'Dish Database'!L59*H174/100</f>
        <v>28.5</v>
      </c>
      <c r="M174" s="17" t="n">
        <f aca="false">'Dish Database'!M59*H174/100</f>
        <v>0.6</v>
      </c>
      <c r="N174" s="17" t="n">
        <f aca="false">'Dish Database'!N59*H174/100</f>
        <v>1.5</v>
      </c>
      <c r="O174" s="17" t="n">
        <f aca="false">'Dish Database'!O59*H174/100</f>
        <v>25.2</v>
      </c>
      <c r="P174" s="13" t="n">
        <f aca="false">'Dish Database'!P59*H174/100</f>
        <v>3</v>
      </c>
    </row>
    <row r="175" customFormat="false" ht="15" hidden="false" customHeight="false" outlineLevel="0" collapsed="false">
      <c r="A175" s="6" t="str">
        <f aca="false">'Dish Database'!A59</f>
        <v>D058</v>
      </c>
      <c r="B175" s="6" t="str">
        <f aca="false">'Dish Database'!B59</f>
        <v>Peach juice</v>
      </c>
      <c r="C175" s="6" t="str">
        <f aca="false">'Dish Database'!D59</f>
        <v>Fruit Juices</v>
      </c>
      <c r="D175" s="6" t="str">
        <f aca="false">'Dish Database'!F59</f>
        <v>Veg</v>
      </c>
      <c r="E175" s="6" t="str">
        <f aca="false">'Dish Database'!E59</f>
        <v>Pan-India</v>
      </c>
      <c r="F175" s="6" t="s">
        <v>2246</v>
      </c>
      <c r="G175" s="6" t="s">
        <v>2255</v>
      </c>
      <c r="H175" s="16" t="n">
        <v>400</v>
      </c>
      <c r="I175" s="6" t="str">
        <f aca="false">'Dish Database'!I59</f>
        <v>ml</v>
      </c>
      <c r="J175" s="13" t="n">
        <f aca="false">'Dish Database'!J59*H175/100</f>
        <v>164.8</v>
      </c>
      <c r="K175" s="17" t="n">
        <f aca="false">'Dish Database'!K59*H175/100</f>
        <v>2.4</v>
      </c>
      <c r="L175" s="17" t="n">
        <f aca="false">'Dish Database'!L59*H175/100</f>
        <v>38</v>
      </c>
      <c r="M175" s="17" t="n">
        <f aca="false">'Dish Database'!M59*H175/100</f>
        <v>0.8</v>
      </c>
      <c r="N175" s="17" t="n">
        <f aca="false">'Dish Database'!N59*H175/100</f>
        <v>2</v>
      </c>
      <c r="O175" s="17" t="n">
        <f aca="false">'Dish Database'!O59*H175/100</f>
        <v>33.6</v>
      </c>
      <c r="P175" s="13" t="n">
        <f aca="false">'Dish Database'!P59*H175/100</f>
        <v>4</v>
      </c>
    </row>
    <row r="176" customFormat="false" ht="15" hidden="false" customHeight="false" outlineLevel="0" collapsed="false">
      <c r="A176" s="6" t="str">
        <f aca="false">'Dish Database'!A60</f>
        <v>D059</v>
      </c>
      <c r="B176" s="6" t="str">
        <f aca="false">'Dish Database'!B60</f>
        <v>Cranberry juice (unsweetened)</v>
      </c>
      <c r="C176" s="6" t="str">
        <f aca="false">'Dish Database'!D60</f>
        <v>Fruit Juices</v>
      </c>
      <c r="D176" s="6" t="str">
        <f aca="false">'Dish Database'!F60</f>
        <v>Veg</v>
      </c>
      <c r="E176" s="6" t="str">
        <f aca="false">'Dish Database'!E60</f>
        <v>Pan-India</v>
      </c>
      <c r="F176" s="6" t="s">
        <v>2243</v>
      </c>
      <c r="G176" s="6" t="s">
        <v>2253</v>
      </c>
      <c r="H176" s="16" t="n">
        <v>200</v>
      </c>
      <c r="I176" s="6" t="str">
        <f aca="false">'Dish Database'!I60</f>
        <v>ml</v>
      </c>
      <c r="J176" s="13" t="n">
        <f aca="false">'Dish Database'!J60*H176/100</f>
        <v>102.2</v>
      </c>
      <c r="K176" s="17" t="n">
        <f aca="false">'Dish Database'!K60*H176/100</f>
        <v>0.8</v>
      </c>
      <c r="L176" s="17" t="n">
        <f aca="false">'Dish Database'!L60*H176/100</f>
        <v>24.4</v>
      </c>
      <c r="M176" s="17" t="n">
        <f aca="false">'Dish Database'!M60*H176/100</f>
        <v>0.2</v>
      </c>
      <c r="N176" s="17" t="n">
        <f aca="false">'Dish Database'!N60*H176/100</f>
        <v>0.2</v>
      </c>
      <c r="O176" s="17" t="n">
        <f aca="false">'Dish Database'!O60*H176/100</f>
        <v>24.2</v>
      </c>
      <c r="P176" s="13" t="n">
        <f aca="false">'Dish Database'!P60*H176/100</f>
        <v>10</v>
      </c>
    </row>
    <row r="177" customFormat="false" ht="15" hidden="false" customHeight="false" outlineLevel="0" collapsed="false">
      <c r="A177" s="6" t="str">
        <f aca="false">'Dish Database'!A60</f>
        <v>D059</v>
      </c>
      <c r="B177" s="6" t="str">
        <f aca="false">'Dish Database'!B60</f>
        <v>Cranberry juice (unsweetened)</v>
      </c>
      <c r="C177" s="6" t="str">
        <f aca="false">'Dish Database'!D60</f>
        <v>Fruit Juices</v>
      </c>
      <c r="D177" s="6" t="str">
        <f aca="false">'Dish Database'!F60</f>
        <v>Veg</v>
      </c>
      <c r="E177" s="6" t="str">
        <f aca="false">'Dish Database'!E60</f>
        <v>Pan-India</v>
      </c>
      <c r="F177" s="6" t="s">
        <v>103</v>
      </c>
      <c r="G177" s="6" t="s">
        <v>2254</v>
      </c>
      <c r="H177" s="16" t="n">
        <v>300</v>
      </c>
      <c r="I177" s="6" t="str">
        <f aca="false">'Dish Database'!I60</f>
        <v>ml</v>
      </c>
      <c r="J177" s="13" t="n">
        <f aca="false">'Dish Database'!J60*H177/100</f>
        <v>153.3</v>
      </c>
      <c r="K177" s="17" t="n">
        <f aca="false">'Dish Database'!K60*H177/100</f>
        <v>1.2</v>
      </c>
      <c r="L177" s="17" t="n">
        <f aca="false">'Dish Database'!L60*H177/100</f>
        <v>36.6</v>
      </c>
      <c r="M177" s="17" t="n">
        <f aca="false">'Dish Database'!M60*H177/100</f>
        <v>0.3</v>
      </c>
      <c r="N177" s="17" t="n">
        <f aca="false">'Dish Database'!N60*H177/100</f>
        <v>0.3</v>
      </c>
      <c r="O177" s="17" t="n">
        <f aca="false">'Dish Database'!O60*H177/100</f>
        <v>36.3</v>
      </c>
      <c r="P177" s="13" t="n">
        <f aca="false">'Dish Database'!P60*H177/100</f>
        <v>15</v>
      </c>
    </row>
    <row r="178" customFormat="false" ht="15" hidden="false" customHeight="false" outlineLevel="0" collapsed="false">
      <c r="A178" s="6" t="str">
        <f aca="false">'Dish Database'!A60</f>
        <v>D059</v>
      </c>
      <c r="B178" s="6" t="str">
        <f aca="false">'Dish Database'!B60</f>
        <v>Cranberry juice (unsweetened)</v>
      </c>
      <c r="C178" s="6" t="str">
        <f aca="false">'Dish Database'!D60</f>
        <v>Fruit Juices</v>
      </c>
      <c r="D178" s="6" t="str">
        <f aca="false">'Dish Database'!F60</f>
        <v>Veg</v>
      </c>
      <c r="E178" s="6" t="str">
        <f aca="false">'Dish Database'!E60</f>
        <v>Pan-India</v>
      </c>
      <c r="F178" s="6" t="s">
        <v>2246</v>
      </c>
      <c r="G178" s="6" t="s">
        <v>2255</v>
      </c>
      <c r="H178" s="16" t="n">
        <v>400</v>
      </c>
      <c r="I178" s="6" t="str">
        <f aca="false">'Dish Database'!I60</f>
        <v>ml</v>
      </c>
      <c r="J178" s="13" t="n">
        <f aca="false">'Dish Database'!J60*H178/100</f>
        <v>204.4</v>
      </c>
      <c r="K178" s="17" t="n">
        <f aca="false">'Dish Database'!K60*H178/100</f>
        <v>1.6</v>
      </c>
      <c r="L178" s="17" t="n">
        <f aca="false">'Dish Database'!L60*H178/100</f>
        <v>48.8</v>
      </c>
      <c r="M178" s="17" t="n">
        <f aca="false">'Dish Database'!M60*H178/100</f>
        <v>0.4</v>
      </c>
      <c r="N178" s="17" t="n">
        <f aca="false">'Dish Database'!N60*H178/100</f>
        <v>0.4</v>
      </c>
      <c r="O178" s="17" t="n">
        <f aca="false">'Dish Database'!O60*H178/100</f>
        <v>48.4</v>
      </c>
      <c r="P178" s="13" t="n">
        <f aca="false">'Dish Database'!P60*H178/100</f>
        <v>20</v>
      </c>
    </row>
    <row r="179" customFormat="false" ht="15" hidden="false" customHeight="false" outlineLevel="0" collapsed="false">
      <c r="A179" s="6" t="str">
        <f aca="false">'Dish Database'!A61</f>
        <v>D060</v>
      </c>
      <c r="B179" s="6" t="str">
        <f aca="false">'Dish Database'!B61</f>
        <v>Mixed fruit juice</v>
      </c>
      <c r="C179" s="6" t="str">
        <f aca="false">'Dish Database'!D61</f>
        <v>Fruit Juices</v>
      </c>
      <c r="D179" s="6" t="str">
        <f aca="false">'Dish Database'!F61</f>
        <v>Veg</v>
      </c>
      <c r="E179" s="6" t="str">
        <f aca="false">'Dish Database'!E61</f>
        <v>Pan-India</v>
      </c>
      <c r="F179" s="6" t="s">
        <v>2243</v>
      </c>
      <c r="G179" s="6" t="s">
        <v>2253</v>
      </c>
      <c r="H179" s="16" t="n">
        <v>200</v>
      </c>
      <c r="I179" s="6" t="str">
        <f aca="false">'Dish Database'!I61</f>
        <v>ml</v>
      </c>
      <c r="J179" s="13" t="n">
        <f aca="false">'Dish Database'!J61*H179/100</f>
        <v>100</v>
      </c>
      <c r="K179" s="17" t="n">
        <f aca="false">'Dish Database'!K61*H179/100</f>
        <v>0.8</v>
      </c>
      <c r="L179" s="17" t="n">
        <f aca="false">'Dish Database'!L61*H179/100</f>
        <v>23.6</v>
      </c>
      <c r="M179" s="17" t="n">
        <f aca="false">'Dish Database'!M61*H179/100</f>
        <v>0.4</v>
      </c>
      <c r="N179" s="17" t="n">
        <f aca="false">'Dish Database'!N61*H179/100</f>
        <v>0.6</v>
      </c>
      <c r="O179" s="17" t="n">
        <f aca="false">'Dish Database'!O61*H179/100</f>
        <v>21</v>
      </c>
      <c r="P179" s="13" t="n">
        <f aca="false">'Dish Database'!P61*H179/100</f>
        <v>6</v>
      </c>
    </row>
    <row r="180" customFormat="false" ht="15" hidden="false" customHeight="false" outlineLevel="0" collapsed="false">
      <c r="A180" s="6" t="str">
        <f aca="false">'Dish Database'!A61</f>
        <v>D060</v>
      </c>
      <c r="B180" s="6" t="str">
        <f aca="false">'Dish Database'!B61</f>
        <v>Mixed fruit juice</v>
      </c>
      <c r="C180" s="6" t="str">
        <f aca="false">'Dish Database'!D61</f>
        <v>Fruit Juices</v>
      </c>
      <c r="D180" s="6" t="str">
        <f aca="false">'Dish Database'!F61</f>
        <v>Veg</v>
      </c>
      <c r="E180" s="6" t="str">
        <f aca="false">'Dish Database'!E61</f>
        <v>Pan-India</v>
      </c>
      <c r="F180" s="6" t="s">
        <v>103</v>
      </c>
      <c r="G180" s="6" t="s">
        <v>2254</v>
      </c>
      <c r="H180" s="16" t="n">
        <v>300</v>
      </c>
      <c r="I180" s="6" t="str">
        <f aca="false">'Dish Database'!I61</f>
        <v>ml</v>
      </c>
      <c r="J180" s="13" t="n">
        <f aca="false">'Dish Database'!J61*H180/100</f>
        <v>150</v>
      </c>
      <c r="K180" s="17" t="n">
        <f aca="false">'Dish Database'!K61*H180/100</f>
        <v>1.2</v>
      </c>
      <c r="L180" s="17" t="n">
        <f aca="false">'Dish Database'!L61*H180/100</f>
        <v>35.4</v>
      </c>
      <c r="M180" s="17" t="n">
        <f aca="false">'Dish Database'!M61*H180/100</f>
        <v>0.6</v>
      </c>
      <c r="N180" s="17" t="n">
        <f aca="false">'Dish Database'!N61*H180/100</f>
        <v>0.9</v>
      </c>
      <c r="O180" s="17" t="n">
        <f aca="false">'Dish Database'!O61*H180/100</f>
        <v>31.5</v>
      </c>
      <c r="P180" s="13" t="n">
        <f aca="false">'Dish Database'!P61*H180/100</f>
        <v>9</v>
      </c>
    </row>
    <row r="181" customFormat="false" ht="15" hidden="false" customHeight="false" outlineLevel="0" collapsed="false">
      <c r="A181" s="6" t="str">
        <f aca="false">'Dish Database'!A61</f>
        <v>D060</v>
      </c>
      <c r="B181" s="6" t="str">
        <f aca="false">'Dish Database'!B61</f>
        <v>Mixed fruit juice</v>
      </c>
      <c r="C181" s="6" t="str">
        <f aca="false">'Dish Database'!D61</f>
        <v>Fruit Juices</v>
      </c>
      <c r="D181" s="6" t="str">
        <f aca="false">'Dish Database'!F61</f>
        <v>Veg</v>
      </c>
      <c r="E181" s="6" t="str">
        <f aca="false">'Dish Database'!E61</f>
        <v>Pan-India</v>
      </c>
      <c r="F181" s="6" t="s">
        <v>2246</v>
      </c>
      <c r="G181" s="6" t="s">
        <v>2255</v>
      </c>
      <c r="H181" s="16" t="n">
        <v>400</v>
      </c>
      <c r="I181" s="6" t="str">
        <f aca="false">'Dish Database'!I61</f>
        <v>ml</v>
      </c>
      <c r="J181" s="13" t="n">
        <f aca="false">'Dish Database'!J61*H181/100</f>
        <v>200</v>
      </c>
      <c r="K181" s="17" t="n">
        <f aca="false">'Dish Database'!K61*H181/100</f>
        <v>1.6</v>
      </c>
      <c r="L181" s="17" t="n">
        <f aca="false">'Dish Database'!L61*H181/100</f>
        <v>47.2</v>
      </c>
      <c r="M181" s="17" t="n">
        <f aca="false">'Dish Database'!M61*H181/100</f>
        <v>0.8</v>
      </c>
      <c r="N181" s="17" t="n">
        <f aca="false">'Dish Database'!N61*H181/100</f>
        <v>1.2</v>
      </c>
      <c r="O181" s="17" t="n">
        <f aca="false">'Dish Database'!O61*H181/100</f>
        <v>42</v>
      </c>
      <c r="P181" s="13" t="n">
        <f aca="false">'Dish Database'!P61*H181/100</f>
        <v>12</v>
      </c>
    </row>
    <row r="182" customFormat="false" ht="15" hidden="false" customHeight="false" outlineLevel="0" collapsed="false">
      <c r="A182" s="6" t="str">
        <f aca="false">'Dish Database'!A62</f>
        <v>D061</v>
      </c>
      <c r="B182" s="6" t="str">
        <f aca="false">'Dish Database'!B62</f>
        <v>Amla juice (diluted)</v>
      </c>
      <c r="C182" s="6" t="str">
        <f aca="false">'Dish Database'!D62</f>
        <v>Fruit Juices</v>
      </c>
      <c r="D182" s="6" t="str">
        <f aca="false">'Dish Database'!F62</f>
        <v>Veg</v>
      </c>
      <c r="E182" s="6" t="str">
        <f aca="false">'Dish Database'!E62</f>
        <v>Pan-India</v>
      </c>
      <c r="F182" s="6" t="s">
        <v>2243</v>
      </c>
      <c r="G182" s="6" t="s">
        <v>2262</v>
      </c>
      <c r="H182" s="16" t="n">
        <v>30</v>
      </c>
      <c r="I182" s="6" t="str">
        <f aca="false">'Dish Database'!I62</f>
        <v>ml</v>
      </c>
      <c r="J182" s="13" t="n">
        <f aca="false">'Dish Database'!J62*H182/100</f>
        <v>3.81</v>
      </c>
      <c r="K182" s="17" t="n">
        <f aca="false">'Dish Database'!K62*H182/100</f>
        <v>0.06</v>
      </c>
      <c r="L182" s="17" t="n">
        <f aca="false">'Dish Database'!L62*H182/100</f>
        <v>0.9</v>
      </c>
      <c r="M182" s="17" t="n">
        <f aca="false">'Dish Database'!M62*H182/100</f>
        <v>0.03</v>
      </c>
      <c r="N182" s="17" t="n">
        <f aca="false">'Dish Database'!N62*H182/100</f>
        <v>0.15</v>
      </c>
      <c r="O182" s="17" t="n">
        <f aca="false">'Dish Database'!O62*H182/100</f>
        <v>0.3</v>
      </c>
      <c r="P182" s="13" t="n">
        <f aca="false">'Dish Database'!P62*H182/100</f>
        <v>0.6</v>
      </c>
    </row>
    <row r="183" customFormat="false" ht="15" hidden="false" customHeight="false" outlineLevel="0" collapsed="false">
      <c r="A183" s="6" t="str">
        <f aca="false">'Dish Database'!A62</f>
        <v>D061</v>
      </c>
      <c r="B183" s="6" t="str">
        <f aca="false">'Dish Database'!B62</f>
        <v>Amla juice (diluted)</v>
      </c>
      <c r="C183" s="6" t="str">
        <f aca="false">'Dish Database'!D62</f>
        <v>Fruit Juices</v>
      </c>
      <c r="D183" s="6" t="str">
        <f aca="false">'Dish Database'!F62</f>
        <v>Veg</v>
      </c>
      <c r="E183" s="6" t="str">
        <f aca="false">'Dish Database'!E62</f>
        <v>Pan-India</v>
      </c>
      <c r="F183" s="6" t="s">
        <v>103</v>
      </c>
      <c r="G183" s="6" t="s">
        <v>2263</v>
      </c>
      <c r="H183" s="16" t="n">
        <v>60</v>
      </c>
      <c r="I183" s="6" t="str">
        <f aca="false">'Dish Database'!I62</f>
        <v>ml</v>
      </c>
      <c r="J183" s="13" t="n">
        <f aca="false">'Dish Database'!J62*H183/100</f>
        <v>7.62</v>
      </c>
      <c r="K183" s="17" t="n">
        <f aca="false">'Dish Database'!K62*H183/100</f>
        <v>0.12</v>
      </c>
      <c r="L183" s="17" t="n">
        <f aca="false">'Dish Database'!L62*H183/100</f>
        <v>1.8</v>
      </c>
      <c r="M183" s="17" t="n">
        <f aca="false">'Dish Database'!M62*H183/100</f>
        <v>0.06</v>
      </c>
      <c r="N183" s="17" t="n">
        <f aca="false">'Dish Database'!N62*H183/100</f>
        <v>0.3</v>
      </c>
      <c r="O183" s="17" t="n">
        <f aca="false">'Dish Database'!O62*H183/100</f>
        <v>0.6</v>
      </c>
      <c r="P183" s="13" t="n">
        <f aca="false">'Dish Database'!P62*H183/100</f>
        <v>1.2</v>
      </c>
    </row>
    <row r="184" customFormat="false" ht="15" hidden="false" customHeight="false" outlineLevel="0" collapsed="false">
      <c r="A184" s="6" t="str">
        <f aca="false">'Dish Database'!A62</f>
        <v>D061</v>
      </c>
      <c r="B184" s="6" t="str">
        <f aca="false">'Dish Database'!B62</f>
        <v>Amla juice (diluted)</v>
      </c>
      <c r="C184" s="6" t="str">
        <f aca="false">'Dish Database'!D62</f>
        <v>Fruit Juices</v>
      </c>
      <c r="D184" s="6" t="str">
        <f aca="false">'Dish Database'!F62</f>
        <v>Veg</v>
      </c>
      <c r="E184" s="6" t="str">
        <f aca="false">'Dish Database'!E62</f>
        <v>Pan-India</v>
      </c>
      <c r="F184" s="6" t="s">
        <v>2246</v>
      </c>
      <c r="G184" s="6" t="s">
        <v>2264</v>
      </c>
      <c r="H184" s="16" t="n">
        <v>100</v>
      </c>
      <c r="I184" s="6" t="str">
        <f aca="false">'Dish Database'!I62</f>
        <v>ml</v>
      </c>
      <c r="J184" s="13" t="n">
        <f aca="false">'Dish Database'!J62*H184/100</f>
        <v>12.7</v>
      </c>
      <c r="K184" s="17" t="n">
        <f aca="false">'Dish Database'!K62*H184/100</f>
        <v>0.2</v>
      </c>
      <c r="L184" s="17" t="n">
        <f aca="false">'Dish Database'!L62*H184/100</f>
        <v>3</v>
      </c>
      <c r="M184" s="17" t="n">
        <f aca="false">'Dish Database'!M62*H184/100</f>
        <v>0.1</v>
      </c>
      <c r="N184" s="17" t="n">
        <f aca="false">'Dish Database'!N62*H184/100</f>
        <v>0.5</v>
      </c>
      <c r="O184" s="17" t="n">
        <f aca="false">'Dish Database'!O62*H184/100</f>
        <v>1</v>
      </c>
      <c r="P184" s="13" t="n">
        <f aca="false">'Dish Database'!P62*H184/100</f>
        <v>2</v>
      </c>
    </row>
    <row r="185" customFormat="false" ht="15" hidden="false" customHeight="false" outlineLevel="0" collapsed="false">
      <c r="A185" s="6" t="str">
        <f aca="false">'Dish Database'!A63</f>
        <v>D062</v>
      </c>
      <c r="B185" s="6" t="str">
        <f aca="false">'Dish Database'!B63</f>
        <v>Carrot juice</v>
      </c>
      <c r="C185" s="6" t="str">
        <f aca="false">'Dish Database'!D63</f>
        <v>Vegetable Juices</v>
      </c>
      <c r="D185" s="6" t="str">
        <f aca="false">'Dish Database'!F63</f>
        <v>Veg</v>
      </c>
      <c r="E185" s="6" t="str">
        <f aca="false">'Dish Database'!E63</f>
        <v>Pan-India</v>
      </c>
      <c r="F185" s="6" t="s">
        <v>2243</v>
      </c>
      <c r="G185" s="6" t="s">
        <v>2253</v>
      </c>
      <c r="H185" s="16" t="n">
        <v>200</v>
      </c>
      <c r="I185" s="6" t="str">
        <f aca="false">'Dish Database'!I63</f>
        <v>ml</v>
      </c>
      <c r="J185" s="13" t="n">
        <f aca="false">'Dish Database'!J63*H185/100</f>
        <v>82</v>
      </c>
      <c r="K185" s="17" t="n">
        <f aca="false">'Dish Database'!K63*H185/100</f>
        <v>1.8</v>
      </c>
      <c r="L185" s="17" t="n">
        <f aca="false">'Dish Database'!L63*H185/100</f>
        <v>18.6</v>
      </c>
      <c r="M185" s="17" t="n">
        <f aca="false">'Dish Database'!M63*H185/100</f>
        <v>0.4</v>
      </c>
      <c r="N185" s="17" t="n">
        <f aca="false">'Dish Database'!N63*H185/100</f>
        <v>1.6</v>
      </c>
      <c r="O185" s="17" t="n">
        <f aca="false">'Dish Database'!O63*H185/100</f>
        <v>7.8</v>
      </c>
      <c r="P185" s="13" t="n">
        <f aca="false">'Dish Database'!P63*H185/100</f>
        <v>132</v>
      </c>
    </row>
    <row r="186" customFormat="false" ht="15" hidden="false" customHeight="false" outlineLevel="0" collapsed="false">
      <c r="A186" s="6" t="str">
        <f aca="false">'Dish Database'!A63</f>
        <v>D062</v>
      </c>
      <c r="B186" s="6" t="str">
        <f aca="false">'Dish Database'!B63</f>
        <v>Carrot juice</v>
      </c>
      <c r="C186" s="6" t="str">
        <f aca="false">'Dish Database'!D63</f>
        <v>Vegetable Juices</v>
      </c>
      <c r="D186" s="6" t="str">
        <f aca="false">'Dish Database'!F63</f>
        <v>Veg</v>
      </c>
      <c r="E186" s="6" t="str">
        <f aca="false">'Dish Database'!E63</f>
        <v>Pan-India</v>
      </c>
      <c r="F186" s="6" t="s">
        <v>103</v>
      </c>
      <c r="G186" s="6" t="s">
        <v>2254</v>
      </c>
      <c r="H186" s="16" t="n">
        <v>300</v>
      </c>
      <c r="I186" s="6" t="str">
        <f aca="false">'Dish Database'!I63</f>
        <v>ml</v>
      </c>
      <c r="J186" s="13" t="n">
        <f aca="false">'Dish Database'!J63*H186/100</f>
        <v>123</v>
      </c>
      <c r="K186" s="17" t="n">
        <f aca="false">'Dish Database'!K63*H186/100</f>
        <v>2.7</v>
      </c>
      <c r="L186" s="17" t="n">
        <f aca="false">'Dish Database'!L63*H186/100</f>
        <v>27.9</v>
      </c>
      <c r="M186" s="17" t="n">
        <f aca="false">'Dish Database'!M63*H186/100</f>
        <v>0.6</v>
      </c>
      <c r="N186" s="17" t="n">
        <f aca="false">'Dish Database'!N63*H186/100</f>
        <v>2.4</v>
      </c>
      <c r="O186" s="17" t="n">
        <f aca="false">'Dish Database'!O63*H186/100</f>
        <v>11.7</v>
      </c>
      <c r="P186" s="13" t="n">
        <f aca="false">'Dish Database'!P63*H186/100</f>
        <v>198</v>
      </c>
    </row>
    <row r="187" customFormat="false" ht="15" hidden="false" customHeight="false" outlineLevel="0" collapsed="false">
      <c r="A187" s="6" t="str">
        <f aca="false">'Dish Database'!A63</f>
        <v>D062</v>
      </c>
      <c r="B187" s="6" t="str">
        <f aca="false">'Dish Database'!B63</f>
        <v>Carrot juice</v>
      </c>
      <c r="C187" s="6" t="str">
        <f aca="false">'Dish Database'!D63</f>
        <v>Vegetable Juices</v>
      </c>
      <c r="D187" s="6" t="str">
        <f aca="false">'Dish Database'!F63</f>
        <v>Veg</v>
      </c>
      <c r="E187" s="6" t="str">
        <f aca="false">'Dish Database'!E63</f>
        <v>Pan-India</v>
      </c>
      <c r="F187" s="6" t="s">
        <v>2246</v>
      </c>
      <c r="G187" s="6" t="s">
        <v>2255</v>
      </c>
      <c r="H187" s="16" t="n">
        <v>400</v>
      </c>
      <c r="I187" s="6" t="str">
        <f aca="false">'Dish Database'!I63</f>
        <v>ml</v>
      </c>
      <c r="J187" s="13" t="n">
        <f aca="false">'Dish Database'!J63*H187/100</f>
        <v>164</v>
      </c>
      <c r="K187" s="17" t="n">
        <f aca="false">'Dish Database'!K63*H187/100</f>
        <v>3.6</v>
      </c>
      <c r="L187" s="17" t="n">
        <f aca="false">'Dish Database'!L63*H187/100</f>
        <v>37.2</v>
      </c>
      <c r="M187" s="17" t="n">
        <f aca="false">'Dish Database'!M63*H187/100</f>
        <v>0.8</v>
      </c>
      <c r="N187" s="17" t="n">
        <f aca="false">'Dish Database'!N63*H187/100</f>
        <v>3.2</v>
      </c>
      <c r="O187" s="17" t="n">
        <f aca="false">'Dish Database'!O63*H187/100</f>
        <v>15.6</v>
      </c>
      <c r="P187" s="13" t="n">
        <f aca="false">'Dish Database'!P63*H187/100</f>
        <v>264</v>
      </c>
    </row>
    <row r="188" customFormat="false" ht="15" hidden="false" customHeight="false" outlineLevel="0" collapsed="false">
      <c r="A188" s="6" t="str">
        <f aca="false">'Dish Database'!A64</f>
        <v>D063</v>
      </c>
      <c r="B188" s="6" t="str">
        <f aca="false">'Dish Database'!B64</f>
        <v>Beetroot juice</v>
      </c>
      <c r="C188" s="6" t="str">
        <f aca="false">'Dish Database'!D64</f>
        <v>Vegetable Juices</v>
      </c>
      <c r="D188" s="6" t="str">
        <f aca="false">'Dish Database'!F64</f>
        <v>Veg</v>
      </c>
      <c r="E188" s="6" t="str">
        <f aca="false">'Dish Database'!E64</f>
        <v>Pan-India</v>
      </c>
      <c r="F188" s="6" t="s">
        <v>2243</v>
      </c>
      <c r="G188" s="6" t="s">
        <v>2253</v>
      </c>
      <c r="H188" s="16" t="n">
        <v>200</v>
      </c>
      <c r="I188" s="6" t="str">
        <f aca="false">'Dish Database'!I64</f>
        <v>ml</v>
      </c>
      <c r="J188" s="13" t="n">
        <f aca="false">'Dish Database'!J64*H188/100</f>
        <v>74.6</v>
      </c>
      <c r="K188" s="17" t="n">
        <f aca="false">'Dish Database'!K64*H188/100</f>
        <v>2</v>
      </c>
      <c r="L188" s="17" t="n">
        <f aca="false">'Dish Database'!L64*H188/100</f>
        <v>17</v>
      </c>
      <c r="M188" s="17" t="n">
        <f aca="false">'Dish Database'!M64*H188/100</f>
        <v>0.2</v>
      </c>
      <c r="N188" s="17" t="n">
        <f aca="false">'Dish Database'!N64*H188/100</f>
        <v>1.6</v>
      </c>
      <c r="O188" s="17" t="n">
        <f aca="false">'Dish Database'!O64*H188/100</f>
        <v>13</v>
      </c>
      <c r="P188" s="13" t="n">
        <f aca="false">'Dish Database'!P64*H188/100</f>
        <v>140</v>
      </c>
    </row>
    <row r="189" customFormat="false" ht="15" hidden="false" customHeight="false" outlineLevel="0" collapsed="false">
      <c r="A189" s="6" t="str">
        <f aca="false">'Dish Database'!A64</f>
        <v>D063</v>
      </c>
      <c r="B189" s="6" t="str">
        <f aca="false">'Dish Database'!B64</f>
        <v>Beetroot juice</v>
      </c>
      <c r="C189" s="6" t="str">
        <f aca="false">'Dish Database'!D64</f>
        <v>Vegetable Juices</v>
      </c>
      <c r="D189" s="6" t="str">
        <f aca="false">'Dish Database'!F64</f>
        <v>Veg</v>
      </c>
      <c r="E189" s="6" t="str">
        <f aca="false">'Dish Database'!E64</f>
        <v>Pan-India</v>
      </c>
      <c r="F189" s="6" t="s">
        <v>103</v>
      </c>
      <c r="G189" s="6" t="s">
        <v>2254</v>
      </c>
      <c r="H189" s="16" t="n">
        <v>300</v>
      </c>
      <c r="I189" s="6" t="str">
        <f aca="false">'Dish Database'!I64</f>
        <v>ml</v>
      </c>
      <c r="J189" s="13" t="n">
        <f aca="false">'Dish Database'!J64*H189/100</f>
        <v>111.9</v>
      </c>
      <c r="K189" s="17" t="n">
        <f aca="false">'Dish Database'!K64*H189/100</f>
        <v>3</v>
      </c>
      <c r="L189" s="17" t="n">
        <f aca="false">'Dish Database'!L64*H189/100</f>
        <v>25.5</v>
      </c>
      <c r="M189" s="17" t="n">
        <f aca="false">'Dish Database'!M64*H189/100</f>
        <v>0.3</v>
      </c>
      <c r="N189" s="17" t="n">
        <f aca="false">'Dish Database'!N64*H189/100</f>
        <v>2.4</v>
      </c>
      <c r="O189" s="17" t="n">
        <f aca="false">'Dish Database'!O64*H189/100</f>
        <v>19.5</v>
      </c>
      <c r="P189" s="13" t="n">
        <f aca="false">'Dish Database'!P64*H189/100</f>
        <v>210</v>
      </c>
    </row>
    <row r="190" customFormat="false" ht="15" hidden="false" customHeight="false" outlineLevel="0" collapsed="false">
      <c r="A190" s="6" t="str">
        <f aca="false">'Dish Database'!A64</f>
        <v>D063</v>
      </c>
      <c r="B190" s="6" t="str">
        <f aca="false">'Dish Database'!B64</f>
        <v>Beetroot juice</v>
      </c>
      <c r="C190" s="6" t="str">
        <f aca="false">'Dish Database'!D64</f>
        <v>Vegetable Juices</v>
      </c>
      <c r="D190" s="6" t="str">
        <f aca="false">'Dish Database'!F64</f>
        <v>Veg</v>
      </c>
      <c r="E190" s="6" t="str">
        <f aca="false">'Dish Database'!E64</f>
        <v>Pan-India</v>
      </c>
      <c r="F190" s="6" t="s">
        <v>2246</v>
      </c>
      <c r="G190" s="6" t="s">
        <v>2255</v>
      </c>
      <c r="H190" s="16" t="n">
        <v>400</v>
      </c>
      <c r="I190" s="6" t="str">
        <f aca="false">'Dish Database'!I64</f>
        <v>ml</v>
      </c>
      <c r="J190" s="13" t="n">
        <f aca="false">'Dish Database'!J64*H190/100</f>
        <v>149.2</v>
      </c>
      <c r="K190" s="17" t="n">
        <f aca="false">'Dish Database'!K64*H190/100</f>
        <v>4</v>
      </c>
      <c r="L190" s="17" t="n">
        <f aca="false">'Dish Database'!L64*H190/100</f>
        <v>34</v>
      </c>
      <c r="M190" s="17" t="n">
        <f aca="false">'Dish Database'!M64*H190/100</f>
        <v>0.4</v>
      </c>
      <c r="N190" s="17" t="n">
        <f aca="false">'Dish Database'!N64*H190/100</f>
        <v>3.2</v>
      </c>
      <c r="O190" s="17" t="n">
        <f aca="false">'Dish Database'!O64*H190/100</f>
        <v>26</v>
      </c>
      <c r="P190" s="13" t="n">
        <f aca="false">'Dish Database'!P64*H190/100</f>
        <v>280</v>
      </c>
    </row>
    <row r="191" customFormat="false" ht="15" hidden="false" customHeight="false" outlineLevel="0" collapsed="false">
      <c r="A191" s="6" t="str">
        <f aca="false">'Dish Database'!A65</f>
        <v>D064</v>
      </c>
      <c r="B191" s="6" t="str">
        <f aca="false">'Dish Database'!B65</f>
        <v>ABC juice (apple-beetroot-carrot)</v>
      </c>
      <c r="C191" s="6" t="str">
        <f aca="false">'Dish Database'!D65</f>
        <v>Vegetable Juices</v>
      </c>
      <c r="D191" s="6" t="str">
        <f aca="false">'Dish Database'!F65</f>
        <v>Veg</v>
      </c>
      <c r="E191" s="6" t="str">
        <f aca="false">'Dish Database'!E65</f>
        <v>Pan-India</v>
      </c>
      <c r="F191" s="6" t="s">
        <v>2243</v>
      </c>
      <c r="G191" s="6" t="s">
        <v>2253</v>
      </c>
      <c r="H191" s="16" t="n">
        <v>200</v>
      </c>
      <c r="I191" s="6" t="str">
        <f aca="false">'Dish Database'!I65</f>
        <v>ml</v>
      </c>
      <c r="J191" s="13" t="n">
        <f aca="false">'Dish Database'!J65*H191/100</f>
        <v>84.2</v>
      </c>
      <c r="K191" s="17" t="n">
        <f aca="false">'Dish Database'!K65*H191/100</f>
        <v>1.2</v>
      </c>
      <c r="L191" s="17" t="n">
        <f aca="false">'Dish Database'!L65*H191/100</f>
        <v>20</v>
      </c>
      <c r="M191" s="17" t="n">
        <f aca="false">'Dish Database'!M65*H191/100</f>
        <v>0.2</v>
      </c>
      <c r="N191" s="17" t="n">
        <f aca="false">'Dish Database'!N65*H191/100</f>
        <v>1.2</v>
      </c>
      <c r="O191" s="17" t="n">
        <f aca="false">'Dish Database'!O65*H191/100</f>
        <v>15</v>
      </c>
      <c r="P191" s="13" t="n">
        <f aca="false">'Dish Database'!P65*H191/100</f>
        <v>90</v>
      </c>
    </row>
    <row r="192" customFormat="false" ht="15" hidden="false" customHeight="false" outlineLevel="0" collapsed="false">
      <c r="A192" s="6" t="str">
        <f aca="false">'Dish Database'!A65</f>
        <v>D064</v>
      </c>
      <c r="B192" s="6" t="str">
        <f aca="false">'Dish Database'!B65</f>
        <v>ABC juice (apple-beetroot-carrot)</v>
      </c>
      <c r="C192" s="6" t="str">
        <f aca="false">'Dish Database'!D65</f>
        <v>Vegetable Juices</v>
      </c>
      <c r="D192" s="6" t="str">
        <f aca="false">'Dish Database'!F65</f>
        <v>Veg</v>
      </c>
      <c r="E192" s="6" t="str">
        <f aca="false">'Dish Database'!E65</f>
        <v>Pan-India</v>
      </c>
      <c r="F192" s="6" t="s">
        <v>103</v>
      </c>
      <c r="G192" s="6" t="s">
        <v>2254</v>
      </c>
      <c r="H192" s="16" t="n">
        <v>300</v>
      </c>
      <c r="I192" s="6" t="str">
        <f aca="false">'Dish Database'!I65</f>
        <v>ml</v>
      </c>
      <c r="J192" s="13" t="n">
        <f aca="false">'Dish Database'!J65*H192/100</f>
        <v>126.3</v>
      </c>
      <c r="K192" s="17" t="n">
        <f aca="false">'Dish Database'!K65*H192/100</f>
        <v>1.8</v>
      </c>
      <c r="L192" s="17" t="n">
        <f aca="false">'Dish Database'!L65*H192/100</f>
        <v>30</v>
      </c>
      <c r="M192" s="17" t="n">
        <f aca="false">'Dish Database'!M65*H192/100</f>
        <v>0.3</v>
      </c>
      <c r="N192" s="17" t="n">
        <f aca="false">'Dish Database'!N65*H192/100</f>
        <v>1.8</v>
      </c>
      <c r="O192" s="17" t="n">
        <f aca="false">'Dish Database'!O65*H192/100</f>
        <v>22.5</v>
      </c>
      <c r="P192" s="13" t="n">
        <f aca="false">'Dish Database'!P65*H192/100</f>
        <v>135</v>
      </c>
    </row>
    <row r="193" customFormat="false" ht="15" hidden="false" customHeight="false" outlineLevel="0" collapsed="false">
      <c r="A193" s="6" t="str">
        <f aca="false">'Dish Database'!A65</f>
        <v>D064</v>
      </c>
      <c r="B193" s="6" t="str">
        <f aca="false">'Dish Database'!B65</f>
        <v>ABC juice (apple-beetroot-carrot)</v>
      </c>
      <c r="C193" s="6" t="str">
        <f aca="false">'Dish Database'!D65</f>
        <v>Vegetable Juices</v>
      </c>
      <c r="D193" s="6" t="str">
        <f aca="false">'Dish Database'!F65</f>
        <v>Veg</v>
      </c>
      <c r="E193" s="6" t="str">
        <f aca="false">'Dish Database'!E65</f>
        <v>Pan-India</v>
      </c>
      <c r="F193" s="6" t="s">
        <v>2246</v>
      </c>
      <c r="G193" s="6" t="s">
        <v>2255</v>
      </c>
      <c r="H193" s="16" t="n">
        <v>400</v>
      </c>
      <c r="I193" s="6" t="str">
        <f aca="false">'Dish Database'!I65</f>
        <v>ml</v>
      </c>
      <c r="J193" s="13" t="n">
        <f aca="false">'Dish Database'!J65*H193/100</f>
        <v>168.4</v>
      </c>
      <c r="K193" s="17" t="n">
        <f aca="false">'Dish Database'!K65*H193/100</f>
        <v>2.4</v>
      </c>
      <c r="L193" s="17" t="n">
        <f aca="false">'Dish Database'!L65*H193/100</f>
        <v>40</v>
      </c>
      <c r="M193" s="17" t="n">
        <f aca="false">'Dish Database'!M65*H193/100</f>
        <v>0.4</v>
      </c>
      <c r="N193" s="17" t="n">
        <f aca="false">'Dish Database'!N65*H193/100</f>
        <v>2.4</v>
      </c>
      <c r="O193" s="17" t="n">
        <f aca="false">'Dish Database'!O65*H193/100</f>
        <v>30</v>
      </c>
      <c r="P193" s="13" t="n">
        <f aca="false">'Dish Database'!P65*H193/100</f>
        <v>180</v>
      </c>
    </row>
    <row r="194" customFormat="false" ht="15" hidden="false" customHeight="false" outlineLevel="0" collapsed="false">
      <c r="A194" s="6" t="str">
        <f aca="false">'Dish Database'!A66</f>
        <v>D065</v>
      </c>
      <c r="B194" s="6" t="str">
        <f aca="false">'Dish Database'!B66</f>
        <v>Tomato juice (fresh)</v>
      </c>
      <c r="C194" s="6" t="str">
        <f aca="false">'Dish Database'!D66</f>
        <v>Vegetable Juices</v>
      </c>
      <c r="D194" s="6" t="str">
        <f aca="false">'Dish Database'!F66</f>
        <v>Veg</v>
      </c>
      <c r="E194" s="6" t="str">
        <f aca="false">'Dish Database'!E66</f>
        <v>Pan-India</v>
      </c>
      <c r="F194" s="6" t="s">
        <v>2243</v>
      </c>
      <c r="G194" s="6" t="s">
        <v>2253</v>
      </c>
      <c r="H194" s="16" t="n">
        <v>200</v>
      </c>
      <c r="I194" s="6" t="str">
        <f aca="false">'Dish Database'!I66</f>
        <v>ml</v>
      </c>
      <c r="J194" s="13" t="n">
        <f aca="false">'Dish Database'!J66*H194/100</f>
        <v>40</v>
      </c>
      <c r="K194" s="17" t="n">
        <f aca="false">'Dish Database'!K66*H194/100</f>
        <v>1.8</v>
      </c>
      <c r="L194" s="17" t="n">
        <f aca="false">'Dish Database'!L66*H194/100</f>
        <v>7.8</v>
      </c>
      <c r="M194" s="17" t="n">
        <f aca="false">'Dish Database'!M66*H194/100</f>
        <v>0.4</v>
      </c>
      <c r="N194" s="17" t="n">
        <f aca="false">'Dish Database'!N66*H194/100</f>
        <v>1</v>
      </c>
      <c r="O194" s="17" t="n">
        <f aca="false">'Dish Database'!O66*H194/100</f>
        <v>5.2</v>
      </c>
      <c r="P194" s="13" t="n">
        <f aca="false">'Dish Database'!P66*H194/100</f>
        <v>20</v>
      </c>
    </row>
    <row r="195" customFormat="false" ht="15" hidden="false" customHeight="false" outlineLevel="0" collapsed="false">
      <c r="A195" s="6" t="str">
        <f aca="false">'Dish Database'!A66</f>
        <v>D065</v>
      </c>
      <c r="B195" s="6" t="str">
        <f aca="false">'Dish Database'!B66</f>
        <v>Tomato juice (fresh)</v>
      </c>
      <c r="C195" s="6" t="str">
        <f aca="false">'Dish Database'!D66</f>
        <v>Vegetable Juices</v>
      </c>
      <c r="D195" s="6" t="str">
        <f aca="false">'Dish Database'!F66</f>
        <v>Veg</v>
      </c>
      <c r="E195" s="6" t="str">
        <f aca="false">'Dish Database'!E66</f>
        <v>Pan-India</v>
      </c>
      <c r="F195" s="6" t="s">
        <v>103</v>
      </c>
      <c r="G195" s="6" t="s">
        <v>2254</v>
      </c>
      <c r="H195" s="16" t="n">
        <v>300</v>
      </c>
      <c r="I195" s="6" t="str">
        <f aca="false">'Dish Database'!I66</f>
        <v>ml</v>
      </c>
      <c r="J195" s="13" t="n">
        <f aca="false">'Dish Database'!J66*H195/100</f>
        <v>60</v>
      </c>
      <c r="K195" s="17" t="n">
        <f aca="false">'Dish Database'!K66*H195/100</f>
        <v>2.7</v>
      </c>
      <c r="L195" s="17" t="n">
        <f aca="false">'Dish Database'!L66*H195/100</f>
        <v>11.7</v>
      </c>
      <c r="M195" s="17" t="n">
        <f aca="false">'Dish Database'!M66*H195/100</f>
        <v>0.6</v>
      </c>
      <c r="N195" s="17" t="n">
        <f aca="false">'Dish Database'!N66*H195/100</f>
        <v>1.5</v>
      </c>
      <c r="O195" s="17" t="n">
        <f aca="false">'Dish Database'!O66*H195/100</f>
        <v>7.8</v>
      </c>
      <c r="P195" s="13" t="n">
        <f aca="false">'Dish Database'!P66*H195/100</f>
        <v>30</v>
      </c>
    </row>
    <row r="196" customFormat="false" ht="15" hidden="false" customHeight="false" outlineLevel="0" collapsed="false">
      <c r="A196" s="6" t="str">
        <f aca="false">'Dish Database'!A66</f>
        <v>D065</v>
      </c>
      <c r="B196" s="6" t="str">
        <f aca="false">'Dish Database'!B66</f>
        <v>Tomato juice (fresh)</v>
      </c>
      <c r="C196" s="6" t="str">
        <f aca="false">'Dish Database'!D66</f>
        <v>Vegetable Juices</v>
      </c>
      <c r="D196" s="6" t="str">
        <f aca="false">'Dish Database'!F66</f>
        <v>Veg</v>
      </c>
      <c r="E196" s="6" t="str">
        <f aca="false">'Dish Database'!E66</f>
        <v>Pan-India</v>
      </c>
      <c r="F196" s="6" t="s">
        <v>2246</v>
      </c>
      <c r="G196" s="6" t="s">
        <v>2255</v>
      </c>
      <c r="H196" s="16" t="n">
        <v>400</v>
      </c>
      <c r="I196" s="6" t="str">
        <f aca="false">'Dish Database'!I66</f>
        <v>ml</v>
      </c>
      <c r="J196" s="13" t="n">
        <f aca="false">'Dish Database'!J66*H196/100</f>
        <v>80</v>
      </c>
      <c r="K196" s="17" t="n">
        <f aca="false">'Dish Database'!K66*H196/100</f>
        <v>3.6</v>
      </c>
      <c r="L196" s="17" t="n">
        <f aca="false">'Dish Database'!L66*H196/100</f>
        <v>15.6</v>
      </c>
      <c r="M196" s="17" t="n">
        <f aca="false">'Dish Database'!M66*H196/100</f>
        <v>0.8</v>
      </c>
      <c r="N196" s="17" t="n">
        <f aca="false">'Dish Database'!N66*H196/100</f>
        <v>2</v>
      </c>
      <c r="O196" s="17" t="n">
        <f aca="false">'Dish Database'!O66*H196/100</f>
        <v>10.4</v>
      </c>
      <c r="P196" s="13" t="n">
        <f aca="false">'Dish Database'!P66*H196/100</f>
        <v>40</v>
      </c>
    </row>
    <row r="197" customFormat="false" ht="15" hidden="false" customHeight="false" outlineLevel="0" collapsed="false">
      <c r="A197" s="6" t="str">
        <f aca="false">'Dish Database'!A67</f>
        <v>D066</v>
      </c>
      <c r="B197" s="6" t="str">
        <f aca="false">'Dish Database'!B67</f>
        <v>Cucumber juice</v>
      </c>
      <c r="C197" s="6" t="str">
        <f aca="false">'Dish Database'!D67</f>
        <v>Vegetable Juices</v>
      </c>
      <c r="D197" s="6" t="str">
        <f aca="false">'Dish Database'!F67</f>
        <v>Veg</v>
      </c>
      <c r="E197" s="6" t="str">
        <f aca="false">'Dish Database'!E67</f>
        <v>Pan-India</v>
      </c>
      <c r="F197" s="6" t="s">
        <v>2243</v>
      </c>
      <c r="G197" s="6" t="s">
        <v>2253</v>
      </c>
      <c r="H197" s="16" t="n">
        <v>200</v>
      </c>
      <c r="I197" s="6" t="str">
        <f aca="false">'Dish Database'!I67</f>
        <v>ml</v>
      </c>
      <c r="J197" s="13" t="n">
        <f aca="false">'Dish Database'!J67*H197/100</f>
        <v>31.4</v>
      </c>
      <c r="K197" s="17" t="n">
        <f aca="false">'Dish Database'!K67*H197/100</f>
        <v>1.2</v>
      </c>
      <c r="L197" s="17" t="n">
        <f aca="false">'Dish Database'!L67*H197/100</f>
        <v>6.6</v>
      </c>
      <c r="M197" s="17" t="n">
        <f aca="false">'Dish Database'!M67*H197/100</f>
        <v>0.2</v>
      </c>
      <c r="N197" s="17" t="n">
        <f aca="false">'Dish Database'!N67*H197/100</f>
        <v>0.8</v>
      </c>
      <c r="O197" s="17" t="n">
        <f aca="false">'Dish Database'!O67*H197/100</f>
        <v>3.4</v>
      </c>
      <c r="P197" s="13" t="n">
        <f aca="false">'Dish Database'!P67*H197/100</f>
        <v>4</v>
      </c>
    </row>
    <row r="198" customFormat="false" ht="15" hidden="false" customHeight="false" outlineLevel="0" collapsed="false">
      <c r="A198" s="6" t="str">
        <f aca="false">'Dish Database'!A67</f>
        <v>D066</v>
      </c>
      <c r="B198" s="6" t="str">
        <f aca="false">'Dish Database'!B67</f>
        <v>Cucumber juice</v>
      </c>
      <c r="C198" s="6" t="str">
        <f aca="false">'Dish Database'!D67</f>
        <v>Vegetable Juices</v>
      </c>
      <c r="D198" s="6" t="str">
        <f aca="false">'Dish Database'!F67</f>
        <v>Veg</v>
      </c>
      <c r="E198" s="6" t="str">
        <f aca="false">'Dish Database'!E67</f>
        <v>Pan-India</v>
      </c>
      <c r="F198" s="6" t="s">
        <v>103</v>
      </c>
      <c r="G198" s="6" t="s">
        <v>2254</v>
      </c>
      <c r="H198" s="16" t="n">
        <v>300</v>
      </c>
      <c r="I198" s="6" t="str">
        <f aca="false">'Dish Database'!I67</f>
        <v>ml</v>
      </c>
      <c r="J198" s="13" t="n">
        <f aca="false">'Dish Database'!J67*H198/100</f>
        <v>47.1</v>
      </c>
      <c r="K198" s="17" t="n">
        <f aca="false">'Dish Database'!K67*H198/100</f>
        <v>1.8</v>
      </c>
      <c r="L198" s="17" t="n">
        <f aca="false">'Dish Database'!L67*H198/100</f>
        <v>9.9</v>
      </c>
      <c r="M198" s="17" t="n">
        <f aca="false">'Dish Database'!M67*H198/100</f>
        <v>0.3</v>
      </c>
      <c r="N198" s="17" t="n">
        <f aca="false">'Dish Database'!N67*H198/100</f>
        <v>1.2</v>
      </c>
      <c r="O198" s="17" t="n">
        <f aca="false">'Dish Database'!O67*H198/100</f>
        <v>5.1</v>
      </c>
      <c r="P198" s="13" t="n">
        <f aca="false">'Dish Database'!P67*H198/100</f>
        <v>6</v>
      </c>
    </row>
    <row r="199" customFormat="false" ht="15" hidden="false" customHeight="false" outlineLevel="0" collapsed="false">
      <c r="A199" s="6" t="str">
        <f aca="false">'Dish Database'!A67</f>
        <v>D066</v>
      </c>
      <c r="B199" s="6" t="str">
        <f aca="false">'Dish Database'!B67</f>
        <v>Cucumber juice</v>
      </c>
      <c r="C199" s="6" t="str">
        <f aca="false">'Dish Database'!D67</f>
        <v>Vegetable Juices</v>
      </c>
      <c r="D199" s="6" t="str">
        <f aca="false">'Dish Database'!F67</f>
        <v>Veg</v>
      </c>
      <c r="E199" s="6" t="str">
        <f aca="false">'Dish Database'!E67</f>
        <v>Pan-India</v>
      </c>
      <c r="F199" s="6" t="s">
        <v>2246</v>
      </c>
      <c r="G199" s="6" t="s">
        <v>2255</v>
      </c>
      <c r="H199" s="16" t="n">
        <v>400</v>
      </c>
      <c r="I199" s="6" t="str">
        <f aca="false">'Dish Database'!I67</f>
        <v>ml</v>
      </c>
      <c r="J199" s="13" t="n">
        <f aca="false">'Dish Database'!J67*H199/100</f>
        <v>62.8</v>
      </c>
      <c r="K199" s="17" t="n">
        <f aca="false">'Dish Database'!K67*H199/100</f>
        <v>2.4</v>
      </c>
      <c r="L199" s="17" t="n">
        <f aca="false">'Dish Database'!L67*H199/100</f>
        <v>13.2</v>
      </c>
      <c r="M199" s="17" t="n">
        <f aca="false">'Dish Database'!M67*H199/100</f>
        <v>0.4</v>
      </c>
      <c r="N199" s="17" t="n">
        <f aca="false">'Dish Database'!N67*H199/100</f>
        <v>1.6</v>
      </c>
      <c r="O199" s="17" t="n">
        <f aca="false">'Dish Database'!O67*H199/100</f>
        <v>6.8</v>
      </c>
      <c r="P199" s="13" t="n">
        <f aca="false">'Dish Database'!P67*H199/100</f>
        <v>8</v>
      </c>
    </row>
    <row r="200" customFormat="false" ht="15" hidden="false" customHeight="false" outlineLevel="0" collapsed="false">
      <c r="A200" s="6" t="str">
        <f aca="false">'Dish Database'!A68</f>
        <v>D067</v>
      </c>
      <c r="B200" s="6" t="str">
        <f aca="false">'Dish Database'!B68</f>
        <v>Lauki juice (bottle gourd)</v>
      </c>
      <c r="C200" s="6" t="str">
        <f aca="false">'Dish Database'!D68</f>
        <v>Vegetable Juices</v>
      </c>
      <c r="D200" s="6" t="str">
        <f aca="false">'Dish Database'!F68</f>
        <v>Veg</v>
      </c>
      <c r="E200" s="6" t="str">
        <f aca="false">'Dish Database'!E68</f>
        <v>North</v>
      </c>
      <c r="F200" s="6" t="s">
        <v>2243</v>
      </c>
      <c r="G200" s="6" t="s">
        <v>2248</v>
      </c>
      <c r="H200" s="16" t="n">
        <v>150</v>
      </c>
      <c r="I200" s="6" t="str">
        <f aca="false">'Dish Database'!I68</f>
        <v>ml</v>
      </c>
      <c r="J200" s="13" t="n">
        <f aca="false">'Dish Database'!J68*H200/100</f>
        <v>21.15</v>
      </c>
      <c r="K200" s="17" t="n">
        <f aca="false">'Dish Database'!K68*H200/100</f>
        <v>0.75</v>
      </c>
      <c r="L200" s="17" t="n">
        <f aca="false">'Dish Database'!L68*H200/100</f>
        <v>4.5</v>
      </c>
      <c r="M200" s="17" t="n">
        <f aca="false">'Dish Database'!M68*H200/100</f>
        <v>0.15</v>
      </c>
      <c r="N200" s="17" t="n">
        <f aca="false">'Dish Database'!N68*H200/100</f>
        <v>0.6</v>
      </c>
      <c r="O200" s="17" t="n">
        <f aca="false">'Dish Database'!O68*H200/100</f>
        <v>2.25</v>
      </c>
      <c r="P200" s="13" t="n">
        <f aca="false">'Dish Database'!P68*H200/100</f>
        <v>7.5</v>
      </c>
    </row>
    <row r="201" customFormat="false" ht="15" hidden="false" customHeight="false" outlineLevel="0" collapsed="false">
      <c r="A201" s="6" t="str">
        <f aca="false">'Dish Database'!A68</f>
        <v>D067</v>
      </c>
      <c r="B201" s="6" t="str">
        <f aca="false">'Dish Database'!B68</f>
        <v>Lauki juice (bottle gourd)</v>
      </c>
      <c r="C201" s="6" t="str">
        <f aca="false">'Dish Database'!D68</f>
        <v>Vegetable Juices</v>
      </c>
      <c r="D201" s="6" t="str">
        <f aca="false">'Dish Database'!F68</f>
        <v>Veg</v>
      </c>
      <c r="E201" s="6" t="str">
        <f aca="false">'Dish Database'!E68</f>
        <v>North</v>
      </c>
      <c r="F201" s="6" t="s">
        <v>103</v>
      </c>
      <c r="G201" s="6" t="s">
        <v>2251</v>
      </c>
      <c r="H201" s="16" t="n">
        <v>250</v>
      </c>
      <c r="I201" s="6" t="str">
        <f aca="false">'Dish Database'!I68</f>
        <v>ml</v>
      </c>
      <c r="J201" s="13" t="n">
        <f aca="false">'Dish Database'!J68*H201/100</f>
        <v>35.25</v>
      </c>
      <c r="K201" s="17" t="n">
        <f aca="false">'Dish Database'!K68*H201/100</f>
        <v>1.25</v>
      </c>
      <c r="L201" s="17" t="n">
        <f aca="false">'Dish Database'!L68*H201/100</f>
        <v>7.5</v>
      </c>
      <c r="M201" s="17" t="n">
        <f aca="false">'Dish Database'!M68*H201/100</f>
        <v>0.25</v>
      </c>
      <c r="N201" s="17" t="n">
        <f aca="false">'Dish Database'!N68*H201/100</f>
        <v>1</v>
      </c>
      <c r="O201" s="17" t="n">
        <f aca="false">'Dish Database'!O68*H201/100</f>
        <v>3.75</v>
      </c>
      <c r="P201" s="13" t="n">
        <f aca="false">'Dish Database'!P68*H201/100</f>
        <v>12.5</v>
      </c>
    </row>
    <row r="202" customFormat="false" ht="15" hidden="false" customHeight="false" outlineLevel="0" collapsed="false">
      <c r="A202" s="6" t="str">
        <f aca="false">'Dish Database'!A68</f>
        <v>D067</v>
      </c>
      <c r="B202" s="6" t="str">
        <f aca="false">'Dish Database'!B68</f>
        <v>Lauki juice (bottle gourd)</v>
      </c>
      <c r="C202" s="6" t="str">
        <f aca="false">'Dish Database'!D68</f>
        <v>Vegetable Juices</v>
      </c>
      <c r="D202" s="6" t="str">
        <f aca="false">'Dish Database'!F68</f>
        <v>Veg</v>
      </c>
      <c r="E202" s="6" t="str">
        <f aca="false">'Dish Database'!E68</f>
        <v>North</v>
      </c>
      <c r="F202" s="6" t="s">
        <v>2246</v>
      </c>
      <c r="G202" s="6" t="s">
        <v>2252</v>
      </c>
      <c r="H202" s="16" t="n">
        <v>350</v>
      </c>
      <c r="I202" s="6" t="str">
        <f aca="false">'Dish Database'!I68</f>
        <v>ml</v>
      </c>
      <c r="J202" s="13" t="n">
        <f aca="false">'Dish Database'!J68*H202/100</f>
        <v>49.35</v>
      </c>
      <c r="K202" s="17" t="n">
        <f aca="false">'Dish Database'!K68*H202/100</f>
        <v>1.75</v>
      </c>
      <c r="L202" s="17" t="n">
        <f aca="false">'Dish Database'!L68*H202/100</f>
        <v>10.5</v>
      </c>
      <c r="M202" s="17" t="n">
        <f aca="false">'Dish Database'!M68*H202/100</f>
        <v>0.35</v>
      </c>
      <c r="N202" s="17" t="n">
        <f aca="false">'Dish Database'!N68*H202/100</f>
        <v>1.4</v>
      </c>
      <c r="O202" s="17" t="n">
        <f aca="false">'Dish Database'!O68*H202/100</f>
        <v>5.25</v>
      </c>
      <c r="P202" s="13" t="n">
        <f aca="false">'Dish Database'!P68*H202/100</f>
        <v>17.5</v>
      </c>
    </row>
    <row r="203" customFormat="false" ht="15" hidden="false" customHeight="false" outlineLevel="0" collapsed="false">
      <c r="A203" s="6" t="str">
        <f aca="false">'Dish Database'!A69</f>
        <v>D068</v>
      </c>
      <c r="B203" s="6" t="str">
        <f aca="false">'Dish Database'!B69</f>
        <v>Karela juice (bitter gourd)</v>
      </c>
      <c r="C203" s="6" t="str">
        <f aca="false">'Dish Database'!D69</f>
        <v>Vegetable Juices</v>
      </c>
      <c r="D203" s="6" t="str">
        <f aca="false">'Dish Database'!F69</f>
        <v>Veg</v>
      </c>
      <c r="E203" s="6" t="str">
        <f aca="false">'Dish Database'!E69</f>
        <v>Pan-India</v>
      </c>
      <c r="F203" s="6" t="s">
        <v>2243</v>
      </c>
      <c r="G203" s="6" t="s">
        <v>2262</v>
      </c>
      <c r="H203" s="16" t="n">
        <v>30</v>
      </c>
      <c r="I203" s="6" t="str">
        <f aca="false">'Dish Database'!I69</f>
        <v>ml</v>
      </c>
      <c r="J203" s="13" t="n">
        <f aca="false">'Dish Database'!J69*H203/100</f>
        <v>4.59</v>
      </c>
      <c r="K203" s="17" t="n">
        <f aca="false">'Dish Database'!K69*H203/100</f>
        <v>0.24</v>
      </c>
      <c r="L203" s="17" t="n">
        <f aca="false">'Dish Database'!L69*H203/100</f>
        <v>0.96</v>
      </c>
      <c r="M203" s="17" t="n">
        <f aca="false">'Dish Database'!M69*H203/100</f>
        <v>0.03</v>
      </c>
      <c r="N203" s="17" t="n">
        <f aca="false">'Dish Database'!N69*H203/100</f>
        <v>0.24</v>
      </c>
      <c r="O203" s="17" t="n">
        <f aca="false">'Dish Database'!O69*H203/100</f>
        <v>0.36</v>
      </c>
      <c r="P203" s="13" t="n">
        <f aca="false">'Dish Database'!P69*H203/100</f>
        <v>1.5</v>
      </c>
    </row>
    <row r="204" customFormat="false" ht="15" hidden="false" customHeight="false" outlineLevel="0" collapsed="false">
      <c r="A204" s="6" t="str">
        <f aca="false">'Dish Database'!A69</f>
        <v>D068</v>
      </c>
      <c r="B204" s="6" t="str">
        <f aca="false">'Dish Database'!B69</f>
        <v>Karela juice (bitter gourd)</v>
      </c>
      <c r="C204" s="6" t="str">
        <f aca="false">'Dish Database'!D69</f>
        <v>Vegetable Juices</v>
      </c>
      <c r="D204" s="6" t="str">
        <f aca="false">'Dish Database'!F69</f>
        <v>Veg</v>
      </c>
      <c r="E204" s="6" t="str">
        <f aca="false">'Dish Database'!E69</f>
        <v>Pan-India</v>
      </c>
      <c r="F204" s="6" t="s">
        <v>103</v>
      </c>
      <c r="G204" s="6" t="s">
        <v>2263</v>
      </c>
      <c r="H204" s="16" t="n">
        <v>60</v>
      </c>
      <c r="I204" s="6" t="str">
        <f aca="false">'Dish Database'!I69</f>
        <v>ml</v>
      </c>
      <c r="J204" s="13" t="n">
        <f aca="false">'Dish Database'!J69*H204/100</f>
        <v>9.18</v>
      </c>
      <c r="K204" s="17" t="n">
        <f aca="false">'Dish Database'!K69*H204/100</f>
        <v>0.48</v>
      </c>
      <c r="L204" s="17" t="n">
        <f aca="false">'Dish Database'!L69*H204/100</f>
        <v>1.92</v>
      </c>
      <c r="M204" s="17" t="n">
        <f aca="false">'Dish Database'!M69*H204/100</f>
        <v>0.06</v>
      </c>
      <c r="N204" s="17" t="n">
        <f aca="false">'Dish Database'!N69*H204/100</f>
        <v>0.48</v>
      </c>
      <c r="O204" s="17" t="n">
        <f aca="false">'Dish Database'!O69*H204/100</f>
        <v>0.72</v>
      </c>
      <c r="P204" s="13" t="n">
        <f aca="false">'Dish Database'!P69*H204/100</f>
        <v>3</v>
      </c>
    </row>
    <row r="205" customFormat="false" ht="15" hidden="false" customHeight="false" outlineLevel="0" collapsed="false">
      <c r="A205" s="6" t="str">
        <f aca="false">'Dish Database'!A69</f>
        <v>D068</v>
      </c>
      <c r="B205" s="6" t="str">
        <f aca="false">'Dish Database'!B69</f>
        <v>Karela juice (bitter gourd)</v>
      </c>
      <c r="C205" s="6" t="str">
        <f aca="false">'Dish Database'!D69</f>
        <v>Vegetable Juices</v>
      </c>
      <c r="D205" s="6" t="str">
        <f aca="false">'Dish Database'!F69</f>
        <v>Veg</v>
      </c>
      <c r="E205" s="6" t="str">
        <f aca="false">'Dish Database'!E69</f>
        <v>Pan-India</v>
      </c>
      <c r="F205" s="6" t="s">
        <v>2246</v>
      </c>
      <c r="G205" s="6" t="s">
        <v>2264</v>
      </c>
      <c r="H205" s="16" t="n">
        <v>100</v>
      </c>
      <c r="I205" s="6" t="str">
        <f aca="false">'Dish Database'!I69</f>
        <v>ml</v>
      </c>
      <c r="J205" s="13" t="n">
        <f aca="false">'Dish Database'!J69*H205/100</f>
        <v>15.3</v>
      </c>
      <c r="K205" s="17" t="n">
        <f aca="false">'Dish Database'!K69*H205/100</f>
        <v>0.8</v>
      </c>
      <c r="L205" s="17" t="n">
        <f aca="false">'Dish Database'!L69*H205/100</f>
        <v>3.2</v>
      </c>
      <c r="M205" s="17" t="n">
        <f aca="false">'Dish Database'!M69*H205/100</f>
        <v>0.1</v>
      </c>
      <c r="N205" s="17" t="n">
        <f aca="false">'Dish Database'!N69*H205/100</f>
        <v>0.8</v>
      </c>
      <c r="O205" s="17" t="n">
        <f aca="false">'Dish Database'!O69*H205/100</f>
        <v>1.2</v>
      </c>
      <c r="P205" s="13" t="n">
        <f aca="false">'Dish Database'!P69*H205/100</f>
        <v>5</v>
      </c>
    </row>
    <row r="206" customFormat="false" ht="15" hidden="false" customHeight="false" outlineLevel="0" collapsed="false">
      <c r="A206" s="6" t="str">
        <f aca="false">'Dish Database'!A70</f>
        <v>D069</v>
      </c>
      <c r="B206" s="6" t="str">
        <f aca="false">'Dish Database'!B70</f>
        <v>Wheatgrass juice</v>
      </c>
      <c r="C206" s="6" t="str">
        <f aca="false">'Dish Database'!D70</f>
        <v>Vegetable Juices</v>
      </c>
      <c r="D206" s="6" t="str">
        <f aca="false">'Dish Database'!F70</f>
        <v>Veg</v>
      </c>
      <c r="E206" s="6" t="str">
        <f aca="false">'Dish Database'!E70</f>
        <v>Pan-India</v>
      </c>
      <c r="F206" s="6" t="s">
        <v>2243</v>
      </c>
      <c r="G206" s="6" t="s">
        <v>2262</v>
      </c>
      <c r="H206" s="16" t="n">
        <v>30</v>
      </c>
      <c r="I206" s="6" t="str">
        <f aca="false">'Dish Database'!I70</f>
        <v>ml</v>
      </c>
      <c r="J206" s="13" t="n">
        <f aca="false">'Dish Database'!J70*H206/100</f>
        <v>5.37</v>
      </c>
      <c r="K206" s="17" t="n">
        <f aca="false">'Dish Database'!K70*H206/100</f>
        <v>0.45</v>
      </c>
      <c r="L206" s="17" t="n">
        <f aca="false">'Dish Database'!L70*H206/100</f>
        <v>0.9</v>
      </c>
      <c r="M206" s="17" t="n">
        <f aca="false">'Dish Database'!M70*H206/100</f>
        <v>0.03</v>
      </c>
      <c r="N206" s="17" t="n">
        <f aca="false">'Dish Database'!N70*H206/100</f>
        <v>0.15</v>
      </c>
      <c r="O206" s="17" t="n">
        <f aca="false">'Dish Database'!O70*H206/100</f>
        <v>0.15</v>
      </c>
      <c r="P206" s="13" t="n">
        <f aca="false">'Dish Database'!P70*H206/100</f>
        <v>3</v>
      </c>
    </row>
    <row r="207" customFormat="false" ht="15" hidden="false" customHeight="false" outlineLevel="0" collapsed="false">
      <c r="A207" s="6" t="str">
        <f aca="false">'Dish Database'!A70</f>
        <v>D069</v>
      </c>
      <c r="B207" s="6" t="str">
        <f aca="false">'Dish Database'!B70</f>
        <v>Wheatgrass juice</v>
      </c>
      <c r="C207" s="6" t="str">
        <f aca="false">'Dish Database'!D70</f>
        <v>Vegetable Juices</v>
      </c>
      <c r="D207" s="6" t="str">
        <f aca="false">'Dish Database'!F70</f>
        <v>Veg</v>
      </c>
      <c r="E207" s="6" t="str">
        <f aca="false">'Dish Database'!E70</f>
        <v>Pan-India</v>
      </c>
      <c r="F207" s="6" t="s">
        <v>103</v>
      </c>
      <c r="G207" s="6" t="s">
        <v>2263</v>
      </c>
      <c r="H207" s="16" t="n">
        <v>60</v>
      </c>
      <c r="I207" s="6" t="str">
        <f aca="false">'Dish Database'!I70</f>
        <v>ml</v>
      </c>
      <c r="J207" s="13" t="n">
        <f aca="false">'Dish Database'!J70*H207/100</f>
        <v>10.74</v>
      </c>
      <c r="K207" s="17" t="n">
        <f aca="false">'Dish Database'!K70*H207/100</f>
        <v>0.9</v>
      </c>
      <c r="L207" s="17" t="n">
        <f aca="false">'Dish Database'!L70*H207/100</f>
        <v>1.8</v>
      </c>
      <c r="M207" s="17" t="n">
        <f aca="false">'Dish Database'!M70*H207/100</f>
        <v>0.06</v>
      </c>
      <c r="N207" s="17" t="n">
        <f aca="false">'Dish Database'!N70*H207/100</f>
        <v>0.3</v>
      </c>
      <c r="O207" s="17" t="n">
        <f aca="false">'Dish Database'!O70*H207/100</f>
        <v>0.3</v>
      </c>
      <c r="P207" s="13" t="n">
        <f aca="false">'Dish Database'!P70*H207/100</f>
        <v>6</v>
      </c>
    </row>
    <row r="208" customFormat="false" ht="15" hidden="false" customHeight="false" outlineLevel="0" collapsed="false">
      <c r="A208" s="6" t="str">
        <f aca="false">'Dish Database'!A70</f>
        <v>D069</v>
      </c>
      <c r="B208" s="6" t="str">
        <f aca="false">'Dish Database'!B70</f>
        <v>Wheatgrass juice</v>
      </c>
      <c r="C208" s="6" t="str">
        <f aca="false">'Dish Database'!D70</f>
        <v>Vegetable Juices</v>
      </c>
      <c r="D208" s="6" t="str">
        <f aca="false">'Dish Database'!F70</f>
        <v>Veg</v>
      </c>
      <c r="E208" s="6" t="str">
        <f aca="false">'Dish Database'!E70</f>
        <v>Pan-India</v>
      </c>
      <c r="F208" s="6" t="s">
        <v>2246</v>
      </c>
      <c r="G208" s="6" t="s">
        <v>2264</v>
      </c>
      <c r="H208" s="16" t="n">
        <v>100</v>
      </c>
      <c r="I208" s="6" t="str">
        <f aca="false">'Dish Database'!I70</f>
        <v>ml</v>
      </c>
      <c r="J208" s="13" t="n">
        <f aca="false">'Dish Database'!J70*H208/100</f>
        <v>17.9</v>
      </c>
      <c r="K208" s="17" t="n">
        <f aca="false">'Dish Database'!K70*H208/100</f>
        <v>1.5</v>
      </c>
      <c r="L208" s="17" t="n">
        <f aca="false">'Dish Database'!L70*H208/100</f>
        <v>3</v>
      </c>
      <c r="M208" s="17" t="n">
        <f aca="false">'Dish Database'!M70*H208/100</f>
        <v>0.1</v>
      </c>
      <c r="N208" s="17" t="n">
        <f aca="false">'Dish Database'!N70*H208/100</f>
        <v>0.5</v>
      </c>
      <c r="O208" s="17" t="n">
        <f aca="false">'Dish Database'!O70*H208/100</f>
        <v>0.5</v>
      </c>
      <c r="P208" s="13" t="n">
        <f aca="false">'Dish Database'!P70*H208/100</f>
        <v>10</v>
      </c>
    </row>
    <row r="209" customFormat="false" ht="15" hidden="false" customHeight="false" outlineLevel="0" collapsed="false">
      <c r="A209" s="6" t="str">
        <f aca="false">'Dish Database'!A71</f>
        <v>D070</v>
      </c>
      <c r="B209" s="6" t="str">
        <f aca="false">'Dish Database'!B71</f>
        <v>Green juice (spinach-cucumber-apple)</v>
      </c>
      <c r="C209" s="6" t="str">
        <f aca="false">'Dish Database'!D71</f>
        <v>Vegetable Juices</v>
      </c>
      <c r="D209" s="6" t="str">
        <f aca="false">'Dish Database'!F71</f>
        <v>Veg</v>
      </c>
      <c r="E209" s="6" t="str">
        <f aca="false">'Dish Database'!E71</f>
        <v>Pan-India</v>
      </c>
      <c r="F209" s="6" t="s">
        <v>2243</v>
      </c>
      <c r="G209" s="6" t="s">
        <v>2253</v>
      </c>
      <c r="H209" s="16" t="n">
        <v>200</v>
      </c>
      <c r="I209" s="6" t="str">
        <f aca="false">'Dish Database'!I71</f>
        <v>ml</v>
      </c>
      <c r="J209" s="13" t="n">
        <f aca="false">'Dish Database'!J71*H209/100</f>
        <v>52.2</v>
      </c>
      <c r="K209" s="17" t="n">
        <f aca="false">'Dish Database'!K71*H209/100</f>
        <v>1.2</v>
      </c>
      <c r="L209" s="17" t="n">
        <f aca="false">'Dish Database'!L71*H209/100</f>
        <v>12</v>
      </c>
      <c r="M209" s="17" t="n">
        <f aca="false">'Dish Database'!M71*H209/100</f>
        <v>0.2</v>
      </c>
      <c r="N209" s="17" t="n">
        <f aca="false">'Dish Database'!N71*H209/100</f>
        <v>1.2</v>
      </c>
      <c r="O209" s="17" t="n">
        <f aca="false">'Dish Database'!O71*H209/100</f>
        <v>9</v>
      </c>
      <c r="P209" s="13" t="n">
        <f aca="false">'Dish Database'!P71*H209/100</f>
        <v>50</v>
      </c>
    </row>
    <row r="210" customFormat="false" ht="15" hidden="false" customHeight="false" outlineLevel="0" collapsed="false">
      <c r="A210" s="6" t="str">
        <f aca="false">'Dish Database'!A71</f>
        <v>D070</v>
      </c>
      <c r="B210" s="6" t="str">
        <f aca="false">'Dish Database'!B71</f>
        <v>Green juice (spinach-cucumber-apple)</v>
      </c>
      <c r="C210" s="6" t="str">
        <f aca="false">'Dish Database'!D71</f>
        <v>Vegetable Juices</v>
      </c>
      <c r="D210" s="6" t="str">
        <f aca="false">'Dish Database'!F71</f>
        <v>Veg</v>
      </c>
      <c r="E210" s="6" t="str">
        <f aca="false">'Dish Database'!E71</f>
        <v>Pan-India</v>
      </c>
      <c r="F210" s="6" t="s">
        <v>103</v>
      </c>
      <c r="G210" s="6" t="s">
        <v>2254</v>
      </c>
      <c r="H210" s="16" t="n">
        <v>300</v>
      </c>
      <c r="I210" s="6" t="str">
        <f aca="false">'Dish Database'!I71</f>
        <v>ml</v>
      </c>
      <c r="J210" s="13" t="n">
        <f aca="false">'Dish Database'!J71*H210/100</f>
        <v>78.3</v>
      </c>
      <c r="K210" s="17" t="n">
        <f aca="false">'Dish Database'!K71*H210/100</f>
        <v>1.8</v>
      </c>
      <c r="L210" s="17" t="n">
        <f aca="false">'Dish Database'!L71*H210/100</f>
        <v>18</v>
      </c>
      <c r="M210" s="17" t="n">
        <f aca="false">'Dish Database'!M71*H210/100</f>
        <v>0.3</v>
      </c>
      <c r="N210" s="17" t="n">
        <f aca="false">'Dish Database'!N71*H210/100</f>
        <v>1.8</v>
      </c>
      <c r="O210" s="17" t="n">
        <f aca="false">'Dish Database'!O71*H210/100</f>
        <v>13.5</v>
      </c>
      <c r="P210" s="13" t="n">
        <f aca="false">'Dish Database'!P71*H210/100</f>
        <v>75</v>
      </c>
    </row>
    <row r="211" customFormat="false" ht="15" hidden="false" customHeight="false" outlineLevel="0" collapsed="false">
      <c r="A211" s="6" t="str">
        <f aca="false">'Dish Database'!A71</f>
        <v>D070</v>
      </c>
      <c r="B211" s="6" t="str">
        <f aca="false">'Dish Database'!B71</f>
        <v>Green juice (spinach-cucumber-apple)</v>
      </c>
      <c r="C211" s="6" t="str">
        <f aca="false">'Dish Database'!D71</f>
        <v>Vegetable Juices</v>
      </c>
      <c r="D211" s="6" t="str">
        <f aca="false">'Dish Database'!F71</f>
        <v>Veg</v>
      </c>
      <c r="E211" s="6" t="str">
        <f aca="false">'Dish Database'!E71</f>
        <v>Pan-India</v>
      </c>
      <c r="F211" s="6" t="s">
        <v>2246</v>
      </c>
      <c r="G211" s="6" t="s">
        <v>2255</v>
      </c>
      <c r="H211" s="16" t="n">
        <v>400</v>
      </c>
      <c r="I211" s="6" t="str">
        <f aca="false">'Dish Database'!I71</f>
        <v>ml</v>
      </c>
      <c r="J211" s="13" t="n">
        <f aca="false">'Dish Database'!J71*H211/100</f>
        <v>104.4</v>
      </c>
      <c r="K211" s="17" t="n">
        <f aca="false">'Dish Database'!K71*H211/100</f>
        <v>2.4</v>
      </c>
      <c r="L211" s="17" t="n">
        <f aca="false">'Dish Database'!L71*H211/100</f>
        <v>24</v>
      </c>
      <c r="M211" s="17" t="n">
        <f aca="false">'Dish Database'!M71*H211/100</f>
        <v>0.4</v>
      </c>
      <c r="N211" s="17" t="n">
        <f aca="false">'Dish Database'!N71*H211/100</f>
        <v>2.4</v>
      </c>
      <c r="O211" s="17" t="n">
        <f aca="false">'Dish Database'!O71*H211/100</f>
        <v>18</v>
      </c>
      <c r="P211" s="13" t="n">
        <f aca="false">'Dish Database'!P71*H211/100</f>
        <v>100</v>
      </c>
    </row>
    <row r="212" customFormat="false" ht="15" hidden="false" customHeight="false" outlineLevel="0" collapsed="false">
      <c r="A212" s="6" t="str">
        <f aca="false">'Dish Database'!A72</f>
        <v>D071</v>
      </c>
      <c r="B212" s="6" t="str">
        <f aca="false">'Dish Database'!B72</f>
        <v>Mixed vegetable juice</v>
      </c>
      <c r="C212" s="6" t="str">
        <f aca="false">'Dish Database'!D72</f>
        <v>Vegetable Juices</v>
      </c>
      <c r="D212" s="6" t="str">
        <f aca="false">'Dish Database'!F72</f>
        <v>Veg</v>
      </c>
      <c r="E212" s="6" t="str">
        <f aca="false">'Dish Database'!E72</f>
        <v>Pan-India</v>
      </c>
      <c r="F212" s="6" t="s">
        <v>2243</v>
      </c>
      <c r="G212" s="6" t="s">
        <v>2253</v>
      </c>
      <c r="H212" s="16" t="n">
        <v>200</v>
      </c>
      <c r="I212" s="6" t="str">
        <f aca="false">'Dish Database'!I72</f>
        <v>ml</v>
      </c>
      <c r="J212" s="13" t="n">
        <f aca="false">'Dish Database'!J72*H212/100</f>
        <v>41.8</v>
      </c>
      <c r="K212" s="17" t="n">
        <f aca="false">'Dish Database'!K72*H212/100</f>
        <v>1.6</v>
      </c>
      <c r="L212" s="17" t="n">
        <f aca="false">'Dish Database'!L72*H212/100</f>
        <v>9</v>
      </c>
      <c r="M212" s="17" t="n">
        <f aca="false">'Dish Database'!M72*H212/100</f>
        <v>0.2</v>
      </c>
      <c r="N212" s="17" t="n">
        <f aca="false">'Dish Database'!N72*H212/100</f>
        <v>1.2</v>
      </c>
      <c r="O212" s="17" t="n">
        <f aca="false">'Dish Database'!O72*H212/100</f>
        <v>5.6</v>
      </c>
      <c r="P212" s="13" t="n">
        <f aca="false">'Dish Database'!P72*H212/100</f>
        <v>300</v>
      </c>
    </row>
    <row r="213" customFormat="false" ht="15" hidden="false" customHeight="false" outlineLevel="0" collapsed="false">
      <c r="A213" s="6" t="str">
        <f aca="false">'Dish Database'!A72</f>
        <v>D071</v>
      </c>
      <c r="B213" s="6" t="str">
        <f aca="false">'Dish Database'!B72</f>
        <v>Mixed vegetable juice</v>
      </c>
      <c r="C213" s="6" t="str">
        <f aca="false">'Dish Database'!D72</f>
        <v>Vegetable Juices</v>
      </c>
      <c r="D213" s="6" t="str">
        <f aca="false">'Dish Database'!F72</f>
        <v>Veg</v>
      </c>
      <c r="E213" s="6" t="str">
        <f aca="false">'Dish Database'!E72</f>
        <v>Pan-India</v>
      </c>
      <c r="F213" s="6" t="s">
        <v>103</v>
      </c>
      <c r="G213" s="6" t="s">
        <v>2254</v>
      </c>
      <c r="H213" s="16" t="n">
        <v>300</v>
      </c>
      <c r="I213" s="6" t="str">
        <f aca="false">'Dish Database'!I72</f>
        <v>ml</v>
      </c>
      <c r="J213" s="13" t="n">
        <f aca="false">'Dish Database'!J72*H213/100</f>
        <v>62.7</v>
      </c>
      <c r="K213" s="17" t="n">
        <f aca="false">'Dish Database'!K72*H213/100</f>
        <v>2.4</v>
      </c>
      <c r="L213" s="17" t="n">
        <f aca="false">'Dish Database'!L72*H213/100</f>
        <v>13.5</v>
      </c>
      <c r="M213" s="17" t="n">
        <f aca="false">'Dish Database'!M72*H213/100</f>
        <v>0.3</v>
      </c>
      <c r="N213" s="17" t="n">
        <f aca="false">'Dish Database'!N72*H213/100</f>
        <v>1.8</v>
      </c>
      <c r="O213" s="17" t="n">
        <f aca="false">'Dish Database'!O72*H213/100</f>
        <v>8.4</v>
      </c>
      <c r="P213" s="13" t="n">
        <f aca="false">'Dish Database'!P72*H213/100</f>
        <v>450</v>
      </c>
    </row>
    <row r="214" customFormat="false" ht="15" hidden="false" customHeight="false" outlineLevel="0" collapsed="false">
      <c r="A214" s="6" t="str">
        <f aca="false">'Dish Database'!A72</f>
        <v>D071</v>
      </c>
      <c r="B214" s="6" t="str">
        <f aca="false">'Dish Database'!B72</f>
        <v>Mixed vegetable juice</v>
      </c>
      <c r="C214" s="6" t="str">
        <f aca="false">'Dish Database'!D72</f>
        <v>Vegetable Juices</v>
      </c>
      <c r="D214" s="6" t="str">
        <f aca="false">'Dish Database'!F72</f>
        <v>Veg</v>
      </c>
      <c r="E214" s="6" t="str">
        <f aca="false">'Dish Database'!E72</f>
        <v>Pan-India</v>
      </c>
      <c r="F214" s="6" t="s">
        <v>2246</v>
      </c>
      <c r="G214" s="6" t="s">
        <v>2255</v>
      </c>
      <c r="H214" s="16" t="n">
        <v>400</v>
      </c>
      <c r="I214" s="6" t="str">
        <f aca="false">'Dish Database'!I72</f>
        <v>ml</v>
      </c>
      <c r="J214" s="13" t="n">
        <f aca="false">'Dish Database'!J72*H214/100</f>
        <v>83.6</v>
      </c>
      <c r="K214" s="17" t="n">
        <f aca="false">'Dish Database'!K72*H214/100</f>
        <v>3.2</v>
      </c>
      <c r="L214" s="17" t="n">
        <f aca="false">'Dish Database'!L72*H214/100</f>
        <v>18</v>
      </c>
      <c r="M214" s="17" t="n">
        <f aca="false">'Dish Database'!M72*H214/100</f>
        <v>0.4</v>
      </c>
      <c r="N214" s="17" t="n">
        <f aca="false">'Dish Database'!N72*H214/100</f>
        <v>2.4</v>
      </c>
      <c r="O214" s="17" t="n">
        <f aca="false">'Dish Database'!O72*H214/100</f>
        <v>11.2</v>
      </c>
      <c r="P214" s="13" t="n">
        <f aca="false">'Dish Database'!P72*H214/100</f>
        <v>600</v>
      </c>
    </row>
    <row r="215" customFormat="false" ht="15" hidden="false" customHeight="false" outlineLevel="0" collapsed="false">
      <c r="A215" s="6" t="str">
        <f aca="false">'Dish Database'!A73</f>
        <v>D072</v>
      </c>
      <c r="B215" s="6" t="str">
        <f aca="false">'Dish Database'!B73</f>
        <v>Sweet lassi</v>
      </c>
      <c r="C215" s="6" t="str">
        <f aca="false">'Dish Database'!D73</f>
        <v>Lassi &amp; Buttermilk</v>
      </c>
      <c r="D215" s="6" t="str">
        <f aca="false">'Dish Database'!F73</f>
        <v>Veg</v>
      </c>
      <c r="E215" s="6" t="str">
        <f aca="false">'Dish Database'!E73</f>
        <v>North</v>
      </c>
      <c r="F215" s="6" t="s">
        <v>2243</v>
      </c>
      <c r="G215" s="6" t="s">
        <v>2253</v>
      </c>
      <c r="H215" s="16" t="n">
        <v>200</v>
      </c>
      <c r="I215" s="6" t="str">
        <f aca="false">'Dish Database'!I73</f>
        <v>ml</v>
      </c>
      <c r="J215" s="13" t="n">
        <f aca="false">'Dish Database'!J73*H215/100</f>
        <v>172.8</v>
      </c>
      <c r="K215" s="17" t="n">
        <f aca="false">'Dish Database'!K73*H215/100</f>
        <v>5.6</v>
      </c>
      <c r="L215" s="17" t="n">
        <f aca="false">'Dish Database'!L73*H215/100</f>
        <v>25</v>
      </c>
      <c r="M215" s="17" t="n">
        <f aca="false">'Dish Database'!M73*H215/100</f>
        <v>5.6</v>
      </c>
      <c r="N215" s="17" t="n">
        <f aca="false">'Dish Database'!N73*H215/100</f>
        <v>0</v>
      </c>
      <c r="O215" s="17" t="n">
        <f aca="false">'Dish Database'!O73*H215/100</f>
        <v>24</v>
      </c>
      <c r="P215" s="13" t="n">
        <f aca="false">'Dish Database'!P73*H215/100</f>
        <v>80</v>
      </c>
    </row>
    <row r="216" customFormat="false" ht="15" hidden="false" customHeight="false" outlineLevel="0" collapsed="false">
      <c r="A216" s="6" t="str">
        <f aca="false">'Dish Database'!A73</f>
        <v>D072</v>
      </c>
      <c r="B216" s="6" t="str">
        <f aca="false">'Dish Database'!B73</f>
        <v>Sweet lassi</v>
      </c>
      <c r="C216" s="6" t="str">
        <f aca="false">'Dish Database'!D73</f>
        <v>Lassi &amp; Buttermilk</v>
      </c>
      <c r="D216" s="6" t="str">
        <f aca="false">'Dish Database'!F73</f>
        <v>Veg</v>
      </c>
      <c r="E216" s="6" t="str">
        <f aca="false">'Dish Database'!E73</f>
        <v>North</v>
      </c>
      <c r="F216" s="6" t="s">
        <v>103</v>
      </c>
      <c r="G216" s="6" t="s">
        <v>2254</v>
      </c>
      <c r="H216" s="16" t="n">
        <v>300</v>
      </c>
      <c r="I216" s="6" t="str">
        <f aca="false">'Dish Database'!I73</f>
        <v>ml</v>
      </c>
      <c r="J216" s="13" t="n">
        <f aca="false">'Dish Database'!J73*H216/100</f>
        <v>259.2</v>
      </c>
      <c r="K216" s="17" t="n">
        <f aca="false">'Dish Database'!K73*H216/100</f>
        <v>8.4</v>
      </c>
      <c r="L216" s="17" t="n">
        <f aca="false">'Dish Database'!L73*H216/100</f>
        <v>37.5</v>
      </c>
      <c r="M216" s="17" t="n">
        <f aca="false">'Dish Database'!M73*H216/100</f>
        <v>8.4</v>
      </c>
      <c r="N216" s="17" t="n">
        <f aca="false">'Dish Database'!N73*H216/100</f>
        <v>0</v>
      </c>
      <c r="O216" s="17" t="n">
        <f aca="false">'Dish Database'!O73*H216/100</f>
        <v>36</v>
      </c>
      <c r="P216" s="13" t="n">
        <f aca="false">'Dish Database'!P73*H216/100</f>
        <v>120</v>
      </c>
    </row>
    <row r="217" customFormat="false" ht="15" hidden="false" customHeight="false" outlineLevel="0" collapsed="false">
      <c r="A217" s="6" t="str">
        <f aca="false">'Dish Database'!A73</f>
        <v>D072</v>
      </c>
      <c r="B217" s="6" t="str">
        <f aca="false">'Dish Database'!B73</f>
        <v>Sweet lassi</v>
      </c>
      <c r="C217" s="6" t="str">
        <f aca="false">'Dish Database'!D73</f>
        <v>Lassi &amp; Buttermilk</v>
      </c>
      <c r="D217" s="6" t="str">
        <f aca="false">'Dish Database'!F73</f>
        <v>Veg</v>
      </c>
      <c r="E217" s="6" t="str">
        <f aca="false">'Dish Database'!E73</f>
        <v>North</v>
      </c>
      <c r="F217" s="6" t="s">
        <v>2246</v>
      </c>
      <c r="G217" s="6" t="s">
        <v>2255</v>
      </c>
      <c r="H217" s="16" t="n">
        <v>400</v>
      </c>
      <c r="I217" s="6" t="str">
        <f aca="false">'Dish Database'!I73</f>
        <v>ml</v>
      </c>
      <c r="J217" s="13" t="n">
        <f aca="false">'Dish Database'!J73*H217/100</f>
        <v>345.6</v>
      </c>
      <c r="K217" s="17" t="n">
        <f aca="false">'Dish Database'!K73*H217/100</f>
        <v>11.2</v>
      </c>
      <c r="L217" s="17" t="n">
        <f aca="false">'Dish Database'!L73*H217/100</f>
        <v>50</v>
      </c>
      <c r="M217" s="17" t="n">
        <f aca="false">'Dish Database'!M73*H217/100</f>
        <v>11.2</v>
      </c>
      <c r="N217" s="17" t="n">
        <f aca="false">'Dish Database'!N73*H217/100</f>
        <v>0</v>
      </c>
      <c r="O217" s="17" t="n">
        <f aca="false">'Dish Database'!O73*H217/100</f>
        <v>48</v>
      </c>
      <c r="P217" s="13" t="n">
        <f aca="false">'Dish Database'!P73*H217/100</f>
        <v>160</v>
      </c>
    </row>
    <row r="218" customFormat="false" ht="15" hidden="false" customHeight="false" outlineLevel="0" collapsed="false">
      <c r="A218" s="6" t="str">
        <f aca="false">'Dish Database'!A74</f>
        <v>D073</v>
      </c>
      <c r="B218" s="6" t="str">
        <f aca="false">'Dish Database'!B74</f>
        <v>Salted lassi</v>
      </c>
      <c r="C218" s="6" t="str">
        <f aca="false">'Dish Database'!D74</f>
        <v>Lassi &amp; Buttermilk</v>
      </c>
      <c r="D218" s="6" t="str">
        <f aca="false">'Dish Database'!F74</f>
        <v>Veg</v>
      </c>
      <c r="E218" s="6" t="str">
        <f aca="false">'Dish Database'!E74</f>
        <v>North</v>
      </c>
      <c r="F218" s="6" t="s">
        <v>2243</v>
      </c>
      <c r="G218" s="6" t="s">
        <v>2253</v>
      </c>
      <c r="H218" s="16" t="n">
        <v>200</v>
      </c>
      <c r="I218" s="6" t="str">
        <f aca="false">'Dish Database'!I74</f>
        <v>ml</v>
      </c>
      <c r="J218" s="13" t="n">
        <f aca="false">'Dish Database'!J74*H218/100</f>
        <v>71.2</v>
      </c>
      <c r="K218" s="17" t="n">
        <f aca="false">'Dish Database'!K74*H218/100</f>
        <v>4</v>
      </c>
      <c r="L218" s="17" t="n">
        <f aca="false">'Dish Database'!L74*H218/100</f>
        <v>4.8</v>
      </c>
      <c r="M218" s="17" t="n">
        <f aca="false">'Dish Database'!M74*H218/100</f>
        <v>4</v>
      </c>
      <c r="N218" s="17" t="n">
        <f aca="false">'Dish Database'!N74*H218/100</f>
        <v>0</v>
      </c>
      <c r="O218" s="17" t="n">
        <f aca="false">'Dish Database'!O74*H218/100</f>
        <v>4.8</v>
      </c>
      <c r="P218" s="13" t="n">
        <f aca="false">'Dish Database'!P74*H218/100</f>
        <v>460</v>
      </c>
    </row>
    <row r="219" customFormat="false" ht="15" hidden="false" customHeight="false" outlineLevel="0" collapsed="false">
      <c r="A219" s="6" t="str">
        <f aca="false">'Dish Database'!A74</f>
        <v>D073</v>
      </c>
      <c r="B219" s="6" t="str">
        <f aca="false">'Dish Database'!B74</f>
        <v>Salted lassi</v>
      </c>
      <c r="C219" s="6" t="str">
        <f aca="false">'Dish Database'!D74</f>
        <v>Lassi &amp; Buttermilk</v>
      </c>
      <c r="D219" s="6" t="str">
        <f aca="false">'Dish Database'!F74</f>
        <v>Veg</v>
      </c>
      <c r="E219" s="6" t="str">
        <f aca="false">'Dish Database'!E74</f>
        <v>North</v>
      </c>
      <c r="F219" s="6" t="s">
        <v>103</v>
      </c>
      <c r="G219" s="6" t="s">
        <v>2254</v>
      </c>
      <c r="H219" s="16" t="n">
        <v>300</v>
      </c>
      <c r="I219" s="6" t="str">
        <f aca="false">'Dish Database'!I74</f>
        <v>ml</v>
      </c>
      <c r="J219" s="13" t="n">
        <f aca="false">'Dish Database'!J74*H219/100</f>
        <v>106.8</v>
      </c>
      <c r="K219" s="17" t="n">
        <f aca="false">'Dish Database'!K74*H219/100</f>
        <v>6</v>
      </c>
      <c r="L219" s="17" t="n">
        <f aca="false">'Dish Database'!L74*H219/100</f>
        <v>7.2</v>
      </c>
      <c r="M219" s="17" t="n">
        <f aca="false">'Dish Database'!M74*H219/100</f>
        <v>6</v>
      </c>
      <c r="N219" s="17" t="n">
        <f aca="false">'Dish Database'!N74*H219/100</f>
        <v>0</v>
      </c>
      <c r="O219" s="17" t="n">
        <f aca="false">'Dish Database'!O74*H219/100</f>
        <v>7.2</v>
      </c>
      <c r="P219" s="13" t="n">
        <f aca="false">'Dish Database'!P74*H219/100</f>
        <v>690</v>
      </c>
    </row>
    <row r="220" customFormat="false" ht="15" hidden="false" customHeight="false" outlineLevel="0" collapsed="false">
      <c r="A220" s="6" t="str">
        <f aca="false">'Dish Database'!A74</f>
        <v>D073</v>
      </c>
      <c r="B220" s="6" t="str">
        <f aca="false">'Dish Database'!B74</f>
        <v>Salted lassi</v>
      </c>
      <c r="C220" s="6" t="str">
        <f aca="false">'Dish Database'!D74</f>
        <v>Lassi &amp; Buttermilk</v>
      </c>
      <c r="D220" s="6" t="str">
        <f aca="false">'Dish Database'!F74</f>
        <v>Veg</v>
      </c>
      <c r="E220" s="6" t="str">
        <f aca="false">'Dish Database'!E74</f>
        <v>North</v>
      </c>
      <c r="F220" s="6" t="s">
        <v>2246</v>
      </c>
      <c r="G220" s="6" t="s">
        <v>2255</v>
      </c>
      <c r="H220" s="16" t="n">
        <v>400</v>
      </c>
      <c r="I220" s="6" t="str">
        <f aca="false">'Dish Database'!I74</f>
        <v>ml</v>
      </c>
      <c r="J220" s="13" t="n">
        <f aca="false">'Dish Database'!J74*H220/100</f>
        <v>142.4</v>
      </c>
      <c r="K220" s="17" t="n">
        <f aca="false">'Dish Database'!K74*H220/100</f>
        <v>8</v>
      </c>
      <c r="L220" s="17" t="n">
        <f aca="false">'Dish Database'!L74*H220/100</f>
        <v>9.6</v>
      </c>
      <c r="M220" s="17" t="n">
        <f aca="false">'Dish Database'!M74*H220/100</f>
        <v>8</v>
      </c>
      <c r="N220" s="17" t="n">
        <f aca="false">'Dish Database'!N74*H220/100</f>
        <v>0</v>
      </c>
      <c r="O220" s="17" t="n">
        <f aca="false">'Dish Database'!O74*H220/100</f>
        <v>9.6</v>
      </c>
      <c r="P220" s="13" t="n">
        <f aca="false">'Dish Database'!P74*H220/100</f>
        <v>920</v>
      </c>
    </row>
    <row r="221" customFormat="false" ht="15" hidden="false" customHeight="false" outlineLevel="0" collapsed="false">
      <c r="A221" s="6" t="str">
        <f aca="false">'Dish Database'!A75</f>
        <v>D074</v>
      </c>
      <c r="B221" s="6" t="str">
        <f aca="false">'Dish Database'!B75</f>
        <v>Mango lassi</v>
      </c>
      <c r="C221" s="6" t="str">
        <f aca="false">'Dish Database'!D75</f>
        <v>Lassi &amp; Buttermilk</v>
      </c>
      <c r="D221" s="6" t="str">
        <f aca="false">'Dish Database'!F75</f>
        <v>Veg</v>
      </c>
      <c r="E221" s="6" t="str">
        <f aca="false">'Dish Database'!E75</f>
        <v>North</v>
      </c>
      <c r="F221" s="6" t="s">
        <v>2243</v>
      </c>
      <c r="G221" s="6" t="s">
        <v>2253</v>
      </c>
      <c r="H221" s="16" t="n">
        <v>200</v>
      </c>
      <c r="I221" s="6" t="str">
        <f aca="false">'Dish Database'!I75</f>
        <v>ml</v>
      </c>
      <c r="J221" s="13" t="n">
        <f aca="false">'Dish Database'!J75*H221/100</f>
        <v>188.2</v>
      </c>
      <c r="K221" s="17" t="n">
        <f aca="false">'Dish Database'!K75*H221/100</f>
        <v>5.2</v>
      </c>
      <c r="L221" s="17" t="n">
        <f aca="false">'Dish Database'!L75*H221/100</f>
        <v>31</v>
      </c>
      <c r="M221" s="17" t="n">
        <f aca="false">'Dish Database'!M75*H221/100</f>
        <v>5</v>
      </c>
      <c r="N221" s="17" t="n">
        <f aca="false">'Dish Database'!N75*H221/100</f>
        <v>0.8</v>
      </c>
      <c r="O221" s="17" t="n">
        <f aca="false">'Dish Database'!O75*H221/100</f>
        <v>29</v>
      </c>
      <c r="P221" s="13" t="n">
        <f aca="false">'Dish Database'!P75*H221/100</f>
        <v>76</v>
      </c>
    </row>
    <row r="222" customFormat="false" ht="15" hidden="false" customHeight="false" outlineLevel="0" collapsed="false">
      <c r="A222" s="6" t="str">
        <f aca="false">'Dish Database'!A75</f>
        <v>D074</v>
      </c>
      <c r="B222" s="6" t="str">
        <f aca="false">'Dish Database'!B75</f>
        <v>Mango lassi</v>
      </c>
      <c r="C222" s="6" t="str">
        <f aca="false">'Dish Database'!D75</f>
        <v>Lassi &amp; Buttermilk</v>
      </c>
      <c r="D222" s="6" t="str">
        <f aca="false">'Dish Database'!F75</f>
        <v>Veg</v>
      </c>
      <c r="E222" s="6" t="str">
        <f aca="false">'Dish Database'!E75</f>
        <v>North</v>
      </c>
      <c r="F222" s="6" t="s">
        <v>103</v>
      </c>
      <c r="G222" s="6" t="s">
        <v>2254</v>
      </c>
      <c r="H222" s="16" t="n">
        <v>300</v>
      </c>
      <c r="I222" s="6" t="str">
        <f aca="false">'Dish Database'!I75</f>
        <v>ml</v>
      </c>
      <c r="J222" s="13" t="n">
        <f aca="false">'Dish Database'!J75*H222/100</f>
        <v>282.3</v>
      </c>
      <c r="K222" s="17" t="n">
        <f aca="false">'Dish Database'!K75*H222/100</f>
        <v>7.8</v>
      </c>
      <c r="L222" s="17" t="n">
        <f aca="false">'Dish Database'!L75*H222/100</f>
        <v>46.5</v>
      </c>
      <c r="M222" s="17" t="n">
        <f aca="false">'Dish Database'!M75*H222/100</f>
        <v>7.5</v>
      </c>
      <c r="N222" s="17" t="n">
        <f aca="false">'Dish Database'!N75*H222/100</f>
        <v>1.2</v>
      </c>
      <c r="O222" s="17" t="n">
        <f aca="false">'Dish Database'!O75*H222/100</f>
        <v>43.5</v>
      </c>
      <c r="P222" s="13" t="n">
        <f aca="false">'Dish Database'!P75*H222/100</f>
        <v>114</v>
      </c>
    </row>
    <row r="223" customFormat="false" ht="15" hidden="false" customHeight="false" outlineLevel="0" collapsed="false">
      <c r="A223" s="6" t="str">
        <f aca="false">'Dish Database'!A75</f>
        <v>D074</v>
      </c>
      <c r="B223" s="6" t="str">
        <f aca="false">'Dish Database'!B75</f>
        <v>Mango lassi</v>
      </c>
      <c r="C223" s="6" t="str">
        <f aca="false">'Dish Database'!D75</f>
        <v>Lassi &amp; Buttermilk</v>
      </c>
      <c r="D223" s="6" t="str">
        <f aca="false">'Dish Database'!F75</f>
        <v>Veg</v>
      </c>
      <c r="E223" s="6" t="str">
        <f aca="false">'Dish Database'!E75</f>
        <v>North</v>
      </c>
      <c r="F223" s="6" t="s">
        <v>2246</v>
      </c>
      <c r="G223" s="6" t="s">
        <v>2255</v>
      </c>
      <c r="H223" s="16" t="n">
        <v>400</v>
      </c>
      <c r="I223" s="6" t="str">
        <f aca="false">'Dish Database'!I75</f>
        <v>ml</v>
      </c>
      <c r="J223" s="13" t="n">
        <f aca="false">'Dish Database'!J75*H223/100</f>
        <v>376.4</v>
      </c>
      <c r="K223" s="17" t="n">
        <f aca="false">'Dish Database'!K75*H223/100</f>
        <v>10.4</v>
      </c>
      <c r="L223" s="17" t="n">
        <f aca="false">'Dish Database'!L75*H223/100</f>
        <v>62</v>
      </c>
      <c r="M223" s="17" t="n">
        <f aca="false">'Dish Database'!M75*H223/100</f>
        <v>10</v>
      </c>
      <c r="N223" s="17" t="n">
        <f aca="false">'Dish Database'!N75*H223/100</f>
        <v>1.6</v>
      </c>
      <c r="O223" s="17" t="n">
        <f aca="false">'Dish Database'!O75*H223/100</f>
        <v>58</v>
      </c>
      <c r="P223" s="13" t="n">
        <f aca="false">'Dish Database'!P75*H223/100</f>
        <v>152</v>
      </c>
    </row>
    <row r="224" customFormat="false" ht="15" hidden="false" customHeight="false" outlineLevel="0" collapsed="false">
      <c r="A224" s="6" t="str">
        <f aca="false">'Dish Database'!A76</f>
        <v>D075</v>
      </c>
      <c r="B224" s="6" t="str">
        <f aca="false">'Dish Database'!B76</f>
        <v>Rose lassi</v>
      </c>
      <c r="C224" s="6" t="str">
        <f aca="false">'Dish Database'!D76</f>
        <v>Lassi &amp; Buttermilk</v>
      </c>
      <c r="D224" s="6" t="str">
        <f aca="false">'Dish Database'!F76</f>
        <v>Veg</v>
      </c>
      <c r="E224" s="6" t="str">
        <f aca="false">'Dish Database'!E76</f>
        <v>North</v>
      </c>
      <c r="F224" s="6" t="s">
        <v>2243</v>
      </c>
      <c r="G224" s="6" t="s">
        <v>2253</v>
      </c>
      <c r="H224" s="16" t="n">
        <v>200</v>
      </c>
      <c r="I224" s="6" t="str">
        <f aca="false">'Dish Database'!I76</f>
        <v>ml</v>
      </c>
      <c r="J224" s="13" t="n">
        <f aca="false">'Dish Database'!J76*H224/100</f>
        <v>178.2</v>
      </c>
      <c r="K224" s="17" t="n">
        <f aca="false">'Dish Database'!K76*H224/100</f>
        <v>5.4</v>
      </c>
      <c r="L224" s="17" t="n">
        <f aca="false">'Dish Database'!L76*H224/100</f>
        <v>27</v>
      </c>
      <c r="M224" s="17" t="n">
        <f aca="false">'Dish Database'!M76*H224/100</f>
        <v>5.4</v>
      </c>
      <c r="N224" s="17" t="n">
        <f aca="false">'Dish Database'!N76*H224/100</f>
        <v>0</v>
      </c>
      <c r="O224" s="17" t="n">
        <f aca="false">'Dish Database'!O76*H224/100</f>
        <v>26</v>
      </c>
      <c r="P224" s="13" t="n">
        <f aca="false">'Dish Database'!P76*H224/100</f>
        <v>80</v>
      </c>
    </row>
    <row r="225" customFormat="false" ht="15" hidden="false" customHeight="false" outlineLevel="0" collapsed="false">
      <c r="A225" s="6" t="str">
        <f aca="false">'Dish Database'!A76</f>
        <v>D075</v>
      </c>
      <c r="B225" s="6" t="str">
        <f aca="false">'Dish Database'!B76</f>
        <v>Rose lassi</v>
      </c>
      <c r="C225" s="6" t="str">
        <f aca="false">'Dish Database'!D76</f>
        <v>Lassi &amp; Buttermilk</v>
      </c>
      <c r="D225" s="6" t="str">
        <f aca="false">'Dish Database'!F76</f>
        <v>Veg</v>
      </c>
      <c r="E225" s="6" t="str">
        <f aca="false">'Dish Database'!E76</f>
        <v>North</v>
      </c>
      <c r="F225" s="6" t="s">
        <v>103</v>
      </c>
      <c r="G225" s="6" t="s">
        <v>2254</v>
      </c>
      <c r="H225" s="16" t="n">
        <v>300</v>
      </c>
      <c r="I225" s="6" t="str">
        <f aca="false">'Dish Database'!I76</f>
        <v>ml</v>
      </c>
      <c r="J225" s="13" t="n">
        <f aca="false">'Dish Database'!J76*H225/100</f>
        <v>267.3</v>
      </c>
      <c r="K225" s="17" t="n">
        <f aca="false">'Dish Database'!K76*H225/100</f>
        <v>8.1</v>
      </c>
      <c r="L225" s="17" t="n">
        <f aca="false">'Dish Database'!L76*H225/100</f>
        <v>40.5</v>
      </c>
      <c r="M225" s="17" t="n">
        <f aca="false">'Dish Database'!M76*H225/100</f>
        <v>8.1</v>
      </c>
      <c r="N225" s="17" t="n">
        <f aca="false">'Dish Database'!N76*H225/100</f>
        <v>0</v>
      </c>
      <c r="O225" s="17" t="n">
        <f aca="false">'Dish Database'!O76*H225/100</f>
        <v>39</v>
      </c>
      <c r="P225" s="13" t="n">
        <f aca="false">'Dish Database'!P76*H225/100</f>
        <v>120</v>
      </c>
    </row>
    <row r="226" customFormat="false" ht="15" hidden="false" customHeight="false" outlineLevel="0" collapsed="false">
      <c r="A226" s="6" t="str">
        <f aca="false">'Dish Database'!A76</f>
        <v>D075</v>
      </c>
      <c r="B226" s="6" t="str">
        <f aca="false">'Dish Database'!B76</f>
        <v>Rose lassi</v>
      </c>
      <c r="C226" s="6" t="str">
        <f aca="false">'Dish Database'!D76</f>
        <v>Lassi &amp; Buttermilk</v>
      </c>
      <c r="D226" s="6" t="str">
        <f aca="false">'Dish Database'!F76</f>
        <v>Veg</v>
      </c>
      <c r="E226" s="6" t="str">
        <f aca="false">'Dish Database'!E76</f>
        <v>North</v>
      </c>
      <c r="F226" s="6" t="s">
        <v>2246</v>
      </c>
      <c r="G226" s="6" t="s">
        <v>2255</v>
      </c>
      <c r="H226" s="16" t="n">
        <v>400</v>
      </c>
      <c r="I226" s="6" t="str">
        <f aca="false">'Dish Database'!I76</f>
        <v>ml</v>
      </c>
      <c r="J226" s="13" t="n">
        <f aca="false">'Dish Database'!J76*H226/100</f>
        <v>356.4</v>
      </c>
      <c r="K226" s="17" t="n">
        <f aca="false">'Dish Database'!K76*H226/100</f>
        <v>10.8</v>
      </c>
      <c r="L226" s="17" t="n">
        <f aca="false">'Dish Database'!L76*H226/100</f>
        <v>54</v>
      </c>
      <c r="M226" s="17" t="n">
        <f aca="false">'Dish Database'!M76*H226/100</f>
        <v>10.8</v>
      </c>
      <c r="N226" s="17" t="n">
        <f aca="false">'Dish Database'!N76*H226/100</f>
        <v>0</v>
      </c>
      <c r="O226" s="17" t="n">
        <f aca="false">'Dish Database'!O76*H226/100</f>
        <v>52</v>
      </c>
      <c r="P226" s="13" t="n">
        <f aca="false">'Dish Database'!P76*H226/100</f>
        <v>160</v>
      </c>
    </row>
    <row r="227" customFormat="false" ht="15" hidden="false" customHeight="false" outlineLevel="0" collapsed="false">
      <c r="A227" s="6" t="str">
        <f aca="false">'Dish Database'!A77</f>
        <v>D076</v>
      </c>
      <c r="B227" s="6" t="str">
        <f aca="false">'Dish Database'!B77</f>
        <v>Banana lassi</v>
      </c>
      <c r="C227" s="6" t="str">
        <f aca="false">'Dish Database'!D77</f>
        <v>Lassi &amp; Buttermilk</v>
      </c>
      <c r="D227" s="6" t="str">
        <f aca="false">'Dish Database'!F77</f>
        <v>Veg</v>
      </c>
      <c r="E227" s="6" t="str">
        <f aca="false">'Dish Database'!E77</f>
        <v>North</v>
      </c>
      <c r="F227" s="6" t="s">
        <v>2243</v>
      </c>
      <c r="G227" s="6" t="s">
        <v>2253</v>
      </c>
      <c r="H227" s="16" t="n">
        <v>200</v>
      </c>
      <c r="I227" s="6" t="str">
        <f aca="false">'Dish Database'!I77</f>
        <v>ml</v>
      </c>
      <c r="J227" s="13" t="n">
        <f aca="false">'Dish Database'!J77*H227/100</f>
        <v>182</v>
      </c>
      <c r="K227" s="17" t="n">
        <f aca="false">'Dish Database'!K77*H227/100</f>
        <v>5.2</v>
      </c>
      <c r="L227" s="17" t="n">
        <f aca="false">'Dish Database'!L77*H227/100</f>
        <v>30</v>
      </c>
      <c r="M227" s="17" t="n">
        <f aca="false">'Dish Database'!M77*H227/100</f>
        <v>4.8</v>
      </c>
      <c r="N227" s="17" t="n">
        <f aca="false">'Dish Database'!N77*H227/100</f>
        <v>1</v>
      </c>
      <c r="O227" s="17" t="n">
        <f aca="false">'Dish Database'!O77*H227/100</f>
        <v>25</v>
      </c>
      <c r="P227" s="13" t="n">
        <f aca="false">'Dish Database'!P77*H227/100</f>
        <v>76</v>
      </c>
    </row>
    <row r="228" customFormat="false" ht="15" hidden="false" customHeight="false" outlineLevel="0" collapsed="false">
      <c r="A228" s="6" t="str">
        <f aca="false">'Dish Database'!A77</f>
        <v>D076</v>
      </c>
      <c r="B228" s="6" t="str">
        <f aca="false">'Dish Database'!B77</f>
        <v>Banana lassi</v>
      </c>
      <c r="C228" s="6" t="str">
        <f aca="false">'Dish Database'!D77</f>
        <v>Lassi &amp; Buttermilk</v>
      </c>
      <c r="D228" s="6" t="str">
        <f aca="false">'Dish Database'!F77</f>
        <v>Veg</v>
      </c>
      <c r="E228" s="6" t="str">
        <f aca="false">'Dish Database'!E77</f>
        <v>North</v>
      </c>
      <c r="F228" s="6" t="s">
        <v>103</v>
      </c>
      <c r="G228" s="6" t="s">
        <v>2254</v>
      </c>
      <c r="H228" s="16" t="n">
        <v>300</v>
      </c>
      <c r="I228" s="6" t="str">
        <f aca="false">'Dish Database'!I77</f>
        <v>ml</v>
      </c>
      <c r="J228" s="13" t="n">
        <f aca="false">'Dish Database'!J77*H228/100</f>
        <v>273</v>
      </c>
      <c r="K228" s="17" t="n">
        <f aca="false">'Dish Database'!K77*H228/100</f>
        <v>7.8</v>
      </c>
      <c r="L228" s="17" t="n">
        <f aca="false">'Dish Database'!L77*H228/100</f>
        <v>45</v>
      </c>
      <c r="M228" s="17" t="n">
        <f aca="false">'Dish Database'!M77*H228/100</f>
        <v>7.2</v>
      </c>
      <c r="N228" s="17" t="n">
        <f aca="false">'Dish Database'!N77*H228/100</f>
        <v>1.5</v>
      </c>
      <c r="O228" s="17" t="n">
        <f aca="false">'Dish Database'!O77*H228/100</f>
        <v>37.5</v>
      </c>
      <c r="P228" s="13" t="n">
        <f aca="false">'Dish Database'!P77*H228/100</f>
        <v>114</v>
      </c>
    </row>
    <row r="229" customFormat="false" ht="15" hidden="false" customHeight="false" outlineLevel="0" collapsed="false">
      <c r="A229" s="6" t="str">
        <f aca="false">'Dish Database'!A77</f>
        <v>D076</v>
      </c>
      <c r="B229" s="6" t="str">
        <f aca="false">'Dish Database'!B77</f>
        <v>Banana lassi</v>
      </c>
      <c r="C229" s="6" t="str">
        <f aca="false">'Dish Database'!D77</f>
        <v>Lassi &amp; Buttermilk</v>
      </c>
      <c r="D229" s="6" t="str">
        <f aca="false">'Dish Database'!F77</f>
        <v>Veg</v>
      </c>
      <c r="E229" s="6" t="str">
        <f aca="false">'Dish Database'!E77</f>
        <v>North</v>
      </c>
      <c r="F229" s="6" t="s">
        <v>2246</v>
      </c>
      <c r="G229" s="6" t="s">
        <v>2255</v>
      </c>
      <c r="H229" s="16" t="n">
        <v>400</v>
      </c>
      <c r="I229" s="6" t="str">
        <f aca="false">'Dish Database'!I77</f>
        <v>ml</v>
      </c>
      <c r="J229" s="13" t="n">
        <f aca="false">'Dish Database'!J77*H229/100</f>
        <v>364</v>
      </c>
      <c r="K229" s="17" t="n">
        <f aca="false">'Dish Database'!K77*H229/100</f>
        <v>10.4</v>
      </c>
      <c r="L229" s="17" t="n">
        <f aca="false">'Dish Database'!L77*H229/100</f>
        <v>60</v>
      </c>
      <c r="M229" s="17" t="n">
        <f aca="false">'Dish Database'!M77*H229/100</f>
        <v>9.6</v>
      </c>
      <c r="N229" s="17" t="n">
        <f aca="false">'Dish Database'!N77*H229/100</f>
        <v>2</v>
      </c>
      <c r="O229" s="17" t="n">
        <f aca="false">'Dish Database'!O77*H229/100</f>
        <v>50</v>
      </c>
      <c r="P229" s="13" t="n">
        <f aca="false">'Dish Database'!P77*H229/100</f>
        <v>152</v>
      </c>
    </row>
    <row r="230" customFormat="false" ht="15" hidden="false" customHeight="false" outlineLevel="0" collapsed="false">
      <c r="A230" s="6" t="str">
        <f aca="false">'Dish Database'!A78</f>
        <v>D077</v>
      </c>
      <c r="B230" s="6" t="str">
        <f aca="false">'Dish Database'!B78</f>
        <v>Punjabi malai lassi (with cream)</v>
      </c>
      <c r="C230" s="6" t="str">
        <f aca="false">'Dish Database'!D78</f>
        <v>Lassi &amp; Buttermilk</v>
      </c>
      <c r="D230" s="6" t="str">
        <f aca="false">'Dish Database'!F78</f>
        <v>Veg</v>
      </c>
      <c r="E230" s="6" t="str">
        <f aca="false">'Dish Database'!E78</f>
        <v>North</v>
      </c>
      <c r="F230" s="6" t="s">
        <v>2243</v>
      </c>
      <c r="G230" s="6" t="s">
        <v>2253</v>
      </c>
      <c r="H230" s="16" t="n">
        <v>200</v>
      </c>
      <c r="I230" s="6" t="str">
        <f aca="false">'Dish Database'!I78</f>
        <v>ml</v>
      </c>
      <c r="J230" s="13" t="n">
        <f aca="false">'Dish Database'!J78*H230/100</f>
        <v>239</v>
      </c>
      <c r="K230" s="17" t="n">
        <f aca="false">'Dish Database'!K78*H230/100</f>
        <v>6</v>
      </c>
      <c r="L230" s="17" t="n">
        <f aca="false">'Dish Database'!L78*H230/100</f>
        <v>29</v>
      </c>
      <c r="M230" s="17" t="n">
        <f aca="false">'Dish Database'!M78*H230/100</f>
        <v>11</v>
      </c>
      <c r="N230" s="17" t="n">
        <f aca="false">'Dish Database'!N78*H230/100</f>
        <v>0</v>
      </c>
      <c r="O230" s="17" t="n">
        <f aca="false">'Dish Database'!O78*H230/100</f>
        <v>28</v>
      </c>
      <c r="P230" s="13" t="n">
        <f aca="false">'Dish Database'!P78*H230/100</f>
        <v>84</v>
      </c>
    </row>
    <row r="231" customFormat="false" ht="15" hidden="false" customHeight="false" outlineLevel="0" collapsed="false">
      <c r="A231" s="6" t="str">
        <f aca="false">'Dish Database'!A78</f>
        <v>D077</v>
      </c>
      <c r="B231" s="6" t="str">
        <f aca="false">'Dish Database'!B78</f>
        <v>Punjabi malai lassi (with cream)</v>
      </c>
      <c r="C231" s="6" t="str">
        <f aca="false">'Dish Database'!D78</f>
        <v>Lassi &amp; Buttermilk</v>
      </c>
      <c r="D231" s="6" t="str">
        <f aca="false">'Dish Database'!F78</f>
        <v>Veg</v>
      </c>
      <c r="E231" s="6" t="str">
        <f aca="false">'Dish Database'!E78</f>
        <v>North</v>
      </c>
      <c r="F231" s="6" t="s">
        <v>103</v>
      </c>
      <c r="G231" s="6" t="s">
        <v>2254</v>
      </c>
      <c r="H231" s="16" t="n">
        <v>300</v>
      </c>
      <c r="I231" s="6" t="str">
        <f aca="false">'Dish Database'!I78</f>
        <v>ml</v>
      </c>
      <c r="J231" s="13" t="n">
        <f aca="false">'Dish Database'!J78*H231/100</f>
        <v>358.5</v>
      </c>
      <c r="K231" s="17" t="n">
        <f aca="false">'Dish Database'!K78*H231/100</f>
        <v>9</v>
      </c>
      <c r="L231" s="17" t="n">
        <f aca="false">'Dish Database'!L78*H231/100</f>
        <v>43.5</v>
      </c>
      <c r="M231" s="17" t="n">
        <f aca="false">'Dish Database'!M78*H231/100</f>
        <v>16.5</v>
      </c>
      <c r="N231" s="17" t="n">
        <f aca="false">'Dish Database'!N78*H231/100</f>
        <v>0</v>
      </c>
      <c r="O231" s="17" t="n">
        <f aca="false">'Dish Database'!O78*H231/100</f>
        <v>42</v>
      </c>
      <c r="P231" s="13" t="n">
        <f aca="false">'Dish Database'!P78*H231/100</f>
        <v>126</v>
      </c>
    </row>
    <row r="232" customFormat="false" ht="15" hidden="false" customHeight="false" outlineLevel="0" collapsed="false">
      <c r="A232" s="6" t="str">
        <f aca="false">'Dish Database'!A78</f>
        <v>D077</v>
      </c>
      <c r="B232" s="6" t="str">
        <f aca="false">'Dish Database'!B78</f>
        <v>Punjabi malai lassi (with cream)</v>
      </c>
      <c r="C232" s="6" t="str">
        <f aca="false">'Dish Database'!D78</f>
        <v>Lassi &amp; Buttermilk</v>
      </c>
      <c r="D232" s="6" t="str">
        <f aca="false">'Dish Database'!F78</f>
        <v>Veg</v>
      </c>
      <c r="E232" s="6" t="str">
        <f aca="false">'Dish Database'!E78</f>
        <v>North</v>
      </c>
      <c r="F232" s="6" t="s">
        <v>2246</v>
      </c>
      <c r="G232" s="6" t="s">
        <v>2255</v>
      </c>
      <c r="H232" s="16" t="n">
        <v>400</v>
      </c>
      <c r="I232" s="6" t="str">
        <f aca="false">'Dish Database'!I78</f>
        <v>ml</v>
      </c>
      <c r="J232" s="13" t="n">
        <f aca="false">'Dish Database'!J78*H232/100</f>
        <v>478</v>
      </c>
      <c r="K232" s="17" t="n">
        <f aca="false">'Dish Database'!K78*H232/100</f>
        <v>12</v>
      </c>
      <c r="L232" s="17" t="n">
        <f aca="false">'Dish Database'!L78*H232/100</f>
        <v>58</v>
      </c>
      <c r="M232" s="17" t="n">
        <f aca="false">'Dish Database'!M78*H232/100</f>
        <v>22</v>
      </c>
      <c r="N232" s="17" t="n">
        <f aca="false">'Dish Database'!N78*H232/100</f>
        <v>0</v>
      </c>
      <c r="O232" s="17" t="n">
        <f aca="false">'Dish Database'!O78*H232/100</f>
        <v>56</v>
      </c>
      <c r="P232" s="13" t="n">
        <f aca="false">'Dish Database'!P78*H232/100</f>
        <v>168</v>
      </c>
    </row>
    <row r="233" customFormat="false" ht="15" hidden="false" customHeight="false" outlineLevel="0" collapsed="false">
      <c r="A233" s="6" t="str">
        <f aca="false">'Dish Database'!A79</f>
        <v>D078</v>
      </c>
      <c r="B233" s="6" t="str">
        <f aca="false">'Dish Database'!B79</f>
        <v>Dry fruit lassi</v>
      </c>
      <c r="C233" s="6" t="str">
        <f aca="false">'Dish Database'!D79</f>
        <v>Lassi &amp; Buttermilk</v>
      </c>
      <c r="D233" s="6" t="str">
        <f aca="false">'Dish Database'!F79</f>
        <v>Veg</v>
      </c>
      <c r="E233" s="6" t="str">
        <f aca="false">'Dish Database'!E79</f>
        <v>North</v>
      </c>
      <c r="F233" s="6" t="s">
        <v>2243</v>
      </c>
      <c r="G233" s="6" t="s">
        <v>2253</v>
      </c>
      <c r="H233" s="16" t="n">
        <v>200</v>
      </c>
      <c r="I233" s="6" t="str">
        <f aca="false">'Dish Database'!I79</f>
        <v>ml</v>
      </c>
      <c r="J233" s="13" t="n">
        <f aca="false">'Dish Database'!J79*H233/100</f>
        <v>224.6</v>
      </c>
      <c r="K233" s="17" t="n">
        <f aca="false">'Dish Database'!K79*H233/100</f>
        <v>6.4</v>
      </c>
      <c r="L233" s="17" t="n">
        <f aca="false">'Dish Database'!L79*H233/100</f>
        <v>30</v>
      </c>
      <c r="M233" s="17" t="n">
        <f aca="false">'Dish Database'!M79*H233/100</f>
        <v>9</v>
      </c>
      <c r="N233" s="17" t="n">
        <f aca="false">'Dish Database'!N79*H233/100</f>
        <v>1</v>
      </c>
      <c r="O233" s="17" t="n">
        <f aca="false">'Dish Database'!O79*H233/100</f>
        <v>27</v>
      </c>
      <c r="P233" s="13" t="n">
        <f aca="false">'Dish Database'!P79*H233/100</f>
        <v>80</v>
      </c>
    </row>
    <row r="234" customFormat="false" ht="15" hidden="false" customHeight="false" outlineLevel="0" collapsed="false">
      <c r="A234" s="6" t="str">
        <f aca="false">'Dish Database'!A79</f>
        <v>D078</v>
      </c>
      <c r="B234" s="6" t="str">
        <f aca="false">'Dish Database'!B79</f>
        <v>Dry fruit lassi</v>
      </c>
      <c r="C234" s="6" t="str">
        <f aca="false">'Dish Database'!D79</f>
        <v>Lassi &amp; Buttermilk</v>
      </c>
      <c r="D234" s="6" t="str">
        <f aca="false">'Dish Database'!F79</f>
        <v>Veg</v>
      </c>
      <c r="E234" s="6" t="str">
        <f aca="false">'Dish Database'!E79</f>
        <v>North</v>
      </c>
      <c r="F234" s="6" t="s">
        <v>103</v>
      </c>
      <c r="G234" s="6" t="s">
        <v>2254</v>
      </c>
      <c r="H234" s="16" t="n">
        <v>300</v>
      </c>
      <c r="I234" s="6" t="str">
        <f aca="false">'Dish Database'!I79</f>
        <v>ml</v>
      </c>
      <c r="J234" s="13" t="n">
        <f aca="false">'Dish Database'!J79*H234/100</f>
        <v>336.9</v>
      </c>
      <c r="K234" s="17" t="n">
        <f aca="false">'Dish Database'!K79*H234/100</f>
        <v>9.6</v>
      </c>
      <c r="L234" s="17" t="n">
        <f aca="false">'Dish Database'!L79*H234/100</f>
        <v>45</v>
      </c>
      <c r="M234" s="17" t="n">
        <f aca="false">'Dish Database'!M79*H234/100</f>
        <v>13.5</v>
      </c>
      <c r="N234" s="17" t="n">
        <f aca="false">'Dish Database'!N79*H234/100</f>
        <v>1.5</v>
      </c>
      <c r="O234" s="17" t="n">
        <f aca="false">'Dish Database'!O79*H234/100</f>
        <v>40.5</v>
      </c>
      <c r="P234" s="13" t="n">
        <f aca="false">'Dish Database'!P79*H234/100</f>
        <v>120</v>
      </c>
    </row>
    <row r="235" customFormat="false" ht="15" hidden="false" customHeight="false" outlineLevel="0" collapsed="false">
      <c r="A235" s="6" t="str">
        <f aca="false">'Dish Database'!A79</f>
        <v>D078</v>
      </c>
      <c r="B235" s="6" t="str">
        <f aca="false">'Dish Database'!B79</f>
        <v>Dry fruit lassi</v>
      </c>
      <c r="C235" s="6" t="str">
        <f aca="false">'Dish Database'!D79</f>
        <v>Lassi &amp; Buttermilk</v>
      </c>
      <c r="D235" s="6" t="str">
        <f aca="false">'Dish Database'!F79</f>
        <v>Veg</v>
      </c>
      <c r="E235" s="6" t="str">
        <f aca="false">'Dish Database'!E79</f>
        <v>North</v>
      </c>
      <c r="F235" s="6" t="s">
        <v>2246</v>
      </c>
      <c r="G235" s="6" t="s">
        <v>2255</v>
      </c>
      <c r="H235" s="16" t="n">
        <v>400</v>
      </c>
      <c r="I235" s="6" t="str">
        <f aca="false">'Dish Database'!I79</f>
        <v>ml</v>
      </c>
      <c r="J235" s="13" t="n">
        <f aca="false">'Dish Database'!J79*H235/100</f>
        <v>449.2</v>
      </c>
      <c r="K235" s="17" t="n">
        <f aca="false">'Dish Database'!K79*H235/100</f>
        <v>12.8</v>
      </c>
      <c r="L235" s="17" t="n">
        <f aca="false">'Dish Database'!L79*H235/100</f>
        <v>60</v>
      </c>
      <c r="M235" s="17" t="n">
        <f aca="false">'Dish Database'!M79*H235/100</f>
        <v>18</v>
      </c>
      <c r="N235" s="17" t="n">
        <f aca="false">'Dish Database'!N79*H235/100</f>
        <v>2</v>
      </c>
      <c r="O235" s="17" t="n">
        <f aca="false">'Dish Database'!O79*H235/100</f>
        <v>54</v>
      </c>
      <c r="P235" s="13" t="n">
        <f aca="false">'Dish Database'!P79*H235/100</f>
        <v>160</v>
      </c>
    </row>
    <row r="236" customFormat="false" ht="15" hidden="false" customHeight="false" outlineLevel="0" collapsed="false">
      <c r="A236" s="6" t="str">
        <f aca="false">'Dish Database'!A80</f>
        <v>D079</v>
      </c>
      <c r="B236" s="6" t="str">
        <f aca="false">'Dish Database'!B80</f>
        <v>Chaas / plain buttermilk (salted)</v>
      </c>
      <c r="C236" s="6" t="str">
        <f aca="false">'Dish Database'!D80</f>
        <v>Lassi &amp; Buttermilk</v>
      </c>
      <c r="D236" s="6" t="str">
        <f aca="false">'Dish Database'!F80</f>
        <v>Veg</v>
      </c>
      <c r="E236" s="6" t="str">
        <f aca="false">'Dish Database'!E80</f>
        <v>Pan-India</v>
      </c>
      <c r="F236" s="6" t="s">
        <v>2243</v>
      </c>
      <c r="G236" s="6" t="s">
        <v>2248</v>
      </c>
      <c r="H236" s="16" t="n">
        <v>150</v>
      </c>
      <c r="I236" s="6" t="str">
        <f aca="false">'Dish Database'!I80</f>
        <v>ml</v>
      </c>
      <c r="J236" s="13" t="n">
        <f aca="false">'Dish Database'!J80*H236/100</f>
        <v>24</v>
      </c>
      <c r="K236" s="17" t="n">
        <f aca="false">'Dish Database'!K80*H236/100</f>
        <v>1.35</v>
      </c>
      <c r="L236" s="17" t="n">
        <f aca="false">'Dish Database'!L80*H236/100</f>
        <v>1.95</v>
      </c>
      <c r="M236" s="17" t="n">
        <f aca="false">'Dish Database'!M80*H236/100</f>
        <v>1.2</v>
      </c>
      <c r="N236" s="17" t="n">
        <f aca="false">'Dish Database'!N80*H236/100</f>
        <v>0</v>
      </c>
      <c r="O236" s="17" t="n">
        <f aca="false">'Dish Database'!O80*H236/100</f>
        <v>1.95</v>
      </c>
      <c r="P236" s="13" t="n">
        <f aca="false">'Dish Database'!P80*H236/100</f>
        <v>300</v>
      </c>
    </row>
    <row r="237" customFormat="false" ht="15" hidden="false" customHeight="false" outlineLevel="0" collapsed="false">
      <c r="A237" s="6" t="str">
        <f aca="false">'Dish Database'!A80</f>
        <v>D079</v>
      </c>
      <c r="B237" s="6" t="str">
        <f aca="false">'Dish Database'!B80</f>
        <v>Chaas / plain buttermilk (salted)</v>
      </c>
      <c r="C237" s="6" t="str">
        <f aca="false">'Dish Database'!D80</f>
        <v>Lassi &amp; Buttermilk</v>
      </c>
      <c r="D237" s="6" t="str">
        <f aca="false">'Dish Database'!F80</f>
        <v>Veg</v>
      </c>
      <c r="E237" s="6" t="str">
        <f aca="false">'Dish Database'!E80</f>
        <v>Pan-India</v>
      </c>
      <c r="F237" s="6" t="s">
        <v>103</v>
      </c>
      <c r="G237" s="6" t="s">
        <v>2251</v>
      </c>
      <c r="H237" s="16" t="n">
        <v>250</v>
      </c>
      <c r="I237" s="6" t="str">
        <f aca="false">'Dish Database'!I80</f>
        <v>ml</v>
      </c>
      <c r="J237" s="13" t="n">
        <f aca="false">'Dish Database'!J80*H237/100</f>
        <v>40</v>
      </c>
      <c r="K237" s="17" t="n">
        <f aca="false">'Dish Database'!K80*H237/100</f>
        <v>2.25</v>
      </c>
      <c r="L237" s="17" t="n">
        <f aca="false">'Dish Database'!L80*H237/100</f>
        <v>3.25</v>
      </c>
      <c r="M237" s="17" t="n">
        <f aca="false">'Dish Database'!M80*H237/100</f>
        <v>2</v>
      </c>
      <c r="N237" s="17" t="n">
        <f aca="false">'Dish Database'!N80*H237/100</f>
        <v>0</v>
      </c>
      <c r="O237" s="17" t="n">
        <f aca="false">'Dish Database'!O80*H237/100</f>
        <v>3.25</v>
      </c>
      <c r="P237" s="13" t="n">
        <f aca="false">'Dish Database'!P80*H237/100</f>
        <v>500</v>
      </c>
    </row>
    <row r="238" customFormat="false" ht="15" hidden="false" customHeight="false" outlineLevel="0" collapsed="false">
      <c r="A238" s="6" t="str">
        <f aca="false">'Dish Database'!A80</f>
        <v>D079</v>
      </c>
      <c r="B238" s="6" t="str">
        <f aca="false">'Dish Database'!B80</f>
        <v>Chaas / plain buttermilk (salted)</v>
      </c>
      <c r="C238" s="6" t="str">
        <f aca="false">'Dish Database'!D80</f>
        <v>Lassi &amp; Buttermilk</v>
      </c>
      <c r="D238" s="6" t="str">
        <f aca="false">'Dish Database'!F80</f>
        <v>Veg</v>
      </c>
      <c r="E238" s="6" t="str">
        <f aca="false">'Dish Database'!E80</f>
        <v>Pan-India</v>
      </c>
      <c r="F238" s="6" t="s">
        <v>2246</v>
      </c>
      <c r="G238" s="6" t="s">
        <v>2252</v>
      </c>
      <c r="H238" s="16" t="n">
        <v>350</v>
      </c>
      <c r="I238" s="6" t="str">
        <f aca="false">'Dish Database'!I80</f>
        <v>ml</v>
      </c>
      <c r="J238" s="13" t="n">
        <f aca="false">'Dish Database'!J80*H238/100</f>
        <v>56</v>
      </c>
      <c r="K238" s="17" t="n">
        <f aca="false">'Dish Database'!K80*H238/100</f>
        <v>3.15</v>
      </c>
      <c r="L238" s="17" t="n">
        <f aca="false">'Dish Database'!L80*H238/100</f>
        <v>4.55</v>
      </c>
      <c r="M238" s="17" t="n">
        <f aca="false">'Dish Database'!M80*H238/100</f>
        <v>2.8</v>
      </c>
      <c r="N238" s="17" t="n">
        <f aca="false">'Dish Database'!N80*H238/100</f>
        <v>0</v>
      </c>
      <c r="O238" s="17" t="n">
        <f aca="false">'Dish Database'!O80*H238/100</f>
        <v>4.55</v>
      </c>
      <c r="P238" s="13" t="n">
        <f aca="false">'Dish Database'!P80*H238/100</f>
        <v>700</v>
      </c>
    </row>
    <row r="239" customFormat="false" ht="15" hidden="false" customHeight="false" outlineLevel="0" collapsed="false">
      <c r="A239" s="6" t="str">
        <f aca="false">'Dish Database'!A81</f>
        <v>D080</v>
      </c>
      <c r="B239" s="6" t="str">
        <f aca="false">'Dish Database'!B81</f>
        <v>Masala chaas</v>
      </c>
      <c r="C239" s="6" t="str">
        <f aca="false">'Dish Database'!D81</f>
        <v>Lassi &amp; Buttermilk</v>
      </c>
      <c r="D239" s="6" t="str">
        <f aca="false">'Dish Database'!F81</f>
        <v>Veg</v>
      </c>
      <c r="E239" s="6" t="str">
        <f aca="false">'Dish Database'!E81</f>
        <v>West</v>
      </c>
      <c r="F239" s="6" t="s">
        <v>2243</v>
      </c>
      <c r="G239" s="6" t="s">
        <v>2248</v>
      </c>
      <c r="H239" s="16" t="n">
        <v>150</v>
      </c>
      <c r="I239" s="6" t="str">
        <f aca="false">'Dish Database'!I81</f>
        <v>ml</v>
      </c>
      <c r="J239" s="13" t="n">
        <f aca="false">'Dish Database'!J81*H239/100</f>
        <v>25.5</v>
      </c>
      <c r="K239" s="17" t="n">
        <f aca="false">'Dish Database'!K81*H239/100</f>
        <v>1.35</v>
      </c>
      <c r="L239" s="17" t="n">
        <f aca="false">'Dish Database'!L81*H239/100</f>
        <v>2.4</v>
      </c>
      <c r="M239" s="17" t="n">
        <f aca="false">'Dish Database'!M81*H239/100</f>
        <v>1.2</v>
      </c>
      <c r="N239" s="17" t="n">
        <f aca="false">'Dish Database'!N81*H239/100</f>
        <v>0.15</v>
      </c>
      <c r="O239" s="17" t="n">
        <f aca="false">'Dish Database'!O81*H239/100</f>
        <v>1.8</v>
      </c>
      <c r="P239" s="13" t="n">
        <f aca="false">'Dish Database'!P81*H239/100</f>
        <v>375</v>
      </c>
    </row>
    <row r="240" customFormat="false" ht="15" hidden="false" customHeight="false" outlineLevel="0" collapsed="false">
      <c r="A240" s="6" t="str">
        <f aca="false">'Dish Database'!A81</f>
        <v>D080</v>
      </c>
      <c r="B240" s="6" t="str">
        <f aca="false">'Dish Database'!B81</f>
        <v>Masala chaas</v>
      </c>
      <c r="C240" s="6" t="str">
        <f aca="false">'Dish Database'!D81</f>
        <v>Lassi &amp; Buttermilk</v>
      </c>
      <c r="D240" s="6" t="str">
        <f aca="false">'Dish Database'!F81</f>
        <v>Veg</v>
      </c>
      <c r="E240" s="6" t="str">
        <f aca="false">'Dish Database'!E81</f>
        <v>West</v>
      </c>
      <c r="F240" s="6" t="s">
        <v>103</v>
      </c>
      <c r="G240" s="6" t="s">
        <v>2251</v>
      </c>
      <c r="H240" s="16" t="n">
        <v>250</v>
      </c>
      <c r="I240" s="6" t="str">
        <f aca="false">'Dish Database'!I81</f>
        <v>ml</v>
      </c>
      <c r="J240" s="13" t="n">
        <f aca="false">'Dish Database'!J81*H240/100</f>
        <v>42.5</v>
      </c>
      <c r="K240" s="17" t="n">
        <f aca="false">'Dish Database'!K81*H240/100</f>
        <v>2.25</v>
      </c>
      <c r="L240" s="17" t="n">
        <f aca="false">'Dish Database'!L81*H240/100</f>
        <v>4</v>
      </c>
      <c r="M240" s="17" t="n">
        <f aca="false">'Dish Database'!M81*H240/100</f>
        <v>2</v>
      </c>
      <c r="N240" s="17" t="n">
        <f aca="false">'Dish Database'!N81*H240/100</f>
        <v>0.25</v>
      </c>
      <c r="O240" s="17" t="n">
        <f aca="false">'Dish Database'!O81*H240/100</f>
        <v>3</v>
      </c>
      <c r="P240" s="13" t="n">
        <f aca="false">'Dish Database'!P81*H240/100</f>
        <v>625</v>
      </c>
    </row>
    <row r="241" customFormat="false" ht="15" hidden="false" customHeight="false" outlineLevel="0" collapsed="false">
      <c r="A241" s="6" t="str">
        <f aca="false">'Dish Database'!A81</f>
        <v>D080</v>
      </c>
      <c r="B241" s="6" t="str">
        <f aca="false">'Dish Database'!B81</f>
        <v>Masala chaas</v>
      </c>
      <c r="C241" s="6" t="str">
        <f aca="false">'Dish Database'!D81</f>
        <v>Lassi &amp; Buttermilk</v>
      </c>
      <c r="D241" s="6" t="str">
        <f aca="false">'Dish Database'!F81</f>
        <v>Veg</v>
      </c>
      <c r="E241" s="6" t="str">
        <f aca="false">'Dish Database'!E81</f>
        <v>West</v>
      </c>
      <c r="F241" s="6" t="s">
        <v>2246</v>
      </c>
      <c r="G241" s="6" t="s">
        <v>2252</v>
      </c>
      <c r="H241" s="16" t="n">
        <v>350</v>
      </c>
      <c r="I241" s="6" t="str">
        <f aca="false">'Dish Database'!I81</f>
        <v>ml</v>
      </c>
      <c r="J241" s="13" t="n">
        <f aca="false">'Dish Database'!J81*H241/100</f>
        <v>59.5</v>
      </c>
      <c r="K241" s="17" t="n">
        <f aca="false">'Dish Database'!K81*H241/100</f>
        <v>3.15</v>
      </c>
      <c r="L241" s="17" t="n">
        <f aca="false">'Dish Database'!L81*H241/100</f>
        <v>5.6</v>
      </c>
      <c r="M241" s="17" t="n">
        <f aca="false">'Dish Database'!M81*H241/100</f>
        <v>2.8</v>
      </c>
      <c r="N241" s="17" t="n">
        <f aca="false">'Dish Database'!N81*H241/100</f>
        <v>0.35</v>
      </c>
      <c r="O241" s="17" t="n">
        <f aca="false">'Dish Database'!O81*H241/100</f>
        <v>4.2</v>
      </c>
      <c r="P241" s="13" t="n">
        <f aca="false">'Dish Database'!P81*H241/100</f>
        <v>875</v>
      </c>
    </row>
    <row r="242" customFormat="false" ht="15" hidden="false" customHeight="false" outlineLevel="0" collapsed="false">
      <c r="A242" s="6" t="str">
        <f aca="false">'Dish Database'!A82</f>
        <v>D081</v>
      </c>
      <c r="B242" s="6" t="str">
        <f aca="false">'Dish Database'!B82</f>
        <v>Neer mor</v>
      </c>
      <c r="C242" s="6" t="str">
        <f aca="false">'Dish Database'!D82</f>
        <v>Lassi &amp; Buttermilk</v>
      </c>
      <c r="D242" s="6" t="str">
        <f aca="false">'Dish Database'!F82</f>
        <v>Veg</v>
      </c>
      <c r="E242" s="6" t="str">
        <f aca="false">'Dish Database'!E82</f>
        <v>South</v>
      </c>
      <c r="F242" s="6" t="s">
        <v>2243</v>
      </c>
      <c r="G242" s="6" t="s">
        <v>2248</v>
      </c>
      <c r="H242" s="16" t="n">
        <v>150</v>
      </c>
      <c r="I242" s="6" t="str">
        <f aca="false">'Dish Database'!I82</f>
        <v>ml</v>
      </c>
      <c r="J242" s="13" t="n">
        <f aca="false">'Dish Database'!J82*H242/100</f>
        <v>18.6</v>
      </c>
      <c r="K242" s="17" t="n">
        <f aca="false">'Dish Database'!K82*H242/100</f>
        <v>1.05</v>
      </c>
      <c r="L242" s="17" t="n">
        <f aca="false">'Dish Database'!L82*H242/100</f>
        <v>1.65</v>
      </c>
      <c r="M242" s="17" t="n">
        <f aca="false">'Dish Database'!M82*H242/100</f>
        <v>0.9</v>
      </c>
      <c r="N242" s="17" t="n">
        <f aca="false">'Dish Database'!N82*H242/100</f>
        <v>0.15</v>
      </c>
      <c r="O242" s="17" t="n">
        <f aca="false">'Dish Database'!O82*H242/100</f>
        <v>1.5</v>
      </c>
      <c r="P242" s="13" t="n">
        <f aca="false">'Dish Database'!P82*H242/100</f>
        <v>330</v>
      </c>
    </row>
    <row r="243" customFormat="false" ht="15" hidden="false" customHeight="false" outlineLevel="0" collapsed="false">
      <c r="A243" s="6" t="str">
        <f aca="false">'Dish Database'!A82</f>
        <v>D081</v>
      </c>
      <c r="B243" s="6" t="str">
        <f aca="false">'Dish Database'!B82</f>
        <v>Neer mor</v>
      </c>
      <c r="C243" s="6" t="str">
        <f aca="false">'Dish Database'!D82</f>
        <v>Lassi &amp; Buttermilk</v>
      </c>
      <c r="D243" s="6" t="str">
        <f aca="false">'Dish Database'!F82</f>
        <v>Veg</v>
      </c>
      <c r="E243" s="6" t="str">
        <f aca="false">'Dish Database'!E82</f>
        <v>South</v>
      </c>
      <c r="F243" s="6" t="s">
        <v>103</v>
      </c>
      <c r="G243" s="6" t="s">
        <v>2251</v>
      </c>
      <c r="H243" s="16" t="n">
        <v>250</v>
      </c>
      <c r="I243" s="6" t="str">
        <f aca="false">'Dish Database'!I82</f>
        <v>ml</v>
      </c>
      <c r="J243" s="13" t="n">
        <f aca="false">'Dish Database'!J82*H243/100</f>
        <v>31</v>
      </c>
      <c r="K243" s="17" t="n">
        <f aca="false">'Dish Database'!K82*H243/100</f>
        <v>1.75</v>
      </c>
      <c r="L243" s="17" t="n">
        <f aca="false">'Dish Database'!L82*H243/100</f>
        <v>2.75</v>
      </c>
      <c r="M243" s="17" t="n">
        <f aca="false">'Dish Database'!M82*H243/100</f>
        <v>1.5</v>
      </c>
      <c r="N243" s="17" t="n">
        <f aca="false">'Dish Database'!N82*H243/100</f>
        <v>0.25</v>
      </c>
      <c r="O243" s="17" t="n">
        <f aca="false">'Dish Database'!O82*H243/100</f>
        <v>2.5</v>
      </c>
      <c r="P243" s="13" t="n">
        <f aca="false">'Dish Database'!P82*H243/100</f>
        <v>550</v>
      </c>
    </row>
    <row r="244" customFormat="false" ht="15" hidden="false" customHeight="false" outlineLevel="0" collapsed="false">
      <c r="A244" s="6" t="str">
        <f aca="false">'Dish Database'!A82</f>
        <v>D081</v>
      </c>
      <c r="B244" s="6" t="str">
        <f aca="false">'Dish Database'!B82</f>
        <v>Neer mor</v>
      </c>
      <c r="C244" s="6" t="str">
        <f aca="false">'Dish Database'!D82</f>
        <v>Lassi &amp; Buttermilk</v>
      </c>
      <c r="D244" s="6" t="str">
        <f aca="false">'Dish Database'!F82</f>
        <v>Veg</v>
      </c>
      <c r="E244" s="6" t="str">
        <f aca="false">'Dish Database'!E82</f>
        <v>South</v>
      </c>
      <c r="F244" s="6" t="s">
        <v>2246</v>
      </c>
      <c r="G244" s="6" t="s">
        <v>2252</v>
      </c>
      <c r="H244" s="16" t="n">
        <v>350</v>
      </c>
      <c r="I244" s="6" t="str">
        <f aca="false">'Dish Database'!I82</f>
        <v>ml</v>
      </c>
      <c r="J244" s="13" t="n">
        <f aca="false">'Dish Database'!J82*H244/100</f>
        <v>43.4</v>
      </c>
      <c r="K244" s="17" t="n">
        <f aca="false">'Dish Database'!K82*H244/100</f>
        <v>2.45</v>
      </c>
      <c r="L244" s="17" t="n">
        <f aca="false">'Dish Database'!L82*H244/100</f>
        <v>3.85</v>
      </c>
      <c r="M244" s="17" t="n">
        <f aca="false">'Dish Database'!M82*H244/100</f>
        <v>2.1</v>
      </c>
      <c r="N244" s="17" t="n">
        <f aca="false">'Dish Database'!N82*H244/100</f>
        <v>0.35</v>
      </c>
      <c r="O244" s="17" t="n">
        <f aca="false">'Dish Database'!O82*H244/100</f>
        <v>3.5</v>
      </c>
      <c r="P244" s="13" t="n">
        <f aca="false">'Dish Database'!P82*H244/100</f>
        <v>770</v>
      </c>
    </row>
    <row r="245" customFormat="false" ht="15" hidden="false" customHeight="false" outlineLevel="0" collapsed="false">
      <c r="A245" s="6" t="str">
        <f aca="false">'Dish Database'!A83</f>
        <v>D082</v>
      </c>
      <c r="B245" s="6" t="str">
        <f aca="false">'Dish Database'!B83</f>
        <v>Banana milkshake</v>
      </c>
      <c r="C245" s="6" t="str">
        <f aca="false">'Dish Database'!D83</f>
        <v>Milkshakes &amp; Milk</v>
      </c>
      <c r="D245" s="6" t="str">
        <f aca="false">'Dish Database'!F83</f>
        <v>Veg</v>
      </c>
      <c r="E245" s="6" t="str">
        <f aca="false">'Dish Database'!E83</f>
        <v>Pan-India</v>
      </c>
      <c r="F245" s="6" t="s">
        <v>2243</v>
      </c>
      <c r="G245" s="6" t="s">
        <v>2253</v>
      </c>
      <c r="H245" s="16" t="n">
        <v>200</v>
      </c>
      <c r="I245" s="6" t="str">
        <f aca="false">'Dish Database'!I83</f>
        <v>ml</v>
      </c>
      <c r="J245" s="13" t="n">
        <f aca="false">'Dish Database'!J83*H245/100</f>
        <v>154.2</v>
      </c>
      <c r="K245" s="17" t="n">
        <f aca="false">'Dish Database'!K83*H245/100</f>
        <v>5</v>
      </c>
      <c r="L245" s="17" t="n">
        <f aca="false">'Dish Database'!L83*H245/100</f>
        <v>24.8</v>
      </c>
      <c r="M245" s="17" t="n">
        <f aca="false">'Dish Database'!M83*H245/100</f>
        <v>4.2</v>
      </c>
      <c r="N245" s="17" t="n">
        <f aca="false">'Dish Database'!N83*H245/100</f>
        <v>1.4</v>
      </c>
      <c r="O245" s="17" t="n">
        <f aca="false">'Dish Database'!O83*H245/100</f>
        <v>18.8</v>
      </c>
      <c r="P245" s="13" t="n">
        <f aca="false">'Dish Database'!P83*H245/100</f>
        <v>70</v>
      </c>
    </row>
    <row r="246" customFormat="false" ht="15" hidden="false" customHeight="false" outlineLevel="0" collapsed="false">
      <c r="A246" s="6" t="str">
        <f aca="false">'Dish Database'!A83</f>
        <v>D082</v>
      </c>
      <c r="B246" s="6" t="str">
        <f aca="false">'Dish Database'!B83</f>
        <v>Banana milkshake</v>
      </c>
      <c r="C246" s="6" t="str">
        <f aca="false">'Dish Database'!D83</f>
        <v>Milkshakes &amp; Milk</v>
      </c>
      <c r="D246" s="6" t="str">
        <f aca="false">'Dish Database'!F83</f>
        <v>Veg</v>
      </c>
      <c r="E246" s="6" t="str">
        <f aca="false">'Dish Database'!E83</f>
        <v>Pan-India</v>
      </c>
      <c r="F246" s="6" t="s">
        <v>103</v>
      </c>
      <c r="G246" s="6" t="s">
        <v>2254</v>
      </c>
      <c r="H246" s="16" t="n">
        <v>300</v>
      </c>
      <c r="I246" s="6" t="str">
        <f aca="false">'Dish Database'!I83</f>
        <v>ml</v>
      </c>
      <c r="J246" s="13" t="n">
        <f aca="false">'Dish Database'!J83*H246/100</f>
        <v>231.3</v>
      </c>
      <c r="K246" s="17" t="n">
        <f aca="false">'Dish Database'!K83*H246/100</f>
        <v>7.5</v>
      </c>
      <c r="L246" s="17" t="n">
        <f aca="false">'Dish Database'!L83*H246/100</f>
        <v>37.2</v>
      </c>
      <c r="M246" s="17" t="n">
        <f aca="false">'Dish Database'!M83*H246/100</f>
        <v>6.3</v>
      </c>
      <c r="N246" s="17" t="n">
        <f aca="false">'Dish Database'!N83*H246/100</f>
        <v>2.1</v>
      </c>
      <c r="O246" s="17" t="n">
        <f aca="false">'Dish Database'!O83*H246/100</f>
        <v>28.2</v>
      </c>
      <c r="P246" s="13" t="n">
        <f aca="false">'Dish Database'!P83*H246/100</f>
        <v>105</v>
      </c>
    </row>
    <row r="247" customFormat="false" ht="15" hidden="false" customHeight="false" outlineLevel="0" collapsed="false">
      <c r="A247" s="6" t="str">
        <f aca="false">'Dish Database'!A83</f>
        <v>D082</v>
      </c>
      <c r="B247" s="6" t="str">
        <f aca="false">'Dish Database'!B83</f>
        <v>Banana milkshake</v>
      </c>
      <c r="C247" s="6" t="str">
        <f aca="false">'Dish Database'!D83</f>
        <v>Milkshakes &amp; Milk</v>
      </c>
      <c r="D247" s="6" t="str">
        <f aca="false">'Dish Database'!F83</f>
        <v>Veg</v>
      </c>
      <c r="E247" s="6" t="str">
        <f aca="false">'Dish Database'!E83</f>
        <v>Pan-India</v>
      </c>
      <c r="F247" s="6" t="s">
        <v>2246</v>
      </c>
      <c r="G247" s="6" t="s">
        <v>2255</v>
      </c>
      <c r="H247" s="16" t="n">
        <v>400</v>
      </c>
      <c r="I247" s="6" t="str">
        <f aca="false">'Dish Database'!I83</f>
        <v>ml</v>
      </c>
      <c r="J247" s="13" t="n">
        <f aca="false">'Dish Database'!J83*H247/100</f>
        <v>308.4</v>
      </c>
      <c r="K247" s="17" t="n">
        <f aca="false">'Dish Database'!K83*H247/100</f>
        <v>10</v>
      </c>
      <c r="L247" s="17" t="n">
        <f aca="false">'Dish Database'!L83*H247/100</f>
        <v>49.6</v>
      </c>
      <c r="M247" s="17" t="n">
        <f aca="false">'Dish Database'!M83*H247/100</f>
        <v>8.4</v>
      </c>
      <c r="N247" s="17" t="n">
        <f aca="false">'Dish Database'!N83*H247/100</f>
        <v>2.8</v>
      </c>
      <c r="O247" s="17" t="n">
        <f aca="false">'Dish Database'!O83*H247/100</f>
        <v>37.6</v>
      </c>
      <c r="P247" s="13" t="n">
        <f aca="false">'Dish Database'!P83*H247/100</f>
        <v>140</v>
      </c>
    </row>
    <row r="248" customFormat="false" ht="15" hidden="false" customHeight="false" outlineLevel="0" collapsed="false">
      <c r="A248" s="6" t="str">
        <f aca="false">'Dish Database'!A84</f>
        <v>D083</v>
      </c>
      <c r="B248" s="6" t="str">
        <f aca="false">'Dish Database'!B84</f>
        <v>Mango milkshake</v>
      </c>
      <c r="C248" s="6" t="str">
        <f aca="false">'Dish Database'!D84</f>
        <v>Milkshakes &amp; Milk</v>
      </c>
      <c r="D248" s="6" t="str">
        <f aca="false">'Dish Database'!F84</f>
        <v>Veg</v>
      </c>
      <c r="E248" s="6" t="str">
        <f aca="false">'Dish Database'!E84</f>
        <v>Pan-India</v>
      </c>
      <c r="F248" s="6" t="s">
        <v>2243</v>
      </c>
      <c r="G248" s="6" t="s">
        <v>2253</v>
      </c>
      <c r="H248" s="16" t="n">
        <v>200</v>
      </c>
      <c r="I248" s="6" t="str">
        <f aca="false">'Dish Database'!I84</f>
        <v>ml</v>
      </c>
      <c r="J248" s="13" t="n">
        <f aca="false">'Dish Database'!J84*H248/100</f>
        <v>147</v>
      </c>
      <c r="K248" s="17" t="n">
        <f aca="false">'Dish Database'!K84*H248/100</f>
        <v>4.6</v>
      </c>
      <c r="L248" s="17" t="n">
        <f aca="false">'Dish Database'!L84*H248/100</f>
        <v>23.2</v>
      </c>
      <c r="M248" s="17" t="n">
        <f aca="false">'Dish Database'!M84*H248/100</f>
        <v>4.2</v>
      </c>
      <c r="N248" s="17" t="n">
        <f aca="false">'Dish Database'!N84*H248/100</f>
        <v>1</v>
      </c>
      <c r="O248" s="17" t="n">
        <f aca="false">'Dish Database'!O84*H248/100</f>
        <v>22.4</v>
      </c>
      <c r="P248" s="13" t="n">
        <f aca="false">'Dish Database'!P84*H248/100</f>
        <v>70</v>
      </c>
    </row>
    <row r="249" customFormat="false" ht="15" hidden="false" customHeight="false" outlineLevel="0" collapsed="false">
      <c r="A249" s="6" t="str">
        <f aca="false">'Dish Database'!A84</f>
        <v>D083</v>
      </c>
      <c r="B249" s="6" t="str">
        <f aca="false">'Dish Database'!B84</f>
        <v>Mango milkshake</v>
      </c>
      <c r="C249" s="6" t="str">
        <f aca="false">'Dish Database'!D84</f>
        <v>Milkshakes &amp; Milk</v>
      </c>
      <c r="D249" s="6" t="str">
        <f aca="false">'Dish Database'!F84</f>
        <v>Veg</v>
      </c>
      <c r="E249" s="6" t="str">
        <f aca="false">'Dish Database'!E84</f>
        <v>Pan-India</v>
      </c>
      <c r="F249" s="6" t="s">
        <v>103</v>
      </c>
      <c r="G249" s="6" t="s">
        <v>2254</v>
      </c>
      <c r="H249" s="16" t="n">
        <v>300</v>
      </c>
      <c r="I249" s="6" t="str">
        <f aca="false">'Dish Database'!I84</f>
        <v>ml</v>
      </c>
      <c r="J249" s="13" t="n">
        <f aca="false">'Dish Database'!J84*H249/100</f>
        <v>220.5</v>
      </c>
      <c r="K249" s="17" t="n">
        <f aca="false">'Dish Database'!K84*H249/100</f>
        <v>6.9</v>
      </c>
      <c r="L249" s="17" t="n">
        <f aca="false">'Dish Database'!L84*H249/100</f>
        <v>34.8</v>
      </c>
      <c r="M249" s="17" t="n">
        <f aca="false">'Dish Database'!M84*H249/100</f>
        <v>6.3</v>
      </c>
      <c r="N249" s="17" t="n">
        <f aca="false">'Dish Database'!N84*H249/100</f>
        <v>1.5</v>
      </c>
      <c r="O249" s="17" t="n">
        <f aca="false">'Dish Database'!O84*H249/100</f>
        <v>33.6</v>
      </c>
      <c r="P249" s="13" t="n">
        <f aca="false">'Dish Database'!P84*H249/100</f>
        <v>105</v>
      </c>
    </row>
    <row r="250" customFormat="false" ht="15" hidden="false" customHeight="false" outlineLevel="0" collapsed="false">
      <c r="A250" s="6" t="str">
        <f aca="false">'Dish Database'!A84</f>
        <v>D083</v>
      </c>
      <c r="B250" s="6" t="str">
        <f aca="false">'Dish Database'!B84</f>
        <v>Mango milkshake</v>
      </c>
      <c r="C250" s="6" t="str">
        <f aca="false">'Dish Database'!D84</f>
        <v>Milkshakes &amp; Milk</v>
      </c>
      <c r="D250" s="6" t="str">
        <f aca="false">'Dish Database'!F84</f>
        <v>Veg</v>
      </c>
      <c r="E250" s="6" t="str">
        <f aca="false">'Dish Database'!E84</f>
        <v>Pan-India</v>
      </c>
      <c r="F250" s="6" t="s">
        <v>2246</v>
      </c>
      <c r="G250" s="6" t="s">
        <v>2255</v>
      </c>
      <c r="H250" s="16" t="n">
        <v>400</v>
      </c>
      <c r="I250" s="6" t="str">
        <f aca="false">'Dish Database'!I84</f>
        <v>ml</v>
      </c>
      <c r="J250" s="13" t="n">
        <f aca="false">'Dish Database'!J84*H250/100</f>
        <v>294</v>
      </c>
      <c r="K250" s="17" t="n">
        <f aca="false">'Dish Database'!K84*H250/100</f>
        <v>9.2</v>
      </c>
      <c r="L250" s="17" t="n">
        <f aca="false">'Dish Database'!L84*H250/100</f>
        <v>46.4</v>
      </c>
      <c r="M250" s="17" t="n">
        <f aca="false">'Dish Database'!M84*H250/100</f>
        <v>8.4</v>
      </c>
      <c r="N250" s="17" t="n">
        <f aca="false">'Dish Database'!N84*H250/100</f>
        <v>2</v>
      </c>
      <c r="O250" s="17" t="n">
        <f aca="false">'Dish Database'!O84*H250/100</f>
        <v>44.8</v>
      </c>
      <c r="P250" s="13" t="n">
        <f aca="false">'Dish Database'!P84*H250/100</f>
        <v>140</v>
      </c>
    </row>
    <row r="251" customFormat="false" ht="15" hidden="false" customHeight="false" outlineLevel="0" collapsed="false">
      <c r="A251" s="6" t="str">
        <f aca="false">'Dish Database'!A85</f>
        <v>D084</v>
      </c>
      <c r="B251" s="6" t="str">
        <f aca="false">'Dish Database'!B85</f>
        <v>Chikoo milkshake</v>
      </c>
      <c r="C251" s="6" t="str">
        <f aca="false">'Dish Database'!D85</f>
        <v>Milkshakes &amp; Milk</v>
      </c>
      <c r="D251" s="6" t="str">
        <f aca="false">'Dish Database'!F85</f>
        <v>Veg</v>
      </c>
      <c r="E251" s="6" t="str">
        <f aca="false">'Dish Database'!E85</f>
        <v>Pan-India</v>
      </c>
      <c r="F251" s="6" t="s">
        <v>2243</v>
      </c>
      <c r="G251" s="6" t="s">
        <v>2253</v>
      </c>
      <c r="H251" s="16" t="n">
        <v>200</v>
      </c>
      <c r="I251" s="6" t="str">
        <f aca="false">'Dish Database'!I85</f>
        <v>ml</v>
      </c>
      <c r="J251" s="13" t="n">
        <f aca="false">'Dish Database'!J85*H251/100</f>
        <v>144.8</v>
      </c>
      <c r="K251" s="17" t="n">
        <f aca="false">'Dish Database'!K85*H251/100</f>
        <v>4.6</v>
      </c>
      <c r="L251" s="17" t="n">
        <f aca="false">'Dish Database'!L85*H251/100</f>
        <v>23.2</v>
      </c>
      <c r="M251" s="17" t="n">
        <f aca="false">'Dish Database'!M85*H251/100</f>
        <v>4.4</v>
      </c>
      <c r="N251" s="17" t="n">
        <f aca="false">'Dish Database'!N85*H251/100</f>
        <v>3</v>
      </c>
      <c r="O251" s="17" t="n">
        <f aca="false">'Dish Database'!O85*H251/100</f>
        <v>19.8</v>
      </c>
      <c r="P251" s="13" t="n">
        <f aca="false">'Dish Database'!P85*H251/100</f>
        <v>70</v>
      </c>
    </row>
    <row r="252" customFormat="false" ht="15" hidden="false" customHeight="false" outlineLevel="0" collapsed="false">
      <c r="A252" s="6" t="str">
        <f aca="false">'Dish Database'!A85</f>
        <v>D084</v>
      </c>
      <c r="B252" s="6" t="str">
        <f aca="false">'Dish Database'!B85</f>
        <v>Chikoo milkshake</v>
      </c>
      <c r="C252" s="6" t="str">
        <f aca="false">'Dish Database'!D85</f>
        <v>Milkshakes &amp; Milk</v>
      </c>
      <c r="D252" s="6" t="str">
        <f aca="false">'Dish Database'!F85</f>
        <v>Veg</v>
      </c>
      <c r="E252" s="6" t="str">
        <f aca="false">'Dish Database'!E85</f>
        <v>Pan-India</v>
      </c>
      <c r="F252" s="6" t="s">
        <v>103</v>
      </c>
      <c r="G252" s="6" t="s">
        <v>2254</v>
      </c>
      <c r="H252" s="16" t="n">
        <v>300</v>
      </c>
      <c r="I252" s="6" t="str">
        <f aca="false">'Dish Database'!I85</f>
        <v>ml</v>
      </c>
      <c r="J252" s="13" t="n">
        <f aca="false">'Dish Database'!J85*H252/100</f>
        <v>217.2</v>
      </c>
      <c r="K252" s="17" t="n">
        <f aca="false">'Dish Database'!K85*H252/100</f>
        <v>6.9</v>
      </c>
      <c r="L252" s="17" t="n">
        <f aca="false">'Dish Database'!L85*H252/100</f>
        <v>34.8</v>
      </c>
      <c r="M252" s="17" t="n">
        <f aca="false">'Dish Database'!M85*H252/100</f>
        <v>6.6</v>
      </c>
      <c r="N252" s="17" t="n">
        <f aca="false">'Dish Database'!N85*H252/100</f>
        <v>4.5</v>
      </c>
      <c r="O252" s="17" t="n">
        <f aca="false">'Dish Database'!O85*H252/100</f>
        <v>29.7</v>
      </c>
      <c r="P252" s="13" t="n">
        <f aca="false">'Dish Database'!P85*H252/100</f>
        <v>105</v>
      </c>
    </row>
    <row r="253" customFormat="false" ht="15" hidden="false" customHeight="false" outlineLevel="0" collapsed="false">
      <c r="A253" s="6" t="str">
        <f aca="false">'Dish Database'!A85</f>
        <v>D084</v>
      </c>
      <c r="B253" s="6" t="str">
        <f aca="false">'Dish Database'!B85</f>
        <v>Chikoo milkshake</v>
      </c>
      <c r="C253" s="6" t="str">
        <f aca="false">'Dish Database'!D85</f>
        <v>Milkshakes &amp; Milk</v>
      </c>
      <c r="D253" s="6" t="str">
        <f aca="false">'Dish Database'!F85</f>
        <v>Veg</v>
      </c>
      <c r="E253" s="6" t="str">
        <f aca="false">'Dish Database'!E85</f>
        <v>Pan-India</v>
      </c>
      <c r="F253" s="6" t="s">
        <v>2246</v>
      </c>
      <c r="G253" s="6" t="s">
        <v>2255</v>
      </c>
      <c r="H253" s="16" t="n">
        <v>400</v>
      </c>
      <c r="I253" s="6" t="str">
        <f aca="false">'Dish Database'!I85</f>
        <v>ml</v>
      </c>
      <c r="J253" s="13" t="n">
        <f aca="false">'Dish Database'!J85*H253/100</f>
        <v>289.6</v>
      </c>
      <c r="K253" s="17" t="n">
        <f aca="false">'Dish Database'!K85*H253/100</f>
        <v>9.2</v>
      </c>
      <c r="L253" s="17" t="n">
        <f aca="false">'Dish Database'!L85*H253/100</f>
        <v>46.4</v>
      </c>
      <c r="M253" s="17" t="n">
        <f aca="false">'Dish Database'!M85*H253/100</f>
        <v>8.8</v>
      </c>
      <c r="N253" s="17" t="n">
        <f aca="false">'Dish Database'!N85*H253/100</f>
        <v>6</v>
      </c>
      <c r="O253" s="17" t="n">
        <f aca="false">'Dish Database'!O85*H253/100</f>
        <v>39.6</v>
      </c>
      <c r="P253" s="13" t="n">
        <f aca="false">'Dish Database'!P85*H253/100</f>
        <v>140</v>
      </c>
    </row>
    <row r="254" customFormat="false" ht="15" hidden="false" customHeight="false" outlineLevel="0" collapsed="false">
      <c r="A254" s="6" t="str">
        <f aca="false">'Dish Database'!A86</f>
        <v>D085</v>
      </c>
      <c r="B254" s="6" t="str">
        <f aca="false">'Dish Database'!B86</f>
        <v>Strawberry milkshake</v>
      </c>
      <c r="C254" s="6" t="str">
        <f aca="false">'Dish Database'!D86</f>
        <v>Milkshakes &amp; Milk</v>
      </c>
      <c r="D254" s="6" t="str">
        <f aca="false">'Dish Database'!F86</f>
        <v>Veg</v>
      </c>
      <c r="E254" s="6" t="str">
        <f aca="false">'Dish Database'!E86</f>
        <v>Pan-India</v>
      </c>
      <c r="F254" s="6" t="s">
        <v>2243</v>
      </c>
      <c r="G254" s="6" t="s">
        <v>2253</v>
      </c>
      <c r="H254" s="16" t="n">
        <v>200</v>
      </c>
      <c r="I254" s="6" t="str">
        <f aca="false">'Dish Database'!I86</f>
        <v>ml</v>
      </c>
      <c r="J254" s="13" t="n">
        <f aca="false">'Dish Database'!J86*H254/100</f>
        <v>143.4</v>
      </c>
      <c r="K254" s="17" t="n">
        <f aca="false">'Dish Database'!K86*H254/100</f>
        <v>4.8</v>
      </c>
      <c r="L254" s="17" t="n">
        <f aca="false">'Dish Database'!L86*H254/100</f>
        <v>22</v>
      </c>
      <c r="M254" s="17" t="n">
        <f aca="false">'Dish Database'!M86*H254/100</f>
        <v>4.2</v>
      </c>
      <c r="N254" s="17" t="n">
        <f aca="false">'Dish Database'!N86*H254/100</f>
        <v>0.8</v>
      </c>
      <c r="O254" s="17" t="n">
        <f aca="false">'Dish Database'!O86*H254/100</f>
        <v>20.4</v>
      </c>
      <c r="P254" s="13" t="n">
        <f aca="false">'Dish Database'!P86*H254/100</f>
        <v>70</v>
      </c>
    </row>
    <row r="255" customFormat="false" ht="15" hidden="false" customHeight="false" outlineLevel="0" collapsed="false">
      <c r="A255" s="6" t="str">
        <f aca="false">'Dish Database'!A86</f>
        <v>D085</v>
      </c>
      <c r="B255" s="6" t="str">
        <f aca="false">'Dish Database'!B86</f>
        <v>Strawberry milkshake</v>
      </c>
      <c r="C255" s="6" t="str">
        <f aca="false">'Dish Database'!D86</f>
        <v>Milkshakes &amp; Milk</v>
      </c>
      <c r="D255" s="6" t="str">
        <f aca="false">'Dish Database'!F86</f>
        <v>Veg</v>
      </c>
      <c r="E255" s="6" t="str">
        <f aca="false">'Dish Database'!E86</f>
        <v>Pan-India</v>
      </c>
      <c r="F255" s="6" t="s">
        <v>103</v>
      </c>
      <c r="G255" s="6" t="s">
        <v>2254</v>
      </c>
      <c r="H255" s="16" t="n">
        <v>300</v>
      </c>
      <c r="I255" s="6" t="str">
        <f aca="false">'Dish Database'!I86</f>
        <v>ml</v>
      </c>
      <c r="J255" s="13" t="n">
        <f aca="false">'Dish Database'!J86*H255/100</f>
        <v>215.1</v>
      </c>
      <c r="K255" s="17" t="n">
        <f aca="false">'Dish Database'!K86*H255/100</f>
        <v>7.2</v>
      </c>
      <c r="L255" s="17" t="n">
        <f aca="false">'Dish Database'!L86*H255/100</f>
        <v>33</v>
      </c>
      <c r="M255" s="17" t="n">
        <f aca="false">'Dish Database'!M86*H255/100</f>
        <v>6.3</v>
      </c>
      <c r="N255" s="17" t="n">
        <f aca="false">'Dish Database'!N86*H255/100</f>
        <v>1.2</v>
      </c>
      <c r="O255" s="17" t="n">
        <f aca="false">'Dish Database'!O86*H255/100</f>
        <v>30.6</v>
      </c>
      <c r="P255" s="13" t="n">
        <f aca="false">'Dish Database'!P86*H255/100</f>
        <v>105</v>
      </c>
    </row>
    <row r="256" customFormat="false" ht="15" hidden="false" customHeight="false" outlineLevel="0" collapsed="false">
      <c r="A256" s="6" t="str">
        <f aca="false">'Dish Database'!A86</f>
        <v>D085</v>
      </c>
      <c r="B256" s="6" t="str">
        <f aca="false">'Dish Database'!B86</f>
        <v>Strawberry milkshake</v>
      </c>
      <c r="C256" s="6" t="str">
        <f aca="false">'Dish Database'!D86</f>
        <v>Milkshakes &amp; Milk</v>
      </c>
      <c r="D256" s="6" t="str">
        <f aca="false">'Dish Database'!F86</f>
        <v>Veg</v>
      </c>
      <c r="E256" s="6" t="str">
        <f aca="false">'Dish Database'!E86</f>
        <v>Pan-India</v>
      </c>
      <c r="F256" s="6" t="s">
        <v>2246</v>
      </c>
      <c r="G256" s="6" t="s">
        <v>2255</v>
      </c>
      <c r="H256" s="16" t="n">
        <v>400</v>
      </c>
      <c r="I256" s="6" t="str">
        <f aca="false">'Dish Database'!I86</f>
        <v>ml</v>
      </c>
      <c r="J256" s="13" t="n">
        <f aca="false">'Dish Database'!J86*H256/100</f>
        <v>286.8</v>
      </c>
      <c r="K256" s="17" t="n">
        <f aca="false">'Dish Database'!K86*H256/100</f>
        <v>9.6</v>
      </c>
      <c r="L256" s="17" t="n">
        <f aca="false">'Dish Database'!L86*H256/100</f>
        <v>44</v>
      </c>
      <c r="M256" s="17" t="n">
        <f aca="false">'Dish Database'!M86*H256/100</f>
        <v>8.4</v>
      </c>
      <c r="N256" s="17" t="n">
        <f aca="false">'Dish Database'!N86*H256/100</f>
        <v>1.6</v>
      </c>
      <c r="O256" s="17" t="n">
        <f aca="false">'Dish Database'!O86*H256/100</f>
        <v>40.8</v>
      </c>
      <c r="P256" s="13" t="n">
        <f aca="false">'Dish Database'!P86*H256/100</f>
        <v>140</v>
      </c>
    </row>
    <row r="257" customFormat="false" ht="15" hidden="false" customHeight="false" outlineLevel="0" collapsed="false">
      <c r="A257" s="6" t="str">
        <f aca="false">'Dish Database'!A87</f>
        <v>D086</v>
      </c>
      <c r="B257" s="6" t="str">
        <f aca="false">'Dish Database'!B87</f>
        <v>Chocolate milkshake</v>
      </c>
      <c r="C257" s="6" t="str">
        <f aca="false">'Dish Database'!D87</f>
        <v>Milkshakes &amp; Milk</v>
      </c>
      <c r="D257" s="6" t="str">
        <f aca="false">'Dish Database'!F87</f>
        <v>Veg</v>
      </c>
      <c r="E257" s="6" t="str">
        <f aca="false">'Dish Database'!E87</f>
        <v>Pan-India</v>
      </c>
      <c r="F257" s="6" t="s">
        <v>2243</v>
      </c>
      <c r="G257" s="6" t="s">
        <v>2253</v>
      </c>
      <c r="H257" s="16" t="n">
        <v>200</v>
      </c>
      <c r="I257" s="6" t="str">
        <f aca="false">'Dish Database'!I87</f>
        <v>ml</v>
      </c>
      <c r="J257" s="13" t="n">
        <f aca="false">'Dish Database'!J87*H257/100</f>
        <v>184</v>
      </c>
      <c r="K257" s="17" t="n">
        <f aca="false">'Dish Database'!K87*H257/100</f>
        <v>6</v>
      </c>
      <c r="L257" s="17" t="n">
        <f aca="false">'Dish Database'!L87*H257/100</f>
        <v>27</v>
      </c>
      <c r="M257" s="17" t="n">
        <f aca="false">'Dish Database'!M87*H257/100</f>
        <v>6</v>
      </c>
      <c r="N257" s="17" t="n">
        <f aca="false">'Dish Database'!N87*H257/100</f>
        <v>1</v>
      </c>
      <c r="O257" s="17" t="n">
        <f aca="false">'Dish Database'!O87*H257/100</f>
        <v>24</v>
      </c>
      <c r="P257" s="13" t="n">
        <f aca="false">'Dish Database'!P87*H257/100</f>
        <v>100</v>
      </c>
    </row>
    <row r="258" customFormat="false" ht="15" hidden="false" customHeight="false" outlineLevel="0" collapsed="false">
      <c r="A258" s="6" t="str">
        <f aca="false">'Dish Database'!A87</f>
        <v>D086</v>
      </c>
      <c r="B258" s="6" t="str">
        <f aca="false">'Dish Database'!B87</f>
        <v>Chocolate milkshake</v>
      </c>
      <c r="C258" s="6" t="str">
        <f aca="false">'Dish Database'!D87</f>
        <v>Milkshakes &amp; Milk</v>
      </c>
      <c r="D258" s="6" t="str">
        <f aca="false">'Dish Database'!F87</f>
        <v>Veg</v>
      </c>
      <c r="E258" s="6" t="str">
        <f aca="false">'Dish Database'!E87</f>
        <v>Pan-India</v>
      </c>
      <c r="F258" s="6" t="s">
        <v>103</v>
      </c>
      <c r="G258" s="6" t="s">
        <v>2254</v>
      </c>
      <c r="H258" s="16" t="n">
        <v>300</v>
      </c>
      <c r="I258" s="6" t="str">
        <f aca="false">'Dish Database'!I87</f>
        <v>ml</v>
      </c>
      <c r="J258" s="13" t="n">
        <f aca="false">'Dish Database'!J87*H258/100</f>
        <v>276</v>
      </c>
      <c r="K258" s="17" t="n">
        <f aca="false">'Dish Database'!K87*H258/100</f>
        <v>9</v>
      </c>
      <c r="L258" s="17" t="n">
        <f aca="false">'Dish Database'!L87*H258/100</f>
        <v>40.5</v>
      </c>
      <c r="M258" s="17" t="n">
        <f aca="false">'Dish Database'!M87*H258/100</f>
        <v>9</v>
      </c>
      <c r="N258" s="17" t="n">
        <f aca="false">'Dish Database'!N87*H258/100</f>
        <v>1.5</v>
      </c>
      <c r="O258" s="17" t="n">
        <f aca="false">'Dish Database'!O87*H258/100</f>
        <v>36</v>
      </c>
      <c r="P258" s="13" t="n">
        <f aca="false">'Dish Database'!P87*H258/100</f>
        <v>150</v>
      </c>
    </row>
    <row r="259" customFormat="false" ht="15" hidden="false" customHeight="false" outlineLevel="0" collapsed="false">
      <c r="A259" s="6" t="str">
        <f aca="false">'Dish Database'!A87</f>
        <v>D086</v>
      </c>
      <c r="B259" s="6" t="str">
        <f aca="false">'Dish Database'!B87</f>
        <v>Chocolate milkshake</v>
      </c>
      <c r="C259" s="6" t="str">
        <f aca="false">'Dish Database'!D87</f>
        <v>Milkshakes &amp; Milk</v>
      </c>
      <c r="D259" s="6" t="str">
        <f aca="false">'Dish Database'!F87</f>
        <v>Veg</v>
      </c>
      <c r="E259" s="6" t="str">
        <f aca="false">'Dish Database'!E87</f>
        <v>Pan-India</v>
      </c>
      <c r="F259" s="6" t="s">
        <v>2246</v>
      </c>
      <c r="G259" s="6" t="s">
        <v>2255</v>
      </c>
      <c r="H259" s="16" t="n">
        <v>400</v>
      </c>
      <c r="I259" s="6" t="str">
        <f aca="false">'Dish Database'!I87</f>
        <v>ml</v>
      </c>
      <c r="J259" s="13" t="n">
        <f aca="false">'Dish Database'!J87*H259/100</f>
        <v>368</v>
      </c>
      <c r="K259" s="17" t="n">
        <f aca="false">'Dish Database'!K87*H259/100</f>
        <v>12</v>
      </c>
      <c r="L259" s="17" t="n">
        <f aca="false">'Dish Database'!L87*H259/100</f>
        <v>54</v>
      </c>
      <c r="M259" s="17" t="n">
        <f aca="false">'Dish Database'!M87*H259/100</f>
        <v>12</v>
      </c>
      <c r="N259" s="17" t="n">
        <f aca="false">'Dish Database'!N87*H259/100</f>
        <v>2</v>
      </c>
      <c r="O259" s="17" t="n">
        <f aca="false">'Dish Database'!O87*H259/100</f>
        <v>48</v>
      </c>
      <c r="P259" s="13" t="n">
        <f aca="false">'Dish Database'!P87*H259/100</f>
        <v>200</v>
      </c>
    </row>
    <row r="260" customFormat="false" ht="15" hidden="false" customHeight="false" outlineLevel="0" collapsed="false">
      <c r="A260" s="6" t="str">
        <f aca="false">'Dish Database'!A88</f>
        <v>D087</v>
      </c>
      <c r="B260" s="6" t="str">
        <f aca="false">'Dish Database'!B88</f>
        <v>Sitaphal (custard apple) milkshake</v>
      </c>
      <c r="C260" s="6" t="str">
        <f aca="false">'Dish Database'!D88</f>
        <v>Milkshakes &amp; Milk</v>
      </c>
      <c r="D260" s="6" t="str">
        <f aca="false">'Dish Database'!F88</f>
        <v>Veg</v>
      </c>
      <c r="E260" s="6" t="str">
        <f aca="false">'Dish Database'!E88</f>
        <v>Pan-India</v>
      </c>
      <c r="F260" s="6" t="s">
        <v>2243</v>
      </c>
      <c r="G260" s="6" t="s">
        <v>2253</v>
      </c>
      <c r="H260" s="16" t="n">
        <v>200</v>
      </c>
      <c r="I260" s="6" t="str">
        <f aca="false">'Dish Database'!I88</f>
        <v>ml</v>
      </c>
      <c r="J260" s="13" t="n">
        <f aca="false">'Dish Database'!J88*H260/100</f>
        <v>170.2</v>
      </c>
      <c r="K260" s="17" t="n">
        <f aca="false">'Dish Database'!K88*H260/100</f>
        <v>5.2</v>
      </c>
      <c r="L260" s="17" t="n">
        <f aca="false">'Dish Database'!L88*H260/100</f>
        <v>28</v>
      </c>
      <c r="M260" s="17" t="n">
        <f aca="false">'Dish Database'!M88*H260/100</f>
        <v>4.6</v>
      </c>
      <c r="N260" s="17" t="n">
        <f aca="false">'Dish Database'!N88*H260/100</f>
        <v>2</v>
      </c>
      <c r="O260" s="17" t="n">
        <f aca="false">'Dish Database'!O88*H260/100</f>
        <v>22</v>
      </c>
      <c r="P260" s="13" t="n">
        <f aca="false">'Dish Database'!P88*H260/100</f>
        <v>70</v>
      </c>
    </row>
    <row r="261" customFormat="false" ht="15" hidden="false" customHeight="false" outlineLevel="0" collapsed="false">
      <c r="A261" s="6" t="str">
        <f aca="false">'Dish Database'!A88</f>
        <v>D087</v>
      </c>
      <c r="B261" s="6" t="str">
        <f aca="false">'Dish Database'!B88</f>
        <v>Sitaphal (custard apple) milkshake</v>
      </c>
      <c r="C261" s="6" t="str">
        <f aca="false">'Dish Database'!D88</f>
        <v>Milkshakes &amp; Milk</v>
      </c>
      <c r="D261" s="6" t="str">
        <f aca="false">'Dish Database'!F88</f>
        <v>Veg</v>
      </c>
      <c r="E261" s="6" t="str">
        <f aca="false">'Dish Database'!E88</f>
        <v>Pan-India</v>
      </c>
      <c r="F261" s="6" t="s">
        <v>103</v>
      </c>
      <c r="G261" s="6" t="s">
        <v>2254</v>
      </c>
      <c r="H261" s="16" t="n">
        <v>300</v>
      </c>
      <c r="I261" s="6" t="str">
        <f aca="false">'Dish Database'!I88</f>
        <v>ml</v>
      </c>
      <c r="J261" s="13" t="n">
        <f aca="false">'Dish Database'!J88*H261/100</f>
        <v>255.3</v>
      </c>
      <c r="K261" s="17" t="n">
        <f aca="false">'Dish Database'!K88*H261/100</f>
        <v>7.8</v>
      </c>
      <c r="L261" s="17" t="n">
        <f aca="false">'Dish Database'!L88*H261/100</f>
        <v>42</v>
      </c>
      <c r="M261" s="17" t="n">
        <f aca="false">'Dish Database'!M88*H261/100</f>
        <v>6.9</v>
      </c>
      <c r="N261" s="17" t="n">
        <f aca="false">'Dish Database'!N88*H261/100</f>
        <v>3</v>
      </c>
      <c r="O261" s="17" t="n">
        <f aca="false">'Dish Database'!O88*H261/100</f>
        <v>33</v>
      </c>
      <c r="P261" s="13" t="n">
        <f aca="false">'Dish Database'!P88*H261/100</f>
        <v>105</v>
      </c>
    </row>
    <row r="262" customFormat="false" ht="15" hidden="false" customHeight="false" outlineLevel="0" collapsed="false">
      <c r="A262" s="6" t="str">
        <f aca="false">'Dish Database'!A88</f>
        <v>D087</v>
      </c>
      <c r="B262" s="6" t="str">
        <f aca="false">'Dish Database'!B88</f>
        <v>Sitaphal (custard apple) milkshake</v>
      </c>
      <c r="C262" s="6" t="str">
        <f aca="false">'Dish Database'!D88</f>
        <v>Milkshakes &amp; Milk</v>
      </c>
      <c r="D262" s="6" t="str">
        <f aca="false">'Dish Database'!F88</f>
        <v>Veg</v>
      </c>
      <c r="E262" s="6" t="str">
        <f aca="false">'Dish Database'!E88</f>
        <v>Pan-India</v>
      </c>
      <c r="F262" s="6" t="s">
        <v>2246</v>
      </c>
      <c r="G262" s="6" t="s">
        <v>2255</v>
      </c>
      <c r="H262" s="16" t="n">
        <v>400</v>
      </c>
      <c r="I262" s="6" t="str">
        <f aca="false">'Dish Database'!I88</f>
        <v>ml</v>
      </c>
      <c r="J262" s="13" t="n">
        <f aca="false">'Dish Database'!J88*H262/100</f>
        <v>340.4</v>
      </c>
      <c r="K262" s="17" t="n">
        <f aca="false">'Dish Database'!K88*H262/100</f>
        <v>10.4</v>
      </c>
      <c r="L262" s="17" t="n">
        <f aca="false">'Dish Database'!L88*H262/100</f>
        <v>56</v>
      </c>
      <c r="M262" s="17" t="n">
        <f aca="false">'Dish Database'!M88*H262/100</f>
        <v>9.2</v>
      </c>
      <c r="N262" s="17" t="n">
        <f aca="false">'Dish Database'!N88*H262/100</f>
        <v>4</v>
      </c>
      <c r="O262" s="17" t="n">
        <f aca="false">'Dish Database'!O88*H262/100</f>
        <v>44</v>
      </c>
      <c r="P262" s="13" t="n">
        <f aca="false">'Dish Database'!P88*H262/100</f>
        <v>140</v>
      </c>
    </row>
    <row r="263" customFormat="false" ht="15" hidden="false" customHeight="false" outlineLevel="0" collapsed="false">
      <c r="A263" s="6" t="str">
        <f aca="false">'Dish Database'!A89</f>
        <v>D088</v>
      </c>
      <c r="B263" s="6" t="str">
        <f aca="false">'Dish Database'!B89</f>
        <v>Papaya milkshake</v>
      </c>
      <c r="C263" s="6" t="str">
        <f aca="false">'Dish Database'!D89</f>
        <v>Milkshakes &amp; Milk</v>
      </c>
      <c r="D263" s="6" t="str">
        <f aca="false">'Dish Database'!F89</f>
        <v>Veg</v>
      </c>
      <c r="E263" s="6" t="str">
        <f aca="false">'Dish Database'!E89</f>
        <v>Pan-India</v>
      </c>
      <c r="F263" s="6" t="s">
        <v>2243</v>
      </c>
      <c r="G263" s="6" t="s">
        <v>2253</v>
      </c>
      <c r="H263" s="16" t="n">
        <v>200</v>
      </c>
      <c r="I263" s="6" t="str">
        <f aca="false">'Dish Database'!I89</f>
        <v>ml</v>
      </c>
      <c r="J263" s="13" t="n">
        <f aca="false">'Dish Database'!J89*H263/100</f>
        <v>130.2</v>
      </c>
      <c r="K263" s="17" t="n">
        <f aca="false">'Dish Database'!K89*H263/100</f>
        <v>4.6</v>
      </c>
      <c r="L263" s="17" t="n">
        <f aca="false">'Dish Database'!L89*H263/100</f>
        <v>19</v>
      </c>
      <c r="M263" s="17" t="n">
        <f aca="false">'Dish Database'!M89*H263/100</f>
        <v>4.2</v>
      </c>
      <c r="N263" s="17" t="n">
        <f aca="false">'Dish Database'!N89*H263/100</f>
        <v>1</v>
      </c>
      <c r="O263" s="17" t="n">
        <f aca="false">'Dish Database'!O89*H263/100</f>
        <v>17</v>
      </c>
      <c r="P263" s="13" t="n">
        <f aca="false">'Dish Database'!P89*H263/100</f>
        <v>70</v>
      </c>
    </row>
    <row r="264" customFormat="false" ht="15" hidden="false" customHeight="false" outlineLevel="0" collapsed="false">
      <c r="A264" s="6" t="str">
        <f aca="false">'Dish Database'!A89</f>
        <v>D088</v>
      </c>
      <c r="B264" s="6" t="str">
        <f aca="false">'Dish Database'!B89</f>
        <v>Papaya milkshake</v>
      </c>
      <c r="C264" s="6" t="str">
        <f aca="false">'Dish Database'!D89</f>
        <v>Milkshakes &amp; Milk</v>
      </c>
      <c r="D264" s="6" t="str">
        <f aca="false">'Dish Database'!F89</f>
        <v>Veg</v>
      </c>
      <c r="E264" s="6" t="str">
        <f aca="false">'Dish Database'!E89</f>
        <v>Pan-India</v>
      </c>
      <c r="F264" s="6" t="s">
        <v>103</v>
      </c>
      <c r="G264" s="6" t="s">
        <v>2254</v>
      </c>
      <c r="H264" s="16" t="n">
        <v>300</v>
      </c>
      <c r="I264" s="6" t="str">
        <f aca="false">'Dish Database'!I89</f>
        <v>ml</v>
      </c>
      <c r="J264" s="13" t="n">
        <f aca="false">'Dish Database'!J89*H264/100</f>
        <v>195.3</v>
      </c>
      <c r="K264" s="17" t="n">
        <f aca="false">'Dish Database'!K89*H264/100</f>
        <v>6.9</v>
      </c>
      <c r="L264" s="17" t="n">
        <f aca="false">'Dish Database'!L89*H264/100</f>
        <v>28.5</v>
      </c>
      <c r="M264" s="17" t="n">
        <f aca="false">'Dish Database'!M89*H264/100</f>
        <v>6.3</v>
      </c>
      <c r="N264" s="17" t="n">
        <f aca="false">'Dish Database'!N89*H264/100</f>
        <v>1.5</v>
      </c>
      <c r="O264" s="17" t="n">
        <f aca="false">'Dish Database'!O89*H264/100</f>
        <v>25.5</v>
      </c>
      <c r="P264" s="13" t="n">
        <f aca="false">'Dish Database'!P89*H264/100</f>
        <v>105</v>
      </c>
    </row>
    <row r="265" customFormat="false" ht="15" hidden="false" customHeight="false" outlineLevel="0" collapsed="false">
      <c r="A265" s="6" t="str">
        <f aca="false">'Dish Database'!A89</f>
        <v>D088</v>
      </c>
      <c r="B265" s="6" t="str">
        <f aca="false">'Dish Database'!B89</f>
        <v>Papaya milkshake</v>
      </c>
      <c r="C265" s="6" t="str">
        <f aca="false">'Dish Database'!D89</f>
        <v>Milkshakes &amp; Milk</v>
      </c>
      <c r="D265" s="6" t="str">
        <f aca="false">'Dish Database'!F89</f>
        <v>Veg</v>
      </c>
      <c r="E265" s="6" t="str">
        <f aca="false">'Dish Database'!E89</f>
        <v>Pan-India</v>
      </c>
      <c r="F265" s="6" t="s">
        <v>2246</v>
      </c>
      <c r="G265" s="6" t="s">
        <v>2255</v>
      </c>
      <c r="H265" s="16" t="n">
        <v>400</v>
      </c>
      <c r="I265" s="6" t="str">
        <f aca="false">'Dish Database'!I89</f>
        <v>ml</v>
      </c>
      <c r="J265" s="13" t="n">
        <f aca="false">'Dish Database'!J89*H265/100</f>
        <v>260.4</v>
      </c>
      <c r="K265" s="17" t="n">
        <f aca="false">'Dish Database'!K89*H265/100</f>
        <v>9.2</v>
      </c>
      <c r="L265" s="17" t="n">
        <f aca="false">'Dish Database'!L89*H265/100</f>
        <v>38</v>
      </c>
      <c r="M265" s="17" t="n">
        <f aca="false">'Dish Database'!M89*H265/100</f>
        <v>8.4</v>
      </c>
      <c r="N265" s="17" t="n">
        <f aca="false">'Dish Database'!N89*H265/100</f>
        <v>2</v>
      </c>
      <c r="O265" s="17" t="n">
        <f aca="false">'Dish Database'!O89*H265/100</f>
        <v>34</v>
      </c>
      <c r="P265" s="13" t="n">
        <f aca="false">'Dish Database'!P89*H265/100</f>
        <v>140</v>
      </c>
    </row>
    <row r="266" customFormat="false" ht="15" hidden="false" customHeight="false" outlineLevel="0" collapsed="false">
      <c r="A266" s="6" t="str">
        <f aca="false">'Dish Database'!A90</f>
        <v>D089</v>
      </c>
      <c r="B266" s="6" t="str">
        <f aca="false">'Dish Database'!B90</f>
        <v>Dry fruit milkshake</v>
      </c>
      <c r="C266" s="6" t="str">
        <f aca="false">'Dish Database'!D90</f>
        <v>Milkshakes &amp; Milk</v>
      </c>
      <c r="D266" s="6" t="str">
        <f aca="false">'Dish Database'!F90</f>
        <v>Veg</v>
      </c>
      <c r="E266" s="6" t="str">
        <f aca="false">'Dish Database'!E90</f>
        <v>Pan-India</v>
      </c>
      <c r="F266" s="6" t="s">
        <v>2243</v>
      </c>
      <c r="G266" s="6" t="s">
        <v>2253</v>
      </c>
      <c r="H266" s="16" t="n">
        <v>200</v>
      </c>
      <c r="I266" s="6" t="str">
        <f aca="false">'Dish Database'!I90</f>
        <v>ml</v>
      </c>
      <c r="J266" s="13" t="n">
        <f aca="false">'Dish Database'!J90*H266/100</f>
        <v>221.2</v>
      </c>
      <c r="K266" s="17" t="n">
        <f aca="false">'Dish Database'!K90*H266/100</f>
        <v>7.6</v>
      </c>
      <c r="L266" s="17" t="n">
        <f aca="false">'Dish Database'!L90*H266/100</f>
        <v>26</v>
      </c>
      <c r="M266" s="17" t="n">
        <f aca="false">'Dish Database'!M90*H266/100</f>
        <v>10</v>
      </c>
      <c r="N266" s="17" t="n">
        <f aca="false">'Dish Database'!N90*H266/100</f>
        <v>1.6</v>
      </c>
      <c r="O266" s="17" t="n">
        <f aca="false">'Dish Database'!O90*H266/100</f>
        <v>22</v>
      </c>
      <c r="P266" s="13" t="n">
        <f aca="false">'Dish Database'!P90*H266/100</f>
        <v>80</v>
      </c>
    </row>
    <row r="267" customFormat="false" ht="15" hidden="false" customHeight="false" outlineLevel="0" collapsed="false">
      <c r="A267" s="6" t="str">
        <f aca="false">'Dish Database'!A90</f>
        <v>D089</v>
      </c>
      <c r="B267" s="6" t="str">
        <f aca="false">'Dish Database'!B90</f>
        <v>Dry fruit milkshake</v>
      </c>
      <c r="C267" s="6" t="str">
        <f aca="false">'Dish Database'!D90</f>
        <v>Milkshakes &amp; Milk</v>
      </c>
      <c r="D267" s="6" t="str">
        <f aca="false">'Dish Database'!F90</f>
        <v>Veg</v>
      </c>
      <c r="E267" s="6" t="str">
        <f aca="false">'Dish Database'!E90</f>
        <v>Pan-India</v>
      </c>
      <c r="F267" s="6" t="s">
        <v>103</v>
      </c>
      <c r="G267" s="6" t="s">
        <v>2254</v>
      </c>
      <c r="H267" s="16" t="n">
        <v>300</v>
      </c>
      <c r="I267" s="6" t="str">
        <f aca="false">'Dish Database'!I90</f>
        <v>ml</v>
      </c>
      <c r="J267" s="13" t="n">
        <f aca="false">'Dish Database'!J90*H267/100</f>
        <v>331.8</v>
      </c>
      <c r="K267" s="17" t="n">
        <f aca="false">'Dish Database'!K90*H267/100</f>
        <v>11.4</v>
      </c>
      <c r="L267" s="17" t="n">
        <f aca="false">'Dish Database'!L90*H267/100</f>
        <v>39</v>
      </c>
      <c r="M267" s="17" t="n">
        <f aca="false">'Dish Database'!M90*H267/100</f>
        <v>15</v>
      </c>
      <c r="N267" s="17" t="n">
        <f aca="false">'Dish Database'!N90*H267/100</f>
        <v>2.4</v>
      </c>
      <c r="O267" s="17" t="n">
        <f aca="false">'Dish Database'!O90*H267/100</f>
        <v>33</v>
      </c>
      <c r="P267" s="13" t="n">
        <f aca="false">'Dish Database'!P90*H267/100</f>
        <v>120</v>
      </c>
    </row>
    <row r="268" customFormat="false" ht="15" hidden="false" customHeight="false" outlineLevel="0" collapsed="false">
      <c r="A268" s="6" t="str">
        <f aca="false">'Dish Database'!A90</f>
        <v>D089</v>
      </c>
      <c r="B268" s="6" t="str">
        <f aca="false">'Dish Database'!B90</f>
        <v>Dry fruit milkshake</v>
      </c>
      <c r="C268" s="6" t="str">
        <f aca="false">'Dish Database'!D90</f>
        <v>Milkshakes &amp; Milk</v>
      </c>
      <c r="D268" s="6" t="str">
        <f aca="false">'Dish Database'!F90</f>
        <v>Veg</v>
      </c>
      <c r="E268" s="6" t="str">
        <f aca="false">'Dish Database'!E90</f>
        <v>Pan-India</v>
      </c>
      <c r="F268" s="6" t="s">
        <v>2246</v>
      </c>
      <c r="G268" s="6" t="s">
        <v>2255</v>
      </c>
      <c r="H268" s="16" t="n">
        <v>400</v>
      </c>
      <c r="I268" s="6" t="str">
        <f aca="false">'Dish Database'!I90</f>
        <v>ml</v>
      </c>
      <c r="J268" s="13" t="n">
        <f aca="false">'Dish Database'!J90*H268/100</f>
        <v>442.4</v>
      </c>
      <c r="K268" s="17" t="n">
        <f aca="false">'Dish Database'!K90*H268/100</f>
        <v>15.2</v>
      </c>
      <c r="L268" s="17" t="n">
        <f aca="false">'Dish Database'!L90*H268/100</f>
        <v>52</v>
      </c>
      <c r="M268" s="17" t="n">
        <f aca="false">'Dish Database'!M90*H268/100</f>
        <v>20</v>
      </c>
      <c r="N268" s="17" t="n">
        <f aca="false">'Dish Database'!N90*H268/100</f>
        <v>3.2</v>
      </c>
      <c r="O268" s="17" t="n">
        <f aca="false">'Dish Database'!O90*H268/100</f>
        <v>44</v>
      </c>
      <c r="P268" s="13" t="n">
        <f aca="false">'Dish Database'!P90*H268/100</f>
        <v>160</v>
      </c>
    </row>
    <row r="269" customFormat="false" ht="15" hidden="false" customHeight="false" outlineLevel="0" collapsed="false">
      <c r="A269" s="6" t="str">
        <f aca="false">'Dish Database'!A91</f>
        <v>D090</v>
      </c>
      <c r="B269" s="6" t="str">
        <f aca="false">'Dish Database'!B91</f>
        <v>Thick shake with ice cream (any flavour)</v>
      </c>
      <c r="C269" s="6" t="str">
        <f aca="false">'Dish Database'!D91</f>
        <v>Milkshakes &amp; Milk</v>
      </c>
      <c r="D269" s="6" t="str">
        <f aca="false">'Dish Database'!F91</f>
        <v>Veg</v>
      </c>
      <c r="E269" s="6" t="str">
        <f aca="false">'Dish Database'!E91</f>
        <v>Pan-India</v>
      </c>
      <c r="F269" s="6" t="s">
        <v>2243</v>
      </c>
      <c r="G269" s="6" t="s">
        <v>2253</v>
      </c>
      <c r="H269" s="16" t="n">
        <v>200</v>
      </c>
      <c r="I269" s="6" t="str">
        <f aca="false">'Dish Database'!I91</f>
        <v>ml</v>
      </c>
      <c r="J269" s="13" t="n">
        <f aca="false">'Dish Database'!J91*H269/100</f>
        <v>239.8</v>
      </c>
      <c r="K269" s="17" t="n">
        <f aca="false">'Dish Database'!K91*H269/100</f>
        <v>6</v>
      </c>
      <c r="L269" s="17" t="n">
        <f aca="false">'Dish Database'!L91*H269/100</f>
        <v>34</v>
      </c>
      <c r="M269" s="17" t="n">
        <f aca="false">'Dish Database'!M91*H269/100</f>
        <v>9</v>
      </c>
      <c r="N269" s="17" t="n">
        <f aca="false">'Dish Database'!N91*H269/100</f>
        <v>0.6</v>
      </c>
      <c r="O269" s="17" t="n">
        <f aca="false">'Dish Database'!O91*H269/100</f>
        <v>31</v>
      </c>
      <c r="P269" s="13" t="n">
        <f aca="false">'Dish Database'!P91*H269/100</f>
        <v>100</v>
      </c>
    </row>
    <row r="270" customFormat="false" ht="15" hidden="false" customHeight="false" outlineLevel="0" collapsed="false">
      <c r="A270" s="6" t="str">
        <f aca="false">'Dish Database'!A91</f>
        <v>D090</v>
      </c>
      <c r="B270" s="6" t="str">
        <f aca="false">'Dish Database'!B91</f>
        <v>Thick shake with ice cream (any flavour)</v>
      </c>
      <c r="C270" s="6" t="str">
        <f aca="false">'Dish Database'!D91</f>
        <v>Milkshakes &amp; Milk</v>
      </c>
      <c r="D270" s="6" t="str">
        <f aca="false">'Dish Database'!F91</f>
        <v>Veg</v>
      </c>
      <c r="E270" s="6" t="str">
        <f aca="false">'Dish Database'!E91</f>
        <v>Pan-India</v>
      </c>
      <c r="F270" s="6" t="s">
        <v>103</v>
      </c>
      <c r="G270" s="6" t="s">
        <v>2254</v>
      </c>
      <c r="H270" s="16" t="n">
        <v>300</v>
      </c>
      <c r="I270" s="6" t="str">
        <f aca="false">'Dish Database'!I91</f>
        <v>ml</v>
      </c>
      <c r="J270" s="13" t="n">
        <f aca="false">'Dish Database'!J91*H270/100</f>
        <v>359.7</v>
      </c>
      <c r="K270" s="17" t="n">
        <f aca="false">'Dish Database'!K91*H270/100</f>
        <v>9</v>
      </c>
      <c r="L270" s="17" t="n">
        <f aca="false">'Dish Database'!L91*H270/100</f>
        <v>51</v>
      </c>
      <c r="M270" s="17" t="n">
        <f aca="false">'Dish Database'!M91*H270/100</f>
        <v>13.5</v>
      </c>
      <c r="N270" s="17" t="n">
        <f aca="false">'Dish Database'!N91*H270/100</f>
        <v>0.9</v>
      </c>
      <c r="O270" s="17" t="n">
        <f aca="false">'Dish Database'!O91*H270/100</f>
        <v>46.5</v>
      </c>
      <c r="P270" s="13" t="n">
        <f aca="false">'Dish Database'!P91*H270/100</f>
        <v>150</v>
      </c>
    </row>
    <row r="271" customFormat="false" ht="15" hidden="false" customHeight="false" outlineLevel="0" collapsed="false">
      <c r="A271" s="6" t="str">
        <f aca="false">'Dish Database'!A91</f>
        <v>D090</v>
      </c>
      <c r="B271" s="6" t="str">
        <f aca="false">'Dish Database'!B91</f>
        <v>Thick shake with ice cream (any flavour)</v>
      </c>
      <c r="C271" s="6" t="str">
        <f aca="false">'Dish Database'!D91</f>
        <v>Milkshakes &amp; Milk</v>
      </c>
      <c r="D271" s="6" t="str">
        <f aca="false">'Dish Database'!F91</f>
        <v>Veg</v>
      </c>
      <c r="E271" s="6" t="str">
        <f aca="false">'Dish Database'!E91</f>
        <v>Pan-India</v>
      </c>
      <c r="F271" s="6" t="s">
        <v>2246</v>
      </c>
      <c r="G271" s="6" t="s">
        <v>2255</v>
      </c>
      <c r="H271" s="16" t="n">
        <v>400</v>
      </c>
      <c r="I271" s="6" t="str">
        <f aca="false">'Dish Database'!I91</f>
        <v>ml</v>
      </c>
      <c r="J271" s="13" t="n">
        <f aca="false">'Dish Database'!J91*H271/100</f>
        <v>479.6</v>
      </c>
      <c r="K271" s="17" t="n">
        <f aca="false">'Dish Database'!K91*H271/100</f>
        <v>12</v>
      </c>
      <c r="L271" s="17" t="n">
        <f aca="false">'Dish Database'!L91*H271/100</f>
        <v>68</v>
      </c>
      <c r="M271" s="17" t="n">
        <f aca="false">'Dish Database'!M91*H271/100</f>
        <v>18</v>
      </c>
      <c r="N271" s="17" t="n">
        <f aca="false">'Dish Database'!N91*H271/100</f>
        <v>1.2</v>
      </c>
      <c r="O271" s="17" t="n">
        <f aca="false">'Dish Database'!O91*H271/100</f>
        <v>62</v>
      </c>
      <c r="P271" s="13" t="n">
        <f aca="false">'Dish Database'!P91*H271/100</f>
        <v>200</v>
      </c>
    </row>
    <row r="272" customFormat="false" ht="15" hidden="false" customHeight="false" outlineLevel="0" collapsed="false">
      <c r="A272" s="6" t="str">
        <f aca="false">'Dish Database'!A92</f>
        <v>D091</v>
      </c>
      <c r="B272" s="6" t="str">
        <f aca="false">'Dish Database'!B92</f>
        <v>Milk - toned (3% fat)</v>
      </c>
      <c r="C272" s="6" t="str">
        <f aca="false">'Dish Database'!D92</f>
        <v>Milkshakes &amp; Milk</v>
      </c>
      <c r="D272" s="6" t="str">
        <f aca="false">'Dish Database'!F92</f>
        <v>Veg</v>
      </c>
      <c r="E272" s="6" t="str">
        <f aca="false">'Dish Database'!E92</f>
        <v>Pan-India</v>
      </c>
      <c r="F272" s="6" t="s">
        <v>2243</v>
      </c>
      <c r="G272" s="6" t="s">
        <v>2248</v>
      </c>
      <c r="H272" s="16" t="n">
        <v>150</v>
      </c>
      <c r="I272" s="6" t="str">
        <f aca="false">'Dish Database'!I92</f>
        <v>ml</v>
      </c>
      <c r="J272" s="13" t="n">
        <f aca="false">'Dish Database'!J92*H272/100</f>
        <v>87.3</v>
      </c>
      <c r="K272" s="17" t="n">
        <f aca="false">'Dish Database'!K92*H272/100</f>
        <v>4.65</v>
      </c>
      <c r="L272" s="17" t="n">
        <f aca="false">'Dish Database'!L92*H272/100</f>
        <v>7.05</v>
      </c>
      <c r="M272" s="17" t="n">
        <f aca="false">'Dish Database'!M92*H272/100</f>
        <v>4.5</v>
      </c>
      <c r="N272" s="17" t="n">
        <f aca="false">'Dish Database'!N92*H272/100</f>
        <v>0</v>
      </c>
      <c r="O272" s="17" t="n">
        <f aca="false">'Dish Database'!O92*H272/100</f>
        <v>7.05</v>
      </c>
      <c r="P272" s="13" t="n">
        <f aca="false">'Dish Database'!P92*H272/100</f>
        <v>67.5</v>
      </c>
    </row>
    <row r="273" customFormat="false" ht="15" hidden="false" customHeight="false" outlineLevel="0" collapsed="false">
      <c r="A273" s="6" t="str">
        <f aca="false">'Dish Database'!A92</f>
        <v>D091</v>
      </c>
      <c r="B273" s="6" t="str">
        <f aca="false">'Dish Database'!B92</f>
        <v>Milk - toned (3% fat)</v>
      </c>
      <c r="C273" s="6" t="str">
        <f aca="false">'Dish Database'!D92</f>
        <v>Milkshakes &amp; Milk</v>
      </c>
      <c r="D273" s="6" t="str">
        <f aca="false">'Dish Database'!F92</f>
        <v>Veg</v>
      </c>
      <c r="E273" s="6" t="str">
        <f aca="false">'Dish Database'!E92</f>
        <v>Pan-India</v>
      </c>
      <c r="F273" s="6" t="s">
        <v>103</v>
      </c>
      <c r="G273" s="6" t="s">
        <v>2249</v>
      </c>
      <c r="H273" s="16" t="n">
        <v>200</v>
      </c>
      <c r="I273" s="6" t="str">
        <f aca="false">'Dish Database'!I92</f>
        <v>ml</v>
      </c>
      <c r="J273" s="13" t="n">
        <f aca="false">'Dish Database'!J92*H273/100</f>
        <v>116.4</v>
      </c>
      <c r="K273" s="17" t="n">
        <f aca="false">'Dish Database'!K92*H273/100</f>
        <v>6.2</v>
      </c>
      <c r="L273" s="17" t="n">
        <f aca="false">'Dish Database'!L92*H273/100</f>
        <v>9.4</v>
      </c>
      <c r="M273" s="17" t="n">
        <f aca="false">'Dish Database'!M92*H273/100</f>
        <v>6</v>
      </c>
      <c r="N273" s="17" t="n">
        <f aca="false">'Dish Database'!N92*H273/100</f>
        <v>0</v>
      </c>
      <c r="O273" s="17" t="n">
        <f aca="false">'Dish Database'!O92*H273/100</f>
        <v>9.4</v>
      </c>
      <c r="P273" s="13" t="n">
        <f aca="false">'Dish Database'!P92*H273/100</f>
        <v>90</v>
      </c>
    </row>
    <row r="274" customFormat="false" ht="15" hidden="false" customHeight="false" outlineLevel="0" collapsed="false">
      <c r="A274" s="6" t="str">
        <f aca="false">'Dish Database'!A92</f>
        <v>D091</v>
      </c>
      <c r="B274" s="6" t="str">
        <f aca="false">'Dish Database'!B92</f>
        <v>Milk - toned (3% fat)</v>
      </c>
      <c r="C274" s="6" t="str">
        <f aca="false">'Dish Database'!D92</f>
        <v>Milkshakes &amp; Milk</v>
      </c>
      <c r="D274" s="6" t="str">
        <f aca="false">'Dish Database'!F92</f>
        <v>Veg</v>
      </c>
      <c r="E274" s="6" t="str">
        <f aca="false">'Dish Database'!E92</f>
        <v>Pan-India</v>
      </c>
      <c r="F274" s="6" t="s">
        <v>2246</v>
      </c>
      <c r="G274" s="6" t="s">
        <v>2250</v>
      </c>
      <c r="H274" s="16" t="n">
        <v>300</v>
      </c>
      <c r="I274" s="6" t="str">
        <f aca="false">'Dish Database'!I92</f>
        <v>ml</v>
      </c>
      <c r="J274" s="13" t="n">
        <f aca="false">'Dish Database'!J92*H274/100</f>
        <v>174.6</v>
      </c>
      <c r="K274" s="17" t="n">
        <f aca="false">'Dish Database'!K92*H274/100</f>
        <v>9.3</v>
      </c>
      <c r="L274" s="17" t="n">
        <f aca="false">'Dish Database'!L92*H274/100</f>
        <v>14.1</v>
      </c>
      <c r="M274" s="17" t="n">
        <f aca="false">'Dish Database'!M92*H274/100</f>
        <v>9</v>
      </c>
      <c r="N274" s="17" t="n">
        <f aca="false">'Dish Database'!N92*H274/100</f>
        <v>0</v>
      </c>
      <c r="O274" s="17" t="n">
        <f aca="false">'Dish Database'!O92*H274/100</f>
        <v>14.1</v>
      </c>
      <c r="P274" s="13" t="n">
        <f aca="false">'Dish Database'!P92*H274/100</f>
        <v>135</v>
      </c>
    </row>
    <row r="275" customFormat="false" ht="15" hidden="false" customHeight="false" outlineLevel="0" collapsed="false">
      <c r="A275" s="6" t="str">
        <f aca="false">'Dish Database'!A93</f>
        <v>D092</v>
      </c>
      <c r="B275" s="6" t="str">
        <f aca="false">'Dish Database'!B93</f>
        <v>Milk - full cream (6% fat)</v>
      </c>
      <c r="C275" s="6" t="str">
        <f aca="false">'Dish Database'!D93</f>
        <v>Milkshakes &amp; Milk</v>
      </c>
      <c r="D275" s="6" t="str">
        <f aca="false">'Dish Database'!F93</f>
        <v>Veg</v>
      </c>
      <c r="E275" s="6" t="str">
        <f aca="false">'Dish Database'!E93</f>
        <v>Pan-India</v>
      </c>
      <c r="F275" s="6" t="s">
        <v>2243</v>
      </c>
      <c r="G275" s="6" t="s">
        <v>2248</v>
      </c>
      <c r="H275" s="16" t="n">
        <v>150</v>
      </c>
      <c r="I275" s="6" t="str">
        <f aca="false">'Dish Database'!I93</f>
        <v>ml</v>
      </c>
      <c r="J275" s="13" t="n">
        <f aca="false">'Dish Database'!J93*H275/100</f>
        <v>130.2</v>
      </c>
      <c r="K275" s="17" t="n">
        <f aca="false">'Dish Database'!K93*H275/100</f>
        <v>4.95</v>
      </c>
      <c r="L275" s="17" t="n">
        <f aca="false">'Dish Database'!L93*H275/100</f>
        <v>7.35</v>
      </c>
      <c r="M275" s="17" t="n">
        <f aca="false">'Dish Database'!M93*H275/100</f>
        <v>9</v>
      </c>
      <c r="N275" s="17" t="n">
        <f aca="false">'Dish Database'!N93*H275/100</f>
        <v>0</v>
      </c>
      <c r="O275" s="17" t="n">
        <f aca="false">'Dish Database'!O93*H275/100</f>
        <v>7.35</v>
      </c>
      <c r="P275" s="13" t="n">
        <f aca="false">'Dish Database'!P93*H275/100</f>
        <v>60</v>
      </c>
    </row>
    <row r="276" customFormat="false" ht="15" hidden="false" customHeight="false" outlineLevel="0" collapsed="false">
      <c r="A276" s="6" t="str">
        <f aca="false">'Dish Database'!A93</f>
        <v>D092</v>
      </c>
      <c r="B276" s="6" t="str">
        <f aca="false">'Dish Database'!B93</f>
        <v>Milk - full cream (6% fat)</v>
      </c>
      <c r="C276" s="6" t="str">
        <f aca="false">'Dish Database'!D93</f>
        <v>Milkshakes &amp; Milk</v>
      </c>
      <c r="D276" s="6" t="str">
        <f aca="false">'Dish Database'!F93</f>
        <v>Veg</v>
      </c>
      <c r="E276" s="6" t="str">
        <f aca="false">'Dish Database'!E93</f>
        <v>Pan-India</v>
      </c>
      <c r="F276" s="6" t="s">
        <v>103</v>
      </c>
      <c r="G276" s="6" t="s">
        <v>2249</v>
      </c>
      <c r="H276" s="16" t="n">
        <v>200</v>
      </c>
      <c r="I276" s="6" t="str">
        <f aca="false">'Dish Database'!I93</f>
        <v>ml</v>
      </c>
      <c r="J276" s="13" t="n">
        <f aca="false">'Dish Database'!J93*H276/100</f>
        <v>173.6</v>
      </c>
      <c r="K276" s="17" t="n">
        <f aca="false">'Dish Database'!K93*H276/100</f>
        <v>6.6</v>
      </c>
      <c r="L276" s="17" t="n">
        <f aca="false">'Dish Database'!L93*H276/100</f>
        <v>9.8</v>
      </c>
      <c r="M276" s="17" t="n">
        <f aca="false">'Dish Database'!M93*H276/100</f>
        <v>12</v>
      </c>
      <c r="N276" s="17" t="n">
        <f aca="false">'Dish Database'!N93*H276/100</f>
        <v>0</v>
      </c>
      <c r="O276" s="17" t="n">
        <f aca="false">'Dish Database'!O93*H276/100</f>
        <v>9.8</v>
      </c>
      <c r="P276" s="13" t="n">
        <f aca="false">'Dish Database'!P93*H276/100</f>
        <v>80</v>
      </c>
    </row>
    <row r="277" customFormat="false" ht="15" hidden="false" customHeight="false" outlineLevel="0" collapsed="false">
      <c r="A277" s="6" t="str">
        <f aca="false">'Dish Database'!A93</f>
        <v>D092</v>
      </c>
      <c r="B277" s="6" t="str">
        <f aca="false">'Dish Database'!B93</f>
        <v>Milk - full cream (6% fat)</v>
      </c>
      <c r="C277" s="6" t="str">
        <f aca="false">'Dish Database'!D93</f>
        <v>Milkshakes &amp; Milk</v>
      </c>
      <c r="D277" s="6" t="str">
        <f aca="false">'Dish Database'!F93</f>
        <v>Veg</v>
      </c>
      <c r="E277" s="6" t="str">
        <f aca="false">'Dish Database'!E93</f>
        <v>Pan-India</v>
      </c>
      <c r="F277" s="6" t="s">
        <v>2246</v>
      </c>
      <c r="G277" s="6" t="s">
        <v>2250</v>
      </c>
      <c r="H277" s="16" t="n">
        <v>300</v>
      </c>
      <c r="I277" s="6" t="str">
        <f aca="false">'Dish Database'!I93</f>
        <v>ml</v>
      </c>
      <c r="J277" s="13" t="n">
        <f aca="false">'Dish Database'!J93*H277/100</f>
        <v>260.4</v>
      </c>
      <c r="K277" s="17" t="n">
        <f aca="false">'Dish Database'!K93*H277/100</f>
        <v>9.9</v>
      </c>
      <c r="L277" s="17" t="n">
        <f aca="false">'Dish Database'!L93*H277/100</f>
        <v>14.7</v>
      </c>
      <c r="M277" s="17" t="n">
        <f aca="false">'Dish Database'!M93*H277/100</f>
        <v>18</v>
      </c>
      <c r="N277" s="17" t="n">
        <f aca="false">'Dish Database'!N93*H277/100</f>
        <v>0</v>
      </c>
      <c r="O277" s="17" t="n">
        <f aca="false">'Dish Database'!O93*H277/100</f>
        <v>14.7</v>
      </c>
      <c r="P277" s="13" t="n">
        <f aca="false">'Dish Database'!P93*H277/100</f>
        <v>120</v>
      </c>
    </row>
    <row r="278" customFormat="false" ht="15" hidden="false" customHeight="false" outlineLevel="0" collapsed="false">
      <c r="A278" s="6" t="str">
        <f aca="false">'Dish Database'!A94</f>
        <v>D093</v>
      </c>
      <c r="B278" s="6" t="str">
        <f aca="false">'Dish Database'!B94</f>
        <v>Milk - double toned (1.5% fat)</v>
      </c>
      <c r="C278" s="6" t="str">
        <f aca="false">'Dish Database'!D94</f>
        <v>Milkshakes &amp; Milk</v>
      </c>
      <c r="D278" s="6" t="str">
        <f aca="false">'Dish Database'!F94</f>
        <v>Veg</v>
      </c>
      <c r="E278" s="6" t="str">
        <f aca="false">'Dish Database'!E94</f>
        <v>Pan-India</v>
      </c>
      <c r="F278" s="6" t="s">
        <v>2243</v>
      </c>
      <c r="G278" s="6" t="s">
        <v>2248</v>
      </c>
      <c r="H278" s="16" t="n">
        <v>150</v>
      </c>
      <c r="I278" s="6" t="str">
        <f aca="false">'Dish Database'!I94</f>
        <v>ml</v>
      </c>
      <c r="J278" s="13" t="n">
        <f aca="false">'Dish Database'!J94*H278/100</f>
        <v>68.85</v>
      </c>
      <c r="K278" s="17" t="n">
        <f aca="false">'Dish Database'!K94*H278/100</f>
        <v>4.8</v>
      </c>
      <c r="L278" s="17" t="n">
        <f aca="false">'Dish Database'!L94*H278/100</f>
        <v>7.35</v>
      </c>
      <c r="M278" s="17" t="n">
        <f aca="false">'Dish Database'!M94*H278/100</f>
        <v>2.25</v>
      </c>
      <c r="N278" s="17" t="n">
        <f aca="false">'Dish Database'!N94*H278/100</f>
        <v>0</v>
      </c>
      <c r="O278" s="17" t="n">
        <f aca="false">'Dish Database'!O94*H278/100</f>
        <v>7.35</v>
      </c>
      <c r="P278" s="13" t="n">
        <f aca="false">'Dish Database'!P94*H278/100</f>
        <v>67.5</v>
      </c>
    </row>
    <row r="279" customFormat="false" ht="15" hidden="false" customHeight="false" outlineLevel="0" collapsed="false">
      <c r="A279" s="6" t="str">
        <f aca="false">'Dish Database'!A94</f>
        <v>D093</v>
      </c>
      <c r="B279" s="6" t="str">
        <f aca="false">'Dish Database'!B94</f>
        <v>Milk - double toned (1.5% fat)</v>
      </c>
      <c r="C279" s="6" t="str">
        <f aca="false">'Dish Database'!D94</f>
        <v>Milkshakes &amp; Milk</v>
      </c>
      <c r="D279" s="6" t="str">
        <f aca="false">'Dish Database'!F94</f>
        <v>Veg</v>
      </c>
      <c r="E279" s="6" t="str">
        <f aca="false">'Dish Database'!E94</f>
        <v>Pan-India</v>
      </c>
      <c r="F279" s="6" t="s">
        <v>103</v>
      </c>
      <c r="G279" s="6" t="s">
        <v>2249</v>
      </c>
      <c r="H279" s="16" t="n">
        <v>200</v>
      </c>
      <c r="I279" s="6" t="str">
        <f aca="false">'Dish Database'!I94</f>
        <v>ml</v>
      </c>
      <c r="J279" s="13" t="n">
        <f aca="false">'Dish Database'!J94*H279/100</f>
        <v>91.8</v>
      </c>
      <c r="K279" s="17" t="n">
        <f aca="false">'Dish Database'!K94*H279/100</f>
        <v>6.4</v>
      </c>
      <c r="L279" s="17" t="n">
        <f aca="false">'Dish Database'!L94*H279/100</f>
        <v>9.8</v>
      </c>
      <c r="M279" s="17" t="n">
        <f aca="false">'Dish Database'!M94*H279/100</f>
        <v>3</v>
      </c>
      <c r="N279" s="17" t="n">
        <f aca="false">'Dish Database'!N94*H279/100</f>
        <v>0</v>
      </c>
      <c r="O279" s="17" t="n">
        <f aca="false">'Dish Database'!O94*H279/100</f>
        <v>9.8</v>
      </c>
      <c r="P279" s="13" t="n">
        <f aca="false">'Dish Database'!P94*H279/100</f>
        <v>90</v>
      </c>
    </row>
    <row r="280" customFormat="false" ht="15" hidden="false" customHeight="false" outlineLevel="0" collapsed="false">
      <c r="A280" s="6" t="str">
        <f aca="false">'Dish Database'!A94</f>
        <v>D093</v>
      </c>
      <c r="B280" s="6" t="str">
        <f aca="false">'Dish Database'!B94</f>
        <v>Milk - double toned (1.5% fat)</v>
      </c>
      <c r="C280" s="6" t="str">
        <f aca="false">'Dish Database'!D94</f>
        <v>Milkshakes &amp; Milk</v>
      </c>
      <c r="D280" s="6" t="str">
        <f aca="false">'Dish Database'!F94</f>
        <v>Veg</v>
      </c>
      <c r="E280" s="6" t="str">
        <f aca="false">'Dish Database'!E94</f>
        <v>Pan-India</v>
      </c>
      <c r="F280" s="6" t="s">
        <v>2246</v>
      </c>
      <c r="G280" s="6" t="s">
        <v>2250</v>
      </c>
      <c r="H280" s="16" t="n">
        <v>300</v>
      </c>
      <c r="I280" s="6" t="str">
        <f aca="false">'Dish Database'!I94</f>
        <v>ml</v>
      </c>
      <c r="J280" s="13" t="n">
        <f aca="false">'Dish Database'!J94*H280/100</f>
        <v>137.7</v>
      </c>
      <c r="K280" s="17" t="n">
        <f aca="false">'Dish Database'!K94*H280/100</f>
        <v>9.6</v>
      </c>
      <c r="L280" s="17" t="n">
        <f aca="false">'Dish Database'!L94*H280/100</f>
        <v>14.7</v>
      </c>
      <c r="M280" s="17" t="n">
        <f aca="false">'Dish Database'!M94*H280/100</f>
        <v>4.5</v>
      </c>
      <c r="N280" s="17" t="n">
        <f aca="false">'Dish Database'!N94*H280/100</f>
        <v>0</v>
      </c>
      <c r="O280" s="17" t="n">
        <f aca="false">'Dish Database'!O94*H280/100</f>
        <v>14.7</v>
      </c>
      <c r="P280" s="13" t="n">
        <f aca="false">'Dish Database'!P94*H280/100</f>
        <v>135</v>
      </c>
    </row>
    <row r="281" customFormat="false" ht="15" hidden="false" customHeight="false" outlineLevel="0" collapsed="false">
      <c r="A281" s="6" t="str">
        <f aca="false">'Dish Database'!A95</f>
        <v>D094</v>
      </c>
      <c r="B281" s="6" t="str">
        <f aca="false">'Dish Database'!B95</f>
        <v>Poha (kanda/Indori, with peanuts)</v>
      </c>
      <c r="C281" s="6" t="str">
        <f aca="false">'Dish Database'!D95</f>
        <v>Breakfast - North &amp; West</v>
      </c>
      <c r="D281" s="6" t="str">
        <f aca="false">'Dish Database'!F95</f>
        <v>Veg</v>
      </c>
      <c r="E281" s="6" t="str">
        <f aca="false">'Dish Database'!E95</f>
        <v>West</v>
      </c>
      <c r="F281" s="6" t="s">
        <v>2243</v>
      </c>
      <c r="G281" s="6" t="s">
        <v>2265</v>
      </c>
      <c r="H281" s="16" t="n">
        <v>100</v>
      </c>
      <c r="I281" s="6" t="str">
        <f aca="false">'Dish Database'!I95</f>
        <v>g</v>
      </c>
      <c r="J281" s="13" t="n">
        <f aca="false">'Dish Database'!J95*H281/100</f>
        <v>165.4</v>
      </c>
      <c r="K281" s="17" t="n">
        <f aca="false">'Dish Database'!K95*H281/100</f>
        <v>3.6</v>
      </c>
      <c r="L281" s="17" t="n">
        <f aca="false">'Dish Database'!L95*H281/100</f>
        <v>25.5</v>
      </c>
      <c r="M281" s="17" t="n">
        <f aca="false">'Dish Database'!M95*H281/100</f>
        <v>5.8</v>
      </c>
      <c r="N281" s="17" t="n">
        <f aca="false">'Dish Database'!N95*H281/100</f>
        <v>1.6</v>
      </c>
      <c r="O281" s="17" t="n">
        <f aca="false">'Dish Database'!O95*H281/100</f>
        <v>1.8</v>
      </c>
      <c r="P281" s="13" t="n">
        <f aca="false">'Dish Database'!P95*H281/100</f>
        <v>320</v>
      </c>
    </row>
    <row r="282" customFormat="false" ht="15" hidden="false" customHeight="false" outlineLevel="0" collapsed="false">
      <c r="A282" s="6" t="str">
        <f aca="false">'Dish Database'!A95</f>
        <v>D094</v>
      </c>
      <c r="B282" s="6" t="str">
        <f aca="false">'Dish Database'!B95</f>
        <v>Poha (kanda/Indori, with peanuts)</v>
      </c>
      <c r="C282" s="6" t="str">
        <f aca="false">'Dish Database'!D95</f>
        <v>Breakfast - North &amp; West</v>
      </c>
      <c r="D282" s="6" t="str">
        <f aca="false">'Dish Database'!F95</f>
        <v>Veg</v>
      </c>
      <c r="E282" s="6" t="str">
        <f aca="false">'Dish Database'!E95</f>
        <v>West</v>
      </c>
      <c r="F282" s="6" t="s">
        <v>103</v>
      </c>
      <c r="G282" s="6" t="s">
        <v>2266</v>
      </c>
      <c r="H282" s="16" t="n">
        <v>175</v>
      </c>
      <c r="I282" s="6" t="str">
        <f aca="false">'Dish Database'!I95</f>
        <v>g</v>
      </c>
      <c r="J282" s="13" t="n">
        <f aca="false">'Dish Database'!J95*H282/100</f>
        <v>289.45</v>
      </c>
      <c r="K282" s="17" t="n">
        <f aca="false">'Dish Database'!K95*H282/100</f>
        <v>6.3</v>
      </c>
      <c r="L282" s="17" t="n">
        <f aca="false">'Dish Database'!L95*H282/100</f>
        <v>44.625</v>
      </c>
      <c r="M282" s="17" t="n">
        <f aca="false">'Dish Database'!M95*H282/100</f>
        <v>10.15</v>
      </c>
      <c r="N282" s="17" t="n">
        <f aca="false">'Dish Database'!N95*H282/100</f>
        <v>2.8</v>
      </c>
      <c r="O282" s="17" t="n">
        <f aca="false">'Dish Database'!O95*H282/100</f>
        <v>3.15</v>
      </c>
      <c r="P282" s="13" t="n">
        <f aca="false">'Dish Database'!P95*H282/100</f>
        <v>560</v>
      </c>
    </row>
    <row r="283" customFormat="false" ht="15" hidden="false" customHeight="false" outlineLevel="0" collapsed="false">
      <c r="A283" s="6" t="str">
        <f aca="false">'Dish Database'!A95</f>
        <v>D094</v>
      </c>
      <c r="B283" s="6" t="str">
        <f aca="false">'Dish Database'!B95</f>
        <v>Poha (kanda/Indori, with peanuts)</v>
      </c>
      <c r="C283" s="6" t="str">
        <f aca="false">'Dish Database'!D95</f>
        <v>Breakfast - North &amp; West</v>
      </c>
      <c r="D283" s="6" t="str">
        <f aca="false">'Dish Database'!F95</f>
        <v>Veg</v>
      </c>
      <c r="E283" s="6" t="str">
        <f aca="false">'Dish Database'!E95</f>
        <v>West</v>
      </c>
      <c r="F283" s="6" t="s">
        <v>2246</v>
      </c>
      <c r="G283" s="6" t="s">
        <v>2267</v>
      </c>
      <c r="H283" s="16" t="n">
        <v>250</v>
      </c>
      <c r="I283" s="6" t="str">
        <f aca="false">'Dish Database'!I95</f>
        <v>g</v>
      </c>
      <c r="J283" s="13" t="n">
        <f aca="false">'Dish Database'!J95*H283/100</f>
        <v>413.5</v>
      </c>
      <c r="K283" s="17" t="n">
        <f aca="false">'Dish Database'!K95*H283/100</f>
        <v>9</v>
      </c>
      <c r="L283" s="17" t="n">
        <f aca="false">'Dish Database'!L95*H283/100</f>
        <v>63.75</v>
      </c>
      <c r="M283" s="17" t="n">
        <f aca="false">'Dish Database'!M95*H283/100</f>
        <v>14.5</v>
      </c>
      <c r="N283" s="17" t="n">
        <f aca="false">'Dish Database'!N95*H283/100</f>
        <v>4</v>
      </c>
      <c r="O283" s="17" t="n">
        <f aca="false">'Dish Database'!O95*H283/100</f>
        <v>4.5</v>
      </c>
      <c r="P283" s="13" t="n">
        <f aca="false">'Dish Database'!P95*H283/100</f>
        <v>800</v>
      </c>
    </row>
    <row r="284" customFormat="false" ht="15" hidden="false" customHeight="false" outlineLevel="0" collapsed="false">
      <c r="A284" s="6" t="str">
        <f aca="false">'Dish Database'!A96</f>
        <v>D095</v>
      </c>
      <c r="B284" s="6" t="str">
        <f aca="false">'Dish Database'!B96</f>
        <v>Upma (rava)</v>
      </c>
      <c r="C284" s="6" t="str">
        <f aca="false">'Dish Database'!D96</f>
        <v>Breakfast - North &amp; West</v>
      </c>
      <c r="D284" s="6" t="str">
        <f aca="false">'Dish Database'!F96</f>
        <v>Veg</v>
      </c>
      <c r="E284" s="6" t="str">
        <f aca="false">'Dish Database'!E96</f>
        <v>South</v>
      </c>
      <c r="F284" s="6" t="s">
        <v>2243</v>
      </c>
      <c r="G284" s="6" t="s">
        <v>2265</v>
      </c>
      <c r="H284" s="16" t="n">
        <v>100</v>
      </c>
      <c r="I284" s="6" t="str">
        <f aca="false">'Dish Database'!I96</f>
        <v>g</v>
      </c>
      <c r="J284" s="13" t="n">
        <f aca="false">'Dish Database'!J96*H284/100</f>
        <v>149.1</v>
      </c>
      <c r="K284" s="17" t="n">
        <f aca="false">'Dish Database'!K96*H284/100</f>
        <v>3.5</v>
      </c>
      <c r="L284" s="17" t="n">
        <f aca="false">'Dish Database'!L96*H284/100</f>
        <v>22</v>
      </c>
      <c r="M284" s="17" t="n">
        <f aca="false">'Dish Database'!M96*H284/100</f>
        <v>5.5</v>
      </c>
      <c r="N284" s="17" t="n">
        <f aca="false">'Dish Database'!N96*H284/100</f>
        <v>1.2</v>
      </c>
      <c r="O284" s="17" t="n">
        <f aca="false">'Dish Database'!O96*H284/100</f>
        <v>1</v>
      </c>
      <c r="P284" s="13" t="n">
        <f aca="false">'Dish Database'!P96*H284/100</f>
        <v>330</v>
      </c>
    </row>
    <row r="285" customFormat="false" ht="15" hidden="false" customHeight="false" outlineLevel="0" collapsed="false">
      <c r="A285" s="6" t="str">
        <f aca="false">'Dish Database'!A96</f>
        <v>D095</v>
      </c>
      <c r="B285" s="6" t="str">
        <f aca="false">'Dish Database'!B96</f>
        <v>Upma (rava)</v>
      </c>
      <c r="C285" s="6" t="str">
        <f aca="false">'Dish Database'!D96</f>
        <v>Breakfast - North &amp; West</v>
      </c>
      <c r="D285" s="6" t="str">
        <f aca="false">'Dish Database'!F96</f>
        <v>Veg</v>
      </c>
      <c r="E285" s="6" t="str">
        <f aca="false">'Dish Database'!E96</f>
        <v>South</v>
      </c>
      <c r="F285" s="6" t="s">
        <v>103</v>
      </c>
      <c r="G285" s="6" t="s">
        <v>2266</v>
      </c>
      <c r="H285" s="16" t="n">
        <v>175</v>
      </c>
      <c r="I285" s="6" t="str">
        <f aca="false">'Dish Database'!I96</f>
        <v>g</v>
      </c>
      <c r="J285" s="13" t="n">
        <f aca="false">'Dish Database'!J96*H285/100</f>
        <v>260.925</v>
      </c>
      <c r="K285" s="17" t="n">
        <f aca="false">'Dish Database'!K96*H285/100</f>
        <v>6.125</v>
      </c>
      <c r="L285" s="17" t="n">
        <f aca="false">'Dish Database'!L96*H285/100</f>
        <v>38.5</v>
      </c>
      <c r="M285" s="17" t="n">
        <f aca="false">'Dish Database'!M96*H285/100</f>
        <v>9.625</v>
      </c>
      <c r="N285" s="17" t="n">
        <f aca="false">'Dish Database'!N96*H285/100</f>
        <v>2.1</v>
      </c>
      <c r="O285" s="17" t="n">
        <f aca="false">'Dish Database'!O96*H285/100</f>
        <v>1.75</v>
      </c>
      <c r="P285" s="13" t="n">
        <f aca="false">'Dish Database'!P96*H285/100</f>
        <v>577.5</v>
      </c>
    </row>
    <row r="286" customFormat="false" ht="15" hidden="false" customHeight="false" outlineLevel="0" collapsed="false">
      <c r="A286" s="6" t="str">
        <f aca="false">'Dish Database'!A96</f>
        <v>D095</v>
      </c>
      <c r="B286" s="6" t="str">
        <f aca="false">'Dish Database'!B96</f>
        <v>Upma (rava)</v>
      </c>
      <c r="C286" s="6" t="str">
        <f aca="false">'Dish Database'!D96</f>
        <v>Breakfast - North &amp; West</v>
      </c>
      <c r="D286" s="6" t="str">
        <f aca="false">'Dish Database'!F96</f>
        <v>Veg</v>
      </c>
      <c r="E286" s="6" t="str">
        <f aca="false">'Dish Database'!E96</f>
        <v>South</v>
      </c>
      <c r="F286" s="6" t="s">
        <v>2246</v>
      </c>
      <c r="G286" s="6" t="s">
        <v>2267</v>
      </c>
      <c r="H286" s="16" t="n">
        <v>250</v>
      </c>
      <c r="I286" s="6" t="str">
        <f aca="false">'Dish Database'!I96</f>
        <v>g</v>
      </c>
      <c r="J286" s="13" t="n">
        <f aca="false">'Dish Database'!J96*H286/100</f>
        <v>372.75</v>
      </c>
      <c r="K286" s="17" t="n">
        <f aca="false">'Dish Database'!K96*H286/100</f>
        <v>8.75</v>
      </c>
      <c r="L286" s="17" t="n">
        <f aca="false">'Dish Database'!L96*H286/100</f>
        <v>55</v>
      </c>
      <c r="M286" s="17" t="n">
        <f aca="false">'Dish Database'!M96*H286/100</f>
        <v>13.75</v>
      </c>
      <c r="N286" s="17" t="n">
        <f aca="false">'Dish Database'!N96*H286/100</f>
        <v>3</v>
      </c>
      <c r="O286" s="17" t="n">
        <f aca="false">'Dish Database'!O96*H286/100</f>
        <v>2.5</v>
      </c>
      <c r="P286" s="13" t="n">
        <f aca="false">'Dish Database'!P96*H286/100</f>
        <v>825</v>
      </c>
    </row>
    <row r="287" customFormat="false" ht="15" hidden="false" customHeight="false" outlineLevel="0" collapsed="false">
      <c r="A287" s="6" t="str">
        <f aca="false">'Dish Database'!A97</f>
        <v>D096</v>
      </c>
      <c r="B287" s="6" t="str">
        <f aca="false">'Dish Database'!B97</f>
        <v>Vegetable upma</v>
      </c>
      <c r="C287" s="6" t="str">
        <f aca="false">'Dish Database'!D97</f>
        <v>Breakfast - North &amp; West</v>
      </c>
      <c r="D287" s="6" t="str">
        <f aca="false">'Dish Database'!F97</f>
        <v>Veg</v>
      </c>
      <c r="E287" s="6" t="str">
        <f aca="false">'Dish Database'!E97</f>
        <v>South</v>
      </c>
      <c r="F287" s="6" t="s">
        <v>2243</v>
      </c>
      <c r="G287" s="6" t="s">
        <v>2265</v>
      </c>
      <c r="H287" s="16" t="n">
        <v>100</v>
      </c>
      <c r="I287" s="6" t="str">
        <f aca="false">'Dish Database'!I97</f>
        <v>g</v>
      </c>
      <c r="J287" s="13" t="n">
        <f aca="false">'Dish Database'!J97*H287/100</f>
        <v>136.8</v>
      </c>
      <c r="K287" s="17" t="n">
        <f aca="false">'Dish Database'!K97*H287/100</f>
        <v>3.3</v>
      </c>
      <c r="L287" s="17" t="n">
        <f aca="false">'Dish Database'!L97*H287/100</f>
        <v>20</v>
      </c>
      <c r="M287" s="17" t="n">
        <f aca="false">'Dish Database'!M97*H287/100</f>
        <v>5.2</v>
      </c>
      <c r="N287" s="17" t="n">
        <f aca="false">'Dish Database'!N97*H287/100</f>
        <v>1.6</v>
      </c>
      <c r="O287" s="17" t="n">
        <f aca="false">'Dish Database'!O97*H287/100</f>
        <v>1.5</v>
      </c>
      <c r="P287" s="13" t="n">
        <f aca="false">'Dish Database'!P97*H287/100</f>
        <v>330</v>
      </c>
    </row>
    <row r="288" customFormat="false" ht="15" hidden="false" customHeight="false" outlineLevel="0" collapsed="false">
      <c r="A288" s="6" t="str">
        <f aca="false">'Dish Database'!A97</f>
        <v>D096</v>
      </c>
      <c r="B288" s="6" t="str">
        <f aca="false">'Dish Database'!B97</f>
        <v>Vegetable upma</v>
      </c>
      <c r="C288" s="6" t="str">
        <f aca="false">'Dish Database'!D97</f>
        <v>Breakfast - North &amp; West</v>
      </c>
      <c r="D288" s="6" t="str">
        <f aca="false">'Dish Database'!F97</f>
        <v>Veg</v>
      </c>
      <c r="E288" s="6" t="str">
        <f aca="false">'Dish Database'!E97</f>
        <v>South</v>
      </c>
      <c r="F288" s="6" t="s">
        <v>103</v>
      </c>
      <c r="G288" s="6" t="s">
        <v>2266</v>
      </c>
      <c r="H288" s="16" t="n">
        <v>175</v>
      </c>
      <c r="I288" s="6" t="str">
        <f aca="false">'Dish Database'!I97</f>
        <v>g</v>
      </c>
      <c r="J288" s="13" t="n">
        <f aca="false">'Dish Database'!J97*H288/100</f>
        <v>239.4</v>
      </c>
      <c r="K288" s="17" t="n">
        <f aca="false">'Dish Database'!K97*H288/100</f>
        <v>5.775</v>
      </c>
      <c r="L288" s="17" t="n">
        <f aca="false">'Dish Database'!L97*H288/100</f>
        <v>35</v>
      </c>
      <c r="M288" s="17" t="n">
        <f aca="false">'Dish Database'!M97*H288/100</f>
        <v>9.1</v>
      </c>
      <c r="N288" s="17" t="n">
        <f aca="false">'Dish Database'!N97*H288/100</f>
        <v>2.8</v>
      </c>
      <c r="O288" s="17" t="n">
        <f aca="false">'Dish Database'!O97*H288/100</f>
        <v>2.625</v>
      </c>
      <c r="P288" s="13" t="n">
        <f aca="false">'Dish Database'!P97*H288/100</f>
        <v>577.5</v>
      </c>
    </row>
    <row r="289" customFormat="false" ht="15" hidden="false" customHeight="false" outlineLevel="0" collapsed="false">
      <c r="A289" s="6" t="str">
        <f aca="false">'Dish Database'!A97</f>
        <v>D096</v>
      </c>
      <c r="B289" s="6" t="str">
        <f aca="false">'Dish Database'!B97</f>
        <v>Vegetable upma</v>
      </c>
      <c r="C289" s="6" t="str">
        <f aca="false">'Dish Database'!D97</f>
        <v>Breakfast - North &amp; West</v>
      </c>
      <c r="D289" s="6" t="str">
        <f aca="false">'Dish Database'!F97</f>
        <v>Veg</v>
      </c>
      <c r="E289" s="6" t="str">
        <f aca="false">'Dish Database'!E97</f>
        <v>South</v>
      </c>
      <c r="F289" s="6" t="s">
        <v>2246</v>
      </c>
      <c r="G289" s="6" t="s">
        <v>2267</v>
      </c>
      <c r="H289" s="16" t="n">
        <v>250</v>
      </c>
      <c r="I289" s="6" t="str">
        <f aca="false">'Dish Database'!I97</f>
        <v>g</v>
      </c>
      <c r="J289" s="13" t="n">
        <f aca="false">'Dish Database'!J97*H289/100</f>
        <v>342</v>
      </c>
      <c r="K289" s="17" t="n">
        <f aca="false">'Dish Database'!K97*H289/100</f>
        <v>8.25</v>
      </c>
      <c r="L289" s="17" t="n">
        <f aca="false">'Dish Database'!L97*H289/100</f>
        <v>50</v>
      </c>
      <c r="M289" s="17" t="n">
        <f aca="false">'Dish Database'!M97*H289/100</f>
        <v>13</v>
      </c>
      <c r="N289" s="17" t="n">
        <f aca="false">'Dish Database'!N97*H289/100</f>
        <v>4</v>
      </c>
      <c r="O289" s="17" t="n">
        <f aca="false">'Dish Database'!O97*H289/100</f>
        <v>3.75</v>
      </c>
      <c r="P289" s="13" t="n">
        <f aca="false">'Dish Database'!P97*H289/100</f>
        <v>825</v>
      </c>
    </row>
    <row r="290" customFormat="false" ht="15" hidden="false" customHeight="false" outlineLevel="0" collapsed="false">
      <c r="A290" s="6" t="str">
        <f aca="false">'Dish Database'!A98</f>
        <v>D097</v>
      </c>
      <c r="B290" s="6" t="str">
        <f aca="false">'Dish Database'!B98</f>
        <v>Sabudana khichdi</v>
      </c>
      <c r="C290" s="6" t="str">
        <f aca="false">'Dish Database'!D98</f>
        <v>Breakfast - North &amp; West</v>
      </c>
      <c r="D290" s="6" t="str">
        <f aca="false">'Dish Database'!F98</f>
        <v>Veg</v>
      </c>
      <c r="E290" s="6" t="str">
        <f aca="false">'Dish Database'!E98</f>
        <v>West</v>
      </c>
      <c r="F290" s="6" t="s">
        <v>2243</v>
      </c>
      <c r="G290" s="6" t="s">
        <v>2265</v>
      </c>
      <c r="H290" s="16" t="n">
        <v>100</v>
      </c>
      <c r="I290" s="6" t="str">
        <f aca="false">'Dish Database'!I98</f>
        <v>g</v>
      </c>
      <c r="J290" s="13" t="n">
        <f aca="false">'Dish Database'!J98*H290/100</f>
        <v>203.5</v>
      </c>
      <c r="K290" s="17" t="n">
        <f aca="false">'Dish Database'!K98*H290/100</f>
        <v>2.5</v>
      </c>
      <c r="L290" s="17" t="n">
        <f aca="false">'Dish Database'!L98*H290/100</f>
        <v>32</v>
      </c>
      <c r="M290" s="17" t="n">
        <f aca="false">'Dish Database'!M98*H290/100</f>
        <v>7.5</v>
      </c>
      <c r="N290" s="17" t="n">
        <f aca="false">'Dish Database'!N98*H290/100</f>
        <v>1</v>
      </c>
      <c r="O290" s="17" t="n">
        <f aca="false">'Dish Database'!O98*H290/100</f>
        <v>1</v>
      </c>
      <c r="P290" s="13" t="n">
        <f aca="false">'Dish Database'!P98*H290/100</f>
        <v>280</v>
      </c>
    </row>
    <row r="291" customFormat="false" ht="15" hidden="false" customHeight="false" outlineLevel="0" collapsed="false">
      <c r="A291" s="6" t="str">
        <f aca="false">'Dish Database'!A98</f>
        <v>D097</v>
      </c>
      <c r="B291" s="6" t="str">
        <f aca="false">'Dish Database'!B98</f>
        <v>Sabudana khichdi</v>
      </c>
      <c r="C291" s="6" t="str">
        <f aca="false">'Dish Database'!D98</f>
        <v>Breakfast - North &amp; West</v>
      </c>
      <c r="D291" s="6" t="str">
        <f aca="false">'Dish Database'!F98</f>
        <v>Veg</v>
      </c>
      <c r="E291" s="6" t="str">
        <f aca="false">'Dish Database'!E98</f>
        <v>West</v>
      </c>
      <c r="F291" s="6" t="s">
        <v>103</v>
      </c>
      <c r="G291" s="6" t="s">
        <v>2266</v>
      </c>
      <c r="H291" s="16" t="n">
        <v>175</v>
      </c>
      <c r="I291" s="6" t="str">
        <f aca="false">'Dish Database'!I98</f>
        <v>g</v>
      </c>
      <c r="J291" s="13" t="n">
        <f aca="false">'Dish Database'!J98*H291/100</f>
        <v>356.125</v>
      </c>
      <c r="K291" s="17" t="n">
        <f aca="false">'Dish Database'!K98*H291/100</f>
        <v>4.375</v>
      </c>
      <c r="L291" s="17" t="n">
        <f aca="false">'Dish Database'!L98*H291/100</f>
        <v>56</v>
      </c>
      <c r="M291" s="17" t="n">
        <f aca="false">'Dish Database'!M98*H291/100</f>
        <v>13.125</v>
      </c>
      <c r="N291" s="17" t="n">
        <f aca="false">'Dish Database'!N98*H291/100</f>
        <v>1.75</v>
      </c>
      <c r="O291" s="17" t="n">
        <f aca="false">'Dish Database'!O98*H291/100</f>
        <v>1.75</v>
      </c>
      <c r="P291" s="13" t="n">
        <f aca="false">'Dish Database'!P98*H291/100</f>
        <v>490</v>
      </c>
    </row>
    <row r="292" customFormat="false" ht="15" hidden="false" customHeight="false" outlineLevel="0" collapsed="false">
      <c r="A292" s="6" t="str">
        <f aca="false">'Dish Database'!A98</f>
        <v>D097</v>
      </c>
      <c r="B292" s="6" t="str">
        <f aca="false">'Dish Database'!B98</f>
        <v>Sabudana khichdi</v>
      </c>
      <c r="C292" s="6" t="str">
        <f aca="false">'Dish Database'!D98</f>
        <v>Breakfast - North &amp; West</v>
      </c>
      <c r="D292" s="6" t="str">
        <f aca="false">'Dish Database'!F98</f>
        <v>Veg</v>
      </c>
      <c r="E292" s="6" t="str">
        <f aca="false">'Dish Database'!E98</f>
        <v>West</v>
      </c>
      <c r="F292" s="6" t="s">
        <v>2246</v>
      </c>
      <c r="G292" s="6" t="s">
        <v>2267</v>
      </c>
      <c r="H292" s="16" t="n">
        <v>250</v>
      </c>
      <c r="I292" s="6" t="str">
        <f aca="false">'Dish Database'!I98</f>
        <v>g</v>
      </c>
      <c r="J292" s="13" t="n">
        <f aca="false">'Dish Database'!J98*H292/100</f>
        <v>508.75</v>
      </c>
      <c r="K292" s="17" t="n">
        <f aca="false">'Dish Database'!K98*H292/100</f>
        <v>6.25</v>
      </c>
      <c r="L292" s="17" t="n">
        <f aca="false">'Dish Database'!L98*H292/100</f>
        <v>80</v>
      </c>
      <c r="M292" s="17" t="n">
        <f aca="false">'Dish Database'!M98*H292/100</f>
        <v>18.75</v>
      </c>
      <c r="N292" s="17" t="n">
        <f aca="false">'Dish Database'!N98*H292/100</f>
        <v>2.5</v>
      </c>
      <c r="O292" s="17" t="n">
        <f aca="false">'Dish Database'!O98*H292/100</f>
        <v>2.5</v>
      </c>
      <c r="P292" s="13" t="n">
        <f aca="false">'Dish Database'!P98*H292/100</f>
        <v>700</v>
      </c>
    </row>
    <row r="293" customFormat="false" ht="15" hidden="false" customHeight="false" outlineLevel="0" collapsed="false">
      <c r="A293" s="6" t="str">
        <f aca="false">'Dish Database'!A99</f>
        <v>D098</v>
      </c>
      <c r="B293" s="6" t="str">
        <f aca="false">'Dish Database'!B99</f>
        <v>Daliya - namkeen (vegetable)</v>
      </c>
      <c r="C293" s="6" t="str">
        <f aca="false">'Dish Database'!D99</f>
        <v>Breakfast - North &amp; West</v>
      </c>
      <c r="D293" s="6" t="str">
        <f aca="false">'Dish Database'!F99</f>
        <v>Veg</v>
      </c>
      <c r="E293" s="6" t="str">
        <f aca="false">'Dish Database'!E99</f>
        <v>North</v>
      </c>
      <c r="F293" s="6" t="s">
        <v>2243</v>
      </c>
      <c r="G293" s="6" t="s">
        <v>2265</v>
      </c>
      <c r="H293" s="16" t="n">
        <v>100</v>
      </c>
      <c r="I293" s="6" t="str">
        <f aca="false">'Dish Database'!I99</f>
        <v>g</v>
      </c>
      <c r="J293" s="13" t="n">
        <f aca="false">'Dish Database'!J99*H293/100</f>
        <v>101.7</v>
      </c>
      <c r="K293" s="17" t="n">
        <f aca="false">'Dish Database'!K99*H293/100</f>
        <v>3.2</v>
      </c>
      <c r="L293" s="17" t="n">
        <f aca="false">'Dish Database'!L99*H293/100</f>
        <v>18</v>
      </c>
      <c r="M293" s="17" t="n">
        <f aca="false">'Dish Database'!M99*H293/100</f>
        <v>2.5</v>
      </c>
      <c r="N293" s="17" t="n">
        <f aca="false">'Dish Database'!N99*H293/100</f>
        <v>2.8</v>
      </c>
      <c r="O293" s="17" t="n">
        <f aca="false">'Dish Database'!O99*H293/100</f>
        <v>1.5</v>
      </c>
      <c r="P293" s="13" t="n">
        <f aca="false">'Dish Database'!P99*H293/100</f>
        <v>280</v>
      </c>
    </row>
    <row r="294" customFormat="false" ht="15" hidden="false" customHeight="false" outlineLevel="0" collapsed="false">
      <c r="A294" s="6" t="str">
        <f aca="false">'Dish Database'!A99</f>
        <v>D098</v>
      </c>
      <c r="B294" s="6" t="str">
        <f aca="false">'Dish Database'!B99</f>
        <v>Daliya - namkeen (vegetable)</v>
      </c>
      <c r="C294" s="6" t="str">
        <f aca="false">'Dish Database'!D99</f>
        <v>Breakfast - North &amp; West</v>
      </c>
      <c r="D294" s="6" t="str">
        <f aca="false">'Dish Database'!F99</f>
        <v>Veg</v>
      </c>
      <c r="E294" s="6" t="str">
        <f aca="false">'Dish Database'!E99</f>
        <v>North</v>
      </c>
      <c r="F294" s="6" t="s">
        <v>103</v>
      </c>
      <c r="G294" s="6" t="s">
        <v>2266</v>
      </c>
      <c r="H294" s="16" t="n">
        <v>175</v>
      </c>
      <c r="I294" s="6" t="str">
        <f aca="false">'Dish Database'!I99</f>
        <v>g</v>
      </c>
      <c r="J294" s="13" t="n">
        <f aca="false">'Dish Database'!J99*H294/100</f>
        <v>177.975</v>
      </c>
      <c r="K294" s="17" t="n">
        <f aca="false">'Dish Database'!K99*H294/100</f>
        <v>5.6</v>
      </c>
      <c r="L294" s="17" t="n">
        <f aca="false">'Dish Database'!L99*H294/100</f>
        <v>31.5</v>
      </c>
      <c r="M294" s="17" t="n">
        <f aca="false">'Dish Database'!M99*H294/100</f>
        <v>4.375</v>
      </c>
      <c r="N294" s="17" t="n">
        <f aca="false">'Dish Database'!N99*H294/100</f>
        <v>4.9</v>
      </c>
      <c r="O294" s="17" t="n">
        <f aca="false">'Dish Database'!O99*H294/100</f>
        <v>2.625</v>
      </c>
      <c r="P294" s="13" t="n">
        <f aca="false">'Dish Database'!P99*H294/100</f>
        <v>490</v>
      </c>
    </row>
    <row r="295" customFormat="false" ht="15" hidden="false" customHeight="false" outlineLevel="0" collapsed="false">
      <c r="A295" s="6" t="str">
        <f aca="false">'Dish Database'!A99</f>
        <v>D098</v>
      </c>
      <c r="B295" s="6" t="str">
        <f aca="false">'Dish Database'!B99</f>
        <v>Daliya - namkeen (vegetable)</v>
      </c>
      <c r="C295" s="6" t="str">
        <f aca="false">'Dish Database'!D99</f>
        <v>Breakfast - North &amp; West</v>
      </c>
      <c r="D295" s="6" t="str">
        <f aca="false">'Dish Database'!F99</f>
        <v>Veg</v>
      </c>
      <c r="E295" s="6" t="str">
        <f aca="false">'Dish Database'!E99</f>
        <v>North</v>
      </c>
      <c r="F295" s="6" t="s">
        <v>2246</v>
      </c>
      <c r="G295" s="6" t="s">
        <v>2267</v>
      </c>
      <c r="H295" s="16" t="n">
        <v>250</v>
      </c>
      <c r="I295" s="6" t="str">
        <f aca="false">'Dish Database'!I99</f>
        <v>g</v>
      </c>
      <c r="J295" s="13" t="n">
        <f aca="false">'Dish Database'!J99*H295/100</f>
        <v>254.25</v>
      </c>
      <c r="K295" s="17" t="n">
        <f aca="false">'Dish Database'!K99*H295/100</f>
        <v>8</v>
      </c>
      <c r="L295" s="17" t="n">
        <f aca="false">'Dish Database'!L99*H295/100</f>
        <v>45</v>
      </c>
      <c r="M295" s="17" t="n">
        <f aca="false">'Dish Database'!M99*H295/100</f>
        <v>6.25</v>
      </c>
      <c r="N295" s="17" t="n">
        <f aca="false">'Dish Database'!N99*H295/100</f>
        <v>7</v>
      </c>
      <c r="O295" s="17" t="n">
        <f aca="false">'Dish Database'!O99*H295/100</f>
        <v>3.75</v>
      </c>
      <c r="P295" s="13" t="n">
        <f aca="false">'Dish Database'!P99*H295/100</f>
        <v>700</v>
      </c>
    </row>
    <row r="296" customFormat="false" ht="15" hidden="false" customHeight="false" outlineLevel="0" collapsed="false">
      <c r="A296" s="6" t="str">
        <f aca="false">'Dish Database'!A100</f>
        <v>D099</v>
      </c>
      <c r="B296" s="6" t="str">
        <f aca="false">'Dish Database'!B100</f>
        <v>Daliya - sweet (with milk)</v>
      </c>
      <c r="C296" s="6" t="str">
        <f aca="false">'Dish Database'!D100</f>
        <v>Breakfast - North &amp; West</v>
      </c>
      <c r="D296" s="6" t="str">
        <f aca="false">'Dish Database'!F100</f>
        <v>Veg</v>
      </c>
      <c r="E296" s="6" t="str">
        <f aca="false">'Dish Database'!E100</f>
        <v>North</v>
      </c>
      <c r="F296" s="6" t="s">
        <v>2243</v>
      </c>
      <c r="G296" s="6" t="s">
        <v>2265</v>
      </c>
      <c r="H296" s="16" t="n">
        <v>100</v>
      </c>
      <c r="I296" s="6" t="str">
        <f aca="false">'Dish Database'!I100</f>
        <v>g</v>
      </c>
      <c r="J296" s="13" t="n">
        <f aca="false">'Dish Database'!J100*H296/100</f>
        <v>97.5</v>
      </c>
      <c r="K296" s="17" t="n">
        <f aca="false">'Dish Database'!K100*H296/100</f>
        <v>3.5</v>
      </c>
      <c r="L296" s="17" t="n">
        <f aca="false">'Dish Database'!L100*H296/100</f>
        <v>16</v>
      </c>
      <c r="M296" s="17" t="n">
        <f aca="false">'Dish Database'!M100*H296/100</f>
        <v>2.5</v>
      </c>
      <c r="N296" s="17" t="n">
        <f aca="false">'Dish Database'!N100*H296/100</f>
        <v>1.5</v>
      </c>
      <c r="O296" s="17" t="n">
        <f aca="false">'Dish Database'!O100*H296/100</f>
        <v>7.5</v>
      </c>
      <c r="P296" s="13" t="n">
        <f aca="false">'Dish Database'!P100*H296/100</f>
        <v>30</v>
      </c>
    </row>
    <row r="297" customFormat="false" ht="15" hidden="false" customHeight="false" outlineLevel="0" collapsed="false">
      <c r="A297" s="6" t="str">
        <f aca="false">'Dish Database'!A100</f>
        <v>D099</v>
      </c>
      <c r="B297" s="6" t="str">
        <f aca="false">'Dish Database'!B100</f>
        <v>Daliya - sweet (with milk)</v>
      </c>
      <c r="C297" s="6" t="str">
        <f aca="false">'Dish Database'!D100</f>
        <v>Breakfast - North &amp; West</v>
      </c>
      <c r="D297" s="6" t="str">
        <f aca="false">'Dish Database'!F100</f>
        <v>Veg</v>
      </c>
      <c r="E297" s="6" t="str">
        <f aca="false">'Dish Database'!E100</f>
        <v>North</v>
      </c>
      <c r="F297" s="6" t="s">
        <v>103</v>
      </c>
      <c r="G297" s="6" t="s">
        <v>2266</v>
      </c>
      <c r="H297" s="16" t="n">
        <v>175</v>
      </c>
      <c r="I297" s="6" t="str">
        <f aca="false">'Dish Database'!I100</f>
        <v>g</v>
      </c>
      <c r="J297" s="13" t="n">
        <f aca="false">'Dish Database'!J100*H297/100</f>
        <v>170.625</v>
      </c>
      <c r="K297" s="17" t="n">
        <f aca="false">'Dish Database'!K100*H297/100</f>
        <v>6.125</v>
      </c>
      <c r="L297" s="17" t="n">
        <f aca="false">'Dish Database'!L100*H297/100</f>
        <v>28</v>
      </c>
      <c r="M297" s="17" t="n">
        <f aca="false">'Dish Database'!M100*H297/100</f>
        <v>4.375</v>
      </c>
      <c r="N297" s="17" t="n">
        <f aca="false">'Dish Database'!N100*H297/100</f>
        <v>2.625</v>
      </c>
      <c r="O297" s="17" t="n">
        <f aca="false">'Dish Database'!O100*H297/100</f>
        <v>13.125</v>
      </c>
      <c r="P297" s="13" t="n">
        <f aca="false">'Dish Database'!P100*H297/100</f>
        <v>52.5</v>
      </c>
    </row>
    <row r="298" customFormat="false" ht="15" hidden="false" customHeight="false" outlineLevel="0" collapsed="false">
      <c r="A298" s="6" t="str">
        <f aca="false">'Dish Database'!A100</f>
        <v>D099</v>
      </c>
      <c r="B298" s="6" t="str">
        <f aca="false">'Dish Database'!B100</f>
        <v>Daliya - sweet (with milk)</v>
      </c>
      <c r="C298" s="6" t="str">
        <f aca="false">'Dish Database'!D100</f>
        <v>Breakfast - North &amp; West</v>
      </c>
      <c r="D298" s="6" t="str">
        <f aca="false">'Dish Database'!F100</f>
        <v>Veg</v>
      </c>
      <c r="E298" s="6" t="str">
        <f aca="false">'Dish Database'!E100</f>
        <v>North</v>
      </c>
      <c r="F298" s="6" t="s">
        <v>2246</v>
      </c>
      <c r="G298" s="6" t="s">
        <v>2267</v>
      </c>
      <c r="H298" s="16" t="n">
        <v>250</v>
      </c>
      <c r="I298" s="6" t="str">
        <f aca="false">'Dish Database'!I100</f>
        <v>g</v>
      </c>
      <c r="J298" s="13" t="n">
        <f aca="false">'Dish Database'!J100*H298/100</f>
        <v>243.75</v>
      </c>
      <c r="K298" s="17" t="n">
        <f aca="false">'Dish Database'!K100*H298/100</f>
        <v>8.75</v>
      </c>
      <c r="L298" s="17" t="n">
        <f aca="false">'Dish Database'!L100*H298/100</f>
        <v>40</v>
      </c>
      <c r="M298" s="17" t="n">
        <f aca="false">'Dish Database'!M100*H298/100</f>
        <v>6.25</v>
      </c>
      <c r="N298" s="17" t="n">
        <f aca="false">'Dish Database'!N100*H298/100</f>
        <v>3.75</v>
      </c>
      <c r="O298" s="17" t="n">
        <f aca="false">'Dish Database'!O100*H298/100</f>
        <v>18.75</v>
      </c>
      <c r="P298" s="13" t="n">
        <f aca="false">'Dish Database'!P100*H298/100</f>
        <v>75</v>
      </c>
    </row>
    <row r="299" customFormat="false" ht="15" hidden="false" customHeight="false" outlineLevel="0" collapsed="false">
      <c r="A299" s="6" t="str">
        <f aca="false">'Dish Database'!A101</f>
        <v>D100</v>
      </c>
      <c r="B299" s="6" t="str">
        <f aca="false">'Dish Database'!B101</f>
        <v>Oats porridge (with milk &amp; sugar)</v>
      </c>
      <c r="C299" s="6" t="str">
        <f aca="false">'Dish Database'!D101</f>
        <v>Breakfast - North &amp; West</v>
      </c>
      <c r="D299" s="6" t="str">
        <f aca="false">'Dish Database'!F101</f>
        <v>Veg</v>
      </c>
      <c r="E299" s="6" t="str">
        <f aca="false">'Dish Database'!E101</f>
        <v>Pan-India</v>
      </c>
      <c r="F299" s="6" t="s">
        <v>2243</v>
      </c>
      <c r="G299" s="6" t="s">
        <v>2265</v>
      </c>
      <c r="H299" s="16" t="n">
        <v>100</v>
      </c>
      <c r="I299" s="6" t="str">
        <f aca="false">'Dish Database'!I101</f>
        <v>g</v>
      </c>
      <c r="J299" s="13" t="n">
        <f aca="false">'Dish Database'!J101*H299/100</f>
        <v>91</v>
      </c>
      <c r="K299" s="17" t="n">
        <f aca="false">'Dish Database'!K101*H299/100</f>
        <v>3.6</v>
      </c>
      <c r="L299" s="17" t="n">
        <f aca="false">'Dish Database'!L101*H299/100</f>
        <v>13</v>
      </c>
      <c r="M299" s="17" t="n">
        <f aca="false">'Dish Database'!M101*H299/100</f>
        <v>3</v>
      </c>
      <c r="N299" s="17" t="n">
        <f aca="false">'Dish Database'!N101*H299/100</f>
        <v>1.2</v>
      </c>
      <c r="O299" s="17" t="n">
        <f aca="false">'Dish Database'!O101*H299/100</f>
        <v>5</v>
      </c>
      <c r="P299" s="13" t="n">
        <f aca="false">'Dish Database'!P101*H299/100</f>
        <v>40</v>
      </c>
    </row>
    <row r="300" customFormat="false" ht="15" hidden="false" customHeight="false" outlineLevel="0" collapsed="false">
      <c r="A300" s="6" t="str">
        <f aca="false">'Dish Database'!A101</f>
        <v>D100</v>
      </c>
      <c r="B300" s="6" t="str">
        <f aca="false">'Dish Database'!B101</f>
        <v>Oats porridge (with milk &amp; sugar)</v>
      </c>
      <c r="C300" s="6" t="str">
        <f aca="false">'Dish Database'!D101</f>
        <v>Breakfast - North &amp; West</v>
      </c>
      <c r="D300" s="6" t="str">
        <f aca="false">'Dish Database'!F101</f>
        <v>Veg</v>
      </c>
      <c r="E300" s="6" t="str">
        <f aca="false">'Dish Database'!E101</f>
        <v>Pan-India</v>
      </c>
      <c r="F300" s="6" t="s">
        <v>103</v>
      </c>
      <c r="G300" s="6" t="s">
        <v>2266</v>
      </c>
      <c r="H300" s="16" t="n">
        <v>175</v>
      </c>
      <c r="I300" s="6" t="str">
        <f aca="false">'Dish Database'!I101</f>
        <v>g</v>
      </c>
      <c r="J300" s="13" t="n">
        <f aca="false">'Dish Database'!J101*H300/100</f>
        <v>159.25</v>
      </c>
      <c r="K300" s="17" t="n">
        <f aca="false">'Dish Database'!K101*H300/100</f>
        <v>6.3</v>
      </c>
      <c r="L300" s="17" t="n">
        <f aca="false">'Dish Database'!L101*H300/100</f>
        <v>22.75</v>
      </c>
      <c r="M300" s="17" t="n">
        <f aca="false">'Dish Database'!M101*H300/100</f>
        <v>5.25</v>
      </c>
      <c r="N300" s="17" t="n">
        <f aca="false">'Dish Database'!N101*H300/100</f>
        <v>2.1</v>
      </c>
      <c r="O300" s="17" t="n">
        <f aca="false">'Dish Database'!O101*H300/100</f>
        <v>8.75</v>
      </c>
      <c r="P300" s="13" t="n">
        <f aca="false">'Dish Database'!P101*H300/100</f>
        <v>70</v>
      </c>
    </row>
    <row r="301" customFormat="false" ht="15" hidden="false" customHeight="false" outlineLevel="0" collapsed="false">
      <c r="A301" s="6" t="str">
        <f aca="false">'Dish Database'!A101</f>
        <v>D100</v>
      </c>
      <c r="B301" s="6" t="str">
        <f aca="false">'Dish Database'!B101</f>
        <v>Oats porridge (with milk &amp; sugar)</v>
      </c>
      <c r="C301" s="6" t="str">
        <f aca="false">'Dish Database'!D101</f>
        <v>Breakfast - North &amp; West</v>
      </c>
      <c r="D301" s="6" t="str">
        <f aca="false">'Dish Database'!F101</f>
        <v>Veg</v>
      </c>
      <c r="E301" s="6" t="str">
        <f aca="false">'Dish Database'!E101</f>
        <v>Pan-India</v>
      </c>
      <c r="F301" s="6" t="s">
        <v>2246</v>
      </c>
      <c r="G301" s="6" t="s">
        <v>2267</v>
      </c>
      <c r="H301" s="16" t="n">
        <v>250</v>
      </c>
      <c r="I301" s="6" t="str">
        <f aca="false">'Dish Database'!I101</f>
        <v>g</v>
      </c>
      <c r="J301" s="13" t="n">
        <f aca="false">'Dish Database'!J101*H301/100</f>
        <v>227.5</v>
      </c>
      <c r="K301" s="17" t="n">
        <f aca="false">'Dish Database'!K101*H301/100</f>
        <v>9</v>
      </c>
      <c r="L301" s="17" t="n">
        <f aca="false">'Dish Database'!L101*H301/100</f>
        <v>32.5</v>
      </c>
      <c r="M301" s="17" t="n">
        <f aca="false">'Dish Database'!M101*H301/100</f>
        <v>7.5</v>
      </c>
      <c r="N301" s="17" t="n">
        <f aca="false">'Dish Database'!N101*H301/100</f>
        <v>3</v>
      </c>
      <c r="O301" s="17" t="n">
        <f aca="false">'Dish Database'!O101*H301/100</f>
        <v>12.5</v>
      </c>
      <c r="P301" s="13" t="n">
        <f aca="false">'Dish Database'!P101*H301/100</f>
        <v>100</v>
      </c>
    </row>
    <row r="302" customFormat="false" ht="15" hidden="false" customHeight="false" outlineLevel="0" collapsed="false">
      <c r="A302" s="6" t="str">
        <f aca="false">'Dish Database'!A102</f>
        <v>D101</v>
      </c>
      <c r="B302" s="6" t="str">
        <f aca="false">'Dish Database'!B102</f>
        <v>Masala oats</v>
      </c>
      <c r="C302" s="6" t="str">
        <f aca="false">'Dish Database'!D102</f>
        <v>Breakfast - North &amp; West</v>
      </c>
      <c r="D302" s="6" t="str">
        <f aca="false">'Dish Database'!F102</f>
        <v>Veg</v>
      </c>
      <c r="E302" s="6" t="str">
        <f aca="false">'Dish Database'!E102</f>
        <v>Pan-India</v>
      </c>
      <c r="F302" s="6" t="s">
        <v>2243</v>
      </c>
      <c r="G302" s="6" t="s">
        <v>2265</v>
      </c>
      <c r="H302" s="16" t="n">
        <v>100</v>
      </c>
      <c r="I302" s="6" t="str">
        <f aca="false">'Dish Database'!I102</f>
        <v>g</v>
      </c>
      <c r="J302" s="13" t="n">
        <f aca="false">'Dish Database'!J102*H302/100</f>
        <v>87</v>
      </c>
      <c r="K302" s="17" t="n">
        <f aca="false">'Dish Database'!K102*H302/100</f>
        <v>3</v>
      </c>
      <c r="L302" s="17" t="n">
        <f aca="false">'Dish Database'!L102*H302/100</f>
        <v>13</v>
      </c>
      <c r="M302" s="17" t="n">
        <f aca="false">'Dish Database'!M102*H302/100</f>
        <v>3</v>
      </c>
      <c r="N302" s="17" t="n">
        <f aca="false">'Dish Database'!N102*H302/100</f>
        <v>2</v>
      </c>
      <c r="O302" s="17" t="n">
        <f aca="false">'Dish Database'!O102*H302/100</f>
        <v>1.5</v>
      </c>
      <c r="P302" s="13" t="n">
        <f aca="false">'Dish Database'!P102*H302/100</f>
        <v>300</v>
      </c>
    </row>
    <row r="303" customFormat="false" ht="15" hidden="false" customHeight="false" outlineLevel="0" collapsed="false">
      <c r="A303" s="6" t="str">
        <f aca="false">'Dish Database'!A102</f>
        <v>D101</v>
      </c>
      <c r="B303" s="6" t="str">
        <f aca="false">'Dish Database'!B102</f>
        <v>Masala oats</v>
      </c>
      <c r="C303" s="6" t="str">
        <f aca="false">'Dish Database'!D102</f>
        <v>Breakfast - North &amp; West</v>
      </c>
      <c r="D303" s="6" t="str">
        <f aca="false">'Dish Database'!F102</f>
        <v>Veg</v>
      </c>
      <c r="E303" s="6" t="str">
        <f aca="false">'Dish Database'!E102</f>
        <v>Pan-India</v>
      </c>
      <c r="F303" s="6" t="s">
        <v>103</v>
      </c>
      <c r="G303" s="6" t="s">
        <v>2266</v>
      </c>
      <c r="H303" s="16" t="n">
        <v>175</v>
      </c>
      <c r="I303" s="6" t="str">
        <f aca="false">'Dish Database'!I102</f>
        <v>g</v>
      </c>
      <c r="J303" s="13" t="n">
        <f aca="false">'Dish Database'!J102*H303/100</f>
        <v>152.25</v>
      </c>
      <c r="K303" s="17" t="n">
        <f aca="false">'Dish Database'!K102*H303/100</f>
        <v>5.25</v>
      </c>
      <c r="L303" s="17" t="n">
        <f aca="false">'Dish Database'!L102*H303/100</f>
        <v>22.75</v>
      </c>
      <c r="M303" s="17" t="n">
        <f aca="false">'Dish Database'!M102*H303/100</f>
        <v>5.25</v>
      </c>
      <c r="N303" s="17" t="n">
        <f aca="false">'Dish Database'!N102*H303/100</f>
        <v>3.5</v>
      </c>
      <c r="O303" s="17" t="n">
        <f aca="false">'Dish Database'!O102*H303/100</f>
        <v>2.625</v>
      </c>
      <c r="P303" s="13" t="n">
        <f aca="false">'Dish Database'!P102*H303/100</f>
        <v>525</v>
      </c>
    </row>
    <row r="304" customFormat="false" ht="15" hidden="false" customHeight="false" outlineLevel="0" collapsed="false">
      <c r="A304" s="6" t="str">
        <f aca="false">'Dish Database'!A102</f>
        <v>D101</v>
      </c>
      <c r="B304" s="6" t="str">
        <f aca="false">'Dish Database'!B102</f>
        <v>Masala oats</v>
      </c>
      <c r="C304" s="6" t="str">
        <f aca="false">'Dish Database'!D102</f>
        <v>Breakfast - North &amp; West</v>
      </c>
      <c r="D304" s="6" t="str">
        <f aca="false">'Dish Database'!F102</f>
        <v>Veg</v>
      </c>
      <c r="E304" s="6" t="str">
        <f aca="false">'Dish Database'!E102</f>
        <v>Pan-India</v>
      </c>
      <c r="F304" s="6" t="s">
        <v>2246</v>
      </c>
      <c r="G304" s="6" t="s">
        <v>2267</v>
      </c>
      <c r="H304" s="16" t="n">
        <v>250</v>
      </c>
      <c r="I304" s="6" t="str">
        <f aca="false">'Dish Database'!I102</f>
        <v>g</v>
      </c>
      <c r="J304" s="13" t="n">
        <f aca="false">'Dish Database'!J102*H304/100</f>
        <v>217.5</v>
      </c>
      <c r="K304" s="17" t="n">
        <f aca="false">'Dish Database'!K102*H304/100</f>
        <v>7.5</v>
      </c>
      <c r="L304" s="17" t="n">
        <f aca="false">'Dish Database'!L102*H304/100</f>
        <v>32.5</v>
      </c>
      <c r="M304" s="17" t="n">
        <f aca="false">'Dish Database'!M102*H304/100</f>
        <v>7.5</v>
      </c>
      <c r="N304" s="17" t="n">
        <f aca="false">'Dish Database'!N102*H304/100</f>
        <v>5</v>
      </c>
      <c r="O304" s="17" t="n">
        <f aca="false">'Dish Database'!O102*H304/100</f>
        <v>3.75</v>
      </c>
      <c r="P304" s="13" t="n">
        <f aca="false">'Dish Database'!P102*H304/100</f>
        <v>750</v>
      </c>
    </row>
    <row r="305" customFormat="false" ht="15" hidden="false" customHeight="false" outlineLevel="0" collapsed="false">
      <c r="A305" s="6" t="str">
        <f aca="false">'Dish Database'!A103</f>
        <v>D102</v>
      </c>
      <c r="B305" s="6" t="str">
        <f aca="false">'Dish Database'!B103</f>
        <v>Besan chilla</v>
      </c>
      <c r="C305" s="6" t="str">
        <f aca="false">'Dish Database'!D103</f>
        <v>Breakfast - North &amp; West</v>
      </c>
      <c r="D305" s="6" t="str">
        <f aca="false">'Dish Database'!F103</f>
        <v>Veg</v>
      </c>
      <c r="E305" s="6" t="str">
        <f aca="false">'Dish Database'!E103</f>
        <v>North</v>
      </c>
      <c r="F305" s="6" t="s">
        <v>2243</v>
      </c>
      <c r="G305" s="6" t="s">
        <v>2268</v>
      </c>
      <c r="H305" s="16" t="n">
        <v>50</v>
      </c>
      <c r="I305" s="6" t="str">
        <f aca="false">'Dish Database'!I103</f>
        <v>g</v>
      </c>
      <c r="J305" s="13" t="n">
        <f aca="false">'Dish Database'!J103*H305/100</f>
        <v>88.25</v>
      </c>
      <c r="K305" s="17" t="n">
        <f aca="false">'Dish Database'!K103*H305/100</f>
        <v>4.25</v>
      </c>
      <c r="L305" s="17" t="n">
        <f aca="false">'Dish Database'!L103*H305/100</f>
        <v>10.5</v>
      </c>
      <c r="M305" s="17" t="n">
        <f aca="false">'Dish Database'!M103*H305/100</f>
        <v>3.75</v>
      </c>
      <c r="N305" s="17" t="n">
        <f aca="false">'Dish Database'!N103*H305/100</f>
        <v>2.25</v>
      </c>
      <c r="O305" s="17" t="n">
        <f aca="false">'Dish Database'!O103*H305/100</f>
        <v>1</v>
      </c>
      <c r="P305" s="13" t="n">
        <f aca="false">'Dish Database'!P103*H305/100</f>
        <v>165</v>
      </c>
    </row>
    <row r="306" customFormat="false" ht="15" hidden="false" customHeight="false" outlineLevel="0" collapsed="false">
      <c r="A306" s="6" t="str">
        <f aca="false">'Dish Database'!A103</f>
        <v>D102</v>
      </c>
      <c r="B306" s="6" t="str">
        <f aca="false">'Dish Database'!B103</f>
        <v>Besan chilla</v>
      </c>
      <c r="C306" s="6" t="str">
        <f aca="false">'Dish Database'!D103</f>
        <v>Breakfast - North &amp; West</v>
      </c>
      <c r="D306" s="6" t="str">
        <f aca="false">'Dish Database'!F103</f>
        <v>Veg</v>
      </c>
      <c r="E306" s="6" t="str">
        <f aca="false">'Dish Database'!E103</f>
        <v>North</v>
      </c>
      <c r="F306" s="6" t="s">
        <v>103</v>
      </c>
      <c r="G306" s="6" t="s">
        <v>2269</v>
      </c>
      <c r="H306" s="16" t="n">
        <v>75</v>
      </c>
      <c r="I306" s="6" t="str">
        <f aca="false">'Dish Database'!I103</f>
        <v>g</v>
      </c>
      <c r="J306" s="13" t="n">
        <f aca="false">'Dish Database'!J103*H306/100</f>
        <v>132.375</v>
      </c>
      <c r="K306" s="17" t="n">
        <f aca="false">'Dish Database'!K103*H306/100</f>
        <v>6.375</v>
      </c>
      <c r="L306" s="17" t="n">
        <f aca="false">'Dish Database'!L103*H306/100</f>
        <v>15.75</v>
      </c>
      <c r="M306" s="17" t="n">
        <f aca="false">'Dish Database'!M103*H306/100</f>
        <v>5.625</v>
      </c>
      <c r="N306" s="17" t="n">
        <f aca="false">'Dish Database'!N103*H306/100</f>
        <v>3.375</v>
      </c>
      <c r="O306" s="17" t="n">
        <f aca="false">'Dish Database'!O103*H306/100</f>
        <v>1.5</v>
      </c>
      <c r="P306" s="13" t="n">
        <f aca="false">'Dish Database'!P103*H306/100</f>
        <v>247.5</v>
      </c>
    </row>
    <row r="307" customFormat="false" ht="15" hidden="false" customHeight="false" outlineLevel="0" collapsed="false">
      <c r="A307" s="6" t="str">
        <f aca="false">'Dish Database'!A103</f>
        <v>D102</v>
      </c>
      <c r="B307" s="6" t="str">
        <f aca="false">'Dish Database'!B103</f>
        <v>Besan chilla</v>
      </c>
      <c r="C307" s="6" t="str">
        <f aca="false">'Dish Database'!D103</f>
        <v>Breakfast - North &amp; West</v>
      </c>
      <c r="D307" s="6" t="str">
        <f aca="false">'Dish Database'!F103</f>
        <v>Veg</v>
      </c>
      <c r="E307" s="6" t="str">
        <f aca="false">'Dish Database'!E103</f>
        <v>North</v>
      </c>
      <c r="F307" s="6" t="s">
        <v>2246</v>
      </c>
      <c r="G307" s="6" t="s">
        <v>2270</v>
      </c>
      <c r="H307" s="16" t="n">
        <v>100</v>
      </c>
      <c r="I307" s="6" t="str">
        <f aca="false">'Dish Database'!I103</f>
        <v>g</v>
      </c>
      <c r="J307" s="13" t="n">
        <f aca="false">'Dish Database'!J103*H307/100</f>
        <v>176.5</v>
      </c>
      <c r="K307" s="17" t="n">
        <f aca="false">'Dish Database'!K103*H307/100</f>
        <v>8.5</v>
      </c>
      <c r="L307" s="17" t="n">
        <f aca="false">'Dish Database'!L103*H307/100</f>
        <v>21</v>
      </c>
      <c r="M307" s="17" t="n">
        <f aca="false">'Dish Database'!M103*H307/100</f>
        <v>7.5</v>
      </c>
      <c r="N307" s="17" t="n">
        <f aca="false">'Dish Database'!N103*H307/100</f>
        <v>4.5</v>
      </c>
      <c r="O307" s="17" t="n">
        <f aca="false">'Dish Database'!O103*H307/100</f>
        <v>2</v>
      </c>
      <c r="P307" s="13" t="n">
        <f aca="false">'Dish Database'!P103*H307/100</f>
        <v>330</v>
      </c>
    </row>
    <row r="308" customFormat="false" ht="15" hidden="false" customHeight="false" outlineLevel="0" collapsed="false">
      <c r="A308" s="6" t="str">
        <f aca="false">'Dish Database'!A104</f>
        <v>D103</v>
      </c>
      <c r="B308" s="6" t="str">
        <f aca="false">'Dish Database'!B104</f>
        <v>Moong dal chilla</v>
      </c>
      <c r="C308" s="6" t="str">
        <f aca="false">'Dish Database'!D104</f>
        <v>Breakfast - North &amp; West</v>
      </c>
      <c r="D308" s="6" t="str">
        <f aca="false">'Dish Database'!F104</f>
        <v>Veg</v>
      </c>
      <c r="E308" s="6" t="str">
        <f aca="false">'Dish Database'!E104</f>
        <v>North</v>
      </c>
      <c r="F308" s="6" t="s">
        <v>2243</v>
      </c>
      <c r="G308" s="6" t="s">
        <v>2268</v>
      </c>
      <c r="H308" s="16" t="n">
        <v>50</v>
      </c>
      <c r="I308" s="6" t="str">
        <f aca="false">'Dish Database'!I104</f>
        <v>g</v>
      </c>
      <c r="J308" s="13" t="n">
        <f aca="false">'Dish Database'!J104*H308/100</f>
        <v>80.25</v>
      </c>
      <c r="K308" s="17" t="n">
        <f aca="false">'Dish Database'!K104*H308/100</f>
        <v>4.75</v>
      </c>
      <c r="L308" s="17" t="n">
        <f aca="false">'Dish Database'!L104*H308/100</f>
        <v>10</v>
      </c>
      <c r="M308" s="17" t="n">
        <f aca="false">'Dish Database'!M104*H308/100</f>
        <v>2.75</v>
      </c>
      <c r="N308" s="17" t="n">
        <f aca="false">'Dish Database'!N104*H308/100</f>
        <v>1.75</v>
      </c>
      <c r="O308" s="17" t="n">
        <f aca="false">'Dish Database'!O104*H308/100</f>
        <v>0.75</v>
      </c>
      <c r="P308" s="13" t="n">
        <f aca="false">'Dish Database'!P104*H308/100</f>
        <v>150</v>
      </c>
    </row>
    <row r="309" customFormat="false" ht="15" hidden="false" customHeight="false" outlineLevel="0" collapsed="false">
      <c r="A309" s="6" t="str">
        <f aca="false">'Dish Database'!A104</f>
        <v>D103</v>
      </c>
      <c r="B309" s="6" t="str">
        <f aca="false">'Dish Database'!B104</f>
        <v>Moong dal chilla</v>
      </c>
      <c r="C309" s="6" t="str">
        <f aca="false">'Dish Database'!D104</f>
        <v>Breakfast - North &amp; West</v>
      </c>
      <c r="D309" s="6" t="str">
        <f aca="false">'Dish Database'!F104</f>
        <v>Veg</v>
      </c>
      <c r="E309" s="6" t="str">
        <f aca="false">'Dish Database'!E104</f>
        <v>North</v>
      </c>
      <c r="F309" s="6" t="s">
        <v>103</v>
      </c>
      <c r="G309" s="6" t="s">
        <v>2269</v>
      </c>
      <c r="H309" s="16" t="n">
        <v>75</v>
      </c>
      <c r="I309" s="6" t="str">
        <f aca="false">'Dish Database'!I104</f>
        <v>g</v>
      </c>
      <c r="J309" s="13" t="n">
        <f aca="false">'Dish Database'!J104*H309/100</f>
        <v>120.375</v>
      </c>
      <c r="K309" s="17" t="n">
        <f aca="false">'Dish Database'!K104*H309/100</f>
        <v>7.125</v>
      </c>
      <c r="L309" s="17" t="n">
        <f aca="false">'Dish Database'!L104*H309/100</f>
        <v>15</v>
      </c>
      <c r="M309" s="17" t="n">
        <f aca="false">'Dish Database'!M104*H309/100</f>
        <v>4.125</v>
      </c>
      <c r="N309" s="17" t="n">
        <f aca="false">'Dish Database'!N104*H309/100</f>
        <v>2.625</v>
      </c>
      <c r="O309" s="17" t="n">
        <f aca="false">'Dish Database'!O104*H309/100</f>
        <v>1.125</v>
      </c>
      <c r="P309" s="13" t="n">
        <f aca="false">'Dish Database'!P104*H309/100</f>
        <v>225</v>
      </c>
    </row>
    <row r="310" customFormat="false" ht="15" hidden="false" customHeight="false" outlineLevel="0" collapsed="false">
      <c r="A310" s="6" t="str">
        <f aca="false">'Dish Database'!A104</f>
        <v>D103</v>
      </c>
      <c r="B310" s="6" t="str">
        <f aca="false">'Dish Database'!B104</f>
        <v>Moong dal chilla</v>
      </c>
      <c r="C310" s="6" t="str">
        <f aca="false">'Dish Database'!D104</f>
        <v>Breakfast - North &amp; West</v>
      </c>
      <c r="D310" s="6" t="str">
        <f aca="false">'Dish Database'!F104</f>
        <v>Veg</v>
      </c>
      <c r="E310" s="6" t="str">
        <f aca="false">'Dish Database'!E104</f>
        <v>North</v>
      </c>
      <c r="F310" s="6" t="s">
        <v>2246</v>
      </c>
      <c r="G310" s="6" t="s">
        <v>2270</v>
      </c>
      <c r="H310" s="16" t="n">
        <v>100</v>
      </c>
      <c r="I310" s="6" t="str">
        <f aca="false">'Dish Database'!I104</f>
        <v>g</v>
      </c>
      <c r="J310" s="13" t="n">
        <f aca="false">'Dish Database'!J104*H310/100</f>
        <v>160.5</v>
      </c>
      <c r="K310" s="17" t="n">
        <f aca="false">'Dish Database'!K104*H310/100</f>
        <v>9.5</v>
      </c>
      <c r="L310" s="17" t="n">
        <f aca="false">'Dish Database'!L104*H310/100</f>
        <v>20</v>
      </c>
      <c r="M310" s="17" t="n">
        <f aca="false">'Dish Database'!M104*H310/100</f>
        <v>5.5</v>
      </c>
      <c r="N310" s="17" t="n">
        <f aca="false">'Dish Database'!N104*H310/100</f>
        <v>3.5</v>
      </c>
      <c r="O310" s="17" t="n">
        <f aca="false">'Dish Database'!O104*H310/100</f>
        <v>1.5</v>
      </c>
      <c r="P310" s="13" t="n">
        <f aca="false">'Dish Database'!P104*H310/100</f>
        <v>300</v>
      </c>
    </row>
    <row r="311" customFormat="false" ht="15" hidden="false" customHeight="false" outlineLevel="0" collapsed="false">
      <c r="A311" s="6" t="str">
        <f aca="false">'Dish Database'!A105</f>
        <v>D104</v>
      </c>
      <c r="B311" s="6" t="str">
        <f aca="false">'Dish Database'!B105</f>
        <v>Paneer stuffed chilla</v>
      </c>
      <c r="C311" s="6" t="str">
        <f aca="false">'Dish Database'!D105</f>
        <v>Breakfast - North &amp; West</v>
      </c>
      <c r="D311" s="6" t="str">
        <f aca="false">'Dish Database'!F105</f>
        <v>Veg</v>
      </c>
      <c r="E311" s="6" t="str">
        <f aca="false">'Dish Database'!E105</f>
        <v>North</v>
      </c>
      <c r="F311" s="6" t="s">
        <v>2243</v>
      </c>
      <c r="G311" s="6" t="s">
        <v>2271</v>
      </c>
      <c r="H311" s="16" t="n">
        <v>70</v>
      </c>
      <c r="I311" s="6" t="str">
        <f aca="false">'Dish Database'!I105</f>
        <v>g</v>
      </c>
      <c r="J311" s="13" t="n">
        <f aca="false">'Dish Database'!J105*H311/100</f>
        <v>140</v>
      </c>
      <c r="K311" s="17" t="n">
        <f aca="false">'Dish Database'!K105*H311/100</f>
        <v>7.7</v>
      </c>
      <c r="L311" s="17" t="n">
        <f aca="false">'Dish Database'!L105*H311/100</f>
        <v>12.6</v>
      </c>
      <c r="M311" s="17" t="n">
        <f aca="false">'Dish Database'!M105*H311/100</f>
        <v>7</v>
      </c>
      <c r="N311" s="17" t="n">
        <f aca="false">'Dish Database'!N105*H311/100</f>
        <v>2.1</v>
      </c>
      <c r="O311" s="17" t="n">
        <f aca="false">'Dish Database'!O105*H311/100</f>
        <v>1.05</v>
      </c>
      <c r="P311" s="13" t="n">
        <f aca="false">'Dish Database'!P105*H311/100</f>
        <v>245</v>
      </c>
    </row>
    <row r="312" customFormat="false" ht="15" hidden="false" customHeight="false" outlineLevel="0" collapsed="false">
      <c r="A312" s="6" t="str">
        <f aca="false">'Dish Database'!A105</f>
        <v>D104</v>
      </c>
      <c r="B312" s="6" t="str">
        <f aca="false">'Dish Database'!B105</f>
        <v>Paneer stuffed chilla</v>
      </c>
      <c r="C312" s="6" t="str">
        <f aca="false">'Dish Database'!D105</f>
        <v>Breakfast - North &amp; West</v>
      </c>
      <c r="D312" s="6" t="str">
        <f aca="false">'Dish Database'!F105</f>
        <v>Veg</v>
      </c>
      <c r="E312" s="6" t="str">
        <f aca="false">'Dish Database'!E105</f>
        <v>North</v>
      </c>
      <c r="F312" s="6" t="s">
        <v>103</v>
      </c>
      <c r="G312" s="6" t="s">
        <v>2272</v>
      </c>
      <c r="H312" s="16" t="n">
        <v>100</v>
      </c>
      <c r="I312" s="6" t="str">
        <f aca="false">'Dish Database'!I105</f>
        <v>g</v>
      </c>
      <c r="J312" s="13" t="n">
        <f aca="false">'Dish Database'!J105*H312/100</f>
        <v>200</v>
      </c>
      <c r="K312" s="17" t="n">
        <f aca="false">'Dish Database'!K105*H312/100</f>
        <v>11</v>
      </c>
      <c r="L312" s="17" t="n">
        <f aca="false">'Dish Database'!L105*H312/100</f>
        <v>18</v>
      </c>
      <c r="M312" s="17" t="n">
        <f aca="false">'Dish Database'!M105*H312/100</f>
        <v>10</v>
      </c>
      <c r="N312" s="17" t="n">
        <f aca="false">'Dish Database'!N105*H312/100</f>
        <v>3</v>
      </c>
      <c r="O312" s="17" t="n">
        <f aca="false">'Dish Database'!O105*H312/100</f>
        <v>1.5</v>
      </c>
      <c r="P312" s="13" t="n">
        <f aca="false">'Dish Database'!P105*H312/100</f>
        <v>350</v>
      </c>
    </row>
    <row r="313" customFormat="false" ht="15" hidden="false" customHeight="false" outlineLevel="0" collapsed="false">
      <c r="A313" s="6" t="str">
        <f aca="false">'Dish Database'!A105</f>
        <v>D104</v>
      </c>
      <c r="B313" s="6" t="str">
        <f aca="false">'Dish Database'!B105</f>
        <v>Paneer stuffed chilla</v>
      </c>
      <c r="C313" s="6" t="str">
        <f aca="false">'Dish Database'!D105</f>
        <v>Breakfast - North &amp; West</v>
      </c>
      <c r="D313" s="6" t="str">
        <f aca="false">'Dish Database'!F105</f>
        <v>Veg</v>
      </c>
      <c r="E313" s="6" t="str">
        <f aca="false">'Dish Database'!E105</f>
        <v>North</v>
      </c>
      <c r="F313" s="6" t="s">
        <v>2246</v>
      </c>
      <c r="G313" s="6" t="s">
        <v>2273</v>
      </c>
      <c r="H313" s="16" t="n">
        <v>140</v>
      </c>
      <c r="I313" s="6" t="str">
        <f aca="false">'Dish Database'!I105</f>
        <v>g</v>
      </c>
      <c r="J313" s="13" t="n">
        <f aca="false">'Dish Database'!J105*H313/100</f>
        <v>280</v>
      </c>
      <c r="K313" s="17" t="n">
        <f aca="false">'Dish Database'!K105*H313/100</f>
        <v>15.4</v>
      </c>
      <c r="L313" s="17" t="n">
        <f aca="false">'Dish Database'!L105*H313/100</f>
        <v>25.2</v>
      </c>
      <c r="M313" s="17" t="n">
        <f aca="false">'Dish Database'!M105*H313/100</f>
        <v>14</v>
      </c>
      <c r="N313" s="17" t="n">
        <f aca="false">'Dish Database'!N105*H313/100</f>
        <v>4.2</v>
      </c>
      <c r="O313" s="17" t="n">
        <f aca="false">'Dish Database'!O105*H313/100</f>
        <v>2.1</v>
      </c>
      <c r="P313" s="13" t="n">
        <f aca="false">'Dish Database'!P105*H313/100</f>
        <v>490</v>
      </c>
    </row>
    <row r="314" customFormat="false" ht="15" hidden="false" customHeight="false" outlineLevel="0" collapsed="false">
      <c r="A314" s="6" t="str">
        <f aca="false">'Dish Database'!A106</f>
        <v>D105</v>
      </c>
      <c r="B314" s="6" t="str">
        <f aca="false">'Dish Database'!B106</f>
        <v>Aloo paratha</v>
      </c>
      <c r="C314" s="6" t="str">
        <f aca="false">'Dish Database'!D106</f>
        <v>Breakfast - North &amp; West</v>
      </c>
      <c r="D314" s="6" t="str">
        <f aca="false">'Dish Database'!F106</f>
        <v>Veg</v>
      </c>
      <c r="E314" s="6" t="str">
        <f aca="false">'Dish Database'!E106</f>
        <v>North</v>
      </c>
      <c r="F314" s="6" t="s">
        <v>2243</v>
      </c>
      <c r="G314" s="6" t="s">
        <v>2274</v>
      </c>
      <c r="H314" s="16" t="n">
        <v>90</v>
      </c>
      <c r="I314" s="6" t="str">
        <f aca="false">'Dish Database'!I106</f>
        <v>g</v>
      </c>
      <c r="J314" s="13" t="n">
        <f aca="false">'Dish Database'!J106*H314/100</f>
        <v>210.15</v>
      </c>
      <c r="K314" s="17" t="n">
        <f aca="false">'Dish Database'!K106*H314/100</f>
        <v>4.5</v>
      </c>
      <c r="L314" s="17" t="n">
        <f aca="false">'Dish Database'!L106*H314/100</f>
        <v>30.6</v>
      </c>
      <c r="M314" s="17" t="n">
        <f aca="false">'Dish Database'!M106*H314/100</f>
        <v>8.55</v>
      </c>
      <c r="N314" s="17" t="n">
        <f aca="false">'Dish Database'!N106*H314/100</f>
        <v>3.6</v>
      </c>
      <c r="O314" s="17" t="n">
        <f aca="false">'Dish Database'!O106*H314/100</f>
        <v>1.35</v>
      </c>
      <c r="P314" s="13" t="n">
        <f aca="false">'Dish Database'!P106*H314/100</f>
        <v>315</v>
      </c>
    </row>
    <row r="315" customFormat="false" ht="15" hidden="false" customHeight="false" outlineLevel="0" collapsed="false">
      <c r="A315" s="6" t="str">
        <f aca="false">'Dish Database'!A106</f>
        <v>D105</v>
      </c>
      <c r="B315" s="6" t="str">
        <f aca="false">'Dish Database'!B106</f>
        <v>Aloo paratha</v>
      </c>
      <c r="C315" s="6" t="str">
        <f aca="false">'Dish Database'!D106</f>
        <v>Breakfast - North &amp; West</v>
      </c>
      <c r="D315" s="6" t="str">
        <f aca="false">'Dish Database'!F106</f>
        <v>Veg</v>
      </c>
      <c r="E315" s="6" t="str">
        <f aca="false">'Dish Database'!E106</f>
        <v>North</v>
      </c>
      <c r="F315" s="6" t="s">
        <v>103</v>
      </c>
      <c r="G315" s="6" t="s">
        <v>2275</v>
      </c>
      <c r="H315" s="16" t="n">
        <v>120</v>
      </c>
      <c r="I315" s="6" t="str">
        <f aca="false">'Dish Database'!I106</f>
        <v>g</v>
      </c>
      <c r="J315" s="13" t="n">
        <f aca="false">'Dish Database'!J106*H315/100</f>
        <v>280.2</v>
      </c>
      <c r="K315" s="17" t="n">
        <f aca="false">'Dish Database'!K106*H315/100</f>
        <v>6</v>
      </c>
      <c r="L315" s="17" t="n">
        <f aca="false">'Dish Database'!L106*H315/100</f>
        <v>40.8</v>
      </c>
      <c r="M315" s="17" t="n">
        <f aca="false">'Dish Database'!M106*H315/100</f>
        <v>11.4</v>
      </c>
      <c r="N315" s="17" t="n">
        <f aca="false">'Dish Database'!N106*H315/100</f>
        <v>4.8</v>
      </c>
      <c r="O315" s="17" t="n">
        <f aca="false">'Dish Database'!O106*H315/100</f>
        <v>1.8</v>
      </c>
      <c r="P315" s="13" t="n">
        <f aca="false">'Dish Database'!P106*H315/100</f>
        <v>420</v>
      </c>
    </row>
    <row r="316" customFormat="false" ht="15" hidden="false" customHeight="false" outlineLevel="0" collapsed="false">
      <c r="A316" s="6" t="str">
        <f aca="false">'Dish Database'!A106</f>
        <v>D105</v>
      </c>
      <c r="B316" s="6" t="str">
        <f aca="false">'Dish Database'!B106</f>
        <v>Aloo paratha</v>
      </c>
      <c r="C316" s="6" t="str">
        <f aca="false">'Dish Database'!D106</f>
        <v>Breakfast - North &amp; West</v>
      </c>
      <c r="D316" s="6" t="str">
        <f aca="false">'Dish Database'!F106</f>
        <v>Veg</v>
      </c>
      <c r="E316" s="6" t="str">
        <f aca="false">'Dish Database'!E106</f>
        <v>North</v>
      </c>
      <c r="F316" s="6" t="s">
        <v>2246</v>
      </c>
      <c r="G316" s="6" t="s">
        <v>2276</v>
      </c>
      <c r="H316" s="16" t="n">
        <v>160</v>
      </c>
      <c r="I316" s="6" t="str">
        <f aca="false">'Dish Database'!I106</f>
        <v>g</v>
      </c>
      <c r="J316" s="13" t="n">
        <f aca="false">'Dish Database'!J106*H316/100</f>
        <v>373.6</v>
      </c>
      <c r="K316" s="17" t="n">
        <f aca="false">'Dish Database'!K106*H316/100</f>
        <v>8</v>
      </c>
      <c r="L316" s="17" t="n">
        <f aca="false">'Dish Database'!L106*H316/100</f>
        <v>54.4</v>
      </c>
      <c r="M316" s="17" t="n">
        <f aca="false">'Dish Database'!M106*H316/100</f>
        <v>15.2</v>
      </c>
      <c r="N316" s="17" t="n">
        <f aca="false">'Dish Database'!N106*H316/100</f>
        <v>6.4</v>
      </c>
      <c r="O316" s="17" t="n">
        <f aca="false">'Dish Database'!O106*H316/100</f>
        <v>2.4</v>
      </c>
      <c r="P316" s="13" t="n">
        <f aca="false">'Dish Database'!P106*H316/100</f>
        <v>560</v>
      </c>
    </row>
    <row r="317" customFormat="false" ht="15" hidden="false" customHeight="false" outlineLevel="0" collapsed="false">
      <c r="A317" s="6" t="str">
        <f aca="false">'Dish Database'!A107</f>
        <v>D106</v>
      </c>
      <c r="B317" s="6" t="str">
        <f aca="false">'Dish Database'!B107</f>
        <v>Gobi paratha</v>
      </c>
      <c r="C317" s="6" t="str">
        <f aca="false">'Dish Database'!D107</f>
        <v>Breakfast - North &amp; West</v>
      </c>
      <c r="D317" s="6" t="str">
        <f aca="false">'Dish Database'!F107</f>
        <v>Veg</v>
      </c>
      <c r="E317" s="6" t="str">
        <f aca="false">'Dish Database'!E107</f>
        <v>North</v>
      </c>
      <c r="F317" s="6" t="s">
        <v>2243</v>
      </c>
      <c r="G317" s="6" t="s">
        <v>2274</v>
      </c>
      <c r="H317" s="16" t="n">
        <v>90</v>
      </c>
      <c r="I317" s="6" t="str">
        <f aca="false">'Dish Database'!I107</f>
        <v>g</v>
      </c>
      <c r="J317" s="13" t="n">
        <f aca="false">'Dish Database'!J107*H317/100</f>
        <v>194.4</v>
      </c>
      <c r="K317" s="17" t="n">
        <f aca="false">'Dish Database'!K107*H317/100</f>
        <v>4.5</v>
      </c>
      <c r="L317" s="17" t="n">
        <f aca="false">'Dish Database'!L107*H317/100</f>
        <v>27.9</v>
      </c>
      <c r="M317" s="17" t="n">
        <f aca="false">'Dish Database'!M107*H317/100</f>
        <v>8.1</v>
      </c>
      <c r="N317" s="17" t="n">
        <f aca="false">'Dish Database'!N107*H317/100</f>
        <v>4.05</v>
      </c>
      <c r="O317" s="17" t="n">
        <f aca="false">'Dish Database'!O107*H317/100</f>
        <v>1.8</v>
      </c>
      <c r="P317" s="13" t="n">
        <f aca="false">'Dish Database'!P107*H317/100</f>
        <v>306</v>
      </c>
    </row>
    <row r="318" customFormat="false" ht="15" hidden="false" customHeight="false" outlineLevel="0" collapsed="false">
      <c r="A318" s="6" t="str">
        <f aca="false">'Dish Database'!A107</f>
        <v>D106</v>
      </c>
      <c r="B318" s="6" t="str">
        <f aca="false">'Dish Database'!B107</f>
        <v>Gobi paratha</v>
      </c>
      <c r="C318" s="6" t="str">
        <f aca="false">'Dish Database'!D107</f>
        <v>Breakfast - North &amp; West</v>
      </c>
      <c r="D318" s="6" t="str">
        <f aca="false">'Dish Database'!F107</f>
        <v>Veg</v>
      </c>
      <c r="E318" s="6" t="str">
        <f aca="false">'Dish Database'!E107</f>
        <v>North</v>
      </c>
      <c r="F318" s="6" t="s">
        <v>103</v>
      </c>
      <c r="G318" s="6" t="s">
        <v>2275</v>
      </c>
      <c r="H318" s="16" t="n">
        <v>120</v>
      </c>
      <c r="I318" s="6" t="str">
        <f aca="false">'Dish Database'!I107</f>
        <v>g</v>
      </c>
      <c r="J318" s="13" t="n">
        <f aca="false">'Dish Database'!J107*H318/100</f>
        <v>259.2</v>
      </c>
      <c r="K318" s="17" t="n">
        <f aca="false">'Dish Database'!K107*H318/100</f>
        <v>6</v>
      </c>
      <c r="L318" s="17" t="n">
        <f aca="false">'Dish Database'!L107*H318/100</f>
        <v>37.2</v>
      </c>
      <c r="M318" s="17" t="n">
        <f aca="false">'Dish Database'!M107*H318/100</f>
        <v>10.8</v>
      </c>
      <c r="N318" s="17" t="n">
        <f aca="false">'Dish Database'!N107*H318/100</f>
        <v>5.4</v>
      </c>
      <c r="O318" s="17" t="n">
        <f aca="false">'Dish Database'!O107*H318/100</f>
        <v>2.4</v>
      </c>
      <c r="P318" s="13" t="n">
        <f aca="false">'Dish Database'!P107*H318/100</f>
        <v>408</v>
      </c>
    </row>
    <row r="319" customFormat="false" ht="15" hidden="false" customHeight="false" outlineLevel="0" collapsed="false">
      <c r="A319" s="6" t="str">
        <f aca="false">'Dish Database'!A107</f>
        <v>D106</v>
      </c>
      <c r="B319" s="6" t="str">
        <f aca="false">'Dish Database'!B107</f>
        <v>Gobi paratha</v>
      </c>
      <c r="C319" s="6" t="str">
        <f aca="false">'Dish Database'!D107</f>
        <v>Breakfast - North &amp; West</v>
      </c>
      <c r="D319" s="6" t="str">
        <f aca="false">'Dish Database'!F107</f>
        <v>Veg</v>
      </c>
      <c r="E319" s="6" t="str">
        <f aca="false">'Dish Database'!E107</f>
        <v>North</v>
      </c>
      <c r="F319" s="6" t="s">
        <v>2246</v>
      </c>
      <c r="G319" s="6" t="s">
        <v>2276</v>
      </c>
      <c r="H319" s="16" t="n">
        <v>160</v>
      </c>
      <c r="I319" s="6" t="str">
        <f aca="false">'Dish Database'!I107</f>
        <v>g</v>
      </c>
      <c r="J319" s="13" t="n">
        <f aca="false">'Dish Database'!J107*H319/100</f>
        <v>345.6</v>
      </c>
      <c r="K319" s="17" t="n">
        <f aca="false">'Dish Database'!K107*H319/100</f>
        <v>8</v>
      </c>
      <c r="L319" s="17" t="n">
        <f aca="false">'Dish Database'!L107*H319/100</f>
        <v>49.6</v>
      </c>
      <c r="M319" s="17" t="n">
        <f aca="false">'Dish Database'!M107*H319/100</f>
        <v>14.4</v>
      </c>
      <c r="N319" s="17" t="n">
        <f aca="false">'Dish Database'!N107*H319/100</f>
        <v>7.2</v>
      </c>
      <c r="O319" s="17" t="n">
        <f aca="false">'Dish Database'!O107*H319/100</f>
        <v>3.2</v>
      </c>
      <c r="P319" s="13" t="n">
        <f aca="false">'Dish Database'!P107*H319/100</f>
        <v>544</v>
      </c>
    </row>
    <row r="320" customFormat="false" ht="15" hidden="false" customHeight="false" outlineLevel="0" collapsed="false">
      <c r="A320" s="6" t="str">
        <f aca="false">'Dish Database'!A108</f>
        <v>D107</v>
      </c>
      <c r="B320" s="6" t="str">
        <f aca="false">'Dish Database'!B108</f>
        <v>Paneer paratha</v>
      </c>
      <c r="C320" s="6" t="str">
        <f aca="false">'Dish Database'!D108</f>
        <v>Breakfast - North &amp; West</v>
      </c>
      <c r="D320" s="6" t="str">
        <f aca="false">'Dish Database'!F108</f>
        <v>Veg</v>
      </c>
      <c r="E320" s="6" t="str">
        <f aca="false">'Dish Database'!E108</f>
        <v>North</v>
      </c>
      <c r="F320" s="6" t="s">
        <v>2243</v>
      </c>
      <c r="G320" s="6" t="s">
        <v>2274</v>
      </c>
      <c r="H320" s="16" t="n">
        <v>90</v>
      </c>
      <c r="I320" s="6" t="str">
        <f aca="false">'Dish Database'!I108</f>
        <v>g</v>
      </c>
      <c r="J320" s="13" t="n">
        <f aca="false">'Dish Database'!J108*H320/100</f>
        <v>231.3</v>
      </c>
      <c r="K320" s="17" t="n">
        <f aca="false">'Dish Database'!K108*H320/100</f>
        <v>8.1</v>
      </c>
      <c r="L320" s="17" t="n">
        <f aca="false">'Dish Database'!L108*H320/100</f>
        <v>27</v>
      </c>
      <c r="M320" s="17" t="n">
        <f aca="false">'Dish Database'!M108*H320/100</f>
        <v>10.8</v>
      </c>
      <c r="N320" s="17" t="n">
        <f aca="false">'Dish Database'!N108*H320/100</f>
        <v>3.15</v>
      </c>
      <c r="O320" s="17" t="n">
        <f aca="false">'Dish Database'!O108*H320/100</f>
        <v>1.35</v>
      </c>
      <c r="P320" s="13" t="n">
        <f aca="false">'Dish Database'!P108*H320/100</f>
        <v>306</v>
      </c>
    </row>
    <row r="321" customFormat="false" ht="15" hidden="false" customHeight="false" outlineLevel="0" collapsed="false">
      <c r="A321" s="6" t="str">
        <f aca="false">'Dish Database'!A108</f>
        <v>D107</v>
      </c>
      <c r="B321" s="6" t="str">
        <f aca="false">'Dish Database'!B108</f>
        <v>Paneer paratha</v>
      </c>
      <c r="C321" s="6" t="str">
        <f aca="false">'Dish Database'!D108</f>
        <v>Breakfast - North &amp; West</v>
      </c>
      <c r="D321" s="6" t="str">
        <f aca="false">'Dish Database'!F108</f>
        <v>Veg</v>
      </c>
      <c r="E321" s="6" t="str">
        <f aca="false">'Dish Database'!E108</f>
        <v>North</v>
      </c>
      <c r="F321" s="6" t="s">
        <v>103</v>
      </c>
      <c r="G321" s="6" t="s">
        <v>2275</v>
      </c>
      <c r="H321" s="16" t="n">
        <v>120</v>
      </c>
      <c r="I321" s="6" t="str">
        <f aca="false">'Dish Database'!I108</f>
        <v>g</v>
      </c>
      <c r="J321" s="13" t="n">
        <f aca="false">'Dish Database'!J108*H321/100</f>
        <v>308.4</v>
      </c>
      <c r="K321" s="17" t="n">
        <f aca="false">'Dish Database'!K108*H321/100</f>
        <v>10.8</v>
      </c>
      <c r="L321" s="17" t="n">
        <f aca="false">'Dish Database'!L108*H321/100</f>
        <v>36</v>
      </c>
      <c r="M321" s="17" t="n">
        <f aca="false">'Dish Database'!M108*H321/100</f>
        <v>14.4</v>
      </c>
      <c r="N321" s="17" t="n">
        <f aca="false">'Dish Database'!N108*H321/100</f>
        <v>4.2</v>
      </c>
      <c r="O321" s="17" t="n">
        <f aca="false">'Dish Database'!O108*H321/100</f>
        <v>1.8</v>
      </c>
      <c r="P321" s="13" t="n">
        <f aca="false">'Dish Database'!P108*H321/100</f>
        <v>408</v>
      </c>
    </row>
    <row r="322" customFormat="false" ht="15" hidden="false" customHeight="false" outlineLevel="0" collapsed="false">
      <c r="A322" s="6" t="str">
        <f aca="false">'Dish Database'!A108</f>
        <v>D107</v>
      </c>
      <c r="B322" s="6" t="str">
        <f aca="false">'Dish Database'!B108</f>
        <v>Paneer paratha</v>
      </c>
      <c r="C322" s="6" t="str">
        <f aca="false">'Dish Database'!D108</f>
        <v>Breakfast - North &amp; West</v>
      </c>
      <c r="D322" s="6" t="str">
        <f aca="false">'Dish Database'!F108</f>
        <v>Veg</v>
      </c>
      <c r="E322" s="6" t="str">
        <f aca="false">'Dish Database'!E108</f>
        <v>North</v>
      </c>
      <c r="F322" s="6" t="s">
        <v>2246</v>
      </c>
      <c r="G322" s="6" t="s">
        <v>2276</v>
      </c>
      <c r="H322" s="16" t="n">
        <v>160</v>
      </c>
      <c r="I322" s="6" t="str">
        <f aca="false">'Dish Database'!I108</f>
        <v>g</v>
      </c>
      <c r="J322" s="13" t="n">
        <f aca="false">'Dish Database'!J108*H322/100</f>
        <v>411.2</v>
      </c>
      <c r="K322" s="17" t="n">
        <f aca="false">'Dish Database'!K108*H322/100</f>
        <v>14.4</v>
      </c>
      <c r="L322" s="17" t="n">
        <f aca="false">'Dish Database'!L108*H322/100</f>
        <v>48</v>
      </c>
      <c r="M322" s="17" t="n">
        <f aca="false">'Dish Database'!M108*H322/100</f>
        <v>19.2</v>
      </c>
      <c r="N322" s="17" t="n">
        <f aca="false">'Dish Database'!N108*H322/100</f>
        <v>5.6</v>
      </c>
      <c r="O322" s="17" t="n">
        <f aca="false">'Dish Database'!O108*H322/100</f>
        <v>2.4</v>
      </c>
      <c r="P322" s="13" t="n">
        <f aca="false">'Dish Database'!P108*H322/100</f>
        <v>544</v>
      </c>
    </row>
    <row r="323" customFormat="false" ht="15" hidden="false" customHeight="false" outlineLevel="0" collapsed="false">
      <c r="A323" s="6" t="str">
        <f aca="false">'Dish Database'!A109</f>
        <v>D108</v>
      </c>
      <c r="B323" s="6" t="str">
        <f aca="false">'Dish Database'!B109</f>
        <v>Mooli paratha</v>
      </c>
      <c r="C323" s="6" t="str">
        <f aca="false">'Dish Database'!D109</f>
        <v>Breakfast - North &amp; West</v>
      </c>
      <c r="D323" s="6" t="str">
        <f aca="false">'Dish Database'!F109</f>
        <v>Veg</v>
      </c>
      <c r="E323" s="6" t="str">
        <f aca="false">'Dish Database'!E109</f>
        <v>North</v>
      </c>
      <c r="F323" s="6" t="s">
        <v>2243</v>
      </c>
      <c r="G323" s="6" t="s">
        <v>2274</v>
      </c>
      <c r="H323" s="16" t="n">
        <v>90</v>
      </c>
      <c r="I323" s="6" t="str">
        <f aca="false">'Dish Database'!I109</f>
        <v>g</v>
      </c>
      <c r="J323" s="13" t="n">
        <f aca="false">'Dish Database'!J109*H323/100</f>
        <v>189.63</v>
      </c>
      <c r="K323" s="17" t="n">
        <f aca="false">'Dish Database'!K109*H323/100</f>
        <v>4.32</v>
      </c>
      <c r="L323" s="17" t="n">
        <f aca="false">'Dish Database'!L109*H323/100</f>
        <v>27.9</v>
      </c>
      <c r="M323" s="17" t="n">
        <f aca="false">'Dish Database'!M109*H323/100</f>
        <v>7.65</v>
      </c>
      <c r="N323" s="17" t="n">
        <f aca="false">'Dish Database'!N109*H323/100</f>
        <v>4.05</v>
      </c>
      <c r="O323" s="17" t="n">
        <f aca="false">'Dish Database'!O109*H323/100</f>
        <v>1.8</v>
      </c>
      <c r="P323" s="13" t="n">
        <f aca="false">'Dish Database'!P109*H323/100</f>
        <v>297</v>
      </c>
    </row>
    <row r="324" customFormat="false" ht="15" hidden="false" customHeight="false" outlineLevel="0" collapsed="false">
      <c r="A324" s="6" t="str">
        <f aca="false">'Dish Database'!A109</f>
        <v>D108</v>
      </c>
      <c r="B324" s="6" t="str">
        <f aca="false">'Dish Database'!B109</f>
        <v>Mooli paratha</v>
      </c>
      <c r="C324" s="6" t="str">
        <f aca="false">'Dish Database'!D109</f>
        <v>Breakfast - North &amp; West</v>
      </c>
      <c r="D324" s="6" t="str">
        <f aca="false">'Dish Database'!F109</f>
        <v>Veg</v>
      </c>
      <c r="E324" s="6" t="str">
        <f aca="false">'Dish Database'!E109</f>
        <v>North</v>
      </c>
      <c r="F324" s="6" t="s">
        <v>103</v>
      </c>
      <c r="G324" s="6" t="s">
        <v>2275</v>
      </c>
      <c r="H324" s="16" t="n">
        <v>120</v>
      </c>
      <c r="I324" s="6" t="str">
        <f aca="false">'Dish Database'!I109</f>
        <v>g</v>
      </c>
      <c r="J324" s="13" t="n">
        <f aca="false">'Dish Database'!J109*H324/100</f>
        <v>252.84</v>
      </c>
      <c r="K324" s="17" t="n">
        <f aca="false">'Dish Database'!K109*H324/100</f>
        <v>5.76</v>
      </c>
      <c r="L324" s="17" t="n">
        <f aca="false">'Dish Database'!L109*H324/100</f>
        <v>37.2</v>
      </c>
      <c r="M324" s="17" t="n">
        <f aca="false">'Dish Database'!M109*H324/100</f>
        <v>10.2</v>
      </c>
      <c r="N324" s="17" t="n">
        <f aca="false">'Dish Database'!N109*H324/100</f>
        <v>5.4</v>
      </c>
      <c r="O324" s="17" t="n">
        <f aca="false">'Dish Database'!O109*H324/100</f>
        <v>2.4</v>
      </c>
      <c r="P324" s="13" t="n">
        <f aca="false">'Dish Database'!P109*H324/100</f>
        <v>396</v>
      </c>
    </row>
    <row r="325" customFormat="false" ht="15" hidden="false" customHeight="false" outlineLevel="0" collapsed="false">
      <c r="A325" s="6" t="str">
        <f aca="false">'Dish Database'!A109</f>
        <v>D108</v>
      </c>
      <c r="B325" s="6" t="str">
        <f aca="false">'Dish Database'!B109</f>
        <v>Mooli paratha</v>
      </c>
      <c r="C325" s="6" t="str">
        <f aca="false">'Dish Database'!D109</f>
        <v>Breakfast - North &amp; West</v>
      </c>
      <c r="D325" s="6" t="str">
        <f aca="false">'Dish Database'!F109</f>
        <v>Veg</v>
      </c>
      <c r="E325" s="6" t="str">
        <f aca="false">'Dish Database'!E109</f>
        <v>North</v>
      </c>
      <c r="F325" s="6" t="s">
        <v>2246</v>
      </c>
      <c r="G325" s="6" t="s">
        <v>2276</v>
      </c>
      <c r="H325" s="16" t="n">
        <v>160</v>
      </c>
      <c r="I325" s="6" t="str">
        <f aca="false">'Dish Database'!I109</f>
        <v>g</v>
      </c>
      <c r="J325" s="13" t="n">
        <f aca="false">'Dish Database'!J109*H325/100</f>
        <v>337.12</v>
      </c>
      <c r="K325" s="17" t="n">
        <f aca="false">'Dish Database'!K109*H325/100</f>
        <v>7.68</v>
      </c>
      <c r="L325" s="17" t="n">
        <f aca="false">'Dish Database'!L109*H325/100</f>
        <v>49.6</v>
      </c>
      <c r="M325" s="17" t="n">
        <f aca="false">'Dish Database'!M109*H325/100</f>
        <v>13.6</v>
      </c>
      <c r="N325" s="17" t="n">
        <f aca="false">'Dish Database'!N109*H325/100</f>
        <v>7.2</v>
      </c>
      <c r="O325" s="17" t="n">
        <f aca="false">'Dish Database'!O109*H325/100</f>
        <v>3.2</v>
      </c>
      <c r="P325" s="13" t="n">
        <f aca="false">'Dish Database'!P109*H325/100</f>
        <v>528</v>
      </c>
    </row>
    <row r="326" customFormat="false" ht="15" hidden="false" customHeight="false" outlineLevel="0" collapsed="false">
      <c r="A326" s="6" t="str">
        <f aca="false">'Dish Database'!A110</f>
        <v>D109</v>
      </c>
      <c r="B326" s="6" t="str">
        <f aca="false">'Dish Database'!B110</f>
        <v>Methi paratha</v>
      </c>
      <c r="C326" s="6" t="str">
        <f aca="false">'Dish Database'!D110</f>
        <v>Breakfast - North &amp; West</v>
      </c>
      <c r="D326" s="6" t="str">
        <f aca="false">'Dish Database'!F110</f>
        <v>Veg</v>
      </c>
      <c r="E326" s="6" t="str">
        <f aca="false">'Dish Database'!E110</f>
        <v>North</v>
      </c>
      <c r="F326" s="6" t="s">
        <v>2243</v>
      </c>
      <c r="G326" s="6" t="s">
        <v>2277</v>
      </c>
      <c r="H326" s="16" t="n">
        <v>50</v>
      </c>
      <c r="I326" s="6" t="str">
        <f aca="false">'Dish Database'!I110</f>
        <v>g</v>
      </c>
      <c r="J326" s="13" t="n">
        <f aca="false">'Dish Database'!J110*H326/100</f>
        <v>121.25</v>
      </c>
      <c r="K326" s="17" t="n">
        <f aca="false">'Dish Database'!K110*H326/100</f>
        <v>3</v>
      </c>
      <c r="L326" s="17" t="n">
        <f aca="false">'Dish Database'!L110*H326/100</f>
        <v>18</v>
      </c>
      <c r="M326" s="17" t="n">
        <f aca="false">'Dish Database'!M110*H326/100</f>
        <v>4.75</v>
      </c>
      <c r="N326" s="17" t="n">
        <f aca="false">'Dish Database'!N110*H326/100</f>
        <v>2.75</v>
      </c>
      <c r="O326" s="17" t="n">
        <f aca="false">'Dish Database'!O110*H326/100</f>
        <v>0.5</v>
      </c>
      <c r="P326" s="13" t="n">
        <f aca="false">'Dish Database'!P110*H326/100</f>
        <v>165</v>
      </c>
    </row>
    <row r="327" customFormat="false" ht="15" hidden="false" customHeight="false" outlineLevel="0" collapsed="false">
      <c r="A327" s="6" t="str">
        <f aca="false">'Dish Database'!A110</f>
        <v>D109</v>
      </c>
      <c r="B327" s="6" t="str">
        <f aca="false">'Dish Database'!B110</f>
        <v>Methi paratha</v>
      </c>
      <c r="C327" s="6" t="str">
        <f aca="false">'Dish Database'!D110</f>
        <v>Breakfast - North &amp; West</v>
      </c>
      <c r="D327" s="6" t="str">
        <f aca="false">'Dish Database'!F110</f>
        <v>Veg</v>
      </c>
      <c r="E327" s="6" t="str">
        <f aca="false">'Dish Database'!E110</f>
        <v>North</v>
      </c>
      <c r="F327" s="6" t="s">
        <v>103</v>
      </c>
      <c r="G327" s="6" t="s">
        <v>2278</v>
      </c>
      <c r="H327" s="16" t="n">
        <v>70</v>
      </c>
      <c r="I327" s="6" t="str">
        <f aca="false">'Dish Database'!I110</f>
        <v>g</v>
      </c>
      <c r="J327" s="13" t="n">
        <f aca="false">'Dish Database'!J110*H327/100</f>
        <v>169.75</v>
      </c>
      <c r="K327" s="17" t="n">
        <f aca="false">'Dish Database'!K110*H327/100</f>
        <v>4.2</v>
      </c>
      <c r="L327" s="17" t="n">
        <f aca="false">'Dish Database'!L110*H327/100</f>
        <v>25.2</v>
      </c>
      <c r="M327" s="17" t="n">
        <f aca="false">'Dish Database'!M110*H327/100</f>
        <v>6.65</v>
      </c>
      <c r="N327" s="17" t="n">
        <f aca="false">'Dish Database'!N110*H327/100</f>
        <v>3.85</v>
      </c>
      <c r="O327" s="17" t="n">
        <f aca="false">'Dish Database'!O110*H327/100</f>
        <v>0.7</v>
      </c>
      <c r="P327" s="13" t="n">
        <f aca="false">'Dish Database'!P110*H327/100</f>
        <v>231</v>
      </c>
    </row>
    <row r="328" customFormat="false" ht="15" hidden="false" customHeight="false" outlineLevel="0" collapsed="false">
      <c r="A328" s="6" t="str">
        <f aca="false">'Dish Database'!A110</f>
        <v>D109</v>
      </c>
      <c r="B328" s="6" t="str">
        <f aca="false">'Dish Database'!B110</f>
        <v>Methi paratha</v>
      </c>
      <c r="C328" s="6" t="str">
        <f aca="false">'Dish Database'!D110</f>
        <v>Breakfast - North &amp; West</v>
      </c>
      <c r="D328" s="6" t="str">
        <f aca="false">'Dish Database'!F110</f>
        <v>Veg</v>
      </c>
      <c r="E328" s="6" t="str">
        <f aca="false">'Dish Database'!E110</f>
        <v>North</v>
      </c>
      <c r="F328" s="6" t="s">
        <v>2246</v>
      </c>
      <c r="G328" s="6" t="s">
        <v>2279</v>
      </c>
      <c r="H328" s="16" t="n">
        <v>90</v>
      </c>
      <c r="I328" s="6" t="str">
        <f aca="false">'Dish Database'!I110</f>
        <v>g</v>
      </c>
      <c r="J328" s="13" t="n">
        <f aca="false">'Dish Database'!J110*H328/100</f>
        <v>218.25</v>
      </c>
      <c r="K328" s="17" t="n">
        <f aca="false">'Dish Database'!K110*H328/100</f>
        <v>5.4</v>
      </c>
      <c r="L328" s="17" t="n">
        <f aca="false">'Dish Database'!L110*H328/100</f>
        <v>32.4</v>
      </c>
      <c r="M328" s="17" t="n">
        <f aca="false">'Dish Database'!M110*H328/100</f>
        <v>8.55</v>
      </c>
      <c r="N328" s="17" t="n">
        <f aca="false">'Dish Database'!N110*H328/100</f>
        <v>4.95</v>
      </c>
      <c r="O328" s="17" t="n">
        <f aca="false">'Dish Database'!O110*H328/100</f>
        <v>0.9</v>
      </c>
      <c r="P328" s="13" t="n">
        <f aca="false">'Dish Database'!P110*H328/100</f>
        <v>297</v>
      </c>
    </row>
    <row r="329" customFormat="false" ht="15" hidden="false" customHeight="false" outlineLevel="0" collapsed="false">
      <c r="A329" s="6" t="str">
        <f aca="false">'Dish Database'!A111</f>
        <v>D110</v>
      </c>
      <c r="B329" s="6" t="str">
        <f aca="false">'Dish Database'!B111</f>
        <v>Pyaaz paratha</v>
      </c>
      <c r="C329" s="6" t="str">
        <f aca="false">'Dish Database'!D111</f>
        <v>Breakfast - North &amp; West</v>
      </c>
      <c r="D329" s="6" t="str">
        <f aca="false">'Dish Database'!F111</f>
        <v>Veg</v>
      </c>
      <c r="E329" s="6" t="str">
        <f aca="false">'Dish Database'!E111</f>
        <v>North</v>
      </c>
      <c r="F329" s="6" t="s">
        <v>2243</v>
      </c>
      <c r="G329" s="6" t="s">
        <v>2280</v>
      </c>
      <c r="H329" s="16" t="n">
        <v>80</v>
      </c>
      <c r="I329" s="6" t="str">
        <f aca="false">'Dish Database'!I111</f>
        <v>g</v>
      </c>
      <c r="J329" s="13" t="n">
        <f aca="false">'Dish Database'!J111*H329/100</f>
        <v>190.8</v>
      </c>
      <c r="K329" s="17" t="n">
        <f aca="false">'Dish Database'!K111*H329/100</f>
        <v>4.4</v>
      </c>
      <c r="L329" s="17" t="n">
        <f aca="false">'Dish Database'!L111*H329/100</f>
        <v>28</v>
      </c>
      <c r="M329" s="17" t="n">
        <f aca="false">'Dish Database'!M111*H329/100</f>
        <v>7.6</v>
      </c>
      <c r="N329" s="17" t="n">
        <f aca="false">'Dish Database'!N111*H329/100</f>
        <v>3.6</v>
      </c>
      <c r="O329" s="17" t="n">
        <f aca="false">'Dish Database'!O111*H329/100</f>
        <v>2.4</v>
      </c>
      <c r="P329" s="13" t="n">
        <f aca="false">'Dish Database'!P111*H329/100</f>
        <v>264</v>
      </c>
    </row>
    <row r="330" customFormat="false" ht="15" hidden="false" customHeight="false" outlineLevel="0" collapsed="false">
      <c r="A330" s="6" t="str">
        <f aca="false">'Dish Database'!A111</f>
        <v>D110</v>
      </c>
      <c r="B330" s="6" t="str">
        <f aca="false">'Dish Database'!B111</f>
        <v>Pyaaz paratha</v>
      </c>
      <c r="C330" s="6" t="str">
        <f aca="false">'Dish Database'!D111</f>
        <v>Breakfast - North &amp; West</v>
      </c>
      <c r="D330" s="6" t="str">
        <f aca="false">'Dish Database'!F111</f>
        <v>Veg</v>
      </c>
      <c r="E330" s="6" t="str">
        <f aca="false">'Dish Database'!E111</f>
        <v>North</v>
      </c>
      <c r="F330" s="6" t="s">
        <v>103</v>
      </c>
      <c r="G330" s="6" t="s">
        <v>2281</v>
      </c>
      <c r="H330" s="16" t="n">
        <v>110</v>
      </c>
      <c r="I330" s="6" t="str">
        <f aca="false">'Dish Database'!I111</f>
        <v>g</v>
      </c>
      <c r="J330" s="13" t="n">
        <f aca="false">'Dish Database'!J111*H330/100</f>
        <v>262.35</v>
      </c>
      <c r="K330" s="17" t="n">
        <f aca="false">'Dish Database'!K111*H330/100</f>
        <v>6.05</v>
      </c>
      <c r="L330" s="17" t="n">
        <f aca="false">'Dish Database'!L111*H330/100</f>
        <v>38.5</v>
      </c>
      <c r="M330" s="17" t="n">
        <f aca="false">'Dish Database'!M111*H330/100</f>
        <v>10.45</v>
      </c>
      <c r="N330" s="17" t="n">
        <f aca="false">'Dish Database'!N111*H330/100</f>
        <v>4.95</v>
      </c>
      <c r="O330" s="17" t="n">
        <f aca="false">'Dish Database'!O111*H330/100</f>
        <v>3.3</v>
      </c>
      <c r="P330" s="13" t="n">
        <f aca="false">'Dish Database'!P111*H330/100</f>
        <v>363</v>
      </c>
    </row>
    <row r="331" customFormat="false" ht="15" hidden="false" customHeight="false" outlineLevel="0" collapsed="false">
      <c r="A331" s="6" t="str">
        <f aca="false">'Dish Database'!A111</f>
        <v>D110</v>
      </c>
      <c r="B331" s="6" t="str">
        <f aca="false">'Dish Database'!B111</f>
        <v>Pyaaz paratha</v>
      </c>
      <c r="C331" s="6" t="str">
        <f aca="false">'Dish Database'!D111</f>
        <v>Breakfast - North &amp; West</v>
      </c>
      <c r="D331" s="6" t="str">
        <f aca="false">'Dish Database'!F111</f>
        <v>Veg</v>
      </c>
      <c r="E331" s="6" t="str">
        <f aca="false">'Dish Database'!E111</f>
        <v>North</v>
      </c>
      <c r="F331" s="6" t="s">
        <v>2246</v>
      </c>
      <c r="G331" s="6" t="s">
        <v>2282</v>
      </c>
      <c r="H331" s="16" t="n">
        <v>140</v>
      </c>
      <c r="I331" s="6" t="str">
        <f aca="false">'Dish Database'!I111</f>
        <v>g</v>
      </c>
      <c r="J331" s="13" t="n">
        <f aca="false">'Dish Database'!J111*H331/100</f>
        <v>333.9</v>
      </c>
      <c r="K331" s="17" t="n">
        <f aca="false">'Dish Database'!K111*H331/100</f>
        <v>7.7</v>
      </c>
      <c r="L331" s="17" t="n">
        <f aca="false">'Dish Database'!L111*H331/100</f>
        <v>49</v>
      </c>
      <c r="M331" s="17" t="n">
        <f aca="false">'Dish Database'!M111*H331/100</f>
        <v>13.3</v>
      </c>
      <c r="N331" s="17" t="n">
        <f aca="false">'Dish Database'!N111*H331/100</f>
        <v>6.3</v>
      </c>
      <c r="O331" s="17" t="n">
        <f aca="false">'Dish Database'!O111*H331/100</f>
        <v>4.2</v>
      </c>
      <c r="P331" s="13" t="n">
        <f aca="false">'Dish Database'!P111*H331/100</f>
        <v>462</v>
      </c>
    </row>
    <row r="332" customFormat="false" ht="15" hidden="false" customHeight="false" outlineLevel="0" collapsed="false">
      <c r="A332" s="6" t="str">
        <f aca="false">'Dish Database'!A112</f>
        <v>D111</v>
      </c>
      <c r="B332" s="6" t="str">
        <f aca="false">'Dish Database'!B112</f>
        <v>Plain paratha (tawa)</v>
      </c>
      <c r="C332" s="6" t="str">
        <f aca="false">'Dish Database'!D112</f>
        <v>Breakfast - North &amp; West</v>
      </c>
      <c r="D332" s="6" t="str">
        <f aca="false">'Dish Database'!F112</f>
        <v>Veg</v>
      </c>
      <c r="E332" s="6" t="str">
        <f aca="false">'Dish Database'!E112</f>
        <v>North</v>
      </c>
      <c r="F332" s="6" t="s">
        <v>2243</v>
      </c>
      <c r="G332" s="6" t="s">
        <v>2283</v>
      </c>
      <c r="H332" s="16" t="n">
        <v>45</v>
      </c>
      <c r="I332" s="6" t="str">
        <f aca="false">'Dish Database'!I112</f>
        <v>g</v>
      </c>
      <c r="J332" s="13" t="n">
        <f aca="false">'Dish Database'!J112*H332/100</f>
        <v>137.475</v>
      </c>
      <c r="K332" s="17" t="n">
        <f aca="false">'Dish Database'!K112*H332/100</f>
        <v>3.15</v>
      </c>
      <c r="L332" s="17" t="n">
        <f aca="false">'Dish Database'!L112*H332/100</f>
        <v>19.8</v>
      </c>
      <c r="M332" s="17" t="n">
        <f aca="false">'Dish Database'!M112*H332/100</f>
        <v>5.625</v>
      </c>
      <c r="N332" s="17" t="n">
        <f aca="false">'Dish Database'!N112*H332/100</f>
        <v>2.475</v>
      </c>
      <c r="O332" s="17" t="n">
        <f aca="false">'Dish Database'!O112*H332/100</f>
        <v>0.45</v>
      </c>
      <c r="P332" s="13" t="n">
        <f aca="false">'Dish Database'!P112*H332/100</f>
        <v>135</v>
      </c>
    </row>
    <row r="333" customFormat="false" ht="15" hidden="false" customHeight="false" outlineLevel="0" collapsed="false">
      <c r="A333" s="6" t="str">
        <f aca="false">'Dish Database'!A112</f>
        <v>D111</v>
      </c>
      <c r="B333" s="6" t="str">
        <f aca="false">'Dish Database'!B112</f>
        <v>Plain paratha (tawa)</v>
      </c>
      <c r="C333" s="6" t="str">
        <f aca="false">'Dish Database'!D112</f>
        <v>Breakfast - North &amp; West</v>
      </c>
      <c r="D333" s="6" t="str">
        <f aca="false">'Dish Database'!F112</f>
        <v>Veg</v>
      </c>
      <c r="E333" s="6" t="str">
        <f aca="false">'Dish Database'!E112</f>
        <v>North</v>
      </c>
      <c r="F333" s="6" t="s">
        <v>103</v>
      </c>
      <c r="G333" s="6" t="s">
        <v>2284</v>
      </c>
      <c r="H333" s="16" t="n">
        <v>60</v>
      </c>
      <c r="I333" s="6" t="str">
        <f aca="false">'Dish Database'!I112</f>
        <v>g</v>
      </c>
      <c r="J333" s="13" t="n">
        <f aca="false">'Dish Database'!J112*H333/100</f>
        <v>183.3</v>
      </c>
      <c r="K333" s="17" t="n">
        <f aca="false">'Dish Database'!K112*H333/100</f>
        <v>4.2</v>
      </c>
      <c r="L333" s="17" t="n">
        <f aca="false">'Dish Database'!L112*H333/100</f>
        <v>26.4</v>
      </c>
      <c r="M333" s="17" t="n">
        <f aca="false">'Dish Database'!M112*H333/100</f>
        <v>7.5</v>
      </c>
      <c r="N333" s="17" t="n">
        <f aca="false">'Dish Database'!N112*H333/100</f>
        <v>3.3</v>
      </c>
      <c r="O333" s="17" t="n">
        <f aca="false">'Dish Database'!O112*H333/100</f>
        <v>0.6</v>
      </c>
      <c r="P333" s="13" t="n">
        <f aca="false">'Dish Database'!P112*H333/100</f>
        <v>180</v>
      </c>
    </row>
    <row r="334" customFormat="false" ht="15" hidden="false" customHeight="false" outlineLevel="0" collapsed="false">
      <c r="A334" s="6" t="str">
        <f aca="false">'Dish Database'!A112</f>
        <v>D111</v>
      </c>
      <c r="B334" s="6" t="str">
        <f aca="false">'Dish Database'!B112</f>
        <v>Plain paratha (tawa)</v>
      </c>
      <c r="C334" s="6" t="str">
        <f aca="false">'Dish Database'!D112</f>
        <v>Breakfast - North &amp; West</v>
      </c>
      <c r="D334" s="6" t="str">
        <f aca="false">'Dish Database'!F112</f>
        <v>Veg</v>
      </c>
      <c r="E334" s="6" t="str">
        <f aca="false">'Dish Database'!E112</f>
        <v>North</v>
      </c>
      <c r="F334" s="6" t="s">
        <v>2246</v>
      </c>
      <c r="G334" s="6" t="s">
        <v>2285</v>
      </c>
      <c r="H334" s="16" t="n">
        <v>80</v>
      </c>
      <c r="I334" s="6" t="str">
        <f aca="false">'Dish Database'!I112</f>
        <v>g</v>
      </c>
      <c r="J334" s="13" t="n">
        <f aca="false">'Dish Database'!J112*H334/100</f>
        <v>244.4</v>
      </c>
      <c r="K334" s="17" t="n">
        <f aca="false">'Dish Database'!K112*H334/100</f>
        <v>5.6</v>
      </c>
      <c r="L334" s="17" t="n">
        <f aca="false">'Dish Database'!L112*H334/100</f>
        <v>35.2</v>
      </c>
      <c r="M334" s="17" t="n">
        <f aca="false">'Dish Database'!M112*H334/100</f>
        <v>10</v>
      </c>
      <c r="N334" s="17" t="n">
        <f aca="false">'Dish Database'!N112*H334/100</f>
        <v>4.4</v>
      </c>
      <c r="O334" s="17" t="n">
        <f aca="false">'Dish Database'!O112*H334/100</f>
        <v>0.8</v>
      </c>
      <c r="P334" s="13" t="n">
        <f aca="false">'Dish Database'!P112*H334/100</f>
        <v>240</v>
      </c>
    </row>
    <row r="335" customFormat="false" ht="15" hidden="false" customHeight="false" outlineLevel="0" collapsed="false">
      <c r="A335" s="6" t="str">
        <f aca="false">'Dish Database'!A113</f>
        <v>D112</v>
      </c>
      <c r="B335" s="6" t="str">
        <f aca="false">'Dish Database'!B113</f>
        <v>Thepla (methi)</v>
      </c>
      <c r="C335" s="6" t="str">
        <f aca="false">'Dish Database'!D113</f>
        <v>Breakfast - North &amp; West</v>
      </c>
      <c r="D335" s="6" t="str">
        <f aca="false">'Dish Database'!F113</f>
        <v>Veg</v>
      </c>
      <c r="E335" s="6" t="str">
        <f aca="false">'Dish Database'!E113</f>
        <v>West</v>
      </c>
      <c r="F335" s="6" t="s">
        <v>2243</v>
      </c>
      <c r="G335" s="6" t="s">
        <v>2286</v>
      </c>
      <c r="H335" s="16" t="n">
        <v>30</v>
      </c>
      <c r="I335" s="6" t="str">
        <f aca="false">'Dish Database'!I113</f>
        <v>g</v>
      </c>
      <c r="J335" s="13" t="n">
        <f aca="false">'Dish Database'!J113*H335/100</f>
        <v>88.5</v>
      </c>
      <c r="K335" s="17" t="n">
        <f aca="false">'Dish Database'!K113*H335/100</f>
        <v>2.25</v>
      </c>
      <c r="L335" s="17" t="n">
        <f aca="false">'Dish Database'!L113*H335/100</f>
        <v>12.6</v>
      </c>
      <c r="M335" s="17" t="n">
        <f aca="false">'Dish Database'!M113*H335/100</f>
        <v>3.6</v>
      </c>
      <c r="N335" s="17" t="n">
        <f aca="false">'Dish Database'!N113*H335/100</f>
        <v>1.65</v>
      </c>
      <c r="O335" s="17" t="n">
        <f aca="false">'Dish Database'!O113*H335/100</f>
        <v>0.45</v>
      </c>
      <c r="P335" s="13" t="n">
        <f aca="false">'Dish Database'!P113*H335/100</f>
        <v>105</v>
      </c>
    </row>
    <row r="336" customFormat="false" ht="15" hidden="false" customHeight="false" outlineLevel="0" collapsed="false">
      <c r="A336" s="6" t="str">
        <f aca="false">'Dish Database'!A113</f>
        <v>D112</v>
      </c>
      <c r="B336" s="6" t="str">
        <f aca="false">'Dish Database'!B113</f>
        <v>Thepla (methi)</v>
      </c>
      <c r="C336" s="6" t="str">
        <f aca="false">'Dish Database'!D113</f>
        <v>Breakfast - North &amp; West</v>
      </c>
      <c r="D336" s="6" t="str">
        <f aca="false">'Dish Database'!F113</f>
        <v>Veg</v>
      </c>
      <c r="E336" s="6" t="str">
        <f aca="false">'Dish Database'!E113</f>
        <v>West</v>
      </c>
      <c r="F336" s="6" t="s">
        <v>103</v>
      </c>
      <c r="G336" s="6" t="s">
        <v>2287</v>
      </c>
      <c r="H336" s="16" t="n">
        <v>40</v>
      </c>
      <c r="I336" s="6" t="str">
        <f aca="false">'Dish Database'!I113</f>
        <v>g</v>
      </c>
      <c r="J336" s="13" t="n">
        <f aca="false">'Dish Database'!J113*H336/100</f>
        <v>118</v>
      </c>
      <c r="K336" s="17" t="n">
        <f aca="false">'Dish Database'!K113*H336/100</f>
        <v>3</v>
      </c>
      <c r="L336" s="17" t="n">
        <f aca="false">'Dish Database'!L113*H336/100</f>
        <v>16.8</v>
      </c>
      <c r="M336" s="17" t="n">
        <f aca="false">'Dish Database'!M113*H336/100</f>
        <v>4.8</v>
      </c>
      <c r="N336" s="17" t="n">
        <f aca="false">'Dish Database'!N113*H336/100</f>
        <v>2.2</v>
      </c>
      <c r="O336" s="17" t="n">
        <f aca="false">'Dish Database'!O113*H336/100</f>
        <v>0.6</v>
      </c>
      <c r="P336" s="13" t="n">
        <f aca="false">'Dish Database'!P113*H336/100</f>
        <v>140</v>
      </c>
    </row>
    <row r="337" customFormat="false" ht="15" hidden="false" customHeight="false" outlineLevel="0" collapsed="false">
      <c r="A337" s="6" t="str">
        <f aca="false">'Dish Database'!A113</f>
        <v>D112</v>
      </c>
      <c r="B337" s="6" t="str">
        <f aca="false">'Dish Database'!B113</f>
        <v>Thepla (methi)</v>
      </c>
      <c r="C337" s="6" t="str">
        <f aca="false">'Dish Database'!D113</f>
        <v>Breakfast - North &amp; West</v>
      </c>
      <c r="D337" s="6" t="str">
        <f aca="false">'Dish Database'!F113</f>
        <v>Veg</v>
      </c>
      <c r="E337" s="6" t="str">
        <f aca="false">'Dish Database'!E113</f>
        <v>West</v>
      </c>
      <c r="F337" s="6" t="s">
        <v>2246</v>
      </c>
      <c r="G337" s="6" t="s">
        <v>2288</v>
      </c>
      <c r="H337" s="16" t="n">
        <v>55</v>
      </c>
      <c r="I337" s="6" t="str">
        <f aca="false">'Dish Database'!I113</f>
        <v>g</v>
      </c>
      <c r="J337" s="13" t="n">
        <f aca="false">'Dish Database'!J113*H337/100</f>
        <v>162.25</v>
      </c>
      <c r="K337" s="17" t="n">
        <f aca="false">'Dish Database'!K113*H337/100</f>
        <v>4.125</v>
      </c>
      <c r="L337" s="17" t="n">
        <f aca="false">'Dish Database'!L113*H337/100</f>
        <v>23.1</v>
      </c>
      <c r="M337" s="17" t="n">
        <f aca="false">'Dish Database'!M113*H337/100</f>
        <v>6.6</v>
      </c>
      <c r="N337" s="17" t="n">
        <f aca="false">'Dish Database'!N113*H337/100</f>
        <v>3.025</v>
      </c>
      <c r="O337" s="17" t="n">
        <f aca="false">'Dish Database'!O113*H337/100</f>
        <v>0.825</v>
      </c>
      <c r="P337" s="13" t="n">
        <f aca="false">'Dish Database'!P113*H337/100</f>
        <v>192.5</v>
      </c>
    </row>
    <row r="338" customFormat="false" ht="15" hidden="false" customHeight="false" outlineLevel="0" collapsed="false">
      <c r="A338" s="6" t="str">
        <f aca="false">'Dish Database'!A114</f>
        <v>D113</v>
      </c>
      <c r="B338" s="6" t="str">
        <f aca="false">'Dish Database'!B114</f>
        <v>Thalipeeth</v>
      </c>
      <c r="C338" s="6" t="str">
        <f aca="false">'Dish Database'!D114</f>
        <v>Breakfast - North &amp; West</v>
      </c>
      <c r="D338" s="6" t="str">
        <f aca="false">'Dish Database'!F114</f>
        <v>Veg</v>
      </c>
      <c r="E338" s="6" t="str">
        <f aca="false">'Dish Database'!E114</f>
        <v>West</v>
      </c>
      <c r="F338" s="6" t="s">
        <v>2243</v>
      </c>
      <c r="G338" s="6" t="s">
        <v>2289</v>
      </c>
      <c r="H338" s="16" t="n">
        <v>60</v>
      </c>
      <c r="I338" s="6" t="str">
        <f aca="false">'Dish Database'!I114</f>
        <v>g</v>
      </c>
      <c r="J338" s="13" t="n">
        <f aca="false">'Dish Database'!J114*H338/100</f>
        <v>156</v>
      </c>
      <c r="K338" s="17" t="n">
        <f aca="false">'Dish Database'!K114*H338/100</f>
        <v>4.8</v>
      </c>
      <c r="L338" s="17" t="n">
        <f aca="false">'Dish Database'!L114*H338/100</f>
        <v>24</v>
      </c>
      <c r="M338" s="17" t="n">
        <f aca="false">'Dish Database'!M114*H338/100</f>
        <v>5.4</v>
      </c>
      <c r="N338" s="17" t="n">
        <f aca="false">'Dish Database'!N114*H338/100</f>
        <v>3.9</v>
      </c>
      <c r="O338" s="17" t="n">
        <f aca="false">'Dish Database'!O114*H338/100</f>
        <v>0.9</v>
      </c>
      <c r="P338" s="13" t="n">
        <f aca="false">'Dish Database'!P114*H338/100</f>
        <v>210</v>
      </c>
    </row>
    <row r="339" customFormat="false" ht="15" hidden="false" customHeight="false" outlineLevel="0" collapsed="false">
      <c r="A339" s="6" t="str">
        <f aca="false">'Dish Database'!A114</f>
        <v>D113</v>
      </c>
      <c r="B339" s="6" t="str">
        <f aca="false">'Dish Database'!B114</f>
        <v>Thalipeeth</v>
      </c>
      <c r="C339" s="6" t="str">
        <f aca="false">'Dish Database'!D114</f>
        <v>Breakfast - North &amp; West</v>
      </c>
      <c r="D339" s="6" t="str">
        <f aca="false">'Dish Database'!F114</f>
        <v>Veg</v>
      </c>
      <c r="E339" s="6" t="str">
        <f aca="false">'Dish Database'!E114</f>
        <v>West</v>
      </c>
      <c r="F339" s="6" t="s">
        <v>103</v>
      </c>
      <c r="G339" s="6" t="s">
        <v>2290</v>
      </c>
      <c r="H339" s="16" t="n">
        <v>80</v>
      </c>
      <c r="I339" s="6" t="str">
        <f aca="false">'Dish Database'!I114</f>
        <v>g</v>
      </c>
      <c r="J339" s="13" t="n">
        <f aca="false">'Dish Database'!J114*H339/100</f>
        <v>208</v>
      </c>
      <c r="K339" s="17" t="n">
        <f aca="false">'Dish Database'!K114*H339/100</f>
        <v>6.4</v>
      </c>
      <c r="L339" s="17" t="n">
        <f aca="false">'Dish Database'!L114*H339/100</f>
        <v>32</v>
      </c>
      <c r="M339" s="17" t="n">
        <f aca="false">'Dish Database'!M114*H339/100</f>
        <v>7.2</v>
      </c>
      <c r="N339" s="17" t="n">
        <f aca="false">'Dish Database'!N114*H339/100</f>
        <v>5.2</v>
      </c>
      <c r="O339" s="17" t="n">
        <f aca="false">'Dish Database'!O114*H339/100</f>
        <v>1.2</v>
      </c>
      <c r="P339" s="13" t="n">
        <f aca="false">'Dish Database'!P114*H339/100</f>
        <v>280</v>
      </c>
    </row>
    <row r="340" customFormat="false" ht="15" hidden="false" customHeight="false" outlineLevel="0" collapsed="false">
      <c r="A340" s="6" t="str">
        <f aca="false">'Dish Database'!A114</f>
        <v>D113</v>
      </c>
      <c r="B340" s="6" t="str">
        <f aca="false">'Dish Database'!B114</f>
        <v>Thalipeeth</v>
      </c>
      <c r="C340" s="6" t="str">
        <f aca="false">'Dish Database'!D114</f>
        <v>Breakfast - North &amp; West</v>
      </c>
      <c r="D340" s="6" t="str">
        <f aca="false">'Dish Database'!F114</f>
        <v>Veg</v>
      </c>
      <c r="E340" s="6" t="str">
        <f aca="false">'Dish Database'!E114</f>
        <v>West</v>
      </c>
      <c r="F340" s="6" t="s">
        <v>2246</v>
      </c>
      <c r="G340" s="6" t="s">
        <v>2291</v>
      </c>
      <c r="H340" s="16" t="n">
        <v>100</v>
      </c>
      <c r="I340" s="6" t="str">
        <f aca="false">'Dish Database'!I114</f>
        <v>g</v>
      </c>
      <c r="J340" s="13" t="n">
        <f aca="false">'Dish Database'!J114*H340/100</f>
        <v>260</v>
      </c>
      <c r="K340" s="17" t="n">
        <f aca="false">'Dish Database'!K114*H340/100</f>
        <v>8</v>
      </c>
      <c r="L340" s="17" t="n">
        <f aca="false">'Dish Database'!L114*H340/100</f>
        <v>40</v>
      </c>
      <c r="M340" s="17" t="n">
        <f aca="false">'Dish Database'!M114*H340/100</f>
        <v>9</v>
      </c>
      <c r="N340" s="17" t="n">
        <f aca="false">'Dish Database'!N114*H340/100</f>
        <v>6.5</v>
      </c>
      <c r="O340" s="17" t="n">
        <f aca="false">'Dish Database'!O114*H340/100</f>
        <v>1.5</v>
      </c>
      <c r="P340" s="13" t="n">
        <f aca="false">'Dish Database'!P114*H340/100</f>
        <v>350</v>
      </c>
    </row>
    <row r="341" customFormat="false" ht="15" hidden="false" customHeight="false" outlineLevel="0" collapsed="false">
      <c r="A341" s="6" t="str">
        <f aca="false">'Dish Database'!A115</f>
        <v>D114</v>
      </c>
      <c r="B341" s="6" t="str">
        <f aca="false">'Dish Database'!B115</f>
        <v>Masala omelette (2 eggs)</v>
      </c>
      <c r="C341" s="6" t="str">
        <f aca="false">'Dish Database'!D115</f>
        <v>Breakfast - North &amp; West</v>
      </c>
      <c r="D341" s="6" t="str">
        <f aca="false">'Dish Database'!F115</f>
        <v>Egg</v>
      </c>
      <c r="E341" s="6" t="str">
        <f aca="false">'Dish Database'!E115</f>
        <v>Pan-India</v>
      </c>
      <c r="F341" s="6" t="s">
        <v>2243</v>
      </c>
      <c r="G341" s="6" t="s">
        <v>2292</v>
      </c>
      <c r="H341" s="16" t="n">
        <v>70</v>
      </c>
      <c r="I341" s="6" t="str">
        <f aca="false">'Dish Database'!I115</f>
        <v>g</v>
      </c>
      <c r="J341" s="13" t="n">
        <f aca="false">'Dish Database'!J115*H341/100</f>
        <v>118.72</v>
      </c>
      <c r="K341" s="17" t="n">
        <f aca="false">'Dish Database'!K115*H341/100</f>
        <v>7</v>
      </c>
      <c r="L341" s="17" t="n">
        <f aca="false">'Dish Database'!L115*H341/100</f>
        <v>2.1</v>
      </c>
      <c r="M341" s="17" t="n">
        <f aca="false">'Dish Database'!M115*H341/100</f>
        <v>9.24</v>
      </c>
      <c r="N341" s="17" t="n">
        <f aca="false">'Dish Database'!N115*H341/100</f>
        <v>0.42</v>
      </c>
      <c r="O341" s="17" t="n">
        <f aca="false">'Dish Database'!O115*H341/100</f>
        <v>1.05</v>
      </c>
      <c r="P341" s="13" t="n">
        <f aca="false">'Dish Database'!P115*H341/100</f>
        <v>266</v>
      </c>
    </row>
    <row r="342" customFormat="false" ht="15" hidden="false" customHeight="false" outlineLevel="0" collapsed="false">
      <c r="A342" s="6" t="str">
        <f aca="false">'Dish Database'!A115</f>
        <v>D114</v>
      </c>
      <c r="B342" s="6" t="str">
        <f aca="false">'Dish Database'!B115</f>
        <v>Masala omelette (2 eggs)</v>
      </c>
      <c r="C342" s="6" t="str">
        <f aca="false">'Dish Database'!D115</f>
        <v>Breakfast - North &amp; West</v>
      </c>
      <c r="D342" s="6" t="str">
        <f aca="false">'Dish Database'!F115</f>
        <v>Egg</v>
      </c>
      <c r="E342" s="6" t="str">
        <f aca="false">'Dish Database'!E115</f>
        <v>Pan-India</v>
      </c>
      <c r="F342" s="6" t="s">
        <v>103</v>
      </c>
      <c r="G342" s="6" t="s">
        <v>2293</v>
      </c>
      <c r="H342" s="16" t="n">
        <v>125</v>
      </c>
      <c r="I342" s="6" t="str">
        <f aca="false">'Dish Database'!I115</f>
        <v>g</v>
      </c>
      <c r="J342" s="13" t="n">
        <f aca="false">'Dish Database'!J115*H342/100</f>
        <v>212</v>
      </c>
      <c r="K342" s="17" t="n">
        <f aca="false">'Dish Database'!K115*H342/100</f>
        <v>12.5</v>
      </c>
      <c r="L342" s="17" t="n">
        <f aca="false">'Dish Database'!L115*H342/100</f>
        <v>3.75</v>
      </c>
      <c r="M342" s="17" t="n">
        <f aca="false">'Dish Database'!M115*H342/100</f>
        <v>16.5</v>
      </c>
      <c r="N342" s="17" t="n">
        <f aca="false">'Dish Database'!N115*H342/100</f>
        <v>0.75</v>
      </c>
      <c r="O342" s="17" t="n">
        <f aca="false">'Dish Database'!O115*H342/100</f>
        <v>1.875</v>
      </c>
      <c r="P342" s="13" t="n">
        <f aca="false">'Dish Database'!P115*H342/100</f>
        <v>475</v>
      </c>
    </row>
    <row r="343" customFormat="false" ht="15" hidden="false" customHeight="false" outlineLevel="0" collapsed="false">
      <c r="A343" s="6" t="str">
        <f aca="false">'Dish Database'!A115</f>
        <v>D114</v>
      </c>
      <c r="B343" s="6" t="str">
        <f aca="false">'Dish Database'!B115</f>
        <v>Masala omelette (2 eggs)</v>
      </c>
      <c r="C343" s="6" t="str">
        <f aca="false">'Dish Database'!D115</f>
        <v>Breakfast - North &amp; West</v>
      </c>
      <c r="D343" s="6" t="str">
        <f aca="false">'Dish Database'!F115</f>
        <v>Egg</v>
      </c>
      <c r="E343" s="6" t="str">
        <f aca="false">'Dish Database'!E115</f>
        <v>Pan-India</v>
      </c>
      <c r="F343" s="6" t="s">
        <v>2246</v>
      </c>
      <c r="G343" s="6" t="s">
        <v>2294</v>
      </c>
      <c r="H343" s="16" t="n">
        <v>185</v>
      </c>
      <c r="I343" s="6" t="str">
        <f aca="false">'Dish Database'!I115</f>
        <v>g</v>
      </c>
      <c r="J343" s="13" t="n">
        <f aca="false">'Dish Database'!J115*H343/100</f>
        <v>313.76</v>
      </c>
      <c r="K343" s="17" t="n">
        <f aca="false">'Dish Database'!K115*H343/100</f>
        <v>18.5</v>
      </c>
      <c r="L343" s="17" t="n">
        <f aca="false">'Dish Database'!L115*H343/100</f>
        <v>5.55</v>
      </c>
      <c r="M343" s="17" t="n">
        <f aca="false">'Dish Database'!M115*H343/100</f>
        <v>24.42</v>
      </c>
      <c r="N343" s="17" t="n">
        <f aca="false">'Dish Database'!N115*H343/100</f>
        <v>1.11</v>
      </c>
      <c r="O343" s="17" t="n">
        <f aca="false">'Dish Database'!O115*H343/100</f>
        <v>2.775</v>
      </c>
      <c r="P343" s="13" t="n">
        <f aca="false">'Dish Database'!P115*H343/100</f>
        <v>703</v>
      </c>
    </row>
    <row r="344" customFormat="false" ht="15" hidden="false" customHeight="false" outlineLevel="0" collapsed="false">
      <c r="A344" s="6" t="str">
        <f aca="false">'Dish Database'!A116</f>
        <v>D115</v>
      </c>
      <c r="B344" s="6" t="str">
        <f aca="false">'Dish Database'!B116</f>
        <v>Bread omelette</v>
      </c>
      <c r="C344" s="6" t="str">
        <f aca="false">'Dish Database'!D116</f>
        <v>Breakfast - North &amp; West</v>
      </c>
      <c r="D344" s="6" t="str">
        <f aca="false">'Dish Database'!F116</f>
        <v>Egg</v>
      </c>
      <c r="E344" s="6" t="str">
        <f aca="false">'Dish Database'!E116</f>
        <v>Pan-India</v>
      </c>
      <c r="F344" s="6" t="s">
        <v>2243</v>
      </c>
      <c r="G344" s="6" t="s">
        <v>2295</v>
      </c>
      <c r="H344" s="16" t="n">
        <v>110</v>
      </c>
      <c r="I344" s="6" t="str">
        <f aca="false">'Dish Database'!I116</f>
        <v>g</v>
      </c>
      <c r="J344" s="13" t="n">
        <f aca="false">'Dish Database'!J116*H344/100</f>
        <v>241.34</v>
      </c>
      <c r="K344" s="17" t="n">
        <f aca="false">'Dish Database'!K116*H344/100</f>
        <v>11</v>
      </c>
      <c r="L344" s="17" t="n">
        <f aca="false">'Dish Database'!L116*H344/100</f>
        <v>20.35</v>
      </c>
      <c r="M344" s="17" t="n">
        <f aca="false">'Dish Database'!M116*H344/100</f>
        <v>13.2</v>
      </c>
      <c r="N344" s="17" t="n">
        <f aca="false">'Dish Database'!N116*H344/100</f>
        <v>1.43</v>
      </c>
      <c r="O344" s="17" t="n">
        <f aca="false">'Dish Database'!O116*H344/100</f>
        <v>2.75</v>
      </c>
      <c r="P344" s="13" t="n">
        <f aca="false">'Dish Database'!P116*H344/100</f>
        <v>495</v>
      </c>
    </row>
    <row r="345" customFormat="false" ht="15" hidden="false" customHeight="false" outlineLevel="0" collapsed="false">
      <c r="A345" s="6" t="str">
        <f aca="false">'Dish Database'!A116</f>
        <v>D115</v>
      </c>
      <c r="B345" s="6" t="str">
        <f aca="false">'Dish Database'!B116</f>
        <v>Bread omelette</v>
      </c>
      <c r="C345" s="6" t="str">
        <f aca="false">'Dish Database'!D116</f>
        <v>Breakfast - North &amp; West</v>
      </c>
      <c r="D345" s="6" t="str">
        <f aca="false">'Dish Database'!F116</f>
        <v>Egg</v>
      </c>
      <c r="E345" s="6" t="str">
        <f aca="false">'Dish Database'!E116</f>
        <v>Pan-India</v>
      </c>
      <c r="F345" s="6" t="s">
        <v>103</v>
      </c>
      <c r="G345" s="6" t="s">
        <v>2296</v>
      </c>
      <c r="H345" s="16" t="n">
        <v>180</v>
      </c>
      <c r="I345" s="6" t="str">
        <f aca="false">'Dish Database'!I116</f>
        <v>g</v>
      </c>
      <c r="J345" s="13" t="n">
        <f aca="false">'Dish Database'!J116*H345/100</f>
        <v>394.92</v>
      </c>
      <c r="K345" s="17" t="n">
        <f aca="false">'Dish Database'!K116*H345/100</f>
        <v>18</v>
      </c>
      <c r="L345" s="17" t="n">
        <f aca="false">'Dish Database'!L116*H345/100</f>
        <v>33.3</v>
      </c>
      <c r="M345" s="17" t="n">
        <f aca="false">'Dish Database'!M116*H345/100</f>
        <v>21.6</v>
      </c>
      <c r="N345" s="17" t="n">
        <f aca="false">'Dish Database'!N116*H345/100</f>
        <v>2.34</v>
      </c>
      <c r="O345" s="17" t="n">
        <f aca="false">'Dish Database'!O116*H345/100</f>
        <v>4.5</v>
      </c>
      <c r="P345" s="13" t="n">
        <f aca="false">'Dish Database'!P116*H345/100</f>
        <v>810</v>
      </c>
    </row>
    <row r="346" customFormat="false" ht="15" hidden="false" customHeight="false" outlineLevel="0" collapsed="false">
      <c r="A346" s="6" t="str">
        <f aca="false">'Dish Database'!A116</f>
        <v>D115</v>
      </c>
      <c r="B346" s="6" t="str">
        <f aca="false">'Dish Database'!B116</f>
        <v>Bread omelette</v>
      </c>
      <c r="C346" s="6" t="str">
        <f aca="false">'Dish Database'!D116</f>
        <v>Breakfast - North &amp; West</v>
      </c>
      <c r="D346" s="6" t="str">
        <f aca="false">'Dish Database'!F116</f>
        <v>Egg</v>
      </c>
      <c r="E346" s="6" t="str">
        <f aca="false">'Dish Database'!E116</f>
        <v>Pan-India</v>
      </c>
      <c r="F346" s="6" t="s">
        <v>2246</v>
      </c>
      <c r="G346" s="6" t="s">
        <v>2297</v>
      </c>
      <c r="H346" s="16" t="n">
        <v>260</v>
      </c>
      <c r="I346" s="6" t="str">
        <f aca="false">'Dish Database'!I116</f>
        <v>g</v>
      </c>
      <c r="J346" s="13" t="n">
        <f aca="false">'Dish Database'!J116*H346/100</f>
        <v>570.44</v>
      </c>
      <c r="K346" s="17" t="n">
        <f aca="false">'Dish Database'!K116*H346/100</f>
        <v>26</v>
      </c>
      <c r="L346" s="17" t="n">
        <f aca="false">'Dish Database'!L116*H346/100</f>
        <v>48.1</v>
      </c>
      <c r="M346" s="17" t="n">
        <f aca="false">'Dish Database'!M116*H346/100</f>
        <v>31.2</v>
      </c>
      <c r="N346" s="17" t="n">
        <f aca="false">'Dish Database'!N116*H346/100</f>
        <v>3.38</v>
      </c>
      <c r="O346" s="17" t="n">
        <f aca="false">'Dish Database'!O116*H346/100</f>
        <v>6.5</v>
      </c>
      <c r="P346" s="13" t="n">
        <f aca="false">'Dish Database'!P116*H346/100</f>
        <v>1170</v>
      </c>
    </row>
    <row r="347" customFormat="false" ht="15" hidden="false" customHeight="false" outlineLevel="0" collapsed="false">
      <c r="A347" s="6" t="str">
        <f aca="false">'Dish Database'!A117</f>
        <v>D116</v>
      </c>
      <c r="B347" s="6" t="str">
        <f aca="false">'Dish Database'!B117</f>
        <v>Bread butter toast</v>
      </c>
      <c r="C347" s="6" t="str">
        <f aca="false">'Dish Database'!D117</f>
        <v>Breakfast - North &amp; West</v>
      </c>
      <c r="D347" s="6" t="str">
        <f aca="false">'Dish Database'!F117</f>
        <v>Veg</v>
      </c>
      <c r="E347" s="6" t="str">
        <f aca="false">'Dish Database'!E117</f>
        <v>Pan-India</v>
      </c>
      <c r="F347" s="6" t="s">
        <v>2243</v>
      </c>
      <c r="G347" s="6" t="s">
        <v>2298</v>
      </c>
      <c r="H347" s="16" t="n">
        <v>30</v>
      </c>
      <c r="I347" s="6" t="str">
        <f aca="false">'Dish Database'!I117</f>
        <v>g</v>
      </c>
      <c r="J347" s="13" t="n">
        <f aca="false">'Dish Database'!J117*H347/100</f>
        <v>98.13</v>
      </c>
      <c r="K347" s="17" t="n">
        <f aca="false">'Dish Database'!K117*H347/100</f>
        <v>2.1</v>
      </c>
      <c r="L347" s="17" t="n">
        <f aca="false">'Dish Database'!L117*H347/100</f>
        <v>12.3</v>
      </c>
      <c r="M347" s="17" t="n">
        <f aca="false">'Dish Database'!M117*H347/100</f>
        <v>4.65</v>
      </c>
      <c r="N347" s="17" t="n">
        <f aca="false">'Dish Database'!N117*H347/100</f>
        <v>0.66</v>
      </c>
      <c r="O347" s="17" t="n">
        <f aca="false">'Dish Database'!O117*H347/100</f>
        <v>1.26</v>
      </c>
      <c r="P347" s="13" t="n">
        <f aca="false">'Dish Database'!P117*H347/100</f>
        <v>144</v>
      </c>
    </row>
    <row r="348" customFormat="false" ht="15" hidden="false" customHeight="false" outlineLevel="0" collapsed="false">
      <c r="A348" s="6" t="str">
        <f aca="false">'Dish Database'!A117</f>
        <v>D116</v>
      </c>
      <c r="B348" s="6" t="str">
        <f aca="false">'Dish Database'!B117</f>
        <v>Bread butter toast</v>
      </c>
      <c r="C348" s="6" t="str">
        <f aca="false">'Dish Database'!D117</f>
        <v>Breakfast - North &amp; West</v>
      </c>
      <c r="D348" s="6" t="str">
        <f aca="false">'Dish Database'!F117</f>
        <v>Veg</v>
      </c>
      <c r="E348" s="6" t="str">
        <f aca="false">'Dish Database'!E117</f>
        <v>Pan-India</v>
      </c>
      <c r="F348" s="6" t="s">
        <v>103</v>
      </c>
      <c r="G348" s="6" t="s">
        <v>2299</v>
      </c>
      <c r="H348" s="16" t="n">
        <v>60</v>
      </c>
      <c r="I348" s="6" t="str">
        <f aca="false">'Dish Database'!I117</f>
        <v>g</v>
      </c>
      <c r="J348" s="13" t="n">
        <f aca="false">'Dish Database'!J117*H348/100</f>
        <v>196.26</v>
      </c>
      <c r="K348" s="17" t="n">
        <f aca="false">'Dish Database'!K117*H348/100</f>
        <v>4.2</v>
      </c>
      <c r="L348" s="17" t="n">
        <f aca="false">'Dish Database'!L117*H348/100</f>
        <v>24.6</v>
      </c>
      <c r="M348" s="17" t="n">
        <f aca="false">'Dish Database'!M117*H348/100</f>
        <v>9.3</v>
      </c>
      <c r="N348" s="17" t="n">
        <f aca="false">'Dish Database'!N117*H348/100</f>
        <v>1.32</v>
      </c>
      <c r="O348" s="17" t="n">
        <f aca="false">'Dish Database'!O117*H348/100</f>
        <v>2.52</v>
      </c>
      <c r="P348" s="13" t="n">
        <f aca="false">'Dish Database'!P117*H348/100</f>
        <v>288</v>
      </c>
    </row>
    <row r="349" customFormat="false" ht="15" hidden="false" customHeight="false" outlineLevel="0" collapsed="false">
      <c r="A349" s="6" t="str">
        <f aca="false">'Dish Database'!A117</f>
        <v>D116</v>
      </c>
      <c r="B349" s="6" t="str">
        <f aca="false">'Dish Database'!B117</f>
        <v>Bread butter toast</v>
      </c>
      <c r="C349" s="6" t="str">
        <f aca="false">'Dish Database'!D117</f>
        <v>Breakfast - North &amp; West</v>
      </c>
      <c r="D349" s="6" t="str">
        <f aca="false">'Dish Database'!F117</f>
        <v>Veg</v>
      </c>
      <c r="E349" s="6" t="str">
        <f aca="false">'Dish Database'!E117</f>
        <v>Pan-India</v>
      </c>
      <c r="F349" s="6" t="s">
        <v>2246</v>
      </c>
      <c r="G349" s="6" t="s">
        <v>2300</v>
      </c>
      <c r="H349" s="16" t="n">
        <v>90</v>
      </c>
      <c r="I349" s="6" t="str">
        <f aca="false">'Dish Database'!I117</f>
        <v>g</v>
      </c>
      <c r="J349" s="13" t="n">
        <f aca="false">'Dish Database'!J117*H349/100</f>
        <v>294.39</v>
      </c>
      <c r="K349" s="17" t="n">
        <f aca="false">'Dish Database'!K117*H349/100</f>
        <v>6.3</v>
      </c>
      <c r="L349" s="17" t="n">
        <f aca="false">'Dish Database'!L117*H349/100</f>
        <v>36.9</v>
      </c>
      <c r="M349" s="17" t="n">
        <f aca="false">'Dish Database'!M117*H349/100</f>
        <v>13.95</v>
      </c>
      <c r="N349" s="17" t="n">
        <f aca="false">'Dish Database'!N117*H349/100</f>
        <v>1.98</v>
      </c>
      <c r="O349" s="17" t="n">
        <f aca="false">'Dish Database'!O117*H349/100</f>
        <v>3.78</v>
      </c>
      <c r="P349" s="13" t="n">
        <f aca="false">'Dish Database'!P117*H349/100</f>
        <v>432</v>
      </c>
    </row>
    <row r="350" customFormat="false" ht="15" hidden="false" customHeight="false" outlineLevel="0" collapsed="false">
      <c r="A350" s="6" t="str">
        <f aca="false">'Dish Database'!A118</f>
        <v>D117</v>
      </c>
      <c r="B350" s="6" t="str">
        <f aca="false">'Dish Database'!B118</f>
        <v>Veg sandwich (Bombay style)</v>
      </c>
      <c r="C350" s="6" t="str">
        <f aca="false">'Dish Database'!D118</f>
        <v>Breakfast - North &amp; West</v>
      </c>
      <c r="D350" s="6" t="str">
        <f aca="false">'Dish Database'!F118</f>
        <v>Veg</v>
      </c>
      <c r="E350" s="6" t="str">
        <f aca="false">'Dish Database'!E118</f>
        <v>West</v>
      </c>
      <c r="F350" s="6" t="s">
        <v>2243</v>
      </c>
      <c r="G350" s="6" t="s">
        <v>2301</v>
      </c>
      <c r="H350" s="16" t="n">
        <v>100</v>
      </c>
      <c r="I350" s="6" t="str">
        <f aca="false">'Dish Database'!I118</f>
        <v>g</v>
      </c>
      <c r="J350" s="13" t="n">
        <f aca="false">'Dish Database'!J118*H350/100</f>
        <v>189.9</v>
      </c>
      <c r="K350" s="17" t="n">
        <f aca="false">'Dish Database'!K118*H350/100</f>
        <v>5</v>
      </c>
      <c r="L350" s="17" t="n">
        <f aca="false">'Dish Database'!L118*H350/100</f>
        <v>27</v>
      </c>
      <c r="M350" s="17" t="n">
        <f aca="false">'Dish Database'!M118*H350/100</f>
        <v>7.5</v>
      </c>
      <c r="N350" s="17" t="n">
        <f aca="false">'Dish Database'!N118*H350/100</f>
        <v>2.8</v>
      </c>
      <c r="O350" s="17" t="n">
        <f aca="false">'Dish Database'!O118*H350/100</f>
        <v>3.5</v>
      </c>
      <c r="P350" s="13" t="n">
        <f aca="false">'Dish Database'!P118*H350/100</f>
        <v>420</v>
      </c>
    </row>
    <row r="351" customFormat="false" ht="15" hidden="false" customHeight="false" outlineLevel="0" collapsed="false">
      <c r="A351" s="6" t="str">
        <f aca="false">'Dish Database'!A118</f>
        <v>D117</v>
      </c>
      <c r="B351" s="6" t="str">
        <f aca="false">'Dish Database'!B118</f>
        <v>Veg sandwich (Bombay style)</v>
      </c>
      <c r="C351" s="6" t="str">
        <f aca="false">'Dish Database'!D118</f>
        <v>Breakfast - North &amp; West</v>
      </c>
      <c r="D351" s="6" t="str">
        <f aca="false">'Dish Database'!F118</f>
        <v>Veg</v>
      </c>
      <c r="E351" s="6" t="str">
        <f aca="false">'Dish Database'!E118</f>
        <v>West</v>
      </c>
      <c r="F351" s="6" t="s">
        <v>103</v>
      </c>
      <c r="G351" s="6" t="s">
        <v>2302</v>
      </c>
      <c r="H351" s="16" t="n">
        <v>140</v>
      </c>
      <c r="I351" s="6" t="str">
        <f aca="false">'Dish Database'!I118</f>
        <v>g</v>
      </c>
      <c r="J351" s="13" t="n">
        <f aca="false">'Dish Database'!J118*H351/100</f>
        <v>265.86</v>
      </c>
      <c r="K351" s="17" t="n">
        <f aca="false">'Dish Database'!K118*H351/100</f>
        <v>7</v>
      </c>
      <c r="L351" s="17" t="n">
        <f aca="false">'Dish Database'!L118*H351/100</f>
        <v>37.8</v>
      </c>
      <c r="M351" s="17" t="n">
        <f aca="false">'Dish Database'!M118*H351/100</f>
        <v>10.5</v>
      </c>
      <c r="N351" s="17" t="n">
        <f aca="false">'Dish Database'!N118*H351/100</f>
        <v>3.92</v>
      </c>
      <c r="O351" s="17" t="n">
        <f aca="false">'Dish Database'!O118*H351/100</f>
        <v>4.9</v>
      </c>
      <c r="P351" s="13" t="n">
        <f aca="false">'Dish Database'!P118*H351/100</f>
        <v>588</v>
      </c>
    </row>
    <row r="352" customFormat="false" ht="15" hidden="false" customHeight="false" outlineLevel="0" collapsed="false">
      <c r="A352" s="6" t="str">
        <f aca="false">'Dish Database'!A118</f>
        <v>D117</v>
      </c>
      <c r="B352" s="6" t="str">
        <f aca="false">'Dish Database'!B118</f>
        <v>Veg sandwich (Bombay style)</v>
      </c>
      <c r="C352" s="6" t="str">
        <f aca="false">'Dish Database'!D118</f>
        <v>Breakfast - North &amp; West</v>
      </c>
      <c r="D352" s="6" t="str">
        <f aca="false">'Dish Database'!F118</f>
        <v>Veg</v>
      </c>
      <c r="E352" s="6" t="str">
        <f aca="false">'Dish Database'!E118</f>
        <v>West</v>
      </c>
      <c r="F352" s="6" t="s">
        <v>2246</v>
      </c>
      <c r="G352" s="6" t="s">
        <v>2303</v>
      </c>
      <c r="H352" s="16" t="n">
        <v>200</v>
      </c>
      <c r="I352" s="6" t="str">
        <f aca="false">'Dish Database'!I118</f>
        <v>g</v>
      </c>
      <c r="J352" s="13" t="n">
        <f aca="false">'Dish Database'!J118*H352/100</f>
        <v>379.8</v>
      </c>
      <c r="K352" s="17" t="n">
        <f aca="false">'Dish Database'!K118*H352/100</f>
        <v>10</v>
      </c>
      <c r="L352" s="17" t="n">
        <f aca="false">'Dish Database'!L118*H352/100</f>
        <v>54</v>
      </c>
      <c r="M352" s="17" t="n">
        <f aca="false">'Dish Database'!M118*H352/100</f>
        <v>15</v>
      </c>
      <c r="N352" s="17" t="n">
        <f aca="false">'Dish Database'!N118*H352/100</f>
        <v>5.6</v>
      </c>
      <c r="O352" s="17" t="n">
        <f aca="false">'Dish Database'!O118*H352/100</f>
        <v>7</v>
      </c>
      <c r="P352" s="13" t="n">
        <f aca="false">'Dish Database'!P118*H352/100</f>
        <v>840</v>
      </c>
    </row>
    <row r="353" customFormat="false" ht="15" hidden="false" customHeight="false" outlineLevel="0" collapsed="false">
      <c r="A353" s="6" t="str">
        <f aca="false">'Dish Database'!A119</f>
        <v>D118</v>
      </c>
      <c r="B353" s="6" t="str">
        <f aca="false">'Dish Database'!B119</f>
        <v>Veg grilled cheese sandwich</v>
      </c>
      <c r="C353" s="6" t="str">
        <f aca="false">'Dish Database'!D119</f>
        <v>Breakfast - North &amp; West</v>
      </c>
      <c r="D353" s="6" t="str">
        <f aca="false">'Dish Database'!F119</f>
        <v>Veg</v>
      </c>
      <c r="E353" s="6" t="str">
        <f aca="false">'Dish Database'!E119</f>
        <v>West</v>
      </c>
      <c r="F353" s="6" t="s">
        <v>2243</v>
      </c>
      <c r="G353" s="6" t="s">
        <v>2304</v>
      </c>
      <c r="H353" s="16" t="n">
        <v>110</v>
      </c>
      <c r="I353" s="6" t="str">
        <f aca="false">'Dish Database'!I119</f>
        <v>g</v>
      </c>
      <c r="J353" s="13" t="n">
        <f aca="false">'Dish Database'!J119*H353/100</f>
        <v>253</v>
      </c>
      <c r="K353" s="17" t="n">
        <f aca="false">'Dish Database'!K119*H353/100</f>
        <v>8.8</v>
      </c>
      <c r="L353" s="17" t="n">
        <f aca="false">'Dish Database'!L119*H353/100</f>
        <v>28.6</v>
      </c>
      <c r="M353" s="17" t="n">
        <f aca="false">'Dish Database'!M119*H353/100</f>
        <v>12.1</v>
      </c>
      <c r="N353" s="17" t="n">
        <f aca="false">'Dish Database'!N119*H353/100</f>
        <v>2.75</v>
      </c>
      <c r="O353" s="17" t="n">
        <f aca="false">'Dish Database'!O119*H353/100</f>
        <v>3.85</v>
      </c>
      <c r="P353" s="13" t="n">
        <f aca="false">'Dish Database'!P119*H353/100</f>
        <v>605</v>
      </c>
    </row>
    <row r="354" customFormat="false" ht="15" hidden="false" customHeight="false" outlineLevel="0" collapsed="false">
      <c r="A354" s="6" t="str">
        <f aca="false">'Dish Database'!A119</f>
        <v>D118</v>
      </c>
      <c r="B354" s="6" t="str">
        <f aca="false">'Dish Database'!B119</f>
        <v>Veg grilled cheese sandwich</v>
      </c>
      <c r="C354" s="6" t="str">
        <f aca="false">'Dish Database'!D119</f>
        <v>Breakfast - North &amp; West</v>
      </c>
      <c r="D354" s="6" t="str">
        <f aca="false">'Dish Database'!F119</f>
        <v>Veg</v>
      </c>
      <c r="E354" s="6" t="str">
        <f aca="false">'Dish Database'!E119</f>
        <v>West</v>
      </c>
      <c r="F354" s="6" t="s">
        <v>103</v>
      </c>
      <c r="G354" s="6" t="s">
        <v>2305</v>
      </c>
      <c r="H354" s="16" t="n">
        <v>160</v>
      </c>
      <c r="I354" s="6" t="str">
        <f aca="false">'Dish Database'!I119</f>
        <v>g</v>
      </c>
      <c r="J354" s="13" t="n">
        <f aca="false">'Dish Database'!J119*H354/100</f>
        <v>368</v>
      </c>
      <c r="K354" s="17" t="n">
        <f aca="false">'Dish Database'!K119*H354/100</f>
        <v>12.8</v>
      </c>
      <c r="L354" s="17" t="n">
        <f aca="false">'Dish Database'!L119*H354/100</f>
        <v>41.6</v>
      </c>
      <c r="M354" s="17" t="n">
        <f aca="false">'Dish Database'!M119*H354/100</f>
        <v>17.6</v>
      </c>
      <c r="N354" s="17" t="n">
        <f aca="false">'Dish Database'!N119*H354/100</f>
        <v>4</v>
      </c>
      <c r="O354" s="17" t="n">
        <f aca="false">'Dish Database'!O119*H354/100</f>
        <v>5.6</v>
      </c>
      <c r="P354" s="13" t="n">
        <f aca="false">'Dish Database'!P119*H354/100</f>
        <v>880</v>
      </c>
    </row>
    <row r="355" customFormat="false" ht="15" hidden="false" customHeight="false" outlineLevel="0" collapsed="false">
      <c r="A355" s="6" t="str">
        <f aca="false">'Dish Database'!A119</f>
        <v>D118</v>
      </c>
      <c r="B355" s="6" t="str">
        <f aca="false">'Dish Database'!B119</f>
        <v>Veg grilled cheese sandwich</v>
      </c>
      <c r="C355" s="6" t="str">
        <f aca="false">'Dish Database'!D119</f>
        <v>Breakfast - North &amp; West</v>
      </c>
      <c r="D355" s="6" t="str">
        <f aca="false">'Dish Database'!F119</f>
        <v>Veg</v>
      </c>
      <c r="E355" s="6" t="str">
        <f aca="false">'Dish Database'!E119</f>
        <v>West</v>
      </c>
      <c r="F355" s="6" t="s">
        <v>2246</v>
      </c>
      <c r="G355" s="6" t="s">
        <v>2306</v>
      </c>
      <c r="H355" s="16" t="n">
        <v>220</v>
      </c>
      <c r="I355" s="6" t="str">
        <f aca="false">'Dish Database'!I119</f>
        <v>g</v>
      </c>
      <c r="J355" s="13" t="n">
        <f aca="false">'Dish Database'!J119*H355/100</f>
        <v>506</v>
      </c>
      <c r="K355" s="17" t="n">
        <f aca="false">'Dish Database'!K119*H355/100</f>
        <v>17.6</v>
      </c>
      <c r="L355" s="17" t="n">
        <f aca="false">'Dish Database'!L119*H355/100</f>
        <v>57.2</v>
      </c>
      <c r="M355" s="17" t="n">
        <f aca="false">'Dish Database'!M119*H355/100</f>
        <v>24.2</v>
      </c>
      <c r="N355" s="17" t="n">
        <f aca="false">'Dish Database'!N119*H355/100</f>
        <v>5.5</v>
      </c>
      <c r="O355" s="17" t="n">
        <f aca="false">'Dish Database'!O119*H355/100</f>
        <v>7.7</v>
      </c>
      <c r="P355" s="13" t="n">
        <f aca="false">'Dish Database'!P119*H355/100</f>
        <v>1210</v>
      </c>
    </row>
    <row r="356" customFormat="false" ht="15" hidden="false" customHeight="false" outlineLevel="0" collapsed="false">
      <c r="A356" s="6" t="str">
        <f aca="false">'Dish Database'!A120</f>
        <v>D119</v>
      </c>
      <c r="B356" s="6" t="str">
        <f aca="false">'Dish Database'!B120</f>
        <v>Cheese sandwich (grilled)</v>
      </c>
      <c r="C356" s="6" t="str">
        <f aca="false">'Dish Database'!D120</f>
        <v>Breakfast - North &amp; West</v>
      </c>
      <c r="D356" s="6" t="str">
        <f aca="false">'Dish Database'!F120</f>
        <v>Veg</v>
      </c>
      <c r="E356" s="6" t="str">
        <f aca="false">'Dish Database'!E120</f>
        <v>Pan-India</v>
      </c>
      <c r="F356" s="6" t="s">
        <v>2243</v>
      </c>
      <c r="G356" s="6" t="s">
        <v>2307</v>
      </c>
      <c r="H356" s="16" t="n">
        <v>90</v>
      </c>
      <c r="I356" s="6" t="str">
        <f aca="false">'Dish Database'!I120</f>
        <v>g</v>
      </c>
      <c r="J356" s="13" t="n">
        <f aca="false">'Dish Database'!J120*H356/100</f>
        <v>233.1</v>
      </c>
      <c r="K356" s="17" t="n">
        <f aca="false">'Dish Database'!K120*H356/100</f>
        <v>8.55</v>
      </c>
      <c r="L356" s="17" t="n">
        <f aca="false">'Dish Database'!L120*H356/100</f>
        <v>24.3</v>
      </c>
      <c r="M356" s="17" t="n">
        <f aca="false">'Dish Database'!M120*H356/100</f>
        <v>11.7</v>
      </c>
      <c r="N356" s="17" t="n">
        <f aca="false">'Dish Database'!N120*H356/100</f>
        <v>1.8</v>
      </c>
      <c r="O356" s="17" t="n">
        <f aca="false">'Dish Database'!O120*H356/100</f>
        <v>3.15</v>
      </c>
      <c r="P356" s="13" t="n">
        <f aca="false">'Dish Database'!P120*H356/100</f>
        <v>540</v>
      </c>
    </row>
    <row r="357" customFormat="false" ht="15" hidden="false" customHeight="false" outlineLevel="0" collapsed="false">
      <c r="A357" s="6" t="str">
        <f aca="false">'Dish Database'!A120</f>
        <v>D119</v>
      </c>
      <c r="B357" s="6" t="str">
        <f aca="false">'Dish Database'!B120</f>
        <v>Cheese sandwich (grilled)</v>
      </c>
      <c r="C357" s="6" t="str">
        <f aca="false">'Dish Database'!D120</f>
        <v>Breakfast - North &amp; West</v>
      </c>
      <c r="D357" s="6" t="str">
        <f aca="false">'Dish Database'!F120</f>
        <v>Veg</v>
      </c>
      <c r="E357" s="6" t="str">
        <f aca="false">'Dish Database'!E120</f>
        <v>Pan-India</v>
      </c>
      <c r="F357" s="6" t="s">
        <v>103</v>
      </c>
      <c r="G357" s="6" t="s">
        <v>2308</v>
      </c>
      <c r="H357" s="16" t="n">
        <v>130</v>
      </c>
      <c r="I357" s="6" t="str">
        <f aca="false">'Dish Database'!I120</f>
        <v>g</v>
      </c>
      <c r="J357" s="13" t="n">
        <f aca="false">'Dish Database'!J120*H357/100</f>
        <v>336.7</v>
      </c>
      <c r="K357" s="17" t="n">
        <f aca="false">'Dish Database'!K120*H357/100</f>
        <v>12.35</v>
      </c>
      <c r="L357" s="17" t="n">
        <f aca="false">'Dish Database'!L120*H357/100</f>
        <v>35.1</v>
      </c>
      <c r="M357" s="17" t="n">
        <f aca="false">'Dish Database'!M120*H357/100</f>
        <v>16.9</v>
      </c>
      <c r="N357" s="17" t="n">
        <f aca="false">'Dish Database'!N120*H357/100</f>
        <v>2.6</v>
      </c>
      <c r="O357" s="17" t="n">
        <f aca="false">'Dish Database'!O120*H357/100</f>
        <v>4.55</v>
      </c>
      <c r="P357" s="13" t="n">
        <f aca="false">'Dish Database'!P120*H357/100</f>
        <v>780</v>
      </c>
    </row>
    <row r="358" customFormat="false" ht="15" hidden="false" customHeight="false" outlineLevel="0" collapsed="false">
      <c r="A358" s="6" t="str">
        <f aca="false">'Dish Database'!A120</f>
        <v>D119</v>
      </c>
      <c r="B358" s="6" t="str">
        <f aca="false">'Dish Database'!B120</f>
        <v>Cheese sandwich (grilled)</v>
      </c>
      <c r="C358" s="6" t="str">
        <f aca="false">'Dish Database'!D120</f>
        <v>Breakfast - North &amp; West</v>
      </c>
      <c r="D358" s="6" t="str">
        <f aca="false">'Dish Database'!F120</f>
        <v>Veg</v>
      </c>
      <c r="E358" s="6" t="str">
        <f aca="false">'Dish Database'!E120</f>
        <v>Pan-India</v>
      </c>
      <c r="F358" s="6" t="s">
        <v>2246</v>
      </c>
      <c r="G358" s="6" t="s">
        <v>2309</v>
      </c>
      <c r="H358" s="16" t="n">
        <v>180</v>
      </c>
      <c r="I358" s="6" t="str">
        <f aca="false">'Dish Database'!I120</f>
        <v>g</v>
      </c>
      <c r="J358" s="13" t="n">
        <f aca="false">'Dish Database'!J120*H358/100</f>
        <v>466.2</v>
      </c>
      <c r="K358" s="17" t="n">
        <f aca="false">'Dish Database'!K120*H358/100</f>
        <v>17.1</v>
      </c>
      <c r="L358" s="17" t="n">
        <f aca="false">'Dish Database'!L120*H358/100</f>
        <v>48.6</v>
      </c>
      <c r="M358" s="17" t="n">
        <f aca="false">'Dish Database'!M120*H358/100</f>
        <v>23.4</v>
      </c>
      <c r="N358" s="17" t="n">
        <f aca="false">'Dish Database'!N120*H358/100</f>
        <v>3.6</v>
      </c>
      <c r="O358" s="17" t="n">
        <f aca="false">'Dish Database'!O120*H358/100</f>
        <v>6.3</v>
      </c>
      <c r="P358" s="13" t="n">
        <f aca="false">'Dish Database'!P120*H358/100</f>
        <v>1080</v>
      </c>
    </row>
    <row r="359" customFormat="false" ht="15" hidden="false" customHeight="false" outlineLevel="0" collapsed="false">
      <c r="A359" s="6" t="str">
        <f aca="false">'Dish Database'!A121</f>
        <v>D120</v>
      </c>
      <c r="B359" s="6" t="str">
        <f aca="false">'Dish Database'!B121</f>
        <v>Egg sandwich</v>
      </c>
      <c r="C359" s="6" t="str">
        <f aca="false">'Dish Database'!D121</f>
        <v>Breakfast - North &amp; West</v>
      </c>
      <c r="D359" s="6" t="str">
        <f aca="false">'Dish Database'!F121</f>
        <v>Egg</v>
      </c>
      <c r="E359" s="6" t="str">
        <f aca="false">'Dish Database'!E121</f>
        <v>Pan-India</v>
      </c>
      <c r="F359" s="6" t="s">
        <v>2243</v>
      </c>
      <c r="G359" s="6" t="s">
        <v>2301</v>
      </c>
      <c r="H359" s="16" t="n">
        <v>100</v>
      </c>
      <c r="I359" s="6" t="str">
        <f aca="false">'Dish Database'!I121</f>
        <v>g</v>
      </c>
      <c r="J359" s="13" t="n">
        <f aca="false">'Dish Database'!J121*H359/100</f>
        <v>216.4</v>
      </c>
      <c r="K359" s="17" t="n">
        <f aca="false">'Dish Database'!K121*H359/100</f>
        <v>8.5</v>
      </c>
      <c r="L359" s="17" t="n">
        <f aca="false">'Dish Database'!L121*H359/100</f>
        <v>24</v>
      </c>
      <c r="M359" s="17" t="n">
        <f aca="false">'Dish Database'!M121*H359/100</f>
        <v>10</v>
      </c>
      <c r="N359" s="17" t="n">
        <f aca="false">'Dish Database'!N121*H359/100</f>
        <v>1.8</v>
      </c>
      <c r="O359" s="17" t="n">
        <f aca="false">'Dish Database'!O121*H359/100</f>
        <v>3</v>
      </c>
      <c r="P359" s="13" t="n">
        <f aca="false">'Dish Database'!P121*H359/100</f>
        <v>450</v>
      </c>
    </row>
    <row r="360" customFormat="false" ht="15" hidden="false" customHeight="false" outlineLevel="0" collapsed="false">
      <c r="A360" s="6" t="str">
        <f aca="false">'Dish Database'!A121</f>
        <v>D120</v>
      </c>
      <c r="B360" s="6" t="str">
        <f aca="false">'Dish Database'!B121</f>
        <v>Egg sandwich</v>
      </c>
      <c r="C360" s="6" t="str">
        <f aca="false">'Dish Database'!D121</f>
        <v>Breakfast - North &amp; West</v>
      </c>
      <c r="D360" s="6" t="str">
        <f aca="false">'Dish Database'!F121</f>
        <v>Egg</v>
      </c>
      <c r="E360" s="6" t="str">
        <f aca="false">'Dish Database'!E121</f>
        <v>Pan-India</v>
      </c>
      <c r="F360" s="6" t="s">
        <v>103</v>
      </c>
      <c r="G360" s="6" t="s">
        <v>2302</v>
      </c>
      <c r="H360" s="16" t="n">
        <v>140</v>
      </c>
      <c r="I360" s="6" t="str">
        <f aca="false">'Dish Database'!I121</f>
        <v>g</v>
      </c>
      <c r="J360" s="13" t="n">
        <f aca="false">'Dish Database'!J121*H360/100</f>
        <v>302.96</v>
      </c>
      <c r="K360" s="17" t="n">
        <f aca="false">'Dish Database'!K121*H360/100</f>
        <v>11.9</v>
      </c>
      <c r="L360" s="17" t="n">
        <f aca="false">'Dish Database'!L121*H360/100</f>
        <v>33.6</v>
      </c>
      <c r="M360" s="17" t="n">
        <f aca="false">'Dish Database'!M121*H360/100</f>
        <v>14</v>
      </c>
      <c r="N360" s="17" t="n">
        <f aca="false">'Dish Database'!N121*H360/100</f>
        <v>2.52</v>
      </c>
      <c r="O360" s="17" t="n">
        <f aca="false">'Dish Database'!O121*H360/100</f>
        <v>4.2</v>
      </c>
      <c r="P360" s="13" t="n">
        <f aca="false">'Dish Database'!P121*H360/100</f>
        <v>630</v>
      </c>
    </row>
    <row r="361" customFormat="false" ht="15" hidden="false" customHeight="false" outlineLevel="0" collapsed="false">
      <c r="A361" s="6" t="str">
        <f aca="false">'Dish Database'!A121</f>
        <v>D120</v>
      </c>
      <c r="B361" s="6" t="str">
        <f aca="false">'Dish Database'!B121</f>
        <v>Egg sandwich</v>
      </c>
      <c r="C361" s="6" t="str">
        <f aca="false">'Dish Database'!D121</f>
        <v>Breakfast - North &amp; West</v>
      </c>
      <c r="D361" s="6" t="str">
        <f aca="false">'Dish Database'!F121</f>
        <v>Egg</v>
      </c>
      <c r="E361" s="6" t="str">
        <f aca="false">'Dish Database'!E121</f>
        <v>Pan-India</v>
      </c>
      <c r="F361" s="6" t="s">
        <v>2246</v>
      </c>
      <c r="G361" s="6" t="s">
        <v>2303</v>
      </c>
      <c r="H361" s="16" t="n">
        <v>200</v>
      </c>
      <c r="I361" s="6" t="str">
        <f aca="false">'Dish Database'!I121</f>
        <v>g</v>
      </c>
      <c r="J361" s="13" t="n">
        <f aca="false">'Dish Database'!J121*H361/100</f>
        <v>432.8</v>
      </c>
      <c r="K361" s="17" t="n">
        <f aca="false">'Dish Database'!K121*H361/100</f>
        <v>17</v>
      </c>
      <c r="L361" s="17" t="n">
        <f aca="false">'Dish Database'!L121*H361/100</f>
        <v>48</v>
      </c>
      <c r="M361" s="17" t="n">
        <f aca="false">'Dish Database'!M121*H361/100</f>
        <v>20</v>
      </c>
      <c r="N361" s="17" t="n">
        <f aca="false">'Dish Database'!N121*H361/100</f>
        <v>3.6</v>
      </c>
      <c r="O361" s="17" t="n">
        <f aca="false">'Dish Database'!O121*H361/100</f>
        <v>6</v>
      </c>
      <c r="P361" s="13" t="n">
        <f aca="false">'Dish Database'!P121*H361/100</f>
        <v>900</v>
      </c>
    </row>
    <row r="362" customFormat="false" ht="15" hidden="false" customHeight="false" outlineLevel="0" collapsed="false">
      <c r="A362" s="6" t="str">
        <f aca="false">'Dish Database'!A122</f>
        <v>D121</v>
      </c>
      <c r="B362" s="6" t="str">
        <f aca="false">'Dish Database'!B122</f>
        <v>Chicken sandwich</v>
      </c>
      <c r="C362" s="6" t="str">
        <f aca="false">'Dish Database'!D122</f>
        <v>Breakfast - North &amp; West</v>
      </c>
      <c r="D362" s="6" t="str">
        <f aca="false">'Dish Database'!F122</f>
        <v>Non-Veg</v>
      </c>
      <c r="E362" s="6" t="str">
        <f aca="false">'Dish Database'!E122</f>
        <v>Pan-India</v>
      </c>
      <c r="F362" s="6" t="s">
        <v>2243</v>
      </c>
      <c r="G362" s="6" t="s">
        <v>2301</v>
      </c>
      <c r="H362" s="16" t="n">
        <v>100</v>
      </c>
      <c r="I362" s="6" t="str">
        <f aca="false">'Dish Database'!I122</f>
        <v>g</v>
      </c>
      <c r="J362" s="13" t="n">
        <f aca="false">'Dish Database'!J122*H362/100</f>
        <v>217.8</v>
      </c>
      <c r="K362" s="17" t="n">
        <f aca="false">'Dish Database'!K122*H362/100</f>
        <v>12</v>
      </c>
      <c r="L362" s="17" t="n">
        <f aca="false">'Dish Database'!L122*H362/100</f>
        <v>23</v>
      </c>
      <c r="M362" s="17" t="n">
        <f aca="false">'Dish Database'!M122*H362/100</f>
        <v>9</v>
      </c>
      <c r="N362" s="17" t="n">
        <f aca="false">'Dish Database'!N122*H362/100</f>
        <v>1.6</v>
      </c>
      <c r="O362" s="17" t="n">
        <f aca="false">'Dish Database'!O122*H362/100</f>
        <v>3</v>
      </c>
      <c r="P362" s="13" t="n">
        <f aca="false">'Dish Database'!P122*H362/100</f>
        <v>480</v>
      </c>
    </row>
    <row r="363" customFormat="false" ht="15" hidden="false" customHeight="false" outlineLevel="0" collapsed="false">
      <c r="A363" s="6" t="str">
        <f aca="false">'Dish Database'!A122</f>
        <v>D121</v>
      </c>
      <c r="B363" s="6" t="str">
        <f aca="false">'Dish Database'!B122</f>
        <v>Chicken sandwich</v>
      </c>
      <c r="C363" s="6" t="str">
        <f aca="false">'Dish Database'!D122</f>
        <v>Breakfast - North &amp; West</v>
      </c>
      <c r="D363" s="6" t="str">
        <f aca="false">'Dish Database'!F122</f>
        <v>Non-Veg</v>
      </c>
      <c r="E363" s="6" t="str">
        <f aca="false">'Dish Database'!E122</f>
        <v>Pan-India</v>
      </c>
      <c r="F363" s="6" t="s">
        <v>103</v>
      </c>
      <c r="G363" s="6" t="s">
        <v>2310</v>
      </c>
      <c r="H363" s="16" t="n">
        <v>150</v>
      </c>
      <c r="I363" s="6" t="str">
        <f aca="false">'Dish Database'!I122</f>
        <v>g</v>
      </c>
      <c r="J363" s="13" t="n">
        <f aca="false">'Dish Database'!J122*H363/100</f>
        <v>326.7</v>
      </c>
      <c r="K363" s="17" t="n">
        <f aca="false">'Dish Database'!K122*H363/100</f>
        <v>18</v>
      </c>
      <c r="L363" s="17" t="n">
        <f aca="false">'Dish Database'!L122*H363/100</f>
        <v>34.5</v>
      </c>
      <c r="M363" s="17" t="n">
        <f aca="false">'Dish Database'!M122*H363/100</f>
        <v>13.5</v>
      </c>
      <c r="N363" s="17" t="n">
        <f aca="false">'Dish Database'!N122*H363/100</f>
        <v>2.4</v>
      </c>
      <c r="O363" s="17" t="n">
        <f aca="false">'Dish Database'!O122*H363/100</f>
        <v>4.5</v>
      </c>
      <c r="P363" s="13" t="n">
        <f aca="false">'Dish Database'!P122*H363/100</f>
        <v>720</v>
      </c>
    </row>
    <row r="364" customFormat="false" ht="15" hidden="false" customHeight="false" outlineLevel="0" collapsed="false">
      <c r="A364" s="6" t="str">
        <f aca="false">'Dish Database'!A122</f>
        <v>D121</v>
      </c>
      <c r="B364" s="6" t="str">
        <f aca="false">'Dish Database'!B122</f>
        <v>Chicken sandwich</v>
      </c>
      <c r="C364" s="6" t="str">
        <f aca="false">'Dish Database'!D122</f>
        <v>Breakfast - North &amp; West</v>
      </c>
      <c r="D364" s="6" t="str">
        <f aca="false">'Dish Database'!F122</f>
        <v>Non-Veg</v>
      </c>
      <c r="E364" s="6" t="str">
        <f aca="false">'Dish Database'!E122</f>
        <v>Pan-India</v>
      </c>
      <c r="F364" s="6" t="s">
        <v>2246</v>
      </c>
      <c r="G364" s="6" t="s">
        <v>2303</v>
      </c>
      <c r="H364" s="16" t="n">
        <v>200</v>
      </c>
      <c r="I364" s="6" t="str">
        <f aca="false">'Dish Database'!I122</f>
        <v>g</v>
      </c>
      <c r="J364" s="13" t="n">
        <f aca="false">'Dish Database'!J122*H364/100</f>
        <v>435.6</v>
      </c>
      <c r="K364" s="17" t="n">
        <f aca="false">'Dish Database'!K122*H364/100</f>
        <v>24</v>
      </c>
      <c r="L364" s="17" t="n">
        <f aca="false">'Dish Database'!L122*H364/100</f>
        <v>46</v>
      </c>
      <c r="M364" s="17" t="n">
        <f aca="false">'Dish Database'!M122*H364/100</f>
        <v>18</v>
      </c>
      <c r="N364" s="17" t="n">
        <f aca="false">'Dish Database'!N122*H364/100</f>
        <v>3.2</v>
      </c>
      <c r="O364" s="17" t="n">
        <f aca="false">'Dish Database'!O122*H364/100</f>
        <v>6</v>
      </c>
      <c r="P364" s="13" t="n">
        <f aca="false">'Dish Database'!P122*H364/100</f>
        <v>960</v>
      </c>
    </row>
    <row r="365" customFormat="false" ht="15" hidden="false" customHeight="false" outlineLevel="0" collapsed="false">
      <c r="A365" s="6" t="str">
        <f aca="false">'Dish Database'!A123</f>
        <v>D122</v>
      </c>
      <c r="B365" s="6" t="str">
        <f aca="false">'Dish Database'!B123</f>
        <v>Poori (wheat, deep fried)</v>
      </c>
      <c r="C365" s="6" t="str">
        <f aca="false">'Dish Database'!D123</f>
        <v>Breakfast - North &amp; West</v>
      </c>
      <c r="D365" s="6" t="str">
        <f aca="false">'Dish Database'!F123</f>
        <v>Veg</v>
      </c>
      <c r="E365" s="6" t="str">
        <f aca="false">'Dish Database'!E123</f>
        <v>North</v>
      </c>
      <c r="F365" s="6" t="s">
        <v>2243</v>
      </c>
      <c r="G365" s="6" t="s">
        <v>2311</v>
      </c>
      <c r="H365" s="16" t="n">
        <v>20</v>
      </c>
      <c r="I365" s="6" t="str">
        <f aca="false">'Dish Database'!I123</f>
        <v>g</v>
      </c>
      <c r="J365" s="13" t="n">
        <f aca="false">'Dish Database'!J123*H365/100</f>
        <v>64.6</v>
      </c>
      <c r="K365" s="17" t="n">
        <f aca="false">'Dish Database'!K123*H365/100</f>
        <v>1.5</v>
      </c>
      <c r="L365" s="17" t="n">
        <f aca="false">'Dish Database'!L123*H365/100</f>
        <v>8.4</v>
      </c>
      <c r="M365" s="17" t="n">
        <f aca="false">'Dish Database'!M123*H365/100</f>
        <v>3</v>
      </c>
      <c r="N365" s="17" t="n">
        <f aca="false">'Dish Database'!N123*H365/100</f>
        <v>1</v>
      </c>
      <c r="O365" s="17" t="n">
        <f aca="false">'Dish Database'!O123*H365/100</f>
        <v>0.2</v>
      </c>
      <c r="P365" s="13" t="n">
        <f aca="false">'Dish Database'!P123*H365/100</f>
        <v>56</v>
      </c>
    </row>
    <row r="366" customFormat="false" ht="15" hidden="false" customHeight="false" outlineLevel="0" collapsed="false">
      <c r="A366" s="6" t="str">
        <f aca="false">'Dish Database'!A123</f>
        <v>D122</v>
      </c>
      <c r="B366" s="6" t="str">
        <f aca="false">'Dish Database'!B123</f>
        <v>Poori (wheat, deep fried)</v>
      </c>
      <c r="C366" s="6" t="str">
        <f aca="false">'Dish Database'!D123</f>
        <v>Breakfast - North &amp; West</v>
      </c>
      <c r="D366" s="6" t="str">
        <f aca="false">'Dish Database'!F123</f>
        <v>Veg</v>
      </c>
      <c r="E366" s="6" t="str">
        <f aca="false">'Dish Database'!E123</f>
        <v>North</v>
      </c>
      <c r="F366" s="6" t="s">
        <v>103</v>
      </c>
      <c r="G366" s="6" t="s">
        <v>2312</v>
      </c>
      <c r="H366" s="16" t="n">
        <v>30</v>
      </c>
      <c r="I366" s="6" t="str">
        <f aca="false">'Dish Database'!I123</f>
        <v>g</v>
      </c>
      <c r="J366" s="13" t="n">
        <f aca="false">'Dish Database'!J123*H366/100</f>
        <v>96.9</v>
      </c>
      <c r="K366" s="17" t="n">
        <f aca="false">'Dish Database'!K123*H366/100</f>
        <v>2.25</v>
      </c>
      <c r="L366" s="17" t="n">
        <f aca="false">'Dish Database'!L123*H366/100</f>
        <v>12.6</v>
      </c>
      <c r="M366" s="17" t="n">
        <f aca="false">'Dish Database'!M123*H366/100</f>
        <v>4.5</v>
      </c>
      <c r="N366" s="17" t="n">
        <f aca="false">'Dish Database'!N123*H366/100</f>
        <v>1.5</v>
      </c>
      <c r="O366" s="17" t="n">
        <f aca="false">'Dish Database'!O123*H366/100</f>
        <v>0.3</v>
      </c>
      <c r="P366" s="13" t="n">
        <f aca="false">'Dish Database'!P123*H366/100</f>
        <v>84</v>
      </c>
    </row>
    <row r="367" customFormat="false" ht="15" hidden="false" customHeight="false" outlineLevel="0" collapsed="false">
      <c r="A367" s="6" t="str">
        <f aca="false">'Dish Database'!A123</f>
        <v>D122</v>
      </c>
      <c r="B367" s="6" t="str">
        <f aca="false">'Dish Database'!B123</f>
        <v>Poori (wheat, deep fried)</v>
      </c>
      <c r="C367" s="6" t="str">
        <f aca="false">'Dish Database'!D123</f>
        <v>Breakfast - North &amp; West</v>
      </c>
      <c r="D367" s="6" t="str">
        <f aca="false">'Dish Database'!F123</f>
        <v>Veg</v>
      </c>
      <c r="E367" s="6" t="str">
        <f aca="false">'Dish Database'!E123</f>
        <v>North</v>
      </c>
      <c r="F367" s="6" t="s">
        <v>2246</v>
      </c>
      <c r="G367" s="6" t="s">
        <v>2313</v>
      </c>
      <c r="H367" s="16" t="n">
        <v>40</v>
      </c>
      <c r="I367" s="6" t="str">
        <f aca="false">'Dish Database'!I123</f>
        <v>g</v>
      </c>
      <c r="J367" s="13" t="n">
        <f aca="false">'Dish Database'!J123*H367/100</f>
        <v>129.2</v>
      </c>
      <c r="K367" s="17" t="n">
        <f aca="false">'Dish Database'!K123*H367/100</f>
        <v>3</v>
      </c>
      <c r="L367" s="17" t="n">
        <f aca="false">'Dish Database'!L123*H367/100</f>
        <v>16.8</v>
      </c>
      <c r="M367" s="17" t="n">
        <f aca="false">'Dish Database'!M123*H367/100</f>
        <v>6</v>
      </c>
      <c r="N367" s="17" t="n">
        <f aca="false">'Dish Database'!N123*H367/100</f>
        <v>2</v>
      </c>
      <c r="O367" s="17" t="n">
        <f aca="false">'Dish Database'!O123*H367/100</f>
        <v>0.4</v>
      </c>
      <c r="P367" s="13" t="n">
        <f aca="false">'Dish Database'!P123*H367/100</f>
        <v>112</v>
      </c>
    </row>
    <row r="368" customFormat="false" ht="15" hidden="false" customHeight="false" outlineLevel="0" collapsed="false">
      <c r="A368" s="6" t="str">
        <f aca="false">'Dish Database'!A124</f>
        <v>D123</v>
      </c>
      <c r="B368" s="6" t="str">
        <f aca="false">'Dish Database'!B124</f>
        <v>Bedmi poori</v>
      </c>
      <c r="C368" s="6" t="str">
        <f aca="false">'Dish Database'!D124</f>
        <v>Breakfast - North &amp; West</v>
      </c>
      <c r="D368" s="6" t="str">
        <f aca="false">'Dish Database'!F124</f>
        <v>Veg</v>
      </c>
      <c r="E368" s="6" t="str">
        <f aca="false">'Dish Database'!E124</f>
        <v>North</v>
      </c>
      <c r="F368" s="6" t="s">
        <v>2243</v>
      </c>
      <c r="G368" s="6" t="s">
        <v>2314</v>
      </c>
      <c r="H368" s="16" t="n">
        <v>30</v>
      </c>
      <c r="I368" s="6" t="str">
        <f aca="false">'Dish Database'!I124</f>
        <v>g</v>
      </c>
      <c r="J368" s="13" t="n">
        <f aca="false">'Dish Database'!J124*H368/100</f>
        <v>97.8</v>
      </c>
      <c r="K368" s="17" t="n">
        <f aca="false">'Dish Database'!K124*H368/100</f>
        <v>2.4</v>
      </c>
      <c r="L368" s="17" t="n">
        <f aca="false">'Dish Database'!L124*H368/100</f>
        <v>12</v>
      </c>
      <c r="M368" s="17" t="n">
        <f aca="false">'Dish Database'!M124*H368/100</f>
        <v>4.8</v>
      </c>
      <c r="N368" s="17" t="n">
        <f aca="false">'Dish Database'!N124*H368/100</f>
        <v>1.5</v>
      </c>
      <c r="O368" s="17" t="n">
        <f aca="false">'Dish Database'!O124*H368/100</f>
        <v>0.3</v>
      </c>
      <c r="P368" s="13" t="n">
        <f aca="false">'Dish Database'!P124*H368/100</f>
        <v>114</v>
      </c>
    </row>
    <row r="369" customFormat="false" ht="15" hidden="false" customHeight="false" outlineLevel="0" collapsed="false">
      <c r="A369" s="6" t="str">
        <f aca="false">'Dish Database'!A124</f>
        <v>D123</v>
      </c>
      <c r="B369" s="6" t="str">
        <f aca="false">'Dish Database'!B124</f>
        <v>Bedmi poori</v>
      </c>
      <c r="C369" s="6" t="str">
        <f aca="false">'Dish Database'!D124</f>
        <v>Breakfast - North &amp; West</v>
      </c>
      <c r="D369" s="6" t="str">
        <f aca="false">'Dish Database'!F124</f>
        <v>Veg</v>
      </c>
      <c r="E369" s="6" t="str">
        <f aca="false">'Dish Database'!E124</f>
        <v>North</v>
      </c>
      <c r="F369" s="6" t="s">
        <v>103</v>
      </c>
      <c r="G369" s="6" t="s">
        <v>2315</v>
      </c>
      <c r="H369" s="16" t="n">
        <v>45</v>
      </c>
      <c r="I369" s="6" t="str">
        <f aca="false">'Dish Database'!I124</f>
        <v>g</v>
      </c>
      <c r="J369" s="13" t="n">
        <f aca="false">'Dish Database'!J124*H369/100</f>
        <v>146.7</v>
      </c>
      <c r="K369" s="17" t="n">
        <f aca="false">'Dish Database'!K124*H369/100</f>
        <v>3.6</v>
      </c>
      <c r="L369" s="17" t="n">
        <f aca="false">'Dish Database'!L124*H369/100</f>
        <v>18</v>
      </c>
      <c r="M369" s="17" t="n">
        <f aca="false">'Dish Database'!M124*H369/100</f>
        <v>7.2</v>
      </c>
      <c r="N369" s="17" t="n">
        <f aca="false">'Dish Database'!N124*H369/100</f>
        <v>2.25</v>
      </c>
      <c r="O369" s="17" t="n">
        <f aca="false">'Dish Database'!O124*H369/100</f>
        <v>0.45</v>
      </c>
      <c r="P369" s="13" t="n">
        <f aca="false">'Dish Database'!P124*H369/100</f>
        <v>171</v>
      </c>
    </row>
    <row r="370" customFormat="false" ht="15" hidden="false" customHeight="false" outlineLevel="0" collapsed="false">
      <c r="A370" s="6" t="str">
        <f aca="false">'Dish Database'!A124</f>
        <v>D123</v>
      </c>
      <c r="B370" s="6" t="str">
        <f aca="false">'Dish Database'!B124</f>
        <v>Bedmi poori</v>
      </c>
      <c r="C370" s="6" t="str">
        <f aca="false">'Dish Database'!D124</f>
        <v>Breakfast - North &amp; West</v>
      </c>
      <c r="D370" s="6" t="str">
        <f aca="false">'Dish Database'!F124</f>
        <v>Veg</v>
      </c>
      <c r="E370" s="6" t="str">
        <f aca="false">'Dish Database'!E124</f>
        <v>North</v>
      </c>
      <c r="F370" s="6" t="s">
        <v>2246</v>
      </c>
      <c r="G370" s="6" t="s">
        <v>2316</v>
      </c>
      <c r="H370" s="16" t="n">
        <v>60</v>
      </c>
      <c r="I370" s="6" t="str">
        <f aca="false">'Dish Database'!I124</f>
        <v>g</v>
      </c>
      <c r="J370" s="13" t="n">
        <f aca="false">'Dish Database'!J124*H370/100</f>
        <v>195.6</v>
      </c>
      <c r="K370" s="17" t="n">
        <f aca="false">'Dish Database'!K124*H370/100</f>
        <v>4.8</v>
      </c>
      <c r="L370" s="17" t="n">
        <f aca="false">'Dish Database'!L124*H370/100</f>
        <v>24</v>
      </c>
      <c r="M370" s="17" t="n">
        <f aca="false">'Dish Database'!M124*H370/100</f>
        <v>9.6</v>
      </c>
      <c r="N370" s="17" t="n">
        <f aca="false">'Dish Database'!N124*H370/100</f>
        <v>3</v>
      </c>
      <c r="O370" s="17" t="n">
        <f aca="false">'Dish Database'!O124*H370/100</f>
        <v>0.6</v>
      </c>
      <c r="P370" s="13" t="n">
        <f aca="false">'Dish Database'!P124*H370/100</f>
        <v>228</v>
      </c>
    </row>
    <row r="371" customFormat="false" ht="15" hidden="false" customHeight="false" outlineLevel="0" collapsed="false">
      <c r="A371" s="6" t="str">
        <f aca="false">'Dish Database'!A125</f>
        <v>D124</v>
      </c>
      <c r="B371" s="6" t="str">
        <f aca="false">'Dish Database'!B125</f>
        <v>Litti (baked, ghee-dipped)</v>
      </c>
      <c r="C371" s="6" t="str">
        <f aca="false">'Dish Database'!D125</f>
        <v>Breakfast - North &amp; West</v>
      </c>
      <c r="D371" s="6" t="str">
        <f aca="false">'Dish Database'!F125</f>
        <v>Veg</v>
      </c>
      <c r="E371" s="6" t="str">
        <f aca="false">'Dish Database'!E125</f>
        <v>East</v>
      </c>
      <c r="F371" s="6" t="s">
        <v>2243</v>
      </c>
      <c r="G371" s="6" t="s">
        <v>2317</v>
      </c>
      <c r="H371" s="16" t="n">
        <v>50</v>
      </c>
      <c r="I371" s="6" t="str">
        <f aca="false">'Dish Database'!I125</f>
        <v>g</v>
      </c>
      <c r="J371" s="13" t="n">
        <f aca="false">'Dish Database'!J125*H371/100</f>
        <v>146</v>
      </c>
      <c r="K371" s="17" t="n">
        <f aca="false">'Dish Database'!K125*H371/100</f>
        <v>4.5</v>
      </c>
      <c r="L371" s="17" t="n">
        <f aca="false">'Dish Database'!L125*H371/100</f>
        <v>22.5</v>
      </c>
      <c r="M371" s="17" t="n">
        <f aca="false">'Dish Database'!M125*H371/100</f>
        <v>5</v>
      </c>
      <c r="N371" s="17" t="n">
        <f aca="false">'Dish Database'!N125*H371/100</f>
        <v>3.5</v>
      </c>
      <c r="O371" s="17" t="n">
        <f aca="false">'Dish Database'!O125*H371/100</f>
        <v>0.75</v>
      </c>
      <c r="P371" s="13" t="n">
        <f aca="false">'Dish Database'!P125*H371/100</f>
        <v>150</v>
      </c>
    </row>
    <row r="372" customFormat="false" ht="15" hidden="false" customHeight="false" outlineLevel="0" collapsed="false">
      <c r="A372" s="6" t="str">
        <f aca="false">'Dish Database'!A125</f>
        <v>D124</v>
      </c>
      <c r="B372" s="6" t="str">
        <f aca="false">'Dish Database'!B125</f>
        <v>Litti (baked, ghee-dipped)</v>
      </c>
      <c r="C372" s="6" t="str">
        <f aca="false">'Dish Database'!D125</f>
        <v>Breakfast - North &amp; West</v>
      </c>
      <c r="D372" s="6" t="str">
        <f aca="false">'Dish Database'!F125</f>
        <v>Veg</v>
      </c>
      <c r="E372" s="6" t="str">
        <f aca="false">'Dish Database'!E125</f>
        <v>East</v>
      </c>
      <c r="F372" s="6" t="s">
        <v>103</v>
      </c>
      <c r="G372" s="6" t="s">
        <v>2318</v>
      </c>
      <c r="H372" s="16" t="n">
        <v>75</v>
      </c>
      <c r="I372" s="6" t="str">
        <f aca="false">'Dish Database'!I125</f>
        <v>g</v>
      </c>
      <c r="J372" s="13" t="n">
        <f aca="false">'Dish Database'!J125*H372/100</f>
        <v>219</v>
      </c>
      <c r="K372" s="17" t="n">
        <f aca="false">'Dish Database'!K125*H372/100</f>
        <v>6.75</v>
      </c>
      <c r="L372" s="17" t="n">
        <f aca="false">'Dish Database'!L125*H372/100</f>
        <v>33.75</v>
      </c>
      <c r="M372" s="17" t="n">
        <f aca="false">'Dish Database'!M125*H372/100</f>
        <v>7.5</v>
      </c>
      <c r="N372" s="17" t="n">
        <f aca="false">'Dish Database'!N125*H372/100</f>
        <v>5.25</v>
      </c>
      <c r="O372" s="17" t="n">
        <f aca="false">'Dish Database'!O125*H372/100</f>
        <v>1.125</v>
      </c>
      <c r="P372" s="13" t="n">
        <f aca="false">'Dish Database'!P125*H372/100</f>
        <v>225</v>
      </c>
    </row>
    <row r="373" customFormat="false" ht="15" hidden="false" customHeight="false" outlineLevel="0" collapsed="false">
      <c r="A373" s="6" t="str">
        <f aca="false">'Dish Database'!A125</f>
        <v>D124</v>
      </c>
      <c r="B373" s="6" t="str">
        <f aca="false">'Dish Database'!B125</f>
        <v>Litti (baked, ghee-dipped)</v>
      </c>
      <c r="C373" s="6" t="str">
        <f aca="false">'Dish Database'!D125</f>
        <v>Breakfast - North &amp; West</v>
      </c>
      <c r="D373" s="6" t="str">
        <f aca="false">'Dish Database'!F125</f>
        <v>Veg</v>
      </c>
      <c r="E373" s="6" t="str">
        <f aca="false">'Dish Database'!E125</f>
        <v>East</v>
      </c>
      <c r="F373" s="6" t="s">
        <v>2246</v>
      </c>
      <c r="G373" s="6" t="s">
        <v>2319</v>
      </c>
      <c r="H373" s="16" t="n">
        <v>100</v>
      </c>
      <c r="I373" s="6" t="str">
        <f aca="false">'Dish Database'!I125</f>
        <v>g</v>
      </c>
      <c r="J373" s="13" t="n">
        <f aca="false">'Dish Database'!J125*H373/100</f>
        <v>292</v>
      </c>
      <c r="K373" s="17" t="n">
        <f aca="false">'Dish Database'!K125*H373/100</f>
        <v>9</v>
      </c>
      <c r="L373" s="17" t="n">
        <f aca="false">'Dish Database'!L125*H373/100</f>
        <v>45</v>
      </c>
      <c r="M373" s="17" t="n">
        <f aca="false">'Dish Database'!M125*H373/100</f>
        <v>10</v>
      </c>
      <c r="N373" s="17" t="n">
        <f aca="false">'Dish Database'!N125*H373/100</f>
        <v>7</v>
      </c>
      <c r="O373" s="17" t="n">
        <f aca="false">'Dish Database'!O125*H373/100</f>
        <v>1.5</v>
      </c>
      <c r="P373" s="13" t="n">
        <f aca="false">'Dish Database'!P125*H373/100</f>
        <v>300</v>
      </c>
    </row>
    <row r="374" customFormat="false" ht="15" hidden="false" customHeight="false" outlineLevel="0" collapsed="false">
      <c r="A374" s="6" t="str">
        <f aca="false">'Dish Database'!A126</f>
        <v>D125</v>
      </c>
      <c r="B374" s="6" t="str">
        <f aca="false">'Dish Database'!B126</f>
        <v>Chokha (baingan-aloo-tomato)</v>
      </c>
      <c r="C374" s="6" t="str">
        <f aca="false">'Dish Database'!D126</f>
        <v>Breakfast - North &amp; West</v>
      </c>
      <c r="D374" s="6" t="str">
        <f aca="false">'Dish Database'!F126</f>
        <v>Veg</v>
      </c>
      <c r="E374" s="6" t="str">
        <f aca="false">'Dish Database'!E126</f>
        <v>East</v>
      </c>
      <c r="F374" s="6" t="s">
        <v>2243</v>
      </c>
      <c r="G374" s="6" t="s">
        <v>2320</v>
      </c>
      <c r="H374" s="16" t="n">
        <v>75</v>
      </c>
      <c r="I374" s="6" t="str">
        <f aca="false">'Dish Database'!I126</f>
        <v>g</v>
      </c>
      <c r="J374" s="13" t="n">
        <f aca="false">'Dish Database'!J126*H374/100</f>
        <v>61.65</v>
      </c>
      <c r="K374" s="17" t="n">
        <f aca="false">'Dish Database'!K126*H374/100</f>
        <v>1.35</v>
      </c>
      <c r="L374" s="17" t="n">
        <f aca="false">'Dish Database'!L126*H374/100</f>
        <v>8.25</v>
      </c>
      <c r="M374" s="17" t="n">
        <f aca="false">'Dish Database'!M126*H374/100</f>
        <v>3</v>
      </c>
      <c r="N374" s="17" t="n">
        <f aca="false">'Dish Database'!N126*H374/100</f>
        <v>1.875</v>
      </c>
      <c r="O374" s="17" t="n">
        <f aca="false">'Dish Database'!O126*H374/100</f>
        <v>2.625</v>
      </c>
      <c r="P374" s="13" t="n">
        <f aca="false">'Dish Database'!P126*H374/100</f>
        <v>262.5</v>
      </c>
    </row>
    <row r="375" customFormat="false" ht="15" hidden="false" customHeight="false" outlineLevel="0" collapsed="false">
      <c r="A375" s="6" t="str">
        <f aca="false">'Dish Database'!A126</f>
        <v>D125</v>
      </c>
      <c r="B375" s="6" t="str">
        <f aca="false">'Dish Database'!B126</f>
        <v>Chokha (baingan-aloo-tomato)</v>
      </c>
      <c r="C375" s="6" t="str">
        <f aca="false">'Dish Database'!D126</f>
        <v>Breakfast - North &amp; West</v>
      </c>
      <c r="D375" s="6" t="str">
        <f aca="false">'Dish Database'!F126</f>
        <v>Veg</v>
      </c>
      <c r="E375" s="6" t="str">
        <f aca="false">'Dish Database'!E126</f>
        <v>East</v>
      </c>
      <c r="F375" s="6" t="s">
        <v>103</v>
      </c>
      <c r="G375" s="6" t="s">
        <v>2321</v>
      </c>
      <c r="H375" s="16" t="n">
        <v>100</v>
      </c>
      <c r="I375" s="6" t="str">
        <f aca="false">'Dish Database'!I126</f>
        <v>g</v>
      </c>
      <c r="J375" s="13" t="n">
        <f aca="false">'Dish Database'!J126*H375/100</f>
        <v>82.2</v>
      </c>
      <c r="K375" s="17" t="n">
        <f aca="false">'Dish Database'!K126*H375/100</f>
        <v>1.8</v>
      </c>
      <c r="L375" s="17" t="n">
        <f aca="false">'Dish Database'!L126*H375/100</f>
        <v>11</v>
      </c>
      <c r="M375" s="17" t="n">
        <f aca="false">'Dish Database'!M126*H375/100</f>
        <v>4</v>
      </c>
      <c r="N375" s="17" t="n">
        <f aca="false">'Dish Database'!N126*H375/100</f>
        <v>2.5</v>
      </c>
      <c r="O375" s="17" t="n">
        <f aca="false">'Dish Database'!O126*H375/100</f>
        <v>3.5</v>
      </c>
      <c r="P375" s="13" t="n">
        <f aca="false">'Dish Database'!P126*H375/100</f>
        <v>350</v>
      </c>
    </row>
    <row r="376" customFormat="false" ht="15" hidden="false" customHeight="false" outlineLevel="0" collapsed="false">
      <c r="A376" s="6" t="str">
        <f aca="false">'Dish Database'!A126</f>
        <v>D125</v>
      </c>
      <c r="B376" s="6" t="str">
        <f aca="false">'Dish Database'!B126</f>
        <v>Chokha (baingan-aloo-tomato)</v>
      </c>
      <c r="C376" s="6" t="str">
        <f aca="false">'Dish Database'!D126</f>
        <v>Breakfast - North &amp; West</v>
      </c>
      <c r="D376" s="6" t="str">
        <f aca="false">'Dish Database'!F126</f>
        <v>Veg</v>
      </c>
      <c r="E376" s="6" t="str">
        <f aca="false">'Dish Database'!E126</f>
        <v>East</v>
      </c>
      <c r="F376" s="6" t="s">
        <v>2246</v>
      </c>
      <c r="G376" s="6" t="s">
        <v>2322</v>
      </c>
      <c r="H376" s="16" t="n">
        <v>150</v>
      </c>
      <c r="I376" s="6" t="str">
        <f aca="false">'Dish Database'!I126</f>
        <v>g</v>
      </c>
      <c r="J376" s="13" t="n">
        <f aca="false">'Dish Database'!J126*H376/100</f>
        <v>123.3</v>
      </c>
      <c r="K376" s="17" t="n">
        <f aca="false">'Dish Database'!K126*H376/100</f>
        <v>2.7</v>
      </c>
      <c r="L376" s="17" t="n">
        <f aca="false">'Dish Database'!L126*H376/100</f>
        <v>16.5</v>
      </c>
      <c r="M376" s="17" t="n">
        <f aca="false">'Dish Database'!M126*H376/100</f>
        <v>6</v>
      </c>
      <c r="N376" s="17" t="n">
        <f aca="false">'Dish Database'!N126*H376/100</f>
        <v>3.75</v>
      </c>
      <c r="O376" s="17" t="n">
        <f aca="false">'Dish Database'!O126*H376/100</f>
        <v>5.25</v>
      </c>
      <c r="P376" s="13" t="n">
        <f aca="false">'Dish Database'!P126*H376/100</f>
        <v>525</v>
      </c>
    </row>
    <row r="377" customFormat="false" ht="15" hidden="false" customHeight="false" outlineLevel="0" collapsed="false">
      <c r="A377" s="6" t="str">
        <f aca="false">'Dish Database'!A126</f>
        <v>D125</v>
      </c>
      <c r="B377" s="6" t="str">
        <f aca="false">'Dish Database'!B126</f>
        <v>Chokha (baingan-aloo-tomato)</v>
      </c>
      <c r="C377" s="6" t="str">
        <f aca="false">'Dish Database'!D126</f>
        <v>Breakfast - North &amp; West</v>
      </c>
      <c r="D377" s="6" t="str">
        <f aca="false">'Dish Database'!F126</f>
        <v>Veg</v>
      </c>
      <c r="E377" s="6" t="str">
        <f aca="false">'Dish Database'!E126</f>
        <v>East</v>
      </c>
      <c r="F377" s="6" t="s">
        <v>2323</v>
      </c>
      <c r="G377" s="6" t="s">
        <v>2324</v>
      </c>
      <c r="H377" s="16" t="n">
        <v>200</v>
      </c>
      <c r="I377" s="6" t="str">
        <f aca="false">'Dish Database'!I126</f>
        <v>g</v>
      </c>
      <c r="J377" s="13" t="n">
        <f aca="false">'Dish Database'!J126*H377/100</f>
        <v>164.4</v>
      </c>
      <c r="K377" s="17" t="n">
        <f aca="false">'Dish Database'!K126*H377/100</f>
        <v>3.6</v>
      </c>
      <c r="L377" s="17" t="n">
        <f aca="false">'Dish Database'!L126*H377/100</f>
        <v>22</v>
      </c>
      <c r="M377" s="17" t="n">
        <f aca="false">'Dish Database'!M126*H377/100</f>
        <v>8</v>
      </c>
      <c r="N377" s="17" t="n">
        <f aca="false">'Dish Database'!N126*H377/100</f>
        <v>5</v>
      </c>
      <c r="O377" s="17" t="n">
        <f aca="false">'Dish Database'!O126*H377/100</f>
        <v>7</v>
      </c>
      <c r="P377" s="13" t="n">
        <f aca="false">'Dish Database'!P126*H377/100</f>
        <v>700</v>
      </c>
    </row>
    <row r="378" customFormat="false" ht="15" hidden="false" customHeight="false" outlineLevel="0" collapsed="false">
      <c r="A378" s="6" t="str">
        <f aca="false">'Dish Database'!A126</f>
        <v>D125</v>
      </c>
      <c r="B378" s="6" t="str">
        <f aca="false">'Dish Database'!B126</f>
        <v>Chokha (baingan-aloo-tomato)</v>
      </c>
      <c r="C378" s="6" t="str">
        <f aca="false">'Dish Database'!D126</f>
        <v>Breakfast - North &amp; West</v>
      </c>
      <c r="D378" s="6" t="str">
        <f aca="false">'Dish Database'!F126</f>
        <v>Veg</v>
      </c>
      <c r="E378" s="6" t="str">
        <f aca="false">'Dish Database'!E126</f>
        <v>East</v>
      </c>
      <c r="F378" s="6" t="s">
        <v>2325</v>
      </c>
      <c r="G378" s="6" t="s">
        <v>2326</v>
      </c>
      <c r="H378" s="16" t="n">
        <v>400</v>
      </c>
      <c r="I378" s="6" t="str">
        <f aca="false">'Dish Database'!I126</f>
        <v>g</v>
      </c>
      <c r="J378" s="13" t="n">
        <f aca="false">'Dish Database'!J126*H378/100</f>
        <v>328.8</v>
      </c>
      <c r="K378" s="17" t="n">
        <f aca="false">'Dish Database'!K126*H378/100</f>
        <v>7.2</v>
      </c>
      <c r="L378" s="17" t="n">
        <f aca="false">'Dish Database'!L126*H378/100</f>
        <v>44</v>
      </c>
      <c r="M378" s="17" t="n">
        <f aca="false">'Dish Database'!M126*H378/100</f>
        <v>16</v>
      </c>
      <c r="N378" s="17" t="n">
        <f aca="false">'Dish Database'!N126*H378/100</f>
        <v>10</v>
      </c>
      <c r="O378" s="17" t="n">
        <f aca="false">'Dish Database'!O126*H378/100</f>
        <v>14</v>
      </c>
      <c r="P378" s="13" t="n">
        <f aca="false">'Dish Database'!P126*H378/100</f>
        <v>1400</v>
      </c>
    </row>
    <row r="379" customFormat="false" ht="15" hidden="false" customHeight="false" outlineLevel="0" collapsed="false">
      <c r="A379" s="6" t="str">
        <f aca="false">'Dish Database'!A127</f>
        <v>D126</v>
      </c>
      <c r="B379" s="6" t="str">
        <f aca="false">'Dish Database'!B127</f>
        <v>Puran poli</v>
      </c>
      <c r="C379" s="6" t="str">
        <f aca="false">'Dish Database'!D127</f>
        <v>Breakfast - North &amp; West</v>
      </c>
      <c r="D379" s="6" t="str">
        <f aca="false">'Dish Database'!F127</f>
        <v>Veg</v>
      </c>
      <c r="E379" s="6" t="str">
        <f aca="false">'Dish Database'!E127</f>
        <v>West</v>
      </c>
      <c r="F379" s="6" t="s">
        <v>2243</v>
      </c>
      <c r="G379" s="6" t="s">
        <v>2327</v>
      </c>
      <c r="H379" s="16" t="n">
        <v>60</v>
      </c>
      <c r="I379" s="6" t="str">
        <f aca="false">'Dish Database'!I127</f>
        <v>g</v>
      </c>
      <c r="J379" s="13" t="n">
        <f aca="false">'Dish Database'!J127*H379/100</f>
        <v>196.8</v>
      </c>
      <c r="K379" s="17" t="n">
        <f aca="false">'Dish Database'!K127*H379/100</f>
        <v>4.2</v>
      </c>
      <c r="L379" s="17" t="n">
        <f aca="false">'Dish Database'!L127*H379/100</f>
        <v>33</v>
      </c>
      <c r="M379" s="17" t="n">
        <f aca="false">'Dish Database'!M127*H379/100</f>
        <v>6</v>
      </c>
      <c r="N379" s="17" t="n">
        <f aca="false">'Dish Database'!N127*H379/100</f>
        <v>3</v>
      </c>
      <c r="O379" s="17" t="n">
        <f aca="false">'Dish Database'!O127*H379/100</f>
        <v>10.8</v>
      </c>
      <c r="P379" s="13" t="n">
        <f aca="false">'Dish Database'!P127*H379/100</f>
        <v>60</v>
      </c>
    </row>
    <row r="380" customFormat="false" ht="15" hidden="false" customHeight="false" outlineLevel="0" collapsed="false">
      <c r="A380" s="6" t="str">
        <f aca="false">'Dish Database'!A127</f>
        <v>D126</v>
      </c>
      <c r="B380" s="6" t="str">
        <f aca="false">'Dish Database'!B127</f>
        <v>Puran poli</v>
      </c>
      <c r="C380" s="6" t="str">
        <f aca="false">'Dish Database'!D127</f>
        <v>Breakfast - North &amp; West</v>
      </c>
      <c r="D380" s="6" t="str">
        <f aca="false">'Dish Database'!F127</f>
        <v>Veg</v>
      </c>
      <c r="E380" s="6" t="str">
        <f aca="false">'Dish Database'!E127</f>
        <v>West</v>
      </c>
      <c r="F380" s="6" t="s">
        <v>103</v>
      </c>
      <c r="G380" s="6" t="s">
        <v>2328</v>
      </c>
      <c r="H380" s="16" t="n">
        <v>80</v>
      </c>
      <c r="I380" s="6" t="str">
        <f aca="false">'Dish Database'!I127</f>
        <v>g</v>
      </c>
      <c r="J380" s="13" t="n">
        <f aca="false">'Dish Database'!J127*H380/100</f>
        <v>262.4</v>
      </c>
      <c r="K380" s="17" t="n">
        <f aca="false">'Dish Database'!K127*H380/100</f>
        <v>5.6</v>
      </c>
      <c r="L380" s="17" t="n">
        <f aca="false">'Dish Database'!L127*H380/100</f>
        <v>44</v>
      </c>
      <c r="M380" s="17" t="n">
        <f aca="false">'Dish Database'!M127*H380/100</f>
        <v>8</v>
      </c>
      <c r="N380" s="17" t="n">
        <f aca="false">'Dish Database'!N127*H380/100</f>
        <v>4</v>
      </c>
      <c r="O380" s="17" t="n">
        <f aca="false">'Dish Database'!O127*H380/100</f>
        <v>14.4</v>
      </c>
      <c r="P380" s="13" t="n">
        <f aca="false">'Dish Database'!P127*H380/100</f>
        <v>80</v>
      </c>
    </row>
    <row r="381" customFormat="false" ht="15" hidden="false" customHeight="false" outlineLevel="0" collapsed="false">
      <c r="A381" s="6" t="str">
        <f aca="false">'Dish Database'!A127</f>
        <v>D126</v>
      </c>
      <c r="B381" s="6" t="str">
        <f aca="false">'Dish Database'!B127</f>
        <v>Puran poli</v>
      </c>
      <c r="C381" s="6" t="str">
        <f aca="false">'Dish Database'!D127</f>
        <v>Breakfast - North &amp; West</v>
      </c>
      <c r="D381" s="6" t="str">
        <f aca="false">'Dish Database'!F127</f>
        <v>Veg</v>
      </c>
      <c r="E381" s="6" t="str">
        <f aca="false">'Dish Database'!E127</f>
        <v>West</v>
      </c>
      <c r="F381" s="6" t="s">
        <v>2246</v>
      </c>
      <c r="G381" s="6" t="s">
        <v>2329</v>
      </c>
      <c r="H381" s="16" t="n">
        <v>100</v>
      </c>
      <c r="I381" s="6" t="str">
        <f aca="false">'Dish Database'!I127</f>
        <v>g</v>
      </c>
      <c r="J381" s="13" t="n">
        <f aca="false">'Dish Database'!J127*H381/100</f>
        <v>328</v>
      </c>
      <c r="K381" s="17" t="n">
        <f aca="false">'Dish Database'!K127*H381/100</f>
        <v>7</v>
      </c>
      <c r="L381" s="17" t="n">
        <f aca="false">'Dish Database'!L127*H381/100</f>
        <v>55</v>
      </c>
      <c r="M381" s="17" t="n">
        <f aca="false">'Dish Database'!M127*H381/100</f>
        <v>10</v>
      </c>
      <c r="N381" s="17" t="n">
        <f aca="false">'Dish Database'!N127*H381/100</f>
        <v>5</v>
      </c>
      <c r="O381" s="17" t="n">
        <f aca="false">'Dish Database'!O127*H381/100</f>
        <v>18</v>
      </c>
      <c r="P381" s="13" t="n">
        <f aca="false">'Dish Database'!P127*H381/100</f>
        <v>100</v>
      </c>
    </row>
    <row r="382" customFormat="false" ht="15" hidden="false" customHeight="false" outlineLevel="0" collapsed="false">
      <c r="A382" s="6" t="str">
        <f aca="false">'Dish Database'!A128</f>
        <v>D127</v>
      </c>
      <c r="B382" s="6" t="str">
        <f aca="false">'Dish Database'!B128</f>
        <v>Misal (usal + farsan, without pav)</v>
      </c>
      <c r="C382" s="6" t="str">
        <f aca="false">'Dish Database'!D128</f>
        <v>Breakfast - North &amp; West</v>
      </c>
      <c r="D382" s="6" t="str">
        <f aca="false">'Dish Database'!F128</f>
        <v>Veg</v>
      </c>
      <c r="E382" s="6" t="str">
        <f aca="false">'Dish Database'!E128</f>
        <v>West</v>
      </c>
      <c r="F382" s="6" t="s">
        <v>2243</v>
      </c>
      <c r="G382" s="6" t="s">
        <v>2330</v>
      </c>
      <c r="H382" s="16" t="n">
        <v>150</v>
      </c>
      <c r="I382" s="6" t="str">
        <f aca="false">'Dish Database'!I128</f>
        <v>g</v>
      </c>
      <c r="J382" s="13" t="n">
        <f aca="false">'Dish Database'!J128*H382/100</f>
        <v>268.5</v>
      </c>
      <c r="K382" s="17" t="n">
        <f aca="false">'Dish Database'!K128*H382/100</f>
        <v>10.5</v>
      </c>
      <c r="L382" s="17" t="n">
        <f aca="false">'Dish Database'!L128*H382/100</f>
        <v>30</v>
      </c>
      <c r="M382" s="17" t="n">
        <f aca="false">'Dish Database'!M128*H382/100</f>
        <v>13.5</v>
      </c>
      <c r="N382" s="17" t="n">
        <f aca="false">'Dish Database'!N128*H382/100</f>
        <v>7.5</v>
      </c>
      <c r="O382" s="17" t="n">
        <f aca="false">'Dish Database'!O128*H382/100</f>
        <v>3.75</v>
      </c>
      <c r="P382" s="13" t="n">
        <f aca="false">'Dish Database'!P128*H382/100</f>
        <v>630</v>
      </c>
    </row>
    <row r="383" customFormat="false" ht="15" hidden="false" customHeight="false" outlineLevel="0" collapsed="false">
      <c r="A383" s="6" t="str">
        <f aca="false">'Dish Database'!A128</f>
        <v>D127</v>
      </c>
      <c r="B383" s="6" t="str">
        <f aca="false">'Dish Database'!B128</f>
        <v>Misal (usal + farsan, without pav)</v>
      </c>
      <c r="C383" s="6" t="str">
        <f aca="false">'Dish Database'!D128</f>
        <v>Breakfast - North &amp; West</v>
      </c>
      <c r="D383" s="6" t="str">
        <f aca="false">'Dish Database'!F128</f>
        <v>Veg</v>
      </c>
      <c r="E383" s="6" t="str">
        <f aca="false">'Dish Database'!E128</f>
        <v>West</v>
      </c>
      <c r="F383" s="6" t="s">
        <v>103</v>
      </c>
      <c r="G383" s="6" t="s">
        <v>2331</v>
      </c>
      <c r="H383" s="16" t="n">
        <v>200</v>
      </c>
      <c r="I383" s="6" t="str">
        <f aca="false">'Dish Database'!I128</f>
        <v>g</v>
      </c>
      <c r="J383" s="13" t="n">
        <f aca="false">'Dish Database'!J128*H383/100</f>
        <v>358</v>
      </c>
      <c r="K383" s="17" t="n">
        <f aca="false">'Dish Database'!K128*H383/100</f>
        <v>14</v>
      </c>
      <c r="L383" s="17" t="n">
        <f aca="false">'Dish Database'!L128*H383/100</f>
        <v>40</v>
      </c>
      <c r="M383" s="17" t="n">
        <f aca="false">'Dish Database'!M128*H383/100</f>
        <v>18</v>
      </c>
      <c r="N383" s="17" t="n">
        <f aca="false">'Dish Database'!N128*H383/100</f>
        <v>10</v>
      </c>
      <c r="O383" s="17" t="n">
        <f aca="false">'Dish Database'!O128*H383/100</f>
        <v>5</v>
      </c>
      <c r="P383" s="13" t="n">
        <f aca="false">'Dish Database'!P128*H383/100</f>
        <v>840</v>
      </c>
    </row>
    <row r="384" customFormat="false" ht="15" hidden="false" customHeight="false" outlineLevel="0" collapsed="false">
      <c r="A384" s="6" t="str">
        <f aca="false">'Dish Database'!A128</f>
        <v>D127</v>
      </c>
      <c r="B384" s="6" t="str">
        <f aca="false">'Dish Database'!B128</f>
        <v>Misal (usal + farsan, without pav)</v>
      </c>
      <c r="C384" s="6" t="str">
        <f aca="false">'Dish Database'!D128</f>
        <v>Breakfast - North &amp; West</v>
      </c>
      <c r="D384" s="6" t="str">
        <f aca="false">'Dish Database'!F128</f>
        <v>Veg</v>
      </c>
      <c r="E384" s="6" t="str">
        <f aca="false">'Dish Database'!E128</f>
        <v>West</v>
      </c>
      <c r="F384" s="6" t="s">
        <v>2246</v>
      </c>
      <c r="G384" s="6" t="s">
        <v>2261</v>
      </c>
      <c r="H384" s="16" t="n">
        <v>250</v>
      </c>
      <c r="I384" s="6" t="str">
        <f aca="false">'Dish Database'!I128</f>
        <v>g</v>
      </c>
      <c r="J384" s="13" t="n">
        <f aca="false">'Dish Database'!J128*H384/100</f>
        <v>447.5</v>
      </c>
      <c r="K384" s="17" t="n">
        <f aca="false">'Dish Database'!K128*H384/100</f>
        <v>17.5</v>
      </c>
      <c r="L384" s="17" t="n">
        <f aca="false">'Dish Database'!L128*H384/100</f>
        <v>50</v>
      </c>
      <c r="M384" s="17" t="n">
        <f aca="false">'Dish Database'!M128*H384/100</f>
        <v>22.5</v>
      </c>
      <c r="N384" s="17" t="n">
        <f aca="false">'Dish Database'!N128*H384/100</f>
        <v>12.5</v>
      </c>
      <c r="O384" s="17" t="n">
        <f aca="false">'Dish Database'!O128*H384/100</f>
        <v>6.25</v>
      </c>
      <c r="P384" s="13" t="n">
        <f aca="false">'Dish Database'!P128*H384/100</f>
        <v>1050</v>
      </c>
    </row>
    <row r="385" customFormat="false" ht="15" hidden="false" customHeight="false" outlineLevel="0" collapsed="false">
      <c r="A385" s="6" t="str">
        <f aca="false">'Dish Database'!A129</f>
        <v>D128</v>
      </c>
      <c r="B385" s="6" t="str">
        <f aca="false">'Dish Database'!B129</f>
        <v>Kachori (khasta, dal)</v>
      </c>
      <c r="C385" s="6" t="str">
        <f aca="false">'Dish Database'!D129</f>
        <v>Breakfast - North &amp; West</v>
      </c>
      <c r="D385" s="6" t="str">
        <f aca="false">'Dish Database'!F129</f>
        <v>Veg</v>
      </c>
      <c r="E385" s="6" t="str">
        <f aca="false">'Dish Database'!E129</f>
        <v>North</v>
      </c>
      <c r="F385" s="6" t="s">
        <v>2243</v>
      </c>
      <c r="G385" s="6" t="s">
        <v>2332</v>
      </c>
      <c r="H385" s="16" t="n">
        <v>40</v>
      </c>
      <c r="I385" s="6" t="str">
        <f aca="false">'Dish Database'!I129</f>
        <v>g</v>
      </c>
      <c r="J385" s="13" t="n">
        <f aca="false">'Dish Database'!J129*H385/100</f>
        <v>154.8</v>
      </c>
      <c r="K385" s="17" t="n">
        <f aca="false">'Dish Database'!K129*H385/100</f>
        <v>3</v>
      </c>
      <c r="L385" s="17" t="n">
        <f aca="false">'Dish Database'!L129*H385/100</f>
        <v>16.8</v>
      </c>
      <c r="M385" s="17" t="n">
        <f aca="false">'Dish Database'!M129*H385/100</f>
        <v>8.8</v>
      </c>
      <c r="N385" s="17" t="n">
        <f aca="false">'Dish Database'!N129*H385/100</f>
        <v>1.8</v>
      </c>
      <c r="O385" s="17" t="n">
        <f aca="false">'Dish Database'!O129*H385/100</f>
        <v>0.8</v>
      </c>
      <c r="P385" s="13" t="n">
        <f aca="false">'Dish Database'!P129*H385/100</f>
        <v>180</v>
      </c>
    </row>
    <row r="386" customFormat="false" ht="15" hidden="false" customHeight="false" outlineLevel="0" collapsed="false">
      <c r="A386" s="6" t="str">
        <f aca="false">'Dish Database'!A129</f>
        <v>D128</v>
      </c>
      <c r="B386" s="6" t="str">
        <f aca="false">'Dish Database'!B129</f>
        <v>Kachori (khasta, dal)</v>
      </c>
      <c r="C386" s="6" t="str">
        <f aca="false">'Dish Database'!D129</f>
        <v>Breakfast - North &amp; West</v>
      </c>
      <c r="D386" s="6" t="str">
        <f aca="false">'Dish Database'!F129</f>
        <v>Veg</v>
      </c>
      <c r="E386" s="6" t="str">
        <f aca="false">'Dish Database'!E129</f>
        <v>North</v>
      </c>
      <c r="F386" s="6" t="s">
        <v>103</v>
      </c>
      <c r="G386" s="6" t="s">
        <v>2333</v>
      </c>
      <c r="H386" s="16" t="n">
        <v>60</v>
      </c>
      <c r="I386" s="6" t="str">
        <f aca="false">'Dish Database'!I129</f>
        <v>g</v>
      </c>
      <c r="J386" s="13" t="n">
        <f aca="false">'Dish Database'!J129*H386/100</f>
        <v>232.2</v>
      </c>
      <c r="K386" s="17" t="n">
        <f aca="false">'Dish Database'!K129*H386/100</f>
        <v>4.5</v>
      </c>
      <c r="L386" s="17" t="n">
        <f aca="false">'Dish Database'!L129*H386/100</f>
        <v>25.2</v>
      </c>
      <c r="M386" s="17" t="n">
        <f aca="false">'Dish Database'!M129*H386/100</f>
        <v>13.2</v>
      </c>
      <c r="N386" s="17" t="n">
        <f aca="false">'Dish Database'!N129*H386/100</f>
        <v>2.7</v>
      </c>
      <c r="O386" s="17" t="n">
        <f aca="false">'Dish Database'!O129*H386/100</f>
        <v>1.2</v>
      </c>
      <c r="P386" s="13" t="n">
        <f aca="false">'Dish Database'!P129*H386/100</f>
        <v>270</v>
      </c>
    </row>
    <row r="387" customFormat="false" ht="15" hidden="false" customHeight="false" outlineLevel="0" collapsed="false">
      <c r="A387" s="6" t="str">
        <f aca="false">'Dish Database'!A129</f>
        <v>D128</v>
      </c>
      <c r="B387" s="6" t="str">
        <f aca="false">'Dish Database'!B129</f>
        <v>Kachori (khasta, dal)</v>
      </c>
      <c r="C387" s="6" t="str">
        <f aca="false">'Dish Database'!D129</f>
        <v>Breakfast - North &amp; West</v>
      </c>
      <c r="D387" s="6" t="str">
        <f aca="false">'Dish Database'!F129</f>
        <v>Veg</v>
      </c>
      <c r="E387" s="6" t="str">
        <f aca="false">'Dish Database'!E129</f>
        <v>North</v>
      </c>
      <c r="F387" s="6" t="s">
        <v>2246</v>
      </c>
      <c r="G387" s="6" t="s">
        <v>2334</v>
      </c>
      <c r="H387" s="16" t="n">
        <v>80</v>
      </c>
      <c r="I387" s="6" t="str">
        <f aca="false">'Dish Database'!I129</f>
        <v>g</v>
      </c>
      <c r="J387" s="13" t="n">
        <f aca="false">'Dish Database'!J129*H387/100</f>
        <v>309.6</v>
      </c>
      <c r="K387" s="17" t="n">
        <f aca="false">'Dish Database'!K129*H387/100</f>
        <v>6</v>
      </c>
      <c r="L387" s="17" t="n">
        <f aca="false">'Dish Database'!L129*H387/100</f>
        <v>33.6</v>
      </c>
      <c r="M387" s="17" t="n">
        <f aca="false">'Dish Database'!M129*H387/100</f>
        <v>17.6</v>
      </c>
      <c r="N387" s="17" t="n">
        <f aca="false">'Dish Database'!N129*H387/100</f>
        <v>3.6</v>
      </c>
      <c r="O387" s="17" t="n">
        <f aca="false">'Dish Database'!O129*H387/100</f>
        <v>1.6</v>
      </c>
      <c r="P387" s="13" t="n">
        <f aca="false">'Dish Database'!P129*H387/100</f>
        <v>360</v>
      </c>
    </row>
    <row r="388" customFormat="false" ht="15" hidden="false" customHeight="false" outlineLevel="0" collapsed="false">
      <c r="A388" s="6" t="str">
        <f aca="false">'Dish Database'!A130</f>
        <v>D129</v>
      </c>
      <c r="B388" s="6" t="str">
        <f aca="false">'Dish Database'!B130</f>
        <v>Pyaaz kachori</v>
      </c>
      <c r="C388" s="6" t="str">
        <f aca="false">'Dish Database'!D130</f>
        <v>Breakfast - North &amp; West</v>
      </c>
      <c r="D388" s="6" t="str">
        <f aca="false">'Dish Database'!F130</f>
        <v>Veg</v>
      </c>
      <c r="E388" s="6" t="str">
        <f aca="false">'Dish Database'!E130</f>
        <v>West</v>
      </c>
      <c r="F388" s="6" t="s">
        <v>2243</v>
      </c>
      <c r="G388" s="6" t="s">
        <v>2335</v>
      </c>
      <c r="H388" s="16" t="n">
        <v>60</v>
      </c>
      <c r="I388" s="6" t="str">
        <f aca="false">'Dish Database'!I130</f>
        <v>g</v>
      </c>
      <c r="J388" s="13" t="n">
        <f aca="false">'Dish Database'!J130*H388/100</f>
        <v>230.4</v>
      </c>
      <c r="K388" s="17" t="n">
        <f aca="false">'Dish Database'!K130*H388/100</f>
        <v>3.6</v>
      </c>
      <c r="L388" s="17" t="n">
        <f aca="false">'Dish Database'!L130*H388/100</f>
        <v>24</v>
      </c>
      <c r="M388" s="17" t="n">
        <f aca="false">'Dish Database'!M130*H388/100</f>
        <v>13.8</v>
      </c>
      <c r="N388" s="17" t="n">
        <f aca="false">'Dish Database'!N130*H388/100</f>
        <v>2.1</v>
      </c>
      <c r="O388" s="17" t="n">
        <f aca="false">'Dish Database'!O130*H388/100</f>
        <v>1.8</v>
      </c>
      <c r="P388" s="13" t="n">
        <f aca="false">'Dish Database'!P130*H388/100</f>
        <v>288</v>
      </c>
    </row>
    <row r="389" customFormat="false" ht="15" hidden="false" customHeight="false" outlineLevel="0" collapsed="false">
      <c r="A389" s="6" t="str">
        <f aca="false">'Dish Database'!A130</f>
        <v>D129</v>
      </c>
      <c r="B389" s="6" t="str">
        <f aca="false">'Dish Database'!B130</f>
        <v>Pyaaz kachori</v>
      </c>
      <c r="C389" s="6" t="str">
        <f aca="false">'Dish Database'!D130</f>
        <v>Breakfast - North &amp; West</v>
      </c>
      <c r="D389" s="6" t="str">
        <f aca="false">'Dish Database'!F130</f>
        <v>Veg</v>
      </c>
      <c r="E389" s="6" t="str">
        <f aca="false">'Dish Database'!E130</f>
        <v>West</v>
      </c>
      <c r="F389" s="6" t="s">
        <v>103</v>
      </c>
      <c r="G389" s="6" t="s">
        <v>2336</v>
      </c>
      <c r="H389" s="16" t="n">
        <v>80</v>
      </c>
      <c r="I389" s="6" t="str">
        <f aca="false">'Dish Database'!I130</f>
        <v>g</v>
      </c>
      <c r="J389" s="13" t="n">
        <f aca="false">'Dish Database'!J130*H389/100</f>
        <v>307.2</v>
      </c>
      <c r="K389" s="17" t="n">
        <f aca="false">'Dish Database'!K130*H389/100</f>
        <v>4.8</v>
      </c>
      <c r="L389" s="17" t="n">
        <f aca="false">'Dish Database'!L130*H389/100</f>
        <v>32</v>
      </c>
      <c r="M389" s="17" t="n">
        <f aca="false">'Dish Database'!M130*H389/100</f>
        <v>18.4</v>
      </c>
      <c r="N389" s="17" t="n">
        <f aca="false">'Dish Database'!N130*H389/100</f>
        <v>2.8</v>
      </c>
      <c r="O389" s="17" t="n">
        <f aca="false">'Dish Database'!O130*H389/100</f>
        <v>2.4</v>
      </c>
      <c r="P389" s="13" t="n">
        <f aca="false">'Dish Database'!P130*H389/100</f>
        <v>384</v>
      </c>
    </row>
    <row r="390" customFormat="false" ht="15" hidden="false" customHeight="false" outlineLevel="0" collapsed="false">
      <c r="A390" s="6" t="str">
        <f aca="false">'Dish Database'!A130</f>
        <v>D129</v>
      </c>
      <c r="B390" s="6" t="str">
        <f aca="false">'Dish Database'!B130</f>
        <v>Pyaaz kachori</v>
      </c>
      <c r="C390" s="6" t="str">
        <f aca="false">'Dish Database'!D130</f>
        <v>Breakfast - North &amp; West</v>
      </c>
      <c r="D390" s="6" t="str">
        <f aca="false">'Dish Database'!F130</f>
        <v>Veg</v>
      </c>
      <c r="E390" s="6" t="str">
        <f aca="false">'Dish Database'!E130</f>
        <v>West</v>
      </c>
      <c r="F390" s="6" t="s">
        <v>2246</v>
      </c>
      <c r="G390" s="6" t="s">
        <v>2337</v>
      </c>
      <c r="H390" s="16" t="n">
        <v>100</v>
      </c>
      <c r="I390" s="6" t="str">
        <f aca="false">'Dish Database'!I130</f>
        <v>g</v>
      </c>
      <c r="J390" s="13" t="n">
        <f aca="false">'Dish Database'!J130*H390/100</f>
        <v>384</v>
      </c>
      <c r="K390" s="17" t="n">
        <f aca="false">'Dish Database'!K130*H390/100</f>
        <v>6</v>
      </c>
      <c r="L390" s="17" t="n">
        <f aca="false">'Dish Database'!L130*H390/100</f>
        <v>40</v>
      </c>
      <c r="M390" s="17" t="n">
        <f aca="false">'Dish Database'!M130*H390/100</f>
        <v>23</v>
      </c>
      <c r="N390" s="17" t="n">
        <f aca="false">'Dish Database'!N130*H390/100</f>
        <v>3.5</v>
      </c>
      <c r="O390" s="17" t="n">
        <f aca="false">'Dish Database'!O130*H390/100</f>
        <v>3</v>
      </c>
      <c r="P390" s="13" t="n">
        <f aca="false">'Dish Database'!P130*H390/100</f>
        <v>480</v>
      </c>
    </row>
    <row r="391" customFormat="false" ht="15" hidden="false" customHeight="false" outlineLevel="0" collapsed="false">
      <c r="A391" s="6" t="str">
        <f aca="false">'Dish Database'!A131</f>
        <v>D130</v>
      </c>
      <c r="B391" s="6" t="str">
        <f aca="false">'Dish Database'!B131</f>
        <v>Matar kachori</v>
      </c>
      <c r="C391" s="6" t="str">
        <f aca="false">'Dish Database'!D131</f>
        <v>Breakfast - North &amp; West</v>
      </c>
      <c r="D391" s="6" t="str">
        <f aca="false">'Dish Database'!F131</f>
        <v>Veg</v>
      </c>
      <c r="E391" s="6" t="str">
        <f aca="false">'Dish Database'!E131</f>
        <v>North</v>
      </c>
      <c r="F391" s="6" t="s">
        <v>2243</v>
      </c>
      <c r="G391" s="6" t="s">
        <v>2338</v>
      </c>
      <c r="H391" s="16" t="n">
        <v>30</v>
      </c>
      <c r="I391" s="6" t="str">
        <f aca="false">'Dish Database'!I131</f>
        <v>g</v>
      </c>
      <c r="J391" s="13" t="n">
        <f aca="false">'Dish Database'!J131*H391/100</f>
        <v>104.7</v>
      </c>
      <c r="K391" s="17" t="n">
        <f aca="false">'Dish Database'!K131*H391/100</f>
        <v>1.95</v>
      </c>
      <c r="L391" s="17" t="n">
        <f aca="false">'Dish Database'!L131*H391/100</f>
        <v>11.4</v>
      </c>
      <c r="M391" s="17" t="n">
        <f aca="false">'Dish Database'!M131*H391/100</f>
        <v>6</v>
      </c>
      <c r="N391" s="17" t="n">
        <f aca="false">'Dish Database'!N131*H391/100</f>
        <v>1.35</v>
      </c>
      <c r="O391" s="17" t="n">
        <f aca="false">'Dish Database'!O131*H391/100</f>
        <v>0.6</v>
      </c>
      <c r="P391" s="13" t="n">
        <f aca="false">'Dish Database'!P131*H391/100</f>
        <v>126</v>
      </c>
    </row>
    <row r="392" customFormat="false" ht="15" hidden="false" customHeight="false" outlineLevel="0" collapsed="false">
      <c r="A392" s="6" t="str">
        <f aca="false">'Dish Database'!A131</f>
        <v>D130</v>
      </c>
      <c r="B392" s="6" t="str">
        <f aca="false">'Dish Database'!B131</f>
        <v>Matar kachori</v>
      </c>
      <c r="C392" s="6" t="str">
        <f aca="false">'Dish Database'!D131</f>
        <v>Breakfast - North &amp; West</v>
      </c>
      <c r="D392" s="6" t="str">
        <f aca="false">'Dish Database'!F131</f>
        <v>Veg</v>
      </c>
      <c r="E392" s="6" t="str">
        <f aca="false">'Dish Database'!E131</f>
        <v>North</v>
      </c>
      <c r="F392" s="6" t="s">
        <v>103</v>
      </c>
      <c r="G392" s="6" t="s">
        <v>2339</v>
      </c>
      <c r="H392" s="16" t="n">
        <v>45</v>
      </c>
      <c r="I392" s="6" t="str">
        <f aca="false">'Dish Database'!I131</f>
        <v>g</v>
      </c>
      <c r="J392" s="13" t="n">
        <f aca="false">'Dish Database'!J131*H392/100</f>
        <v>157.05</v>
      </c>
      <c r="K392" s="17" t="n">
        <f aca="false">'Dish Database'!K131*H392/100</f>
        <v>2.925</v>
      </c>
      <c r="L392" s="17" t="n">
        <f aca="false">'Dish Database'!L131*H392/100</f>
        <v>17.1</v>
      </c>
      <c r="M392" s="17" t="n">
        <f aca="false">'Dish Database'!M131*H392/100</f>
        <v>9</v>
      </c>
      <c r="N392" s="17" t="n">
        <f aca="false">'Dish Database'!N131*H392/100</f>
        <v>2.025</v>
      </c>
      <c r="O392" s="17" t="n">
        <f aca="false">'Dish Database'!O131*H392/100</f>
        <v>0.9</v>
      </c>
      <c r="P392" s="13" t="n">
        <f aca="false">'Dish Database'!P131*H392/100</f>
        <v>189</v>
      </c>
    </row>
    <row r="393" customFormat="false" ht="15" hidden="false" customHeight="false" outlineLevel="0" collapsed="false">
      <c r="A393" s="6" t="str">
        <f aca="false">'Dish Database'!A131</f>
        <v>D130</v>
      </c>
      <c r="B393" s="6" t="str">
        <f aca="false">'Dish Database'!B131</f>
        <v>Matar kachori</v>
      </c>
      <c r="C393" s="6" t="str">
        <f aca="false">'Dish Database'!D131</f>
        <v>Breakfast - North &amp; West</v>
      </c>
      <c r="D393" s="6" t="str">
        <f aca="false">'Dish Database'!F131</f>
        <v>Veg</v>
      </c>
      <c r="E393" s="6" t="str">
        <f aca="false">'Dish Database'!E131</f>
        <v>North</v>
      </c>
      <c r="F393" s="6" t="s">
        <v>2246</v>
      </c>
      <c r="G393" s="6" t="s">
        <v>2340</v>
      </c>
      <c r="H393" s="16" t="n">
        <v>60</v>
      </c>
      <c r="I393" s="6" t="str">
        <f aca="false">'Dish Database'!I131</f>
        <v>g</v>
      </c>
      <c r="J393" s="13" t="n">
        <f aca="false">'Dish Database'!J131*H393/100</f>
        <v>209.4</v>
      </c>
      <c r="K393" s="17" t="n">
        <f aca="false">'Dish Database'!K131*H393/100</f>
        <v>3.9</v>
      </c>
      <c r="L393" s="17" t="n">
        <f aca="false">'Dish Database'!L131*H393/100</f>
        <v>22.8</v>
      </c>
      <c r="M393" s="17" t="n">
        <f aca="false">'Dish Database'!M131*H393/100</f>
        <v>12</v>
      </c>
      <c r="N393" s="17" t="n">
        <f aca="false">'Dish Database'!N131*H393/100</f>
        <v>2.7</v>
      </c>
      <c r="O393" s="17" t="n">
        <f aca="false">'Dish Database'!O131*H393/100</f>
        <v>1.2</v>
      </c>
      <c r="P393" s="13" t="n">
        <f aca="false">'Dish Database'!P131*H393/100</f>
        <v>252</v>
      </c>
    </row>
    <row r="394" customFormat="false" ht="15" hidden="false" customHeight="false" outlineLevel="0" collapsed="false">
      <c r="A394" s="6" t="str">
        <f aca="false">'Dish Database'!A132</f>
        <v>D131</v>
      </c>
      <c r="B394" s="6" t="str">
        <f aca="false">'Dish Database'!B132</f>
        <v>Dhokla (khaman)</v>
      </c>
      <c r="C394" s="6" t="str">
        <f aca="false">'Dish Database'!D132</f>
        <v>Breakfast - North &amp; West</v>
      </c>
      <c r="D394" s="6" t="str">
        <f aca="false">'Dish Database'!F132</f>
        <v>Veg</v>
      </c>
      <c r="E394" s="6" t="str">
        <f aca="false">'Dish Database'!E132</f>
        <v>West</v>
      </c>
      <c r="F394" s="6" t="s">
        <v>2243</v>
      </c>
      <c r="G394" s="6" t="s">
        <v>2341</v>
      </c>
      <c r="H394" s="16" t="n">
        <v>25</v>
      </c>
      <c r="I394" s="6" t="str">
        <f aca="false">'Dish Database'!I132</f>
        <v>g</v>
      </c>
      <c r="J394" s="13" t="n">
        <f aca="false">'Dish Database'!J132*H394/100</f>
        <v>38.375</v>
      </c>
      <c r="K394" s="17" t="n">
        <f aca="false">'Dish Database'!K132*H394/100</f>
        <v>1.5</v>
      </c>
      <c r="L394" s="17" t="n">
        <f aca="false">'Dish Database'!L132*H394/100</f>
        <v>5.75</v>
      </c>
      <c r="M394" s="17" t="n">
        <f aca="false">'Dish Database'!M132*H394/100</f>
        <v>1.125</v>
      </c>
      <c r="N394" s="17" t="n">
        <f aca="false">'Dish Database'!N132*H394/100</f>
        <v>0.375</v>
      </c>
      <c r="O394" s="17" t="n">
        <f aca="false">'Dish Database'!O132*H394/100</f>
        <v>1.5</v>
      </c>
      <c r="P394" s="13" t="n">
        <f aca="false">'Dish Database'!P132*H394/100</f>
        <v>125</v>
      </c>
    </row>
    <row r="395" customFormat="false" ht="15" hidden="false" customHeight="false" outlineLevel="0" collapsed="false">
      <c r="A395" s="6" t="str">
        <f aca="false">'Dish Database'!A132</f>
        <v>D131</v>
      </c>
      <c r="B395" s="6" t="str">
        <f aca="false">'Dish Database'!B132</f>
        <v>Dhokla (khaman)</v>
      </c>
      <c r="C395" s="6" t="str">
        <f aca="false">'Dish Database'!D132</f>
        <v>Breakfast - North &amp; West</v>
      </c>
      <c r="D395" s="6" t="str">
        <f aca="false">'Dish Database'!F132</f>
        <v>Veg</v>
      </c>
      <c r="E395" s="6" t="str">
        <f aca="false">'Dish Database'!E132</f>
        <v>West</v>
      </c>
      <c r="F395" s="6" t="s">
        <v>103</v>
      </c>
      <c r="G395" s="6" t="s">
        <v>2342</v>
      </c>
      <c r="H395" s="16" t="n">
        <v>40</v>
      </c>
      <c r="I395" s="6" t="str">
        <f aca="false">'Dish Database'!I132</f>
        <v>g</v>
      </c>
      <c r="J395" s="13" t="n">
        <f aca="false">'Dish Database'!J132*H395/100</f>
        <v>61.4</v>
      </c>
      <c r="K395" s="17" t="n">
        <f aca="false">'Dish Database'!K132*H395/100</f>
        <v>2.4</v>
      </c>
      <c r="L395" s="17" t="n">
        <f aca="false">'Dish Database'!L132*H395/100</f>
        <v>9.2</v>
      </c>
      <c r="M395" s="17" t="n">
        <f aca="false">'Dish Database'!M132*H395/100</f>
        <v>1.8</v>
      </c>
      <c r="N395" s="17" t="n">
        <f aca="false">'Dish Database'!N132*H395/100</f>
        <v>0.6</v>
      </c>
      <c r="O395" s="17" t="n">
        <f aca="false">'Dish Database'!O132*H395/100</f>
        <v>2.4</v>
      </c>
      <c r="P395" s="13" t="n">
        <f aca="false">'Dish Database'!P132*H395/100</f>
        <v>200</v>
      </c>
    </row>
    <row r="396" customFormat="false" ht="15" hidden="false" customHeight="false" outlineLevel="0" collapsed="false">
      <c r="A396" s="6" t="str">
        <f aca="false">'Dish Database'!A132</f>
        <v>D131</v>
      </c>
      <c r="B396" s="6" t="str">
        <f aca="false">'Dish Database'!B132</f>
        <v>Dhokla (khaman)</v>
      </c>
      <c r="C396" s="6" t="str">
        <f aca="false">'Dish Database'!D132</f>
        <v>Breakfast - North &amp; West</v>
      </c>
      <c r="D396" s="6" t="str">
        <f aca="false">'Dish Database'!F132</f>
        <v>Veg</v>
      </c>
      <c r="E396" s="6" t="str">
        <f aca="false">'Dish Database'!E132</f>
        <v>West</v>
      </c>
      <c r="F396" s="6" t="s">
        <v>2246</v>
      </c>
      <c r="G396" s="6" t="s">
        <v>2343</v>
      </c>
      <c r="H396" s="16" t="n">
        <v>60</v>
      </c>
      <c r="I396" s="6" t="str">
        <f aca="false">'Dish Database'!I132</f>
        <v>g</v>
      </c>
      <c r="J396" s="13" t="n">
        <f aca="false">'Dish Database'!J132*H396/100</f>
        <v>92.1</v>
      </c>
      <c r="K396" s="17" t="n">
        <f aca="false">'Dish Database'!K132*H396/100</f>
        <v>3.6</v>
      </c>
      <c r="L396" s="17" t="n">
        <f aca="false">'Dish Database'!L132*H396/100</f>
        <v>13.8</v>
      </c>
      <c r="M396" s="17" t="n">
        <f aca="false">'Dish Database'!M132*H396/100</f>
        <v>2.7</v>
      </c>
      <c r="N396" s="17" t="n">
        <f aca="false">'Dish Database'!N132*H396/100</f>
        <v>0.9</v>
      </c>
      <c r="O396" s="17" t="n">
        <f aca="false">'Dish Database'!O132*H396/100</f>
        <v>3.6</v>
      </c>
      <c r="P396" s="13" t="n">
        <f aca="false">'Dish Database'!P132*H396/100</f>
        <v>300</v>
      </c>
    </row>
    <row r="397" customFormat="false" ht="15" hidden="false" customHeight="false" outlineLevel="0" collapsed="false">
      <c r="A397" s="6" t="str">
        <f aca="false">'Dish Database'!A133</f>
        <v>D132</v>
      </c>
      <c r="B397" s="6" t="str">
        <f aca="false">'Dish Database'!B133</f>
        <v>Rava dhokla</v>
      </c>
      <c r="C397" s="6" t="str">
        <f aca="false">'Dish Database'!D133</f>
        <v>Breakfast - North &amp; West</v>
      </c>
      <c r="D397" s="6" t="str">
        <f aca="false">'Dish Database'!F133</f>
        <v>Veg</v>
      </c>
      <c r="E397" s="6" t="str">
        <f aca="false">'Dish Database'!E133</f>
        <v>West</v>
      </c>
      <c r="F397" s="6" t="s">
        <v>2243</v>
      </c>
      <c r="G397" s="6" t="s">
        <v>2341</v>
      </c>
      <c r="H397" s="16" t="n">
        <v>25</v>
      </c>
      <c r="I397" s="6" t="str">
        <f aca="false">'Dish Database'!I133</f>
        <v>g</v>
      </c>
      <c r="J397" s="13" t="n">
        <f aca="false">'Dish Database'!J133*H397/100</f>
        <v>41.25</v>
      </c>
      <c r="K397" s="17" t="n">
        <f aca="false">'Dish Database'!K133*H397/100</f>
        <v>1.125</v>
      </c>
      <c r="L397" s="17" t="n">
        <f aca="false">'Dish Database'!L133*H397/100</f>
        <v>6.5</v>
      </c>
      <c r="M397" s="17" t="n">
        <f aca="false">'Dish Database'!M133*H397/100</f>
        <v>1.25</v>
      </c>
      <c r="N397" s="17" t="n">
        <f aca="false">'Dish Database'!N133*H397/100</f>
        <v>0.25</v>
      </c>
      <c r="O397" s="17" t="n">
        <f aca="false">'Dish Database'!O133*H397/100</f>
        <v>0.75</v>
      </c>
      <c r="P397" s="13" t="n">
        <f aca="false">'Dish Database'!P133*H397/100</f>
        <v>112.5</v>
      </c>
    </row>
    <row r="398" customFormat="false" ht="15" hidden="false" customHeight="false" outlineLevel="0" collapsed="false">
      <c r="A398" s="6" t="str">
        <f aca="false">'Dish Database'!A133</f>
        <v>D132</v>
      </c>
      <c r="B398" s="6" t="str">
        <f aca="false">'Dish Database'!B133</f>
        <v>Rava dhokla</v>
      </c>
      <c r="C398" s="6" t="str">
        <f aca="false">'Dish Database'!D133</f>
        <v>Breakfast - North &amp; West</v>
      </c>
      <c r="D398" s="6" t="str">
        <f aca="false">'Dish Database'!F133</f>
        <v>Veg</v>
      </c>
      <c r="E398" s="6" t="str">
        <f aca="false">'Dish Database'!E133</f>
        <v>West</v>
      </c>
      <c r="F398" s="6" t="s">
        <v>103</v>
      </c>
      <c r="G398" s="6" t="s">
        <v>2342</v>
      </c>
      <c r="H398" s="16" t="n">
        <v>40</v>
      </c>
      <c r="I398" s="6" t="str">
        <f aca="false">'Dish Database'!I133</f>
        <v>g</v>
      </c>
      <c r="J398" s="13" t="n">
        <f aca="false">'Dish Database'!J133*H398/100</f>
        <v>66</v>
      </c>
      <c r="K398" s="17" t="n">
        <f aca="false">'Dish Database'!K133*H398/100</f>
        <v>1.8</v>
      </c>
      <c r="L398" s="17" t="n">
        <f aca="false">'Dish Database'!L133*H398/100</f>
        <v>10.4</v>
      </c>
      <c r="M398" s="17" t="n">
        <f aca="false">'Dish Database'!M133*H398/100</f>
        <v>2</v>
      </c>
      <c r="N398" s="17" t="n">
        <f aca="false">'Dish Database'!N133*H398/100</f>
        <v>0.4</v>
      </c>
      <c r="O398" s="17" t="n">
        <f aca="false">'Dish Database'!O133*H398/100</f>
        <v>1.2</v>
      </c>
      <c r="P398" s="13" t="n">
        <f aca="false">'Dish Database'!P133*H398/100</f>
        <v>180</v>
      </c>
    </row>
    <row r="399" customFormat="false" ht="15" hidden="false" customHeight="false" outlineLevel="0" collapsed="false">
      <c r="A399" s="6" t="str">
        <f aca="false">'Dish Database'!A133</f>
        <v>D132</v>
      </c>
      <c r="B399" s="6" t="str">
        <f aca="false">'Dish Database'!B133</f>
        <v>Rava dhokla</v>
      </c>
      <c r="C399" s="6" t="str">
        <f aca="false">'Dish Database'!D133</f>
        <v>Breakfast - North &amp; West</v>
      </c>
      <c r="D399" s="6" t="str">
        <f aca="false">'Dish Database'!F133</f>
        <v>Veg</v>
      </c>
      <c r="E399" s="6" t="str">
        <f aca="false">'Dish Database'!E133</f>
        <v>West</v>
      </c>
      <c r="F399" s="6" t="s">
        <v>2246</v>
      </c>
      <c r="G399" s="6" t="s">
        <v>2343</v>
      </c>
      <c r="H399" s="16" t="n">
        <v>60</v>
      </c>
      <c r="I399" s="6" t="str">
        <f aca="false">'Dish Database'!I133</f>
        <v>g</v>
      </c>
      <c r="J399" s="13" t="n">
        <f aca="false">'Dish Database'!J133*H399/100</f>
        <v>99</v>
      </c>
      <c r="K399" s="17" t="n">
        <f aca="false">'Dish Database'!K133*H399/100</f>
        <v>2.7</v>
      </c>
      <c r="L399" s="17" t="n">
        <f aca="false">'Dish Database'!L133*H399/100</f>
        <v>15.6</v>
      </c>
      <c r="M399" s="17" t="n">
        <f aca="false">'Dish Database'!M133*H399/100</f>
        <v>3</v>
      </c>
      <c r="N399" s="17" t="n">
        <f aca="false">'Dish Database'!N133*H399/100</f>
        <v>0.6</v>
      </c>
      <c r="O399" s="17" t="n">
        <f aca="false">'Dish Database'!O133*H399/100</f>
        <v>1.8</v>
      </c>
      <c r="P399" s="13" t="n">
        <f aca="false">'Dish Database'!P133*H399/100</f>
        <v>270</v>
      </c>
    </row>
    <row r="400" customFormat="false" ht="15" hidden="false" customHeight="false" outlineLevel="0" collapsed="false">
      <c r="A400" s="6" t="str">
        <f aca="false">'Dish Database'!A134</f>
        <v>D133</v>
      </c>
      <c r="B400" s="6" t="str">
        <f aca="false">'Dish Database'!B134</f>
        <v>Khandvi</v>
      </c>
      <c r="C400" s="6" t="str">
        <f aca="false">'Dish Database'!D134</f>
        <v>Breakfast - North &amp; West</v>
      </c>
      <c r="D400" s="6" t="str">
        <f aca="false">'Dish Database'!F134</f>
        <v>Veg</v>
      </c>
      <c r="E400" s="6" t="str">
        <f aca="false">'Dish Database'!E134</f>
        <v>West</v>
      </c>
      <c r="F400" s="6" t="s">
        <v>2243</v>
      </c>
      <c r="G400" s="6" t="s">
        <v>2344</v>
      </c>
      <c r="H400" s="16" t="n">
        <v>50</v>
      </c>
      <c r="I400" s="6" t="str">
        <f aca="false">'Dish Database'!I134</f>
        <v>g</v>
      </c>
      <c r="J400" s="13" t="n">
        <f aca="false">'Dish Database'!J134*H400/100</f>
        <v>83.5</v>
      </c>
      <c r="K400" s="17" t="n">
        <f aca="false">'Dish Database'!K134*H400/100</f>
        <v>3.5</v>
      </c>
      <c r="L400" s="17" t="n">
        <f aca="false">'Dish Database'!L134*H400/100</f>
        <v>9</v>
      </c>
      <c r="M400" s="17" t="n">
        <f aca="false">'Dish Database'!M134*H400/100</f>
        <v>4</v>
      </c>
      <c r="N400" s="17" t="n">
        <f aca="false">'Dish Database'!N134*H400/100</f>
        <v>1.25</v>
      </c>
      <c r="O400" s="17" t="n">
        <f aca="false">'Dish Database'!O134*H400/100</f>
        <v>1.25</v>
      </c>
      <c r="P400" s="13" t="n">
        <f aca="false">'Dish Database'!P134*H400/100</f>
        <v>225</v>
      </c>
    </row>
    <row r="401" customFormat="false" ht="15" hidden="false" customHeight="false" outlineLevel="0" collapsed="false">
      <c r="A401" s="6" t="str">
        <f aca="false">'Dish Database'!A134</f>
        <v>D133</v>
      </c>
      <c r="B401" s="6" t="str">
        <f aca="false">'Dish Database'!B134</f>
        <v>Khandvi</v>
      </c>
      <c r="C401" s="6" t="str">
        <f aca="false">'Dish Database'!D134</f>
        <v>Breakfast - North &amp; West</v>
      </c>
      <c r="D401" s="6" t="str">
        <f aca="false">'Dish Database'!F134</f>
        <v>Veg</v>
      </c>
      <c r="E401" s="6" t="str">
        <f aca="false">'Dish Database'!E134</f>
        <v>West</v>
      </c>
      <c r="F401" s="6" t="s">
        <v>103</v>
      </c>
      <c r="G401" s="6" t="s">
        <v>2345</v>
      </c>
      <c r="H401" s="16" t="n">
        <v>100</v>
      </c>
      <c r="I401" s="6" t="str">
        <f aca="false">'Dish Database'!I134</f>
        <v>g</v>
      </c>
      <c r="J401" s="13" t="n">
        <f aca="false">'Dish Database'!J134*H401/100</f>
        <v>167</v>
      </c>
      <c r="K401" s="17" t="n">
        <f aca="false">'Dish Database'!K134*H401/100</f>
        <v>7</v>
      </c>
      <c r="L401" s="17" t="n">
        <f aca="false">'Dish Database'!L134*H401/100</f>
        <v>18</v>
      </c>
      <c r="M401" s="17" t="n">
        <f aca="false">'Dish Database'!M134*H401/100</f>
        <v>8</v>
      </c>
      <c r="N401" s="17" t="n">
        <f aca="false">'Dish Database'!N134*H401/100</f>
        <v>2.5</v>
      </c>
      <c r="O401" s="17" t="n">
        <f aca="false">'Dish Database'!O134*H401/100</f>
        <v>2.5</v>
      </c>
      <c r="P401" s="13" t="n">
        <f aca="false">'Dish Database'!P134*H401/100</f>
        <v>450</v>
      </c>
    </row>
    <row r="402" customFormat="false" ht="15" hidden="false" customHeight="false" outlineLevel="0" collapsed="false">
      <c r="A402" s="6" t="str">
        <f aca="false">'Dish Database'!A134</f>
        <v>D133</v>
      </c>
      <c r="B402" s="6" t="str">
        <f aca="false">'Dish Database'!B134</f>
        <v>Khandvi</v>
      </c>
      <c r="C402" s="6" t="str">
        <f aca="false">'Dish Database'!D134</f>
        <v>Breakfast - North &amp; West</v>
      </c>
      <c r="D402" s="6" t="str">
        <f aca="false">'Dish Database'!F134</f>
        <v>Veg</v>
      </c>
      <c r="E402" s="6" t="str">
        <f aca="false">'Dish Database'!E134</f>
        <v>West</v>
      </c>
      <c r="F402" s="6" t="s">
        <v>2246</v>
      </c>
      <c r="G402" s="6" t="s">
        <v>2346</v>
      </c>
      <c r="H402" s="16" t="n">
        <v>150</v>
      </c>
      <c r="I402" s="6" t="str">
        <f aca="false">'Dish Database'!I134</f>
        <v>g</v>
      </c>
      <c r="J402" s="13" t="n">
        <f aca="false">'Dish Database'!J134*H402/100</f>
        <v>250.5</v>
      </c>
      <c r="K402" s="17" t="n">
        <f aca="false">'Dish Database'!K134*H402/100</f>
        <v>10.5</v>
      </c>
      <c r="L402" s="17" t="n">
        <f aca="false">'Dish Database'!L134*H402/100</f>
        <v>27</v>
      </c>
      <c r="M402" s="17" t="n">
        <f aca="false">'Dish Database'!M134*H402/100</f>
        <v>12</v>
      </c>
      <c r="N402" s="17" t="n">
        <f aca="false">'Dish Database'!N134*H402/100</f>
        <v>3.75</v>
      </c>
      <c r="O402" s="17" t="n">
        <f aca="false">'Dish Database'!O134*H402/100</f>
        <v>3.75</v>
      </c>
      <c r="P402" s="13" t="n">
        <f aca="false">'Dish Database'!P134*H402/100</f>
        <v>675</v>
      </c>
    </row>
    <row r="403" customFormat="false" ht="15" hidden="false" customHeight="false" outlineLevel="0" collapsed="false">
      <c r="A403" s="6" t="str">
        <f aca="false">'Dish Database'!A135</f>
        <v>D134</v>
      </c>
      <c r="B403" s="6" t="str">
        <f aca="false">'Dish Database'!B135</f>
        <v>Handvo</v>
      </c>
      <c r="C403" s="6" t="str">
        <f aca="false">'Dish Database'!D135</f>
        <v>Breakfast - North &amp; West</v>
      </c>
      <c r="D403" s="6" t="str">
        <f aca="false">'Dish Database'!F135</f>
        <v>Veg</v>
      </c>
      <c r="E403" s="6" t="str">
        <f aca="false">'Dish Database'!E135</f>
        <v>West</v>
      </c>
      <c r="F403" s="6" t="s">
        <v>2243</v>
      </c>
      <c r="G403" s="6" t="s">
        <v>2347</v>
      </c>
      <c r="H403" s="16" t="n">
        <v>60</v>
      </c>
      <c r="I403" s="6" t="str">
        <f aca="false">'Dish Database'!I135</f>
        <v>g</v>
      </c>
      <c r="J403" s="13" t="n">
        <f aca="false">'Dish Database'!J135*H403/100</f>
        <v>121.2</v>
      </c>
      <c r="K403" s="17" t="n">
        <f aca="false">'Dish Database'!K135*H403/100</f>
        <v>4.2</v>
      </c>
      <c r="L403" s="17" t="n">
        <f aca="false">'Dish Database'!L135*H403/100</f>
        <v>15</v>
      </c>
      <c r="M403" s="17" t="n">
        <f aca="false">'Dish Database'!M135*H403/100</f>
        <v>5.4</v>
      </c>
      <c r="N403" s="17" t="n">
        <f aca="false">'Dish Database'!N135*H403/100</f>
        <v>2.1</v>
      </c>
      <c r="O403" s="17" t="n">
        <f aca="false">'Dish Database'!O135*H403/100</f>
        <v>1.8</v>
      </c>
      <c r="P403" s="13" t="n">
        <f aca="false">'Dish Database'!P135*H403/100</f>
        <v>240</v>
      </c>
    </row>
    <row r="404" customFormat="false" ht="15" hidden="false" customHeight="false" outlineLevel="0" collapsed="false">
      <c r="A404" s="6" t="str">
        <f aca="false">'Dish Database'!A135</f>
        <v>D134</v>
      </c>
      <c r="B404" s="6" t="str">
        <f aca="false">'Dish Database'!B135</f>
        <v>Handvo</v>
      </c>
      <c r="C404" s="6" t="str">
        <f aca="false">'Dish Database'!D135</f>
        <v>Breakfast - North &amp; West</v>
      </c>
      <c r="D404" s="6" t="str">
        <f aca="false">'Dish Database'!F135</f>
        <v>Veg</v>
      </c>
      <c r="E404" s="6" t="str">
        <f aca="false">'Dish Database'!E135</f>
        <v>West</v>
      </c>
      <c r="F404" s="6" t="s">
        <v>103</v>
      </c>
      <c r="G404" s="6" t="s">
        <v>2348</v>
      </c>
      <c r="H404" s="16" t="n">
        <v>100</v>
      </c>
      <c r="I404" s="6" t="str">
        <f aca="false">'Dish Database'!I135</f>
        <v>g</v>
      </c>
      <c r="J404" s="13" t="n">
        <f aca="false">'Dish Database'!J135*H404/100</f>
        <v>202</v>
      </c>
      <c r="K404" s="17" t="n">
        <f aca="false">'Dish Database'!K135*H404/100</f>
        <v>7</v>
      </c>
      <c r="L404" s="17" t="n">
        <f aca="false">'Dish Database'!L135*H404/100</f>
        <v>25</v>
      </c>
      <c r="M404" s="17" t="n">
        <f aca="false">'Dish Database'!M135*H404/100</f>
        <v>9</v>
      </c>
      <c r="N404" s="17" t="n">
        <f aca="false">'Dish Database'!N135*H404/100</f>
        <v>3.5</v>
      </c>
      <c r="O404" s="17" t="n">
        <f aca="false">'Dish Database'!O135*H404/100</f>
        <v>3</v>
      </c>
      <c r="P404" s="13" t="n">
        <f aca="false">'Dish Database'!P135*H404/100</f>
        <v>400</v>
      </c>
    </row>
    <row r="405" customFormat="false" ht="15" hidden="false" customHeight="false" outlineLevel="0" collapsed="false">
      <c r="A405" s="6" t="str">
        <f aca="false">'Dish Database'!A135</f>
        <v>D134</v>
      </c>
      <c r="B405" s="6" t="str">
        <f aca="false">'Dish Database'!B135</f>
        <v>Handvo</v>
      </c>
      <c r="C405" s="6" t="str">
        <f aca="false">'Dish Database'!D135</f>
        <v>Breakfast - North &amp; West</v>
      </c>
      <c r="D405" s="6" t="str">
        <f aca="false">'Dish Database'!F135</f>
        <v>Veg</v>
      </c>
      <c r="E405" s="6" t="str">
        <f aca="false">'Dish Database'!E135</f>
        <v>West</v>
      </c>
      <c r="F405" s="6" t="s">
        <v>2246</v>
      </c>
      <c r="G405" s="6" t="s">
        <v>2349</v>
      </c>
      <c r="H405" s="16" t="n">
        <v>150</v>
      </c>
      <c r="I405" s="6" t="str">
        <f aca="false">'Dish Database'!I135</f>
        <v>g</v>
      </c>
      <c r="J405" s="13" t="n">
        <f aca="false">'Dish Database'!J135*H405/100</f>
        <v>303</v>
      </c>
      <c r="K405" s="17" t="n">
        <f aca="false">'Dish Database'!K135*H405/100</f>
        <v>10.5</v>
      </c>
      <c r="L405" s="17" t="n">
        <f aca="false">'Dish Database'!L135*H405/100</f>
        <v>37.5</v>
      </c>
      <c r="M405" s="17" t="n">
        <f aca="false">'Dish Database'!M135*H405/100</f>
        <v>13.5</v>
      </c>
      <c r="N405" s="17" t="n">
        <f aca="false">'Dish Database'!N135*H405/100</f>
        <v>5.25</v>
      </c>
      <c r="O405" s="17" t="n">
        <f aca="false">'Dish Database'!O135*H405/100</f>
        <v>4.5</v>
      </c>
      <c r="P405" s="13" t="n">
        <f aca="false">'Dish Database'!P135*H405/100</f>
        <v>600</v>
      </c>
    </row>
    <row r="406" customFormat="false" ht="15" hidden="false" customHeight="false" outlineLevel="0" collapsed="false">
      <c r="A406" s="6" t="str">
        <f aca="false">'Dish Database'!A136</f>
        <v>D135</v>
      </c>
      <c r="B406" s="6" t="str">
        <f aca="false">'Dish Database'!B136</f>
        <v>Khakhra (plain/methi)</v>
      </c>
      <c r="C406" s="6" t="str">
        <f aca="false">'Dish Database'!D136</f>
        <v>Breakfast - North &amp; West</v>
      </c>
      <c r="D406" s="6" t="str">
        <f aca="false">'Dish Database'!F136</f>
        <v>Veg</v>
      </c>
      <c r="E406" s="6" t="str">
        <f aca="false">'Dish Database'!E136</f>
        <v>West</v>
      </c>
      <c r="F406" s="6" t="s">
        <v>2243</v>
      </c>
      <c r="G406" s="6" t="s">
        <v>2350</v>
      </c>
      <c r="H406" s="16" t="n">
        <v>15</v>
      </c>
      <c r="I406" s="6" t="str">
        <f aca="false">'Dish Database'!I136</f>
        <v>g</v>
      </c>
      <c r="J406" s="13" t="n">
        <f aca="false">'Dish Database'!J136*H406/100</f>
        <v>58.65</v>
      </c>
      <c r="K406" s="17" t="n">
        <f aca="false">'Dish Database'!K136*H406/100</f>
        <v>1.65</v>
      </c>
      <c r="L406" s="17" t="n">
        <f aca="false">'Dish Database'!L136*H406/100</f>
        <v>9.3</v>
      </c>
      <c r="M406" s="17" t="n">
        <f aca="false">'Dish Database'!M136*H406/100</f>
        <v>1.95</v>
      </c>
      <c r="N406" s="17" t="n">
        <f aca="false">'Dish Database'!N136*H406/100</f>
        <v>1.35</v>
      </c>
      <c r="O406" s="17" t="n">
        <f aca="false">'Dish Database'!O136*H406/100</f>
        <v>0.3</v>
      </c>
      <c r="P406" s="13" t="n">
        <f aca="false">'Dish Database'!P136*H406/100</f>
        <v>120</v>
      </c>
    </row>
    <row r="407" customFormat="false" ht="15" hidden="false" customHeight="false" outlineLevel="0" collapsed="false">
      <c r="A407" s="6" t="str">
        <f aca="false">'Dish Database'!A136</f>
        <v>D135</v>
      </c>
      <c r="B407" s="6" t="str">
        <f aca="false">'Dish Database'!B136</f>
        <v>Khakhra (plain/methi)</v>
      </c>
      <c r="C407" s="6" t="str">
        <f aca="false">'Dish Database'!D136</f>
        <v>Breakfast - North &amp; West</v>
      </c>
      <c r="D407" s="6" t="str">
        <f aca="false">'Dish Database'!F136</f>
        <v>Veg</v>
      </c>
      <c r="E407" s="6" t="str">
        <f aca="false">'Dish Database'!E136</f>
        <v>West</v>
      </c>
      <c r="F407" s="6" t="s">
        <v>103</v>
      </c>
      <c r="G407" s="6" t="s">
        <v>2351</v>
      </c>
      <c r="H407" s="16" t="n">
        <v>20</v>
      </c>
      <c r="I407" s="6" t="str">
        <f aca="false">'Dish Database'!I136</f>
        <v>g</v>
      </c>
      <c r="J407" s="13" t="n">
        <f aca="false">'Dish Database'!J136*H407/100</f>
        <v>78.2</v>
      </c>
      <c r="K407" s="17" t="n">
        <f aca="false">'Dish Database'!K136*H407/100</f>
        <v>2.2</v>
      </c>
      <c r="L407" s="17" t="n">
        <f aca="false">'Dish Database'!L136*H407/100</f>
        <v>12.4</v>
      </c>
      <c r="M407" s="17" t="n">
        <f aca="false">'Dish Database'!M136*H407/100</f>
        <v>2.6</v>
      </c>
      <c r="N407" s="17" t="n">
        <f aca="false">'Dish Database'!N136*H407/100</f>
        <v>1.8</v>
      </c>
      <c r="O407" s="17" t="n">
        <f aca="false">'Dish Database'!O136*H407/100</f>
        <v>0.4</v>
      </c>
      <c r="P407" s="13" t="n">
        <f aca="false">'Dish Database'!P136*H407/100</f>
        <v>160</v>
      </c>
    </row>
    <row r="408" customFormat="false" ht="15" hidden="false" customHeight="false" outlineLevel="0" collapsed="false">
      <c r="A408" s="6" t="str">
        <f aca="false">'Dish Database'!A136</f>
        <v>D135</v>
      </c>
      <c r="B408" s="6" t="str">
        <f aca="false">'Dish Database'!B136</f>
        <v>Khakhra (plain/methi)</v>
      </c>
      <c r="C408" s="6" t="str">
        <f aca="false">'Dish Database'!D136</f>
        <v>Breakfast - North &amp; West</v>
      </c>
      <c r="D408" s="6" t="str">
        <f aca="false">'Dish Database'!F136</f>
        <v>Veg</v>
      </c>
      <c r="E408" s="6" t="str">
        <f aca="false">'Dish Database'!E136</f>
        <v>West</v>
      </c>
      <c r="F408" s="6" t="s">
        <v>2246</v>
      </c>
      <c r="G408" s="6" t="s">
        <v>2352</v>
      </c>
      <c r="H408" s="16" t="n">
        <v>30</v>
      </c>
      <c r="I408" s="6" t="str">
        <f aca="false">'Dish Database'!I136</f>
        <v>g</v>
      </c>
      <c r="J408" s="13" t="n">
        <f aca="false">'Dish Database'!J136*H408/100</f>
        <v>117.3</v>
      </c>
      <c r="K408" s="17" t="n">
        <f aca="false">'Dish Database'!K136*H408/100</f>
        <v>3.3</v>
      </c>
      <c r="L408" s="17" t="n">
        <f aca="false">'Dish Database'!L136*H408/100</f>
        <v>18.6</v>
      </c>
      <c r="M408" s="17" t="n">
        <f aca="false">'Dish Database'!M136*H408/100</f>
        <v>3.9</v>
      </c>
      <c r="N408" s="17" t="n">
        <f aca="false">'Dish Database'!N136*H408/100</f>
        <v>2.7</v>
      </c>
      <c r="O408" s="17" t="n">
        <f aca="false">'Dish Database'!O136*H408/100</f>
        <v>0.6</v>
      </c>
      <c r="P408" s="13" t="n">
        <f aca="false">'Dish Database'!P136*H408/100</f>
        <v>240</v>
      </c>
    </row>
    <row r="409" customFormat="false" ht="15" hidden="false" customHeight="false" outlineLevel="0" collapsed="false">
      <c r="A409" s="6" t="str">
        <f aca="false">'Dish Database'!A137</f>
        <v>D136</v>
      </c>
      <c r="B409" s="6" t="str">
        <f aca="false">'Dish Database'!B137</f>
        <v>Fafda</v>
      </c>
      <c r="C409" s="6" t="str">
        <f aca="false">'Dish Database'!D137</f>
        <v>Breakfast - North &amp; West</v>
      </c>
      <c r="D409" s="6" t="str">
        <f aca="false">'Dish Database'!F137</f>
        <v>Veg</v>
      </c>
      <c r="E409" s="6" t="str">
        <f aca="false">'Dish Database'!E137</f>
        <v>West</v>
      </c>
      <c r="F409" s="6" t="s">
        <v>2243</v>
      </c>
      <c r="G409" s="6" t="s">
        <v>2353</v>
      </c>
      <c r="H409" s="16" t="n">
        <v>25</v>
      </c>
      <c r="I409" s="6" t="str">
        <f aca="false">'Dish Database'!I137</f>
        <v>g</v>
      </c>
      <c r="J409" s="13" t="n">
        <f aca="false">'Dish Database'!J137*H409/100</f>
        <v>116.5</v>
      </c>
      <c r="K409" s="17" t="n">
        <f aca="false">'Dish Database'!K137*H409/100</f>
        <v>3</v>
      </c>
      <c r="L409" s="17" t="n">
        <f aca="false">'Dish Database'!L137*H409/100</f>
        <v>10</v>
      </c>
      <c r="M409" s="17" t="n">
        <f aca="false">'Dish Database'!M137*H409/100</f>
        <v>7.5</v>
      </c>
      <c r="N409" s="17" t="n">
        <f aca="false">'Dish Database'!N137*H409/100</f>
        <v>1.5</v>
      </c>
      <c r="O409" s="17" t="n">
        <f aca="false">'Dish Database'!O137*H409/100</f>
        <v>0.375</v>
      </c>
      <c r="P409" s="13" t="n">
        <f aca="false">'Dish Database'!P137*H409/100</f>
        <v>175</v>
      </c>
    </row>
    <row r="410" customFormat="false" ht="15" hidden="false" customHeight="false" outlineLevel="0" collapsed="false">
      <c r="A410" s="6" t="str">
        <f aca="false">'Dish Database'!A137</f>
        <v>D136</v>
      </c>
      <c r="B410" s="6" t="str">
        <f aca="false">'Dish Database'!B137</f>
        <v>Fafda</v>
      </c>
      <c r="C410" s="6" t="str">
        <f aca="false">'Dish Database'!D137</f>
        <v>Breakfast - North &amp; West</v>
      </c>
      <c r="D410" s="6" t="str">
        <f aca="false">'Dish Database'!F137</f>
        <v>Veg</v>
      </c>
      <c r="E410" s="6" t="str">
        <f aca="false">'Dish Database'!E137</f>
        <v>West</v>
      </c>
      <c r="F410" s="6" t="s">
        <v>103</v>
      </c>
      <c r="G410" s="6" t="s">
        <v>2354</v>
      </c>
      <c r="H410" s="16" t="n">
        <v>50</v>
      </c>
      <c r="I410" s="6" t="str">
        <f aca="false">'Dish Database'!I137</f>
        <v>g</v>
      </c>
      <c r="J410" s="13" t="n">
        <f aca="false">'Dish Database'!J137*H410/100</f>
        <v>233</v>
      </c>
      <c r="K410" s="17" t="n">
        <f aca="false">'Dish Database'!K137*H410/100</f>
        <v>6</v>
      </c>
      <c r="L410" s="17" t="n">
        <f aca="false">'Dish Database'!L137*H410/100</f>
        <v>20</v>
      </c>
      <c r="M410" s="17" t="n">
        <f aca="false">'Dish Database'!M137*H410/100</f>
        <v>15</v>
      </c>
      <c r="N410" s="17" t="n">
        <f aca="false">'Dish Database'!N137*H410/100</f>
        <v>3</v>
      </c>
      <c r="O410" s="17" t="n">
        <f aca="false">'Dish Database'!O137*H410/100</f>
        <v>0.75</v>
      </c>
      <c r="P410" s="13" t="n">
        <f aca="false">'Dish Database'!P137*H410/100</f>
        <v>350</v>
      </c>
    </row>
    <row r="411" customFormat="false" ht="15" hidden="false" customHeight="false" outlineLevel="0" collapsed="false">
      <c r="A411" s="6" t="str">
        <f aca="false">'Dish Database'!A137</f>
        <v>D136</v>
      </c>
      <c r="B411" s="6" t="str">
        <f aca="false">'Dish Database'!B137</f>
        <v>Fafda</v>
      </c>
      <c r="C411" s="6" t="str">
        <f aca="false">'Dish Database'!D137</f>
        <v>Breakfast - North &amp; West</v>
      </c>
      <c r="D411" s="6" t="str">
        <f aca="false">'Dish Database'!F137</f>
        <v>Veg</v>
      </c>
      <c r="E411" s="6" t="str">
        <f aca="false">'Dish Database'!E137</f>
        <v>West</v>
      </c>
      <c r="F411" s="6" t="s">
        <v>2246</v>
      </c>
      <c r="G411" s="6" t="s">
        <v>2266</v>
      </c>
      <c r="H411" s="16" t="n">
        <v>100</v>
      </c>
      <c r="I411" s="6" t="str">
        <f aca="false">'Dish Database'!I137</f>
        <v>g</v>
      </c>
      <c r="J411" s="13" t="n">
        <f aca="false">'Dish Database'!J137*H411/100</f>
        <v>466</v>
      </c>
      <c r="K411" s="17" t="n">
        <f aca="false">'Dish Database'!K137*H411/100</f>
        <v>12</v>
      </c>
      <c r="L411" s="17" t="n">
        <f aca="false">'Dish Database'!L137*H411/100</f>
        <v>40</v>
      </c>
      <c r="M411" s="17" t="n">
        <f aca="false">'Dish Database'!M137*H411/100</f>
        <v>30</v>
      </c>
      <c r="N411" s="17" t="n">
        <f aca="false">'Dish Database'!N137*H411/100</f>
        <v>6</v>
      </c>
      <c r="O411" s="17" t="n">
        <f aca="false">'Dish Database'!O137*H411/100</f>
        <v>1.5</v>
      </c>
      <c r="P411" s="13" t="n">
        <f aca="false">'Dish Database'!P137*H411/100</f>
        <v>700</v>
      </c>
    </row>
    <row r="412" customFormat="false" ht="15" hidden="false" customHeight="false" outlineLevel="0" collapsed="false">
      <c r="A412" s="6" t="str">
        <f aca="false">'Dish Database'!A138</f>
        <v>D137</v>
      </c>
      <c r="B412" s="6" t="str">
        <f aca="false">'Dish Database'!B138</f>
        <v>Bun maska</v>
      </c>
      <c r="C412" s="6" t="str">
        <f aca="false">'Dish Database'!D138</f>
        <v>Breakfast - North &amp; West</v>
      </c>
      <c r="D412" s="6" t="str">
        <f aca="false">'Dish Database'!F138</f>
        <v>Veg</v>
      </c>
      <c r="E412" s="6" t="str">
        <f aca="false">'Dish Database'!E138</f>
        <v>West</v>
      </c>
      <c r="F412" s="6" t="s">
        <v>2243</v>
      </c>
      <c r="G412" s="6" t="s">
        <v>2355</v>
      </c>
      <c r="H412" s="16" t="n">
        <v>60</v>
      </c>
      <c r="I412" s="6" t="str">
        <f aca="false">'Dish Database'!I138</f>
        <v>g</v>
      </c>
      <c r="J412" s="13" t="n">
        <f aca="false">'Dish Database'!J138*H412/100</f>
        <v>204.84</v>
      </c>
      <c r="K412" s="17" t="n">
        <f aca="false">'Dish Database'!K138*H412/100</f>
        <v>4.5</v>
      </c>
      <c r="L412" s="17" t="n">
        <f aca="false">'Dish Database'!L138*H412/100</f>
        <v>27</v>
      </c>
      <c r="M412" s="17" t="n">
        <f aca="false">'Dish Database'!M138*H412/100</f>
        <v>9</v>
      </c>
      <c r="N412" s="17" t="n">
        <f aca="false">'Dish Database'!N138*H412/100</f>
        <v>1.08</v>
      </c>
      <c r="O412" s="17" t="n">
        <f aca="false">'Dish Database'!O138*H412/100</f>
        <v>5.4</v>
      </c>
      <c r="P412" s="13" t="n">
        <f aca="false">'Dish Database'!P138*H412/100</f>
        <v>270</v>
      </c>
    </row>
    <row r="413" customFormat="false" ht="15" hidden="false" customHeight="false" outlineLevel="0" collapsed="false">
      <c r="A413" s="6" t="str">
        <f aca="false">'Dish Database'!A138</f>
        <v>D137</v>
      </c>
      <c r="B413" s="6" t="str">
        <f aca="false">'Dish Database'!B138</f>
        <v>Bun maska</v>
      </c>
      <c r="C413" s="6" t="str">
        <f aca="false">'Dish Database'!D138</f>
        <v>Breakfast - North &amp; West</v>
      </c>
      <c r="D413" s="6" t="str">
        <f aca="false">'Dish Database'!F138</f>
        <v>Veg</v>
      </c>
      <c r="E413" s="6" t="str">
        <f aca="false">'Dish Database'!E138</f>
        <v>West</v>
      </c>
      <c r="F413" s="6" t="s">
        <v>103</v>
      </c>
      <c r="G413" s="6" t="s">
        <v>2356</v>
      </c>
      <c r="H413" s="16" t="n">
        <v>80</v>
      </c>
      <c r="I413" s="6" t="str">
        <f aca="false">'Dish Database'!I138</f>
        <v>g</v>
      </c>
      <c r="J413" s="13" t="n">
        <f aca="false">'Dish Database'!J138*H413/100</f>
        <v>273.12</v>
      </c>
      <c r="K413" s="17" t="n">
        <f aca="false">'Dish Database'!K138*H413/100</f>
        <v>6</v>
      </c>
      <c r="L413" s="17" t="n">
        <f aca="false">'Dish Database'!L138*H413/100</f>
        <v>36</v>
      </c>
      <c r="M413" s="17" t="n">
        <f aca="false">'Dish Database'!M138*H413/100</f>
        <v>12</v>
      </c>
      <c r="N413" s="17" t="n">
        <f aca="false">'Dish Database'!N138*H413/100</f>
        <v>1.44</v>
      </c>
      <c r="O413" s="17" t="n">
        <f aca="false">'Dish Database'!O138*H413/100</f>
        <v>7.2</v>
      </c>
      <c r="P413" s="13" t="n">
        <f aca="false">'Dish Database'!P138*H413/100</f>
        <v>360</v>
      </c>
    </row>
    <row r="414" customFormat="false" ht="15" hidden="false" customHeight="false" outlineLevel="0" collapsed="false">
      <c r="A414" s="6" t="str">
        <f aca="false">'Dish Database'!A138</f>
        <v>D137</v>
      </c>
      <c r="B414" s="6" t="str">
        <f aca="false">'Dish Database'!B138</f>
        <v>Bun maska</v>
      </c>
      <c r="C414" s="6" t="str">
        <f aca="false">'Dish Database'!D138</f>
        <v>Breakfast - North &amp; West</v>
      </c>
      <c r="D414" s="6" t="str">
        <f aca="false">'Dish Database'!F138</f>
        <v>Veg</v>
      </c>
      <c r="E414" s="6" t="str">
        <f aca="false">'Dish Database'!E138</f>
        <v>West</v>
      </c>
      <c r="F414" s="6" t="s">
        <v>2246</v>
      </c>
      <c r="G414" s="6" t="s">
        <v>2357</v>
      </c>
      <c r="H414" s="16" t="n">
        <v>100</v>
      </c>
      <c r="I414" s="6" t="str">
        <f aca="false">'Dish Database'!I138</f>
        <v>g</v>
      </c>
      <c r="J414" s="13" t="n">
        <f aca="false">'Dish Database'!J138*H414/100</f>
        <v>341.4</v>
      </c>
      <c r="K414" s="17" t="n">
        <f aca="false">'Dish Database'!K138*H414/100</f>
        <v>7.5</v>
      </c>
      <c r="L414" s="17" t="n">
        <f aca="false">'Dish Database'!L138*H414/100</f>
        <v>45</v>
      </c>
      <c r="M414" s="17" t="n">
        <f aca="false">'Dish Database'!M138*H414/100</f>
        <v>15</v>
      </c>
      <c r="N414" s="17" t="n">
        <f aca="false">'Dish Database'!N138*H414/100</f>
        <v>1.8</v>
      </c>
      <c r="O414" s="17" t="n">
        <f aca="false">'Dish Database'!O138*H414/100</f>
        <v>9</v>
      </c>
      <c r="P414" s="13" t="n">
        <f aca="false">'Dish Database'!P138*H414/100</f>
        <v>450</v>
      </c>
    </row>
    <row r="415" customFormat="false" ht="15" hidden="false" customHeight="false" outlineLevel="0" collapsed="false">
      <c r="A415" s="6" t="str">
        <f aca="false">'Dish Database'!A139</f>
        <v>D138</v>
      </c>
      <c r="B415" s="6" t="str">
        <f aca="false">'Dish Database'!B139</f>
        <v>Idli</v>
      </c>
      <c r="C415" s="6" t="str">
        <f aca="false">'Dish Database'!D139</f>
        <v>Breakfast - South</v>
      </c>
      <c r="D415" s="6" t="str">
        <f aca="false">'Dish Database'!F139</f>
        <v>Veg</v>
      </c>
      <c r="E415" s="6" t="str">
        <f aca="false">'Dish Database'!E139</f>
        <v>South</v>
      </c>
      <c r="F415" s="6" t="s">
        <v>2243</v>
      </c>
      <c r="G415" s="6" t="s">
        <v>2358</v>
      </c>
      <c r="H415" s="16" t="n">
        <v>30</v>
      </c>
      <c r="I415" s="6" t="str">
        <f aca="false">'Dish Database'!I139</f>
        <v>g</v>
      </c>
      <c r="J415" s="13" t="n">
        <f aca="false">'Dish Database'!J139*H415/100</f>
        <v>39.75</v>
      </c>
      <c r="K415" s="17" t="n">
        <f aca="false">'Dish Database'!K139*H415/100</f>
        <v>1.26</v>
      </c>
      <c r="L415" s="17" t="n">
        <f aca="false">'Dish Database'!L139*H415/100</f>
        <v>8.55</v>
      </c>
      <c r="M415" s="17" t="n">
        <f aca="false">'Dish Database'!M139*H415/100</f>
        <v>0.15</v>
      </c>
      <c r="N415" s="17" t="n">
        <f aca="false">'Dish Database'!N139*H415/100</f>
        <v>0.42</v>
      </c>
      <c r="O415" s="17" t="n">
        <f aca="false">'Dish Database'!O139*H415/100</f>
        <v>0.06</v>
      </c>
      <c r="P415" s="13" t="n">
        <f aca="false">'Dish Database'!P139*H415/100</f>
        <v>75</v>
      </c>
    </row>
    <row r="416" customFormat="false" ht="15" hidden="false" customHeight="false" outlineLevel="0" collapsed="false">
      <c r="A416" s="6" t="str">
        <f aca="false">'Dish Database'!A139</f>
        <v>D138</v>
      </c>
      <c r="B416" s="6" t="str">
        <f aca="false">'Dish Database'!B139</f>
        <v>Idli</v>
      </c>
      <c r="C416" s="6" t="str">
        <f aca="false">'Dish Database'!D139</f>
        <v>Breakfast - South</v>
      </c>
      <c r="D416" s="6" t="str">
        <f aca="false">'Dish Database'!F139</f>
        <v>Veg</v>
      </c>
      <c r="E416" s="6" t="str">
        <f aca="false">'Dish Database'!E139</f>
        <v>South</v>
      </c>
      <c r="F416" s="6" t="s">
        <v>103</v>
      </c>
      <c r="G416" s="6" t="s">
        <v>2359</v>
      </c>
      <c r="H416" s="16" t="n">
        <v>40</v>
      </c>
      <c r="I416" s="6" t="str">
        <f aca="false">'Dish Database'!I139</f>
        <v>g</v>
      </c>
      <c r="J416" s="13" t="n">
        <f aca="false">'Dish Database'!J139*H416/100</f>
        <v>53</v>
      </c>
      <c r="K416" s="17" t="n">
        <f aca="false">'Dish Database'!K139*H416/100</f>
        <v>1.68</v>
      </c>
      <c r="L416" s="17" t="n">
        <f aca="false">'Dish Database'!L139*H416/100</f>
        <v>11.4</v>
      </c>
      <c r="M416" s="17" t="n">
        <f aca="false">'Dish Database'!M139*H416/100</f>
        <v>0.2</v>
      </c>
      <c r="N416" s="17" t="n">
        <f aca="false">'Dish Database'!N139*H416/100</f>
        <v>0.56</v>
      </c>
      <c r="O416" s="17" t="n">
        <f aca="false">'Dish Database'!O139*H416/100</f>
        <v>0.08</v>
      </c>
      <c r="P416" s="13" t="n">
        <f aca="false">'Dish Database'!P139*H416/100</f>
        <v>100</v>
      </c>
    </row>
    <row r="417" customFormat="false" ht="15" hidden="false" customHeight="false" outlineLevel="0" collapsed="false">
      <c r="A417" s="6" t="str">
        <f aca="false">'Dish Database'!A139</f>
        <v>D138</v>
      </c>
      <c r="B417" s="6" t="str">
        <f aca="false">'Dish Database'!B139</f>
        <v>Idli</v>
      </c>
      <c r="C417" s="6" t="str">
        <f aca="false">'Dish Database'!D139</f>
        <v>Breakfast - South</v>
      </c>
      <c r="D417" s="6" t="str">
        <f aca="false">'Dish Database'!F139</f>
        <v>Veg</v>
      </c>
      <c r="E417" s="6" t="str">
        <f aca="false">'Dish Database'!E139</f>
        <v>South</v>
      </c>
      <c r="F417" s="6" t="s">
        <v>2246</v>
      </c>
      <c r="G417" s="6" t="s">
        <v>2360</v>
      </c>
      <c r="H417" s="16" t="n">
        <v>55</v>
      </c>
      <c r="I417" s="6" t="str">
        <f aca="false">'Dish Database'!I139</f>
        <v>g</v>
      </c>
      <c r="J417" s="13" t="n">
        <f aca="false">'Dish Database'!J139*H417/100</f>
        <v>72.875</v>
      </c>
      <c r="K417" s="17" t="n">
        <f aca="false">'Dish Database'!K139*H417/100</f>
        <v>2.31</v>
      </c>
      <c r="L417" s="17" t="n">
        <f aca="false">'Dish Database'!L139*H417/100</f>
        <v>15.675</v>
      </c>
      <c r="M417" s="17" t="n">
        <f aca="false">'Dish Database'!M139*H417/100</f>
        <v>0.275</v>
      </c>
      <c r="N417" s="17" t="n">
        <f aca="false">'Dish Database'!N139*H417/100</f>
        <v>0.77</v>
      </c>
      <c r="O417" s="17" t="n">
        <f aca="false">'Dish Database'!O139*H417/100</f>
        <v>0.11</v>
      </c>
      <c r="P417" s="13" t="n">
        <f aca="false">'Dish Database'!P139*H417/100</f>
        <v>137.5</v>
      </c>
    </row>
    <row r="418" customFormat="false" ht="15" hidden="false" customHeight="false" outlineLevel="0" collapsed="false">
      <c r="A418" s="6" t="str">
        <f aca="false">'Dish Database'!A140</f>
        <v>D139</v>
      </c>
      <c r="B418" s="6" t="str">
        <f aca="false">'Dish Database'!B140</f>
        <v>Rava idli</v>
      </c>
      <c r="C418" s="6" t="str">
        <f aca="false">'Dish Database'!D140</f>
        <v>Breakfast - South</v>
      </c>
      <c r="D418" s="6" t="str">
        <f aca="false">'Dish Database'!F140</f>
        <v>Veg</v>
      </c>
      <c r="E418" s="6" t="str">
        <f aca="false">'Dish Database'!E140</f>
        <v>South</v>
      </c>
      <c r="F418" s="6" t="s">
        <v>2243</v>
      </c>
      <c r="G418" s="6" t="s">
        <v>2361</v>
      </c>
      <c r="H418" s="16" t="n">
        <v>40</v>
      </c>
      <c r="I418" s="6" t="str">
        <f aca="false">'Dish Database'!I140</f>
        <v>g</v>
      </c>
      <c r="J418" s="13" t="n">
        <f aca="false">'Dish Database'!J140*H418/100</f>
        <v>71.24</v>
      </c>
      <c r="K418" s="17" t="n">
        <f aca="false">'Dish Database'!K140*H418/100</f>
        <v>1.8</v>
      </c>
      <c r="L418" s="17" t="n">
        <f aca="false">'Dish Database'!L140*H418/100</f>
        <v>10.4</v>
      </c>
      <c r="M418" s="17" t="n">
        <f aca="false">'Dish Database'!M140*H418/100</f>
        <v>2.6</v>
      </c>
      <c r="N418" s="17" t="n">
        <f aca="false">'Dish Database'!N140*H418/100</f>
        <v>0.48</v>
      </c>
      <c r="O418" s="17" t="n">
        <f aca="false">'Dish Database'!O140*H418/100</f>
        <v>0.6</v>
      </c>
      <c r="P418" s="13" t="n">
        <f aca="false">'Dish Database'!P140*H418/100</f>
        <v>140</v>
      </c>
    </row>
    <row r="419" customFormat="false" ht="15" hidden="false" customHeight="false" outlineLevel="0" collapsed="false">
      <c r="A419" s="6" t="str">
        <f aca="false">'Dish Database'!A140</f>
        <v>D139</v>
      </c>
      <c r="B419" s="6" t="str">
        <f aca="false">'Dish Database'!B140</f>
        <v>Rava idli</v>
      </c>
      <c r="C419" s="6" t="str">
        <f aca="false">'Dish Database'!D140</f>
        <v>Breakfast - South</v>
      </c>
      <c r="D419" s="6" t="str">
        <f aca="false">'Dish Database'!F140</f>
        <v>Veg</v>
      </c>
      <c r="E419" s="6" t="str">
        <f aca="false">'Dish Database'!E140</f>
        <v>South</v>
      </c>
      <c r="F419" s="6" t="s">
        <v>103</v>
      </c>
      <c r="G419" s="6" t="s">
        <v>2362</v>
      </c>
      <c r="H419" s="16" t="n">
        <v>55</v>
      </c>
      <c r="I419" s="6" t="str">
        <f aca="false">'Dish Database'!I140</f>
        <v>g</v>
      </c>
      <c r="J419" s="13" t="n">
        <f aca="false">'Dish Database'!J140*H419/100</f>
        <v>97.955</v>
      </c>
      <c r="K419" s="17" t="n">
        <f aca="false">'Dish Database'!K140*H419/100</f>
        <v>2.475</v>
      </c>
      <c r="L419" s="17" t="n">
        <f aca="false">'Dish Database'!L140*H419/100</f>
        <v>14.3</v>
      </c>
      <c r="M419" s="17" t="n">
        <f aca="false">'Dish Database'!M140*H419/100</f>
        <v>3.575</v>
      </c>
      <c r="N419" s="17" t="n">
        <f aca="false">'Dish Database'!N140*H419/100</f>
        <v>0.66</v>
      </c>
      <c r="O419" s="17" t="n">
        <f aca="false">'Dish Database'!O140*H419/100</f>
        <v>0.825</v>
      </c>
      <c r="P419" s="13" t="n">
        <f aca="false">'Dish Database'!P140*H419/100</f>
        <v>192.5</v>
      </c>
    </row>
    <row r="420" customFormat="false" ht="15" hidden="false" customHeight="false" outlineLevel="0" collapsed="false">
      <c r="A420" s="6" t="str">
        <f aca="false">'Dish Database'!A140</f>
        <v>D139</v>
      </c>
      <c r="B420" s="6" t="str">
        <f aca="false">'Dish Database'!B140</f>
        <v>Rava idli</v>
      </c>
      <c r="C420" s="6" t="str">
        <f aca="false">'Dish Database'!D140</f>
        <v>Breakfast - South</v>
      </c>
      <c r="D420" s="6" t="str">
        <f aca="false">'Dish Database'!F140</f>
        <v>Veg</v>
      </c>
      <c r="E420" s="6" t="str">
        <f aca="false">'Dish Database'!E140</f>
        <v>South</v>
      </c>
      <c r="F420" s="6" t="s">
        <v>2246</v>
      </c>
      <c r="G420" s="6" t="s">
        <v>2363</v>
      </c>
      <c r="H420" s="16" t="n">
        <v>70</v>
      </c>
      <c r="I420" s="6" t="str">
        <f aca="false">'Dish Database'!I140</f>
        <v>g</v>
      </c>
      <c r="J420" s="13" t="n">
        <f aca="false">'Dish Database'!J140*H420/100</f>
        <v>124.67</v>
      </c>
      <c r="K420" s="17" t="n">
        <f aca="false">'Dish Database'!K140*H420/100</f>
        <v>3.15</v>
      </c>
      <c r="L420" s="17" t="n">
        <f aca="false">'Dish Database'!L140*H420/100</f>
        <v>18.2</v>
      </c>
      <c r="M420" s="17" t="n">
        <f aca="false">'Dish Database'!M140*H420/100</f>
        <v>4.55</v>
      </c>
      <c r="N420" s="17" t="n">
        <f aca="false">'Dish Database'!N140*H420/100</f>
        <v>0.84</v>
      </c>
      <c r="O420" s="17" t="n">
        <f aca="false">'Dish Database'!O140*H420/100</f>
        <v>1.05</v>
      </c>
      <c r="P420" s="13" t="n">
        <f aca="false">'Dish Database'!P140*H420/100</f>
        <v>245</v>
      </c>
    </row>
    <row r="421" customFormat="false" ht="15" hidden="false" customHeight="false" outlineLevel="0" collapsed="false">
      <c r="A421" s="6" t="str">
        <f aca="false">'Dish Database'!A141</f>
        <v>D140</v>
      </c>
      <c r="B421" s="6" t="str">
        <f aca="false">'Dish Database'!B141</f>
        <v>Mini ghee podi idli</v>
      </c>
      <c r="C421" s="6" t="str">
        <f aca="false">'Dish Database'!D141</f>
        <v>Breakfast - South</v>
      </c>
      <c r="D421" s="6" t="str">
        <f aca="false">'Dish Database'!F141</f>
        <v>Veg</v>
      </c>
      <c r="E421" s="6" t="str">
        <f aca="false">'Dish Database'!E141</f>
        <v>South</v>
      </c>
      <c r="F421" s="6" t="s">
        <v>2243</v>
      </c>
      <c r="G421" s="6" t="s">
        <v>2364</v>
      </c>
      <c r="H421" s="16" t="n">
        <v>60</v>
      </c>
      <c r="I421" s="6" t="str">
        <f aca="false">'Dish Database'!I141</f>
        <v>g</v>
      </c>
      <c r="J421" s="13" t="n">
        <f aca="false">'Dish Database'!J141*H421/100</f>
        <v>106.56</v>
      </c>
      <c r="K421" s="17" t="n">
        <f aca="false">'Dish Database'!K141*H421/100</f>
        <v>3</v>
      </c>
      <c r="L421" s="17" t="n">
        <f aca="false">'Dish Database'!L141*H421/100</f>
        <v>16.2</v>
      </c>
      <c r="M421" s="17" t="n">
        <f aca="false">'Dish Database'!M141*H421/100</f>
        <v>3.6</v>
      </c>
      <c r="N421" s="17" t="n">
        <f aca="false">'Dish Database'!N141*H421/100</f>
        <v>1.32</v>
      </c>
      <c r="O421" s="17" t="n">
        <f aca="false">'Dish Database'!O141*H421/100</f>
        <v>0.3</v>
      </c>
      <c r="P421" s="13" t="n">
        <f aca="false">'Dish Database'!P141*H421/100</f>
        <v>210</v>
      </c>
    </row>
    <row r="422" customFormat="false" ht="15" hidden="false" customHeight="false" outlineLevel="0" collapsed="false">
      <c r="A422" s="6" t="str">
        <f aca="false">'Dish Database'!A141</f>
        <v>D140</v>
      </c>
      <c r="B422" s="6" t="str">
        <f aca="false">'Dish Database'!B141</f>
        <v>Mini ghee podi idli</v>
      </c>
      <c r="C422" s="6" t="str">
        <f aca="false">'Dish Database'!D141</f>
        <v>Breakfast - South</v>
      </c>
      <c r="D422" s="6" t="str">
        <f aca="false">'Dish Database'!F141</f>
        <v>Veg</v>
      </c>
      <c r="E422" s="6" t="str">
        <f aca="false">'Dish Database'!E141</f>
        <v>South</v>
      </c>
      <c r="F422" s="6" t="s">
        <v>103</v>
      </c>
      <c r="G422" s="6" t="s">
        <v>2365</v>
      </c>
      <c r="H422" s="16" t="n">
        <v>100</v>
      </c>
      <c r="I422" s="6" t="str">
        <f aca="false">'Dish Database'!I141</f>
        <v>g</v>
      </c>
      <c r="J422" s="13" t="n">
        <f aca="false">'Dish Database'!J141*H422/100</f>
        <v>177.6</v>
      </c>
      <c r="K422" s="17" t="n">
        <f aca="false">'Dish Database'!K141*H422/100</f>
        <v>5</v>
      </c>
      <c r="L422" s="17" t="n">
        <f aca="false">'Dish Database'!L141*H422/100</f>
        <v>27</v>
      </c>
      <c r="M422" s="17" t="n">
        <f aca="false">'Dish Database'!M141*H422/100</f>
        <v>6</v>
      </c>
      <c r="N422" s="17" t="n">
        <f aca="false">'Dish Database'!N141*H422/100</f>
        <v>2.2</v>
      </c>
      <c r="O422" s="17" t="n">
        <f aca="false">'Dish Database'!O141*H422/100</f>
        <v>0.5</v>
      </c>
      <c r="P422" s="13" t="n">
        <f aca="false">'Dish Database'!P141*H422/100</f>
        <v>350</v>
      </c>
    </row>
    <row r="423" customFormat="false" ht="15" hidden="false" customHeight="false" outlineLevel="0" collapsed="false">
      <c r="A423" s="6" t="str">
        <f aca="false">'Dish Database'!A141</f>
        <v>D140</v>
      </c>
      <c r="B423" s="6" t="str">
        <f aca="false">'Dish Database'!B141</f>
        <v>Mini ghee podi idli</v>
      </c>
      <c r="C423" s="6" t="str">
        <f aca="false">'Dish Database'!D141</f>
        <v>Breakfast - South</v>
      </c>
      <c r="D423" s="6" t="str">
        <f aca="false">'Dish Database'!F141</f>
        <v>Veg</v>
      </c>
      <c r="E423" s="6" t="str">
        <f aca="false">'Dish Database'!E141</f>
        <v>South</v>
      </c>
      <c r="F423" s="6" t="s">
        <v>2246</v>
      </c>
      <c r="G423" s="6" t="s">
        <v>2366</v>
      </c>
      <c r="H423" s="16" t="n">
        <v>150</v>
      </c>
      <c r="I423" s="6" t="str">
        <f aca="false">'Dish Database'!I141</f>
        <v>g</v>
      </c>
      <c r="J423" s="13" t="n">
        <f aca="false">'Dish Database'!J141*H423/100</f>
        <v>266.4</v>
      </c>
      <c r="K423" s="17" t="n">
        <f aca="false">'Dish Database'!K141*H423/100</f>
        <v>7.5</v>
      </c>
      <c r="L423" s="17" t="n">
        <f aca="false">'Dish Database'!L141*H423/100</f>
        <v>40.5</v>
      </c>
      <c r="M423" s="17" t="n">
        <f aca="false">'Dish Database'!M141*H423/100</f>
        <v>9</v>
      </c>
      <c r="N423" s="17" t="n">
        <f aca="false">'Dish Database'!N141*H423/100</f>
        <v>3.3</v>
      </c>
      <c r="O423" s="17" t="n">
        <f aca="false">'Dish Database'!O141*H423/100</f>
        <v>0.75</v>
      </c>
      <c r="P423" s="13" t="n">
        <f aca="false">'Dish Database'!P141*H423/100</f>
        <v>525</v>
      </c>
    </row>
    <row r="424" customFormat="false" ht="15" hidden="false" customHeight="false" outlineLevel="0" collapsed="false">
      <c r="A424" s="6" t="str">
        <f aca="false">'Dish Database'!A142</f>
        <v>D141</v>
      </c>
      <c r="B424" s="6" t="str">
        <f aca="false">'Dish Database'!B142</f>
        <v>Plain dosa</v>
      </c>
      <c r="C424" s="6" t="str">
        <f aca="false">'Dish Database'!D142</f>
        <v>Breakfast - South</v>
      </c>
      <c r="D424" s="6" t="str">
        <f aca="false">'Dish Database'!F142</f>
        <v>Veg</v>
      </c>
      <c r="E424" s="6" t="str">
        <f aca="false">'Dish Database'!E142</f>
        <v>South</v>
      </c>
      <c r="F424" s="6" t="s">
        <v>2243</v>
      </c>
      <c r="G424" s="6" t="s">
        <v>2367</v>
      </c>
      <c r="H424" s="16" t="n">
        <v>60</v>
      </c>
      <c r="I424" s="6" t="str">
        <f aca="false">'Dish Database'!I142</f>
        <v>g</v>
      </c>
      <c r="J424" s="13" t="n">
        <f aca="false">'Dish Database'!J142*H424/100</f>
        <v>104.4</v>
      </c>
      <c r="K424" s="17" t="n">
        <f aca="false">'Dish Database'!K142*H424/100</f>
        <v>2.34</v>
      </c>
      <c r="L424" s="17" t="n">
        <f aca="false">'Dish Database'!L142*H424/100</f>
        <v>17.4</v>
      </c>
      <c r="M424" s="17" t="n">
        <f aca="false">'Dish Database'!M142*H424/100</f>
        <v>3</v>
      </c>
      <c r="N424" s="17" t="n">
        <f aca="false">'Dish Database'!N142*H424/100</f>
        <v>0.78</v>
      </c>
      <c r="O424" s="17" t="n">
        <f aca="false">'Dish Database'!O142*H424/100</f>
        <v>0.3</v>
      </c>
      <c r="P424" s="13" t="n">
        <f aca="false">'Dish Database'!P142*H424/100</f>
        <v>168</v>
      </c>
    </row>
    <row r="425" customFormat="false" ht="15" hidden="false" customHeight="false" outlineLevel="0" collapsed="false">
      <c r="A425" s="6" t="str">
        <f aca="false">'Dish Database'!A142</f>
        <v>D141</v>
      </c>
      <c r="B425" s="6" t="str">
        <f aca="false">'Dish Database'!B142</f>
        <v>Plain dosa</v>
      </c>
      <c r="C425" s="6" t="str">
        <f aca="false">'Dish Database'!D142</f>
        <v>Breakfast - South</v>
      </c>
      <c r="D425" s="6" t="str">
        <f aca="false">'Dish Database'!F142</f>
        <v>Veg</v>
      </c>
      <c r="E425" s="6" t="str">
        <f aca="false">'Dish Database'!E142</f>
        <v>South</v>
      </c>
      <c r="F425" s="6" t="s">
        <v>103</v>
      </c>
      <c r="G425" s="6" t="s">
        <v>2368</v>
      </c>
      <c r="H425" s="16" t="n">
        <v>85</v>
      </c>
      <c r="I425" s="6" t="str">
        <f aca="false">'Dish Database'!I142</f>
        <v>g</v>
      </c>
      <c r="J425" s="13" t="n">
        <f aca="false">'Dish Database'!J142*H425/100</f>
        <v>147.9</v>
      </c>
      <c r="K425" s="17" t="n">
        <f aca="false">'Dish Database'!K142*H425/100</f>
        <v>3.315</v>
      </c>
      <c r="L425" s="17" t="n">
        <f aca="false">'Dish Database'!L142*H425/100</f>
        <v>24.65</v>
      </c>
      <c r="M425" s="17" t="n">
        <f aca="false">'Dish Database'!M142*H425/100</f>
        <v>4.25</v>
      </c>
      <c r="N425" s="17" t="n">
        <f aca="false">'Dish Database'!N142*H425/100</f>
        <v>1.105</v>
      </c>
      <c r="O425" s="17" t="n">
        <f aca="false">'Dish Database'!O142*H425/100</f>
        <v>0.425</v>
      </c>
      <c r="P425" s="13" t="n">
        <f aca="false">'Dish Database'!P142*H425/100</f>
        <v>238</v>
      </c>
    </row>
    <row r="426" customFormat="false" ht="15" hidden="false" customHeight="false" outlineLevel="0" collapsed="false">
      <c r="A426" s="6" t="str">
        <f aca="false">'Dish Database'!A142</f>
        <v>D141</v>
      </c>
      <c r="B426" s="6" t="str">
        <f aca="false">'Dish Database'!B142</f>
        <v>Plain dosa</v>
      </c>
      <c r="C426" s="6" t="str">
        <f aca="false">'Dish Database'!D142</f>
        <v>Breakfast - South</v>
      </c>
      <c r="D426" s="6" t="str">
        <f aca="false">'Dish Database'!F142</f>
        <v>Veg</v>
      </c>
      <c r="E426" s="6" t="str">
        <f aca="false">'Dish Database'!E142</f>
        <v>South</v>
      </c>
      <c r="F426" s="6" t="s">
        <v>2246</v>
      </c>
      <c r="G426" s="6" t="s">
        <v>2369</v>
      </c>
      <c r="H426" s="16" t="n">
        <v>120</v>
      </c>
      <c r="I426" s="6" t="str">
        <f aca="false">'Dish Database'!I142</f>
        <v>g</v>
      </c>
      <c r="J426" s="13" t="n">
        <f aca="false">'Dish Database'!J142*H426/100</f>
        <v>208.8</v>
      </c>
      <c r="K426" s="17" t="n">
        <f aca="false">'Dish Database'!K142*H426/100</f>
        <v>4.68</v>
      </c>
      <c r="L426" s="17" t="n">
        <f aca="false">'Dish Database'!L142*H426/100</f>
        <v>34.8</v>
      </c>
      <c r="M426" s="17" t="n">
        <f aca="false">'Dish Database'!M142*H426/100</f>
        <v>6</v>
      </c>
      <c r="N426" s="17" t="n">
        <f aca="false">'Dish Database'!N142*H426/100</f>
        <v>1.56</v>
      </c>
      <c r="O426" s="17" t="n">
        <f aca="false">'Dish Database'!O142*H426/100</f>
        <v>0.6</v>
      </c>
      <c r="P426" s="13" t="n">
        <f aca="false">'Dish Database'!P142*H426/100</f>
        <v>336</v>
      </c>
    </row>
    <row r="427" customFormat="false" ht="15" hidden="false" customHeight="false" outlineLevel="0" collapsed="false">
      <c r="A427" s="6" t="str">
        <f aca="false">'Dish Database'!A143</f>
        <v>D142</v>
      </c>
      <c r="B427" s="6" t="str">
        <f aca="false">'Dish Database'!B143</f>
        <v>Paper dosa</v>
      </c>
      <c r="C427" s="6" t="str">
        <f aca="false">'Dish Database'!D143</f>
        <v>Breakfast - South</v>
      </c>
      <c r="D427" s="6" t="str">
        <f aca="false">'Dish Database'!F143</f>
        <v>Veg</v>
      </c>
      <c r="E427" s="6" t="str">
        <f aca="false">'Dish Database'!E143</f>
        <v>South</v>
      </c>
      <c r="F427" s="6" t="s">
        <v>2243</v>
      </c>
      <c r="G427" s="6" t="s">
        <v>2370</v>
      </c>
      <c r="H427" s="16" t="n">
        <v>70</v>
      </c>
      <c r="I427" s="6" t="str">
        <f aca="false">'Dish Database'!I143</f>
        <v>g</v>
      </c>
      <c r="J427" s="13" t="n">
        <f aca="false">'Dish Database'!J143*H427/100</f>
        <v>130.9</v>
      </c>
      <c r="K427" s="17" t="n">
        <f aca="false">'Dish Database'!K143*H427/100</f>
        <v>2.73</v>
      </c>
      <c r="L427" s="17" t="n">
        <f aca="false">'Dish Database'!L143*H427/100</f>
        <v>21</v>
      </c>
      <c r="M427" s="17" t="n">
        <f aca="false">'Dish Database'!M143*H427/100</f>
        <v>4.2</v>
      </c>
      <c r="N427" s="17" t="n">
        <f aca="false">'Dish Database'!N143*H427/100</f>
        <v>0.91</v>
      </c>
      <c r="O427" s="17" t="n">
        <f aca="false">'Dish Database'!O143*H427/100</f>
        <v>0.35</v>
      </c>
      <c r="P427" s="13" t="n">
        <f aca="false">'Dish Database'!P143*H427/100</f>
        <v>196</v>
      </c>
    </row>
    <row r="428" customFormat="false" ht="15" hidden="false" customHeight="false" outlineLevel="0" collapsed="false">
      <c r="A428" s="6" t="str">
        <f aca="false">'Dish Database'!A143</f>
        <v>D142</v>
      </c>
      <c r="B428" s="6" t="str">
        <f aca="false">'Dish Database'!B143</f>
        <v>Paper dosa</v>
      </c>
      <c r="C428" s="6" t="str">
        <f aca="false">'Dish Database'!D143</f>
        <v>Breakfast - South</v>
      </c>
      <c r="D428" s="6" t="str">
        <f aca="false">'Dish Database'!F143</f>
        <v>Veg</v>
      </c>
      <c r="E428" s="6" t="str">
        <f aca="false">'Dish Database'!E143</f>
        <v>South</v>
      </c>
      <c r="F428" s="6" t="s">
        <v>103</v>
      </c>
      <c r="G428" s="6" t="s">
        <v>2371</v>
      </c>
      <c r="H428" s="16" t="n">
        <v>100</v>
      </c>
      <c r="I428" s="6" t="str">
        <f aca="false">'Dish Database'!I143</f>
        <v>g</v>
      </c>
      <c r="J428" s="13" t="n">
        <f aca="false">'Dish Database'!J143*H428/100</f>
        <v>187</v>
      </c>
      <c r="K428" s="17" t="n">
        <f aca="false">'Dish Database'!K143*H428/100</f>
        <v>3.9</v>
      </c>
      <c r="L428" s="17" t="n">
        <f aca="false">'Dish Database'!L143*H428/100</f>
        <v>30</v>
      </c>
      <c r="M428" s="17" t="n">
        <f aca="false">'Dish Database'!M143*H428/100</f>
        <v>6</v>
      </c>
      <c r="N428" s="17" t="n">
        <f aca="false">'Dish Database'!N143*H428/100</f>
        <v>1.3</v>
      </c>
      <c r="O428" s="17" t="n">
        <f aca="false">'Dish Database'!O143*H428/100</f>
        <v>0.5</v>
      </c>
      <c r="P428" s="13" t="n">
        <f aca="false">'Dish Database'!P143*H428/100</f>
        <v>280</v>
      </c>
    </row>
    <row r="429" customFormat="false" ht="15" hidden="false" customHeight="false" outlineLevel="0" collapsed="false">
      <c r="A429" s="6" t="str">
        <f aca="false">'Dish Database'!A143</f>
        <v>D142</v>
      </c>
      <c r="B429" s="6" t="str">
        <f aca="false">'Dish Database'!B143</f>
        <v>Paper dosa</v>
      </c>
      <c r="C429" s="6" t="str">
        <f aca="false">'Dish Database'!D143</f>
        <v>Breakfast - South</v>
      </c>
      <c r="D429" s="6" t="str">
        <f aca="false">'Dish Database'!F143</f>
        <v>Veg</v>
      </c>
      <c r="E429" s="6" t="str">
        <f aca="false">'Dish Database'!E143</f>
        <v>South</v>
      </c>
      <c r="F429" s="6" t="s">
        <v>2246</v>
      </c>
      <c r="G429" s="6" t="s">
        <v>2372</v>
      </c>
      <c r="H429" s="16" t="n">
        <v>140</v>
      </c>
      <c r="I429" s="6" t="str">
        <f aca="false">'Dish Database'!I143</f>
        <v>g</v>
      </c>
      <c r="J429" s="13" t="n">
        <f aca="false">'Dish Database'!J143*H429/100</f>
        <v>261.8</v>
      </c>
      <c r="K429" s="17" t="n">
        <f aca="false">'Dish Database'!K143*H429/100</f>
        <v>5.46</v>
      </c>
      <c r="L429" s="17" t="n">
        <f aca="false">'Dish Database'!L143*H429/100</f>
        <v>42</v>
      </c>
      <c r="M429" s="17" t="n">
        <f aca="false">'Dish Database'!M143*H429/100</f>
        <v>8.4</v>
      </c>
      <c r="N429" s="17" t="n">
        <f aca="false">'Dish Database'!N143*H429/100</f>
        <v>1.82</v>
      </c>
      <c r="O429" s="17" t="n">
        <f aca="false">'Dish Database'!O143*H429/100</f>
        <v>0.7</v>
      </c>
      <c r="P429" s="13" t="n">
        <f aca="false">'Dish Database'!P143*H429/100</f>
        <v>392</v>
      </c>
    </row>
    <row r="430" customFormat="false" ht="15" hidden="false" customHeight="false" outlineLevel="0" collapsed="false">
      <c r="A430" s="6" t="str">
        <f aca="false">'Dish Database'!A144</f>
        <v>D143</v>
      </c>
      <c r="B430" s="6" t="str">
        <f aca="false">'Dish Database'!B144</f>
        <v>Masala dosa</v>
      </c>
      <c r="C430" s="6" t="str">
        <f aca="false">'Dish Database'!D144</f>
        <v>Breakfast - South</v>
      </c>
      <c r="D430" s="6" t="str">
        <f aca="false">'Dish Database'!F144</f>
        <v>Veg</v>
      </c>
      <c r="E430" s="6" t="str">
        <f aca="false">'Dish Database'!E144</f>
        <v>South</v>
      </c>
      <c r="F430" s="6" t="s">
        <v>2243</v>
      </c>
      <c r="G430" s="6" t="s">
        <v>2373</v>
      </c>
      <c r="H430" s="16" t="n">
        <v>120</v>
      </c>
      <c r="I430" s="6" t="str">
        <f aca="false">'Dish Database'!I144</f>
        <v>g</v>
      </c>
      <c r="J430" s="13" t="n">
        <f aca="false">'Dish Database'!J144*H430/100</f>
        <v>202.08</v>
      </c>
      <c r="K430" s="17" t="n">
        <f aca="false">'Dish Database'!K144*H430/100</f>
        <v>4.32</v>
      </c>
      <c r="L430" s="17" t="n">
        <f aca="false">'Dish Database'!L144*H430/100</f>
        <v>31.2</v>
      </c>
      <c r="M430" s="17" t="n">
        <f aca="false">'Dish Database'!M144*H430/100</f>
        <v>7.2</v>
      </c>
      <c r="N430" s="17" t="n">
        <f aca="false">'Dish Database'!N144*H430/100</f>
        <v>2.4</v>
      </c>
      <c r="O430" s="17" t="n">
        <f aca="false">'Dish Database'!O144*H430/100</f>
        <v>1.2</v>
      </c>
      <c r="P430" s="13" t="n">
        <f aca="false">'Dish Database'!P144*H430/100</f>
        <v>396</v>
      </c>
    </row>
    <row r="431" customFormat="false" ht="15" hidden="false" customHeight="false" outlineLevel="0" collapsed="false">
      <c r="A431" s="6" t="str">
        <f aca="false">'Dish Database'!A144</f>
        <v>D143</v>
      </c>
      <c r="B431" s="6" t="str">
        <f aca="false">'Dish Database'!B144</f>
        <v>Masala dosa</v>
      </c>
      <c r="C431" s="6" t="str">
        <f aca="false">'Dish Database'!D144</f>
        <v>Breakfast - South</v>
      </c>
      <c r="D431" s="6" t="str">
        <f aca="false">'Dish Database'!F144</f>
        <v>Veg</v>
      </c>
      <c r="E431" s="6" t="str">
        <f aca="false">'Dish Database'!E144</f>
        <v>South</v>
      </c>
      <c r="F431" s="6" t="s">
        <v>103</v>
      </c>
      <c r="G431" s="6" t="s">
        <v>2374</v>
      </c>
      <c r="H431" s="16" t="n">
        <v>170</v>
      </c>
      <c r="I431" s="6" t="str">
        <f aca="false">'Dish Database'!I144</f>
        <v>g</v>
      </c>
      <c r="J431" s="13" t="n">
        <f aca="false">'Dish Database'!J144*H431/100</f>
        <v>286.28</v>
      </c>
      <c r="K431" s="17" t="n">
        <f aca="false">'Dish Database'!K144*H431/100</f>
        <v>6.12</v>
      </c>
      <c r="L431" s="17" t="n">
        <f aca="false">'Dish Database'!L144*H431/100</f>
        <v>44.2</v>
      </c>
      <c r="M431" s="17" t="n">
        <f aca="false">'Dish Database'!M144*H431/100</f>
        <v>10.2</v>
      </c>
      <c r="N431" s="17" t="n">
        <f aca="false">'Dish Database'!N144*H431/100</f>
        <v>3.4</v>
      </c>
      <c r="O431" s="17" t="n">
        <f aca="false">'Dish Database'!O144*H431/100</f>
        <v>1.7</v>
      </c>
      <c r="P431" s="13" t="n">
        <f aca="false">'Dish Database'!P144*H431/100</f>
        <v>561</v>
      </c>
    </row>
    <row r="432" customFormat="false" ht="15" hidden="false" customHeight="false" outlineLevel="0" collapsed="false">
      <c r="A432" s="6" t="str">
        <f aca="false">'Dish Database'!A144</f>
        <v>D143</v>
      </c>
      <c r="B432" s="6" t="str">
        <f aca="false">'Dish Database'!B144</f>
        <v>Masala dosa</v>
      </c>
      <c r="C432" s="6" t="str">
        <f aca="false">'Dish Database'!D144</f>
        <v>Breakfast - South</v>
      </c>
      <c r="D432" s="6" t="str">
        <f aca="false">'Dish Database'!F144</f>
        <v>Veg</v>
      </c>
      <c r="E432" s="6" t="str">
        <f aca="false">'Dish Database'!E144</f>
        <v>South</v>
      </c>
      <c r="F432" s="6" t="s">
        <v>2246</v>
      </c>
      <c r="G432" s="6" t="s">
        <v>2375</v>
      </c>
      <c r="H432" s="16" t="n">
        <v>230</v>
      </c>
      <c r="I432" s="6" t="str">
        <f aca="false">'Dish Database'!I144</f>
        <v>g</v>
      </c>
      <c r="J432" s="13" t="n">
        <f aca="false">'Dish Database'!J144*H432/100</f>
        <v>387.32</v>
      </c>
      <c r="K432" s="17" t="n">
        <f aca="false">'Dish Database'!K144*H432/100</f>
        <v>8.28</v>
      </c>
      <c r="L432" s="17" t="n">
        <f aca="false">'Dish Database'!L144*H432/100</f>
        <v>59.8</v>
      </c>
      <c r="M432" s="17" t="n">
        <f aca="false">'Dish Database'!M144*H432/100</f>
        <v>13.8</v>
      </c>
      <c r="N432" s="17" t="n">
        <f aca="false">'Dish Database'!N144*H432/100</f>
        <v>4.6</v>
      </c>
      <c r="O432" s="17" t="n">
        <f aca="false">'Dish Database'!O144*H432/100</f>
        <v>2.3</v>
      </c>
      <c r="P432" s="13" t="n">
        <f aca="false">'Dish Database'!P144*H432/100</f>
        <v>759</v>
      </c>
    </row>
    <row r="433" customFormat="false" ht="15" hidden="false" customHeight="false" outlineLevel="0" collapsed="false">
      <c r="A433" s="6" t="str">
        <f aca="false">'Dish Database'!A145</f>
        <v>D144</v>
      </c>
      <c r="B433" s="6" t="str">
        <f aca="false">'Dish Database'!B145</f>
        <v>Ghee roast dosa</v>
      </c>
      <c r="C433" s="6" t="str">
        <f aca="false">'Dish Database'!D145</f>
        <v>Breakfast - South</v>
      </c>
      <c r="D433" s="6" t="str">
        <f aca="false">'Dish Database'!F145</f>
        <v>Veg</v>
      </c>
      <c r="E433" s="6" t="str">
        <f aca="false">'Dish Database'!E145</f>
        <v>South</v>
      </c>
      <c r="F433" s="6" t="s">
        <v>2243</v>
      </c>
      <c r="G433" s="6" t="s">
        <v>2370</v>
      </c>
      <c r="H433" s="16" t="n">
        <v>70</v>
      </c>
      <c r="I433" s="6" t="str">
        <f aca="false">'Dish Database'!I145</f>
        <v>g</v>
      </c>
      <c r="J433" s="13" t="n">
        <f aca="false">'Dish Database'!J145*H433/100</f>
        <v>156.66</v>
      </c>
      <c r="K433" s="17" t="n">
        <f aca="false">'Dish Database'!K145*H433/100</f>
        <v>2.66</v>
      </c>
      <c r="L433" s="17" t="n">
        <f aca="false">'Dish Database'!L145*H433/100</f>
        <v>19.6</v>
      </c>
      <c r="M433" s="17" t="n">
        <f aca="false">'Dish Database'!M145*H433/100</f>
        <v>7.7</v>
      </c>
      <c r="N433" s="17" t="n">
        <f aca="false">'Dish Database'!N145*H433/100</f>
        <v>0.84</v>
      </c>
      <c r="O433" s="17" t="n">
        <f aca="false">'Dish Database'!O145*H433/100</f>
        <v>0.35</v>
      </c>
      <c r="P433" s="13" t="n">
        <f aca="false">'Dish Database'!P145*H433/100</f>
        <v>196</v>
      </c>
    </row>
    <row r="434" customFormat="false" ht="15" hidden="false" customHeight="false" outlineLevel="0" collapsed="false">
      <c r="A434" s="6" t="str">
        <f aca="false">'Dish Database'!A145</f>
        <v>D144</v>
      </c>
      <c r="B434" s="6" t="str">
        <f aca="false">'Dish Database'!B145</f>
        <v>Ghee roast dosa</v>
      </c>
      <c r="C434" s="6" t="str">
        <f aca="false">'Dish Database'!D145</f>
        <v>Breakfast - South</v>
      </c>
      <c r="D434" s="6" t="str">
        <f aca="false">'Dish Database'!F145</f>
        <v>Veg</v>
      </c>
      <c r="E434" s="6" t="str">
        <f aca="false">'Dish Database'!E145</f>
        <v>South</v>
      </c>
      <c r="F434" s="6" t="s">
        <v>103</v>
      </c>
      <c r="G434" s="6" t="s">
        <v>2371</v>
      </c>
      <c r="H434" s="16" t="n">
        <v>100</v>
      </c>
      <c r="I434" s="6" t="str">
        <f aca="false">'Dish Database'!I145</f>
        <v>g</v>
      </c>
      <c r="J434" s="13" t="n">
        <f aca="false">'Dish Database'!J145*H434/100</f>
        <v>223.8</v>
      </c>
      <c r="K434" s="17" t="n">
        <f aca="false">'Dish Database'!K145*H434/100</f>
        <v>3.8</v>
      </c>
      <c r="L434" s="17" t="n">
        <f aca="false">'Dish Database'!L145*H434/100</f>
        <v>28</v>
      </c>
      <c r="M434" s="17" t="n">
        <f aca="false">'Dish Database'!M145*H434/100</f>
        <v>11</v>
      </c>
      <c r="N434" s="17" t="n">
        <f aca="false">'Dish Database'!N145*H434/100</f>
        <v>1.2</v>
      </c>
      <c r="O434" s="17" t="n">
        <f aca="false">'Dish Database'!O145*H434/100</f>
        <v>0.5</v>
      </c>
      <c r="P434" s="13" t="n">
        <f aca="false">'Dish Database'!P145*H434/100</f>
        <v>280</v>
      </c>
    </row>
    <row r="435" customFormat="false" ht="15" hidden="false" customHeight="false" outlineLevel="0" collapsed="false">
      <c r="A435" s="6" t="str">
        <f aca="false">'Dish Database'!A145</f>
        <v>D144</v>
      </c>
      <c r="B435" s="6" t="str">
        <f aca="false">'Dish Database'!B145</f>
        <v>Ghee roast dosa</v>
      </c>
      <c r="C435" s="6" t="str">
        <f aca="false">'Dish Database'!D145</f>
        <v>Breakfast - South</v>
      </c>
      <c r="D435" s="6" t="str">
        <f aca="false">'Dish Database'!F145</f>
        <v>Veg</v>
      </c>
      <c r="E435" s="6" t="str">
        <f aca="false">'Dish Database'!E145</f>
        <v>South</v>
      </c>
      <c r="F435" s="6" t="s">
        <v>2246</v>
      </c>
      <c r="G435" s="6" t="s">
        <v>2372</v>
      </c>
      <c r="H435" s="16" t="n">
        <v>140</v>
      </c>
      <c r="I435" s="6" t="str">
        <f aca="false">'Dish Database'!I145</f>
        <v>g</v>
      </c>
      <c r="J435" s="13" t="n">
        <f aca="false">'Dish Database'!J145*H435/100</f>
        <v>313.32</v>
      </c>
      <c r="K435" s="17" t="n">
        <f aca="false">'Dish Database'!K145*H435/100</f>
        <v>5.32</v>
      </c>
      <c r="L435" s="17" t="n">
        <f aca="false">'Dish Database'!L145*H435/100</f>
        <v>39.2</v>
      </c>
      <c r="M435" s="17" t="n">
        <f aca="false">'Dish Database'!M145*H435/100</f>
        <v>15.4</v>
      </c>
      <c r="N435" s="17" t="n">
        <f aca="false">'Dish Database'!N145*H435/100</f>
        <v>1.68</v>
      </c>
      <c r="O435" s="17" t="n">
        <f aca="false">'Dish Database'!O145*H435/100</f>
        <v>0.7</v>
      </c>
      <c r="P435" s="13" t="n">
        <f aca="false">'Dish Database'!P145*H435/100</f>
        <v>392</v>
      </c>
    </row>
    <row r="436" customFormat="false" ht="15" hidden="false" customHeight="false" outlineLevel="0" collapsed="false">
      <c r="A436" s="6" t="str">
        <f aca="false">'Dish Database'!A146</f>
        <v>D145</v>
      </c>
      <c r="B436" s="6" t="str">
        <f aca="false">'Dish Database'!B146</f>
        <v>Mysore masala dosa</v>
      </c>
      <c r="C436" s="6" t="str">
        <f aca="false">'Dish Database'!D146</f>
        <v>Breakfast - South</v>
      </c>
      <c r="D436" s="6" t="str">
        <f aca="false">'Dish Database'!F146</f>
        <v>Veg</v>
      </c>
      <c r="E436" s="6" t="str">
        <f aca="false">'Dish Database'!E146</f>
        <v>South</v>
      </c>
      <c r="F436" s="6" t="s">
        <v>2243</v>
      </c>
      <c r="G436" s="6" t="s">
        <v>2376</v>
      </c>
      <c r="H436" s="16" t="n">
        <v>130</v>
      </c>
      <c r="I436" s="6" t="str">
        <f aca="false">'Dish Database'!I146</f>
        <v>g</v>
      </c>
      <c r="J436" s="13" t="n">
        <f aca="false">'Dish Database'!J146*H436/100</f>
        <v>248.69</v>
      </c>
      <c r="K436" s="17" t="n">
        <f aca="false">'Dish Database'!K146*H436/100</f>
        <v>4.94</v>
      </c>
      <c r="L436" s="17" t="n">
        <f aca="false">'Dish Database'!L146*H436/100</f>
        <v>33.8</v>
      </c>
      <c r="M436" s="17" t="n">
        <f aca="false">'Dish Database'!M146*H436/100</f>
        <v>11.05</v>
      </c>
      <c r="N436" s="17" t="n">
        <f aca="false">'Dish Database'!N146*H436/100</f>
        <v>2.86</v>
      </c>
      <c r="O436" s="17" t="n">
        <f aca="false">'Dish Database'!O146*H436/100</f>
        <v>1.95</v>
      </c>
      <c r="P436" s="13" t="n">
        <f aca="false">'Dish Database'!P146*H436/100</f>
        <v>494</v>
      </c>
    </row>
    <row r="437" customFormat="false" ht="15" hidden="false" customHeight="false" outlineLevel="0" collapsed="false">
      <c r="A437" s="6" t="str">
        <f aca="false">'Dish Database'!A146</f>
        <v>D145</v>
      </c>
      <c r="B437" s="6" t="str">
        <f aca="false">'Dish Database'!B146</f>
        <v>Mysore masala dosa</v>
      </c>
      <c r="C437" s="6" t="str">
        <f aca="false">'Dish Database'!D146</f>
        <v>Breakfast - South</v>
      </c>
      <c r="D437" s="6" t="str">
        <f aca="false">'Dish Database'!F146</f>
        <v>Veg</v>
      </c>
      <c r="E437" s="6" t="str">
        <f aca="false">'Dish Database'!E146</f>
        <v>South</v>
      </c>
      <c r="F437" s="6" t="s">
        <v>103</v>
      </c>
      <c r="G437" s="6" t="s">
        <v>2377</v>
      </c>
      <c r="H437" s="16" t="n">
        <v>180</v>
      </c>
      <c r="I437" s="6" t="str">
        <f aca="false">'Dish Database'!I146</f>
        <v>g</v>
      </c>
      <c r="J437" s="13" t="n">
        <f aca="false">'Dish Database'!J146*H437/100</f>
        <v>344.34</v>
      </c>
      <c r="K437" s="17" t="n">
        <f aca="false">'Dish Database'!K146*H437/100</f>
        <v>6.84</v>
      </c>
      <c r="L437" s="17" t="n">
        <f aca="false">'Dish Database'!L146*H437/100</f>
        <v>46.8</v>
      </c>
      <c r="M437" s="17" t="n">
        <f aca="false">'Dish Database'!M146*H437/100</f>
        <v>15.3</v>
      </c>
      <c r="N437" s="17" t="n">
        <f aca="false">'Dish Database'!N146*H437/100</f>
        <v>3.96</v>
      </c>
      <c r="O437" s="17" t="n">
        <f aca="false">'Dish Database'!O146*H437/100</f>
        <v>2.7</v>
      </c>
      <c r="P437" s="13" t="n">
        <f aca="false">'Dish Database'!P146*H437/100</f>
        <v>684</v>
      </c>
    </row>
    <row r="438" customFormat="false" ht="15" hidden="false" customHeight="false" outlineLevel="0" collapsed="false">
      <c r="A438" s="6" t="str">
        <f aca="false">'Dish Database'!A146</f>
        <v>D145</v>
      </c>
      <c r="B438" s="6" t="str">
        <f aca="false">'Dish Database'!B146</f>
        <v>Mysore masala dosa</v>
      </c>
      <c r="C438" s="6" t="str">
        <f aca="false">'Dish Database'!D146</f>
        <v>Breakfast - South</v>
      </c>
      <c r="D438" s="6" t="str">
        <f aca="false">'Dish Database'!F146</f>
        <v>Veg</v>
      </c>
      <c r="E438" s="6" t="str">
        <f aca="false">'Dish Database'!E146</f>
        <v>South</v>
      </c>
      <c r="F438" s="6" t="s">
        <v>2246</v>
      </c>
      <c r="G438" s="6" t="s">
        <v>2378</v>
      </c>
      <c r="H438" s="16" t="n">
        <v>240</v>
      </c>
      <c r="I438" s="6" t="str">
        <f aca="false">'Dish Database'!I146</f>
        <v>g</v>
      </c>
      <c r="J438" s="13" t="n">
        <f aca="false">'Dish Database'!J146*H438/100</f>
        <v>459.12</v>
      </c>
      <c r="K438" s="17" t="n">
        <f aca="false">'Dish Database'!K146*H438/100</f>
        <v>9.12</v>
      </c>
      <c r="L438" s="17" t="n">
        <f aca="false">'Dish Database'!L146*H438/100</f>
        <v>62.4</v>
      </c>
      <c r="M438" s="17" t="n">
        <f aca="false">'Dish Database'!M146*H438/100</f>
        <v>20.4</v>
      </c>
      <c r="N438" s="17" t="n">
        <f aca="false">'Dish Database'!N146*H438/100</f>
        <v>5.28</v>
      </c>
      <c r="O438" s="17" t="n">
        <f aca="false">'Dish Database'!O146*H438/100</f>
        <v>3.6</v>
      </c>
      <c r="P438" s="13" t="n">
        <f aca="false">'Dish Database'!P146*H438/100</f>
        <v>912</v>
      </c>
    </row>
    <row r="439" customFormat="false" ht="15" hidden="false" customHeight="false" outlineLevel="0" collapsed="false">
      <c r="A439" s="6" t="str">
        <f aca="false">'Dish Database'!A147</f>
        <v>D146</v>
      </c>
      <c r="B439" s="6" t="str">
        <f aca="false">'Dish Database'!B147</f>
        <v>Rava dosa</v>
      </c>
      <c r="C439" s="6" t="str">
        <f aca="false">'Dish Database'!D147</f>
        <v>Breakfast - South</v>
      </c>
      <c r="D439" s="6" t="str">
        <f aca="false">'Dish Database'!F147</f>
        <v>Veg</v>
      </c>
      <c r="E439" s="6" t="str">
        <f aca="false">'Dish Database'!E147</f>
        <v>South</v>
      </c>
      <c r="F439" s="6" t="s">
        <v>2243</v>
      </c>
      <c r="G439" s="6" t="s">
        <v>2370</v>
      </c>
      <c r="H439" s="16" t="n">
        <v>70</v>
      </c>
      <c r="I439" s="6" t="str">
        <f aca="false">'Dish Database'!I147</f>
        <v>g</v>
      </c>
      <c r="J439" s="13" t="n">
        <f aca="false">'Dish Database'!J147*H439/100</f>
        <v>149.66</v>
      </c>
      <c r="K439" s="17" t="n">
        <f aca="false">'Dish Database'!K147*H439/100</f>
        <v>2.66</v>
      </c>
      <c r="L439" s="17" t="n">
        <f aca="false">'Dish Database'!L147*H439/100</f>
        <v>21</v>
      </c>
      <c r="M439" s="17" t="n">
        <f aca="false">'Dish Database'!M147*H439/100</f>
        <v>6.3</v>
      </c>
      <c r="N439" s="17" t="n">
        <f aca="false">'Dish Database'!N147*H439/100</f>
        <v>0.84</v>
      </c>
      <c r="O439" s="17" t="n">
        <f aca="false">'Dish Database'!O147*H439/100</f>
        <v>0.35</v>
      </c>
      <c r="P439" s="13" t="n">
        <f aca="false">'Dish Database'!P147*H439/100</f>
        <v>231</v>
      </c>
    </row>
    <row r="440" customFormat="false" ht="15" hidden="false" customHeight="false" outlineLevel="0" collapsed="false">
      <c r="A440" s="6" t="str">
        <f aca="false">'Dish Database'!A147</f>
        <v>D146</v>
      </c>
      <c r="B440" s="6" t="str">
        <f aca="false">'Dish Database'!B147</f>
        <v>Rava dosa</v>
      </c>
      <c r="C440" s="6" t="str">
        <f aca="false">'Dish Database'!D147</f>
        <v>Breakfast - South</v>
      </c>
      <c r="D440" s="6" t="str">
        <f aca="false">'Dish Database'!F147</f>
        <v>Veg</v>
      </c>
      <c r="E440" s="6" t="str">
        <f aca="false">'Dish Database'!E147</f>
        <v>South</v>
      </c>
      <c r="F440" s="6" t="s">
        <v>103</v>
      </c>
      <c r="G440" s="6" t="s">
        <v>2371</v>
      </c>
      <c r="H440" s="16" t="n">
        <v>100</v>
      </c>
      <c r="I440" s="6" t="str">
        <f aca="false">'Dish Database'!I147</f>
        <v>g</v>
      </c>
      <c r="J440" s="13" t="n">
        <f aca="false">'Dish Database'!J147*H440/100</f>
        <v>213.8</v>
      </c>
      <c r="K440" s="17" t="n">
        <f aca="false">'Dish Database'!K147*H440/100</f>
        <v>3.8</v>
      </c>
      <c r="L440" s="17" t="n">
        <f aca="false">'Dish Database'!L147*H440/100</f>
        <v>30</v>
      </c>
      <c r="M440" s="17" t="n">
        <f aca="false">'Dish Database'!M147*H440/100</f>
        <v>9</v>
      </c>
      <c r="N440" s="17" t="n">
        <f aca="false">'Dish Database'!N147*H440/100</f>
        <v>1.2</v>
      </c>
      <c r="O440" s="17" t="n">
        <f aca="false">'Dish Database'!O147*H440/100</f>
        <v>0.5</v>
      </c>
      <c r="P440" s="13" t="n">
        <f aca="false">'Dish Database'!P147*H440/100</f>
        <v>330</v>
      </c>
    </row>
    <row r="441" customFormat="false" ht="15" hidden="false" customHeight="false" outlineLevel="0" collapsed="false">
      <c r="A441" s="6" t="str">
        <f aca="false">'Dish Database'!A147</f>
        <v>D146</v>
      </c>
      <c r="B441" s="6" t="str">
        <f aca="false">'Dish Database'!B147</f>
        <v>Rava dosa</v>
      </c>
      <c r="C441" s="6" t="str">
        <f aca="false">'Dish Database'!D147</f>
        <v>Breakfast - South</v>
      </c>
      <c r="D441" s="6" t="str">
        <f aca="false">'Dish Database'!F147</f>
        <v>Veg</v>
      </c>
      <c r="E441" s="6" t="str">
        <f aca="false">'Dish Database'!E147</f>
        <v>South</v>
      </c>
      <c r="F441" s="6" t="s">
        <v>2246</v>
      </c>
      <c r="G441" s="6" t="s">
        <v>2379</v>
      </c>
      <c r="H441" s="16" t="n">
        <v>130</v>
      </c>
      <c r="I441" s="6" t="str">
        <f aca="false">'Dish Database'!I147</f>
        <v>g</v>
      </c>
      <c r="J441" s="13" t="n">
        <f aca="false">'Dish Database'!J147*H441/100</f>
        <v>277.94</v>
      </c>
      <c r="K441" s="17" t="n">
        <f aca="false">'Dish Database'!K147*H441/100</f>
        <v>4.94</v>
      </c>
      <c r="L441" s="17" t="n">
        <f aca="false">'Dish Database'!L147*H441/100</f>
        <v>39</v>
      </c>
      <c r="M441" s="17" t="n">
        <f aca="false">'Dish Database'!M147*H441/100</f>
        <v>11.7</v>
      </c>
      <c r="N441" s="17" t="n">
        <f aca="false">'Dish Database'!N147*H441/100</f>
        <v>1.56</v>
      </c>
      <c r="O441" s="17" t="n">
        <f aca="false">'Dish Database'!O147*H441/100</f>
        <v>0.65</v>
      </c>
      <c r="P441" s="13" t="n">
        <f aca="false">'Dish Database'!P147*H441/100</f>
        <v>429</v>
      </c>
    </row>
    <row r="442" customFormat="false" ht="15" hidden="false" customHeight="false" outlineLevel="0" collapsed="false">
      <c r="A442" s="6" t="str">
        <f aca="false">'Dish Database'!A148</f>
        <v>D147</v>
      </c>
      <c r="B442" s="6" t="str">
        <f aca="false">'Dish Database'!B148</f>
        <v>Onion rava dosa</v>
      </c>
      <c r="C442" s="6" t="str">
        <f aca="false">'Dish Database'!D148</f>
        <v>Breakfast - South</v>
      </c>
      <c r="D442" s="6" t="str">
        <f aca="false">'Dish Database'!F148</f>
        <v>Veg</v>
      </c>
      <c r="E442" s="6" t="str">
        <f aca="false">'Dish Database'!E148</f>
        <v>South</v>
      </c>
      <c r="F442" s="6" t="s">
        <v>2243</v>
      </c>
      <c r="G442" s="6" t="s">
        <v>2380</v>
      </c>
      <c r="H442" s="16" t="n">
        <v>80</v>
      </c>
      <c r="I442" s="6" t="str">
        <f aca="false">'Dish Database'!I148</f>
        <v>g</v>
      </c>
      <c r="J442" s="13" t="n">
        <f aca="false">'Dish Database'!J148*H442/100</f>
        <v>166.88</v>
      </c>
      <c r="K442" s="17" t="n">
        <f aca="false">'Dish Database'!K148*H442/100</f>
        <v>2.96</v>
      </c>
      <c r="L442" s="17" t="n">
        <f aca="false">'Dish Database'!L148*H442/100</f>
        <v>23.2</v>
      </c>
      <c r="M442" s="17" t="n">
        <f aca="false">'Dish Database'!M148*H442/100</f>
        <v>7.2</v>
      </c>
      <c r="N442" s="17" t="n">
        <f aca="false">'Dish Database'!N148*H442/100</f>
        <v>1.28</v>
      </c>
      <c r="O442" s="17" t="n">
        <f aca="false">'Dish Database'!O148*H442/100</f>
        <v>1.2</v>
      </c>
      <c r="P442" s="13" t="n">
        <f aca="false">'Dish Database'!P148*H442/100</f>
        <v>264</v>
      </c>
    </row>
    <row r="443" customFormat="false" ht="15" hidden="false" customHeight="false" outlineLevel="0" collapsed="false">
      <c r="A443" s="6" t="str">
        <f aca="false">'Dish Database'!A148</f>
        <v>D147</v>
      </c>
      <c r="B443" s="6" t="str">
        <f aca="false">'Dish Database'!B148</f>
        <v>Onion rava dosa</v>
      </c>
      <c r="C443" s="6" t="str">
        <f aca="false">'Dish Database'!D148</f>
        <v>Breakfast - South</v>
      </c>
      <c r="D443" s="6" t="str">
        <f aca="false">'Dish Database'!F148</f>
        <v>Veg</v>
      </c>
      <c r="E443" s="6" t="str">
        <f aca="false">'Dish Database'!E148</f>
        <v>South</v>
      </c>
      <c r="F443" s="6" t="s">
        <v>103</v>
      </c>
      <c r="G443" s="6" t="s">
        <v>2381</v>
      </c>
      <c r="H443" s="16" t="n">
        <v>110</v>
      </c>
      <c r="I443" s="6" t="str">
        <f aca="false">'Dish Database'!I148</f>
        <v>g</v>
      </c>
      <c r="J443" s="13" t="n">
        <f aca="false">'Dish Database'!J148*H443/100</f>
        <v>229.46</v>
      </c>
      <c r="K443" s="17" t="n">
        <f aca="false">'Dish Database'!K148*H443/100</f>
        <v>4.07</v>
      </c>
      <c r="L443" s="17" t="n">
        <f aca="false">'Dish Database'!L148*H443/100</f>
        <v>31.9</v>
      </c>
      <c r="M443" s="17" t="n">
        <f aca="false">'Dish Database'!M148*H443/100</f>
        <v>9.9</v>
      </c>
      <c r="N443" s="17" t="n">
        <f aca="false">'Dish Database'!N148*H443/100</f>
        <v>1.76</v>
      </c>
      <c r="O443" s="17" t="n">
        <f aca="false">'Dish Database'!O148*H443/100</f>
        <v>1.65</v>
      </c>
      <c r="P443" s="13" t="n">
        <f aca="false">'Dish Database'!P148*H443/100</f>
        <v>363</v>
      </c>
    </row>
    <row r="444" customFormat="false" ht="15" hidden="false" customHeight="false" outlineLevel="0" collapsed="false">
      <c r="A444" s="6" t="str">
        <f aca="false">'Dish Database'!A148</f>
        <v>D147</v>
      </c>
      <c r="B444" s="6" t="str">
        <f aca="false">'Dish Database'!B148</f>
        <v>Onion rava dosa</v>
      </c>
      <c r="C444" s="6" t="str">
        <f aca="false">'Dish Database'!D148</f>
        <v>Breakfast - South</v>
      </c>
      <c r="D444" s="6" t="str">
        <f aca="false">'Dish Database'!F148</f>
        <v>Veg</v>
      </c>
      <c r="E444" s="6" t="str">
        <f aca="false">'Dish Database'!E148</f>
        <v>South</v>
      </c>
      <c r="F444" s="6" t="s">
        <v>2246</v>
      </c>
      <c r="G444" s="6" t="s">
        <v>2372</v>
      </c>
      <c r="H444" s="16" t="n">
        <v>140</v>
      </c>
      <c r="I444" s="6" t="str">
        <f aca="false">'Dish Database'!I148</f>
        <v>g</v>
      </c>
      <c r="J444" s="13" t="n">
        <f aca="false">'Dish Database'!J148*H444/100</f>
        <v>292.04</v>
      </c>
      <c r="K444" s="17" t="n">
        <f aca="false">'Dish Database'!K148*H444/100</f>
        <v>5.18</v>
      </c>
      <c r="L444" s="17" t="n">
        <f aca="false">'Dish Database'!L148*H444/100</f>
        <v>40.6</v>
      </c>
      <c r="M444" s="17" t="n">
        <f aca="false">'Dish Database'!M148*H444/100</f>
        <v>12.6</v>
      </c>
      <c r="N444" s="17" t="n">
        <f aca="false">'Dish Database'!N148*H444/100</f>
        <v>2.24</v>
      </c>
      <c r="O444" s="17" t="n">
        <f aca="false">'Dish Database'!O148*H444/100</f>
        <v>2.1</v>
      </c>
      <c r="P444" s="13" t="n">
        <f aca="false">'Dish Database'!P148*H444/100</f>
        <v>462</v>
      </c>
    </row>
    <row r="445" customFormat="false" ht="15" hidden="false" customHeight="false" outlineLevel="0" collapsed="false">
      <c r="A445" s="6" t="str">
        <f aca="false">'Dish Database'!A149</f>
        <v>D148</v>
      </c>
      <c r="B445" s="6" t="str">
        <f aca="false">'Dish Database'!B149</f>
        <v>Set dosa</v>
      </c>
      <c r="C445" s="6" t="str">
        <f aca="false">'Dish Database'!D149</f>
        <v>Breakfast - South</v>
      </c>
      <c r="D445" s="6" t="str">
        <f aca="false">'Dish Database'!F149</f>
        <v>Veg</v>
      </c>
      <c r="E445" s="6" t="str">
        <f aca="false">'Dish Database'!E149</f>
        <v>South</v>
      </c>
      <c r="F445" s="6" t="s">
        <v>2243</v>
      </c>
      <c r="G445" s="6" t="s">
        <v>2382</v>
      </c>
      <c r="H445" s="16" t="n">
        <v>40</v>
      </c>
      <c r="I445" s="6" t="str">
        <f aca="false">'Dish Database'!I149</f>
        <v>g</v>
      </c>
      <c r="J445" s="13" t="n">
        <f aca="false">'Dish Database'!J149*H445/100</f>
        <v>67.84</v>
      </c>
      <c r="K445" s="17" t="n">
        <f aca="false">'Dish Database'!K149*H445/100</f>
        <v>1.6</v>
      </c>
      <c r="L445" s="17" t="n">
        <f aca="false">'Dish Database'!L149*H445/100</f>
        <v>12</v>
      </c>
      <c r="M445" s="17" t="n">
        <f aca="false">'Dish Database'!M149*H445/100</f>
        <v>1.6</v>
      </c>
      <c r="N445" s="17" t="n">
        <f aca="false">'Dish Database'!N149*H445/100</f>
        <v>0.48</v>
      </c>
      <c r="O445" s="17" t="n">
        <f aca="false">'Dish Database'!O149*H445/100</f>
        <v>0.6</v>
      </c>
      <c r="P445" s="13" t="n">
        <f aca="false">'Dish Database'!P149*H445/100</f>
        <v>120</v>
      </c>
    </row>
    <row r="446" customFormat="false" ht="15" hidden="false" customHeight="false" outlineLevel="0" collapsed="false">
      <c r="A446" s="6" t="str">
        <f aca="false">'Dish Database'!A149</f>
        <v>D148</v>
      </c>
      <c r="B446" s="6" t="str">
        <f aca="false">'Dish Database'!B149</f>
        <v>Set dosa</v>
      </c>
      <c r="C446" s="6" t="str">
        <f aca="false">'Dish Database'!D149</f>
        <v>Breakfast - South</v>
      </c>
      <c r="D446" s="6" t="str">
        <f aca="false">'Dish Database'!F149</f>
        <v>Veg</v>
      </c>
      <c r="E446" s="6" t="str">
        <f aca="false">'Dish Database'!E149</f>
        <v>South</v>
      </c>
      <c r="F446" s="6" t="s">
        <v>103</v>
      </c>
      <c r="G446" s="6" t="s">
        <v>2383</v>
      </c>
      <c r="H446" s="16" t="n">
        <v>55</v>
      </c>
      <c r="I446" s="6" t="str">
        <f aca="false">'Dish Database'!I149</f>
        <v>g</v>
      </c>
      <c r="J446" s="13" t="n">
        <f aca="false">'Dish Database'!J149*H446/100</f>
        <v>93.28</v>
      </c>
      <c r="K446" s="17" t="n">
        <f aca="false">'Dish Database'!K149*H446/100</f>
        <v>2.2</v>
      </c>
      <c r="L446" s="17" t="n">
        <f aca="false">'Dish Database'!L149*H446/100</f>
        <v>16.5</v>
      </c>
      <c r="M446" s="17" t="n">
        <f aca="false">'Dish Database'!M149*H446/100</f>
        <v>2.2</v>
      </c>
      <c r="N446" s="17" t="n">
        <f aca="false">'Dish Database'!N149*H446/100</f>
        <v>0.66</v>
      </c>
      <c r="O446" s="17" t="n">
        <f aca="false">'Dish Database'!O149*H446/100</f>
        <v>0.825</v>
      </c>
      <c r="P446" s="13" t="n">
        <f aca="false">'Dish Database'!P149*H446/100</f>
        <v>165</v>
      </c>
    </row>
    <row r="447" customFormat="false" ht="15" hidden="false" customHeight="false" outlineLevel="0" collapsed="false">
      <c r="A447" s="6" t="str">
        <f aca="false">'Dish Database'!A149</f>
        <v>D148</v>
      </c>
      <c r="B447" s="6" t="str">
        <f aca="false">'Dish Database'!B149</f>
        <v>Set dosa</v>
      </c>
      <c r="C447" s="6" t="str">
        <f aca="false">'Dish Database'!D149</f>
        <v>Breakfast - South</v>
      </c>
      <c r="D447" s="6" t="str">
        <f aca="false">'Dish Database'!F149</f>
        <v>Veg</v>
      </c>
      <c r="E447" s="6" t="str">
        <f aca="false">'Dish Database'!E149</f>
        <v>South</v>
      </c>
      <c r="F447" s="6" t="s">
        <v>2246</v>
      </c>
      <c r="G447" s="6" t="s">
        <v>2384</v>
      </c>
      <c r="H447" s="16" t="n">
        <v>70</v>
      </c>
      <c r="I447" s="6" t="str">
        <f aca="false">'Dish Database'!I149</f>
        <v>g</v>
      </c>
      <c r="J447" s="13" t="n">
        <f aca="false">'Dish Database'!J149*H447/100</f>
        <v>118.72</v>
      </c>
      <c r="K447" s="17" t="n">
        <f aca="false">'Dish Database'!K149*H447/100</f>
        <v>2.8</v>
      </c>
      <c r="L447" s="17" t="n">
        <f aca="false">'Dish Database'!L149*H447/100</f>
        <v>21</v>
      </c>
      <c r="M447" s="17" t="n">
        <f aca="false">'Dish Database'!M149*H447/100</f>
        <v>2.8</v>
      </c>
      <c r="N447" s="17" t="n">
        <f aca="false">'Dish Database'!N149*H447/100</f>
        <v>0.84</v>
      </c>
      <c r="O447" s="17" t="n">
        <f aca="false">'Dish Database'!O149*H447/100</f>
        <v>1.05</v>
      </c>
      <c r="P447" s="13" t="n">
        <f aca="false">'Dish Database'!P149*H447/100</f>
        <v>210</v>
      </c>
    </row>
    <row r="448" customFormat="false" ht="15" hidden="false" customHeight="false" outlineLevel="0" collapsed="false">
      <c r="A448" s="6" t="str">
        <f aca="false">'Dish Database'!A150</f>
        <v>D149</v>
      </c>
      <c r="B448" s="6" t="str">
        <f aca="false">'Dish Database'!B150</f>
        <v>Neer dosa</v>
      </c>
      <c r="C448" s="6" t="str">
        <f aca="false">'Dish Database'!D150</f>
        <v>Breakfast - South</v>
      </c>
      <c r="D448" s="6" t="str">
        <f aca="false">'Dish Database'!F150</f>
        <v>Veg</v>
      </c>
      <c r="E448" s="6" t="str">
        <f aca="false">'Dish Database'!E150</f>
        <v>South</v>
      </c>
      <c r="F448" s="6" t="s">
        <v>2243</v>
      </c>
      <c r="G448" s="6" t="s">
        <v>2382</v>
      </c>
      <c r="H448" s="16" t="n">
        <v>40</v>
      </c>
      <c r="I448" s="6" t="str">
        <f aca="false">'Dish Database'!I150</f>
        <v>g</v>
      </c>
      <c r="J448" s="13" t="n">
        <f aca="false">'Dish Database'!J150*H448/100</f>
        <v>52.6</v>
      </c>
      <c r="K448" s="17" t="n">
        <f aca="false">'Dish Database'!K150*H448/100</f>
        <v>1</v>
      </c>
      <c r="L448" s="17" t="n">
        <f aca="false">'Dish Database'!L150*H448/100</f>
        <v>10</v>
      </c>
      <c r="M448" s="17" t="n">
        <f aca="false">'Dish Database'!M150*H448/100</f>
        <v>1</v>
      </c>
      <c r="N448" s="17" t="n">
        <f aca="false">'Dish Database'!N150*H448/100</f>
        <v>0.2</v>
      </c>
      <c r="O448" s="17" t="n">
        <f aca="false">'Dish Database'!O150*H448/100</f>
        <v>0.04</v>
      </c>
      <c r="P448" s="13" t="n">
        <f aca="false">'Dish Database'!P150*H448/100</f>
        <v>80</v>
      </c>
    </row>
    <row r="449" customFormat="false" ht="15" hidden="false" customHeight="false" outlineLevel="0" collapsed="false">
      <c r="A449" s="6" t="str">
        <f aca="false">'Dish Database'!A150</f>
        <v>D149</v>
      </c>
      <c r="B449" s="6" t="str">
        <f aca="false">'Dish Database'!B150</f>
        <v>Neer dosa</v>
      </c>
      <c r="C449" s="6" t="str">
        <f aca="false">'Dish Database'!D150</f>
        <v>Breakfast - South</v>
      </c>
      <c r="D449" s="6" t="str">
        <f aca="false">'Dish Database'!F150</f>
        <v>Veg</v>
      </c>
      <c r="E449" s="6" t="str">
        <f aca="false">'Dish Database'!E150</f>
        <v>South</v>
      </c>
      <c r="F449" s="6" t="s">
        <v>103</v>
      </c>
      <c r="G449" s="6" t="s">
        <v>2385</v>
      </c>
      <c r="H449" s="16" t="n">
        <v>50</v>
      </c>
      <c r="I449" s="6" t="str">
        <f aca="false">'Dish Database'!I150</f>
        <v>g</v>
      </c>
      <c r="J449" s="13" t="n">
        <f aca="false">'Dish Database'!J150*H449/100</f>
        <v>65.75</v>
      </c>
      <c r="K449" s="17" t="n">
        <f aca="false">'Dish Database'!K150*H449/100</f>
        <v>1.25</v>
      </c>
      <c r="L449" s="17" t="n">
        <f aca="false">'Dish Database'!L150*H449/100</f>
        <v>12.5</v>
      </c>
      <c r="M449" s="17" t="n">
        <f aca="false">'Dish Database'!M150*H449/100</f>
        <v>1.25</v>
      </c>
      <c r="N449" s="17" t="n">
        <f aca="false">'Dish Database'!N150*H449/100</f>
        <v>0.25</v>
      </c>
      <c r="O449" s="17" t="n">
        <f aca="false">'Dish Database'!O150*H449/100</f>
        <v>0.05</v>
      </c>
      <c r="P449" s="13" t="n">
        <f aca="false">'Dish Database'!P150*H449/100</f>
        <v>100</v>
      </c>
    </row>
    <row r="450" customFormat="false" ht="15" hidden="false" customHeight="false" outlineLevel="0" collapsed="false">
      <c r="A450" s="6" t="str">
        <f aca="false">'Dish Database'!A150</f>
        <v>D149</v>
      </c>
      <c r="B450" s="6" t="str">
        <f aca="false">'Dish Database'!B150</f>
        <v>Neer dosa</v>
      </c>
      <c r="C450" s="6" t="str">
        <f aca="false">'Dish Database'!D150</f>
        <v>Breakfast - South</v>
      </c>
      <c r="D450" s="6" t="str">
        <f aca="false">'Dish Database'!F150</f>
        <v>Veg</v>
      </c>
      <c r="E450" s="6" t="str">
        <f aca="false">'Dish Database'!E150</f>
        <v>South</v>
      </c>
      <c r="F450" s="6" t="s">
        <v>2246</v>
      </c>
      <c r="G450" s="6" t="s">
        <v>2386</v>
      </c>
      <c r="H450" s="16" t="n">
        <v>65</v>
      </c>
      <c r="I450" s="6" t="str">
        <f aca="false">'Dish Database'!I150</f>
        <v>g</v>
      </c>
      <c r="J450" s="13" t="n">
        <f aca="false">'Dish Database'!J150*H450/100</f>
        <v>85.475</v>
      </c>
      <c r="K450" s="17" t="n">
        <f aca="false">'Dish Database'!K150*H450/100</f>
        <v>1.625</v>
      </c>
      <c r="L450" s="17" t="n">
        <f aca="false">'Dish Database'!L150*H450/100</f>
        <v>16.25</v>
      </c>
      <c r="M450" s="17" t="n">
        <f aca="false">'Dish Database'!M150*H450/100</f>
        <v>1.625</v>
      </c>
      <c r="N450" s="17" t="n">
        <f aca="false">'Dish Database'!N150*H450/100</f>
        <v>0.325</v>
      </c>
      <c r="O450" s="17" t="n">
        <f aca="false">'Dish Database'!O150*H450/100</f>
        <v>0.065</v>
      </c>
      <c r="P450" s="13" t="n">
        <f aca="false">'Dish Database'!P150*H450/100</f>
        <v>130</v>
      </c>
    </row>
    <row r="451" customFormat="false" ht="15" hidden="false" customHeight="false" outlineLevel="0" collapsed="false">
      <c r="A451" s="6" t="str">
        <f aca="false">'Dish Database'!A151</f>
        <v>D150</v>
      </c>
      <c r="B451" s="6" t="str">
        <f aca="false">'Dish Database'!B151</f>
        <v>Cheese dosa</v>
      </c>
      <c r="C451" s="6" t="str">
        <f aca="false">'Dish Database'!D151</f>
        <v>Breakfast - South</v>
      </c>
      <c r="D451" s="6" t="str">
        <f aca="false">'Dish Database'!F151</f>
        <v>Veg</v>
      </c>
      <c r="E451" s="6" t="str">
        <f aca="false">'Dish Database'!E151</f>
        <v>South</v>
      </c>
      <c r="F451" s="6" t="s">
        <v>2243</v>
      </c>
      <c r="G451" s="6" t="s">
        <v>2387</v>
      </c>
      <c r="H451" s="16" t="n">
        <v>100</v>
      </c>
      <c r="I451" s="6" t="str">
        <f aca="false">'Dish Database'!I151</f>
        <v>g</v>
      </c>
      <c r="J451" s="13" t="n">
        <f aca="false">'Dish Database'!J151*H451/100</f>
        <v>214</v>
      </c>
      <c r="K451" s="17" t="n">
        <f aca="false">'Dish Database'!K151*H451/100</f>
        <v>6.5</v>
      </c>
      <c r="L451" s="17" t="n">
        <f aca="false">'Dish Database'!L151*H451/100</f>
        <v>25</v>
      </c>
      <c r="M451" s="17" t="n">
        <f aca="false">'Dish Database'!M151*H451/100</f>
        <v>10</v>
      </c>
      <c r="N451" s="17" t="n">
        <f aca="false">'Dish Database'!N151*H451/100</f>
        <v>1</v>
      </c>
      <c r="O451" s="17" t="n">
        <f aca="false">'Dish Database'!O151*H451/100</f>
        <v>1</v>
      </c>
      <c r="P451" s="13" t="n">
        <f aca="false">'Dish Database'!P151*H451/100</f>
        <v>450</v>
      </c>
    </row>
    <row r="452" customFormat="false" ht="15" hidden="false" customHeight="false" outlineLevel="0" collapsed="false">
      <c r="A452" s="6" t="str">
        <f aca="false">'Dish Database'!A151</f>
        <v>D150</v>
      </c>
      <c r="B452" s="6" t="str">
        <f aca="false">'Dish Database'!B151</f>
        <v>Cheese dosa</v>
      </c>
      <c r="C452" s="6" t="str">
        <f aca="false">'Dish Database'!D151</f>
        <v>Breakfast - South</v>
      </c>
      <c r="D452" s="6" t="str">
        <f aca="false">'Dish Database'!F151</f>
        <v>Veg</v>
      </c>
      <c r="E452" s="6" t="str">
        <f aca="false">'Dish Database'!E151</f>
        <v>South</v>
      </c>
      <c r="F452" s="6" t="s">
        <v>103</v>
      </c>
      <c r="G452" s="6" t="s">
        <v>2388</v>
      </c>
      <c r="H452" s="16" t="n">
        <v>140</v>
      </c>
      <c r="I452" s="6" t="str">
        <f aca="false">'Dish Database'!I151</f>
        <v>g</v>
      </c>
      <c r="J452" s="13" t="n">
        <f aca="false">'Dish Database'!J151*H452/100</f>
        <v>299.6</v>
      </c>
      <c r="K452" s="17" t="n">
        <f aca="false">'Dish Database'!K151*H452/100</f>
        <v>9.1</v>
      </c>
      <c r="L452" s="17" t="n">
        <f aca="false">'Dish Database'!L151*H452/100</f>
        <v>35</v>
      </c>
      <c r="M452" s="17" t="n">
        <f aca="false">'Dish Database'!M151*H452/100</f>
        <v>14</v>
      </c>
      <c r="N452" s="17" t="n">
        <f aca="false">'Dish Database'!N151*H452/100</f>
        <v>1.4</v>
      </c>
      <c r="O452" s="17" t="n">
        <f aca="false">'Dish Database'!O151*H452/100</f>
        <v>1.4</v>
      </c>
      <c r="P452" s="13" t="n">
        <f aca="false">'Dish Database'!P151*H452/100</f>
        <v>630</v>
      </c>
    </row>
    <row r="453" customFormat="false" ht="15" hidden="false" customHeight="false" outlineLevel="0" collapsed="false">
      <c r="A453" s="6" t="str">
        <f aca="false">'Dish Database'!A151</f>
        <v>D150</v>
      </c>
      <c r="B453" s="6" t="str">
        <f aca="false">'Dish Database'!B151</f>
        <v>Cheese dosa</v>
      </c>
      <c r="C453" s="6" t="str">
        <f aca="false">'Dish Database'!D151</f>
        <v>Breakfast - South</v>
      </c>
      <c r="D453" s="6" t="str">
        <f aca="false">'Dish Database'!F151</f>
        <v>Veg</v>
      </c>
      <c r="E453" s="6" t="str">
        <f aca="false">'Dish Database'!E151</f>
        <v>South</v>
      </c>
      <c r="F453" s="6" t="s">
        <v>2246</v>
      </c>
      <c r="G453" s="6" t="s">
        <v>2389</v>
      </c>
      <c r="H453" s="16" t="n">
        <v>180</v>
      </c>
      <c r="I453" s="6" t="str">
        <f aca="false">'Dish Database'!I151</f>
        <v>g</v>
      </c>
      <c r="J453" s="13" t="n">
        <f aca="false">'Dish Database'!J151*H453/100</f>
        <v>385.2</v>
      </c>
      <c r="K453" s="17" t="n">
        <f aca="false">'Dish Database'!K151*H453/100</f>
        <v>11.7</v>
      </c>
      <c r="L453" s="17" t="n">
        <f aca="false">'Dish Database'!L151*H453/100</f>
        <v>45</v>
      </c>
      <c r="M453" s="17" t="n">
        <f aca="false">'Dish Database'!M151*H453/100</f>
        <v>18</v>
      </c>
      <c r="N453" s="17" t="n">
        <f aca="false">'Dish Database'!N151*H453/100</f>
        <v>1.8</v>
      </c>
      <c r="O453" s="17" t="n">
        <f aca="false">'Dish Database'!O151*H453/100</f>
        <v>1.8</v>
      </c>
      <c r="P453" s="13" t="n">
        <f aca="false">'Dish Database'!P151*H453/100</f>
        <v>810</v>
      </c>
    </row>
    <row r="454" customFormat="false" ht="15" hidden="false" customHeight="false" outlineLevel="0" collapsed="false">
      <c r="A454" s="6" t="str">
        <f aca="false">'Dish Database'!A152</f>
        <v>D151</v>
      </c>
      <c r="B454" s="6" t="str">
        <f aca="false">'Dish Database'!B152</f>
        <v>Paneer dosa</v>
      </c>
      <c r="C454" s="6" t="str">
        <f aca="false">'Dish Database'!D152</f>
        <v>Breakfast - South</v>
      </c>
      <c r="D454" s="6" t="str">
        <f aca="false">'Dish Database'!F152</f>
        <v>Veg</v>
      </c>
      <c r="E454" s="6" t="str">
        <f aca="false">'Dish Database'!E152</f>
        <v>South</v>
      </c>
      <c r="F454" s="6" t="s">
        <v>2243</v>
      </c>
      <c r="G454" s="6" t="s">
        <v>2373</v>
      </c>
      <c r="H454" s="16" t="n">
        <v>120</v>
      </c>
      <c r="I454" s="6" t="str">
        <f aca="false">'Dish Database'!I152</f>
        <v>g</v>
      </c>
      <c r="J454" s="13" t="n">
        <f aca="false">'Dish Database'!J152*H454/100</f>
        <v>243</v>
      </c>
      <c r="K454" s="17" t="n">
        <f aca="false">'Dish Database'!K152*H454/100</f>
        <v>8.4</v>
      </c>
      <c r="L454" s="17" t="n">
        <f aca="false">'Dish Database'!L152*H454/100</f>
        <v>27.6</v>
      </c>
      <c r="M454" s="17" t="n">
        <f aca="false">'Dish Database'!M152*H454/100</f>
        <v>11.4</v>
      </c>
      <c r="N454" s="17" t="n">
        <f aca="false">'Dish Database'!N152*H454/100</f>
        <v>1.8</v>
      </c>
      <c r="O454" s="17" t="n">
        <f aca="false">'Dish Database'!O152*H454/100</f>
        <v>1.8</v>
      </c>
      <c r="P454" s="13" t="n">
        <f aca="false">'Dish Database'!P152*H454/100</f>
        <v>456</v>
      </c>
    </row>
    <row r="455" customFormat="false" ht="15" hidden="false" customHeight="false" outlineLevel="0" collapsed="false">
      <c r="A455" s="6" t="str">
        <f aca="false">'Dish Database'!A152</f>
        <v>D151</v>
      </c>
      <c r="B455" s="6" t="str">
        <f aca="false">'Dish Database'!B152</f>
        <v>Paneer dosa</v>
      </c>
      <c r="C455" s="6" t="str">
        <f aca="false">'Dish Database'!D152</f>
        <v>Breakfast - South</v>
      </c>
      <c r="D455" s="6" t="str">
        <f aca="false">'Dish Database'!F152</f>
        <v>Veg</v>
      </c>
      <c r="E455" s="6" t="str">
        <f aca="false">'Dish Database'!E152</f>
        <v>South</v>
      </c>
      <c r="F455" s="6" t="s">
        <v>103</v>
      </c>
      <c r="G455" s="6" t="s">
        <v>2374</v>
      </c>
      <c r="H455" s="16" t="n">
        <v>170</v>
      </c>
      <c r="I455" s="6" t="str">
        <f aca="false">'Dish Database'!I152</f>
        <v>g</v>
      </c>
      <c r="J455" s="13" t="n">
        <f aca="false">'Dish Database'!J152*H455/100</f>
        <v>344.25</v>
      </c>
      <c r="K455" s="17" t="n">
        <f aca="false">'Dish Database'!K152*H455/100</f>
        <v>11.9</v>
      </c>
      <c r="L455" s="17" t="n">
        <f aca="false">'Dish Database'!L152*H455/100</f>
        <v>39.1</v>
      </c>
      <c r="M455" s="17" t="n">
        <f aca="false">'Dish Database'!M152*H455/100</f>
        <v>16.15</v>
      </c>
      <c r="N455" s="17" t="n">
        <f aca="false">'Dish Database'!N152*H455/100</f>
        <v>2.55</v>
      </c>
      <c r="O455" s="17" t="n">
        <f aca="false">'Dish Database'!O152*H455/100</f>
        <v>2.55</v>
      </c>
      <c r="P455" s="13" t="n">
        <f aca="false">'Dish Database'!P152*H455/100</f>
        <v>646</v>
      </c>
    </row>
    <row r="456" customFormat="false" ht="15" hidden="false" customHeight="false" outlineLevel="0" collapsed="false">
      <c r="A456" s="6" t="str">
        <f aca="false">'Dish Database'!A152</f>
        <v>D151</v>
      </c>
      <c r="B456" s="6" t="str">
        <f aca="false">'Dish Database'!B152</f>
        <v>Paneer dosa</v>
      </c>
      <c r="C456" s="6" t="str">
        <f aca="false">'Dish Database'!D152</f>
        <v>Breakfast - South</v>
      </c>
      <c r="D456" s="6" t="str">
        <f aca="false">'Dish Database'!F152</f>
        <v>Veg</v>
      </c>
      <c r="E456" s="6" t="str">
        <f aca="false">'Dish Database'!E152</f>
        <v>South</v>
      </c>
      <c r="F456" s="6" t="s">
        <v>2246</v>
      </c>
      <c r="G456" s="6" t="s">
        <v>2390</v>
      </c>
      <c r="H456" s="16" t="n">
        <v>220</v>
      </c>
      <c r="I456" s="6" t="str">
        <f aca="false">'Dish Database'!I152</f>
        <v>g</v>
      </c>
      <c r="J456" s="13" t="n">
        <f aca="false">'Dish Database'!J152*H456/100</f>
        <v>445.5</v>
      </c>
      <c r="K456" s="17" t="n">
        <f aca="false">'Dish Database'!K152*H456/100</f>
        <v>15.4</v>
      </c>
      <c r="L456" s="17" t="n">
        <f aca="false">'Dish Database'!L152*H456/100</f>
        <v>50.6</v>
      </c>
      <c r="M456" s="17" t="n">
        <f aca="false">'Dish Database'!M152*H456/100</f>
        <v>20.9</v>
      </c>
      <c r="N456" s="17" t="n">
        <f aca="false">'Dish Database'!N152*H456/100</f>
        <v>3.3</v>
      </c>
      <c r="O456" s="17" t="n">
        <f aca="false">'Dish Database'!O152*H456/100</f>
        <v>3.3</v>
      </c>
      <c r="P456" s="13" t="n">
        <f aca="false">'Dish Database'!P152*H456/100</f>
        <v>836</v>
      </c>
    </row>
    <row r="457" customFormat="false" ht="15" hidden="false" customHeight="false" outlineLevel="0" collapsed="false">
      <c r="A457" s="6" t="str">
        <f aca="false">'Dish Database'!A153</f>
        <v>D152</v>
      </c>
      <c r="B457" s="6" t="str">
        <f aca="false">'Dish Database'!B153</f>
        <v>Egg dosa</v>
      </c>
      <c r="C457" s="6" t="str">
        <f aca="false">'Dish Database'!D153</f>
        <v>Breakfast - South</v>
      </c>
      <c r="D457" s="6" t="str">
        <f aca="false">'Dish Database'!F153</f>
        <v>Egg</v>
      </c>
      <c r="E457" s="6" t="str">
        <f aca="false">'Dish Database'!E153</f>
        <v>South</v>
      </c>
      <c r="F457" s="6" t="s">
        <v>2243</v>
      </c>
      <c r="G457" s="6" t="s">
        <v>2391</v>
      </c>
      <c r="H457" s="16" t="n">
        <v>90</v>
      </c>
      <c r="I457" s="6" t="str">
        <f aca="false">'Dish Database'!I153</f>
        <v>g</v>
      </c>
      <c r="J457" s="13" t="n">
        <f aca="false">'Dish Database'!J153*H457/100</f>
        <v>154.35</v>
      </c>
      <c r="K457" s="17" t="n">
        <f aca="false">'Dish Database'!K153*H457/100</f>
        <v>5.85</v>
      </c>
      <c r="L457" s="17" t="n">
        <f aca="false">'Dish Database'!L153*H457/100</f>
        <v>18</v>
      </c>
      <c r="M457" s="17" t="n">
        <f aca="false">'Dish Database'!M153*H457/100</f>
        <v>6.75</v>
      </c>
      <c r="N457" s="17" t="n">
        <f aca="false">'Dish Database'!N153*H457/100</f>
        <v>0.9</v>
      </c>
      <c r="O457" s="17" t="n">
        <f aca="false">'Dish Database'!O153*H457/100</f>
        <v>0.45</v>
      </c>
      <c r="P457" s="13" t="n">
        <f aca="false">'Dish Database'!P153*H457/100</f>
        <v>297</v>
      </c>
    </row>
    <row r="458" customFormat="false" ht="15" hidden="false" customHeight="false" outlineLevel="0" collapsed="false">
      <c r="A458" s="6" t="str">
        <f aca="false">'Dish Database'!A153</f>
        <v>D152</v>
      </c>
      <c r="B458" s="6" t="str">
        <f aca="false">'Dish Database'!B153</f>
        <v>Egg dosa</v>
      </c>
      <c r="C458" s="6" t="str">
        <f aca="false">'Dish Database'!D153</f>
        <v>Breakfast - South</v>
      </c>
      <c r="D458" s="6" t="str">
        <f aca="false">'Dish Database'!F153</f>
        <v>Egg</v>
      </c>
      <c r="E458" s="6" t="str">
        <f aca="false">'Dish Database'!E153</f>
        <v>South</v>
      </c>
      <c r="F458" s="6" t="s">
        <v>103</v>
      </c>
      <c r="G458" s="6" t="s">
        <v>2392</v>
      </c>
      <c r="H458" s="16" t="n">
        <v>120</v>
      </c>
      <c r="I458" s="6" t="str">
        <f aca="false">'Dish Database'!I153</f>
        <v>g</v>
      </c>
      <c r="J458" s="13" t="n">
        <f aca="false">'Dish Database'!J153*H458/100</f>
        <v>205.8</v>
      </c>
      <c r="K458" s="17" t="n">
        <f aca="false">'Dish Database'!K153*H458/100</f>
        <v>7.8</v>
      </c>
      <c r="L458" s="17" t="n">
        <f aca="false">'Dish Database'!L153*H458/100</f>
        <v>24</v>
      </c>
      <c r="M458" s="17" t="n">
        <f aca="false">'Dish Database'!M153*H458/100</f>
        <v>9</v>
      </c>
      <c r="N458" s="17" t="n">
        <f aca="false">'Dish Database'!N153*H458/100</f>
        <v>1.2</v>
      </c>
      <c r="O458" s="17" t="n">
        <f aca="false">'Dish Database'!O153*H458/100</f>
        <v>0.6</v>
      </c>
      <c r="P458" s="13" t="n">
        <f aca="false">'Dish Database'!P153*H458/100</f>
        <v>396</v>
      </c>
    </row>
    <row r="459" customFormat="false" ht="15" hidden="false" customHeight="false" outlineLevel="0" collapsed="false">
      <c r="A459" s="6" t="str">
        <f aca="false">'Dish Database'!A153</f>
        <v>D152</v>
      </c>
      <c r="B459" s="6" t="str">
        <f aca="false">'Dish Database'!B153</f>
        <v>Egg dosa</v>
      </c>
      <c r="C459" s="6" t="str">
        <f aca="false">'Dish Database'!D153</f>
        <v>Breakfast - South</v>
      </c>
      <c r="D459" s="6" t="str">
        <f aca="false">'Dish Database'!F153</f>
        <v>Egg</v>
      </c>
      <c r="E459" s="6" t="str">
        <f aca="false">'Dish Database'!E153</f>
        <v>South</v>
      </c>
      <c r="F459" s="6" t="s">
        <v>2246</v>
      </c>
      <c r="G459" s="6" t="s">
        <v>2393</v>
      </c>
      <c r="H459" s="16" t="n">
        <v>160</v>
      </c>
      <c r="I459" s="6" t="str">
        <f aca="false">'Dish Database'!I153</f>
        <v>g</v>
      </c>
      <c r="J459" s="13" t="n">
        <f aca="false">'Dish Database'!J153*H459/100</f>
        <v>274.4</v>
      </c>
      <c r="K459" s="17" t="n">
        <f aca="false">'Dish Database'!K153*H459/100</f>
        <v>10.4</v>
      </c>
      <c r="L459" s="17" t="n">
        <f aca="false">'Dish Database'!L153*H459/100</f>
        <v>32</v>
      </c>
      <c r="M459" s="17" t="n">
        <f aca="false">'Dish Database'!M153*H459/100</f>
        <v>12</v>
      </c>
      <c r="N459" s="17" t="n">
        <f aca="false">'Dish Database'!N153*H459/100</f>
        <v>1.6</v>
      </c>
      <c r="O459" s="17" t="n">
        <f aca="false">'Dish Database'!O153*H459/100</f>
        <v>0.8</v>
      </c>
      <c r="P459" s="13" t="n">
        <f aca="false">'Dish Database'!P153*H459/100</f>
        <v>528</v>
      </c>
    </row>
    <row r="460" customFormat="false" ht="15" hidden="false" customHeight="false" outlineLevel="0" collapsed="false">
      <c r="A460" s="6" t="str">
        <f aca="false">'Dish Database'!A154</f>
        <v>D153</v>
      </c>
      <c r="B460" s="6" t="str">
        <f aca="false">'Dish Database'!B154</f>
        <v>Pesarattu (green moong dosa)</v>
      </c>
      <c r="C460" s="6" t="str">
        <f aca="false">'Dish Database'!D154</f>
        <v>Breakfast - South</v>
      </c>
      <c r="D460" s="6" t="str">
        <f aca="false">'Dish Database'!F154</f>
        <v>Veg</v>
      </c>
      <c r="E460" s="6" t="str">
        <f aca="false">'Dish Database'!E154</f>
        <v>South</v>
      </c>
      <c r="F460" s="6" t="s">
        <v>2243</v>
      </c>
      <c r="G460" s="6" t="s">
        <v>2370</v>
      </c>
      <c r="H460" s="16" t="n">
        <v>70</v>
      </c>
      <c r="I460" s="6" t="str">
        <f aca="false">'Dish Database'!I154</f>
        <v>g</v>
      </c>
      <c r="J460" s="13" t="n">
        <f aca="false">'Dish Database'!J154*H460/100</f>
        <v>109.9</v>
      </c>
      <c r="K460" s="17" t="n">
        <f aca="false">'Dish Database'!K154*H460/100</f>
        <v>5.6</v>
      </c>
      <c r="L460" s="17" t="n">
        <f aca="false">'Dish Database'!L154*H460/100</f>
        <v>15.4</v>
      </c>
      <c r="M460" s="17" t="n">
        <f aca="false">'Dish Database'!M154*H460/100</f>
        <v>3.5</v>
      </c>
      <c r="N460" s="17" t="n">
        <f aca="false">'Dish Database'!N154*H460/100</f>
        <v>2.8</v>
      </c>
      <c r="O460" s="17" t="n">
        <f aca="false">'Dish Database'!O154*H460/100</f>
        <v>0.7</v>
      </c>
      <c r="P460" s="13" t="n">
        <f aca="false">'Dish Database'!P154*H460/100</f>
        <v>210</v>
      </c>
    </row>
    <row r="461" customFormat="false" ht="15" hidden="false" customHeight="false" outlineLevel="0" collapsed="false">
      <c r="A461" s="6" t="str">
        <f aca="false">'Dish Database'!A154</f>
        <v>D153</v>
      </c>
      <c r="B461" s="6" t="str">
        <f aca="false">'Dish Database'!B154</f>
        <v>Pesarattu (green moong dosa)</v>
      </c>
      <c r="C461" s="6" t="str">
        <f aca="false">'Dish Database'!D154</f>
        <v>Breakfast - South</v>
      </c>
      <c r="D461" s="6" t="str">
        <f aca="false">'Dish Database'!F154</f>
        <v>Veg</v>
      </c>
      <c r="E461" s="6" t="str">
        <f aca="false">'Dish Database'!E154</f>
        <v>South</v>
      </c>
      <c r="F461" s="6" t="s">
        <v>103</v>
      </c>
      <c r="G461" s="6" t="s">
        <v>2371</v>
      </c>
      <c r="H461" s="16" t="n">
        <v>100</v>
      </c>
      <c r="I461" s="6" t="str">
        <f aca="false">'Dish Database'!I154</f>
        <v>g</v>
      </c>
      <c r="J461" s="13" t="n">
        <f aca="false">'Dish Database'!J154*H461/100</f>
        <v>157</v>
      </c>
      <c r="K461" s="17" t="n">
        <f aca="false">'Dish Database'!K154*H461/100</f>
        <v>8</v>
      </c>
      <c r="L461" s="17" t="n">
        <f aca="false">'Dish Database'!L154*H461/100</f>
        <v>22</v>
      </c>
      <c r="M461" s="17" t="n">
        <f aca="false">'Dish Database'!M154*H461/100</f>
        <v>5</v>
      </c>
      <c r="N461" s="17" t="n">
        <f aca="false">'Dish Database'!N154*H461/100</f>
        <v>4</v>
      </c>
      <c r="O461" s="17" t="n">
        <f aca="false">'Dish Database'!O154*H461/100</f>
        <v>1</v>
      </c>
      <c r="P461" s="13" t="n">
        <f aca="false">'Dish Database'!P154*H461/100</f>
        <v>300</v>
      </c>
    </row>
    <row r="462" customFormat="false" ht="15" hidden="false" customHeight="false" outlineLevel="0" collapsed="false">
      <c r="A462" s="6" t="str">
        <f aca="false">'Dish Database'!A154</f>
        <v>D153</v>
      </c>
      <c r="B462" s="6" t="str">
        <f aca="false">'Dish Database'!B154</f>
        <v>Pesarattu (green moong dosa)</v>
      </c>
      <c r="C462" s="6" t="str">
        <f aca="false">'Dish Database'!D154</f>
        <v>Breakfast - South</v>
      </c>
      <c r="D462" s="6" t="str">
        <f aca="false">'Dish Database'!F154</f>
        <v>Veg</v>
      </c>
      <c r="E462" s="6" t="str">
        <f aca="false">'Dish Database'!E154</f>
        <v>South</v>
      </c>
      <c r="F462" s="6" t="s">
        <v>2246</v>
      </c>
      <c r="G462" s="6" t="s">
        <v>2379</v>
      </c>
      <c r="H462" s="16" t="n">
        <v>130</v>
      </c>
      <c r="I462" s="6" t="str">
        <f aca="false">'Dish Database'!I154</f>
        <v>g</v>
      </c>
      <c r="J462" s="13" t="n">
        <f aca="false">'Dish Database'!J154*H462/100</f>
        <v>204.1</v>
      </c>
      <c r="K462" s="17" t="n">
        <f aca="false">'Dish Database'!K154*H462/100</f>
        <v>10.4</v>
      </c>
      <c r="L462" s="17" t="n">
        <f aca="false">'Dish Database'!L154*H462/100</f>
        <v>28.6</v>
      </c>
      <c r="M462" s="17" t="n">
        <f aca="false">'Dish Database'!M154*H462/100</f>
        <v>6.5</v>
      </c>
      <c r="N462" s="17" t="n">
        <f aca="false">'Dish Database'!N154*H462/100</f>
        <v>5.2</v>
      </c>
      <c r="O462" s="17" t="n">
        <f aca="false">'Dish Database'!O154*H462/100</f>
        <v>1.3</v>
      </c>
      <c r="P462" s="13" t="n">
        <f aca="false">'Dish Database'!P154*H462/100</f>
        <v>390</v>
      </c>
    </row>
    <row r="463" customFormat="false" ht="15" hidden="false" customHeight="false" outlineLevel="0" collapsed="false">
      <c r="A463" s="6" t="str">
        <f aca="false">'Dish Database'!A155</f>
        <v>D154</v>
      </c>
      <c r="B463" s="6" t="str">
        <f aca="false">'Dish Database'!B155</f>
        <v>Adai (mixed dal dosa)</v>
      </c>
      <c r="C463" s="6" t="str">
        <f aca="false">'Dish Database'!D155</f>
        <v>Breakfast - South</v>
      </c>
      <c r="D463" s="6" t="str">
        <f aca="false">'Dish Database'!F155</f>
        <v>Veg</v>
      </c>
      <c r="E463" s="6" t="str">
        <f aca="false">'Dish Database'!E155</f>
        <v>South</v>
      </c>
      <c r="F463" s="6" t="s">
        <v>2243</v>
      </c>
      <c r="G463" s="6" t="s">
        <v>2394</v>
      </c>
      <c r="H463" s="16" t="n">
        <v>70</v>
      </c>
      <c r="I463" s="6" t="str">
        <f aca="false">'Dish Database'!I155</f>
        <v>g</v>
      </c>
      <c r="J463" s="13" t="n">
        <f aca="false">'Dish Database'!J155*H463/100</f>
        <v>127.75</v>
      </c>
      <c r="K463" s="17" t="n">
        <f aca="false">'Dish Database'!K155*H463/100</f>
        <v>5.6</v>
      </c>
      <c r="L463" s="17" t="n">
        <f aca="false">'Dish Database'!L155*H463/100</f>
        <v>17.5</v>
      </c>
      <c r="M463" s="17" t="n">
        <f aca="false">'Dish Database'!M155*H463/100</f>
        <v>4.55</v>
      </c>
      <c r="N463" s="17" t="n">
        <f aca="false">'Dish Database'!N155*H463/100</f>
        <v>2.8</v>
      </c>
      <c r="O463" s="17" t="n">
        <f aca="false">'Dish Database'!O155*H463/100</f>
        <v>0.7</v>
      </c>
      <c r="P463" s="13" t="n">
        <f aca="false">'Dish Database'!P155*H463/100</f>
        <v>224</v>
      </c>
    </row>
    <row r="464" customFormat="false" ht="15" hidden="false" customHeight="false" outlineLevel="0" collapsed="false">
      <c r="A464" s="6" t="str">
        <f aca="false">'Dish Database'!A155</f>
        <v>D154</v>
      </c>
      <c r="B464" s="6" t="str">
        <f aca="false">'Dish Database'!B155</f>
        <v>Adai (mixed dal dosa)</v>
      </c>
      <c r="C464" s="6" t="str">
        <f aca="false">'Dish Database'!D155</f>
        <v>Breakfast - South</v>
      </c>
      <c r="D464" s="6" t="str">
        <f aca="false">'Dish Database'!F155</f>
        <v>Veg</v>
      </c>
      <c r="E464" s="6" t="str">
        <f aca="false">'Dish Database'!E155</f>
        <v>South</v>
      </c>
      <c r="F464" s="6" t="s">
        <v>103</v>
      </c>
      <c r="G464" s="6" t="s">
        <v>2395</v>
      </c>
      <c r="H464" s="16" t="n">
        <v>100</v>
      </c>
      <c r="I464" s="6" t="str">
        <f aca="false">'Dish Database'!I155</f>
        <v>g</v>
      </c>
      <c r="J464" s="13" t="n">
        <f aca="false">'Dish Database'!J155*H464/100</f>
        <v>182.5</v>
      </c>
      <c r="K464" s="17" t="n">
        <f aca="false">'Dish Database'!K155*H464/100</f>
        <v>8</v>
      </c>
      <c r="L464" s="17" t="n">
        <f aca="false">'Dish Database'!L155*H464/100</f>
        <v>25</v>
      </c>
      <c r="M464" s="17" t="n">
        <f aca="false">'Dish Database'!M155*H464/100</f>
        <v>6.5</v>
      </c>
      <c r="N464" s="17" t="n">
        <f aca="false">'Dish Database'!N155*H464/100</f>
        <v>4</v>
      </c>
      <c r="O464" s="17" t="n">
        <f aca="false">'Dish Database'!O155*H464/100</f>
        <v>1</v>
      </c>
      <c r="P464" s="13" t="n">
        <f aca="false">'Dish Database'!P155*H464/100</f>
        <v>320</v>
      </c>
    </row>
    <row r="465" customFormat="false" ht="15" hidden="false" customHeight="false" outlineLevel="0" collapsed="false">
      <c r="A465" s="6" t="str">
        <f aca="false">'Dish Database'!A155</f>
        <v>D154</v>
      </c>
      <c r="B465" s="6" t="str">
        <f aca="false">'Dish Database'!B155</f>
        <v>Adai (mixed dal dosa)</v>
      </c>
      <c r="C465" s="6" t="str">
        <f aca="false">'Dish Database'!D155</f>
        <v>Breakfast - South</v>
      </c>
      <c r="D465" s="6" t="str">
        <f aca="false">'Dish Database'!F155</f>
        <v>Veg</v>
      </c>
      <c r="E465" s="6" t="str">
        <f aca="false">'Dish Database'!E155</f>
        <v>South</v>
      </c>
      <c r="F465" s="6" t="s">
        <v>2246</v>
      </c>
      <c r="G465" s="6" t="s">
        <v>2396</v>
      </c>
      <c r="H465" s="16" t="n">
        <v>130</v>
      </c>
      <c r="I465" s="6" t="str">
        <f aca="false">'Dish Database'!I155</f>
        <v>g</v>
      </c>
      <c r="J465" s="13" t="n">
        <f aca="false">'Dish Database'!J155*H465/100</f>
        <v>237.25</v>
      </c>
      <c r="K465" s="17" t="n">
        <f aca="false">'Dish Database'!K155*H465/100</f>
        <v>10.4</v>
      </c>
      <c r="L465" s="17" t="n">
        <f aca="false">'Dish Database'!L155*H465/100</f>
        <v>32.5</v>
      </c>
      <c r="M465" s="17" t="n">
        <f aca="false">'Dish Database'!M155*H465/100</f>
        <v>8.45</v>
      </c>
      <c r="N465" s="17" t="n">
        <f aca="false">'Dish Database'!N155*H465/100</f>
        <v>5.2</v>
      </c>
      <c r="O465" s="17" t="n">
        <f aca="false">'Dish Database'!O155*H465/100</f>
        <v>1.3</v>
      </c>
      <c r="P465" s="13" t="n">
        <f aca="false">'Dish Database'!P155*H465/100</f>
        <v>416</v>
      </c>
    </row>
    <row r="466" customFormat="false" ht="15" hidden="false" customHeight="false" outlineLevel="0" collapsed="false">
      <c r="A466" s="6" t="str">
        <f aca="false">'Dish Database'!A156</f>
        <v>D155</v>
      </c>
      <c r="B466" s="6" t="str">
        <f aca="false">'Dish Database'!B156</f>
        <v>Ragi dosa</v>
      </c>
      <c r="C466" s="6" t="str">
        <f aca="false">'Dish Database'!D156</f>
        <v>Breakfast - South</v>
      </c>
      <c r="D466" s="6" t="str">
        <f aca="false">'Dish Database'!F156</f>
        <v>Veg</v>
      </c>
      <c r="E466" s="6" t="str">
        <f aca="false">'Dish Database'!E156</f>
        <v>South</v>
      </c>
      <c r="F466" s="6" t="s">
        <v>2243</v>
      </c>
      <c r="G466" s="6" t="s">
        <v>2367</v>
      </c>
      <c r="H466" s="16" t="n">
        <v>60</v>
      </c>
      <c r="I466" s="6" t="str">
        <f aca="false">'Dish Database'!I156</f>
        <v>g</v>
      </c>
      <c r="J466" s="13" t="n">
        <f aca="false">'Dish Database'!J156*H466/100</f>
        <v>91.5</v>
      </c>
      <c r="K466" s="17" t="n">
        <f aca="false">'Dish Database'!K156*H466/100</f>
        <v>2.1</v>
      </c>
      <c r="L466" s="17" t="n">
        <f aca="false">'Dish Database'!L156*H466/100</f>
        <v>15.6</v>
      </c>
      <c r="M466" s="17" t="n">
        <f aca="false">'Dish Database'!M156*H466/100</f>
        <v>2.7</v>
      </c>
      <c r="N466" s="17" t="n">
        <f aca="false">'Dish Database'!N156*H466/100</f>
        <v>1.8</v>
      </c>
      <c r="O466" s="17" t="n">
        <f aca="false">'Dish Database'!O156*H466/100</f>
        <v>0.3</v>
      </c>
      <c r="P466" s="13" t="n">
        <f aca="false">'Dish Database'!P156*H466/100</f>
        <v>168</v>
      </c>
    </row>
    <row r="467" customFormat="false" ht="15" hidden="false" customHeight="false" outlineLevel="0" collapsed="false">
      <c r="A467" s="6" t="str">
        <f aca="false">'Dish Database'!A156</f>
        <v>D155</v>
      </c>
      <c r="B467" s="6" t="str">
        <f aca="false">'Dish Database'!B156</f>
        <v>Ragi dosa</v>
      </c>
      <c r="C467" s="6" t="str">
        <f aca="false">'Dish Database'!D156</f>
        <v>Breakfast - South</v>
      </c>
      <c r="D467" s="6" t="str">
        <f aca="false">'Dish Database'!F156</f>
        <v>Veg</v>
      </c>
      <c r="E467" s="6" t="str">
        <f aca="false">'Dish Database'!E156</f>
        <v>South</v>
      </c>
      <c r="F467" s="6" t="s">
        <v>103</v>
      </c>
      <c r="G467" s="6" t="s">
        <v>2368</v>
      </c>
      <c r="H467" s="16" t="n">
        <v>85</v>
      </c>
      <c r="I467" s="6" t="str">
        <f aca="false">'Dish Database'!I156</f>
        <v>g</v>
      </c>
      <c r="J467" s="13" t="n">
        <f aca="false">'Dish Database'!J156*H467/100</f>
        <v>129.625</v>
      </c>
      <c r="K467" s="17" t="n">
        <f aca="false">'Dish Database'!K156*H467/100</f>
        <v>2.975</v>
      </c>
      <c r="L467" s="17" t="n">
        <f aca="false">'Dish Database'!L156*H467/100</f>
        <v>22.1</v>
      </c>
      <c r="M467" s="17" t="n">
        <f aca="false">'Dish Database'!M156*H467/100</f>
        <v>3.825</v>
      </c>
      <c r="N467" s="17" t="n">
        <f aca="false">'Dish Database'!N156*H467/100</f>
        <v>2.55</v>
      </c>
      <c r="O467" s="17" t="n">
        <f aca="false">'Dish Database'!O156*H467/100</f>
        <v>0.425</v>
      </c>
      <c r="P467" s="13" t="n">
        <f aca="false">'Dish Database'!P156*H467/100</f>
        <v>238</v>
      </c>
    </row>
    <row r="468" customFormat="false" ht="15" hidden="false" customHeight="false" outlineLevel="0" collapsed="false">
      <c r="A468" s="6" t="str">
        <f aca="false">'Dish Database'!A156</f>
        <v>D155</v>
      </c>
      <c r="B468" s="6" t="str">
        <f aca="false">'Dish Database'!B156</f>
        <v>Ragi dosa</v>
      </c>
      <c r="C468" s="6" t="str">
        <f aca="false">'Dish Database'!D156</f>
        <v>Breakfast - South</v>
      </c>
      <c r="D468" s="6" t="str">
        <f aca="false">'Dish Database'!F156</f>
        <v>Veg</v>
      </c>
      <c r="E468" s="6" t="str">
        <f aca="false">'Dish Database'!E156</f>
        <v>South</v>
      </c>
      <c r="F468" s="6" t="s">
        <v>2246</v>
      </c>
      <c r="G468" s="6" t="s">
        <v>2397</v>
      </c>
      <c r="H468" s="16" t="n">
        <v>110</v>
      </c>
      <c r="I468" s="6" t="str">
        <f aca="false">'Dish Database'!I156</f>
        <v>g</v>
      </c>
      <c r="J468" s="13" t="n">
        <f aca="false">'Dish Database'!J156*H468/100</f>
        <v>167.75</v>
      </c>
      <c r="K468" s="17" t="n">
        <f aca="false">'Dish Database'!K156*H468/100</f>
        <v>3.85</v>
      </c>
      <c r="L468" s="17" t="n">
        <f aca="false">'Dish Database'!L156*H468/100</f>
        <v>28.6</v>
      </c>
      <c r="M468" s="17" t="n">
        <f aca="false">'Dish Database'!M156*H468/100</f>
        <v>4.95</v>
      </c>
      <c r="N468" s="17" t="n">
        <f aca="false">'Dish Database'!N156*H468/100</f>
        <v>3.3</v>
      </c>
      <c r="O468" s="17" t="n">
        <f aca="false">'Dish Database'!O156*H468/100</f>
        <v>0.55</v>
      </c>
      <c r="P468" s="13" t="n">
        <f aca="false">'Dish Database'!P156*H468/100</f>
        <v>308</v>
      </c>
    </row>
    <row r="469" customFormat="false" ht="15" hidden="false" customHeight="false" outlineLevel="0" collapsed="false">
      <c r="A469" s="6" t="str">
        <f aca="false">'Dish Database'!A157</f>
        <v>D156</v>
      </c>
      <c r="B469" s="6" t="str">
        <f aca="false">'Dish Database'!B157</f>
        <v>Uttapam (onion/vegetable)</v>
      </c>
      <c r="C469" s="6" t="str">
        <f aca="false">'Dish Database'!D157</f>
        <v>Breakfast - South</v>
      </c>
      <c r="D469" s="6" t="str">
        <f aca="false">'Dish Database'!F157</f>
        <v>Veg</v>
      </c>
      <c r="E469" s="6" t="str">
        <f aca="false">'Dish Database'!E157</f>
        <v>South</v>
      </c>
      <c r="F469" s="6" t="s">
        <v>2243</v>
      </c>
      <c r="G469" s="6" t="s">
        <v>2398</v>
      </c>
      <c r="H469" s="16" t="n">
        <v>100</v>
      </c>
      <c r="I469" s="6" t="str">
        <f aca="false">'Dish Database'!I157</f>
        <v>g</v>
      </c>
      <c r="J469" s="13" t="n">
        <f aca="false">'Dish Database'!J157*H469/100</f>
        <v>174.4</v>
      </c>
      <c r="K469" s="17" t="n">
        <f aca="false">'Dish Database'!K157*H469/100</f>
        <v>4</v>
      </c>
      <c r="L469" s="17" t="n">
        <f aca="false">'Dish Database'!L157*H469/100</f>
        <v>27</v>
      </c>
      <c r="M469" s="17" t="n">
        <f aca="false">'Dish Database'!M157*H469/100</f>
        <v>6</v>
      </c>
      <c r="N469" s="17" t="n">
        <f aca="false">'Dish Database'!N157*H469/100</f>
        <v>1.8</v>
      </c>
      <c r="O469" s="17" t="n">
        <f aca="false">'Dish Database'!O157*H469/100</f>
        <v>1.5</v>
      </c>
      <c r="P469" s="13" t="n">
        <f aca="false">'Dish Database'!P157*H469/100</f>
        <v>320</v>
      </c>
    </row>
    <row r="470" customFormat="false" ht="15" hidden="false" customHeight="false" outlineLevel="0" collapsed="false">
      <c r="A470" s="6" t="str">
        <f aca="false">'Dish Database'!A157</f>
        <v>D156</v>
      </c>
      <c r="B470" s="6" t="str">
        <f aca="false">'Dish Database'!B157</f>
        <v>Uttapam (onion/vegetable)</v>
      </c>
      <c r="C470" s="6" t="str">
        <f aca="false">'Dish Database'!D157</f>
        <v>Breakfast - South</v>
      </c>
      <c r="D470" s="6" t="str">
        <f aca="false">'Dish Database'!F157</f>
        <v>Veg</v>
      </c>
      <c r="E470" s="6" t="str">
        <f aca="false">'Dish Database'!E157</f>
        <v>South</v>
      </c>
      <c r="F470" s="6" t="s">
        <v>103</v>
      </c>
      <c r="G470" s="6" t="s">
        <v>2399</v>
      </c>
      <c r="H470" s="16" t="n">
        <v>140</v>
      </c>
      <c r="I470" s="6" t="str">
        <f aca="false">'Dish Database'!I157</f>
        <v>g</v>
      </c>
      <c r="J470" s="13" t="n">
        <f aca="false">'Dish Database'!J157*H470/100</f>
        <v>244.16</v>
      </c>
      <c r="K470" s="17" t="n">
        <f aca="false">'Dish Database'!K157*H470/100</f>
        <v>5.6</v>
      </c>
      <c r="L470" s="17" t="n">
        <f aca="false">'Dish Database'!L157*H470/100</f>
        <v>37.8</v>
      </c>
      <c r="M470" s="17" t="n">
        <f aca="false">'Dish Database'!M157*H470/100</f>
        <v>8.4</v>
      </c>
      <c r="N470" s="17" t="n">
        <f aca="false">'Dish Database'!N157*H470/100</f>
        <v>2.52</v>
      </c>
      <c r="O470" s="17" t="n">
        <f aca="false">'Dish Database'!O157*H470/100</f>
        <v>2.1</v>
      </c>
      <c r="P470" s="13" t="n">
        <f aca="false">'Dish Database'!P157*H470/100</f>
        <v>448</v>
      </c>
    </row>
    <row r="471" customFormat="false" ht="15" hidden="false" customHeight="false" outlineLevel="0" collapsed="false">
      <c r="A471" s="6" t="str">
        <f aca="false">'Dish Database'!A157</f>
        <v>D156</v>
      </c>
      <c r="B471" s="6" t="str">
        <f aca="false">'Dish Database'!B157</f>
        <v>Uttapam (onion/vegetable)</v>
      </c>
      <c r="C471" s="6" t="str">
        <f aca="false">'Dish Database'!D157</f>
        <v>Breakfast - South</v>
      </c>
      <c r="D471" s="6" t="str">
        <f aca="false">'Dish Database'!F157</f>
        <v>Veg</v>
      </c>
      <c r="E471" s="6" t="str">
        <f aca="false">'Dish Database'!E157</f>
        <v>South</v>
      </c>
      <c r="F471" s="6" t="s">
        <v>2246</v>
      </c>
      <c r="G471" s="6" t="s">
        <v>2400</v>
      </c>
      <c r="H471" s="16" t="n">
        <v>180</v>
      </c>
      <c r="I471" s="6" t="str">
        <f aca="false">'Dish Database'!I157</f>
        <v>g</v>
      </c>
      <c r="J471" s="13" t="n">
        <f aca="false">'Dish Database'!J157*H471/100</f>
        <v>313.92</v>
      </c>
      <c r="K471" s="17" t="n">
        <f aca="false">'Dish Database'!K157*H471/100</f>
        <v>7.2</v>
      </c>
      <c r="L471" s="17" t="n">
        <f aca="false">'Dish Database'!L157*H471/100</f>
        <v>48.6</v>
      </c>
      <c r="M471" s="17" t="n">
        <f aca="false">'Dish Database'!M157*H471/100</f>
        <v>10.8</v>
      </c>
      <c r="N471" s="17" t="n">
        <f aca="false">'Dish Database'!N157*H471/100</f>
        <v>3.24</v>
      </c>
      <c r="O471" s="17" t="n">
        <f aca="false">'Dish Database'!O157*H471/100</f>
        <v>2.7</v>
      </c>
      <c r="P471" s="13" t="n">
        <f aca="false">'Dish Database'!P157*H471/100</f>
        <v>576</v>
      </c>
    </row>
    <row r="472" customFormat="false" ht="15" hidden="false" customHeight="false" outlineLevel="0" collapsed="false">
      <c r="A472" s="6" t="str">
        <f aca="false">'Dish Database'!A158</f>
        <v>D157</v>
      </c>
      <c r="B472" s="6" t="str">
        <f aca="false">'Dish Database'!B158</f>
        <v>Appam</v>
      </c>
      <c r="C472" s="6" t="str">
        <f aca="false">'Dish Database'!D158</f>
        <v>Breakfast - South</v>
      </c>
      <c r="D472" s="6" t="str">
        <f aca="false">'Dish Database'!F158</f>
        <v>Veg</v>
      </c>
      <c r="E472" s="6" t="str">
        <f aca="false">'Dish Database'!E158</f>
        <v>South</v>
      </c>
      <c r="F472" s="6" t="s">
        <v>2243</v>
      </c>
      <c r="G472" s="6" t="s">
        <v>2401</v>
      </c>
      <c r="H472" s="16" t="n">
        <v>50</v>
      </c>
      <c r="I472" s="6" t="str">
        <f aca="false">'Dish Database'!I158</f>
        <v>g</v>
      </c>
      <c r="J472" s="13" t="n">
        <f aca="false">'Dish Database'!J158*H472/100</f>
        <v>78.3</v>
      </c>
      <c r="K472" s="17" t="n">
        <f aca="false">'Dish Database'!K158*H472/100</f>
        <v>1.4</v>
      </c>
      <c r="L472" s="17" t="n">
        <f aca="false">'Dish Database'!L158*H472/100</f>
        <v>15</v>
      </c>
      <c r="M472" s="17" t="n">
        <f aca="false">'Dish Database'!M158*H472/100</f>
        <v>1.5</v>
      </c>
      <c r="N472" s="17" t="n">
        <f aca="false">'Dish Database'!N158*H472/100</f>
        <v>0.4</v>
      </c>
      <c r="O472" s="17" t="n">
        <f aca="false">'Dish Database'!O158*H472/100</f>
        <v>1.25</v>
      </c>
      <c r="P472" s="13" t="n">
        <f aca="false">'Dish Database'!P158*H472/100</f>
        <v>75</v>
      </c>
    </row>
    <row r="473" customFormat="false" ht="15" hidden="false" customHeight="false" outlineLevel="0" collapsed="false">
      <c r="A473" s="6" t="str">
        <f aca="false">'Dish Database'!A158</f>
        <v>D157</v>
      </c>
      <c r="B473" s="6" t="str">
        <f aca="false">'Dish Database'!B158</f>
        <v>Appam</v>
      </c>
      <c r="C473" s="6" t="str">
        <f aca="false">'Dish Database'!D158</f>
        <v>Breakfast - South</v>
      </c>
      <c r="D473" s="6" t="str">
        <f aca="false">'Dish Database'!F158</f>
        <v>Veg</v>
      </c>
      <c r="E473" s="6" t="str">
        <f aca="false">'Dish Database'!E158</f>
        <v>South</v>
      </c>
      <c r="F473" s="6" t="s">
        <v>103</v>
      </c>
      <c r="G473" s="6" t="s">
        <v>2402</v>
      </c>
      <c r="H473" s="16" t="n">
        <v>70</v>
      </c>
      <c r="I473" s="6" t="str">
        <f aca="false">'Dish Database'!I158</f>
        <v>g</v>
      </c>
      <c r="J473" s="13" t="n">
        <f aca="false">'Dish Database'!J158*H473/100</f>
        <v>109.62</v>
      </c>
      <c r="K473" s="17" t="n">
        <f aca="false">'Dish Database'!K158*H473/100</f>
        <v>1.96</v>
      </c>
      <c r="L473" s="17" t="n">
        <f aca="false">'Dish Database'!L158*H473/100</f>
        <v>21</v>
      </c>
      <c r="M473" s="17" t="n">
        <f aca="false">'Dish Database'!M158*H473/100</f>
        <v>2.1</v>
      </c>
      <c r="N473" s="17" t="n">
        <f aca="false">'Dish Database'!N158*H473/100</f>
        <v>0.56</v>
      </c>
      <c r="O473" s="17" t="n">
        <f aca="false">'Dish Database'!O158*H473/100</f>
        <v>1.75</v>
      </c>
      <c r="P473" s="13" t="n">
        <f aca="false">'Dish Database'!P158*H473/100</f>
        <v>105</v>
      </c>
    </row>
    <row r="474" customFormat="false" ht="15" hidden="false" customHeight="false" outlineLevel="0" collapsed="false">
      <c r="A474" s="6" t="str">
        <f aca="false">'Dish Database'!A158</f>
        <v>D157</v>
      </c>
      <c r="B474" s="6" t="str">
        <f aca="false">'Dish Database'!B158</f>
        <v>Appam</v>
      </c>
      <c r="C474" s="6" t="str">
        <f aca="false">'Dish Database'!D158</f>
        <v>Breakfast - South</v>
      </c>
      <c r="D474" s="6" t="str">
        <f aca="false">'Dish Database'!F158</f>
        <v>Veg</v>
      </c>
      <c r="E474" s="6" t="str">
        <f aca="false">'Dish Database'!E158</f>
        <v>South</v>
      </c>
      <c r="F474" s="6" t="s">
        <v>2246</v>
      </c>
      <c r="G474" s="6" t="s">
        <v>2403</v>
      </c>
      <c r="H474" s="16" t="n">
        <v>90</v>
      </c>
      <c r="I474" s="6" t="str">
        <f aca="false">'Dish Database'!I158</f>
        <v>g</v>
      </c>
      <c r="J474" s="13" t="n">
        <f aca="false">'Dish Database'!J158*H474/100</f>
        <v>140.94</v>
      </c>
      <c r="K474" s="17" t="n">
        <f aca="false">'Dish Database'!K158*H474/100</f>
        <v>2.52</v>
      </c>
      <c r="L474" s="17" t="n">
        <f aca="false">'Dish Database'!L158*H474/100</f>
        <v>27</v>
      </c>
      <c r="M474" s="17" t="n">
        <f aca="false">'Dish Database'!M158*H474/100</f>
        <v>2.7</v>
      </c>
      <c r="N474" s="17" t="n">
        <f aca="false">'Dish Database'!N158*H474/100</f>
        <v>0.72</v>
      </c>
      <c r="O474" s="17" t="n">
        <f aca="false">'Dish Database'!O158*H474/100</f>
        <v>2.25</v>
      </c>
      <c r="P474" s="13" t="n">
        <f aca="false">'Dish Database'!P158*H474/100</f>
        <v>135</v>
      </c>
    </row>
    <row r="475" customFormat="false" ht="15" hidden="false" customHeight="false" outlineLevel="0" collapsed="false">
      <c r="A475" s="6" t="str">
        <f aca="false">'Dish Database'!A159</f>
        <v>D158</v>
      </c>
      <c r="B475" s="6" t="str">
        <f aca="false">'Dish Database'!B159</f>
        <v>Idiyappam</v>
      </c>
      <c r="C475" s="6" t="str">
        <f aca="false">'Dish Database'!D159</f>
        <v>Breakfast - South</v>
      </c>
      <c r="D475" s="6" t="str">
        <f aca="false">'Dish Database'!F159</f>
        <v>Veg</v>
      </c>
      <c r="E475" s="6" t="str">
        <f aca="false">'Dish Database'!E159</f>
        <v>South</v>
      </c>
      <c r="F475" s="6" t="s">
        <v>2243</v>
      </c>
      <c r="G475" s="6" t="s">
        <v>2404</v>
      </c>
      <c r="H475" s="16" t="n">
        <v>30</v>
      </c>
      <c r="I475" s="6" t="str">
        <f aca="false">'Dish Database'!I159</f>
        <v>g</v>
      </c>
      <c r="J475" s="13" t="n">
        <f aca="false">'Dish Database'!J159*H475/100</f>
        <v>37.32</v>
      </c>
      <c r="K475" s="17" t="n">
        <f aca="false">'Dish Database'!K159*H475/100</f>
        <v>0.75</v>
      </c>
      <c r="L475" s="17" t="n">
        <f aca="false">'Dish Database'!L159*H475/100</f>
        <v>8.4</v>
      </c>
      <c r="M475" s="17" t="n">
        <f aca="false">'Dish Database'!M159*H475/100</f>
        <v>0.12</v>
      </c>
      <c r="N475" s="17" t="n">
        <f aca="false">'Dish Database'!N159*H475/100</f>
        <v>0.18</v>
      </c>
      <c r="O475" s="17" t="n">
        <f aca="false">'Dish Database'!O159*H475/100</f>
        <v>0.03</v>
      </c>
      <c r="P475" s="13" t="n">
        <f aca="false">'Dish Database'!P159*H475/100</f>
        <v>30</v>
      </c>
    </row>
    <row r="476" customFormat="false" ht="15" hidden="false" customHeight="false" outlineLevel="0" collapsed="false">
      <c r="A476" s="6" t="str">
        <f aca="false">'Dish Database'!A159</f>
        <v>D158</v>
      </c>
      <c r="B476" s="6" t="str">
        <f aca="false">'Dish Database'!B159</f>
        <v>Idiyappam</v>
      </c>
      <c r="C476" s="6" t="str">
        <f aca="false">'Dish Database'!D159</f>
        <v>Breakfast - South</v>
      </c>
      <c r="D476" s="6" t="str">
        <f aca="false">'Dish Database'!F159</f>
        <v>Veg</v>
      </c>
      <c r="E476" s="6" t="str">
        <f aca="false">'Dish Database'!E159</f>
        <v>South</v>
      </c>
      <c r="F476" s="6" t="s">
        <v>103</v>
      </c>
      <c r="G476" s="6" t="s">
        <v>2405</v>
      </c>
      <c r="H476" s="16" t="n">
        <v>40</v>
      </c>
      <c r="I476" s="6" t="str">
        <f aca="false">'Dish Database'!I159</f>
        <v>g</v>
      </c>
      <c r="J476" s="13" t="n">
        <f aca="false">'Dish Database'!J159*H476/100</f>
        <v>49.76</v>
      </c>
      <c r="K476" s="17" t="n">
        <f aca="false">'Dish Database'!K159*H476/100</f>
        <v>1</v>
      </c>
      <c r="L476" s="17" t="n">
        <f aca="false">'Dish Database'!L159*H476/100</f>
        <v>11.2</v>
      </c>
      <c r="M476" s="17" t="n">
        <f aca="false">'Dish Database'!M159*H476/100</f>
        <v>0.16</v>
      </c>
      <c r="N476" s="17" t="n">
        <f aca="false">'Dish Database'!N159*H476/100</f>
        <v>0.24</v>
      </c>
      <c r="O476" s="17" t="n">
        <f aca="false">'Dish Database'!O159*H476/100</f>
        <v>0.04</v>
      </c>
      <c r="P476" s="13" t="n">
        <f aca="false">'Dish Database'!P159*H476/100</f>
        <v>40</v>
      </c>
    </row>
    <row r="477" customFormat="false" ht="15" hidden="false" customHeight="false" outlineLevel="0" collapsed="false">
      <c r="A477" s="6" t="str">
        <f aca="false">'Dish Database'!A159</f>
        <v>D158</v>
      </c>
      <c r="B477" s="6" t="str">
        <f aca="false">'Dish Database'!B159</f>
        <v>Idiyappam</v>
      </c>
      <c r="C477" s="6" t="str">
        <f aca="false">'Dish Database'!D159</f>
        <v>Breakfast - South</v>
      </c>
      <c r="D477" s="6" t="str">
        <f aca="false">'Dish Database'!F159</f>
        <v>Veg</v>
      </c>
      <c r="E477" s="6" t="str">
        <f aca="false">'Dish Database'!E159</f>
        <v>South</v>
      </c>
      <c r="F477" s="6" t="s">
        <v>2246</v>
      </c>
      <c r="G477" s="6" t="s">
        <v>2406</v>
      </c>
      <c r="H477" s="16" t="n">
        <v>55</v>
      </c>
      <c r="I477" s="6" t="str">
        <f aca="false">'Dish Database'!I159</f>
        <v>g</v>
      </c>
      <c r="J477" s="13" t="n">
        <f aca="false">'Dish Database'!J159*H477/100</f>
        <v>68.42</v>
      </c>
      <c r="K477" s="17" t="n">
        <f aca="false">'Dish Database'!K159*H477/100</f>
        <v>1.375</v>
      </c>
      <c r="L477" s="17" t="n">
        <f aca="false">'Dish Database'!L159*H477/100</f>
        <v>15.4</v>
      </c>
      <c r="M477" s="17" t="n">
        <f aca="false">'Dish Database'!M159*H477/100</f>
        <v>0.22</v>
      </c>
      <c r="N477" s="17" t="n">
        <f aca="false">'Dish Database'!N159*H477/100</f>
        <v>0.33</v>
      </c>
      <c r="O477" s="17" t="n">
        <f aca="false">'Dish Database'!O159*H477/100</f>
        <v>0.055</v>
      </c>
      <c r="P477" s="13" t="n">
        <f aca="false">'Dish Database'!P159*H477/100</f>
        <v>55</v>
      </c>
    </row>
    <row r="478" customFormat="false" ht="15" hidden="false" customHeight="false" outlineLevel="0" collapsed="false">
      <c r="A478" s="6" t="str">
        <f aca="false">'Dish Database'!A160</f>
        <v>D159</v>
      </c>
      <c r="B478" s="6" t="str">
        <f aca="false">'Dish Database'!B160</f>
        <v>Puttu (rice, with coconut)</v>
      </c>
      <c r="C478" s="6" t="str">
        <f aca="false">'Dish Database'!D160</f>
        <v>Breakfast - South</v>
      </c>
      <c r="D478" s="6" t="str">
        <f aca="false">'Dish Database'!F160</f>
        <v>Veg</v>
      </c>
      <c r="E478" s="6" t="str">
        <f aca="false">'Dish Database'!E160</f>
        <v>South</v>
      </c>
      <c r="F478" s="6" t="s">
        <v>2243</v>
      </c>
      <c r="G478" s="6" t="s">
        <v>2407</v>
      </c>
      <c r="H478" s="16" t="n">
        <v>100</v>
      </c>
      <c r="I478" s="6" t="str">
        <f aca="false">'Dish Database'!I160</f>
        <v>g</v>
      </c>
      <c r="J478" s="13" t="n">
        <f aca="false">'Dish Database'!J160*H478/100</f>
        <v>168.5</v>
      </c>
      <c r="K478" s="17" t="n">
        <f aca="false">'Dish Database'!K160*H478/100</f>
        <v>3</v>
      </c>
      <c r="L478" s="17" t="n">
        <f aca="false">'Dish Database'!L160*H478/100</f>
        <v>32</v>
      </c>
      <c r="M478" s="17" t="n">
        <f aca="false">'Dish Database'!M160*H478/100</f>
        <v>3.5</v>
      </c>
      <c r="N478" s="17" t="n">
        <f aca="false">'Dish Database'!N160*H478/100</f>
        <v>1.5</v>
      </c>
      <c r="O478" s="17" t="n">
        <f aca="false">'Dish Database'!O160*H478/100</f>
        <v>0.5</v>
      </c>
      <c r="P478" s="13" t="n">
        <f aca="false">'Dish Database'!P160*H478/100</f>
        <v>150</v>
      </c>
    </row>
    <row r="479" customFormat="false" ht="15" hidden="false" customHeight="false" outlineLevel="0" collapsed="false">
      <c r="A479" s="6" t="str">
        <f aca="false">'Dish Database'!A160</f>
        <v>D159</v>
      </c>
      <c r="B479" s="6" t="str">
        <f aca="false">'Dish Database'!B160</f>
        <v>Puttu (rice, with coconut)</v>
      </c>
      <c r="C479" s="6" t="str">
        <f aca="false">'Dish Database'!D160</f>
        <v>Breakfast - South</v>
      </c>
      <c r="D479" s="6" t="str">
        <f aca="false">'Dish Database'!F160</f>
        <v>Veg</v>
      </c>
      <c r="E479" s="6" t="str">
        <f aca="false">'Dish Database'!E160</f>
        <v>South</v>
      </c>
      <c r="F479" s="6" t="s">
        <v>103</v>
      </c>
      <c r="G479" s="6" t="s">
        <v>2408</v>
      </c>
      <c r="H479" s="16" t="n">
        <v>150</v>
      </c>
      <c r="I479" s="6" t="str">
        <f aca="false">'Dish Database'!I160</f>
        <v>g</v>
      </c>
      <c r="J479" s="13" t="n">
        <f aca="false">'Dish Database'!J160*H479/100</f>
        <v>252.75</v>
      </c>
      <c r="K479" s="17" t="n">
        <f aca="false">'Dish Database'!K160*H479/100</f>
        <v>4.5</v>
      </c>
      <c r="L479" s="17" t="n">
        <f aca="false">'Dish Database'!L160*H479/100</f>
        <v>48</v>
      </c>
      <c r="M479" s="17" t="n">
        <f aca="false">'Dish Database'!M160*H479/100</f>
        <v>5.25</v>
      </c>
      <c r="N479" s="17" t="n">
        <f aca="false">'Dish Database'!N160*H479/100</f>
        <v>2.25</v>
      </c>
      <c r="O479" s="17" t="n">
        <f aca="false">'Dish Database'!O160*H479/100</f>
        <v>0.75</v>
      </c>
      <c r="P479" s="13" t="n">
        <f aca="false">'Dish Database'!P160*H479/100</f>
        <v>225</v>
      </c>
    </row>
    <row r="480" customFormat="false" ht="15" hidden="false" customHeight="false" outlineLevel="0" collapsed="false">
      <c r="A480" s="6" t="str">
        <f aca="false">'Dish Database'!A160</f>
        <v>D159</v>
      </c>
      <c r="B480" s="6" t="str">
        <f aca="false">'Dish Database'!B160</f>
        <v>Puttu (rice, with coconut)</v>
      </c>
      <c r="C480" s="6" t="str">
        <f aca="false">'Dish Database'!D160</f>
        <v>Breakfast - South</v>
      </c>
      <c r="D480" s="6" t="str">
        <f aca="false">'Dish Database'!F160</f>
        <v>Veg</v>
      </c>
      <c r="E480" s="6" t="str">
        <f aca="false">'Dish Database'!E160</f>
        <v>South</v>
      </c>
      <c r="F480" s="6" t="s">
        <v>2246</v>
      </c>
      <c r="G480" s="6" t="s">
        <v>2409</v>
      </c>
      <c r="H480" s="16" t="n">
        <v>200</v>
      </c>
      <c r="I480" s="6" t="str">
        <f aca="false">'Dish Database'!I160</f>
        <v>g</v>
      </c>
      <c r="J480" s="13" t="n">
        <f aca="false">'Dish Database'!J160*H480/100</f>
        <v>337</v>
      </c>
      <c r="K480" s="17" t="n">
        <f aca="false">'Dish Database'!K160*H480/100</f>
        <v>6</v>
      </c>
      <c r="L480" s="17" t="n">
        <f aca="false">'Dish Database'!L160*H480/100</f>
        <v>64</v>
      </c>
      <c r="M480" s="17" t="n">
        <f aca="false">'Dish Database'!M160*H480/100</f>
        <v>7</v>
      </c>
      <c r="N480" s="17" t="n">
        <f aca="false">'Dish Database'!N160*H480/100</f>
        <v>3</v>
      </c>
      <c r="O480" s="17" t="n">
        <f aca="false">'Dish Database'!O160*H480/100</f>
        <v>1</v>
      </c>
      <c r="P480" s="13" t="n">
        <f aca="false">'Dish Database'!P160*H480/100</f>
        <v>300</v>
      </c>
    </row>
    <row r="481" customFormat="false" ht="15" hidden="false" customHeight="false" outlineLevel="0" collapsed="false">
      <c r="A481" s="6" t="str">
        <f aca="false">'Dish Database'!A161</f>
        <v>D160</v>
      </c>
      <c r="B481" s="6" t="str">
        <f aca="false">'Dish Database'!B161</f>
        <v>Kerala parotta</v>
      </c>
      <c r="C481" s="6" t="str">
        <f aca="false">'Dish Database'!D161</f>
        <v>Breakfast - South</v>
      </c>
      <c r="D481" s="6" t="str">
        <f aca="false">'Dish Database'!F161</f>
        <v>Veg</v>
      </c>
      <c r="E481" s="6" t="str">
        <f aca="false">'Dish Database'!E161</f>
        <v>South</v>
      </c>
      <c r="F481" s="6" t="s">
        <v>2243</v>
      </c>
      <c r="G481" s="6" t="s">
        <v>2410</v>
      </c>
      <c r="H481" s="16" t="n">
        <v>70</v>
      </c>
      <c r="I481" s="6" t="str">
        <f aca="false">'Dish Database'!I161</f>
        <v>g</v>
      </c>
      <c r="J481" s="13" t="n">
        <f aca="false">'Dish Database'!J161*H481/100</f>
        <v>238.98</v>
      </c>
      <c r="K481" s="17" t="n">
        <f aca="false">'Dish Database'!K161*H481/100</f>
        <v>5.25</v>
      </c>
      <c r="L481" s="17" t="n">
        <f aca="false">'Dish Database'!L161*H481/100</f>
        <v>31.5</v>
      </c>
      <c r="M481" s="17" t="n">
        <f aca="false">'Dish Database'!M161*H481/100</f>
        <v>10.5</v>
      </c>
      <c r="N481" s="17" t="n">
        <f aca="false">'Dish Database'!N161*H481/100</f>
        <v>1.26</v>
      </c>
      <c r="O481" s="17" t="n">
        <f aca="false">'Dish Database'!O161*H481/100</f>
        <v>1.4</v>
      </c>
      <c r="P481" s="13" t="n">
        <f aca="false">'Dish Database'!P161*H481/100</f>
        <v>315</v>
      </c>
    </row>
    <row r="482" customFormat="false" ht="15" hidden="false" customHeight="false" outlineLevel="0" collapsed="false">
      <c r="A482" s="6" t="str">
        <f aca="false">'Dish Database'!A161</f>
        <v>D160</v>
      </c>
      <c r="B482" s="6" t="str">
        <f aca="false">'Dish Database'!B161</f>
        <v>Kerala parotta</v>
      </c>
      <c r="C482" s="6" t="str">
        <f aca="false">'Dish Database'!D161</f>
        <v>Breakfast - South</v>
      </c>
      <c r="D482" s="6" t="str">
        <f aca="false">'Dish Database'!F161</f>
        <v>Veg</v>
      </c>
      <c r="E482" s="6" t="str">
        <f aca="false">'Dish Database'!E161</f>
        <v>South</v>
      </c>
      <c r="F482" s="6" t="s">
        <v>103</v>
      </c>
      <c r="G482" s="6" t="s">
        <v>2411</v>
      </c>
      <c r="H482" s="16" t="n">
        <v>90</v>
      </c>
      <c r="I482" s="6" t="str">
        <f aca="false">'Dish Database'!I161</f>
        <v>g</v>
      </c>
      <c r="J482" s="13" t="n">
        <f aca="false">'Dish Database'!J161*H482/100</f>
        <v>307.26</v>
      </c>
      <c r="K482" s="17" t="n">
        <f aca="false">'Dish Database'!K161*H482/100</f>
        <v>6.75</v>
      </c>
      <c r="L482" s="17" t="n">
        <f aca="false">'Dish Database'!L161*H482/100</f>
        <v>40.5</v>
      </c>
      <c r="M482" s="17" t="n">
        <f aca="false">'Dish Database'!M161*H482/100</f>
        <v>13.5</v>
      </c>
      <c r="N482" s="17" t="n">
        <f aca="false">'Dish Database'!N161*H482/100</f>
        <v>1.62</v>
      </c>
      <c r="O482" s="17" t="n">
        <f aca="false">'Dish Database'!O161*H482/100</f>
        <v>1.8</v>
      </c>
      <c r="P482" s="13" t="n">
        <f aca="false">'Dish Database'!P161*H482/100</f>
        <v>405</v>
      </c>
    </row>
    <row r="483" customFormat="false" ht="15" hidden="false" customHeight="false" outlineLevel="0" collapsed="false">
      <c r="A483" s="6" t="str">
        <f aca="false">'Dish Database'!A161</f>
        <v>D160</v>
      </c>
      <c r="B483" s="6" t="str">
        <f aca="false">'Dish Database'!B161</f>
        <v>Kerala parotta</v>
      </c>
      <c r="C483" s="6" t="str">
        <f aca="false">'Dish Database'!D161</f>
        <v>Breakfast - South</v>
      </c>
      <c r="D483" s="6" t="str">
        <f aca="false">'Dish Database'!F161</f>
        <v>Veg</v>
      </c>
      <c r="E483" s="6" t="str">
        <f aca="false">'Dish Database'!E161</f>
        <v>South</v>
      </c>
      <c r="F483" s="6" t="s">
        <v>2246</v>
      </c>
      <c r="G483" s="6" t="s">
        <v>2412</v>
      </c>
      <c r="H483" s="16" t="n">
        <v>120</v>
      </c>
      <c r="I483" s="6" t="str">
        <f aca="false">'Dish Database'!I161</f>
        <v>g</v>
      </c>
      <c r="J483" s="13" t="n">
        <f aca="false">'Dish Database'!J161*H483/100</f>
        <v>409.68</v>
      </c>
      <c r="K483" s="17" t="n">
        <f aca="false">'Dish Database'!K161*H483/100</f>
        <v>9</v>
      </c>
      <c r="L483" s="17" t="n">
        <f aca="false">'Dish Database'!L161*H483/100</f>
        <v>54</v>
      </c>
      <c r="M483" s="17" t="n">
        <f aca="false">'Dish Database'!M161*H483/100</f>
        <v>18</v>
      </c>
      <c r="N483" s="17" t="n">
        <f aca="false">'Dish Database'!N161*H483/100</f>
        <v>2.16</v>
      </c>
      <c r="O483" s="17" t="n">
        <f aca="false">'Dish Database'!O161*H483/100</f>
        <v>2.4</v>
      </c>
      <c r="P483" s="13" t="n">
        <f aca="false">'Dish Database'!P161*H483/100</f>
        <v>540</v>
      </c>
    </row>
    <row r="484" customFormat="false" ht="15" hidden="false" customHeight="false" outlineLevel="0" collapsed="false">
      <c r="A484" s="6" t="str">
        <f aca="false">'Dish Database'!A162</f>
        <v>D161</v>
      </c>
      <c r="B484" s="6" t="str">
        <f aca="false">'Dish Database'!B162</f>
        <v>Medu vada</v>
      </c>
      <c r="C484" s="6" t="str">
        <f aca="false">'Dish Database'!D162</f>
        <v>Breakfast - South</v>
      </c>
      <c r="D484" s="6" t="str">
        <f aca="false">'Dish Database'!F162</f>
        <v>Veg</v>
      </c>
      <c r="E484" s="6" t="str">
        <f aca="false">'Dish Database'!E162</f>
        <v>South</v>
      </c>
      <c r="F484" s="6" t="s">
        <v>2243</v>
      </c>
      <c r="G484" s="6" t="s">
        <v>2413</v>
      </c>
      <c r="H484" s="16" t="n">
        <v>35</v>
      </c>
      <c r="I484" s="6" t="str">
        <f aca="false">'Dish Database'!I162</f>
        <v>g</v>
      </c>
      <c r="J484" s="13" t="n">
        <f aca="false">'Dish Database'!J162*H484/100</f>
        <v>98</v>
      </c>
      <c r="K484" s="17" t="n">
        <f aca="false">'Dish Database'!K162*H484/100</f>
        <v>3.5</v>
      </c>
      <c r="L484" s="17" t="n">
        <f aca="false">'Dish Database'!L162*H484/100</f>
        <v>8.4</v>
      </c>
      <c r="M484" s="17" t="n">
        <f aca="false">'Dish Database'!M162*H484/100</f>
        <v>5.95</v>
      </c>
      <c r="N484" s="17" t="n">
        <f aca="false">'Dish Database'!N162*H484/100</f>
        <v>1.575</v>
      </c>
      <c r="O484" s="17" t="n">
        <f aca="false">'Dish Database'!O162*H484/100</f>
        <v>0.175</v>
      </c>
      <c r="P484" s="13" t="n">
        <f aca="false">'Dish Database'!P162*H484/100</f>
        <v>133</v>
      </c>
    </row>
    <row r="485" customFormat="false" ht="15" hidden="false" customHeight="false" outlineLevel="0" collapsed="false">
      <c r="A485" s="6" t="str">
        <f aca="false">'Dish Database'!A162</f>
        <v>D161</v>
      </c>
      <c r="B485" s="6" t="str">
        <f aca="false">'Dish Database'!B162</f>
        <v>Medu vada</v>
      </c>
      <c r="C485" s="6" t="str">
        <f aca="false">'Dish Database'!D162</f>
        <v>Breakfast - South</v>
      </c>
      <c r="D485" s="6" t="str">
        <f aca="false">'Dish Database'!F162</f>
        <v>Veg</v>
      </c>
      <c r="E485" s="6" t="str">
        <f aca="false">'Dish Database'!E162</f>
        <v>South</v>
      </c>
      <c r="F485" s="6" t="s">
        <v>103</v>
      </c>
      <c r="G485" s="6" t="s">
        <v>2414</v>
      </c>
      <c r="H485" s="16" t="n">
        <v>50</v>
      </c>
      <c r="I485" s="6" t="str">
        <f aca="false">'Dish Database'!I162</f>
        <v>g</v>
      </c>
      <c r="J485" s="13" t="n">
        <f aca="false">'Dish Database'!J162*H485/100</f>
        <v>140</v>
      </c>
      <c r="K485" s="17" t="n">
        <f aca="false">'Dish Database'!K162*H485/100</f>
        <v>5</v>
      </c>
      <c r="L485" s="17" t="n">
        <f aca="false">'Dish Database'!L162*H485/100</f>
        <v>12</v>
      </c>
      <c r="M485" s="17" t="n">
        <f aca="false">'Dish Database'!M162*H485/100</f>
        <v>8.5</v>
      </c>
      <c r="N485" s="17" t="n">
        <f aca="false">'Dish Database'!N162*H485/100</f>
        <v>2.25</v>
      </c>
      <c r="O485" s="17" t="n">
        <f aca="false">'Dish Database'!O162*H485/100</f>
        <v>0.25</v>
      </c>
      <c r="P485" s="13" t="n">
        <f aca="false">'Dish Database'!P162*H485/100</f>
        <v>190</v>
      </c>
    </row>
    <row r="486" customFormat="false" ht="15" hidden="false" customHeight="false" outlineLevel="0" collapsed="false">
      <c r="A486" s="6" t="str">
        <f aca="false">'Dish Database'!A162</f>
        <v>D161</v>
      </c>
      <c r="B486" s="6" t="str">
        <f aca="false">'Dish Database'!B162</f>
        <v>Medu vada</v>
      </c>
      <c r="C486" s="6" t="str">
        <f aca="false">'Dish Database'!D162</f>
        <v>Breakfast - South</v>
      </c>
      <c r="D486" s="6" t="str">
        <f aca="false">'Dish Database'!F162</f>
        <v>Veg</v>
      </c>
      <c r="E486" s="6" t="str">
        <f aca="false">'Dish Database'!E162</f>
        <v>South</v>
      </c>
      <c r="F486" s="6" t="s">
        <v>2246</v>
      </c>
      <c r="G486" s="6" t="s">
        <v>2415</v>
      </c>
      <c r="H486" s="16" t="n">
        <v>70</v>
      </c>
      <c r="I486" s="6" t="str">
        <f aca="false">'Dish Database'!I162</f>
        <v>g</v>
      </c>
      <c r="J486" s="13" t="n">
        <f aca="false">'Dish Database'!J162*H486/100</f>
        <v>196</v>
      </c>
      <c r="K486" s="17" t="n">
        <f aca="false">'Dish Database'!K162*H486/100</f>
        <v>7</v>
      </c>
      <c r="L486" s="17" t="n">
        <f aca="false">'Dish Database'!L162*H486/100</f>
        <v>16.8</v>
      </c>
      <c r="M486" s="17" t="n">
        <f aca="false">'Dish Database'!M162*H486/100</f>
        <v>11.9</v>
      </c>
      <c r="N486" s="17" t="n">
        <f aca="false">'Dish Database'!N162*H486/100</f>
        <v>3.15</v>
      </c>
      <c r="O486" s="17" t="n">
        <f aca="false">'Dish Database'!O162*H486/100</f>
        <v>0.35</v>
      </c>
      <c r="P486" s="13" t="n">
        <f aca="false">'Dish Database'!P162*H486/100</f>
        <v>266</v>
      </c>
    </row>
    <row r="487" customFormat="false" ht="15" hidden="false" customHeight="false" outlineLevel="0" collapsed="false">
      <c r="A487" s="6" t="str">
        <f aca="false">'Dish Database'!A163</f>
        <v>D162</v>
      </c>
      <c r="B487" s="6" t="str">
        <f aca="false">'Dish Database'!B163</f>
        <v>Sambar vada (vada soaked in sambar)</v>
      </c>
      <c r="C487" s="6" t="str">
        <f aca="false">'Dish Database'!D163</f>
        <v>Breakfast - South</v>
      </c>
      <c r="D487" s="6" t="str">
        <f aca="false">'Dish Database'!F163</f>
        <v>Veg</v>
      </c>
      <c r="E487" s="6" t="str">
        <f aca="false">'Dish Database'!E163</f>
        <v>South</v>
      </c>
      <c r="F487" s="6" t="s">
        <v>2243</v>
      </c>
      <c r="G487" s="6" t="s">
        <v>2416</v>
      </c>
      <c r="H487" s="16" t="n">
        <v>150</v>
      </c>
      <c r="I487" s="6" t="str">
        <f aca="false">'Dish Database'!I163</f>
        <v>g</v>
      </c>
      <c r="J487" s="13" t="n">
        <f aca="false">'Dish Database'!J163*H487/100</f>
        <v>208.5</v>
      </c>
      <c r="K487" s="17" t="n">
        <f aca="false">'Dish Database'!K163*H487/100</f>
        <v>8.25</v>
      </c>
      <c r="L487" s="17" t="n">
        <f aca="false">'Dish Database'!L163*H487/100</f>
        <v>22.5</v>
      </c>
      <c r="M487" s="17" t="n">
        <f aca="false">'Dish Database'!M163*H487/100</f>
        <v>10.5</v>
      </c>
      <c r="N487" s="17" t="n">
        <f aca="false">'Dish Database'!N163*H487/100</f>
        <v>4.5</v>
      </c>
      <c r="O487" s="17" t="n">
        <f aca="false">'Dish Database'!O163*H487/100</f>
        <v>2.25</v>
      </c>
      <c r="P487" s="13" t="n">
        <f aca="false">'Dish Database'!P163*H487/100</f>
        <v>525</v>
      </c>
    </row>
    <row r="488" customFormat="false" ht="15" hidden="false" customHeight="false" outlineLevel="0" collapsed="false">
      <c r="A488" s="6" t="str">
        <f aca="false">'Dish Database'!A163</f>
        <v>D162</v>
      </c>
      <c r="B488" s="6" t="str">
        <f aca="false">'Dish Database'!B163</f>
        <v>Sambar vada (vada soaked in sambar)</v>
      </c>
      <c r="C488" s="6" t="str">
        <f aca="false">'Dish Database'!D163</f>
        <v>Breakfast - South</v>
      </c>
      <c r="D488" s="6" t="str">
        <f aca="false">'Dish Database'!F163</f>
        <v>Veg</v>
      </c>
      <c r="E488" s="6" t="str">
        <f aca="false">'Dish Database'!E163</f>
        <v>South</v>
      </c>
      <c r="F488" s="6" t="s">
        <v>103</v>
      </c>
      <c r="G488" s="6" t="s">
        <v>2417</v>
      </c>
      <c r="H488" s="16" t="n">
        <v>250</v>
      </c>
      <c r="I488" s="6" t="str">
        <f aca="false">'Dish Database'!I163</f>
        <v>g</v>
      </c>
      <c r="J488" s="13" t="n">
        <f aca="false">'Dish Database'!J163*H488/100</f>
        <v>347.5</v>
      </c>
      <c r="K488" s="17" t="n">
        <f aca="false">'Dish Database'!K163*H488/100</f>
        <v>13.75</v>
      </c>
      <c r="L488" s="17" t="n">
        <f aca="false">'Dish Database'!L163*H488/100</f>
        <v>37.5</v>
      </c>
      <c r="M488" s="17" t="n">
        <f aca="false">'Dish Database'!M163*H488/100</f>
        <v>17.5</v>
      </c>
      <c r="N488" s="17" t="n">
        <f aca="false">'Dish Database'!N163*H488/100</f>
        <v>7.5</v>
      </c>
      <c r="O488" s="17" t="n">
        <f aca="false">'Dish Database'!O163*H488/100</f>
        <v>3.75</v>
      </c>
      <c r="P488" s="13" t="n">
        <f aca="false">'Dish Database'!P163*H488/100</f>
        <v>875</v>
      </c>
    </row>
    <row r="489" customFormat="false" ht="15" hidden="false" customHeight="false" outlineLevel="0" collapsed="false">
      <c r="A489" s="6" t="str">
        <f aca="false">'Dish Database'!A163</f>
        <v>D162</v>
      </c>
      <c r="B489" s="6" t="str">
        <f aca="false">'Dish Database'!B163</f>
        <v>Sambar vada (vada soaked in sambar)</v>
      </c>
      <c r="C489" s="6" t="str">
        <f aca="false">'Dish Database'!D163</f>
        <v>Breakfast - South</v>
      </c>
      <c r="D489" s="6" t="str">
        <f aca="false">'Dish Database'!F163</f>
        <v>Veg</v>
      </c>
      <c r="E489" s="6" t="str">
        <f aca="false">'Dish Database'!E163</f>
        <v>South</v>
      </c>
      <c r="F489" s="6" t="s">
        <v>2246</v>
      </c>
      <c r="G489" s="6" t="s">
        <v>2418</v>
      </c>
      <c r="H489" s="16" t="n">
        <v>350</v>
      </c>
      <c r="I489" s="6" t="str">
        <f aca="false">'Dish Database'!I163</f>
        <v>g</v>
      </c>
      <c r="J489" s="13" t="n">
        <f aca="false">'Dish Database'!J163*H489/100</f>
        <v>486.5</v>
      </c>
      <c r="K489" s="17" t="n">
        <f aca="false">'Dish Database'!K163*H489/100</f>
        <v>19.25</v>
      </c>
      <c r="L489" s="17" t="n">
        <f aca="false">'Dish Database'!L163*H489/100</f>
        <v>52.5</v>
      </c>
      <c r="M489" s="17" t="n">
        <f aca="false">'Dish Database'!M163*H489/100</f>
        <v>24.5</v>
      </c>
      <c r="N489" s="17" t="n">
        <f aca="false">'Dish Database'!N163*H489/100</f>
        <v>10.5</v>
      </c>
      <c r="O489" s="17" t="n">
        <f aca="false">'Dish Database'!O163*H489/100</f>
        <v>5.25</v>
      </c>
      <c r="P489" s="13" t="n">
        <f aca="false">'Dish Database'!P163*H489/100</f>
        <v>1225</v>
      </c>
    </row>
    <row r="490" customFormat="false" ht="15" hidden="false" customHeight="false" outlineLevel="0" collapsed="false">
      <c r="A490" s="6" t="str">
        <f aca="false">'Dish Database'!A164</f>
        <v>D163</v>
      </c>
      <c r="B490" s="6" t="str">
        <f aca="false">'Dish Database'!B164</f>
        <v>Masala vada (chana dal)</v>
      </c>
      <c r="C490" s="6" t="str">
        <f aca="false">'Dish Database'!D164</f>
        <v>Breakfast - South</v>
      </c>
      <c r="D490" s="6" t="str">
        <f aca="false">'Dish Database'!F164</f>
        <v>Veg</v>
      </c>
      <c r="E490" s="6" t="str">
        <f aca="false">'Dish Database'!E164</f>
        <v>South</v>
      </c>
      <c r="F490" s="6" t="s">
        <v>2243</v>
      </c>
      <c r="G490" s="6" t="s">
        <v>2419</v>
      </c>
      <c r="H490" s="16" t="n">
        <v>25</v>
      </c>
      <c r="I490" s="6" t="str">
        <f aca="false">'Dish Database'!I164</f>
        <v>g</v>
      </c>
      <c r="J490" s="13" t="n">
        <f aca="false">'Dish Database'!J164*H490/100</f>
        <v>73.5</v>
      </c>
      <c r="K490" s="17" t="n">
        <f aca="false">'Dish Database'!K164*H490/100</f>
        <v>2.75</v>
      </c>
      <c r="L490" s="17" t="n">
        <f aca="false">'Dish Database'!L164*H490/100</f>
        <v>7.5</v>
      </c>
      <c r="M490" s="17" t="n">
        <f aca="false">'Dish Database'!M164*H490/100</f>
        <v>4</v>
      </c>
      <c r="N490" s="17" t="n">
        <f aca="false">'Dish Database'!N164*H490/100</f>
        <v>1.75</v>
      </c>
      <c r="O490" s="17" t="n">
        <f aca="false">'Dish Database'!O164*H490/100</f>
        <v>0.375</v>
      </c>
      <c r="P490" s="13" t="n">
        <f aca="false">'Dish Database'!P164*H490/100</f>
        <v>100</v>
      </c>
    </row>
    <row r="491" customFormat="false" ht="15" hidden="false" customHeight="false" outlineLevel="0" collapsed="false">
      <c r="A491" s="6" t="str">
        <f aca="false">'Dish Database'!A164</f>
        <v>D163</v>
      </c>
      <c r="B491" s="6" t="str">
        <f aca="false">'Dish Database'!B164</f>
        <v>Masala vada (chana dal)</v>
      </c>
      <c r="C491" s="6" t="str">
        <f aca="false">'Dish Database'!D164</f>
        <v>Breakfast - South</v>
      </c>
      <c r="D491" s="6" t="str">
        <f aca="false">'Dish Database'!F164</f>
        <v>Veg</v>
      </c>
      <c r="E491" s="6" t="str">
        <f aca="false">'Dish Database'!E164</f>
        <v>South</v>
      </c>
      <c r="F491" s="6" t="s">
        <v>103</v>
      </c>
      <c r="G491" s="6" t="s">
        <v>2420</v>
      </c>
      <c r="H491" s="16" t="n">
        <v>40</v>
      </c>
      <c r="I491" s="6" t="str">
        <f aca="false">'Dish Database'!I164</f>
        <v>g</v>
      </c>
      <c r="J491" s="13" t="n">
        <f aca="false">'Dish Database'!J164*H491/100</f>
        <v>117.6</v>
      </c>
      <c r="K491" s="17" t="n">
        <f aca="false">'Dish Database'!K164*H491/100</f>
        <v>4.4</v>
      </c>
      <c r="L491" s="17" t="n">
        <f aca="false">'Dish Database'!L164*H491/100</f>
        <v>12</v>
      </c>
      <c r="M491" s="17" t="n">
        <f aca="false">'Dish Database'!M164*H491/100</f>
        <v>6.4</v>
      </c>
      <c r="N491" s="17" t="n">
        <f aca="false">'Dish Database'!N164*H491/100</f>
        <v>2.8</v>
      </c>
      <c r="O491" s="17" t="n">
        <f aca="false">'Dish Database'!O164*H491/100</f>
        <v>0.6</v>
      </c>
      <c r="P491" s="13" t="n">
        <f aca="false">'Dish Database'!P164*H491/100</f>
        <v>160</v>
      </c>
    </row>
    <row r="492" customFormat="false" ht="15" hidden="false" customHeight="false" outlineLevel="0" collapsed="false">
      <c r="A492" s="6" t="str">
        <f aca="false">'Dish Database'!A164</f>
        <v>D163</v>
      </c>
      <c r="B492" s="6" t="str">
        <f aca="false">'Dish Database'!B164</f>
        <v>Masala vada (chana dal)</v>
      </c>
      <c r="C492" s="6" t="str">
        <f aca="false">'Dish Database'!D164</f>
        <v>Breakfast - South</v>
      </c>
      <c r="D492" s="6" t="str">
        <f aca="false">'Dish Database'!F164</f>
        <v>Veg</v>
      </c>
      <c r="E492" s="6" t="str">
        <f aca="false">'Dish Database'!E164</f>
        <v>South</v>
      </c>
      <c r="F492" s="6" t="s">
        <v>2246</v>
      </c>
      <c r="G492" s="6" t="s">
        <v>2421</v>
      </c>
      <c r="H492" s="16" t="n">
        <v>55</v>
      </c>
      <c r="I492" s="6" t="str">
        <f aca="false">'Dish Database'!I164</f>
        <v>g</v>
      </c>
      <c r="J492" s="13" t="n">
        <f aca="false">'Dish Database'!J164*H492/100</f>
        <v>161.7</v>
      </c>
      <c r="K492" s="17" t="n">
        <f aca="false">'Dish Database'!K164*H492/100</f>
        <v>6.05</v>
      </c>
      <c r="L492" s="17" t="n">
        <f aca="false">'Dish Database'!L164*H492/100</f>
        <v>16.5</v>
      </c>
      <c r="M492" s="17" t="n">
        <f aca="false">'Dish Database'!M164*H492/100</f>
        <v>8.8</v>
      </c>
      <c r="N492" s="17" t="n">
        <f aca="false">'Dish Database'!N164*H492/100</f>
        <v>3.85</v>
      </c>
      <c r="O492" s="17" t="n">
        <f aca="false">'Dish Database'!O164*H492/100</f>
        <v>0.825</v>
      </c>
      <c r="P492" s="13" t="n">
        <f aca="false">'Dish Database'!P164*H492/100</f>
        <v>220</v>
      </c>
    </row>
    <row r="493" customFormat="false" ht="15" hidden="false" customHeight="false" outlineLevel="0" collapsed="false">
      <c r="A493" s="6" t="str">
        <f aca="false">'Dish Database'!A165</f>
        <v>D164</v>
      </c>
      <c r="B493" s="6" t="str">
        <f aca="false">'Dish Database'!B165</f>
        <v>Ven pongal</v>
      </c>
      <c r="C493" s="6" t="str">
        <f aca="false">'Dish Database'!D165</f>
        <v>Breakfast - South</v>
      </c>
      <c r="D493" s="6" t="str">
        <f aca="false">'Dish Database'!F165</f>
        <v>Veg</v>
      </c>
      <c r="E493" s="6" t="str">
        <f aca="false">'Dish Database'!E165</f>
        <v>South</v>
      </c>
      <c r="F493" s="6" t="s">
        <v>2243</v>
      </c>
      <c r="G493" s="6" t="s">
        <v>2265</v>
      </c>
      <c r="H493" s="16" t="n">
        <v>100</v>
      </c>
      <c r="I493" s="6" t="str">
        <f aca="false">'Dish Database'!I165</f>
        <v>g</v>
      </c>
      <c r="J493" s="13" t="n">
        <f aca="false">'Dish Database'!J165*H493/100</f>
        <v>156.1</v>
      </c>
      <c r="K493" s="17" t="n">
        <f aca="false">'Dish Database'!K165*H493/100</f>
        <v>4</v>
      </c>
      <c r="L493" s="17" t="n">
        <f aca="false">'Dish Database'!L165*H493/100</f>
        <v>21</v>
      </c>
      <c r="M493" s="17" t="n">
        <f aca="false">'Dish Database'!M165*H493/100</f>
        <v>6.5</v>
      </c>
      <c r="N493" s="17" t="n">
        <f aca="false">'Dish Database'!N165*H493/100</f>
        <v>1.2</v>
      </c>
      <c r="O493" s="17" t="n">
        <f aca="false">'Dish Database'!O165*H493/100</f>
        <v>0.3</v>
      </c>
      <c r="P493" s="13" t="n">
        <f aca="false">'Dish Database'!P165*H493/100</f>
        <v>300</v>
      </c>
    </row>
    <row r="494" customFormat="false" ht="15" hidden="false" customHeight="false" outlineLevel="0" collapsed="false">
      <c r="A494" s="6" t="str">
        <f aca="false">'Dish Database'!A165</f>
        <v>D164</v>
      </c>
      <c r="B494" s="6" t="str">
        <f aca="false">'Dish Database'!B165</f>
        <v>Ven pongal</v>
      </c>
      <c r="C494" s="6" t="str">
        <f aca="false">'Dish Database'!D165</f>
        <v>Breakfast - South</v>
      </c>
      <c r="D494" s="6" t="str">
        <f aca="false">'Dish Database'!F165</f>
        <v>Veg</v>
      </c>
      <c r="E494" s="6" t="str">
        <f aca="false">'Dish Database'!E165</f>
        <v>South</v>
      </c>
      <c r="F494" s="6" t="s">
        <v>103</v>
      </c>
      <c r="G494" s="6" t="s">
        <v>2266</v>
      </c>
      <c r="H494" s="16" t="n">
        <v>175</v>
      </c>
      <c r="I494" s="6" t="str">
        <f aca="false">'Dish Database'!I165</f>
        <v>g</v>
      </c>
      <c r="J494" s="13" t="n">
        <f aca="false">'Dish Database'!J165*H494/100</f>
        <v>273.175</v>
      </c>
      <c r="K494" s="17" t="n">
        <f aca="false">'Dish Database'!K165*H494/100</f>
        <v>7</v>
      </c>
      <c r="L494" s="17" t="n">
        <f aca="false">'Dish Database'!L165*H494/100</f>
        <v>36.75</v>
      </c>
      <c r="M494" s="17" t="n">
        <f aca="false">'Dish Database'!M165*H494/100</f>
        <v>11.375</v>
      </c>
      <c r="N494" s="17" t="n">
        <f aca="false">'Dish Database'!N165*H494/100</f>
        <v>2.1</v>
      </c>
      <c r="O494" s="17" t="n">
        <f aca="false">'Dish Database'!O165*H494/100</f>
        <v>0.525</v>
      </c>
      <c r="P494" s="13" t="n">
        <f aca="false">'Dish Database'!P165*H494/100</f>
        <v>525</v>
      </c>
    </row>
    <row r="495" customFormat="false" ht="15" hidden="false" customHeight="false" outlineLevel="0" collapsed="false">
      <c r="A495" s="6" t="str">
        <f aca="false">'Dish Database'!A165</f>
        <v>D164</v>
      </c>
      <c r="B495" s="6" t="str">
        <f aca="false">'Dish Database'!B165</f>
        <v>Ven pongal</v>
      </c>
      <c r="C495" s="6" t="str">
        <f aca="false">'Dish Database'!D165</f>
        <v>Breakfast - South</v>
      </c>
      <c r="D495" s="6" t="str">
        <f aca="false">'Dish Database'!F165</f>
        <v>Veg</v>
      </c>
      <c r="E495" s="6" t="str">
        <f aca="false">'Dish Database'!E165</f>
        <v>South</v>
      </c>
      <c r="F495" s="6" t="s">
        <v>2246</v>
      </c>
      <c r="G495" s="6" t="s">
        <v>2267</v>
      </c>
      <c r="H495" s="16" t="n">
        <v>250</v>
      </c>
      <c r="I495" s="6" t="str">
        <f aca="false">'Dish Database'!I165</f>
        <v>g</v>
      </c>
      <c r="J495" s="13" t="n">
        <f aca="false">'Dish Database'!J165*H495/100</f>
        <v>390.25</v>
      </c>
      <c r="K495" s="17" t="n">
        <f aca="false">'Dish Database'!K165*H495/100</f>
        <v>10</v>
      </c>
      <c r="L495" s="17" t="n">
        <f aca="false">'Dish Database'!L165*H495/100</f>
        <v>52.5</v>
      </c>
      <c r="M495" s="17" t="n">
        <f aca="false">'Dish Database'!M165*H495/100</f>
        <v>16.25</v>
      </c>
      <c r="N495" s="17" t="n">
        <f aca="false">'Dish Database'!N165*H495/100</f>
        <v>3</v>
      </c>
      <c r="O495" s="17" t="n">
        <f aca="false">'Dish Database'!O165*H495/100</f>
        <v>0.75</v>
      </c>
      <c r="P495" s="13" t="n">
        <f aca="false">'Dish Database'!P165*H495/100</f>
        <v>750</v>
      </c>
    </row>
    <row r="496" customFormat="false" ht="15" hidden="false" customHeight="false" outlineLevel="0" collapsed="false">
      <c r="A496" s="6" t="str">
        <f aca="false">'Dish Database'!A166</f>
        <v>D165</v>
      </c>
      <c r="B496" s="6" t="str">
        <f aca="false">'Dish Database'!B166</f>
        <v>Sakkarai pongal (sweet)</v>
      </c>
      <c r="C496" s="6" t="str">
        <f aca="false">'Dish Database'!D166</f>
        <v>Breakfast - South</v>
      </c>
      <c r="D496" s="6" t="str">
        <f aca="false">'Dish Database'!F166</f>
        <v>Veg</v>
      </c>
      <c r="E496" s="6" t="str">
        <f aca="false">'Dish Database'!E166</f>
        <v>South</v>
      </c>
      <c r="F496" s="6" t="s">
        <v>2243</v>
      </c>
      <c r="G496" s="6" t="s">
        <v>2259</v>
      </c>
      <c r="H496" s="16" t="n">
        <v>100</v>
      </c>
      <c r="I496" s="6" t="str">
        <f aca="false">'Dish Database'!I166</f>
        <v>g</v>
      </c>
      <c r="J496" s="13" t="n">
        <f aca="false">'Dish Database'!J166*H496/100</f>
        <v>231.1</v>
      </c>
      <c r="K496" s="17" t="n">
        <f aca="false">'Dish Database'!K166*H496/100</f>
        <v>3.5</v>
      </c>
      <c r="L496" s="17" t="n">
        <f aca="false">'Dish Database'!L166*H496/100</f>
        <v>38</v>
      </c>
      <c r="M496" s="17" t="n">
        <f aca="false">'Dish Database'!M166*H496/100</f>
        <v>7.5</v>
      </c>
      <c r="N496" s="17" t="n">
        <f aca="false">'Dish Database'!N166*H496/100</f>
        <v>1.2</v>
      </c>
      <c r="O496" s="17" t="n">
        <f aca="false">'Dish Database'!O166*H496/100</f>
        <v>20</v>
      </c>
      <c r="P496" s="13" t="n">
        <f aca="false">'Dish Database'!P166*H496/100</f>
        <v>30</v>
      </c>
    </row>
    <row r="497" customFormat="false" ht="15" hidden="false" customHeight="false" outlineLevel="0" collapsed="false">
      <c r="A497" s="6" t="str">
        <f aca="false">'Dish Database'!A166</f>
        <v>D165</v>
      </c>
      <c r="B497" s="6" t="str">
        <f aca="false">'Dish Database'!B166</f>
        <v>Sakkarai pongal (sweet)</v>
      </c>
      <c r="C497" s="6" t="str">
        <f aca="false">'Dish Database'!D166</f>
        <v>Breakfast - South</v>
      </c>
      <c r="D497" s="6" t="str">
        <f aca="false">'Dish Database'!F166</f>
        <v>Veg</v>
      </c>
      <c r="E497" s="6" t="str">
        <f aca="false">'Dish Database'!E166</f>
        <v>South</v>
      </c>
      <c r="F497" s="6" t="s">
        <v>103</v>
      </c>
      <c r="G497" s="6" t="s">
        <v>2260</v>
      </c>
      <c r="H497" s="16" t="n">
        <v>150</v>
      </c>
      <c r="I497" s="6" t="str">
        <f aca="false">'Dish Database'!I166</f>
        <v>g</v>
      </c>
      <c r="J497" s="13" t="n">
        <f aca="false">'Dish Database'!J166*H497/100</f>
        <v>346.65</v>
      </c>
      <c r="K497" s="17" t="n">
        <f aca="false">'Dish Database'!K166*H497/100</f>
        <v>5.25</v>
      </c>
      <c r="L497" s="17" t="n">
        <f aca="false">'Dish Database'!L166*H497/100</f>
        <v>57</v>
      </c>
      <c r="M497" s="17" t="n">
        <f aca="false">'Dish Database'!M166*H497/100</f>
        <v>11.25</v>
      </c>
      <c r="N497" s="17" t="n">
        <f aca="false">'Dish Database'!N166*H497/100</f>
        <v>1.8</v>
      </c>
      <c r="O497" s="17" t="n">
        <f aca="false">'Dish Database'!O166*H497/100</f>
        <v>30</v>
      </c>
      <c r="P497" s="13" t="n">
        <f aca="false">'Dish Database'!P166*H497/100</f>
        <v>45</v>
      </c>
    </row>
    <row r="498" customFormat="false" ht="15" hidden="false" customHeight="false" outlineLevel="0" collapsed="false">
      <c r="A498" s="6" t="str">
        <f aca="false">'Dish Database'!A166</f>
        <v>D165</v>
      </c>
      <c r="B498" s="6" t="str">
        <f aca="false">'Dish Database'!B166</f>
        <v>Sakkarai pongal (sweet)</v>
      </c>
      <c r="C498" s="6" t="str">
        <f aca="false">'Dish Database'!D166</f>
        <v>Breakfast - South</v>
      </c>
      <c r="D498" s="6" t="str">
        <f aca="false">'Dish Database'!F166</f>
        <v>Veg</v>
      </c>
      <c r="E498" s="6" t="str">
        <f aca="false">'Dish Database'!E166</f>
        <v>South</v>
      </c>
      <c r="F498" s="6" t="s">
        <v>2246</v>
      </c>
      <c r="G498" s="6" t="s">
        <v>2261</v>
      </c>
      <c r="H498" s="16" t="n">
        <v>200</v>
      </c>
      <c r="I498" s="6" t="str">
        <f aca="false">'Dish Database'!I166</f>
        <v>g</v>
      </c>
      <c r="J498" s="13" t="n">
        <f aca="false">'Dish Database'!J166*H498/100</f>
        <v>462.2</v>
      </c>
      <c r="K498" s="17" t="n">
        <f aca="false">'Dish Database'!K166*H498/100</f>
        <v>7</v>
      </c>
      <c r="L498" s="17" t="n">
        <f aca="false">'Dish Database'!L166*H498/100</f>
        <v>76</v>
      </c>
      <c r="M498" s="17" t="n">
        <f aca="false">'Dish Database'!M166*H498/100</f>
        <v>15</v>
      </c>
      <c r="N498" s="17" t="n">
        <f aca="false">'Dish Database'!N166*H498/100</f>
        <v>2.4</v>
      </c>
      <c r="O498" s="17" t="n">
        <f aca="false">'Dish Database'!O166*H498/100</f>
        <v>40</v>
      </c>
      <c r="P498" s="13" t="n">
        <f aca="false">'Dish Database'!P166*H498/100</f>
        <v>60</v>
      </c>
    </row>
    <row r="499" customFormat="false" ht="15" hidden="false" customHeight="false" outlineLevel="0" collapsed="false">
      <c r="A499" s="6" t="str">
        <f aca="false">'Dish Database'!A167</f>
        <v>D166</v>
      </c>
      <c r="B499" s="6" t="str">
        <f aca="false">'Dish Database'!B167</f>
        <v>Kesari bath</v>
      </c>
      <c r="C499" s="6" t="str">
        <f aca="false">'Dish Database'!D167</f>
        <v>Breakfast - South</v>
      </c>
      <c r="D499" s="6" t="str">
        <f aca="false">'Dish Database'!F167</f>
        <v>Veg</v>
      </c>
      <c r="E499" s="6" t="str">
        <f aca="false">'Dish Database'!E167</f>
        <v>South</v>
      </c>
      <c r="F499" s="6" t="s">
        <v>2243</v>
      </c>
      <c r="G499" s="6" t="s">
        <v>2422</v>
      </c>
      <c r="H499" s="16" t="n">
        <v>50</v>
      </c>
      <c r="I499" s="6" t="str">
        <f aca="false">'Dish Database'!I167</f>
        <v>g</v>
      </c>
      <c r="J499" s="13" t="n">
        <f aca="false">'Dish Database'!J167*H499/100</f>
        <v>149.2</v>
      </c>
      <c r="K499" s="17" t="n">
        <f aca="false">'Dish Database'!K167*H499/100</f>
        <v>1.5</v>
      </c>
      <c r="L499" s="17" t="n">
        <f aca="false">'Dish Database'!L167*H499/100</f>
        <v>22.5</v>
      </c>
      <c r="M499" s="17" t="n">
        <f aca="false">'Dish Database'!M167*H499/100</f>
        <v>6</v>
      </c>
      <c r="N499" s="17" t="n">
        <f aca="false">'Dish Database'!N167*H499/100</f>
        <v>0.4</v>
      </c>
      <c r="O499" s="17" t="n">
        <f aca="false">'Dish Database'!O167*H499/100</f>
        <v>12.5</v>
      </c>
      <c r="P499" s="13" t="n">
        <f aca="false">'Dish Database'!P167*H499/100</f>
        <v>15</v>
      </c>
    </row>
    <row r="500" customFormat="false" ht="15" hidden="false" customHeight="false" outlineLevel="0" collapsed="false">
      <c r="A500" s="6" t="str">
        <f aca="false">'Dish Database'!A167</f>
        <v>D166</v>
      </c>
      <c r="B500" s="6" t="str">
        <f aca="false">'Dish Database'!B167</f>
        <v>Kesari bath</v>
      </c>
      <c r="C500" s="6" t="str">
        <f aca="false">'Dish Database'!D167</f>
        <v>Breakfast - South</v>
      </c>
      <c r="D500" s="6" t="str">
        <f aca="false">'Dish Database'!F167</f>
        <v>Veg</v>
      </c>
      <c r="E500" s="6" t="str">
        <f aca="false">'Dish Database'!E167</f>
        <v>South</v>
      </c>
      <c r="F500" s="6" t="s">
        <v>103</v>
      </c>
      <c r="G500" s="6" t="s">
        <v>2259</v>
      </c>
      <c r="H500" s="16" t="n">
        <v>100</v>
      </c>
      <c r="I500" s="6" t="str">
        <f aca="false">'Dish Database'!I167</f>
        <v>g</v>
      </c>
      <c r="J500" s="13" t="n">
        <f aca="false">'Dish Database'!J167*H500/100</f>
        <v>298.4</v>
      </c>
      <c r="K500" s="17" t="n">
        <f aca="false">'Dish Database'!K167*H500/100</f>
        <v>3</v>
      </c>
      <c r="L500" s="17" t="n">
        <f aca="false">'Dish Database'!L167*H500/100</f>
        <v>45</v>
      </c>
      <c r="M500" s="17" t="n">
        <f aca="false">'Dish Database'!M167*H500/100</f>
        <v>12</v>
      </c>
      <c r="N500" s="17" t="n">
        <f aca="false">'Dish Database'!N167*H500/100</f>
        <v>0.8</v>
      </c>
      <c r="O500" s="17" t="n">
        <f aca="false">'Dish Database'!O167*H500/100</f>
        <v>25</v>
      </c>
      <c r="P500" s="13" t="n">
        <f aca="false">'Dish Database'!P167*H500/100</f>
        <v>30</v>
      </c>
    </row>
    <row r="501" customFormat="false" ht="15" hidden="false" customHeight="false" outlineLevel="0" collapsed="false">
      <c r="A501" s="6" t="str">
        <f aca="false">'Dish Database'!A167</f>
        <v>D166</v>
      </c>
      <c r="B501" s="6" t="str">
        <f aca="false">'Dish Database'!B167</f>
        <v>Kesari bath</v>
      </c>
      <c r="C501" s="6" t="str">
        <f aca="false">'Dish Database'!D167</f>
        <v>Breakfast - South</v>
      </c>
      <c r="D501" s="6" t="str">
        <f aca="false">'Dish Database'!F167</f>
        <v>Veg</v>
      </c>
      <c r="E501" s="6" t="str">
        <f aca="false">'Dish Database'!E167</f>
        <v>South</v>
      </c>
      <c r="F501" s="6" t="s">
        <v>2246</v>
      </c>
      <c r="G501" s="6" t="s">
        <v>2260</v>
      </c>
      <c r="H501" s="16" t="n">
        <v>150</v>
      </c>
      <c r="I501" s="6" t="str">
        <f aca="false">'Dish Database'!I167</f>
        <v>g</v>
      </c>
      <c r="J501" s="13" t="n">
        <f aca="false">'Dish Database'!J167*H501/100</f>
        <v>447.6</v>
      </c>
      <c r="K501" s="17" t="n">
        <f aca="false">'Dish Database'!K167*H501/100</f>
        <v>4.5</v>
      </c>
      <c r="L501" s="17" t="n">
        <f aca="false">'Dish Database'!L167*H501/100</f>
        <v>67.5</v>
      </c>
      <c r="M501" s="17" t="n">
        <f aca="false">'Dish Database'!M167*H501/100</f>
        <v>18</v>
      </c>
      <c r="N501" s="17" t="n">
        <f aca="false">'Dish Database'!N167*H501/100</f>
        <v>1.2</v>
      </c>
      <c r="O501" s="17" t="n">
        <f aca="false">'Dish Database'!O167*H501/100</f>
        <v>37.5</v>
      </c>
      <c r="P501" s="13" t="n">
        <f aca="false">'Dish Database'!P167*H501/100</f>
        <v>45</v>
      </c>
    </row>
    <row r="502" customFormat="false" ht="15" hidden="false" customHeight="false" outlineLevel="0" collapsed="false">
      <c r="A502" s="6" t="str">
        <f aca="false">'Dish Database'!A168</f>
        <v>D167</v>
      </c>
      <c r="B502" s="6" t="str">
        <f aca="false">'Dish Database'!B168</f>
        <v>Bisi bele bath</v>
      </c>
      <c r="C502" s="6" t="str">
        <f aca="false">'Dish Database'!D168</f>
        <v>Breakfast - South</v>
      </c>
      <c r="D502" s="6" t="str">
        <f aca="false">'Dish Database'!F168</f>
        <v>Veg</v>
      </c>
      <c r="E502" s="6" t="str">
        <f aca="false">'Dish Database'!E168</f>
        <v>South</v>
      </c>
      <c r="F502" s="6" t="s">
        <v>2243</v>
      </c>
      <c r="G502" s="6" t="s">
        <v>2265</v>
      </c>
      <c r="H502" s="16" t="n">
        <v>150</v>
      </c>
      <c r="I502" s="6" t="str">
        <f aca="false">'Dish Database'!I168</f>
        <v>g</v>
      </c>
      <c r="J502" s="13" t="n">
        <f aca="false">'Dish Database'!J168*H502/100</f>
        <v>231</v>
      </c>
      <c r="K502" s="17" t="n">
        <f aca="false">'Dish Database'!K168*H502/100</f>
        <v>6.75</v>
      </c>
      <c r="L502" s="17" t="n">
        <f aca="false">'Dish Database'!L168*H502/100</f>
        <v>33</v>
      </c>
      <c r="M502" s="17" t="n">
        <f aca="false">'Dish Database'!M168*H502/100</f>
        <v>9</v>
      </c>
      <c r="N502" s="17" t="n">
        <f aca="false">'Dish Database'!N168*H502/100</f>
        <v>4.5</v>
      </c>
      <c r="O502" s="17" t="n">
        <f aca="false">'Dish Database'!O168*H502/100</f>
        <v>3</v>
      </c>
      <c r="P502" s="13" t="n">
        <f aca="false">'Dish Database'!P168*H502/100</f>
        <v>570</v>
      </c>
    </row>
    <row r="503" customFormat="false" ht="15" hidden="false" customHeight="false" outlineLevel="0" collapsed="false">
      <c r="A503" s="6" t="str">
        <f aca="false">'Dish Database'!A168</f>
        <v>D167</v>
      </c>
      <c r="B503" s="6" t="str">
        <f aca="false">'Dish Database'!B168</f>
        <v>Bisi bele bath</v>
      </c>
      <c r="C503" s="6" t="str">
        <f aca="false">'Dish Database'!D168</f>
        <v>Breakfast - South</v>
      </c>
      <c r="D503" s="6" t="str">
        <f aca="false">'Dish Database'!F168</f>
        <v>Veg</v>
      </c>
      <c r="E503" s="6" t="str">
        <f aca="false">'Dish Database'!E168</f>
        <v>South</v>
      </c>
      <c r="F503" s="6" t="s">
        <v>103</v>
      </c>
      <c r="G503" s="6" t="s">
        <v>2423</v>
      </c>
      <c r="H503" s="16" t="n">
        <v>250</v>
      </c>
      <c r="I503" s="6" t="str">
        <f aca="false">'Dish Database'!I168</f>
        <v>g</v>
      </c>
      <c r="J503" s="13" t="n">
        <f aca="false">'Dish Database'!J168*H503/100</f>
        <v>385</v>
      </c>
      <c r="K503" s="17" t="n">
        <f aca="false">'Dish Database'!K168*H503/100</f>
        <v>11.25</v>
      </c>
      <c r="L503" s="17" t="n">
        <f aca="false">'Dish Database'!L168*H503/100</f>
        <v>55</v>
      </c>
      <c r="M503" s="17" t="n">
        <f aca="false">'Dish Database'!M168*H503/100</f>
        <v>15</v>
      </c>
      <c r="N503" s="17" t="n">
        <f aca="false">'Dish Database'!N168*H503/100</f>
        <v>7.5</v>
      </c>
      <c r="O503" s="17" t="n">
        <f aca="false">'Dish Database'!O168*H503/100</f>
        <v>5</v>
      </c>
      <c r="P503" s="13" t="n">
        <f aca="false">'Dish Database'!P168*H503/100</f>
        <v>950</v>
      </c>
    </row>
    <row r="504" customFormat="false" ht="15" hidden="false" customHeight="false" outlineLevel="0" collapsed="false">
      <c r="A504" s="6" t="str">
        <f aca="false">'Dish Database'!A168</f>
        <v>D167</v>
      </c>
      <c r="B504" s="6" t="str">
        <f aca="false">'Dish Database'!B168</f>
        <v>Bisi bele bath</v>
      </c>
      <c r="C504" s="6" t="str">
        <f aca="false">'Dish Database'!D168</f>
        <v>Breakfast - South</v>
      </c>
      <c r="D504" s="6" t="str">
        <f aca="false">'Dish Database'!F168</f>
        <v>Veg</v>
      </c>
      <c r="E504" s="6" t="str">
        <f aca="false">'Dish Database'!E168</f>
        <v>South</v>
      </c>
      <c r="F504" s="6" t="s">
        <v>2246</v>
      </c>
      <c r="G504" s="6" t="s">
        <v>2267</v>
      </c>
      <c r="H504" s="16" t="n">
        <v>350</v>
      </c>
      <c r="I504" s="6" t="str">
        <f aca="false">'Dish Database'!I168</f>
        <v>g</v>
      </c>
      <c r="J504" s="13" t="n">
        <f aca="false">'Dish Database'!J168*H504/100</f>
        <v>539</v>
      </c>
      <c r="K504" s="17" t="n">
        <f aca="false">'Dish Database'!K168*H504/100</f>
        <v>15.75</v>
      </c>
      <c r="L504" s="17" t="n">
        <f aca="false">'Dish Database'!L168*H504/100</f>
        <v>77</v>
      </c>
      <c r="M504" s="17" t="n">
        <f aca="false">'Dish Database'!M168*H504/100</f>
        <v>21</v>
      </c>
      <c r="N504" s="17" t="n">
        <f aca="false">'Dish Database'!N168*H504/100</f>
        <v>10.5</v>
      </c>
      <c r="O504" s="17" t="n">
        <f aca="false">'Dish Database'!O168*H504/100</f>
        <v>7</v>
      </c>
      <c r="P504" s="13" t="n">
        <f aca="false">'Dish Database'!P168*H504/100</f>
        <v>1330</v>
      </c>
    </row>
    <row r="505" customFormat="false" ht="15" hidden="false" customHeight="false" outlineLevel="0" collapsed="false">
      <c r="A505" s="6" t="str">
        <f aca="false">'Dish Database'!A168</f>
        <v>D167</v>
      </c>
      <c r="B505" s="6" t="str">
        <f aca="false">'Dish Database'!B168</f>
        <v>Bisi bele bath</v>
      </c>
      <c r="C505" s="6" t="str">
        <f aca="false">'Dish Database'!D168</f>
        <v>Breakfast - South</v>
      </c>
      <c r="D505" s="6" t="str">
        <f aca="false">'Dish Database'!F168</f>
        <v>Veg</v>
      </c>
      <c r="E505" s="6" t="str">
        <f aca="false">'Dish Database'!E168</f>
        <v>South</v>
      </c>
      <c r="F505" s="6" t="s">
        <v>2323</v>
      </c>
      <c r="G505" s="6" t="s">
        <v>2324</v>
      </c>
      <c r="H505" s="16" t="n">
        <v>300</v>
      </c>
      <c r="I505" s="6" t="str">
        <f aca="false">'Dish Database'!I168</f>
        <v>g</v>
      </c>
      <c r="J505" s="13" t="n">
        <f aca="false">'Dish Database'!J168*H505/100</f>
        <v>462</v>
      </c>
      <c r="K505" s="17" t="n">
        <f aca="false">'Dish Database'!K168*H505/100</f>
        <v>13.5</v>
      </c>
      <c r="L505" s="17" t="n">
        <f aca="false">'Dish Database'!L168*H505/100</f>
        <v>66</v>
      </c>
      <c r="M505" s="17" t="n">
        <f aca="false">'Dish Database'!M168*H505/100</f>
        <v>18</v>
      </c>
      <c r="N505" s="17" t="n">
        <f aca="false">'Dish Database'!N168*H505/100</f>
        <v>9</v>
      </c>
      <c r="O505" s="17" t="n">
        <f aca="false">'Dish Database'!O168*H505/100</f>
        <v>6</v>
      </c>
      <c r="P505" s="13" t="n">
        <f aca="false">'Dish Database'!P168*H505/100</f>
        <v>1140</v>
      </c>
    </row>
    <row r="506" customFormat="false" ht="15" hidden="false" customHeight="false" outlineLevel="0" collapsed="false">
      <c r="A506" s="6" t="str">
        <f aca="false">'Dish Database'!A168</f>
        <v>D167</v>
      </c>
      <c r="B506" s="6" t="str">
        <f aca="false">'Dish Database'!B168</f>
        <v>Bisi bele bath</v>
      </c>
      <c r="C506" s="6" t="str">
        <f aca="false">'Dish Database'!D168</f>
        <v>Breakfast - South</v>
      </c>
      <c r="D506" s="6" t="str">
        <f aca="false">'Dish Database'!F168</f>
        <v>Veg</v>
      </c>
      <c r="E506" s="6" t="str">
        <f aca="false">'Dish Database'!E168</f>
        <v>South</v>
      </c>
      <c r="F506" s="6" t="s">
        <v>2325</v>
      </c>
      <c r="G506" s="6" t="s">
        <v>2326</v>
      </c>
      <c r="H506" s="16" t="n">
        <v>550</v>
      </c>
      <c r="I506" s="6" t="str">
        <f aca="false">'Dish Database'!I168</f>
        <v>g</v>
      </c>
      <c r="J506" s="13" t="n">
        <f aca="false">'Dish Database'!J168*H506/100</f>
        <v>847</v>
      </c>
      <c r="K506" s="17" t="n">
        <f aca="false">'Dish Database'!K168*H506/100</f>
        <v>24.75</v>
      </c>
      <c r="L506" s="17" t="n">
        <f aca="false">'Dish Database'!L168*H506/100</f>
        <v>121</v>
      </c>
      <c r="M506" s="17" t="n">
        <f aca="false">'Dish Database'!M168*H506/100</f>
        <v>33</v>
      </c>
      <c r="N506" s="17" t="n">
        <f aca="false">'Dish Database'!N168*H506/100</f>
        <v>16.5</v>
      </c>
      <c r="O506" s="17" t="n">
        <f aca="false">'Dish Database'!O168*H506/100</f>
        <v>11</v>
      </c>
      <c r="P506" s="13" t="n">
        <f aca="false">'Dish Database'!P168*H506/100</f>
        <v>2090</v>
      </c>
    </row>
    <row r="507" customFormat="false" ht="15" hidden="false" customHeight="false" outlineLevel="0" collapsed="false">
      <c r="A507" s="6" t="str">
        <f aca="false">'Dish Database'!A169</f>
        <v>D168</v>
      </c>
      <c r="B507" s="6" t="str">
        <f aca="false">'Dish Database'!B169</f>
        <v>Ragi mudde</v>
      </c>
      <c r="C507" s="6" t="str">
        <f aca="false">'Dish Database'!D169</f>
        <v>Breakfast - South</v>
      </c>
      <c r="D507" s="6" t="str">
        <f aca="false">'Dish Database'!F169</f>
        <v>Veg</v>
      </c>
      <c r="E507" s="6" t="str">
        <f aca="false">'Dish Database'!E169</f>
        <v>South</v>
      </c>
      <c r="F507" s="6" t="s">
        <v>2243</v>
      </c>
      <c r="G507" s="6" t="s">
        <v>2424</v>
      </c>
      <c r="H507" s="16" t="n">
        <v>100</v>
      </c>
      <c r="I507" s="6" t="str">
        <f aca="false">'Dish Database'!I169</f>
        <v>g</v>
      </c>
      <c r="J507" s="13" t="n">
        <f aca="false">'Dish Database'!J169*H507/100</f>
        <v>112.5</v>
      </c>
      <c r="K507" s="17" t="n">
        <f aca="false">'Dish Database'!K169*H507/100</f>
        <v>2.5</v>
      </c>
      <c r="L507" s="17" t="n">
        <f aca="false">'Dish Database'!L169*H507/100</f>
        <v>26</v>
      </c>
      <c r="M507" s="17" t="n">
        <f aca="false">'Dish Database'!M169*H507/100</f>
        <v>0.5</v>
      </c>
      <c r="N507" s="17" t="n">
        <f aca="false">'Dish Database'!N169*H507/100</f>
        <v>3</v>
      </c>
      <c r="O507" s="17" t="n">
        <f aca="false">'Dish Database'!O169*H507/100</f>
        <v>0.3</v>
      </c>
      <c r="P507" s="13" t="n">
        <f aca="false">'Dish Database'!P169*H507/100</f>
        <v>50</v>
      </c>
    </row>
    <row r="508" customFormat="false" ht="15" hidden="false" customHeight="false" outlineLevel="0" collapsed="false">
      <c r="A508" s="6" t="str">
        <f aca="false">'Dish Database'!A169</f>
        <v>D168</v>
      </c>
      <c r="B508" s="6" t="str">
        <f aca="false">'Dish Database'!B169</f>
        <v>Ragi mudde</v>
      </c>
      <c r="C508" s="6" t="str">
        <f aca="false">'Dish Database'!D169</f>
        <v>Breakfast - South</v>
      </c>
      <c r="D508" s="6" t="str">
        <f aca="false">'Dish Database'!F169</f>
        <v>Veg</v>
      </c>
      <c r="E508" s="6" t="str">
        <f aca="false">'Dish Database'!E169</f>
        <v>South</v>
      </c>
      <c r="F508" s="6" t="s">
        <v>103</v>
      </c>
      <c r="G508" s="6" t="s">
        <v>2425</v>
      </c>
      <c r="H508" s="16" t="n">
        <v>150</v>
      </c>
      <c r="I508" s="6" t="str">
        <f aca="false">'Dish Database'!I169</f>
        <v>g</v>
      </c>
      <c r="J508" s="13" t="n">
        <f aca="false">'Dish Database'!J169*H508/100</f>
        <v>168.75</v>
      </c>
      <c r="K508" s="17" t="n">
        <f aca="false">'Dish Database'!K169*H508/100</f>
        <v>3.75</v>
      </c>
      <c r="L508" s="17" t="n">
        <f aca="false">'Dish Database'!L169*H508/100</f>
        <v>39</v>
      </c>
      <c r="M508" s="17" t="n">
        <f aca="false">'Dish Database'!M169*H508/100</f>
        <v>0.75</v>
      </c>
      <c r="N508" s="17" t="n">
        <f aca="false">'Dish Database'!N169*H508/100</f>
        <v>4.5</v>
      </c>
      <c r="O508" s="17" t="n">
        <f aca="false">'Dish Database'!O169*H508/100</f>
        <v>0.45</v>
      </c>
      <c r="P508" s="13" t="n">
        <f aca="false">'Dish Database'!P169*H508/100</f>
        <v>75</v>
      </c>
    </row>
    <row r="509" customFormat="false" ht="15" hidden="false" customHeight="false" outlineLevel="0" collapsed="false">
      <c r="A509" s="6" t="str">
        <f aca="false">'Dish Database'!A169</f>
        <v>D168</v>
      </c>
      <c r="B509" s="6" t="str">
        <f aca="false">'Dish Database'!B169</f>
        <v>Ragi mudde</v>
      </c>
      <c r="C509" s="6" t="str">
        <f aca="false">'Dish Database'!D169</f>
        <v>Breakfast - South</v>
      </c>
      <c r="D509" s="6" t="str">
        <f aca="false">'Dish Database'!F169</f>
        <v>Veg</v>
      </c>
      <c r="E509" s="6" t="str">
        <f aca="false">'Dish Database'!E169</f>
        <v>South</v>
      </c>
      <c r="F509" s="6" t="s">
        <v>2246</v>
      </c>
      <c r="G509" s="6" t="s">
        <v>2426</v>
      </c>
      <c r="H509" s="16" t="n">
        <v>200</v>
      </c>
      <c r="I509" s="6" t="str">
        <f aca="false">'Dish Database'!I169</f>
        <v>g</v>
      </c>
      <c r="J509" s="13" t="n">
        <f aca="false">'Dish Database'!J169*H509/100</f>
        <v>225</v>
      </c>
      <c r="K509" s="17" t="n">
        <f aca="false">'Dish Database'!K169*H509/100</f>
        <v>5</v>
      </c>
      <c r="L509" s="17" t="n">
        <f aca="false">'Dish Database'!L169*H509/100</f>
        <v>52</v>
      </c>
      <c r="M509" s="17" t="n">
        <f aca="false">'Dish Database'!M169*H509/100</f>
        <v>1</v>
      </c>
      <c r="N509" s="17" t="n">
        <f aca="false">'Dish Database'!N169*H509/100</f>
        <v>6</v>
      </c>
      <c r="O509" s="17" t="n">
        <f aca="false">'Dish Database'!O169*H509/100</f>
        <v>0.6</v>
      </c>
      <c r="P509" s="13" t="n">
        <f aca="false">'Dish Database'!P169*H509/100</f>
        <v>100</v>
      </c>
    </row>
    <row r="510" customFormat="false" ht="15" hidden="false" customHeight="false" outlineLevel="0" collapsed="false">
      <c r="A510" s="6" t="str">
        <f aca="false">'Dish Database'!A170</f>
        <v>D169</v>
      </c>
      <c r="B510" s="6" t="str">
        <f aca="false">'Dish Database'!B170</f>
        <v>Akki roti</v>
      </c>
      <c r="C510" s="6" t="str">
        <f aca="false">'Dish Database'!D170</f>
        <v>Breakfast - South</v>
      </c>
      <c r="D510" s="6" t="str">
        <f aca="false">'Dish Database'!F170</f>
        <v>Veg</v>
      </c>
      <c r="E510" s="6" t="str">
        <f aca="false">'Dish Database'!E170</f>
        <v>South</v>
      </c>
      <c r="F510" s="6" t="s">
        <v>2243</v>
      </c>
      <c r="G510" s="6" t="s">
        <v>2427</v>
      </c>
      <c r="H510" s="16" t="n">
        <v>60</v>
      </c>
      <c r="I510" s="6" t="str">
        <f aca="false">'Dish Database'!I170</f>
        <v>g</v>
      </c>
      <c r="J510" s="13" t="n">
        <f aca="false">'Dish Database'!J170*H510/100</f>
        <v>124.5</v>
      </c>
      <c r="K510" s="17" t="n">
        <f aca="false">'Dish Database'!K170*H510/100</f>
        <v>1.8</v>
      </c>
      <c r="L510" s="17" t="n">
        <f aca="false">'Dish Database'!L170*H510/100</f>
        <v>21</v>
      </c>
      <c r="M510" s="17" t="n">
        <f aca="false">'Dish Database'!M170*H510/100</f>
        <v>3.9</v>
      </c>
      <c r="N510" s="17" t="n">
        <f aca="false">'Dish Database'!N170*H510/100</f>
        <v>0.9</v>
      </c>
      <c r="O510" s="17" t="n">
        <f aca="false">'Dish Database'!O170*H510/100</f>
        <v>0.6</v>
      </c>
      <c r="P510" s="13" t="n">
        <f aca="false">'Dish Database'!P170*H510/100</f>
        <v>150</v>
      </c>
    </row>
    <row r="511" customFormat="false" ht="15" hidden="false" customHeight="false" outlineLevel="0" collapsed="false">
      <c r="A511" s="6" t="str">
        <f aca="false">'Dish Database'!A170</f>
        <v>D169</v>
      </c>
      <c r="B511" s="6" t="str">
        <f aca="false">'Dish Database'!B170</f>
        <v>Akki roti</v>
      </c>
      <c r="C511" s="6" t="str">
        <f aca="false">'Dish Database'!D170</f>
        <v>Breakfast - South</v>
      </c>
      <c r="D511" s="6" t="str">
        <f aca="false">'Dish Database'!F170</f>
        <v>Veg</v>
      </c>
      <c r="E511" s="6" t="str">
        <f aca="false">'Dish Database'!E170</f>
        <v>South</v>
      </c>
      <c r="F511" s="6" t="s">
        <v>103</v>
      </c>
      <c r="G511" s="6" t="s">
        <v>2428</v>
      </c>
      <c r="H511" s="16" t="n">
        <v>80</v>
      </c>
      <c r="I511" s="6" t="str">
        <f aca="false">'Dish Database'!I170</f>
        <v>g</v>
      </c>
      <c r="J511" s="13" t="n">
        <f aca="false">'Dish Database'!J170*H511/100</f>
        <v>166</v>
      </c>
      <c r="K511" s="17" t="n">
        <f aca="false">'Dish Database'!K170*H511/100</f>
        <v>2.4</v>
      </c>
      <c r="L511" s="17" t="n">
        <f aca="false">'Dish Database'!L170*H511/100</f>
        <v>28</v>
      </c>
      <c r="M511" s="17" t="n">
        <f aca="false">'Dish Database'!M170*H511/100</f>
        <v>5.2</v>
      </c>
      <c r="N511" s="17" t="n">
        <f aca="false">'Dish Database'!N170*H511/100</f>
        <v>1.2</v>
      </c>
      <c r="O511" s="17" t="n">
        <f aca="false">'Dish Database'!O170*H511/100</f>
        <v>0.8</v>
      </c>
      <c r="P511" s="13" t="n">
        <f aca="false">'Dish Database'!P170*H511/100</f>
        <v>200</v>
      </c>
    </row>
    <row r="512" customFormat="false" ht="15" hidden="false" customHeight="false" outlineLevel="0" collapsed="false">
      <c r="A512" s="6" t="str">
        <f aca="false">'Dish Database'!A170</f>
        <v>D169</v>
      </c>
      <c r="B512" s="6" t="str">
        <f aca="false">'Dish Database'!B170</f>
        <v>Akki roti</v>
      </c>
      <c r="C512" s="6" t="str">
        <f aca="false">'Dish Database'!D170</f>
        <v>Breakfast - South</v>
      </c>
      <c r="D512" s="6" t="str">
        <f aca="false">'Dish Database'!F170</f>
        <v>Veg</v>
      </c>
      <c r="E512" s="6" t="str">
        <f aca="false">'Dish Database'!E170</f>
        <v>South</v>
      </c>
      <c r="F512" s="6" t="s">
        <v>2246</v>
      </c>
      <c r="G512" s="6" t="s">
        <v>2429</v>
      </c>
      <c r="H512" s="16" t="n">
        <v>100</v>
      </c>
      <c r="I512" s="6" t="str">
        <f aca="false">'Dish Database'!I170</f>
        <v>g</v>
      </c>
      <c r="J512" s="13" t="n">
        <f aca="false">'Dish Database'!J170*H512/100</f>
        <v>207.5</v>
      </c>
      <c r="K512" s="17" t="n">
        <f aca="false">'Dish Database'!K170*H512/100</f>
        <v>3</v>
      </c>
      <c r="L512" s="17" t="n">
        <f aca="false">'Dish Database'!L170*H512/100</f>
        <v>35</v>
      </c>
      <c r="M512" s="17" t="n">
        <f aca="false">'Dish Database'!M170*H512/100</f>
        <v>6.5</v>
      </c>
      <c r="N512" s="17" t="n">
        <f aca="false">'Dish Database'!N170*H512/100</f>
        <v>1.5</v>
      </c>
      <c r="O512" s="17" t="n">
        <f aca="false">'Dish Database'!O170*H512/100</f>
        <v>1</v>
      </c>
      <c r="P512" s="13" t="n">
        <f aca="false">'Dish Database'!P170*H512/100</f>
        <v>250</v>
      </c>
    </row>
    <row r="513" customFormat="false" ht="15" hidden="false" customHeight="false" outlineLevel="0" collapsed="false">
      <c r="A513" s="6" t="str">
        <f aca="false">'Dish Database'!A171</f>
        <v>D170</v>
      </c>
      <c r="B513" s="6" t="str">
        <f aca="false">'Dish Database'!B171</f>
        <v>Kuzhi paniyaram</v>
      </c>
      <c r="C513" s="6" t="str">
        <f aca="false">'Dish Database'!D171</f>
        <v>Breakfast - South</v>
      </c>
      <c r="D513" s="6" t="str">
        <f aca="false">'Dish Database'!F171</f>
        <v>Veg</v>
      </c>
      <c r="E513" s="6" t="str">
        <f aca="false">'Dish Database'!E171</f>
        <v>South</v>
      </c>
      <c r="F513" s="6" t="s">
        <v>2243</v>
      </c>
      <c r="G513" s="6" t="s">
        <v>2430</v>
      </c>
      <c r="H513" s="16" t="n">
        <v>75</v>
      </c>
      <c r="I513" s="6" t="str">
        <f aca="false">'Dish Database'!I171</f>
        <v>g</v>
      </c>
      <c r="J513" s="13" t="n">
        <f aca="false">'Dish Database'!J171*H513/100</f>
        <v>135</v>
      </c>
      <c r="K513" s="17" t="n">
        <f aca="false">'Dish Database'!K171*H513/100</f>
        <v>3</v>
      </c>
      <c r="L513" s="17" t="n">
        <f aca="false">'Dish Database'!L171*H513/100</f>
        <v>19.5</v>
      </c>
      <c r="M513" s="17" t="n">
        <f aca="false">'Dish Database'!M171*H513/100</f>
        <v>5.25</v>
      </c>
      <c r="N513" s="17" t="n">
        <f aca="false">'Dish Database'!N171*H513/100</f>
        <v>1.125</v>
      </c>
      <c r="O513" s="17" t="n">
        <f aca="false">'Dish Database'!O171*H513/100</f>
        <v>0.75</v>
      </c>
      <c r="P513" s="13" t="n">
        <f aca="false">'Dish Database'!P171*H513/100</f>
        <v>225</v>
      </c>
    </row>
    <row r="514" customFormat="false" ht="15" hidden="false" customHeight="false" outlineLevel="0" collapsed="false">
      <c r="A514" s="6" t="str">
        <f aca="false">'Dish Database'!A171</f>
        <v>D170</v>
      </c>
      <c r="B514" s="6" t="str">
        <f aca="false">'Dish Database'!B171</f>
        <v>Kuzhi paniyaram</v>
      </c>
      <c r="C514" s="6" t="str">
        <f aca="false">'Dish Database'!D171</f>
        <v>Breakfast - South</v>
      </c>
      <c r="D514" s="6" t="str">
        <f aca="false">'Dish Database'!F171</f>
        <v>Veg</v>
      </c>
      <c r="E514" s="6" t="str">
        <f aca="false">'Dish Database'!E171</f>
        <v>South</v>
      </c>
      <c r="F514" s="6" t="s">
        <v>103</v>
      </c>
      <c r="G514" s="6" t="s">
        <v>2431</v>
      </c>
      <c r="H514" s="16" t="n">
        <v>100</v>
      </c>
      <c r="I514" s="6" t="str">
        <f aca="false">'Dish Database'!I171</f>
        <v>g</v>
      </c>
      <c r="J514" s="13" t="n">
        <f aca="false">'Dish Database'!J171*H514/100</f>
        <v>180</v>
      </c>
      <c r="K514" s="17" t="n">
        <f aca="false">'Dish Database'!K171*H514/100</f>
        <v>4</v>
      </c>
      <c r="L514" s="17" t="n">
        <f aca="false">'Dish Database'!L171*H514/100</f>
        <v>26</v>
      </c>
      <c r="M514" s="17" t="n">
        <f aca="false">'Dish Database'!M171*H514/100</f>
        <v>7</v>
      </c>
      <c r="N514" s="17" t="n">
        <f aca="false">'Dish Database'!N171*H514/100</f>
        <v>1.5</v>
      </c>
      <c r="O514" s="17" t="n">
        <f aca="false">'Dish Database'!O171*H514/100</f>
        <v>1</v>
      </c>
      <c r="P514" s="13" t="n">
        <f aca="false">'Dish Database'!P171*H514/100</f>
        <v>300</v>
      </c>
    </row>
    <row r="515" customFormat="false" ht="15" hidden="false" customHeight="false" outlineLevel="0" collapsed="false">
      <c r="A515" s="6" t="str">
        <f aca="false">'Dish Database'!A171</f>
        <v>D170</v>
      </c>
      <c r="B515" s="6" t="str">
        <f aca="false">'Dish Database'!B171</f>
        <v>Kuzhi paniyaram</v>
      </c>
      <c r="C515" s="6" t="str">
        <f aca="false">'Dish Database'!D171</f>
        <v>Breakfast - South</v>
      </c>
      <c r="D515" s="6" t="str">
        <f aca="false">'Dish Database'!F171</f>
        <v>Veg</v>
      </c>
      <c r="E515" s="6" t="str">
        <f aca="false">'Dish Database'!E171</f>
        <v>South</v>
      </c>
      <c r="F515" s="6" t="s">
        <v>2246</v>
      </c>
      <c r="G515" s="6" t="s">
        <v>2432</v>
      </c>
      <c r="H515" s="16" t="n">
        <v>150</v>
      </c>
      <c r="I515" s="6" t="str">
        <f aca="false">'Dish Database'!I171</f>
        <v>g</v>
      </c>
      <c r="J515" s="13" t="n">
        <f aca="false">'Dish Database'!J171*H515/100</f>
        <v>270</v>
      </c>
      <c r="K515" s="17" t="n">
        <f aca="false">'Dish Database'!K171*H515/100</f>
        <v>6</v>
      </c>
      <c r="L515" s="17" t="n">
        <f aca="false">'Dish Database'!L171*H515/100</f>
        <v>39</v>
      </c>
      <c r="M515" s="17" t="n">
        <f aca="false">'Dish Database'!M171*H515/100</f>
        <v>10.5</v>
      </c>
      <c r="N515" s="17" t="n">
        <f aca="false">'Dish Database'!N171*H515/100</f>
        <v>2.25</v>
      </c>
      <c r="O515" s="17" t="n">
        <f aca="false">'Dish Database'!O171*H515/100</f>
        <v>1.5</v>
      </c>
      <c r="P515" s="13" t="n">
        <f aca="false">'Dish Database'!P171*H515/100</f>
        <v>450</v>
      </c>
    </row>
    <row r="516" customFormat="false" ht="15" hidden="false" customHeight="false" outlineLevel="0" collapsed="false">
      <c r="A516" s="6" t="str">
        <f aca="false">'Dish Database'!A172</f>
        <v>D171</v>
      </c>
      <c r="B516" s="6" t="str">
        <f aca="false">'Dish Database'!B172</f>
        <v>Mysore bonda</v>
      </c>
      <c r="C516" s="6" t="str">
        <f aca="false">'Dish Database'!D172</f>
        <v>Breakfast - South</v>
      </c>
      <c r="D516" s="6" t="str">
        <f aca="false">'Dish Database'!F172</f>
        <v>Veg</v>
      </c>
      <c r="E516" s="6" t="str">
        <f aca="false">'Dish Database'!E172</f>
        <v>South</v>
      </c>
      <c r="F516" s="6" t="s">
        <v>2243</v>
      </c>
      <c r="G516" s="6" t="s">
        <v>2433</v>
      </c>
      <c r="H516" s="16" t="n">
        <v>25</v>
      </c>
      <c r="I516" s="6" t="str">
        <f aca="false">'Dish Database'!I172</f>
        <v>g</v>
      </c>
      <c r="J516" s="13" t="n">
        <f aca="false">'Dish Database'!J172*H516/100</f>
        <v>73.75</v>
      </c>
      <c r="K516" s="17" t="n">
        <f aca="false">'Dish Database'!K172*H516/100</f>
        <v>1.125</v>
      </c>
      <c r="L516" s="17" t="n">
        <f aca="false">'Dish Database'!L172*H516/100</f>
        <v>8.5</v>
      </c>
      <c r="M516" s="17" t="n">
        <f aca="false">'Dish Database'!M172*H516/100</f>
        <v>4</v>
      </c>
      <c r="N516" s="17" t="n">
        <f aca="false">'Dish Database'!N172*H516/100</f>
        <v>0.375</v>
      </c>
      <c r="O516" s="17" t="n">
        <f aca="false">'Dish Database'!O172*H516/100</f>
        <v>0.5</v>
      </c>
      <c r="P516" s="13" t="n">
        <f aca="false">'Dish Database'!P172*H516/100</f>
        <v>95</v>
      </c>
    </row>
    <row r="517" customFormat="false" ht="15" hidden="false" customHeight="false" outlineLevel="0" collapsed="false">
      <c r="A517" s="6" t="str">
        <f aca="false">'Dish Database'!A172</f>
        <v>D171</v>
      </c>
      <c r="B517" s="6" t="str">
        <f aca="false">'Dish Database'!B172</f>
        <v>Mysore bonda</v>
      </c>
      <c r="C517" s="6" t="str">
        <f aca="false">'Dish Database'!D172</f>
        <v>Breakfast - South</v>
      </c>
      <c r="D517" s="6" t="str">
        <f aca="false">'Dish Database'!F172</f>
        <v>Veg</v>
      </c>
      <c r="E517" s="6" t="str">
        <f aca="false">'Dish Database'!E172</f>
        <v>South</v>
      </c>
      <c r="F517" s="6" t="s">
        <v>103</v>
      </c>
      <c r="G517" s="6" t="s">
        <v>2434</v>
      </c>
      <c r="H517" s="16" t="n">
        <v>35</v>
      </c>
      <c r="I517" s="6" t="str">
        <f aca="false">'Dish Database'!I172</f>
        <v>g</v>
      </c>
      <c r="J517" s="13" t="n">
        <f aca="false">'Dish Database'!J172*H517/100</f>
        <v>103.25</v>
      </c>
      <c r="K517" s="17" t="n">
        <f aca="false">'Dish Database'!K172*H517/100</f>
        <v>1.575</v>
      </c>
      <c r="L517" s="17" t="n">
        <f aca="false">'Dish Database'!L172*H517/100</f>
        <v>11.9</v>
      </c>
      <c r="M517" s="17" t="n">
        <f aca="false">'Dish Database'!M172*H517/100</f>
        <v>5.6</v>
      </c>
      <c r="N517" s="17" t="n">
        <f aca="false">'Dish Database'!N172*H517/100</f>
        <v>0.525</v>
      </c>
      <c r="O517" s="17" t="n">
        <f aca="false">'Dish Database'!O172*H517/100</f>
        <v>0.7</v>
      </c>
      <c r="P517" s="13" t="n">
        <f aca="false">'Dish Database'!P172*H517/100</f>
        <v>133</v>
      </c>
    </row>
    <row r="518" customFormat="false" ht="15" hidden="false" customHeight="false" outlineLevel="0" collapsed="false">
      <c r="A518" s="6" t="str">
        <f aca="false">'Dish Database'!A172</f>
        <v>D171</v>
      </c>
      <c r="B518" s="6" t="str">
        <f aca="false">'Dish Database'!B172</f>
        <v>Mysore bonda</v>
      </c>
      <c r="C518" s="6" t="str">
        <f aca="false">'Dish Database'!D172</f>
        <v>Breakfast - South</v>
      </c>
      <c r="D518" s="6" t="str">
        <f aca="false">'Dish Database'!F172</f>
        <v>Veg</v>
      </c>
      <c r="E518" s="6" t="str">
        <f aca="false">'Dish Database'!E172</f>
        <v>South</v>
      </c>
      <c r="F518" s="6" t="s">
        <v>2246</v>
      </c>
      <c r="G518" s="6" t="s">
        <v>2435</v>
      </c>
      <c r="H518" s="16" t="n">
        <v>50</v>
      </c>
      <c r="I518" s="6" t="str">
        <f aca="false">'Dish Database'!I172</f>
        <v>g</v>
      </c>
      <c r="J518" s="13" t="n">
        <f aca="false">'Dish Database'!J172*H518/100</f>
        <v>147.5</v>
      </c>
      <c r="K518" s="17" t="n">
        <f aca="false">'Dish Database'!K172*H518/100</f>
        <v>2.25</v>
      </c>
      <c r="L518" s="17" t="n">
        <f aca="false">'Dish Database'!L172*H518/100</f>
        <v>17</v>
      </c>
      <c r="M518" s="17" t="n">
        <f aca="false">'Dish Database'!M172*H518/100</f>
        <v>8</v>
      </c>
      <c r="N518" s="17" t="n">
        <f aca="false">'Dish Database'!N172*H518/100</f>
        <v>0.75</v>
      </c>
      <c r="O518" s="17" t="n">
        <f aca="false">'Dish Database'!O172*H518/100</f>
        <v>1</v>
      </c>
      <c r="P518" s="13" t="n">
        <f aca="false">'Dish Database'!P172*H518/100</f>
        <v>190</v>
      </c>
    </row>
    <row r="519" customFormat="false" ht="15" hidden="false" customHeight="false" outlineLevel="0" collapsed="false">
      <c r="A519" s="6" t="str">
        <f aca="false">'Dish Database'!A173</f>
        <v>D172</v>
      </c>
      <c r="B519" s="6" t="str">
        <f aca="false">'Dish Database'!B173</f>
        <v>Pazham pori</v>
      </c>
      <c r="C519" s="6" t="str">
        <f aca="false">'Dish Database'!D173</f>
        <v>Breakfast - South</v>
      </c>
      <c r="D519" s="6" t="str">
        <f aca="false">'Dish Database'!F173</f>
        <v>Veg</v>
      </c>
      <c r="E519" s="6" t="str">
        <f aca="false">'Dish Database'!E173</f>
        <v>South</v>
      </c>
      <c r="F519" s="6" t="s">
        <v>2243</v>
      </c>
      <c r="G519" s="6" t="s">
        <v>2436</v>
      </c>
      <c r="H519" s="16" t="n">
        <v>50</v>
      </c>
      <c r="I519" s="6" t="str">
        <f aca="false">'Dish Database'!I173</f>
        <v>g</v>
      </c>
      <c r="J519" s="13" t="n">
        <f aca="false">'Dish Database'!J173*H519/100</f>
        <v>137</v>
      </c>
      <c r="K519" s="17" t="n">
        <f aca="false">'Dish Database'!K173*H519/100</f>
        <v>1.25</v>
      </c>
      <c r="L519" s="17" t="n">
        <f aca="false">'Dish Database'!L173*H519/100</f>
        <v>20</v>
      </c>
      <c r="M519" s="17" t="n">
        <f aca="false">'Dish Database'!M173*H519/100</f>
        <v>6</v>
      </c>
      <c r="N519" s="17" t="n">
        <f aca="false">'Dish Database'!N173*H519/100</f>
        <v>1</v>
      </c>
      <c r="O519" s="17" t="n">
        <f aca="false">'Dish Database'!O173*H519/100</f>
        <v>7.5</v>
      </c>
      <c r="P519" s="13" t="n">
        <f aca="false">'Dish Database'!P173*H519/100</f>
        <v>40</v>
      </c>
    </row>
    <row r="520" customFormat="false" ht="15" hidden="false" customHeight="false" outlineLevel="0" collapsed="false">
      <c r="A520" s="6" t="str">
        <f aca="false">'Dish Database'!A173</f>
        <v>D172</v>
      </c>
      <c r="B520" s="6" t="str">
        <f aca="false">'Dish Database'!B173</f>
        <v>Pazham pori</v>
      </c>
      <c r="C520" s="6" t="str">
        <f aca="false">'Dish Database'!D173</f>
        <v>Breakfast - South</v>
      </c>
      <c r="D520" s="6" t="str">
        <f aca="false">'Dish Database'!F173</f>
        <v>Veg</v>
      </c>
      <c r="E520" s="6" t="str">
        <f aca="false">'Dish Database'!E173</f>
        <v>South</v>
      </c>
      <c r="F520" s="6" t="s">
        <v>103</v>
      </c>
      <c r="G520" s="6" t="s">
        <v>2437</v>
      </c>
      <c r="H520" s="16" t="n">
        <v>70</v>
      </c>
      <c r="I520" s="6" t="str">
        <f aca="false">'Dish Database'!I173</f>
        <v>g</v>
      </c>
      <c r="J520" s="13" t="n">
        <f aca="false">'Dish Database'!J173*H520/100</f>
        <v>191.8</v>
      </c>
      <c r="K520" s="17" t="n">
        <f aca="false">'Dish Database'!K173*H520/100</f>
        <v>1.75</v>
      </c>
      <c r="L520" s="17" t="n">
        <f aca="false">'Dish Database'!L173*H520/100</f>
        <v>28</v>
      </c>
      <c r="M520" s="17" t="n">
        <f aca="false">'Dish Database'!M173*H520/100</f>
        <v>8.4</v>
      </c>
      <c r="N520" s="17" t="n">
        <f aca="false">'Dish Database'!N173*H520/100</f>
        <v>1.4</v>
      </c>
      <c r="O520" s="17" t="n">
        <f aca="false">'Dish Database'!O173*H520/100</f>
        <v>10.5</v>
      </c>
      <c r="P520" s="13" t="n">
        <f aca="false">'Dish Database'!P173*H520/100</f>
        <v>56</v>
      </c>
    </row>
    <row r="521" customFormat="false" ht="15" hidden="false" customHeight="false" outlineLevel="0" collapsed="false">
      <c r="A521" s="6" t="str">
        <f aca="false">'Dish Database'!A173</f>
        <v>D172</v>
      </c>
      <c r="B521" s="6" t="str">
        <f aca="false">'Dish Database'!B173</f>
        <v>Pazham pori</v>
      </c>
      <c r="C521" s="6" t="str">
        <f aca="false">'Dish Database'!D173</f>
        <v>Breakfast - South</v>
      </c>
      <c r="D521" s="6" t="str">
        <f aca="false">'Dish Database'!F173</f>
        <v>Veg</v>
      </c>
      <c r="E521" s="6" t="str">
        <f aca="false">'Dish Database'!E173</f>
        <v>South</v>
      </c>
      <c r="F521" s="6" t="s">
        <v>2246</v>
      </c>
      <c r="G521" s="6" t="s">
        <v>2438</v>
      </c>
      <c r="H521" s="16" t="n">
        <v>90</v>
      </c>
      <c r="I521" s="6" t="str">
        <f aca="false">'Dish Database'!I173</f>
        <v>g</v>
      </c>
      <c r="J521" s="13" t="n">
        <f aca="false">'Dish Database'!J173*H521/100</f>
        <v>246.6</v>
      </c>
      <c r="K521" s="17" t="n">
        <f aca="false">'Dish Database'!K173*H521/100</f>
        <v>2.25</v>
      </c>
      <c r="L521" s="17" t="n">
        <f aca="false">'Dish Database'!L173*H521/100</f>
        <v>36</v>
      </c>
      <c r="M521" s="17" t="n">
        <f aca="false">'Dish Database'!M173*H521/100</f>
        <v>10.8</v>
      </c>
      <c r="N521" s="17" t="n">
        <f aca="false">'Dish Database'!N173*H521/100</f>
        <v>1.8</v>
      </c>
      <c r="O521" s="17" t="n">
        <f aca="false">'Dish Database'!O173*H521/100</f>
        <v>13.5</v>
      </c>
      <c r="P521" s="13" t="n">
        <f aca="false">'Dish Database'!P173*H521/100</f>
        <v>72</v>
      </c>
    </row>
    <row r="522" customFormat="false" ht="15" hidden="false" customHeight="false" outlineLevel="0" collapsed="false">
      <c r="A522" s="6" t="str">
        <f aca="false">'Dish Database'!A174</f>
        <v>D173</v>
      </c>
      <c r="B522" s="6" t="str">
        <f aca="false">'Dish Database'!B174</f>
        <v>Unniyappam</v>
      </c>
      <c r="C522" s="6" t="str">
        <f aca="false">'Dish Database'!D174</f>
        <v>Breakfast - South</v>
      </c>
      <c r="D522" s="6" t="str">
        <f aca="false">'Dish Database'!F174</f>
        <v>Veg</v>
      </c>
      <c r="E522" s="6" t="str">
        <f aca="false">'Dish Database'!E174</f>
        <v>South</v>
      </c>
      <c r="F522" s="6" t="s">
        <v>2243</v>
      </c>
      <c r="G522" s="6" t="s">
        <v>2439</v>
      </c>
      <c r="H522" s="16" t="n">
        <v>20</v>
      </c>
      <c r="I522" s="6" t="str">
        <f aca="false">'Dish Database'!I174</f>
        <v>g</v>
      </c>
      <c r="J522" s="13" t="n">
        <f aca="false">'Dish Database'!J174*H522/100</f>
        <v>63.2</v>
      </c>
      <c r="K522" s="17" t="n">
        <f aca="false">'Dish Database'!K174*H522/100</f>
        <v>0.6</v>
      </c>
      <c r="L522" s="17" t="n">
        <f aca="false">'Dish Database'!L174*H522/100</f>
        <v>10</v>
      </c>
      <c r="M522" s="17" t="n">
        <f aca="false">'Dish Database'!M174*H522/100</f>
        <v>2.4</v>
      </c>
      <c r="N522" s="17" t="n">
        <f aca="false">'Dish Database'!N174*H522/100</f>
        <v>0.4</v>
      </c>
      <c r="O522" s="17" t="n">
        <f aca="false">'Dish Database'!O174*H522/100</f>
        <v>5</v>
      </c>
      <c r="P522" s="13" t="n">
        <f aca="false">'Dish Database'!P174*H522/100</f>
        <v>8</v>
      </c>
    </row>
    <row r="523" customFormat="false" ht="15" hidden="false" customHeight="false" outlineLevel="0" collapsed="false">
      <c r="A523" s="6" t="str">
        <f aca="false">'Dish Database'!A174</f>
        <v>D173</v>
      </c>
      <c r="B523" s="6" t="str">
        <f aca="false">'Dish Database'!B174</f>
        <v>Unniyappam</v>
      </c>
      <c r="C523" s="6" t="str">
        <f aca="false">'Dish Database'!D174</f>
        <v>Breakfast - South</v>
      </c>
      <c r="D523" s="6" t="str">
        <f aca="false">'Dish Database'!F174</f>
        <v>Veg</v>
      </c>
      <c r="E523" s="6" t="str">
        <f aca="false">'Dish Database'!E174</f>
        <v>South</v>
      </c>
      <c r="F523" s="6" t="s">
        <v>103</v>
      </c>
      <c r="G523" s="6" t="s">
        <v>2440</v>
      </c>
      <c r="H523" s="16" t="n">
        <v>30</v>
      </c>
      <c r="I523" s="6" t="str">
        <f aca="false">'Dish Database'!I174</f>
        <v>g</v>
      </c>
      <c r="J523" s="13" t="n">
        <f aca="false">'Dish Database'!J174*H523/100</f>
        <v>94.8</v>
      </c>
      <c r="K523" s="17" t="n">
        <f aca="false">'Dish Database'!K174*H523/100</f>
        <v>0.9</v>
      </c>
      <c r="L523" s="17" t="n">
        <f aca="false">'Dish Database'!L174*H523/100</f>
        <v>15</v>
      </c>
      <c r="M523" s="17" t="n">
        <f aca="false">'Dish Database'!M174*H523/100</f>
        <v>3.6</v>
      </c>
      <c r="N523" s="17" t="n">
        <f aca="false">'Dish Database'!N174*H523/100</f>
        <v>0.6</v>
      </c>
      <c r="O523" s="17" t="n">
        <f aca="false">'Dish Database'!O174*H523/100</f>
        <v>7.5</v>
      </c>
      <c r="P523" s="13" t="n">
        <f aca="false">'Dish Database'!P174*H523/100</f>
        <v>12</v>
      </c>
    </row>
    <row r="524" customFormat="false" ht="15" hidden="false" customHeight="false" outlineLevel="0" collapsed="false">
      <c r="A524" s="6" t="str">
        <f aca="false">'Dish Database'!A174</f>
        <v>D173</v>
      </c>
      <c r="B524" s="6" t="str">
        <f aca="false">'Dish Database'!B174</f>
        <v>Unniyappam</v>
      </c>
      <c r="C524" s="6" t="str">
        <f aca="false">'Dish Database'!D174</f>
        <v>Breakfast - South</v>
      </c>
      <c r="D524" s="6" t="str">
        <f aca="false">'Dish Database'!F174</f>
        <v>Veg</v>
      </c>
      <c r="E524" s="6" t="str">
        <f aca="false">'Dish Database'!E174</f>
        <v>South</v>
      </c>
      <c r="F524" s="6" t="s">
        <v>2246</v>
      </c>
      <c r="G524" s="6" t="s">
        <v>2441</v>
      </c>
      <c r="H524" s="16" t="n">
        <v>40</v>
      </c>
      <c r="I524" s="6" t="str">
        <f aca="false">'Dish Database'!I174</f>
        <v>g</v>
      </c>
      <c r="J524" s="13" t="n">
        <f aca="false">'Dish Database'!J174*H524/100</f>
        <v>126.4</v>
      </c>
      <c r="K524" s="17" t="n">
        <f aca="false">'Dish Database'!K174*H524/100</f>
        <v>1.2</v>
      </c>
      <c r="L524" s="17" t="n">
        <f aca="false">'Dish Database'!L174*H524/100</f>
        <v>20</v>
      </c>
      <c r="M524" s="17" t="n">
        <f aca="false">'Dish Database'!M174*H524/100</f>
        <v>4.8</v>
      </c>
      <c r="N524" s="17" t="n">
        <f aca="false">'Dish Database'!N174*H524/100</f>
        <v>0.8</v>
      </c>
      <c r="O524" s="17" t="n">
        <f aca="false">'Dish Database'!O174*H524/100</f>
        <v>10</v>
      </c>
      <c r="P524" s="13" t="n">
        <f aca="false">'Dish Database'!P174*H524/100</f>
        <v>16</v>
      </c>
    </row>
    <row r="525" customFormat="false" ht="15" hidden="false" customHeight="false" outlineLevel="0" collapsed="false">
      <c r="A525" s="6" t="str">
        <f aca="false">'Dish Database'!A175</f>
        <v>D174</v>
      </c>
      <c r="B525" s="6" t="str">
        <f aca="false">'Dish Database'!B175</f>
        <v>Chapati / phulka (no ghee)</v>
      </c>
      <c r="C525" s="6" t="str">
        <f aca="false">'Dish Database'!D175</f>
        <v>Breads</v>
      </c>
      <c r="D525" s="6" t="str">
        <f aca="false">'Dish Database'!F175</f>
        <v>Veg</v>
      </c>
      <c r="E525" s="6" t="str">
        <f aca="false">'Dish Database'!E175</f>
        <v>North</v>
      </c>
      <c r="F525" s="6" t="s">
        <v>2243</v>
      </c>
      <c r="G525" s="6" t="s">
        <v>2442</v>
      </c>
      <c r="H525" s="16" t="n">
        <v>25</v>
      </c>
      <c r="I525" s="6" t="str">
        <f aca="false">'Dish Database'!I175</f>
        <v>g</v>
      </c>
      <c r="J525" s="13" t="n">
        <f aca="false">'Dish Database'!J175*H525/100</f>
        <v>61.05</v>
      </c>
      <c r="K525" s="17" t="n">
        <f aca="false">'Dish Database'!K175*H525/100</f>
        <v>2.125</v>
      </c>
      <c r="L525" s="17" t="n">
        <f aca="false">'Dish Database'!L175*H525/100</f>
        <v>13</v>
      </c>
      <c r="M525" s="17" t="n">
        <f aca="false">'Dish Database'!M175*H525/100</f>
        <v>0.45</v>
      </c>
      <c r="N525" s="17" t="n">
        <f aca="false">'Dish Database'!N175*H525/100</f>
        <v>1.75</v>
      </c>
      <c r="O525" s="17" t="n">
        <f aca="false">'Dish Database'!O175*H525/100</f>
        <v>0.375</v>
      </c>
      <c r="P525" s="13" t="n">
        <f aca="false">'Dish Database'!P175*H525/100</f>
        <v>1.25</v>
      </c>
    </row>
    <row r="526" customFormat="false" ht="15" hidden="false" customHeight="false" outlineLevel="0" collapsed="false">
      <c r="A526" s="6" t="str">
        <f aca="false">'Dish Database'!A175</f>
        <v>D174</v>
      </c>
      <c r="B526" s="6" t="str">
        <f aca="false">'Dish Database'!B175</f>
        <v>Chapati / phulka (no ghee)</v>
      </c>
      <c r="C526" s="6" t="str">
        <f aca="false">'Dish Database'!D175</f>
        <v>Breads</v>
      </c>
      <c r="D526" s="6" t="str">
        <f aca="false">'Dish Database'!F175</f>
        <v>Veg</v>
      </c>
      <c r="E526" s="6" t="str">
        <f aca="false">'Dish Database'!E175</f>
        <v>North</v>
      </c>
      <c r="F526" s="6" t="s">
        <v>103</v>
      </c>
      <c r="G526" s="6" t="s">
        <v>2443</v>
      </c>
      <c r="H526" s="16" t="n">
        <v>35</v>
      </c>
      <c r="I526" s="6" t="str">
        <f aca="false">'Dish Database'!I175</f>
        <v>g</v>
      </c>
      <c r="J526" s="13" t="n">
        <f aca="false">'Dish Database'!J175*H526/100</f>
        <v>85.47</v>
      </c>
      <c r="K526" s="17" t="n">
        <f aca="false">'Dish Database'!K175*H526/100</f>
        <v>2.975</v>
      </c>
      <c r="L526" s="17" t="n">
        <f aca="false">'Dish Database'!L175*H526/100</f>
        <v>18.2</v>
      </c>
      <c r="M526" s="17" t="n">
        <f aca="false">'Dish Database'!M175*H526/100</f>
        <v>0.63</v>
      </c>
      <c r="N526" s="17" t="n">
        <f aca="false">'Dish Database'!N175*H526/100</f>
        <v>2.45</v>
      </c>
      <c r="O526" s="17" t="n">
        <f aca="false">'Dish Database'!O175*H526/100</f>
        <v>0.525</v>
      </c>
      <c r="P526" s="13" t="n">
        <f aca="false">'Dish Database'!P175*H526/100</f>
        <v>1.75</v>
      </c>
    </row>
    <row r="527" customFormat="false" ht="15" hidden="false" customHeight="false" outlineLevel="0" collapsed="false">
      <c r="A527" s="6" t="str">
        <f aca="false">'Dish Database'!A175</f>
        <v>D174</v>
      </c>
      <c r="B527" s="6" t="str">
        <f aca="false">'Dish Database'!B175</f>
        <v>Chapati / phulka (no ghee)</v>
      </c>
      <c r="C527" s="6" t="str">
        <f aca="false">'Dish Database'!D175</f>
        <v>Breads</v>
      </c>
      <c r="D527" s="6" t="str">
        <f aca="false">'Dish Database'!F175</f>
        <v>Veg</v>
      </c>
      <c r="E527" s="6" t="str">
        <f aca="false">'Dish Database'!E175</f>
        <v>North</v>
      </c>
      <c r="F527" s="6" t="s">
        <v>2246</v>
      </c>
      <c r="G527" s="6" t="s">
        <v>2444</v>
      </c>
      <c r="H527" s="16" t="n">
        <v>45</v>
      </c>
      <c r="I527" s="6" t="str">
        <f aca="false">'Dish Database'!I175</f>
        <v>g</v>
      </c>
      <c r="J527" s="13" t="n">
        <f aca="false">'Dish Database'!J175*H527/100</f>
        <v>109.89</v>
      </c>
      <c r="K527" s="17" t="n">
        <f aca="false">'Dish Database'!K175*H527/100</f>
        <v>3.825</v>
      </c>
      <c r="L527" s="17" t="n">
        <f aca="false">'Dish Database'!L175*H527/100</f>
        <v>23.4</v>
      </c>
      <c r="M527" s="17" t="n">
        <f aca="false">'Dish Database'!M175*H527/100</f>
        <v>0.81</v>
      </c>
      <c r="N527" s="17" t="n">
        <f aca="false">'Dish Database'!N175*H527/100</f>
        <v>3.15</v>
      </c>
      <c r="O527" s="17" t="n">
        <f aca="false">'Dish Database'!O175*H527/100</f>
        <v>0.675</v>
      </c>
      <c r="P527" s="13" t="n">
        <f aca="false">'Dish Database'!P175*H527/100</f>
        <v>2.25</v>
      </c>
    </row>
    <row r="528" customFormat="false" ht="15" hidden="false" customHeight="false" outlineLevel="0" collapsed="false">
      <c r="A528" s="6" t="str">
        <f aca="false">'Dish Database'!A176</f>
        <v>D175</v>
      </c>
      <c r="B528" s="6" t="str">
        <f aca="false">'Dish Database'!B176</f>
        <v>Chapati with ghee</v>
      </c>
      <c r="C528" s="6" t="str">
        <f aca="false">'Dish Database'!D176</f>
        <v>Breads</v>
      </c>
      <c r="D528" s="6" t="str">
        <f aca="false">'Dish Database'!F176</f>
        <v>Veg</v>
      </c>
      <c r="E528" s="6" t="str">
        <f aca="false">'Dish Database'!E176</f>
        <v>North</v>
      </c>
      <c r="F528" s="6" t="s">
        <v>2243</v>
      </c>
      <c r="G528" s="6" t="s">
        <v>2445</v>
      </c>
      <c r="H528" s="16" t="n">
        <v>30</v>
      </c>
      <c r="I528" s="6" t="str">
        <f aca="false">'Dish Database'!I176</f>
        <v>g</v>
      </c>
      <c r="J528" s="13" t="n">
        <f aca="false">'Dish Database'!J176*H528/100</f>
        <v>86.04</v>
      </c>
      <c r="K528" s="17" t="n">
        <f aca="false">'Dish Database'!K176*H528/100</f>
        <v>2.4</v>
      </c>
      <c r="L528" s="17" t="n">
        <f aca="false">'Dish Database'!L176*H528/100</f>
        <v>14.7</v>
      </c>
      <c r="M528" s="17" t="n">
        <f aca="false">'Dish Database'!M176*H528/100</f>
        <v>2.4</v>
      </c>
      <c r="N528" s="17" t="n">
        <f aca="false">'Dish Database'!N176*H528/100</f>
        <v>1.98</v>
      </c>
      <c r="O528" s="17" t="n">
        <f aca="false">'Dish Database'!O176*H528/100</f>
        <v>0.42</v>
      </c>
      <c r="P528" s="13" t="n">
        <f aca="false">'Dish Database'!P176*H528/100</f>
        <v>1.5</v>
      </c>
    </row>
    <row r="529" customFormat="false" ht="15" hidden="false" customHeight="false" outlineLevel="0" collapsed="false">
      <c r="A529" s="6" t="str">
        <f aca="false">'Dish Database'!A176</f>
        <v>D175</v>
      </c>
      <c r="B529" s="6" t="str">
        <f aca="false">'Dish Database'!B176</f>
        <v>Chapati with ghee</v>
      </c>
      <c r="C529" s="6" t="str">
        <f aca="false">'Dish Database'!D176</f>
        <v>Breads</v>
      </c>
      <c r="D529" s="6" t="str">
        <f aca="false">'Dish Database'!F176</f>
        <v>Veg</v>
      </c>
      <c r="E529" s="6" t="str">
        <f aca="false">'Dish Database'!E176</f>
        <v>North</v>
      </c>
      <c r="F529" s="6" t="s">
        <v>103</v>
      </c>
      <c r="G529" s="6" t="s">
        <v>2446</v>
      </c>
      <c r="H529" s="16" t="n">
        <v>40</v>
      </c>
      <c r="I529" s="6" t="str">
        <f aca="false">'Dish Database'!I176</f>
        <v>g</v>
      </c>
      <c r="J529" s="13" t="n">
        <f aca="false">'Dish Database'!J176*H529/100</f>
        <v>114.72</v>
      </c>
      <c r="K529" s="17" t="n">
        <f aca="false">'Dish Database'!K176*H529/100</f>
        <v>3.2</v>
      </c>
      <c r="L529" s="17" t="n">
        <f aca="false">'Dish Database'!L176*H529/100</f>
        <v>19.6</v>
      </c>
      <c r="M529" s="17" t="n">
        <f aca="false">'Dish Database'!M176*H529/100</f>
        <v>3.2</v>
      </c>
      <c r="N529" s="17" t="n">
        <f aca="false">'Dish Database'!N176*H529/100</f>
        <v>2.64</v>
      </c>
      <c r="O529" s="17" t="n">
        <f aca="false">'Dish Database'!O176*H529/100</f>
        <v>0.56</v>
      </c>
      <c r="P529" s="13" t="n">
        <f aca="false">'Dish Database'!P176*H529/100</f>
        <v>2</v>
      </c>
    </row>
    <row r="530" customFormat="false" ht="15" hidden="false" customHeight="false" outlineLevel="0" collapsed="false">
      <c r="A530" s="6" t="str">
        <f aca="false">'Dish Database'!A176</f>
        <v>D175</v>
      </c>
      <c r="B530" s="6" t="str">
        <f aca="false">'Dish Database'!B176</f>
        <v>Chapati with ghee</v>
      </c>
      <c r="C530" s="6" t="str">
        <f aca="false">'Dish Database'!D176</f>
        <v>Breads</v>
      </c>
      <c r="D530" s="6" t="str">
        <f aca="false">'Dish Database'!F176</f>
        <v>Veg</v>
      </c>
      <c r="E530" s="6" t="str">
        <f aca="false">'Dish Database'!E176</f>
        <v>North</v>
      </c>
      <c r="F530" s="6" t="s">
        <v>2246</v>
      </c>
      <c r="G530" s="6" t="s">
        <v>2447</v>
      </c>
      <c r="H530" s="16" t="n">
        <v>50</v>
      </c>
      <c r="I530" s="6" t="str">
        <f aca="false">'Dish Database'!I176</f>
        <v>g</v>
      </c>
      <c r="J530" s="13" t="n">
        <f aca="false">'Dish Database'!J176*H530/100</f>
        <v>143.4</v>
      </c>
      <c r="K530" s="17" t="n">
        <f aca="false">'Dish Database'!K176*H530/100</f>
        <v>4</v>
      </c>
      <c r="L530" s="17" t="n">
        <f aca="false">'Dish Database'!L176*H530/100</f>
        <v>24.5</v>
      </c>
      <c r="M530" s="17" t="n">
        <f aca="false">'Dish Database'!M176*H530/100</f>
        <v>4</v>
      </c>
      <c r="N530" s="17" t="n">
        <f aca="false">'Dish Database'!N176*H530/100</f>
        <v>3.3</v>
      </c>
      <c r="O530" s="17" t="n">
        <f aca="false">'Dish Database'!O176*H530/100</f>
        <v>0.7</v>
      </c>
      <c r="P530" s="13" t="n">
        <f aca="false">'Dish Database'!P176*H530/100</f>
        <v>2.5</v>
      </c>
    </row>
    <row r="531" customFormat="false" ht="15" hidden="false" customHeight="false" outlineLevel="0" collapsed="false">
      <c r="A531" s="6" t="str">
        <f aca="false">'Dish Database'!A177</f>
        <v>D176</v>
      </c>
      <c r="B531" s="6" t="str">
        <f aca="false">'Dish Database'!B177</f>
        <v>Tandoori roti (plain)</v>
      </c>
      <c r="C531" s="6" t="str">
        <f aca="false">'Dish Database'!D177</f>
        <v>Breads</v>
      </c>
      <c r="D531" s="6" t="str">
        <f aca="false">'Dish Database'!F177</f>
        <v>Veg</v>
      </c>
      <c r="E531" s="6" t="str">
        <f aca="false">'Dish Database'!E177</f>
        <v>North</v>
      </c>
      <c r="F531" s="6" t="s">
        <v>2243</v>
      </c>
      <c r="G531" s="6" t="s">
        <v>2448</v>
      </c>
      <c r="H531" s="16" t="n">
        <v>40</v>
      </c>
      <c r="I531" s="6" t="str">
        <f aca="false">'Dish Database'!I177</f>
        <v>g</v>
      </c>
      <c r="J531" s="13" t="n">
        <f aca="false">'Dish Database'!J177*H531/100</f>
        <v>101.8</v>
      </c>
      <c r="K531" s="17" t="n">
        <f aca="false">'Dish Database'!K177*H531/100</f>
        <v>3.6</v>
      </c>
      <c r="L531" s="17" t="n">
        <f aca="false">'Dish Database'!L177*H531/100</f>
        <v>20.8</v>
      </c>
      <c r="M531" s="17" t="n">
        <f aca="false">'Dish Database'!M177*H531/100</f>
        <v>1</v>
      </c>
      <c r="N531" s="17" t="n">
        <f aca="false">'Dish Database'!N177*H531/100</f>
        <v>2.4</v>
      </c>
      <c r="O531" s="17" t="n">
        <f aca="false">'Dish Database'!O177*H531/100</f>
        <v>0.6</v>
      </c>
      <c r="P531" s="13" t="n">
        <f aca="false">'Dish Database'!P177*H531/100</f>
        <v>140</v>
      </c>
    </row>
    <row r="532" customFormat="false" ht="15" hidden="false" customHeight="false" outlineLevel="0" collapsed="false">
      <c r="A532" s="6" t="str">
        <f aca="false">'Dish Database'!A177</f>
        <v>D176</v>
      </c>
      <c r="B532" s="6" t="str">
        <f aca="false">'Dish Database'!B177</f>
        <v>Tandoori roti (plain)</v>
      </c>
      <c r="C532" s="6" t="str">
        <f aca="false">'Dish Database'!D177</f>
        <v>Breads</v>
      </c>
      <c r="D532" s="6" t="str">
        <f aca="false">'Dish Database'!F177</f>
        <v>Veg</v>
      </c>
      <c r="E532" s="6" t="str">
        <f aca="false">'Dish Database'!E177</f>
        <v>North</v>
      </c>
      <c r="F532" s="6" t="s">
        <v>103</v>
      </c>
      <c r="G532" s="6" t="s">
        <v>2449</v>
      </c>
      <c r="H532" s="16" t="n">
        <v>55</v>
      </c>
      <c r="I532" s="6" t="str">
        <f aca="false">'Dish Database'!I177</f>
        <v>g</v>
      </c>
      <c r="J532" s="13" t="n">
        <f aca="false">'Dish Database'!J177*H532/100</f>
        <v>139.975</v>
      </c>
      <c r="K532" s="17" t="n">
        <f aca="false">'Dish Database'!K177*H532/100</f>
        <v>4.95</v>
      </c>
      <c r="L532" s="17" t="n">
        <f aca="false">'Dish Database'!L177*H532/100</f>
        <v>28.6</v>
      </c>
      <c r="M532" s="17" t="n">
        <f aca="false">'Dish Database'!M177*H532/100</f>
        <v>1.375</v>
      </c>
      <c r="N532" s="17" t="n">
        <f aca="false">'Dish Database'!N177*H532/100</f>
        <v>3.3</v>
      </c>
      <c r="O532" s="17" t="n">
        <f aca="false">'Dish Database'!O177*H532/100</f>
        <v>0.825</v>
      </c>
      <c r="P532" s="13" t="n">
        <f aca="false">'Dish Database'!P177*H532/100</f>
        <v>192.5</v>
      </c>
    </row>
    <row r="533" customFormat="false" ht="15" hidden="false" customHeight="false" outlineLevel="0" collapsed="false">
      <c r="A533" s="6" t="str">
        <f aca="false">'Dish Database'!A177</f>
        <v>D176</v>
      </c>
      <c r="B533" s="6" t="str">
        <f aca="false">'Dish Database'!B177</f>
        <v>Tandoori roti (plain)</v>
      </c>
      <c r="C533" s="6" t="str">
        <f aca="false">'Dish Database'!D177</f>
        <v>Breads</v>
      </c>
      <c r="D533" s="6" t="str">
        <f aca="false">'Dish Database'!F177</f>
        <v>Veg</v>
      </c>
      <c r="E533" s="6" t="str">
        <f aca="false">'Dish Database'!E177</f>
        <v>North</v>
      </c>
      <c r="F533" s="6" t="s">
        <v>2246</v>
      </c>
      <c r="G533" s="6" t="s">
        <v>2450</v>
      </c>
      <c r="H533" s="16" t="n">
        <v>70</v>
      </c>
      <c r="I533" s="6" t="str">
        <f aca="false">'Dish Database'!I177</f>
        <v>g</v>
      </c>
      <c r="J533" s="13" t="n">
        <f aca="false">'Dish Database'!J177*H533/100</f>
        <v>178.15</v>
      </c>
      <c r="K533" s="17" t="n">
        <f aca="false">'Dish Database'!K177*H533/100</f>
        <v>6.3</v>
      </c>
      <c r="L533" s="17" t="n">
        <f aca="false">'Dish Database'!L177*H533/100</f>
        <v>36.4</v>
      </c>
      <c r="M533" s="17" t="n">
        <f aca="false">'Dish Database'!M177*H533/100</f>
        <v>1.75</v>
      </c>
      <c r="N533" s="17" t="n">
        <f aca="false">'Dish Database'!N177*H533/100</f>
        <v>4.2</v>
      </c>
      <c r="O533" s="17" t="n">
        <f aca="false">'Dish Database'!O177*H533/100</f>
        <v>1.05</v>
      </c>
      <c r="P533" s="13" t="n">
        <f aca="false">'Dish Database'!P177*H533/100</f>
        <v>245</v>
      </c>
    </row>
    <row r="534" customFormat="false" ht="15" hidden="false" customHeight="false" outlineLevel="0" collapsed="false">
      <c r="A534" s="6" t="str">
        <f aca="false">'Dish Database'!A178</f>
        <v>D177</v>
      </c>
      <c r="B534" s="6" t="str">
        <f aca="false">'Dish Database'!B178</f>
        <v>Butter tandoori roti</v>
      </c>
      <c r="C534" s="6" t="str">
        <f aca="false">'Dish Database'!D178</f>
        <v>Breads</v>
      </c>
      <c r="D534" s="6" t="str">
        <f aca="false">'Dish Database'!F178</f>
        <v>Veg</v>
      </c>
      <c r="E534" s="6" t="str">
        <f aca="false">'Dish Database'!E178</f>
        <v>North</v>
      </c>
      <c r="F534" s="6" t="s">
        <v>2243</v>
      </c>
      <c r="G534" s="6" t="s">
        <v>2451</v>
      </c>
      <c r="H534" s="16" t="n">
        <v>45</v>
      </c>
      <c r="I534" s="6" t="str">
        <f aca="false">'Dish Database'!I178</f>
        <v>g</v>
      </c>
      <c r="J534" s="13" t="n">
        <f aca="false">'Dish Database'!J178*H534/100</f>
        <v>132.975</v>
      </c>
      <c r="K534" s="17" t="n">
        <f aca="false">'Dish Database'!K178*H534/100</f>
        <v>3.825</v>
      </c>
      <c r="L534" s="17" t="n">
        <f aca="false">'Dish Database'!L178*H534/100</f>
        <v>22.05</v>
      </c>
      <c r="M534" s="17" t="n">
        <f aca="false">'Dish Database'!M178*H534/100</f>
        <v>3.825</v>
      </c>
      <c r="N534" s="17" t="n">
        <f aca="false">'Dish Database'!N178*H534/100</f>
        <v>2.475</v>
      </c>
      <c r="O534" s="17" t="n">
        <f aca="false">'Dish Database'!O178*H534/100</f>
        <v>0.675</v>
      </c>
      <c r="P534" s="13" t="n">
        <f aca="false">'Dish Database'!P178*H534/100</f>
        <v>171</v>
      </c>
    </row>
    <row r="535" customFormat="false" ht="15" hidden="false" customHeight="false" outlineLevel="0" collapsed="false">
      <c r="A535" s="6" t="str">
        <f aca="false">'Dish Database'!A178</f>
        <v>D177</v>
      </c>
      <c r="B535" s="6" t="str">
        <f aca="false">'Dish Database'!B178</f>
        <v>Butter tandoori roti</v>
      </c>
      <c r="C535" s="6" t="str">
        <f aca="false">'Dish Database'!D178</f>
        <v>Breads</v>
      </c>
      <c r="D535" s="6" t="str">
        <f aca="false">'Dish Database'!F178</f>
        <v>Veg</v>
      </c>
      <c r="E535" s="6" t="str">
        <f aca="false">'Dish Database'!E178</f>
        <v>North</v>
      </c>
      <c r="F535" s="6" t="s">
        <v>103</v>
      </c>
      <c r="G535" s="6" t="s">
        <v>2452</v>
      </c>
      <c r="H535" s="16" t="n">
        <v>60</v>
      </c>
      <c r="I535" s="6" t="str">
        <f aca="false">'Dish Database'!I178</f>
        <v>g</v>
      </c>
      <c r="J535" s="13" t="n">
        <f aca="false">'Dish Database'!J178*H535/100</f>
        <v>177.3</v>
      </c>
      <c r="K535" s="17" t="n">
        <f aca="false">'Dish Database'!K178*H535/100</f>
        <v>5.1</v>
      </c>
      <c r="L535" s="17" t="n">
        <f aca="false">'Dish Database'!L178*H535/100</f>
        <v>29.4</v>
      </c>
      <c r="M535" s="17" t="n">
        <f aca="false">'Dish Database'!M178*H535/100</f>
        <v>5.1</v>
      </c>
      <c r="N535" s="17" t="n">
        <f aca="false">'Dish Database'!N178*H535/100</f>
        <v>3.3</v>
      </c>
      <c r="O535" s="17" t="n">
        <f aca="false">'Dish Database'!O178*H535/100</f>
        <v>0.9</v>
      </c>
      <c r="P535" s="13" t="n">
        <f aca="false">'Dish Database'!P178*H535/100</f>
        <v>228</v>
      </c>
    </row>
    <row r="536" customFormat="false" ht="15" hidden="false" customHeight="false" outlineLevel="0" collapsed="false">
      <c r="A536" s="6" t="str">
        <f aca="false">'Dish Database'!A178</f>
        <v>D177</v>
      </c>
      <c r="B536" s="6" t="str">
        <f aca="false">'Dish Database'!B178</f>
        <v>Butter tandoori roti</v>
      </c>
      <c r="C536" s="6" t="str">
        <f aca="false">'Dish Database'!D178</f>
        <v>Breads</v>
      </c>
      <c r="D536" s="6" t="str">
        <f aca="false">'Dish Database'!F178</f>
        <v>Veg</v>
      </c>
      <c r="E536" s="6" t="str">
        <f aca="false">'Dish Database'!E178</f>
        <v>North</v>
      </c>
      <c r="F536" s="6" t="s">
        <v>2246</v>
      </c>
      <c r="G536" s="6" t="s">
        <v>2453</v>
      </c>
      <c r="H536" s="16" t="n">
        <v>75</v>
      </c>
      <c r="I536" s="6" t="str">
        <f aca="false">'Dish Database'!I178</f>
        <v>g</v>
      </c>
      <c r="J536" s="13" t="n">
        <f aca="false">'Dish Database'!J178*H536/100</f>
        <v>221.625</v>
      </c>
      <c r="K536" s="17" t="n">
        <f aca="false">'Dish Database'!K178*H536/100</f>
        <v>6.375</v>
      </c>
      <c r="L536" s="17" t="n">
        <f aca="false">'Dish Database'!L178*H536/100</f>
        <v>36.75</v>
      </c>
      <c r="M536" s="17" t="n">
        <f aca="false">'Dish Database'!M178*H536/100</f>
        <v>6.375</v>
      </c>
      <c r="N536" s="17" t="n">
        <f aca="false">'Dish Database'!N178*H536/100</f>
        <v>4.125</v>
      </c>
      <c r="O536" s="17" t="n">
        <f aca="false">'Dish Database'!O178*H536/100</f>
        <v>1.125</v>
      </c>
      <c r="P536" s="13" t="n">
        <f aca="false">'Dish Database'!P178*H536/100</f>
        <v>285</v>
      </c>
    </row>
    <row r="537" customFormat="false" ht="15" hidden="false" customHeight="false" outlineLevel="0" collapsed="false">
      <c r="A537" s="6" t="str">
        <f aca="false">'Dish Database'!A179</f>
        <v>D178</v>
      </c>
      <c r="B537" s="6" t="str">
        <f aca="false">'Dish Database'!B179</f>
        <v>Plain naan</v>
      </c>
      <c r="C537" s="6" t="str">
        <f aca="false">'Dish Database'!D179</f>
        <v>Breads</v>
      </c>
      <c r="D537" s="6" t="str">
        <f aca="false">'Dish Database'!F179</f>
        <v>Veg</v>
      </c>
      <c r="E537" s="6" t="str">
        <f aca="false">'Dish Database'!E179</f>
        <v>North</v>
      </c>
      <c r="F537" s="6" t="s">
        <v>2243</v>
      </c>
      <c r="G537" s="6" t="s">
        <v>2454</v>
      </c>
      <c r="H537" s="16" t="n">
        <v>60</v>
      </c>
      <c r="I537" s="6" t="str">
        <f aca="false">'Dish Database'!I179</f>
        <v>g</v>
      </c>
      <c r="J537" s="13" t="n">
        <f aca="false">'Dish Database'!J179*H537/100</f>
        <v>167.94</v>
      </c>
      <c r="K537" s="17" t="n">
        <f aca="false">'Dish Database'!K179*H537/100</f>
        <v>5.22</v>
      </c>
      <c r="L537" s="17" t="n">
        <f aca="false">'Dish Database'!L179*H537/100</f>
        <v>30</v>
      </c>
      <c r="M537" s="17" t="n">
        <f aca="false">'Dish Database'!M179*H537/100</f>
        <v>3.3</v>
      </c>
      <c r="N537" s="17" t="n">
        <f aca="false">'Dish Database'!N179*H537/100</f>
        <v>1.32</v>
      </c>
      <c r="O537" s="17" t="n">
        <f aca="false">'Dish Database'!O179*H537/100</f>
        <v>2.1</v>
      </c>
      <c r="P537" s="13" t="n">
        <f aca="false">'Dish Database'!P179*H537/100</f>
        <v>270</v>
      </c>
    </row>
    <row r="538" customFormat="false" ht="15" hidden="false" customHeight="false" outlineLevel="0" collapsed="false">
      <c r="A538" s="6" t="str">
        <f aca="false">'Dish Database'!A179</f>
        <v>D178</v>
      </c>
      <c r="B538" s="6" t="str">
        <f aca="false">'Dish Database'!B179</f>
        <v>Plain naan</v>
      </c>
      <c r="C538" s="6" t="str">
        <f aca="false">'Dish Database'!D179</f>
        <v>Breads</v>
      </c>
      <c r="D538" s="6" t="str">
        <f aca="false">'Dish Database'!F179</f>
        <v>Veg</v>
      </c>
      <c r="E538" s="6" t="str">
        <f aca="false">'Dish Database'!E179</f>
        <v>North</v>
      </c>
      <c r="F538" s="6" t="s">
        <v>103</v>
      </c>
      <c r="G538" s="6" t="s">
        <v>2455</v>
      </c>
      <c r="H538" s="16" t="n">
        <v>90</v>
      </c>
      <c r="I538" s="6" t="str">
        <f aca="false">'Dish Database'!I179</f>
        <v>g</v>
      </c>
      <c r="J538" s="13" t="n">
        <f aca="false">'Dish Database'!J179*H538/100</f>
        <v>251.91</v>
      </c>
      <c r="K538" s="17" t="n">
        <f aca="false">'Dish Database'!K179*H538/100</f>
        <v>7.83</v>
      </c>
      <c r="L538" s="17" t="n">
        <f aca="false">'Dish Database'!L179*H538/100</f>
        <v>45</v>
      </c>
      <c r="M538" s="17" t="n">
        <f aca="false">'Dish Database'!M179*H538/100</f>
        <v>4.95</v>
      </c>
      <c r="N538" s="17" t="n">
        <f aca="false">'Dish Database'!N179*H538/100</f>
        <v>1.98</v>
      </c>
      <c r="O538" s="17" t="n">
        <f aca="false">'Dish Database'!O179*H538/100</f>
        <v>3.15</v>
      </c>
      <c r="P538" s="13" t="n">
        <f aca="false">'Dish Database'!P179*H538/100</f>
        <v>405</v>
      </c>
    </row>
    <row r="539" customFormat="false" ht="15" hidden="false" customHeight="false" outlineLevel="0" collapsed="false">
      <c r="A539" s="6" t="str">
        <f aca="false">'Dish Database'!A179</f>
        <v>D178</v>
      </c>
      <c r="B539" s="6" t="str">
        <f aca="false">'Dish Database'!B179</f>
        <v>Plain naan</v>
      </c>
      <c r="C539" s="6" t="str">
        <f aca="false">'Dish Database'!D179</f>
        <v>Breads</v>
      </c>
      <c r="D539" s="6" t="str">
        <f aca="false">'Dish Database'!F179</f>
        <v>Veg</v>
      </c>
      <c r="E539" s="6" t="str">
        <f aca="false">'Dish Database'!E179</f>
        <v>North</v>
      </c>
      <c r="F539" s="6" t="s">
        <v>2246</v>
      </c>
      <c r="G539" s="6" t="s">
        <v>2456</v>
      </c>
      <c r="H539" s="16" t="n">
        <v>120</v>
      </c>
      <c r="I539" s="6" t="str">
        <f aca="false">'Dish Database'!I179</f>
        <v>g</v>
      </c>
      <c r="J539" s="13" t="n">
        <f aca="false">'Dish Database'!J179*H539/100</f>
        <v>335.88</v>
      </c>
      <c r="K539" s="17" t="n">
        <f aca="false">'Dish Database'!K179*H539/100</f>
        <v>10.44</v>
      </c>
      <c r="L539" s="17" t="n">
        <f aca="false">'Dish Database'!L179*H539/100</f>
        <v>60</v>
      </c>
      <c r="M539" s="17" t="n">
        <f aca="false">'Dish Database'!M179*H539/100</f>
        <v>6.6</v>
      </c>
      <c r="N539" s="17" t="n">
        <f aca="false">'Dish Database'!N179*H539/100</f>
        <v>2.64</v>
      </c>
      <c r="O539" s="17" t="n">
        <f aca="false">'Dish Database'!O179*H539/100</f>
        <v>4.2</v>
      </c>
      <c r="P539" s="13" t="n">
        <f aca="false">'Dish Database'!P179*H539/100</f>
        <v>540</v>
      </c>
    </row>
    <row r="540" customFormat="false" ht="15" hidden="false" customHeight="false" outlineLevel="0" collapsed="false">
      <c r="A540" s="6" t="str">
        <f aca="false">'Dish Database'!A180</f>
        <v>D179</v>
      </c>
      <c r="B540" s="6" t="str">
        <f aca="false">'Dish Database'!B180</f>
        <v>Butter naan</v>
      </c>
      <c r="C540" s="6" t="str">
        <f aca="false">'Dish Database'!D180</f>
        <v>Breads</v>
      </c>
      <c r="D540" s="6" t="str">
        <f aca="false">'Dish Database'!F180</f>
        <v>Veg</v>
      </c>
      <c r="E540" s="6" t="str">
        <f aca="false">'Dish Database'!E180</f>
        <v>North</v>
      </c>
      <c r="F540" s="6" t="s">
        <v>2243</v>
      </c>
      <c r="G540" s="6" t="s">
        <v>2457</v>
      </c>
      <c r="H540" s="16" t="n">
        <v>65</v>
      </c>
      <c r="I540" s="6" t="str">
        <f aca="false">'Dish Database'!I180</f>
        <v>g</v>
      </c>
      <c r="J540" s="13" t="n">
        <f aca="false">'Dish Database'!J180*H540/100</f>
        <v>202.475</v>
      </c>
      <c r="K540" s="17" t="n">
        <f aca="false">'Dish Database'!K180*H540/100</f>
        <v>5.395</v>
      </c>
      <c r="L540" s="17" t="n">
        <f aca="false">'Dish Database'!L180*H540/100</f>
        <v>30.55</v>
      </c>
      <c r="M540" s="17" t="n">
        <f aca="false">'Dish Database'!M180*H540/100</f>
        <v>6.825</v>
      </c>
      <c r="N540" s="17" t="n">
        <f aca="false">'Dish Database'!N180*H540/100</f>
        <v>1.365</v>
      </c>
      <c r="O540" s="17" t="n">
        <f aca="false">'Dish Database'!O180*H540/100</f>
        <v>2.145</v>
      </c>
      <c r="P540" s="13" t="n">
        <f aca="false">'Dish Database'!P180*H540/100</f>
        <v>312</v>
      </c>
    </row>
    <row r="541" customFormat="false" ht="15" hidden="false" customHeight="false" outlineLevel="0" collapsed="false">
      <c r="A541" s="6" t="str">
        <f aca="false">'Dish Database'!A180</f>
        <v>D179</v>
      </c>
      <c r="B541" s="6" t="str">
        <f aca="false">'Dish Database'!B180</f>
        <v>Butter naan</v>
      </c>
      <c r="C541" s="6" t="str">
        <f aca="false">'Dish Database'!D180</f>
        <v>Breads</v>
      </c>
      <c r="D541" s="6" t="str">
        <f aca="false">'Dish Database'!F180</f>
        <v>Veg</v>
      </c>
      <c r="E541" s="6" t="str">
        <f aca="false">'Dish Database'!E180</f>
        <v>North</v>
      </c>
      <c r="F541" s="6" t="s">
        <v>103</v>
      </c>
      <c r="G541" s="6" t="s">
        <v>2458</v>
      </c>
      <c r="H541" s="16" t="n">
        <v>95</v>
      </c>
      <c r="I541" s="6" t="str">
        <f aca="false">'Dish Database'!I180</f>
        <v>g</v>
      </c>
      <c r="J541" s="13" t="n">
        <f aca="false">'Dish Database'!J180*H541/100</f>
        <v>295.925</v>
      </c>
      <c r="K541" s="17" t="n">
        <f aca="false">'Dish Database'!K180*H541/100</f>
        <v>7.885</v>
      </c>
      <c r="L541" s="17" t="n">
        <f aca="false">'Dish Database'!L180*H541/100</f>
        <v>44.65</v>
      </c>
      <c r="M541" s="17" t="n">
        <f aca="false">'Dish Database'!M180*H541/100</f>
        <v>9.975</v>
      </c>
      <c r="N541" s="17" t="n">
        <f aca="false">'Dish Database'!N180*H541/100</f>
        <v>1.995</v>
      </c>
      <c r="O541" s="17" t="n">
        <f aca="false">'Dish Database'!O180*H541/100</f>
        <v>3.135</v>
      </c>
      <c r="P541" s="13" t="n">
        <f aca="false">'Dish Database'!P180*H541/100</f>
        <v>456</v>
      </c>
    </row>
    <row r="542" customFormat="false" ht="15" hidden="false" customHeight="false" outlineLevel="0" collapsed="false">
      <c r="A542" s="6" t="str">
        <f aca="false">'Dish Database'!A180</f>
        <v>D179</v>
      </c>
      <c r="B542" s="6" t="str">
        <f aca="false">'Dish Database'!B180</f>
        <v>Butter naan</v>
      </c>
      <c r="C542" s="6" t="str">
        <f aca="false">'Dish Database'!D180</f>
        <v>Breads</v>
      </c>
      <c r="D542" s="6" t="str">
        <f aca="false">'Dish Database'!F180</f>
        <v>Veg</v>
      </c>
      <c r="E542" s="6" t="str">
        <f aca="false">'Dish Database'!E180</f>
        <v>North</v>
      </c>
      <c r="F542" s="6" t="s">
        <v>2246</v>
      </c>
      <c r="G542" s="6" t="s">
        <v>2459</v>
      </c>
      <c r="H542" s="16" t="n">
        <v>125</v>
      </c>
      <c r="I542" s="6" t="str">
        <f aca="false">'Dish Database'!I180</f>
        <v>g</v>
      </c>
      <c r="J542" s="13" t="n">
        <f aca="false">'Dish Database'!J180*H542/100</f>
        <v>389.375</v>
      </c>
      <c r="K542" s="17" t="n">
        <f aca="false">'Dish Database'!K180*H542/100</f>
        <v>10.375</v>
      </c>
      <c r="L542" s="17" t="n">
        <f aca="false">'Dish Database'!L180*H542/100</f>
        <v>58.75</v>
      </c>
      <c r="M542" s="17" t="n">
        <f aca="false">'Dish Database'!M180*H542/100</f>
        <v>13.125</v>
      </c>
      <c r="N542" s="17" t="n">
        <f aca="false">'Dish Database'!N180*H542/100</f>
        <v>2.625</v>
      </c>
      <c r="O542" s="17" t="n">
        <f aca="false">'Dish Database'!O180*H542/100</f>
        <v>4.125</v>
      </c>
      <c r="P542" s="13" t="n">
        <f aca="false">'Dish Database'!P180*H542/100</f>
        <v>600</v>
      </c>
    </row>
    <row r="543" customFormat="false" ht="15" hidden="false" customHeight="false" outlineLevel="0" collapsed="false">
      <c r="A543" s="6" t="str">
        <f aca="false">'Dish Database'!A181</f>
        <v>D180</v>
      </c>
      <c r="B543" s="6" t="str">
        <f aca="false">'Dish Database'!B181</f>
        <v>Garlic naan</v>
      </c>
      <c r="C543" s="6" t="str">
        <f aca="false">'Dish Database'!D181</f>
        <v>Breads</v>
      </c>
      <c r="D543" s="6" t="str">
        <f aca="false">'Dish Database'!F181</f>
        <v>Veg</v>
      </c>
      <c r="E543" s="6" t="str">
        <f aca="false">'Dish Database'!E181</f>
        <v>North</v>
      </c>
      <c r="F543" s="6" t="s">
        <v>2243</v>
      </c>
      <c r="G543" s="6" t="s">
        <v>2457</v>
      </c>
      <c r="H543" s="16" t="n">
        <v>65</v>
      </c>
      <c r="I543" s="6" t="str">
        <f aca="false">'Dish Database'!I181</f>
        <v>g</v>
      </c>
      <c r="J543" s="13" t="n">
        <f aca="false">'Dish Database'!J181*H543/100</f>
        <v>202.735</v>
      </c>
      <c r="K543" s="17" t="n">
        <f aca="false">'Dish Database'!K181*H543/100</f>
        <v>5.525</v>
      </c>
      <c r="L543" s="17" t="n">
        <f aca="false">'Dish Database'!L181*H543/100</f>
        <v>30.55</v>
      </c>
      <c r="M543" s="17" t="n">
        <f aca="false">'Dish Database'!M181*H543/100</f>
        <v>6.825</v>
      </c>
      <c r="N543" s="17" t="n">
        <f aca="false">'Dish Database'!N181*H543/100</f>
        <v>1.495</v>
      </c>
      <c r="O543" s="17" t="n">
        <f aca="false">'Dish Database'!O181*H543/100</f>
        <v>2.08</v>
      </c>
      <c r="P543" s="13" t="n">
        <f aca="false">'Dish Database'!P181*H543/100</f>
        <v>325</v>
      </c>
    </row>
    <row r="544" customFormat="false" ht="15" hidden="false" customHeight="false" outlineLevel="0" collapsed="false">
      <c r="A544" s="6" t="str">
        <f aca="false">'Dish Database'!A181</f>
        <v>D180</v>
      </c>
      <c r="B544" s="6" t="str">
        <f aca="false">'Dish Database'!B181</f>
        <v>Garlic naan</v>
      </c>
      <c r="C544" s="6" t="str">
        <f aca="false">'Dish Database'!D181</f>
        <v>Breads</v>
      </c>
      <c r="D544" s="6" t="str">
        <f aca="false">'Dish Database'!F181</f>
        <v>Veg</v>
      </c>
      <c r="E544" s="6" t="str">
        <f aca="false">'Dish Database'!E181</f>
        <v>North</v>
      </c>
      <c r="F544" s="6" t="s">
        <v>103</v>
      </c>
      <c r="G544" s="6" t="s">
        <v>2458</v>
      </c>
      <c r="H544" s="16" t="n">
        <v>95</v>
      </c>
      <c r="I544" s="6" t="str">
        <f aca="false">'Dish Database'!I181</f>
        <v>g</v>
      </c>
      <c r="J544" s="13" t="n">
        <f aca="false">'Dish Database'!J181*H544/100</f>
        <v>296.305</v>
      </c>
      <c r="K544" s="17" t="n">
        <f aca="false">'Dish Database'!K181*H544/100</f>
        <v>8.075</v>
      </c>
      <c r="L544" s="17" t="n">
        <f aca="false">'Dish Database'!L181*H544/100</f>
        <v>44.65</v>
      </c>
      <c r="M544" s="17" t="n">
        <f aca="false">'Dish Database'!M181*H544/100</f>
        <v>9.975</v>
      </c>
      <c r="N544" s="17" t="n">
        <f aca="false">'Dish Database'!N181*H544/100</f>
        <v>2.185</v>
      </c>
      <c r="O544" s="17" t="n">
        <f aca="false">'Dish Database'!O181*H544/100</f>
        <v>3.04</v>
      </c>
      <c r="P544" s="13" t="n">
        <f aca="false">'Dish Database'!P181*H544/100</f>
        <v>475</v>
      </c>
    </row>
    <row r="545" customFormat="false" ht="15" hidden="false" customHeight="false" outlineLevel="0" collapsed="false">
      <c r="A545" s="6" t="str">
        <f aca="false">'Dish Database'!A181</f>
        <v>D180</v>
      </c>
      <c r="B545" s="6" t="str">
        <f aca="false">'Dish Database'!B181</f>
        <v>Garlic naan</v>
      </c>
      <c r="C545" s="6" t="str">
        <f aca="false">'Dish Database'!D181</f>
        <v>Breads</v>
      </c>
      <c r="D545" s="6" t="str">
        <f aca="false">'Dish Database'!F181</f>
        <v>Veg</v>
      </c>
      <c r="E545" s="6" t="str">
        <f aca="false">'Dish Database'!E181</f>
        <v>North</v>
      </c>
      <c r="F545" s="6" t="s">
        <v>2246</v>
      </c>
      <c r="G545" s="6" t="s">
        <v>2459</v>
      </c>
      <c r="H545" s="16" t="n">
        <v>125</v>
      </c>
      <c r="I545" s="6" t="str">
        <f aca="false">'Dish Database'!I181</f>
        <v>g</v>
      </c>
      <c r="J545" s="13" t="n">
        <f aca="false">'Dish Database'!J181*H545/100</f>
        <v>389.875</v>
      </c>
      <c r="K545" s="17" t="n">
        <f aca="false">'Dish Database'!K181*H545/100</f>
        <v>10.625</v>
      </c>
      <c r="L545" s="17" t="n">
        <f aca="false">'Dish Database'!L181*H545/100</f>
        <v>58.75</v>
      </c>
      <c r="M545" s="17" t="n">
        <f aca="false">'Dish Database'!M181*H545/100</f>
        <v>13.125</v>
      </c>
      <c r="N545" s="17" t="n">
        <f aca="false">'Dish Database'!N181*H545/100</f>
        <v>2.875</v>
      </c>
      <c r="O545" s="17" t="n">
        <f aca="false">'Dish Database'!O181*H545/100</f>
        <v>4</v>
      </c>
      <c r="P545" s="13" t="n">
        <f aca="false">'Dish Database'!P181*H545/100</f>
        <v>625</v>
      </c>
    </row>
    <row r="546" customFormat="false" ht="15" hidden="false" customHeight="false" outlineLevel="0" collapsed="false">
      <c r="A546" s="6" t="str">
        <f aca="false">'Dish Database'!A182</f>
        <v>D181</v>
      </c>
      <c r="B546" s="6" t="str">
        <f aca="false">'Dish Database'!B182</f>
        <v>Cheese naan</v>
      </c>
      <c r="C546" s="6" t="str">
        <f aca="false">'Dish Database'!D182</f>
        <v>Breads</v>
      </c>
      <c r="D546" s="6" t="str">
        <f aca="false">'Dish Database'!F182</f>
        <v>Veg</v>
      </c>
      <c r="E546" s="6" t="str">
        <f aca="false">'Dish Database'!E182</f>
        <v>North</v>
      </c>
      <c r="F546" s="6" t="s">
        <v>2243</v>
      </c>
      <c r="G546" s="6" t="s">
        <v>2460</v>
      </c>
      <c r="H546" s="16" t="n">
        <v>90</v>
      </c>
      <c r="I546" s="6" t="str">
        <f aca="false">'Dish Database'!I182</f>
        <v>g</v>
      </c>
      <c r="J546" s="13" t="n">
        <f aca="false">'Dish Database'!J182*H546/100</f>
        <v>293.76</v>
      </c>
      <c r="K546" s="17" t="n">
        <f aca="false">'Dish Database'!K182*H546/100</f>
        <v>9.9</v>
      </c>
      <c r="L546" s="17" t="n">
        <f aca="false">'Dish Database'!L182*H546/100</f>
        <v>36</v>
      </c>
      <c r="M546" s="17" t="n">
        <f aca="false">'Dish Database'!M182*H546/100</f>
        <v>12.6</v>
      </c>
      <c r="N546" s="17" t="n">
        <f aca="false">'Dish Database'!N182*H546/100</f>
        <v>1.62</v>
      </c>
      <c r="O546" s="17" t="n">
        <f aca="false">'Dish Database'!O182*H546/100</f>
        <v>2.7</v>
      </c>
      <c r="P546" s="13" t="n">
        <f aca="false">'Dish Database'!P182*H546/100</f>
        <v>540</v>
      </c>
    </row>
    <row r="547" customFormat="false" ht="15" hidden="false" customHeight="false" outlineLevel="0" collapsed="false">
      <c r="A547" s="6" t="str">
        <f aca="false">'Dish Database'!A182</f>
        <v>D181</v>
      </c>
      <c r="B547" s="6" t="str">
        <f aca="false">'Dish Database'!B182</f>
        <v>Cheese naan</v>
      </c>
      <c r="C547" s="6" t="str">
        <f aca="false">'Dish Database'!D182</f>
        <v>Breads</v>
      </c>
      <c r="D547" s="6" t="str">
        <f aca="false">'Dish Database'!F182</f>
        <v>Veg</v>
      </c>
      <c r="E547" s="6" t="str">
        <f aca="false">'Dish Database'!E182</f>
        <v>North</v>
      </c>
      <c r="F547" s="6" t="s">
        <v>103</v>
      </c>
      <c r="G547" s="6" t="s">
        <v>2461</v>
      </c>
      <c r="H547" s="16" t="n">
        <v>120</v>
      </c>
      <c r="I547" s="6" t="str">
        <f aca="false">'Dish Database'!I182</f>
        <v>g</v>
      </c>
      <c r="J547" s="13" t="n">
        <f aca="false">'Dish Database'!J182*H547/100</f>
        <v>391.68</v>
      </c>
      <c r="K547" s="17" t="n">
        <f aca="false">'Dish Database'!K182*H547/100</f>
        <v>13.2</v>
      </c>
      <c r="L547" s="17" t="n">
        <f aca="false">'Dish Database'!L182*H547/100</f>
        <v>48</v>
      </c>
      <c r="M547" s="17" t="n">
        <f aca="false">'Dish Database'!M182*H547/100</f>
        <v>16.8</v>
      </c>
      <c r="N547" s="17" t="n">
        <f aca="false">'Dish Database'!N182*H547/100</f>
        <v>2.16</v>
      </c>
      <c r="O547" s="17" t="n">
        <f aca="false">'Dish Database'!O182*H547/100</f>
        <v>3.6</v>
      </c>
      <c r="P547" s="13" t="n">
        <f aca="false">'Dish Database'!P182*H547/100</f>
        <v>720</v>
      </c>
    </row>
    <row r="548" customFormat="false" ht="15" hidden="false" customHeight="false" outlineLevel="0" collapsed="false">
      <c r="A548" s="6" t="str">
        <f aca="false">'Dish Database'!A182</f>
        <v>D181</v>
      </c>
      <c r="B548" s="6" t="str">
        <f aca="false">'Dish Database'!B182</f>
        <v>Cheese naan</v>
      </c>
      <c r="C548" s="6" t="str">
        <f aca="false">'Dish Database'!D182</f>
        <v>Breads</v>
      </c>
      <c r="D548" s="6" t="str">
        <f aca="false">'Dish Database'!F182</f>
        <v>Veg</v>
      </c>
      <c r="E548" s="6" t="str">
        <f aca="false">'Dish Database'!E182</f>
        <v>North</v>
      </c>
      <c r="F548" s="6" t="s">
        <v>2246</v>
      </c>
      <c r="G548" s="6" t="s">
        <v>2462</v>
      </c>
      <c r="H548" s="16" t="n">
        <v>150</v>
      </c>
      <c r="I548" s="6" t="str">
        <f aca="false">'Dish Database'!I182</f>
        <v>g</v>
      </c>
      <c r="J548" s="13" t="n">
        <f aca="false">'Dish Database'!J182*H548/100</f>
        <v>489.6</v>
      </c>
      <c r="K548" s="17" t="n">
        <f aca="false">'Dish Database'!K182*H548/100</f>
        <v>16.5</v>
      </c>
      <c r="L548" s="17" t="n">
        <f aca="false">'Dish Database'!L182*H548/100</f>
        <v>60</v>
      </c>
      <c r="M548" s="17" t="n">
        <f aca="false">'Dish Database'!M182*H548/100</f>
        <v>21</v>
      </c>
      <c r="N548" s="17" t="n">
        <f aca="false">'Dish Database'!N182*H548/100</f>
        <v>2.7</v>
      </c>
      <c r="O548" s="17" t="n">
        <f aca="false">'Dish Database'!O182*H548/100</f>
        <v>4.5</v>
      </c>
      <c r="P548" s="13" t="n">
        <f aca="false">'Dish Database'!P182*H548/100</f>
        <v>900</v>
      </c>
    </row>
    <row r="549" customFormat="false" ht="15" hidden="false" customHeight="false" outlineLevel="0" collapsed="false">
      <c r="A549" s="6" t="str">
        <f aca="false">'Dish Database'!A183</f>
        <v>D182</v>
      </c>
      <c r="B549" s="6" t="str">
        <f aca="false">'Dish Database'!B183</f>
        <v>Keema naan</v>
      </c>
      <c r="C549" s="6" t="str">
        <f aca="false">'Dish Database'!D183</f>
        <v>Breads</v>
      </c>
      <c r="D549" s="6" t="str">
        <f aca="false">'Dish Database'!F183</f>
        <v>Non-Veg</v>
      </c>
      <c r="E549" s="6" t="str">
        <f aca="false">'Dish Database'!E183</f>
        <v>North</v>
      </c>
      <c r="F549" s="6" t="s">
        <v>2243</v>
      </c>
      <c r="G549" s="6" t="s">
        <v>2463</v>
      </c>
      <c r="H549" s="16" t="n">
        <v>100</v>
      </c>
      <c r="I549" s="6" t="str">
        <f aca="false">'Dish Database'!I183</f>
        <v>g</v>
      </c>
      <c r="J549" s="13" t="n">
        <f aca="false">'Dish Database'!J183*H549/100</f>
        <v>300.4</v>
      </c>
      <c r="K549" s="17" t="n">
        <f aca="false">'Dish Database'!K183*H549/100</f>
        <v>13</v>
      </c>
      <c r="L549" s="17" t="n">
        <f aca="false">'Dish Database'!L183*H549/100</f>
        <v>36</v>
      </c>
      <c r="M549" s="17" t="n">
        <f aca="false">'Dish Database'!M183*H549/100</f>
        <v>12</v>
      </c>
      <c r="N549" s="17" t="n">
        <f aca="false">'Dish Database'!N183*H549/100</f>
        <v>1.8</v>
      </c>
      <c r="O549" s="17" t="n">
        <f aca="false">'Dish Database'!O183*H549/100</f>
        <v>2.5</v>
      </c>
      <c r="P549" s="13" t="n">
        <f aca="false">'Dish Database'!P183*H549/100</f>
        <v>550</v>
      </c>
    </row>
    <row r="550" customFormat="false" ht="15" hidden="false" customHeight="false" outlineLevel="0" collapsed="false">
      <c r="A550" s="6" t="str">
        <f aca="false">'Dish Database'!A183</f>
        <v>D182</v>
      </c>
      <c r="B550" s="6" t="str">
        <f aca="false">'Dish Database'!B183</f>
        <v>Keema naan</v>
      </c>
      <c r="C550" s="6" t="str">
        <f aca="false">'Dish Database'!D183</f>
        <v>Breads</v>
      </c>
      <c r="D550" s="6" t="str">
        <f aca="false">'Dish Database'!F183</f>
        <v>Non-Veg</v>
      </c>
      <c r="E550" s="6" t="str">
        <f aca="false">'Dish Database'!E183</f>
        <v>North</v>
      </c>
      <c r="F550" s="6" t="s">
        <v>103</v>
      </c>
      <c r="G550" s="6" t="s">
        <v>2464</v>
      </c>
      <c r="H550" s="16" t="n">
        <v>140</v>
      </c>
      <c r="I550" s="6" t="str">
        <f aca="false">'Dish Database'!I183</f>
        <v>g</v>
      </c>
      <c r="J550" s="13" t="n">
        <f aca="false">'Dish Database'!J183*H550/100</f>
        <v>420.56</v>
      </c>
      <c r="K550" s="17" t="n">
        <f aca="false">'Dish Database'!K183*H550/100</f>
        <v>18.2</v>
      </c>
      <c r="L550" s="17" t="n">
        <f aca="false">'Dish Database'!L183*H550/100</f>
        <v>50.4</v>
      </c>
      <c r="M550" s="17" t="n">
        <f aca="false">'Dish Database'!M183*H550/100</f>
        <v>16.8</v>
      </c>
      <c r="N550" s="17" t="n">
        <f aca="false">'Dish Database'!N183*H550/100</f>
        <v>2.52</v>
      </c>
      <c r="O550" s="17" t="n">
        <f aca="false">'Dish Database'!O183*H550/100</f>
        <v>3.5</v>
      </c>
      <c r="P550" s="13" t="n">
        <f aca="false">'Dish Database'!P183*H550/100</f>
        <v>770</v>
      </c>
    </row>
    <row r="551" customFormat="false" ht="15" hidden="false" customHeight="false" outlineLevel="0" collapsed="false">
      <c r="A551" s="6" t="str">
        <f aca="false">'Dish Database'!A183</f>
        <v>D182</v>
      </c>
      <c r="B551" s="6" t="str">
        <f aca="false">'Dish Database'!B183</f>
        <v>Keema naan</v>
      </c>
      <c r="C551" s="6" t="str">
        <f aca="false">'Dish Database'!D183</f>
        <v>Breads</v>
      </c>
      <c r="D551" s="6" t="str">
        <f aca="false">'Dish Database'!F183</f>
        <v>Non-Veg</v>
      </c>
      <c r="E551" s="6" t="str">
        <f aca="false">'Dish Database'!E183</f>
        <v>North</v>
      </c>
      <c r="F551" s="6" t="s">
        <v>2246</v>
      </c>
      <c r="G551" s="6" t="s">
        <v>2465</v>
      </c>
      <c r="H551" s="16" t="n">
        <v>180</v>
      </c>
      <c r="I551" s="6" t="str">
        <f aca="false">'Dish Database'!I183</f>
        <v>g</v>
      </c>
      <c r="J551" s="13" t="n">
        <f aca="false">'Dish Database'!J183*H551/100</f>
        <v>540.72</v>
      </c>
      <c r="K551" s="17" t="n">
        <f aca="false">'Dish Database'!K183*H551/100</f>
        <v>23.4</v>
      </c>
      <c r="L551" s="17" t="n">
        <f aca="false">'Dish Database'!L183*H551/100</f>
        <v>64.8</v>
      </c>
      <c r="M551" s="17" t="n">
        <f aca="false">'Dish Database'!M183*H551/100</f>
        <v>21.6</v>
      </c>
      <c r="N551" s="17" t="n">
        <f aca="false">'Dish Database'!N183*H551/100</f>
        <v>3.24</v>
      </c>
      <c r="O551" s="17" t="n">
        <f aca="false">'Dish Database'!O183*H551/100</f>
        <v>4.5</v>
      </c>
      <c r="P551" s="13" t="n">
        <f aca="false">'Dish Database'!P183*H551/100</f>
        <v>990</v>
      </c>
    </row>
    <row r="552" customFormat="false" ht="15" hidden="false" customHeight="false" outlineLevel="0" collapsed="false">
      <c r="A552" s="6" t="str">
        <f aca="false">'Dish Database'!A184</f>
        <v>D183</v>
      </c>
      <c r="B552" s="6" t="str">
        <f aca="false">'Dish Database'!B184</f>
        <v>Kulcha (plain)</v>
      </c>
      <c r="C552" s="6" t="str">
        <f aca="false">'Dish Database'!D184</f>
        <v>Breads</v>
      </c>
      <c r="D552" s="6" t="str">
        <f aca="false">'Dish Database'!F184</f>
        <v>Veg</v>
      </c>
      <c r="E552" s="6" t="str">
        <f aca="false">'Dish Database'!E184</f>
        <v>North</v>
      </c>
      <c r="F552" s="6" t="s">
        <v>2243</v>
      </c>
      <c r="G552" s="6" t="s">
        <v>2466</v>
      </c>
      <c r="H552" s="16" t="n">
        <v>60</v>
      </c>
      <c r="I552" s="6" t="str">
        <f aca="false">'Dish Database'!I184</f>
        <v>g</v>
      </c>
      <c r="J552" s="13" t="n">
        <f aca="false">'Dish Database'!J184*H552/100</f>
        <v>168</v>
      </c>
      <c r="K552" s="17" t="n">
        <f aca="false">'Dish Database'!K184*H552/100</f>
        <v>5.1</v>
      </c>
      <c r="L552" s="17" t="n">
        <f aca="false">'Dish Database'!L184*H552/100</f>
        <v>29.4</v>
      </c>
      <c r="M552" s="17" t="n">
        <f aca="false">'Dish Database'!M184*H552/100</f>
        <v>3.6</v>
      </c>
      <c r="N552" s="17" t="n">
        <f aca="false">'Dish Database'!N184*H552/100</f>
        <v>1.2</v>
      </c>
      <c r="O552" s="17" t="n">
        <f aca="false">'Dish Database'!O184*H552/100</f>
        <v>2.1</v>
      </c>
      <c r="P552" s="13" t="n">
        <f aca="false">'Dish Database'!P184*H552/100</f>
        <v>270</v>
      </c>
    </row>
    <row r="553" customFormat="false" ht="15" hidden="false" customHeight="false" outlineLevel="0" collapsed="false">
      <c r="A553" s="6" t="str">
        <f aca="false">'Dish Database'!A184</f>
        <v>D183</v>
      </c>
      <c r="B553" s="6" t="str">
        <f aca="false">'Dish Database'!B184</f>
        <v>Kulcha (plain)</v>
      </c>
      <c r="C553" s="6" t="str">
        <f aca="false">'Dish Database'!D184</f>
        <v>Breads</v>
      </c>
      <c r="D553" s="6" t="str">
        <f aca="false">'Dish Database'!F184</f>
        <v>Veg</v>
      </c>
      <c r="E553" s="6" t="str">
        <f aca="false">'Dish Database'!E184</f>
        <v>North</v>
      </c>
      <c r="F553" s="6" t="s">
        <v>103</v>
      </c>
      <c r="G553" s="6" t="s">
        <v>2467</v>
      </c>
      <c r="H553" s="16" t="n">
        <v>80</v>
      </c>
      <c r="I553" s="6" t="str">
        <f aca="false">'Dish Database'!I184</f>
        <v>g</v>
      </c>
      <c r="J553" s="13" t="n">
        <f aca="false">'Dish Database'!J184*H553/100</f>
        <v>224</v>
      </c>
      <c r="K553" s="17" t="n">
        <f aca="false">'Dish Database'!K184*H553/100</f>
        <v>6.8</v>
      </c>
      <c r="L553" s="17" t="n">
        <f aca="false">'Dish Database'!L184*H553/100</f>
        <v>39.2</v>
      </c>
      <c r="M553" s="17" t="n">
        <f aca="false">'Dish Database'!M184*H553/100</f>
        <v>4.8</v>
      </c>
      <c r="N553" s="17" t="n">
        <f aca="false">'Dish Database'!N184*H553/100</f>
        <v>1.6</v>
      </c>
      <c r="O553" s="17" t="n">
        <f aca="false">'Dish Database'!O184*H553/100</f>
        <v>2.8</v>
      </c>
      <c r="P553" s="13" t="n">
        <f aca="false">'Dish Database'!P184*H553/100</f>
        <v>360</v>
      </c>
    </row>
    <row r="554" customFormat="false" ht="15" hidden="false" customHeight="false" outlineLevel="0" collapsed="false">
      <c r="A554" s="6" t="str">
        <f aca="false">'Dish Database'!A184</f>
        <v>D183</v>
      </c>
      <c r="B554" s="6" t="str">
        <f aca="false">'Dish Database'!B184</f>
        <v>Kulcha (plain)</v>
      </c>
      <c r="C554" s="6" t="str">
        <f aca="false">'Dish Database'!D184</f>
        <v>Breads</v>
      </c>
      <c r="D554" s="6" t="str">
        <f aca="false">'Dish Database'!F184</f>
        <v>Veg</v>
      </c>
      <c r="E554" s="6" t="str">
        <f aca="false">'Dish Database'!E184</f>
        <v>North</v>
      </c>
      <c r="F554" s="6" t="s">
        <v>2246</v>
      </c>
      <c r="G554" s="6" t="s">
        <v>2468</v>
      </c>
      <c r="H554" s="16" t="n">
        <v>100</v>
      </c>
      <c r="I554" s="6" t="str">
        <f aca="false">'Dish Database'!I184</f>
        <v>g</v>
      </c>
      <c r="J554" s="13" t="n">
        <f aca="false">'Dish Database'!J184*H554/100</f>
        <v>280</v>
      </c>
      <c r="K554" s="17" t="n">
        <f aca="false">'Dish Database'!K184*H554/100</f>
        <v>8.5</v>
      </c>
      <c r="L554" s="17" t="n">
        <f aca="false">'Dish Database'!L184*H554/100</f>
        <v>49</v>
      </c>
      <c r="M554" s="17" t="n">
        <f aca="false">'Dish Database'!M184*H554/100</f>
        <v>6</v>
      </c>
      <c r="N554" s="17" t="n">
        <f aca="false">'Dish Database'!N184*H554/100</f>
        <v>2</v>
      </c>
      <c r="O554" s="17" t="n">
        <f aca="false">'Dish Database'!O184*H554/100</f>
        <v>3.5</v>
      </c>
      <c r="P554" s="13" t="n">
        <f aca="false">'Dish Database'!P184*H554/100</f>
        <v>450</v>
      </c>
    </row>
    <row r="555" customFormat="false" ht="15" hidden="false" customHeight="false" outlineLevel="0" collapsed="false">
      <c r="A555" s="6" t="str">
        <f aca="false">'Dish Database'!A185</f>
        <v>D184</v>
      </c>
      <c r="B555" s="6" t="str">
        <f aca="false">'Dish Database'!B185</f>
        <v>Amritsari kulcha (stuffed, butter)</v>
      </c>
      <c r="C555" s="6" t="str">
        <f aca="false">'Dish Database'!D185</f>
        <v>Breads</v>
      </c>
      <c r="D555" s="6" t="str">
        <f aca="false">'Dish Database'!F185</f>
        <v>Veg</v>
      </c>
      <c r="E555" s="6" t="str">
        <f aca="false">'Dish Database'!E185</f>
        <v>North</v>
      </c>
      <c r="F555" s="6" t="s">
        <v>2243</v>
      </c>
      <c r="G555" s="6" t="s">
        <v>2469</v>
      </c>
      <c r="H555" s="16" t="n">
        <v>100</v>
      </c>
      <c r="I555" s="6" t="str">
        <f aca="false">'Dish Database'!I185</f>
        <v>g</v>
      </c>
      <c r="J555" s="13" t="n">
        <f aca="false">'Dish Database'!J185*H555/100</f>
        <v>282</v>
      </c>
      <c r="K555" s="17" t="n">
        <f aca="false">'Dish Database'!K185*H555/100</f>
        <v>7</v>
      </c>
      <c r="L555" s="17" t="n">
        <f aca="false">'Dish Database'!L185*H555/100</f>
        <v>38</v>
      </c>
      <c r="M555" s="17" t="n">
        <f aca="false">'Dish Database'!M185*H555/100</f>
        <v>12</v>
      </c>
      <c r="N555" s="17" t="n">
        <f aca="false">'Dish Database'!N185*H555/100</f>
        <v>3</v>
      </c>
      <c r="O555" s="17" t="n">
        <f aca="false">'Dish Database'!O185*H555/100</f>
        <v>2</v>
      </c>
      <c r="P555" s="13" t="n">
        <f aca="false">'Dish Database'!P185*H555/100</f>
        <v>480</v>
      </c>
    </row>
    <row r="556" customFormat="false" ht="15" hidden="false" customHeight="false" outlineLevel="0" collapsed="false">
      <c r="A556" s="6" t="str">
        <f aca="false">'Dish Database'!A185</f>
        <v>D184</v>
      </c>
      <c r="B556" s="6" t="str">
        <f aca="false">'Dish Database'!B185</f>
        <v>Amritsari kulcha (stuffed, butter)</v>
      </c>
      <c r="C556" s="6" t="str">
        <f aca="false">'Dish Database'!D185</f>
        <v>Breads</v>
      </c>
      <c r="D556" s="6" t="str">
        <f aca="false">'Dish Database'!F185</f>
        <v>Veg</v>
      </c>
      <c r="E556" s="6" t="str">
        <f aca="false">'Dish Database'!E185</f>
        <v>North</v>
      </c>
      <c r="F556" s="6" t="s">
        <v>103</v>
      </c>
      <c r="G556" s="6" t="s">
        <v>2470</v>
      </c>
      <c r="H556" s="16" t="n">
        <v>140</v>
      </c>
      <c r="I556" s="6" t="str">
        <f aca="false">'Dish Database'!I185</f>
        <v>g</v>
      </c>
      <c r="J556" s="13" t="n">
        <f aca="false">'Dish Database'!J185*H556/100</f>
        <v>394.8</v>
      </c>
      <c r="K556" s="17" t="n">
        <f aca="false">'Dish Database'!K185*H556/100</f>
        <v>9.8</v>
      </c>
      <c r="L556" s="17" t="n">
        <f aca="false">'Dish Database'!L185*H556/100</f>
        <v>53.2</v>
      </c>
      <c r="M556" s="17" t="n">
        <f aca="false">'Dish Database'!M185*H556/100</f>
        <v>16.8</v>
      </c>
      <c r="N556" s="17" t="n">
        <f aca="false">'Dish Database'!N185*H556/100</f>
        <v>4.2</v>
      </c>
      <c r="O556" s="17" t="n">
        <f aca="false">'Dish Database'!O185*H556/100</f>
        <v>2.8</v>
      </c>
      <c r="P556" s="13" t="n">
        <f aca="false">'Dish Database'!P185*H556/100</f>
        <v>672</v>
      </c>
    </row>
    <row r="557" customFormat="false" ht="15" hidden="false" customHeight="false" outlineLevel="0" collapsed="false">
      <c r="A557" s="6" t="str">
        <f aca="false">'Dish Database'!A185</f>
        <v>D184</v>
      </c>
      <c r="B557" s="6" t="str">
        <f aca="false">'Dish Database'!B185</f>
        <v>Amritsari kulcha (stuffed, butter)</v>
      </c>
      <c r="C557" s="6" t="str">
        <f aca="false">'Dish Database'!D185</f>
        <v>Breads</v>
      </c>
      <c r="D557" s="6" t="str">
        <f aca="false">'Dish Database'!F185</f>
        <v>Veg</v>
      </c>
      <c r="E557" s="6" t="str">
        <f aca="false">'Dish Database'!E185</f>
        <v>North</v>
      </c>
      <c r="F557" s="6" t="s">
        <v>2246</v>
      </c>
      <c r="G557" s="6" t="s">
        <v>2471</v>
      </c>
      <c r="H557" s="16" t="n">
        <v>180</v>
      </c>
      <c r="I557" s="6" t="str">
        <f aca="false">'Dish Database'!I185</f>
        <v>g</v>
      </c>
      <c r="J557" s="13" t="n">
        <f aca="false">'Dish Database'!J185*H557/100</f>
        <v>507.6</v>
      </c>
      <c r="K557" s="17" t="n">
        <f aca="false">'Dish Database'!K185*H557/100</f>
        <v>12.6</v>
      </c>
      <c r="L557" s="17" t="n">
        <f aca="false">'Dish Database'!L185*H557/100</f>
        <v>68.4</v>
      </c>
      <c r="M557" s="17" t="n">
        <f aca="false">'Dish Database'!M185*H557/100</f>
        <v>21.6</v>
      </c>
      <c r="N557" s="17" t="n">
        <f aca="false">'Dish Database'!N185*H557/100</f>
        <v>5.4</v>
      </c>
      <c r="O557" s="17" t="n">
        <f aca="false">'Dish Database'!O185*H557/100</f>
        <v>3.6</v>
      </c>
      <c r="P557" s="13" t="n">
        <f aca="false">'Dish Database'!P185*H557/100</f>
        <v>864</v>
      </c>
    </row>
    <row r="558" customFormat="false" ht="15" hidden="false" customHeight="false" outlineLevel="0" collapsed="false">
      <c r="A558" s="6" t="str">
        <f aca="false">'Dish Database'!A186</f>
        <v>D185</v>
      </c>
      <c r="B558" s="6" t="str">
        <f aca="false">'Dish Database'!B186</f>
        <v>Lachha paratha</v>
      </c>
      <c r="C558" s="6" t="str">
        <f aca="false">'Dish Database'!D186</f>
        <v>Breads</v>
      </c>
      <c r="D558" s="6" t="str">
        <f aca="false">'Dish Database'!F186</f>
        <v>Veg</v>
      </c>
      <c r="E558" s="6" t="str">
        <f aca="false">'Dish Database'!E186</f>
        <v>North</v>
      </c>
      <c r="F558" s="6" t="s">
        <v>2243</v>
      </c>
      <c r="G558" s="6" t="s">
        <v>2472</v>
      </c>
      <c r="H558" s="16" t="n">
        <v>60</v>
      </c>
      <c r="I558" s="6" t="str">
        <f aca="false">'Dish Database'!I186</f>
        <v>g</v>
      </c>
      <c r="J558" s="13" t="n">
        <f aca="false">'Dish Database'!J186*H558/100</f>
        <v>195.12</v>
      </c>
      <c r="K558" s="17" t="n">
        <f aca="false">'Dish Database'!K186*H558/100</f>
        <v>4.08</v>
      </c>
      <c r="L558" s="17" t="n">
        <f aca="false">'Dish Database'!L186*H558/100</f>
        <v>25.8</v>
      </c>
      <c r="M558" s="17" t="n">
        <f aca="false">'Dish Database'!M186*H558/100</f>
        <v>9</v>
      </c>
      <c r="N558" s="17" t="n">
        <f aca="false">'Dish Database'!N186*H558/100</f>
        <v>2.7</v>
      </c>
      <c r="O558" s="17" t="n">
        <f aca="false">'Dish Database'!O186*H558/100</f>
        <v>0.6</v>
      </c>
      <c r="P558" s="13" t="n">
        <f aca="false">'Dish Database'!P186*H558/100</f>
        <v>192</v>
      </c>
    </row>
    <row r="559" customFormat="false" ht="15" hidden="false" customHeight="false" outlineLevel="0" collapsed="false">
      <c r="A559" s="6" t="str">
        <f aca="false">'Dish Database'!A186</f>
        <v>D185</v>
      </c>
      <c r="B559" s="6" t="str">
        <f aca="false">'Dish Database'!B186</f>
        <v>Lachha paratha</v>
      </c>
      <c r="C559" s="6" t="str">
        <f aca="false">'Dish Database'!D186</f>
        <v>Breads</v>
      </c>
      <c r="D559" s="6" t="str">
        <f aca="false">'Dish Database'!F186</f>
        <v>Veg</v>
      </c>
      <c r="E559" s="6" t="str">
        <f aca="false">'Dish Database'!E186</f>
        <v>North</v>
      </c>
      <c r="F559" s="6" t="s">
        <v>103</v>
      </c>
      <c r="G559" s="6" t="s">
        <v>2473</v>
      </c>
      <c r="H559" s="16" t="n">
        <v>80</v>
      </c>
      <c r="I559" s="6" t="str">
        <f aca="false">'Dish Database'!I186</f>
        <v>g</v>
      </c>
      <c r="J559" s="13" t="n">
        <f aca="false">'Dish Database'!J186*H559/100</f>
        <v>260.16</v>
      </c>
      <c r="K559" s="17" t="n">
        <f aca="false">'Dish Database'!K186*H559/100</f>
        <v>5.44</v>
      </c>
      <c r="L559" s="17" t="n">
        <f aca="false">'Dish Database'!L186*H559/100</f>
        <v>34.4</v>
      </c>
      <c r="M559" s="17" t="n">
        <f aca="false">'Dish Database'!M186*H559/100</f>
        <v>12</v>
      </c>
      <c r="N559" s="17" t="n">
        <f aca="false">'Dish Database'!N186*H559/100</f>
        <v>3.6</v>
      </c>
      <c r="O559" s="17" t="n">
        <f aca="false">'Dish Database'!O186*H559/100</f>
        <v>0.8</v>
      </c>
      <c r="P559" s="13" t="n">
        <f aca="false">'Dish Database'!P186*H559/100</f>
        <v>256</v>
      </c>
    </row>
    <row r="560" customFormat="false" ht="15" hidden="false" customHeight="false" outlineLevel="0" collapsed="false">
      <c r="A560" s="6" t="str">
        <f aca="false">'Dish Database'!A186</f>
        <v>D185</v>
      </c>
      <c r="B560" s="6" t="str">
        <f aca="false">'Dish Database'!B186</f>
        <v>Lachha paratha</v>
      </c>
      <c r="C560" s="6" t="str">
        <f aca="false">'Dish Database'!D186</f>
        <v>Breads</v>
      </c>
      <c r="D560" s="6" t="str">
        <f aca="false">'Dish Database'!F186</f>
        <v>Veg</v>
      </c>
      <c r="E560" s="6" t="str">
        <f aca="false">'Dish Database'!E186</f>
        <v>North</v>
      </c>
      <c r="F560" s="6" t="s">
        <v>2246</v>
      </c>
      <c r="G560" s="6" t="s">
        <v>2474</v>
      </c>
      <c r="H560" s="16" t="n">
        <v>100</v>
      </c>
      <c r="I560" s="6" t="str">
        <f aca="false">'Dish Database'!I186</f>
        <v>g</v>
      </c>
      <c r="J560" s="13" t="n">
        <f aca="false">'Dish Database'!J186*H560/100</f>
        <v>325.2</v>
      </c>
      <c r="K560" s="17" t="n">
        <f aca="false">'Dish Database'!K186*H560/100</f>
        <v>6.8</v>
      </c>
      <c r="L560" s="17" t="n">
        <f aca="false">'Dish Database'!L186*H560/100</f>
        <v>43</v>
      </c>
      <c r="M560" s="17" t="n">
        <f aca="false">'Dish Database'!M186*H560/100</f>
        <v>15</v>
      </c>
      <c r="N560" s="17" t="n">
        <f aca="false">'Dish Database'!N186*H560/100</f>
        <v>4.5</v>
      </c>
      <c r="O560" s="17" t="n">
        <f aca="false">'Dish Database'!O186*H560/100</f>
        <v>1</v>
      </c>
      <c r="P560" s="13" t="n">
        <f aca="false">'Dish Database'!P186*H560/100</f>
        <v>320</v>
      </c>
    </row>
    <row r="561" customFormat="false" ht="15" hidden="false" customHeight="false" outlineLevel="0" collapsed="false">
      <c r="A561" s="6" t="str">
        <f aca="false">'Dish Database'!A187</f>
        <v>D186</v>
      </c>
      <c r="B561" s="6" t="str">
        <f aca="false">'Dish Database'!B187</f>
        <v>Missi roti</v>
      </c>
      <c r="C561" s="6" t="str">
        <f aca="false">'Dish Database'!D187</f>
        <v>Breads</v>
      </c>
      <c r="D561" s="6" t="str">
        <f aca="false">'Dish Database'!F187</f>
        <v>Veg</v>
      </c>
      <c r="E561" s="6" t="str">
        <f aca="false">'Dish Database'!E187</f>
        <v>North</v>
      </c>
      <c r="F561" s="6" t="s">
        <v>2243</v>
      </c>
      <c r="G561" s="6" t="s">
        <v>2448</v>
      </c>
      <c r="H561" s="16" t="n">
        <v>40</v>
      </c>
      <c r="I561" s="6" t="str">
        <f aca="false">'Dish Database'!I187</f>
        <v>g</v>
      </c>
      <c r="J561" s="13" t="n">
        <f aca="false">'Dish Database'!J187*H561/100</f>
        <v>107.4</v>
      </c>
      <c r="K561" s="17" t="n">
        <f aca="false">'Dish Database'!K187*H561/100</f>
        <v>4.4</v>
      </c>
      <c r="L561" s="17" t="n">
        <f aca="false">'Dish Database'!L187*H561/100</f>
        <v>18</v>
      </c>
      <c r="M561" s="17" t="n">
        <f aca="false">'Dish Database'!M187*H561/100</f>
        <v>2.6</v>
      </c>
      <c r="N561" s="17" t="n">
        <f aca="false">'Dish Database'!N187*H561/100</f>
        <v>2.8</v>
      </c>
      <c r="O561" s="17" t="n">
        <f aca="false">'Dish Database'!O187*H561/100</f>
        <v>0.6</v>
      </c>
      <c r="P561" s="13" t="n">
        <f aca="false">'Dish Database'!P187*H561/100</f>
        <v>160</v>
      </c>
    </row>
    <row r="562" customFormat="false" ht="15" hidden="false" customHeight="false" outlineLevel="0" collapsed="false">
      <c r="A562" s="6" t="str">
        <f aca="false">'Dish Database'!A187</f>
        <v>D186</v>
      </c>
      <c r="B562" s="6" t="str">
        <f aca="false">'Dish Database'!B187</f>
        <v>Missi roti</v>
      </c>
      <c r="C562" s="6" t="str">
        <f aca="false">'Dish Database'!D187</f>
        <v>Breads</v>
      </c>
      <c r="D562" s="6" t="str">
        <f aca="false">'Dish Database'!F187</f>
        <v>Veg</v>
      </c>
      <c r="E562" s="6" t="str">
        <f aca="false">'Dish Database'!E187</f>
        <v>North</v>
      </c>
      <c r="F562" s="6" t="s">
        <v>103</v>
      </c>
      <c r="G562" s="6" t="s">
        <v>2452</v>
      </c>
      <c r="H562" s="16" t="n">
        <v>60</v>
      </c>
      <c r="I562" s="6" t="str">
        <f aca="false">'Dish Database'!I187</f>
        <v>g</v>
      </c>
      <c r="J562" s="13" t="n">
        <f aca="false">'Dish Database'!J187*H562/100</f>
        <v>161.1</v>
      </c>
      <c r="K562" s="17" t="n">
        <f aca="false">'Dish Database'!K187*H562/100</f>
        <v>6.6</v>
      </c>
      <c r="L562" s="17" t="n">
        <f aca="false">'Dish Database'!L187*H562/100</f>
        <v>27</v>
      </c>
      <c r="M562" s="17" t="n">
        <f aca="false">'Dish Database'!M187*H562/100</f>
        <v>3.9</v>
      </c>
      <c r="N562" s="17" t="n">
        <f aca="false">'Dish Database'!N187*H562/100</f>
        <v>4.2</v>
      </c>
      <c r="O562" s="17" t="n">
        <f aca="false">'Dish Database'!O187*H562/100</f>
        <v>0.9</v>
      </c>
      <c r="P562" s="13" t="n">
        <f aca="false">'Dish Database'!P187*H562/100</f>
        <v>240</v>
      </c>
    </row>
    <row r="563" customFormat="false" ht="15" hidden="false" customHeight="false" outlineLevel="0" collapsed="false">
      <c r="A563" s="6" t="str">
        <f aca="false">'Dish Database'!A187</f>
        <v>D186</v>
      </c>
      <c r="B563" s="6" t="str">
        <f aca="false">'Dish Database'!B187</f>
        <v>Missi roti</v>
      </c>
      <c r="C563" s="6" t="str">
        <f aca="false">'Dish Database'!D187</f>
        <v>Breads</v>
      </c>
      <c r="D563" s="6" t="str">
        <f aca="false">'Dish Database'!F187</f>
        <v>Veg</v>
      </c>
      <c r="E563" s="6" t="str">
        <f aca="false">'Dish Database'!E187</f>
        <v>North</v>
      </c>
      <c r="F563" s="6" t="s">
        <v>2246</v>
      </c>
      <c r="G563" s="6" t="s">
        <v>2475</v>
      </c>
      <c r="H563" s="16" t="n">
        <v>80</v>
      </c>
      <c r="I563" s="6" t="str">
        <f aca="false">'Dish Database'!I187</f>
        <v>g</v>
      </c>
      <c r="J563" s="13" t="n">
        <f aca="false">'Dish Database'!J187*H563/100</f>
        <v>214.8</v>
      </c>
      <c r="K563" s="17" t="n">
        <f aca="false">'Dish Database'!K187*H563/100</f>
        <v>8.8</v>
      </c>
      <c r="L563" s="17" t="n">
        <f aca="false">'Dish Database'!L187*H563/100</f>
        <v>36</v>
      </c>
      <c r="M563" s="17" t="n">
        <f aca="false">'Dish Database'!M187*H563/100</f>
        <v>5.2</v>
      </c>
      <c r="N563" s="17" t="n">
        <f aca="false">'Dish Database'!N187*H563/100</f>
        <v>5.6</v>
      </c>
      <c r="O563" s="17" t="n">
        <f aca="false">'Dish Database'!O187*H563/100</f>
        <v>1.2</v>
      </c>
      <c r="P563" s="13" t="n">
        <f aca="false">'Dish Database'!P187*H563/100</f>
        <v>320</v>
      </c>
    </row>
    <row r="564" customFormat="false" ht="15" hidden="false" customHeight="false" outlineLevel="0" collapsed="false">
      <c r="A564" s="6" t="str">
        <f aca="false">'Dish Database'!A188</f>
        <v>D187</v>
      </c>
      <c r="B564" s="6" t="str">
        <f aca="false">'Dish Database'!B188</f>
        <v>Makki di roti (with ghee)</v>
      </c>
      <c r="C564" s="6" t="str">
        <f aca="false">'Dish Database'!D188</f>
        <v>Breads</v>
      </c>
      <c r="D564" s="6" t="str">
        <f aca="false">'Dish Database'!F188</f>
        <v>Veg</v>
      </c>
      <c r="E564" s="6" t="str">
        <f aca="false">'Dish Database'!E188</f>
        <v>North</v>
      </c>
      <c r="F564" s="6" t="s">
        <v>2243</v>
      </c>
      <c r="G564" s="6" t="s">
        <v>2476</v>
      </c>
      <c r="H564" s="16" t="n">
        <v>50</v>
      </c>
      <c r="I564" s="6" t="str">
        <f aca="false">'Dish Database'!I188</f>
        <v>g</v>
      </c>
      <c r="J564" s="13" t="n">
        <f aca="false">'Dish Database'!J188*H564/100</f>
        <v>143.5</v>
      </c>
      <c r="K564" s="17" t="n">
        <f aca="false">'Dish Database'!K188*H564/100</f>
        <v>3.25</v>
      </c>
      <c r="L564" s="17" t="n">
        <f aca="false">'Dish Database'!L188*H564/100</f>
        <v>24</v>
      </c>
      <c r="M564" s="17" t="n">
        <f aca="false">'Dish Database'!M188*H564/100</f>
        <v>4.5</v>
      </c>
      <c r="N564" s="17" t="n">
        <f aca="false">'Dish Database'!N188*H564/100</f>
        <v>3</v>
      </c>
      <c r="O564" s="17" t="n">
        <f aca="false">'Dish Database'!O188*H564/100</f>
        <v>0.5</v>
      </c>
      <c r="P564" s="13" t="n">
        <f aca="false">'Dish Database'!P188*H564/100</f>
        <v>100</v>
      </c>
    </row>
    <row r="565" customFormat="false" ht="15" hidden="false" customHeight="false" outlineLevel="0" collapsed="false">
      <c r="A565" s="6" t="str">
        <f aca="false">'Dish Database'!A188</f>
        <v>D187</v>
      </c>
      <c r="B565" s="6" t="str">
        <f aca="false">'Dish Database'!B188</f>
        <v>Makki di roti (with ghee)</v>
      </c>
      <c r="C565" s="6" t="str">
        <f aca="false">'Dish Database'!D188</f>
        <v>Breads</v>
      </c>
      <c r="D565" s="6" t="str">
        <f aca="false">'Dish Database'!F188</f>
        <v>Veg</v>
      </c>
      <c r="E565" s="6" t="str">
        <f aca="false">'Dish Database'!E188</f>
        <v>North</v>
      </c>
      <c r="F565" s="6" t="s">
        <v>103</v>
      </c>
      <c r="G565" s="6" t="s">
        <v>2477</v>
      </c>
      <c r="H565" s="16" t="n">
        <v>70</v>
      </c>
      <c r="I565" s="6" t="str">
        <f aca="false">'Dish Database'!I188</f>
        <v>g</v>
      </c>
      <c r="J565" s="13" t="n">
        <f aca="false">'Dish Database'!J188*H565/100</f>
        <v>200.9</v>
      </c>
      <c r="K565" s="17" t="n">
        <f aca="false">'Dish Database'!K188*H565/100</f>
        <v>4.55</v>
      </c>
      <c r="L565" s="17" t="n">
        <f aca="false">'Dish Database'!L188*H565/100</f>
        <v>33.6</v>
      </c>
      <c r="M565" s="17" t="n">
        <f aca="false">'Dish Database'!M188*H565/100</f>
        <v>6.3</v>
      </c>
      <c r="N565" s="17" t="n">
        <f aca="false">'Dish Database'!N188*H565/100</f>
        <v>4.2</v>
      </c>
      <c r="O565" s="17" t="n">
        <f aca="false">'Dish Database'!O188*H565/100</f>
        <v>0.7</v>
      </c>
      <c r="P565" s="13" t="n">
        <f aca="false">'Dish Database'!P188*H565/100</f>
        <v>140</v>
      </c>
    </row>
    <row r="566" customFormat="false" ht="15" hidden="false" customHeight="false" outlineLevel="0" collapsed="false">
      <c r="A566" s="6" t="str">
        <f aca="false">'Dish Database'!A188</f>
        <v>D187</v>
      </c>
      <c r="B566" s="6" t="str">
        <f aca="false">'Dish Database'!B188</f>
        <v>Makki di roti (with ghee)</v>
      </c>
      <c r="C566" s="6" t="str">
        <f aca="false">'Dish Database'!D188</f>
        <v>Breads</v>
      </c>
      <c r="D566" s="6" t="str">
        <f aca="false">'Dish Database'!F188</f>
        <v>Veg</v>
      </c>
      <c r="E566" s="6" t="str">
        <f aca="false">'Dish Database'!E188</f>
        <v>North</v>
      </c>
      <c r="F566" s="6" t="s">
        <v>2246</v>
      </c>
      <c r="G566" s="6" t="s">
        <v>2478</v>
      </c>
      <c r="H566" s="16" t="n">
        <v>90</v>
      </c>
      <c r="I566" s="6" t="str">
        <f aca="false">'Dish Database'!I188</f>
        <v>g</v>
      </c>
      <c r="J566" s="13" t="n">
        <f aca="false">'Dish Database'!J188*H566/100</f>
        <v>258.3</v>
      </c>
      <c r="K566" s="17" t="n">
        <f aca="false">'Dish Database'!K188*H566/100</f>
        <v>5.85</v>
      </c>
      <c r="L566" s="17" t="n">
        <f aca="false">'Dish Database'!L188*H566/100</f>
        <v>43.2</v>
      </c>
      <c r="M566" s="17" t="n">
        <f aca="false">'Dish Database'!M188*H566/100</f>
        <v>8.1</v>
      </c>
      <c r="N566" s="17" t="n">
        <f aca="false">'Dish Database'!N188*H566/100</f>
        <v>5.4</v>
      </c>
      <c r="O566" s="17" t="n">
        <f aca="false">'Dish Database'!O188*H566/100</f>
        <v>0.9</v>
      </c>
      <c r="P566" s="13" t="n">
        <f aca="false">'Dish Database'!P188*H566/100</f>
        <v>180</v>
      </c>
    </row>
    <row r="567" customFormat="false" ht="15" hidden="false" customHeight="false" outlineLevel="0" collapsed="false">
      <c r="A567" s="6" t="str">
        <f aca="false">'Dish Database'!A189</f>
        <v>D188</v>
      </c>
      <c r="B567" s="6" t="str">
        <f aca="false">'Dish Database'!B189</f>
        <v>Bajra roti</v>
      </c>
      <c r="C567" s="6" t="str">
        <f aca="false">'Dish Database'!D189</f>
        <v>Breads</v>
      </c>
      <c r="D567" s="6" t="str">
        <f aca="false">'Dish Database'!F189</f>
        <v>Veg</v>
      </c>
      <c r="E567" s="6" t="str">
        <f aca="false">'Dish Database'!E189</f>
        <v>West</v>
      </c>
      <c r="F567" s="6" t="s">
        <v>2243</v>
      </c>
      <c r="G567" s="6" t="s">
        <v>2448</v>
      </c>
      <c r="H567" s="16" t="n">
        <v>40</v>
      </c>
      <c r="I567" s="6" t="str">
        <f aca="false">'Dish Database'!I189</f>
        <v>g</v>
      </c>
      <c r="J567" s="13" t="n">
        <f aca="false">'Dish Database'!J189*H567/100</f>
        <v>99.4</v>
      </c>
      <c r="K567" s="17" t="n">
        <f aca="false">'Dish Database'!K189*H567/100</f>
        <v>3</v>
      </c>
      <c r="L567" s="17" t="n">
        <f aca="false">'Dish Database'!L189*H567/100</f>
        <v>19.2</v>
      </c>
      <c r="M567" s="17" t="n">
        <f aca="false">'Dish Database'!M189*H567/100</f>
        <v>1.8</v>
      </c>
      <c r="N567" s="17" t="n">
        <f aca="false">'Dish Database'!N189*H567/100</f>
        <v>2.8</v>
      </c>
      <c r="O567" s="17" t="n">
        <f aca="false">'Dish Database'!O189*H567/100</f>
        <v>0.4</v>
      </c>
      <c r="P567" s="13" t="n">
        <f aca="false">'Dish Database'!P189*H567/100</f>
        <v>4</v>
      </c>
    </row>
    <row r="568" customFormat="false" ht="15" hidden="false" customHeight="false" outlineLevel="0" collapsed="false">
      <c r="A568" s="6" t="str">
        <f aca="false">'Dish Database'!A189</f>
        <v>D188</v>
      </c>
      <c r="B568" s="6" t="str">
        <f aca="false">'Dish Database'!B189</f>
        <v>Bajra roti</v>
      </c>
      <c r="C568" s="6" t="str">
        <f aca="false">'Dish Database'!D189</f>
        <v>Breads</v>
      </c>
      <c r="D568" s="6" t="str">
        <f aca="false">'Dish Database'!F189</f>
        <v>Veg</v>
      </c>
      <c r="E568" s="6" t="str">
        <f aca="false">'Dish Database'!E189</f>
        <v>West</v>
      </c>
      <c r="F568" s="6" t="s">
        <v>103</v>
      </c>
      <c r="G568" s="6" t="s">
        <v>2449</v>
      </c>
      <c r="H568" s="16" t="n">
        <v>55</v>
      </c>
      <c r="I568" s="6" t="str">
        <f aca="false">'Dish Database'!I189</f>
        <v>g</v>
      </c>
      <c r="J568" s="13" t="n">
        <f aca="false">'Dish Database'!J189*H568/100</f>
        <v>136.675</v>
      </c>
      <c r="K568" s="17" t="n">
        <f aca="false">'Dish Database'!K189*H568/100</f>
        <v>4.125</v>
      </c>
      <c r="L568" s="17" t="n">
        <f aca="false">'Dish Database'!L189*H568/100</f>
        <v>26.4</v>
      </c>
      <c r="M568" s="17" t="n">
        <f aca="false">'Dish Database'!M189*H568/100</f>
        <v>2.475</v>
      </c>
      <c r="N568" s="17" t="n">
        <f aca="false">'Dish Database'!N189*H568/100</f>
        <v>3.85</v>
      </c>
      <c r="O568" s="17" t="n">
        <f aca="false">'Dish Database'!O189*H568/100</f>
        <v>0.55</v>
      </c>
      <c r="P568" s="13" t="n">
        <f aca="false">'Dish Database'!P189*H568/100</f>
        <v>5.5</v>
      </c>
    </row>
    <row r="569" customFormat="false" ht="15" hidden="false" customHeight="false" outlineLevel="0" collapsed="false">
      <c r="A569" s="6" t="str">
        <f aca="false">'Dish Database'!A189</f>
        <v>D188</v>
      </c>
      <c r="B569" s="6" t="str">
        <f aca="false">'Dish Database'!B189</f>
        <v>Bajra roti</v>
      </c>
      <c r="C569" s="6" t="str">
        <f aca="false">'Dish Database'!D189</f>
        <v>Breads</v>
      </c>
      <c r="D569" s="6" t="str">
        <f aca="false">'Dish Database'!F189</f>
        <v>Veg</v>
      </c>
      <c r="E569" s="6" t="str">
        <f aca="false">'Dish Database'!E189</f>
        <v>West</v>
      </c>
      <c r="F569" s="6" t="s">
        <v>2246</v>
      </c>
      <c r="G569" s="6" t="s">
        <v>2450</v>
      </c>
      <c r="H569" s="16" t="n">
        <v>70</v>
      </c>
      <c r="I569" s="6" t="str">
        <f aca="false">'Dish Database'!I189</f>
        <v>g</v>
      </c>
      <c r="J569" s="13" t="n">
        <f aca="false">'Dish Database'!J189*H569/100</f>
        <v>173.95</v>
      </c>
      <c r="K569" s="17" t="n">
        <f aca="false">'Dish Database'!K189*H569/100</f>
        <v>5.25</v>
      </c>
      <c r="L569" s="17" t="n">
        <f aca="false">'Dish Database'!L189*H569/100</f>
        <v>33.6</v>
      </c>
      <c r="M569" s="17" t="n">
        <f aca="false">'Dish Database'!M189*H569/100</f>
        <v>3.15</v>
      </c>
      <c r="N569" s="17" t="n">
        <f aca="false">'Dish Database'!N189*H569/100</f>
        <v>4.9</v>
      </c>
      <c r="O569" s="17" t="n">
        <f aca="false">'Dish Database'!O189*H569/100</f>
        <v>0.7</v>
      </c>
      <c r="P569" s="13" t="n">
        <f aca="false">'Dish Database'!P189*H569/100</f>
        <v>7</v>
      </c>
    </row>
    <row r="570" customFormat="false" ht="15" hidden="false" customHeight="false" outlineLevel="0" collapsed="false">
      <c r="A570" s="6" t="str">
        <f aca="false">'Dish Database'!A190</f>
        <v>D189</v>
      </c>
      <c r="B570" s="6" t="str">
        <f aca="false">'Dish Database'!B190</f>
        <v>Jowar roti / bhakri</v>
      </c>
      <c r="C570" s="6" t="str">
        <f aca="false">'Dish Database'!D190</f>
        <v>Breads</v>
      </c>
      <c r="D570" s="6" t="str">
        <f aca="false">'Dish Database'!F190</f>
        <v>Veg</v>
      </c>
      <c r="E570" s="6" t="str">
        <f aca="false">'Dish Database'!E190</f>
        <v>West</v>
      </c>
      <c r="F570" s="6" t="s">
        <v>2243</v>
      </c>
      <c r="G570" s="6" t="s">
        <v>2448</v>
      </c>
      <c r="H570" s="16" t="n">
        <v>40</v>
      </c>
      <c r="I570" s="6" t="str">
        <f aca="false">'Dish Database'!I190</f>
        <v>g</v>
      </c>
      <c r="J570" s="13" t="n">
        <f aca="false">'Dish Database'!J190*H570/100</f>
        <v>93.6</v>
      </c>
      <c r="K570" s="17" t="n">
        <f aca="false">'Dish Database'!K190*H570/100</f>
        <v>2.8</v>
      </c>
      <c r="L570" s="17" t="n">
        <f aca="false">'Dish Database'!L190*H570/100</f>
        <v>20</v>
      </c>
      <c r="M570" s="17" t="n">
        <f aca="false">'Dish Database'!M190*H570/100</f>
        <v>0.8</v>
      </c>
      <c r="N570" s="17" t="n">
        <f aca="false">'Dish Database'!N190*H570/100</f>
        <v>2.4</v>
      </c>
      <c r="O570" s="17" t="n">
        <f aca="false">'Dish Database'!O190*H570/100</f>
        <v>0.4</v>
      </c>
      <c r="P570" s="13" t="n">
        <f aca="false">'Dish Database'!P190*H570/100</f>
        <v>4</v>
      </c>
    </row>
    <row r="571" customFormat="false" ht="15" hidden="false" customHeight="false" outlineLevel="0" collapsed="false">
      <c r="A571" s="6" t="str">
        <f aca="false">'Dish Database'!A190</f>
        <v>D189</v>
      </c>
      <c r="B571" s="6" t="str">
        <f aca="false">'Dish Database'!B190</f>
        <v>Jowar roti / bhakri</v>
      </c>
      <c r="C571" s="6" t="str">
        <f aca="false">'Dish Database'!D190</f>
        <v>Breads</v>
      </c>
      <c r="D571" s="6" t="str">
        <f aca="false">'Dish Database'!F190</f>
        <v>Veg</v>
      </c>
      <c r="E571" s="6" t="str">
        <f aca="false">'Dish Database'!E190</f>
        <v>West</v>
      </c>
      <c r="F571" s="6" t="s">
        <v>103</v>
      </c>
      <c r="G571" s="6" t="s">
        <v>2449</v>
      </c>
      <c r="H571" s="16" t="n">
        <v>55</v>
      </c>
      <c r="I571" s="6" t="str">
        <f aca="false">'Dish Database'!I190</f>
        <v>g</v>
      </c>
      <c r="J571" s="13" t="n">
        <f aca="false">'Dish Database'!J190*H571/100</f>
        <v>128.7</v>
      </c>
      <c r="K571" s="17" t="n">
        <f aca="false">'Dish Database'!K190*H571/100</f>
        <v>3.85</v>
      </c>
      <c r="L571" s="17" t="n">
        <f aca="false">'Dish Database'!L190*H571/100</f>
        <v>27.5</v>
      </c>
      <c r="M571" s="17" t="n">
        <f aca="false">'Dish Database'!M190*H571/100</f>
        <v>1.1</v>
      </c>
      <c r="N571" s="17" t="n">
        <f aca="false">'Dish Database'!N190*H571/100</f>
        <v>3.3</v>
      </c>
      <c r="O571" s="17" t="n">
        <f aca="false">'Dish Database'!O190*H571/100</f>
        <v>0.55</v>
      </c>
      <c r="P571" s="13" t="n">
        <f aca="false">'Dish Database'!P190*H571/100</f>
        <v>5.5</v>
      </c>
    </row>
    <row r="572" customFormat="false" ht="15" hidden="false" customHeight="false" outlineLevel="0" collapsed="false">
      <c r="A572" s="6" t="str">
        <f aca="false">'Dish Database'!A190</f>
        <v>D189</v>
      </c>
      <c r="B572" s="6" t="str">
        <f aca="false">'Dish Database'!B190</f>
        <v>Jowar roti / bhakri</v>
      </c>
      <c r="C572" s="6" t="str">
        <f aca="false">'Dish Database'!D190</f>
        <v>Breads</v>
      </c>
      <c r="D572" s="6" t="str">
        <f aca="false">'Dish Database'!F190</f>
        <v>Veg</v>
      </c>
      <c r="E572" s="6" t="str">
        <f aca="false">'Dish Database'!E190</f>
        <v>West</v>
      </c>
      <c r="F572" s="6" t="s">
        <v>2246</v>
      </c>
      <c r="G572" s="6" t="s">
        <v>2450</v>
      </c>
      <c r="H572" s="16" t="n">
        <v>70</v>
      </c>
      <c r="I572" s="6" t="str">
        <f aca="false">'Dish Database'!I190</f>
        <v>g</v>
      </c>
      <c r="J572" s="13" t="n">
        <f aca="false">'Dish Database'!J190*H572/100</f>
        <v>163.8</v>
      </c>
      <c r="K572" s="17" t="n">
        <f aca="false">'Dish Database'!K190*H572/100</f>
        <v>4.9</v>
      </c>
      <c r="L572" s="17" t="n">
        <f aca="false">'Dish Database'!L190*H572/100</f>
        <v>35</v>
      </c>
      <c r="M572" s="17" t="n">
        <f aca="false">'Dish Database'!M190*H572/100</f>
        <v>1.4</v>
      </c>
      <c r="N572" s="17" t="n">
        <f aca="false">'Dish Database'!N190*H572/100</f>
        <v>4.2</v>
      </c>
      <c r="O572" s="17" t="n">
        <f aca="false">'Dish Database'!O190*H572/100</f>
        <v>0.7</v>
      </c>
      <c r="P572" s="13" t="n">
        <f aca="false">'Dish Database'!P190*H572/100</f>
        <v>7</v>
      </c>
    </row>
    <row r="573" customFormat="false" ht="15" hidden="false" customHeight="false" outlineLevel="0" collapsed="false">
      <c r="A573" s="6" t="str">
        <f aca="false">'Dish Database'!A191</f>
        <v>D190</v>
      </c>
      <c r="B573" s="6" t="str">
        <f aca="false">'Dish Database'!B191</f>
        <v>Ragi roti</v>
      </c>
      <c r="C573" s="6" t="str">
        <f aca="false">'Dish Database'!D191</f>
        <v>Breads</v>
      </c>
      <c r="D573" s="6" t="str">
        <f aca="false">'Dish Database'!F191</f>
        <v>Veg</v>
      </c>
      <c r="E573" s="6" t="str">
        <f aca="false">'Dish Database'!E191</f>
        <v>South</v>
      </c>
      <c r="F573" s="6" t="s">
        <v>2243</v>
      </c>
      <c r="G573" s="6" t="s">
        <v>2448</v>
      </c>
      <c r="H573" s="16" t="n">
        <v>40</v>
      </c>
      <c r="I573" s="6" t="str">
        <f aca="false">'Dish Database'!I191</f>
        <v>g</v>
      </c>
      <c r="J573" s="13" t="n">
        <f aca="false">'Dish Database'!J191*H573/100</f>
        <v>93.6</v>
      </c>
      <c r="K573" s="17" t="n">
        <f aca="false">'Dish Database'!K191*H573/100</f>
        <v>2</v>
      </c>
      <c r="L573" s="17" t="n">
        <f aca="false">'Dish Database'!L191*H573/100</f>
        <v>19.2</v>
      </c>
      <c r="M573" s="17" t="n">
        <f aca="false">'Dish Database'!M191*H573/100</f>
        <v>1.6</v>
      </c>
      <c r="N573" s="17" t="n">
        <f aca="false">'Dish Database'!N191*H573/100</f>
        <v>2.8</v>
      </c>
      <c r="O573" s="17" t="n">
        <f aca="false">'Dish Database'!O191*H573/100</f>
        <v>0.2</v>
      </c>
      <c r="P573" s="13" t="n">
        <f aca="false">'Dish Database'!P191*H573/100</f>
        <v>4</v>
      </c>
    </row>
    <row r="574" customFormat="false" ht="15" hidden="false" customHeight="false" outlineLevel="0" collapsed="false">
      <c r="A574" s="6" t="str">
        <f aca="false">'Dish Database'!A191</f>
        <v>D190</v>
      </c>
      <c r="B574" s="6" t="str">
        <f aca="false">'Dish Database'!B191</f>
        <v>Ragi roti</v>
      </c>
      <c r="C574" s="6" t="str">
        <f aca="false">'Dish Database'!D191</f>
        <v>Breads</v>
      </c>
      <c r="D574" s="6" t="str">
        <f aca="false">'Dish Database'!F191</f>
        <v>Veg</v>
      </c>
      <c r="E574" s="6" t="str">
        <f aca="false">'Dish Database'!E191</f>
        <v>South</v>
      </c>
      <c r="F574" s="6" t="s">
        <v>103</v>
      </c>
      <c r="G574" s="6" t="s">
        <v>2449</v>
      </c>
      <c r="H574" s="16" t="n">
        <v>55</v>
      </c>
      <c r="I574" s="6" t="str">
        <f aca="false">'Dish Database'!I191</f>
        <v>g</v>
      </c>
      <c r="J574" s="13" t="n">
        <f aca="false">'Dish Database'!J191*H574/100</f>
        <v>128.7</v>
      </c>
      <c r="K574" s="17" t="n">
        <f aca="false">'Dish Database'!K191*H574/100</f>
        <v>2.75</v>
      </c>
      <c r="L574" s="17" t="n">
        <f aca="false">'Dish Database'!L191*H574/100</f>
        <v>26.4</v>
      </c>
      <c r="M574" s="17" t="n">
        <f aca="false">'Dish Database'!M191*H574/100</f>
        <v>2.2</v>
      </c>
      <c r="N574" s="17" t="n">
        <f aca="false">'Dish Database'!N191*H574/100</f>
        <v>3.85</v>
      </c>
      <c r="O574" s="17" t="n">
        <f aca="false">'Dish Database'!O191*H574/100</f>
        <v>0.275</v>
      </c>
      <c r="P574" s="13" t="n">
        <f aca="false">'Dish Database'!P191*H574/100</f>
        <v>5.5</v>
      </c>
    </row>
    <row r="575" customFormat="false" ht="15" hidden="false" customHeight="false" outlineLevel="0" collapsed="false">
      <c r="A575" s="6" t="str">
        <f aca="false">'Dish Database'!A191</f>
        <v>D190</v>
      </c>
      <c r="B575" s="6" t="str">
        <f aca="false">'Dish Database'!B191</f>
        <v>Ragi roti</v>
      </c>
      <c r="C575" s="6" t="str">
        <f aca="false">'Dish Database'!D191</f>
        <v>Breads</v>
      </c>
      <c r="D575" s="6" t="str">
        <f aca="false">'Dish Database'!F191</f>
        <v>Veg</v>
      </c>
      <c r="E575" s="6" t="str">
        <f aca="false">'Dish Database'!E191</f>
        <v>South</v>
      </c>
      <c r="F575" s="6" t="s">
        <v>2246</v>
      </c>
      <c r="G575" s="6" t="s">
        <v>2450</v>
      </c>
      <c r="H575" s="16" t="n">
        <v>70</v>
      </c>
      <c r="I575" s="6" t="str">
        <f aca="false">'Dish Database'!I191</f>
        <v>g</v>
      </c>
      <c r="J575" s="13" t="n">
        <f aca="false">'Dish Database'!J191*H575/100</f>
        <v>163.8</v>
      </c>
      <c r="K575" s="17" t="n">
        <f aca="false">'Dish Database'!K191*H575/100</f>
        <v>3.5</v>
      </c>
      <c r="L575" s="17" t="n">
        <f aca="false">'Dish Database'!L191*H575/100</f>
        <v>33.6</v>
      </c>
      <c r="M575" s="17" t="n">
        <f aca="false">'Dish Database'!M191*H575/100</f>
        <v>2.8</v>
      </c>
      <c r="N575" s="17" t="n">
        <f aca="false">'Dish Database'!N191*H575/100</f>
        <v>4.9</v>
      </c>
      <c r="O575" s="17" t="n">
        <f aca="false">'Dish Database'!O191*H575/100</f>
        <v>0.35</v>
      </c>
      <c r="P575" s="13" t="n">
        <f aca="false">'Dish Database'!P191*H575/100</f>
        <v>7</v>
      </c>
    </row>
    <row r="576" customFormat="false" ht="15" hidden="false" customHeight="false" outlineLevel="0" collapsed="false">
      <c r="A576" s="6" t="str">
        <f aca="false">'Dish Database'!A192</f>
        <v>D191</v>
      </c>
      <c r="B576" s="6" t="str">
        <f aca="false">'Dish Database'!B192</f>
        <v>Rumali roti</v>
      </c>
      <c r="C576" s="6" t="str">
        <f aca="false">'Dish Database'!D192</f>
        <v>Breads</v>
      </c>
      <c r="D576" s="6" t="str">
        <f aca="false">'Dish Database'!F192</f>
        <v>Veg</v>
      </c>
      <c r="E576" s="6" t="str">
        <f aca="false">'Dish Database'!E192</f>
        <v>North</v>
      </c>
      <c r="F576" s="6" t="s">
        <v>2243</v>
      </c>
      <c r="G576" s="6" t="s">
        <v>2448</v>
      </c>
      <c r="H576" s="16" t="n">
        <v>40</v>
      </c>
      <c r="I576" s="6" t="str">
        <f aca="false">'Dish Database'!I192</f>
        <v>g</v>
      </c>
      <c r="J576" s="13" t="n">
        <f aca="false">'Dish Database'!J192*H576/100</f>
        <v>106.4</v>
      </c>
      <c r="K576" s="17" t="n">
        <f aca="false">'Dish Database'!K192*H576/100</f>
        <v>3.4</v>
      </c>
      <c r="L576" s="17" t="n">
        <f aca="false">'Dish Database'!L192*H576/100</f>
        <v>20</v>
      </c>
      <c r="M576" s="17" t="n">
        <f aca="false">'Dish Database'!M192*H576/100</f>
        <v>1.6</v>
      </c>
      <c r="N576" s="17" t="n">
        <f aca="false">'Dish Database'!N192*H576/100</f>
        <v>0.8</v>
      </c>
      <c r="O576" s="17" t="n">
        <f aca="false">'Dish Database'!O192*H576/100</f>
        <v>0.6</v>
      </c>
      <c r="P576" s="13" t="n">
        <f aca="false">'Dish Database'!P192*H576/100</f>
        <v>140</v>
      </c>
    </row>
    <row r="577" customFormat="false" ht="15" hidden="false" customHeight="false" outlineLevel="0" collapsed="false">
      <c r="A577" s="6" t="str">
        <f aca="false">'Dish Database'!A192</f>
        <v>D191</v>
      </c>
      <c r="B577" s="6" t="str">
        <f aca="false">'Dish Database'!B192</f>
        <v>Rumali roti</v>
      </c>
      <c r="C577" s="6" t="str">
        <f aca="false">'Dish Database'!D192</f>
        <v>Breads</v>
      </c>
      <c r="D577" s="6" t="str">
        <f aca="false">'Dish Database'!F192</f>
        <v>Veg</v>
      </c>
      <c r="E577" s="6" t="str">
        <f aca="false">'Dish Database'!E192</f>
        <v>North</v>
      </c>
      <c r="F577" s="6" t="s">
        <v>103</v>
      </c>
      <c r="G577" s="6" t="s">
        <v>2449</v>
      </c>
      <c r="H577" s="16" t="n">
        <v>55</v>
      </c>
      <c r="I577" s="6" t="str">
        <f aca="false">'Dish Database'!I192</f>
        <v>g</v>
      </c>
      <c r="J577" s="13" t="n">
        <f aca="false">'Dish Database'!J192*H577/100</f>
        <v>146.3</v>
      </c>
      <c r="K577" s="17" t="n">
        <f aca="false">'Dish Database'!K192*H577/100</f>
        <v>4.675</v>
      </c>
      <c r="L577" s="17" t="n">
        <f aca="false">'Dish Database'!L192*H577/100</f>
        <v>27.5</v>
      </c>
      <c r="M577" s="17" t="n">
        <f aca="false">'Dish Database'!M192*H577/100</f>
        <v>2.2</v>
      </c>
      <c r="N577" s="17" t="n">
        <f aca="false">'Dish Database'!N192*H577/100</f>
        <v>1.1</v>
      </c>
      <c r="O577" s="17" t="n">
        <f aca="false">'Dish Database'!O192*H577/100</f>
        <v>0.825</v>
      </c>
      <c r="P577" s="13" t="n">
        <f aca="false">'Dish Database'!P192*H577/100</f>
        <v>192.5</v>
      </c>
    </row>
    <row r="578" customFormat="false" ht="15" hidden="false" customHeight="false" outlineLevel="0" collapsed="false">
      <c r="A578" s="6" t="str">
        <f aca="false">'Dish Database'!A192</f>
        <v>D191</v>
      </c>
      <c r="B578" s="6" t="str">
        <f aca="false">'Dish Database'!B192</f>
        <v>Rumali roti</v>
      </c>
      <c r="C578" s="6" t="str">
        <f aca="false">'Dish Database'!D192</f>
        <v>Breads</v>
      </c>
      <c r="D578" s="6" t="str">
        <f aca="false">'Dish Database'!F192</f>
        <v>Veg</v>
      </c>
      <c r="E578" s="6" t="str">
        <f aca="false">'Dish Database'!E192</f>
        <v>North</v>
      </c>
      <c r="F578" s="6" t="s">
        <v>2246</v>
      </c>
      <c r="G578" s="6" t="s">
        <v>2450</v>
      </c>
      <c r="H578" s="16" t="n">
        <v>70</v>
      </c>
      <c r="I578" s="6" t="str">
        <f aca="false">'Dish Database'!I192</f>
        <v>g</v>
      </c>
      <c r="J578" s="13" t="n">
        <f aca="false">'Dish Database'!J192*H578/100</f>
        <v>186.2</v>
      </c>
      <c r="K578" s="17" t="n">
        <f aca="false">'Dish Database'!K192*H578/100</f>
        <v>5.95</v>
      </c>
      <c r="L578" s="17" t="n">
        <f aca="false">'Dish Database'!L192*H578/100</f>
        <v>35</v>
      </c>
      <c r="M578" s="17" t="n">
        <f aca="false">'Dish Database'!M192*H578/100</f>
        <v>2.8</v>
      </c>
      <c r="N578" s="17" t="n">
        <f aca="false">'Dish Database'!N192*H578/100</f>
        <v>1.4</v>
      </c>
      <c r="O578" s="17" t="n">
        <f aca="false">'Dish Database'!O192*H578/100</f>
        <v>1.05</v>
      </c>
      <c r="P578" s="13" t="n">
        <f aca="false">'Dish Database'!P192*H578/100</f>
        <v>245</v>
      </c>
    </row>
    <row r="579" customFormat="false" ht="15" hidden="false" customHeight="false" outlineLevel="0" collapsed="false">
      <c r="A579" s="6" t="str">
        <f aca="false">'Dish Database'!A193</f>
        <v>D192</v>
      </c>
      <c r="B579" s="6" t="str">
        <f aca="false">'Dish Database'!B193</f>
        <v>Luchi</v>
      </c>
      <c r="C579" s="6" t="str">
        <f aca="false">'Dish Database'!D193</f>
        <v>Breads</v>
      </c>
      <c r="D579" s="6" t="str">
        <f aca="false">'Dish Database'!F193</f>
        <v>Veg</v>
      </c>
      <c r="E579" s="6" t="str">
        <f aca="false">'Dish Database'!E193</f>
        <v>East</v>
      </c>
      <c r="F579" s="6" t="s">
        <v>2243</v>
      </c>
      <c r="G579" s="6" t="s">
        <v>2479</v>
      </c>
      <c r="H579" s="16" t="n">
        <v>15</v>
      </c>
      <c r="I579" s="6" t="str">
        <f aca="false">'Dish Database'!I193</f>
        <v>g</v>
      </c>
      <c r="J579" s="13" t="n">
        <f aca="false">'Dish Database'!J193*H579/100</f>
        <v>54.96</v>
      </c>
      <c r="K579" s="17" t="n">
        <f aca="false">'Dish Database'!K193*H579/100</f>
        <v>1.05</v>
      </c>
      <c r="L579" s="17" t="n">
        <f aca="false">'Dish Database'!L193*H579/100</f>
        <v>6.75</v>
      </c>
      <c r="M579" s="17" t="n">
        <f aca="false">'Dish Database'!M193*H579/100</f>
        <v>2.7</v>
      </c>
      <c r="N579" s="17" t="n">
        <f aca="false">'Dish Database'!N193*H579/100</f>
        <v>0.27</v>
      </c>
      <c r="O579" s="17" t="n">
        <f aca="false">'Dish Database'!O193*H579/100</f>
        <v>0.15</v>
      </c>
      <c r="P579" s="13" t="n">
        <f aca="false">'Dish Database'!P193*H579/100</f>
        <v>37.5</v>
      </c>
    </row>
    <row r="580" customFormat="false" ht="15" hidden="false" customHeight="false" outlineLevel="0" collapsed="false">
      <c r="A580" s="6" t="str">
        <f aca="false">'Dish Database'!A193</f>
        <v>D192</v>
      </c>
      <c r="B580" s="6" t="str">
        <f aca="false">'Dish Database'!B193</f>
        <v>Luchi</v>
      </c>
      <c r="C580" s="6" t="str">
        <f aca="false">'Dish Database'!D193</f>
        <v>Breads</v>
      </c>
      <c r="D580" s="6" t="str">
        <f aca="false">'Dish Database'!F193</f>
        <v>Veg</v>
      </c>
      <c r="E580" s="6" t="str">
        <f aca="false">'Dish Database'!E193</f>
        <v>East</v>
      </c>
      <c r="F580" s="6" t="s">
        <v>103</v>
      </c>
      <c r="G580" s="6" t="s">
        <v>2480</v>
      </c>
      <c r="H580" s="16" t="n">
        <v>25</v>
      </c>
      <c r="I580" s="6" t="str">
        <f aca="false">'Dish Database'!I193</f>
        <v>g</v>
      </c>
      <c r="J580" s="13" t="n">
        <f aca="false">'Dish Database'!J193*H580/100</f>
        <v>91.6</v>
      </c>
      <c r="K580" s="17" t="n">
        <f aca="false">'Dish Database'!K193*H580/100</f>
        <v>1.75</v>
      </c>
      <c r="L580" s="17" t="n">
        <f aca="false">'Dish Database'!L193*H580/100</f>
        <v>11.25</v>
      </c>
      <c r="M580" s="17" t="n">
        <f aca="false">'Dish Database'!M193*H580/100</f>
        <v>4.5</v>
      </c>
      <c r="N580" s="17" t="n">
        <f aca="false">'Dish Database'!N193*H580/100</f>
        <v>0.45</v>
      </c>
      <c r="O580" s="17" t="n">
        <f aca="false">'Dish Database'!O193*H580/100</f>
        <v>0.25</v>
      </c>
      <c r="P580" s="13" t="n">
        <f aca="false">'Dish Database'!P193*H580/100</f>
        <v>62.5</v>
      </c>
    </row>
    <row r="581" customFormat="false" ht="15" hidden="false" customHeight="false" outlineLevel="0" collapsed="false">
      <c r="A581" s="6" t="str">
        <f aca="false">'Dish Database'!A193</f>
        <v>D192</v>
      </c>
      <c r="B581" s="6" t="str">
        <f aca="false">'Dish Database'!B193</f>
        <v>Luchi</v>
      </c>
      <c r="C581" s="6" t="str">
        <f aca="false">'Dish Database'!D193</f>
        <v>Breads</v>
      </c>
      <c r="D581" s="6" t="str">
        <f aca="false">'Dish Database'!F193</f>
        <v>Veg</v>
      </c>
      <c r="E581" s="6" t="str">
        <f aca="false">'Dish Database'!E193</f>
        <v>East</v>
      </c>
      <c r="F581" s="6" t="s">
        <v>2246</v>
      </c>
      <c r="G581" s="6" t="s">
        <v>2481</v>
      </c>
      <c r="H581" s="16" t="n">
        <v>35</v>
      </c>
      <c r="I581" s="6" t="str">
        <f aca="false">'Dish Database'!I193</f>
        <v>g</v>
      </c>
      <c r="J581" s="13" t="n">
        <f aca="false">'Dish Database'!J193*H581/100</f>
        <v>128.24</v>
      </c>
      <c r="K581" s="17" t="n">
        <f aca="false">'Dish Database'!K193*H581/100</f>
        <v>2.45</v>
      </c>
      <c r="L581" s="17" t="n">
        <f aca="false">'Dish Database'!L193*H581/100</f>
        <v>15.75</v>
      </c>
      <c r="M581" s="17" t="n">
        <f aca="false">'Dish Database'!M193*H581/100</f>
        <v>6.3</v>
      </c>
      <c r="N581" s="17" t="n">
        <f aca="false">'Dish Database'!N193*H581/100</f>
        <v>0.63</v>
      </c>
      <c r="O581" s="17" t="n">
        <f aca="false">'Dish Database'!O193*H581/100</f>
        <v>0.35</v>
      </c>
      <c r="P581" s="13" t="n">
        <f aca="false">'Dish Database'!P193*H581/100</f>
        <v>87.5</v>
      </c>
    </row>
    <row r="582" customFormat="false" ht="15" hidden="false" customHeight="false" outlineLevel="0" collapsed="false">
      <c r="A582" s="6" t="str">
        <f aca="false">'Dish Database'!A194</f>
        <v>D193</v>
      </c>
      <c r="B582" s="6" t="str">
        <f aca="false">'Dish Database'!B194</f>
        <v>Bhatura</v>
      </c>
      <c r="C582" s="6" t="str">
        <f aca="false">'Dish Database'!D194</f>
        <v>Breads</v>
      </c>
      <c r="D582" s="6" t="str">
        <f aca="false">'Dish Database'!F194</f>
        <v>Veg</v>
      </c>
      <c r="E582" s="6" t="str">
        <f aca="false">'Dish Database'!E194</f>
        <v>North</v>
      </c>
      <c r="F582" s="6" t="s">
        <v>2243</v>
      </c>
      <c r="G582" s="6" t="s">
        <v>2482</v>
      </c>
      <c r="H582" s="16" t="n">
        <v>60</v>
      </c>
      <c r="I582" s="6" t="str">
        <f aca="false">'Dish Database'!I194</f>
        <v>g</v>
      </c>
      <c r="J582" s="13" t="n">
        <f aca="false">'Dish Database'!J194*H582/100</f>
        <v>199.2</v>
      </c>
      <c r="K582" s="17" t="n">
        <f aca="false">'Dish Database'!K194*H582/100</f>
        <v>4.5</v>
      </c>
      <c r="L582" s="17" t="n">
        <f aca="false">'Dish Database'!L194*H582/100</f>
        <v>27</v>
      </c>
      <c r="M582" s="17" t="n">
        <f aca="false">'Dish Database'!M194*H582/100</f>
        <v>8.4</v>
      </c>
      <c r="N582" s="17" t="n">
        <f aca="false">'Dish Database'!N194*H582/100</f>
        <v>1.2</v>
      </c>
      <c r="O582" s="17" t="n">
        <f aca="false">'Dish Database'!O194*H582/100</f>
        <v>1.2</v>
      </c>
      <c r="P582" s="13" t="n">
        <f aca="false">'Dish Database'!P194*H582/100</f>
        <v>240</v>
      </c>
    </row>
    <row r="583" customFormat="false" ht="15" hidden="false" customHeight="false" outlineLevel="0" collapsed="false">
      <c r="A583" s="6" t="str">
        <f aca="false">'Dish Database'!A194</f>
        <v>D193</v>
      </c>
      <c r="B583" s="6" t="str">
        <f aca="false">'Dish Database'!B194</f>
        <v>Bhatura</v>
      </c>
      <c r="C583" s="6" t="str">
        <f aca="false">'Dish Database'!D194</f>
        <v>Breads</v>
      </c>
      <c r="D583" s="6" t="str">
        <f aca="false">'Dish Database'!F194</f>
        <v>Veg</v>
      </c>
      <c r="E583" s="6" t="str">
        <f aca="false">'Dish Database'!E194</f>
        <v>North</v>
      </c>
      <c r="F583" s="6" t="s">
        <v>103</v>
      </c>
      <c r="G583" s="6" t="s">
        <v>2483</v>
      </c>
      <c r="H583" s="16" t="n">
        <v>80</v>
      </c>
      <c r="I583" s="6" t="str">
        <f aca="false">'Dish Database'!I194</f>
        <v>g</v>
      </c>
      <c r="J583" s="13" t="n">
        <f aca="false">'Dish Database'!J194*H583/100</f>
        <v>265.6</v>
      </c>
      <c r="K583" s="17" t="n">
        <f aca="false">'Dish Database'!K194*H583/100</f>
        <v>6</v>
      </c>
      <c r="L583" s="17" t="n">
        <f aca="false">'Dish Database'!L194*H583/100</f>
        <v>36</v>
      </c>
      <c r="M583" s="17" t="n">
        <f aca="false">'Dish Database'!M194*H583/100</f>
        <v>11.2</v>
      </c>
      <c r="N583" s="17" t="n">
        <f aca="false">'Dish Database'!N194*H583/100</f>
        <v>1.6</v>
      </c>
      <c r="O583" s="17" t="n">
        <f aca="false">'Dish Database'!O194*H583/100</f>
        <v>1.6</v>
      </c>
      <c r="P583" s="13" t="n">
        <f aca="false">'Dish Database'!P194*H583/100</f>
        <v>320</v>
      </c>
    </row>
    <row r="584" customFormat="false" ht="15" hidden="false" customHeight="false" outlineLevel="0" collapsed="false">
      <c r="A584" s="6" t="str">
        <f aca="false">'Dish Database'!A194</f>
        <v>D193</v>
      </c>
      <c r="B584" s="6" t="str">
        <f aca="false">'Dish Database'!B194</f>
        <v>Bhatura</v>
      </c>
      <c r="C584" s="6" t="str">
        <f aca="false">'Dish Database'!D194</f>
        <v>Breads</v>
      </c>
      <c r="D584" s="6" t="str">
        <f aca="false">'Dish Database'!F194</f>
        <v>Veg</v>
      </c>
      <c r="E584" s="6" t="str">
        <f aca="false">'Dish Database'!E194</f>
        <v>North</v>
      </c>
      <c r="F584" s="6" t="s">
        <v>2246</v>
      </c>
      <c r="G584" s="6" t="s">
        <v>2484</v>
      </c>
      <c r="H584" s="16" t="n">
        <v>110</v>
      </c>
      <c r="I584" s="6" t="str">
        <f aca="false">'Dish Database'!I194</f>
        <v>g</v>
      </c>
      <c r="J584" s="13" t="n">
        <f aca="false">'Dish Database'!J194*H584/100</f>
        <v>365.2</v>
      </c>
      <c r="K584" s="17" t="n">
        <f aca="false">'Dish Database'!K194*H584/100</f>
        <v>8.25</v>
      </c>
      <c r="L584" s="17" t="n">
        <f aca="false">'Dish Database'!L194*H584/100</f>
        <v>49.5</v>
      </c>
      <c r="M584" s="17" t="n">
        <f aca="false">'Dish Database'!M194*H584/100</f>
        <v>15.4</v>
      </c>
      <c r="N584" s="17" t="n">
        <f aca="false">'Dish Database'!N194*H584/100</f>
        <v>2.2</v>
      </c>
      <c r="O584" s="17" t="n">
        <f aca="false">'Dish Database'!O194*H584/100</f>
        <v>2.2</v>
      </c>
      <c r="P584" s="13" t="n">
        <f aca="false">'Dish Database'!P194*H584/100</f>
        <v>440</v>
      </c>
    </row>
    <row r="585" customFormat="false" ht="15" hidden="false" customHeight="false" outlineLevel="0" collapsed="false">
      <c r="A585" s="6" t="str">
        <f aca="false">'Dish Database'!A195</f>
        <v>D194</v>
      </c>
      <c r="B585" s="6" t="str">
        <f aca="false">'Dish Database'!B195</f>
        <v>Baati (ghee-dipped)</v>
      </c>
      <c r="C585" s="6" t="str">
        <f aca="false">'Dish Database'!D195</f>
        <v>Breads</v>
      </c>
      <c r="D585" s="6" t="str">
        <f aca="false">'Dish Database'!F195</f>
        <v>Veg</v>
      </c>
      <c r="E585" s="6" t="str">
        <f aca="false">'Dish Database'!E195</f>
        <v>West</v>
      </c>
      <c r="F585" s="6" t="s">
        <v>2243</v>
      </c>
      <c r="G585" s="6" t="s">
        <v>2485</v>
      </c>
      <c r="H585" s="16" t="n">
        <v>60</v>
      </c>
      <c r="I585" s="6" t="str">
        <f aca="false">'Dish Database'!I195</f>
        <v>g</v>
      </c>
      <c r="J585" s="13" t="n">
        <f aca="false">'Dish Database'!J195*H585/100</f>
        <v>229.8</v>
      </c>
      <c r="K585" s="17" t="n">
        <f aca="false">'Dish Database'!K195*H585/100</f>
        <v>4.8</v>
      </c>
      <c r="L585" s="17" t="n">
        <f aca="false">'Dish Database'!L195*H585/100</f>
        <v>30</v>
      </c>
      <c r="M585" s="17" t="n">
        <f aca="false">'Dish Database'!M195*H585/100</f>
        <v>10.8</v>
      </c>
      <c r="N585" s="17" t="n">
        <f aca="false">'Dish Database'!N195*H585/100</f>
        <v>3.3</v>
      </c>
      <c r="O585" s="17" t="n">
        <f aca="false">'Dish Database'!O195*H585/100</f>
        <v>0.6</v>
      </c>
      <c r="P585" s="13" t="n">
        <f aca="false">'Dish Database'!P195*H585/100</f>
        <v>180</v>
      </c>
    </row>
    <row r="586" customFormat="false" ht="15" hidden="false" customHeight="false" outlineLevel="0" collapsed="false">
      <c r="A586" s="6" t="str">
        <f aca="false">'Dish Database'!A195</f>
        <v>D194</v>
      </c>
      <c r="B586" s="6" t="str">
        <f aca="false">'Dish Database'!B195</f>
        <v>Baati (ghee-dipped)</v>
      </c>
      <c r="C586" s="6" t="str">
        <f aca="false">'Dish Database'!D195</f>
        <v>Breads</v>
      </c>
      <c r="D586" s="6" t="str">
        <f aca="false">'Dish Database'!F195</f>
        <v>Veg</v>
      </c>
      <c r="E586" s="6" t="str">
        <f aca="false">'Dish Database'!E195</f>
        <v>West</v>
      </c>
      <c r="F586" s="6" t="s">
        <v>103</v>
      </c>
      <c r="G586" s="6" t="s">
        <v>2486</v>
      </c>
      <c r="H586" s="16" t="n">
        <v>80</v>
      </c>
      <c r="I586" s="6" t="str">
        <f aca="false">'Dish Database'!I195</f>
        <v>g</v>
      </c>
      <c r="J586" s="13" t="n">
        <f aca="false">'Dish Database'!J195*H586/100</f>
        <v>306.4</v>
      </c>
      <c r="K586" s="17" t="n">
        <f aca="false">'Dish Database'!K195*H586/100</f>
        <v>6.4</v>
      </c>
      <c r="L586" s="17" t="n">
        <f aca="false">'Dish Database'!L195*H586/100</f>
        <v>40</v>
      </c>
      <c r="M586" s="17" t="n">
        <f aca="false">'Dish Database'!M195*H586/100</f>
        <v>14.4</v>
      </c>
      <c r="N586" s="17" t="n">
        <f aca="false">'Dish Database'!N195*H586/100</f>
        <v>4.4</v>
      </c>
      <c r="O586" s="17" t="n">
        <f aca="false">'Dish Database'!O195*H586/100</f>
        <v>0.8</v>
      </c>
      <c r="P586" s="13" t="n">
        <f aca="false">'Dish Database'!P195*H586/100</f>
        <v>240</v>
      </c>
    </row>
    <row r="587" customFormat="false" ht="15" hidden="false" customHeight="false" outlineLevel="0" collapsed="false">
      <c r="A587" s="6" t="str">
        <f aca="false">'Dish Database'!A195</f>
        <v>D194</v>
      </c>
      <c r="B587" s="6" t="str">
        <f aca="false">'Dish Database'!B195</f>
        <v>Baati (ghee-dipped)</v>
      </c>
      <c r="C587" s="6" t="str">
        <f aca="false">'Dish Database'!D195</f>
        <v>Breads</v>
      </c>
      <c r="D587" s="6" t="str">
        <f aca="false">'Dish Database'!F195</f>
        <v>Veg</v>
      </c>
      <c r="E587" s="6" t="str">
        <f aca="false">'Dish Database'!E195</f>
        <v>West</v>
      </c>
      <c r="F587" s="6" t="s">
        <v>2246</v>
      </c>
      <c r="G587" s="6" t="s">
        <v>2487</v>
      </c>
      <c r="H587" s="16" t="n">
        <v>100</v>
      </c>
      <c r="I587" s="6" t="str">
        <f aca="false">'Dish Database'!I195</f>
        <v>g</v>
      </c>
      <c r="J587" s="13" t="n">
        <f aca="false">'Dish Database'!J195*H587/100</f>
        <v>383</v>
      </c>
      <c r="K587" s="17" t="n">
        <f aca="false">'Dish Database'!K195*H587/100</f>
        <v>8</v>
      </c>
      <c r="L587" s="17" t="n">
        <f aca="false">'Dish Database'!L195*H587/100</f>
        <v>50</v>
      </c>
      <c r="M587" s="17" t="n">
        <f aca="false">'Dish Database'!M195*H587/100</f>
        <v>18</v>
      </c>
      <c r="N587" s="17" t="n">
        <f aca="false">'Dish Database'!N195*H587/100</f>
        <v>5.5</v>
      </c>
      <c r="O587" s="17" t="n">
        <f aca="false">'Dish Database'!O195*H587/100</f>
        <v>1</v>
      </c>
      <c r="P587" s="13" t="n">
        <f aca="false">'Dish Database'!P195*H587/100</f>
        <v>300</v>
      </c>
    </row>
    <row r="588" customFormat="false" ht="15" hidden="false" customHeight="false" outlineLevel="0" collapsed="false">
      <c r="A588" s="6" t="str">
        <f aca="false">'Dish Database'!A196</f>
        <v>D195</v>
      </c>
      <c r="B588" s="6" t="str">
        <f aca="false">'Dish Database'!B196</f>
        <v>Pav (ladi pav)</v>
      </c>
      <c r="C588" s="6" t="str">
        <f aca="false">'Dish Database'!D196</f>
        <v>Breads</v>
      </c>
      <c r="D588" s="6" t="str">
        <f aca="false">'Dish Database'!F196</f>
        <v>Veg</v>
      </c>
      <c r="E588" s="6" t="str">
        <f aca="false">'Dish Database'!E196</f>
        <v>West</v>
      </c>
      <c r="F588" s="6" t="s">
        <v>2243</v>
      </c>
      <c r="G588" s="6" t="s">
        <v>2488</v>
      </c>
      <c r="H588" s="16" t="n">
        <v>30</v>
      </c>
      <c r="I588" s="6" t="str">
        <f aca="false">'Dish Database'!I196</f>
        <v>g</v>
      </c>
      <c r="J588" s="13" t="n">
        <f aca="false">'Dish Database'!J196*H588/100</f>
        <v>79.68</v>
      </c>
      <c r="K588" s="17" t="n">
        <f aca="false">'Dish Database'!K196*H588/100</f>
        <v>2.55</v>
      </c>
      <c r="L588" s="17" t="n">
        <f aca="false">'Dish Database'!L196*H588/100</f>
        <v>15</v>
      </c>
      <c r="M588" s="17" t="n">
        <f aca="false">'Dish Database'!M196*H588/100</f>
        <v>1.2</v>
      </c>
      <c r="N588" s="17" t="n">
        <f aca="false">'Dish Database'!N196*H588/100</f>
        <v>0.66</v>
      </c>
      <c r="O588" s="17" t="n">
        <f aca="false">'Dish Database'!O196*H588/100</f>
        <v>1.2</v>
      </c>
      <c r="P588" s="13" t="n">
        <f aca="false">'Dish Database'!P196*H588/100</f>
        <v>135</v>
      </c>
    </row>
    <row r="589" customFormat="false" ht="15" hidden="false" customHeight="false" outlineLevel="0" collapsed="false">
      <c r="A589" s="6" t="str">
        <f aca="false">'Dish Database'!A196</f>
        <v>D195</v>
      </c>
      <c r="B589" s="6" t="str">
        <f aca="false">'Dish Database'!B196</f>
        <v>Pav (ladi pav)</v>
      </c>
      <c r="C589" s="6" t="str">
        <f aca="false">'Dish Database'!D196</f>
        <v>Breads</v>
      </c>
      <c r="D589" s="6" t="str">
        <f aca="false">'Dish Database'!F196</f>
        <v>Veg</v>
      </c>
      <c r="E589" s="6" t="str">
        <f aca="false">'Dish Database'!E196</f>
        <v>West</v>
      </c>
      <c r="F589" s="6" t="s">
        <v>103</v>
      </c>
      <c r="G589" s="6" t="s">
        <v>2489</v>
      </c>
      <c r="H589" s="16" t="n">
        <v>40</v>
      </c>
      <c r="I589" s="6" t="str">
        <f aca="false">'Dish Database'!I196</f>
        <v>g</v>
      </c>
      <c r="J589" s="13" t="n">
        <f aca="false">'Dish Database'!J196*H589/100</f>
        <v>106.24</v>
      </c>
      <c r="K589" s="17" t="n">
        <f aca="false">'Dish Database'!K196*H589/100</f>
        <v>3.4</v>
      </c>
      <c r="L589" s="17" t="n">
        <f aca="false">'Dish Database'!L196*H589/100</f>
        <v>20</v>
      </c>
      <c r="M589" s="17" t="n">
        <f aca="false">'Dish Database'!M196*H589/100</f>
        <v>1.6</v>
      </c>
      <c r="N589" s="17" t="n">
        <f aca="false">'Dish Database'!N196*H589/100</f>
        <v>0.88</v>
      </c>
      <c r="O589" s="17" t="n">
        <f aca="false">'Dish Database'!O196*H589/100</f>
        <v>1.6</v>
      </c>
      <c r="P589" s="13" t="n">
        <f aca="false">'Dish Database'!P196*H589/100</f>
        <v>180</v>
      </c>
    </row>
    <row r="590" customFormat="false" ht="15" hidden="false" customHeight="false" outlineLevel="0" collapsed="false">
      <c r="A590" s="6" t="str">
        <f aca="false">'Dish Database'!A196</f>
        <v>D195</v>
      </c>
      <c r="B590" s="6" t="str">
        <f aca="false">'Dish Database'!B196</f>
        <v>Pav (ladi pav)</v>
      </c>
      <c r="C590" s="6" t="str">
        <f aca="false">'Dish Database'!D196</f>
        <v>Breads</v>
      </c>
      <c r="D590" s="6" t="str">
        <f aca="false">'Dish Database'!F196</f>
        <v>Veg</v>
      </c>
      <c r="E590" s="6" t="str">
        <f aca="false">'Dish Database'!E196</f>
        <v>West</v>
      </c>
      <c r="F590" s="6" t="s">
        <v>2246</v>
      </c>
      <c r="G590" s="6" t="s">
        <v>2490</v>
      </c>
      <c r="H590" s="16" t="n">
        <v>50</v>
      </c>
      <c r="I590" s="6" t="str">
        <f aca="false">'Dish Database'!I196</f>
        <v>g</v>
      </c>
      <c r="J590" s="13" t="n">
        <f aca="false">'Dish Database'!J196*H590/100</f>
        <v>132.8</v>
      </c>
      <c r="K590" s="17" t="n">
        <f aca="false">'Dish Database'!K196*H590/100</f>
        <v>4.25</v>
      </c>
      <c r="L590" s="17" t="n">
        <f aca="false">'Dish Database'!L196*H590/100</f>
        <v>25</v>
      </c>
      <c r="M590" s="17" t="n">
        <f aca="false">'Dish Database'!M196*H590/100</f>
        <v>2</v>
      </c>
      <c r="N590" s="17" t="n">
        <f aca="false">'Dish Database'!N196*H590/100</f>
        <v>1.1</v>
      </c>
      <c r="O590" s="17" t="n">
        <f aca="false">'Dish Database'!O196*H590/100</f>
        <v>2</v>
      </c>
      <c r="P590" s="13" t="n">
        <f aca="false">'Dish Database'!P196*H590/100</f>
        <v>225</v>
      </c>
    </row>
    <row r="591" customFormat="false" ht="15" hidden="false" customHeight="false" outlineLevel="0" collapsed="false">
      <c r="A591" s="6" t="str">
        <f aca="false">'Dish Database'!A197</f>
        <v>D196</v>
      </c>
      <c r="B591" s="6" t="str">
        <f aca="false">'Dish Database'!B197</f>
        <v>Butter pav (toasted)</v>
      </c>
      <c r="C591" s="6" t="str">
        <f aca="false">'Dish Database'!D197</f>
        <v>Breads</v>
      </c>
      <c r="D591" s="6" t="str">
        <f aca="false">'Dish Database'!F197</f>
        <v>Veg</v>
      </c>
      <c r="E591" s="6" t="str">
        <f aca="false">'Dish Database'!E197</f>
        <v>West</v>
      </c>
      <c r="F591" s="6" t="s">
        <v>2243</v>
      </c>
      <c r="G591" s="6" t="s">
        <v>2491</v>
      </c>
      <c r="H591" s="16" t="n">
        <v>35</v>
      </c>
      <c r="I591" s="6" t="str">
        <f aca="false">'Dish Database'!I197</f>
        <v>g</v>
      </c>
      <c r="J591" s="13" t="n">
        <f aca="false">'Dish Database'!J197*H591/100</f>
        <v>108.57</v>
      </c>
      <c r="K591" s="17" t="n">
        <f aca="false">'Dish Database'!K197*H591/100</f>
        <v>2.625</v>
      </c>
      <c r="L591" s="17" t="n">
        <f aca="false">'Dish Database'!L197*H591/100</f>
        <v>15.4</v>
      </c>
      <c r="M591" s="17" t="n">
        <f aca="false">'Dish Database'!M197*H591/100</f>
        <v>4.2</v>
      </c>
      <c r="N591" s="17" t="n">
        <f aca="false">'Dish Database'!N197*H591/100</f>
        <v>0.665</v>
      </c>
      <c r="O591" s="17" t="n">
        <f aca="false">'Dish Database'!O197*H591/100</f>
        <v>1.225</v>
      </c>
      <c r="P591" s="13" t="n">
        <f aca="false">'Dish Database'!P197*H591/100</f>
        <v>168</v>
      </c>
    </row>
    <row r="592" customFormat="false" ht="15" hidden="false" customHeight="false" outlineLevel="0" collapsed="false">
      <c r="A592" s="6" t="str">
        <f aca="false">'Dish Database'!A197</f>
        <v>D196</v>
      </c>
      <c r="B592" s="6" t="str">
        <f aca="false">'Dish Database'!B197</f>
        <v>Butter pav (toasted)</v>
      </c>
      <c r="C592" s="6" t="str">
        <f aca="false">'Dish Database'!D197</f>
        <v>Breads</v>
      </c>
      <c r="D592" s="6" t="str">
        <f aca="false">'Dish Database'!F197</f>
        <v>Veg</v>
      </c>
      <c r="E592" s="6" t="str">
        <f aca="false">'Dish Database'!E197</f>
        <v>West</v>
      </c>
      <c r="F592" s="6" t="s">
        <v>103</v>
      </c>
      <c r="G592" s="6" t="s">
        <v>2492</v>
      </c>
      <c r="H592" s="16" t="n">
        <v>45</v>
      </c>
      <c r="I592" s="6" t="str">
        <f aca="false">'Dish Database'!I197</f>
        <v>g</v>
      </c>
      <c r="J592" s="13" t="n">
        <f aca="false">'Dish Database'!J197*H592/100</f>
        <v>139.59</v>
      </c>
      <c r="K592" s="17" t="n">
        <f aca="false">'Dish Database'!K197*H592/100</f>
        <v>3.375</v>
      </c>
      <c r="L592" s="17" t="n">
        <f aca="false">'Dish Database'!L197*H592/100</f>
        <v>19.8</v>
      </c>
      <c r="M592" s="17" t="n">
        <f aca="false">'Dish Database'!M197*H592/100</f>
        <v>5.4</v>
      </c>
      <c r="N592" s="17" t="n">
        <f aca="false">'Dish Database'!N197*H592/100</f>
        <v>0.855</v>
      </c>
      <c r="O592" s="17" t="n">
        <f aca="false">'Dish Database'!O197*H592/100</f>
        <v>1.575</v>
      </c>
      <c r="P592" s="13" t="n">
        <f aca="false">'Dish Database'!P197*H592/100</f>
        <v>216</v>
      </c>
    </row>
    <row r="593" customFormat="false" ht="15" hidden="false" customHeight="false" outlineLevel="0" collapsed="false">
      <c r="A593" s="6" t="str">
        <f aca="false">'Dish Database'!A197</f>
        <v>D196</v>
      </c>
      <c r="B593" s="6" t="str">
        <f aca="false">'Dish Database'!B197</f>
        <v>Butter pav (toasted)</v>
      </c>
      <c r="C593" s="6" t="str">
        <f aca="false">'Dish Database'!D197</f>
        <v>Breads</v>
      </c>
      <c r="D593" s="6" t="str">
        <f aca="false">'Dish Database'!F197</f>
        <v>Veg</v>
      </c>
      <c r="E593" s="6" t="str">
        <f aca="false">'Dish Database'!E197</f>
        <v>West</v>
      </c>
      <c r="F593" s="6" t="s">
        <v>2246</v>
      </c>
      <c r="G593" s="6" t="s">
        <v>2493</v>
      </c>
      <c r="H593" s="16" t="n">
        <v>55</v>
      </c>
      <c r="I593" s="6" t="str">
        <f aca="false">'Dish Database'!I197</f>
        <v>g</v>
      </c>
      <c r="J593" s="13" t="n">
        <f aca="false">'Dish Database'!J197*H593/100</f>
        <v>170.61</v>
      </c>
      <c r="K593" s="17" t="n">
        <f aca="false">'Dish Database'!K197*H593/100</f>
        <v>4.125</v>
      </c>
      <c r="L593" s="17" t="n">
        <f aca="false">'Dish Database'!L197*H593/100</f>
        <v>24.2</v>
      </c>
      <c r="M593" s="17" t="n">
        <f aca="false">'Dish Database'!M197*H593/100</f>
        <v>6.6</v>
      </c>
      <c r="N593" s="17" t="n">
        <f aca="false">'Dish Database'!N197*H593/100</f>
        <v>1.045</v>
      </c>
      <c r="O593" s="17" t="n">
        <f aca="false">'Dish Database'!O197*H593/100</f>
        <v>1.925</v>
      </c>
      <c r="P593" s="13" t="n">
        <f aca="false">'Dish Database'!P197*H593/100</f>
        <v>264</v>
      </c>
    </row>
    <row r="594" customFormat="false" ht="15" hidden="false" customHeight="false" outlineLevel="0" collapsed="false">
      <c r="A594" s="6" t="str">
        <f aca="false">'Dish Database'!A198</f>
        <v>D197</v>
      </c>
      <c r="B594" s="6" t="str">
        <f aca="false">'Dish Database'!B198</f>
        <v>White bread</v>
      </c>
      <c r="C594" s="6" t="str">
        <f aca="false">'Dish Database'!D198</f>
        <v>Breads</v>
      </c>
      <c r="D594" s="6" t="str">
        <f aca="false">'Dish Database'!F198</f>
        <v>Veg</v>
      </c>
      <c r="E594" s="6" t="str">
        <f aca="false">'Dish Database'!E198</f>
        <v>Pan-India</v>
      </c>
      <c r="F594" s="6" t="s">
        <v>2243</v>
      </c>
      <c r="G594" s="6" t="s">
        <v>2494</v>
      </c>
      <c r="H594" s="16" t="n">
        <v>20</v>
      </c>
      <c r="I594" s="6" t="str">
        <f aca="false">'Dish Database'!I198</f>
        <v>g</v>
      </c>
      <c r="J594" s="13" t="n">
        <f aca="false">'Dish Database'!J198*H594/100</f>
        <v>51.1</v>
      </c>
      <c r="K594" s="17" t="n">
        <f aca="false">'Dish Database'!K198*H594/100</f>
        <v>1.76</v>
      </c>
      <c r="L594" s="17" t="n">
        <f aca="false">'Dish Database'!L198*H594/100</f>
        <v>9.8</v>
      </c>
      <c r="M594" s="17" t="n">
        <f aca="false">'Dish Database'!M198*H594/100</f>
        <v>0.66</v>
      </c>
      <c r="N594" s="17" t="n">
        <f aca="false">'Dish Database'!N198*H594/100</f>
        <v>0.54</v>
      </c>
      <c r="O594" s="17" t="n">
        <f aca="false">'Dish Database'!O198*H594/100</f>
        <v>1</v>
      </c>
      <c r="P594" s="13" t="n">
        <f aca="false">'Dish Database'!P198*H594/100</f>
        <v>98</v>
      </c>
    </row>
    <row r="595" customFormat="false" ht="15" hidden="false" customHeight="false" outlineLevel="0" collapsed="false">
      <c r="A595" s="6" t="str">
        <f aca="false">'Dish Database'!A198</f>
        <v>D197</v>
      </c>
      <c r="B595" s="6" t="str">
        <f aca="false">'Dish Database'!B198</f>
        <v>White bread</v>
      </c>
      <c r="C595" s="6" t="str">
        <f aca="false">'Dish Database'!D198</f>
        <v>Breads</v>
      </c>
      <c r="D595" s="6" t="str">
        <f aca="false">'Dish Database'!F198</f>
        <v>Veg</v>
      </c>
      <c r="E595" s="6" t="str">
        <f aca="false">'Dish Database'!E198</f>
        <v>Pan-India</v>
      </c>
      <c r="F595" s="6" t="s">
        <v>103</v>
      </c>
      <c r="G595" s="6" t="s">
        <v>2495</v>
      </c>
      <c r="H595" s="16" t="n">
        <v>25</v>
      </c>
      <c r="I595" s="6" t="str">
        <f aca="false">'Dish Database'!I198</f>
        <v>g</v>
      </c>
      <c r="J595" s="13" t="n">
        <f aca="false">'Dish Database'!J198*H595/100</f>
        <v>63.875</v>
      </c>
      <c r="K595" s="17" t="n">
        <f aca="false">'Dish Database'!K198*H595/100</f>
        <v>2.2</v>
      </c>
      <c r="L595" s="17" t="n">
        <f aca="false">'Dish Database'!L198*H595/100</f>
        <v>12.25</v>
      </c>
      <c r="M595" s="17" t="n">
        <f aca="false">'Dish Database'!M198*H595/100</f>
        <v>0.825</v>
      </c>
      <c r="N595" s="17" t="n">
        <f aca="false">'Dish Database'!N198*H595/100</f>
        <v>0.675</v>
      </c>
      <c r="O595" s="17" t="n">
        <f aca="false">'Dish Database'!O198*H595/100</f>
        <v>1.25</v>
      </c>
      <c r="P595" s="13" t="n">
        <f aca="false">'Dish Database'!P198*H595/100</f>
        <v>122.5</v>
      </c>
    </row>
    <row r="596" customFormat="false" ht="15" hidden="false" customHeight="false" outlineLevel="0" collapsed="false">
      <c r="A596" s="6" t="str">
        <f aca="false">'Dish Database'!A198</f>
        <v>D197</v>
      </c>
      <c r="B596" s="6" t="str">
        <f aca="false">'Dish Database'!B198</f>
        <v>White bread</v>
      </c>
      <c r="C596" s="6" t="str">
        <f aca="false">'Dish Database'!D198</f>
        <v>Breads</v>
      </c>
      <c r="D596" s="6" t="str">
        <f aca="false">'Dish Database'!F198</f>
        <v>Veg</v>
      </c>
      <c r="E596" s="6" t="str">
        <f aca="false">'Dish Database'!E198</f>
        <v>Pan-India</v>
      </c>
      <c r="F596" s="6" t="s">
        <v>2246</v>
      </c>
      <c r="G596" s="6" t="s">
        <v>2496</v>
      </c>
      <c r="H596" s="16" t="n">
        <v>30</v>
      </c>
      <c r="I596" s="6" t="str">
        <f aca="false">'Dish Database'!I198</f>
        <v>g</v>
      </c>
      <c r="J596" s="13" t="n">
        <f aca="false">'Dish Database'!J198*H596/100</f>
        <v>76.65</v>
      </c>
      <c r="K596" s="17" t="n">
        <f aca="false">'Dish Database'!K198*H596/100</f>
        <v>2.64</v>
      </c>
      <c r="L596" s="17" t="n">
        <f aca="false">'Dish Database'!L198*H596/100</f>
        <v>14.7</v>
      </c>
      <c r="M596" s="17" t="n">
        <f aca="false">'Dish Database'!M198*H596/100</f>
        <v>0.99</v>
      </c>
      <c r="N596" s="17" t="n">
        <f aca="false">'Dish Database'!N198*H596/100</f>
        <v>0.81</v>
      </c>
      <c r="O596" s="17" t="n">
        <f aca="false">'Dish Database'!O198*H596/100</f>
        <v>1.5</v>
      </c>
      <c r="P596" s="13" t="n">
        <f aca="false">'Dish Database'!P198*H596/100</f>
        <v>147</v>
      </c>
    </row>
    <row r="597" customFormat="false" ht="15" hidden="false" customHeight="false" outlineLevel="0" collapsed="false">
      <c r="A597" s="6" t="str">
        <f aca="false">'Dish Database'!A199</f>
        <v>D198</v>
      </c>
      <c r="B597" s="6" t="str">
        <f aca="false">'Dish Database'!B199</f>
        <v>Brown bread</v>
      </c>
      <c r="C597" s="6" t="str">
        <f aca="false">'Dish Database'!D199</f>
        <v>Breads</v>
      </c>
      <c r="D597" s="6" t="str">
        <f aca="false">'Dish Database'!F199</f>
        <v>Veg</v>
      </c>
      <c r="E597" s="6" t="str">
        <f aca="false">'Dish Database'!E199</f>
        <v>Pan-India</v>
      </c>
      <c r="F597" s="6" t="s">
        <v>2243</v>
      </c>
      <c r="G597" s="6" t="s">
        <v>2494</v>
      </c>
      <c r="H597" s="16" t="n">
        <v>20</v>
      </c>
      <c r="I597" s="6" t="str">
        <f aca="false">'Dish Database'!I199</f>
        <v>g</v>
      </c>
      <c r="J597" s="13" t="n">
        <f aca="false">'Dish Database'!J199*H597/100</f>
        <v>47.1</v>
      </c>
      <c r="K597" s="17" t="n">
        <f aca="false">'Dish Database'!K199*H597/100</f>
        <v>2</v>
      </c>
      <c r="L597" s="17" t="n">
        <f aca="false">'Dish Database'!L199*H597/100</f>
        <v>8.8</v>
      </c>
      <c r="M597" s="17" t="n">
        <f aca="false">'Dish Database'!M199*H597/100</f>
        <v>0.7</v>
      </c>
      <c r="N597" s="17" t="n">
        <f aca="false">'Dish Database'!N199*H597/100</f>
        <v>1.2</v>
      </c>
      <c r="O597" s="17" t="n">
        <f aca="false">'Dish Database'!O199*H597/100</f>
        <v>0.9</v>
      </c>
      <c r="P597" s="13" t="n">
        <f aca="false">'Dish Database'!P199*H597/100</f>
        <v>90</v>
      </c>
    </row>
    <row r="598" customFormat="false" ht="15" hidden="false" customHeight="false" outlineLevel="0" collapsed="false">
      <c r="A598" s="6" t="str">
        <f aca="false">'Dish Database'!A199</f>
        <v>D198</v>
      </c>
      <c r="B598" s="6" t="str">
        <f aca="false">'Dish Database'!B199</f>
        <v>Brown bread</v>
      </c>
      <c r="C598" s="6" t="str">
        <f aca="false">'Dish Database'!D199</f>
        <v>Breads</v>
      </c>
      <c r="D598" s="6" t="str">
        <f aca="false">'Dish Database'!F199</f>
        <v>Veg</v>
      </c>
      <c r="E598" s="6" t="str">
        <f aca="false">'Dish Database'!E199</f>
        <v>Pan-India</v>
      </c>
      <c r="F598" s="6" t="s">
        <v>103</v>
      </c>
      <c r="G598" s="6" t="s">
        <v>2495</v>
      </c>
      <c r="H598" s="16" t="n">
        <v>25</v>
      </c>
      <c r="I598" s="6" t="str">
        <f aca="false">'Dish Database'!I199</f>
        <v>g</v>
      </c>
      <c r="J598" s="13" t="n">
        <f aca="false">'Dish Database'!J199*H598/100</f>
        <v>58.875</v>
      </c>
      <c r="K598" s="17" t="n">
        <f aca="false">'Dish Database'!K199*H598/100</f>
        <v>2.5</v>
      </c>
      <c r="L598" s="17" t="n">
        <f aca="false">'Dish Database'!L199*H598/100</f>
        <v>11</v>
      </c>
      <c r="M598" s="17" t="n">
        <f aca="false">'Dish Database'!M199*H598/100</f>
        <v>0.875</v>
      </c>
      <c r="N598" s="17" t="n">
        <f aca="false">'Dish Database'!N199*H598/100</f>
        <v>1.5</v>
      </c>
      <c r="O598" s="17" t="n">
        <f aca="false">'Dish Database'!O199*H598/100</f>
        <v>1.125</v>
      </c>
      <c r="P598" s="13" t="n">
        <f aca="false">'Dish Database'!P199*H598/100</f>
        <v>112.5</v>
      </c>
    </row>
    <row r="599" customFormat="false" ht="15" hidden="false" customHeight="false" outlineLevel="0" collapsed="false">
      <c r="A599" s="6" t="str">
        <f aca="false">'Dish Database'!A199</f>
        <v>D198</v>
      </c>
      <c r="B599" s="6" t="str">
        <f aca="false">'Dish Database'!B199</f>
        <v>Brown bread</v>
      </c>
      <c r="C599" s="6" t="str">
        <f aca="false">'Dish Database'!D199</f>
        <v>Breads</v>
      </c>
      <c r="D599" s="6" t="str">
        <f aca="false">'Dish Database'!F199</f>
        <v>Veg</v>
      </c>
      <c r="E599" s="6" t="str">
        <f aca="false">'Dish Database'!E199</f>
        <v>Pan-India</v>
      </c>
      <c r="F599" s="6" t="s">
        <v>2246</v>
      </c>
      <c r="G599" s="6" t="s">
        <v>2496</v>
      </c>
      <c r="H599" s="16" t="n">
        <v>30</v>
      </c>
      <c r="I599" s="6" t="str">
        <f aca="false">'Dish Database'!I199</f>
        <v>g</v>
      </c>
      <c r="J599" s="13" t="n">
        <f aca="false">'Dish Database'!J199*H599/100</f>
        <v>70.65</v>
      </c>
      <c r="K599" s="17" t="n">
        <f aca="false">'Dish Database'!K199*H599/100</f>
        <v>3</v>
      </c>
      <c r="L599" s="17" t="n">
        <f aca="false">'Dish Database'!L199*H599/100</f>
        <v>13.2</v>
      </c>
      <c r="M599" s="17" t="n">
        <f aca="false">'Dish Database'!M199*H599/100</f>
        <v>1.05</v>
      </c>
      <c r="N599" s="17" t="n">
        <f aca="false">'Dish Database'!N199*H599/100</f>
        <v>1.8</v>
      </c>
      <c r="O599" s="17" t="n">
        <f aca="false">'Dish Database'!O199*H599/100</f>
        <v>1.35</v>
      </c>
      <c r="P599" s="13" t="n">
        <f aca="false">'Dish Database'!P199*H599/100</f>
        <v>135</v>
      </c>
    </row>
    <row r="600" customFormat="false" ht="15" hidden="false" customHeight="false" outlineLevel="0" collapsed="false">
      <c r="A600" s="6" t="str">
        <f aca="false">'Dish Database'!A200</f>
        <v>D199</v>
      </c>
      <c r="B600" s="6" t="str">
        <f aca="false">'Dish Database'!B200</f>
        <v>Steamed white rice</v>
      </c>
      <c r="C600" s="6" t="str">
        <f aca="false">'Dish Database'!D200</f>
        <v>Rice, Pulao &amp; Khichdi</v>
      </c>
      <c r="D600" s="6" t="str">
        <f aca="false">'Dish Database'!F200</f>
        <v>Veg</v>
      </c>
      <c r="E600" s="6" t="str">
        <f aca="false">'Dish Database'!E200</f>
        <v>Pan-India</v>
      </c>
      <c r="F600" s="6" t="s">
        <v>2243</v>
      </c>
      <c r="G600" s="6" t="s">
        <v>2497</v>
      </c>
      <c r="H600" s="16" t="n">
        <v>100</v>
      </c>
      <c r="I600" s="6" t="str">
        <f aca="false">'Dish Database'!I200</f>
        <v>g</v>
      </c>
      <c r="J600" s="13" t="n">
        <f aca="false">'Dish Database'!J200*H600/100</f>
        <v>125.5</v>
      </c>
      <c r="K600" s="17" t="n">
        <f aca="false">'Dish Database'!K200*H600/100</f>
        <v>2.7</v>
      </c>
      <c r="L600" s="17" t="n">
        <f aca="false">'Dish Database'!L200*H600/100</f>
        <v>28.2</v>
      </c>
      <c r="M600" s="17" t="n">
        <f aca="false">'Dish Database'!M200*H600/100</f>
        <v>0.3</v>
      </c>
      <c r="N600" s="17" t="n">
        <f aca="false">'Dish Database'!N200*H600/100</f>
        <v>0.4</v>
      </c>
      <c r="O600" s="17" t="n">
        <f aca="false">'Dish Database'!O200*H600/100</f>
        <v>0.1</v>
      </c>
      <c r="P600" s="13" t="n">
        <f aca="false">'Dish Database'!P200*H600/100</f>
        <v>1</v>
      </c>
    </row>
    <row r="601" customFormat="false" ht="15" hidden="false" customHeight="false" outlineLevel="0" collapsed="false">
      <c r="A601" s="6" t="str">
        <f aca="false">'Dish Database'!A200</f>
        <v>D199</v>
      </c>
      <c r="B601" s="6" t="str">
        <f aca="false">'Dish Database'!B200</f>
        <v>Steamed white rice</v>
      </c>
      <c r="C601" s="6" t="str">
        <f aca="false">'Dish Database'!D200</f>
        <v>Rice, Pulao &amp; Khichdi</v>
      </c>
      <c r="D601" s="6" t="str">
        <f aca="false">'Dish Database'!F200</f>
        <v>Veg</v>
      </c>
      <c r="E601" s="6" t="str">
        <f aca="false">'Dish Database'!E200</f>
        <v>Pan-India</v>
      </c>
      <c r="F601" s="6" t="s">
        <v>103</v>
      </c>
      <c r="G601" s="6" t="s">
        <v>2498</v>
      </c>
      <c r="H601" s="16" t="n">
        <v>150</v>
      </c>
      <c r="I601" s="6" t="str">
        <f aca="false">'Dish Database'!I200</f>
        <v>g</v>
      </c>
      <c r="J601" s="13" t="n">
        <f aca="false">'Dish Database'!J200*H601/100</f>
        <v>188.25</v>
      </c>
      <c r="K601" s="17" t="n">
        <f aca="false">'Dish Database'!K200*H601/100</f>
        <v>4.05</v>
      </c>
      <c r="L601" s="17" t="n">
        <f aca="false">'Dish Database'!L200*H601/100</f>
        <v>42.3</v>
      </c>
      <c r="M601" s="17" t="n">
        <f aca="false">'Dish Database'!M200*H601/100</f>
        <v>0.45</v>
      </c>
      <c r="N601" s="17" t="n">
        <f aca="false">'Dish Database'!N200*H601/100</f>
        <v>0.6</v>
      </c>
      <c r="O601" s="17" t="n">
        <f aca="false">'Dish Database'!O200*H601/100</f>
        <v>0.15</v>
      </c>
      <c r="P601" s="13" t="n">
        <f aca="false">'Dish Database'!P200*H601/100</f>
        <v>1.5</v>
      </c>
    </row>
    <row r="602" customFormat="false" ht="15" hidden="false" customHeight="false" outlineLevel="0" collapsed="false">
      <c r="A602" s="6" t="str">
        <f aca="false">'Dish Database'!A200</f>
        <v>D199</v>
      </c>
      <c r="B602" s="6" t="str">
        <f aca="false">'Dish Database'!B200</f>
        <v>Steamed white rice</v>
      </c>
      <c r="C602" s="6" t="str">
        <f aca="false">'Dish Database'!D200</f>
        <v>Rice, Pulao &amp; Khichdi</v>
      </c>
      <c r="D602" s="6" t="str">
        <f aca="false">'Dish Database'!F200</f>
        <v>Veg</v>
      </c>
      <c r="E602" s="6" t="str">
        <f aca="false">'Dish Database'!E200</f>
        <v>Pan-India</v>
      </c>
      <c r="F602" s="6" t="s">
        <v>2246</v>
      </c>
      <c r="G602" s="6" t="s">
        <v>2499</v>
      </c>
      <c r="H602" s="16" t="n">
        <v>200</v>
      </c>
      <c r="I602" s="6" t="str">
        <f aca="false">'Dish Database'!I200</f>
        <v>g</v>
      </c>
      <c r="J602" s="13" t="n">
        <f aca="false">'Dish Database'!J200*H602/100</f>
        <v>251</v>
      </c>
      <c r="K602" s="17" t="n">
        <f aca="false">'Dish Database'!K200*H602/100</f>
        <v>5.4</v>
      </c>
      <c r="L602" s="17" t="n">
        <f aca="false">'Dish Database'!L200*H602/100</f>
        <v>56.4</v>
      </c>
      <c r="M602" s="17" t="n">
        <f aca="false">'Dish Database'!M200*H602/100</f>
        <v>0.6</v>
      </c>
      <c r="N602" s="17" t="n">
        <f aca="false">'Dish Database'!N200*H602/100</f>
        <v>0.8</v>
      </c>
      <c r="O602" s="17" t="n">
        <f aca="false">'Dish Database'!O200*H602/100</f>
        <v>0.2</v>
      </c>
      <c r="P602" s="13" t="n">
        <f aca="false">'Dish Database'!P200*H602/100</f>
        <v>2</v>
      </c>
    </row>
    <row r="603" customFormat="false" ht="15" hidden="false" customHeight="false" outlineLevel="0" collapsed="false">
      <c r="A603" s="6" t="str">
        <f aca="false">'Dish Database'!A200</f>
        <v>D199</v>
      </c>
      <c r="B603" s="6" t="str">
        <f aca="false">'Dish Database'!B200</f>
        <v>Steamed white rice</v>
      </c>
      <c r="C603" s="6" t="str">
        <f aca="false">'Dish Database'!D200</f>
        <v>Rice, Pulao &amp; Khichdi</v>
      </c>
      <c r="D603" s="6" t="str">
        <f aca="false">'Dish Database'!F200</f>
        <v>Veg</v>
      </c>
      <c r="E603" s="6" t="str">
        <f aca="false">'Dish Database'!E200</f>
        <v>Pan-India</v>
      </c>
      <c r="F603" s="6" t="s">
        <v>2323</v>
      </c>
      <c r="G603" s="6" t="s">
        <v>2324</v>
      </c>
      <c r="H603" s="16" t="n">
        <v>250</v>
      </c>
      <c r="I603" s="6" t="str">
        <f aca="false">'Dish Database'!I200</f>
        <v>g</v>
      </c>
      <c r="J603" s="13" t="n">
        <f aca="false">'Dish Database'!J200*H603/100</f>
        <v>313.75</v>
      </c>
      <c r="K603" s="17" t="n">
        <f aca="false">'Dish Database'!K200*H603/100</f>
        <v>6.75</v>
      </c>
      <c r="L603" s="17" t="n">
        <f aca="false">'Dish Database'!L200*H603/100</f>
        <v>70.5</v>
      </c>
      <c r="M603" s="17" t="n">
        <f aca="false">'Dish Database'!M200*H603/100</f>
        <v>0.75</v>
      </c>
      <c r="N603" s="17" t="n">
        <f aca="false">'Dish Database'!N200*H603/100</f>
        <v>1</v>
      </c>
      <c r="O603" s="17" t="n">
        <f aca="false">'Dish Database'!O200*H603/100</f>
        <v>0.25</v>
      </c>
      <c r="P603" s="13" t="n">
        <f aca="false">'Dish Database'!P200*H603/100</f>
        <v>2.5</v>
      </c>
    </row>
    <row r="604" customFormat="false" ht="15" hidden="false" customHeight="false" outlineLevel="0" collapsed="false">
      <c r="A604" s="6" t="str">
        <f aca="false">'Dish Database'!A200</f>
        <v>D199</v>
      </c>
      <c r="B604" s="6" t="str">
        <f aca="false">'Dish Database'!B200</f>
        <v>Steamed white rice</v>
      </c>
      <c r="C604" s="6" t="str">
        <f aca="false">'Dish Database'!D200</f>
        <v>Rice, Pulao &amp; Khichdi</v>
      </c>
      <c r="D604" s="6" t="str">
        <f aca="false">'Dish Database'!F200</f>
        <v>Veg</v>
      </c>
      <c r="E604" s="6" t="str">
        <f aca="false">'Dish Database'!E200</f>
        <v>Pan-India</v>
      </c>
      <c r="F604" s="6" t="s">
        <v>2325</v>
      </c>
      <c r="G604" s="6" t="s">
        <v>2326</v>
      </c>
      <c r="H604" s="16" t="n">
        <v>450</v>
      </c>
      <c r="I604" s="6" t="str">
        <f aca="false">'Dish Database'!I200</f>
        <v>g</v>
      </c>
      <c r="J604" s="13" t="n">
        <f aca="false">'Dish Database'!J200*H604/100</f>
        <v>564.75</v>
      </c>
      <c r="K604" s="17" t="n">
        <f aca="false">'Dish Database'!K200*H604/100</f>
        <v>12.15</v>
      </c>
      <c r="L604" s="17" t="n">
        <f aca="false">'Dish Database'!L200*H604/100</f>
        <v>126.9</v>
      </c>
      <c r="M604" s="17" t="n">
        <f aca="false">'Dish Database'!M200*H604/100</f>
        <v>1.35</v>
      </c>
      <c r="N604" s="17" t="n">
        <f aca="false">'Dish Database'!N200*H604/100</f>
        <v>1.8</v>
      </c>
      <c r="O604" s="17" t="n">
        <f aca="false">'Dish Database'!O200*H604/100</f>
        <v>0.45</v>
      </c>
      <c r="P604" s="13" t="n">
        <f aca="false">'Dish Database'!P200*H604/100</f>
        <v>4.5</v>
      </c>
    </row>
    <row r="605" customFormat="false" ht="15" hidden="false" customHeight="false" outlineLevel="0" collapsed="false">
      <c r="A605" s="6" t="str">
        <f aca="false">'Dish Database'!A201</f>
        <v>D200</v>
      </c>
      <c r="B605" s="6" t="str">
        <f aca="false">'Dish Database'!B201</f>
        <v>Brown rice (cooked)</v>
      </c>
      <c r="C605" s="6" t="str">
        <f aca="false">'Dish Database'!D201</f>
        <v>Rice, Pulao &amp; Khichdi</v>
      </c>
      <c r="D605" s="6" t="str">
        <f aca="false">'Dish Database'!F201</f>
        <v>Veg</v>
      </c>
      <c r="E605" s="6" t="str">
        <f aca="false">'Dish Database'!E201</f>
        <v>Pan-India</v>
      </c>
      <c r="F605" s="6" t="s">
        <v>2243</v>
      </c>
      <c r="G605" s="6" t="s">
        <v>2497</v>
      </c>
      <c r="H605" s="16" t="n">
        <v>100</v>
      </c>
      <c r="I605" s="6" t="str">
        <f aca="false">'Dish Database'!I201</f>
        <v>g</v>
      </c>
      <c r="J605" s="13" t="n">
        <f aca="false">'Dish Database'!J201*H605/100</f>
        <v>110.9</v>
      </c>
      <c r="K605" s="17" t="n">
        <f aca="false">'Dish Database'!K201*H605/100</f>
        <v>2.6</v>
      </c>
      <c r="L605" s="17" t="n">
        <f aca="false">'Dish Database'!L201*H605/100</f>
        <v>24</v>
      </c>
      <c r="M605" s="17" t="n">
        <f aca="false">'Dish Database'!M201*H605/100</f>
        <v>0.9</v>
      </c>
      <c r="N605" s="17" t="n">
        <f aca="false">'Dish Database'!N201*H605/100</f>
        <v>1.8</v>
      </c>
      <c r="O605" s="17" t="n">
        <f aca="false">'Dish Database'!O201*H605/100</f>
        <v>0.4</v>
      </c>
      <c r="P605" s="13" t="n">
        <f aca="false">'Dish Database'!P201*H605/100</f>
        <v>2</v>
      </c>
    </row>
    <row r="606" customFormat="false" ht="15" hidden="false" customHeight="false" outlineLevel="0" collapsed="false">
      <c r="A606" s="6" t="str">
        <f aca="false">'Dish Database'!A201</f>
        <v>D200</v>
      </c>
      <c r="B606" s="6" t="str">
        <f aca="false">'Dish Database'!B201</f>
        <v>Brown rice (cooked)</v>
      </c>
      <c r="C606" s="6" t="str">
        <f aca="false">'Dish Database'!D201</f>
        <v>Rice, Pulao &amp; Khichdi</v>
      </c>
      <c r="D606" s="6" t="str">
        <f aca="false">'Dish Database'!F201</f>
        <v>Veg</v>
      </c>
      <c r="E606" s="6" t="str">
        <f aca="false">'Dish Database'!E201</f>
        <v>Pan-India</v>
      </c>
      <c r="F606" s="6" t="s">
        <v>103</v>
      </c>
      <c r="G606" s="6" t="s">
        <v>2498</v>
      </c>
      <c r="H606" s="16" t="n">
        <v>150</v>
      </c>
      <c r="I606" s="6" t="str">
        <f aca="false">'Dish Database'!I201</f>
        <v>g</v>
      </c>
      <c r="J606" s="13" t="n">
        <f aca="false">'Dish Database'!J201*H606/100</f>
        <v>166.35</v>
      </c>
      <c r="K606" s="17" t="n">
        <f aca="false">'Dish Database'!K201*H606/100</f>
        <v>3.9</v>
      </c>
      <c r="L606" s="17" t="n">
        <f aca="false">'Dish Database'!L201*H606/100</f>
        <v>36</v>
      </c>
      <c r="M606" s="17" t="n">
        <f aca="false">'Dish Database'!M201*H606/100</f>
        <v>1.35</v>
      </c>
      <c r="N606" s="17" t="n">
        <f aca="false">'Dish Database'!N201*H606/100</f>
        <v>2.7</v>
      </c>
      <c r="O606" s="17" t="n">
        <f aca="false">'Dish Database'!O201*H606/100</f>
        <v>0.6</v>
      </c>
      <c r="P606" s="13" t="n">
        <f aca="false">'Dish Database'!P201*H606/100</f>
        <v>3</v>
      </c>
    </row>
    <row r="607" customFormat="false" ht="15" hidden="false" customHeight="false" outlineLevel="0" collapsed="false">
      <c r="A607" s="6" t="str">
        <f aca="false">'Dish Database'!A201</f>
        <v>D200</v>
      </c>
      <c r="B607" s="6" t="str">
        <f aca="false">'Dish Database'!B201</f>
        <v>Brown rice (cooked)</v>
      </c>
      <c r="C607" s="6" t="str">
        <f aca="false">'Dish Database'!D201</f>
        <v>Rice, Pulao &amp; Khichdi</v>
      </c>
      <c r="D607" s="6" t="str">
        <f aca="false">'Dish Database'!F201</f>
        <v>Veg</v>
      </c>
      <c r="E607" s="6" t="str">
        <f aca="false">'Dish Database'!E201</f>
        <v>Pan-India</v>
      </c>
      <c r="F607" s="6" t="s">
        <v>2246</v>
      </c>
      <c r="G607" s="6" t="s">
        <v>2499</v>
      </c>
      <c r="H607" s="16" t="n">
        <v>200</v>
      </c>
      <c r="I607" s="6" t="str">
        <f aca="false">'Dish Database'!I201</f>
        <v>g</v>
      </c>
      <c r="J607" s="13" t="n">
        <f aca="false">'Dish Database'!J201*H607/100</f>
        <v>221.8</v>
      </c>
      <c r="K607" s="17" t="n">
        <f aca="false">'Dish Database'!K201*H607/100</f>
        <v>5.2</v>
      </c>
      <c r="L607" s="17" t="n">
        <f aca="false">'Dish Database'!L201*H607/100</f>
        <v>48</v>
      </c>
      <c r="M607" s="17" t="n">
        <f aca="false">'Dish Database'!M201*H607/100</f>
        <v>1.8</v>
      </c>
      <c r="N607" s="17" t="n">
        <f aca="false">'Dish Database'!N201*H607/100</f>
        <v>3.6</v>
      </c>
      <c r="O607" s="17" t="n">
        <f aca="false">'Dish Database'!O201*H607/100</f>
        <v>0.8</v>
      </c>
      <c r="P607" s="13" t="n">
        <f aca="false">'Dish Database'!P201*H607/100</f>
        <v>4</v>
      </c>
    </row>
    <row r="608" customFormat="false" ht="15" hidden="false" customHeight="false" outlineLevel="0" collapsed="false">
      <c r="A608" s="6" t="str">
        <f aca="false">'Dish Database'!A201</f>
        <v>D200</v>
      </c>
      <c r="B608" s="6" t="str">
        <f aca="false">'Dish Database'!B201</f>
        <v>Brown rice (cooked)</v>
      </c>
      <c r="C608" s="6" t="str">
        <f aca="false">'Dish Database'!D201</f>
        <v>Rice, Pulao &amp; Khichdi</v>
      </c>
      <c r="D608" s="6" t="str">
        <f aca="false">'Dish Database'!F201</f>
        <v>Veg</v>
      </c>
      <c r="E608" s="6" t="str">
        <f aca="false">'Dish Database'!E201</f>
        <v>Pan-India</v>
      </c>
      <c r="F608" s="6" t="s">
        <v>2323</v>
      </c>
      <c r="G608" s="6" t="s">
        <v>2324</v>
      </c>
      <c r="H608" s="16" t="n">
        <v>250</v>
      </c>
      <c r="I608" s="6" t="str">
        <f aca="false">'Dish Database'!I201</f>
        <v>g</v>
      </c>
      <c r="J608" s="13" t="n">
        <f aca="false">'Dish Database'!J201*H608/100</f>
        <v>277.25</v>
      </c>
      <c r="K608" s="17" t="n">
        <f aca="false">'Dish Database'!K201*H608/100</f>
        <v>6.5</v>
      </c>
      <c r="L608" s="17" t="n">
        <f aca="false">'Dish Database'!L201*H608/100</f>
        <v>60</v>
      </c>
      <c r="M608" s="17" t="n">
        <f aca="false">'Dish Database'!M201*H608/100</f>
        <v>2.25</v>
      </c>
      <c r="N608" s="17" t="n">
        <f aca="false">'Dish Database'!N201*H608/100</f>
        <v>4.5</v>
      </c>
      <c r="O608" s="17" t="n">
        <f aca="false">'Dish Database'!O201*H608/100</f>
        <v>1</v>
      </c>
      <c r="P608" s="13" t="n">
        <f aca="false">'Dish Database'!P201*H608/100</f>
        <v>5</v>
      </c>
    </row>
    <row r="609" customFormat="false" ht="15" hidden="false" customHeight="false" outlineLevel="0" collapsed="false">
      <c r="A609" s="6" t="str">
        <f aca="false">'Dish Database'!A201</f>
        <v>D200</v>
      </c>
      <c r="B609" s="6" t="str">
        <f aca="false">'Dish Database'!B201</f>
        <v>Brown rice (cooked)</v>
      </c>
      <c r="C609" s="6" t="str">
        <f aca="false">'Dish Database'!D201</f>
        <v>Rice, Pulao &amp; Khichdi</v>
      </c>
      <c r="D609" s="6" t="str">
        <f aca="false">'Dish Database'!F201</f>
        <v>Veg</v>
      </c>
      <c r="E609" s="6" t="str">
        <f aca="false">'Dish Database'!E201</f>
        <v>Pan-India</v>
      </c>
      <c r="F609" s="6" t="s">
        <v>2325</v>
      </c>
      <c r="G609" s="6" t="s">
        <v>2326</v>
      </c>
      <c r="H609" s="16" t="n">
        <v>450</v>
      </c>
      <c r="I609" s="6" t="str">
        <f aca="false">'Dish Database'!I201</f>
        <v>g</v>
      </c>
      <c r="J609" s="13" t="n">
        <f aca="false">'Dish Database'!J201*H609/100</f>
        <v>499.05</v>
      </c>
      <c r="K609" s="17" t="n">
        <f aca="false">'Dish Database'!K201*H609/100</f>
        <v>11.7</v>
      </c>
      <c r="L609" s="17" t="n">
        <f aca="false">'Dish Database'!L201*H609/100</f>
        <v>108</v>
      </c>
      <c r="M609" s="17" t="n">
        <f aca="false">'Dish Database'!M201*H609/100</f>
        <v>4.05</v>
      </c>
      <c r="N609" s="17" t="n">
        <f aca="false">'Dish Database'!N201*H609/100</f>
        <v>8.1</v>
      </c>
      <c r="O609" s="17" t="n">
        <f aca="false">'Dish Database'!O201*H609/100</f>
        <v>1.8</v>
      </c>
      <c r="P609" s="13" t="n">
        <f aca="false">'Dish Database'!P201*H609/100</f>
        <v>9</v>
      </c>
    </row>
    <row r="610" customFormat="false" ht="15" hidden="false" customHeight="false" outlineLevel="0" collapsed="false">
      <c r="A610" s="6" t="str">
        <f aca="false">'Dish Database'!A202</f>
        <v>D201</v>
      </c>
      <c r="B610" s="6" t="str">
        <f aca="false">'Dish Database'!B202</f>
        <v>Jeera rice</v>
      </c>
      <c r="C610" s="6" t="str">
        <f aca="false">'Dish Database'!D202</f>
        <v>Rice, Pulao &amp; Khichdi</v>
      </c>
      <c r="D610" s="6" t="str">
        <f aca="false">'Dish Database'!F202</f>
        <v>Veg</v>
      </c>
      <c r="E610" s="6" t="str">
        <f aca="false">'Dish Database'!E202</f>
        <v>North</v>
      </c>
      <c r="F610" s="6" t="s">
        <v>2243</v>
      </c>
      <c r="G610" s="6" t="s">
        <v>2265</v>
      </c>
      <c r="H610" s="16" t="n">
        <v>150</v>
      </c>
      <c r="I610" s="6" t="str">
        <f aca="false">'Dish Database'!I202</f>
        <v>g</v>
      </c>
      <c r="J610" s="13" t="n">
        <f aca="false">'Dish Database'!J202*H610/100</f>
        <v>237</v>
      </c>
      <c r="K610" s="17" t="n">
        <f aca="false">'Dish Database'!K202*H610/100</f>
        <v>4.2</v>
      </c>
      <c r="L610" s="17" t="n">
        <f aca="false">'Dish Database'!L202*H610/100</f>
        <v>42</v>
      </c>
      <c r="M610" s="17" t="n">
        <f aca="false">'Dish Database'!M202*H610/100</f>
        <v>6</v>
      </c>
      <c r="N610" s="17" t="n">
        <f aca="false">'Dish Database'!N202*H610/100</f>
        <v>0.9</v>
      </c>
      <c r="O610" s="17" t="n">
        <f aca="false">'Dish Database'!O202*H610/100</f>
        <v>0.3</v>
      </c>
      <c r="P610" s="13" t="n">
        <f aca="false">'Dish Database'!P202*H610/100</f>
        <v>375</v>
      </c>
    </row>
    <row r="611" customFormat="false" ht="15" hidden="false" customHeight="false" outlineLevel="0" collapsed="false">
      <c r="A611" s="6" t="str">
        <f aca="false">'Dish Database'!A202</f>
        <v>D201</v>
      </c>
      <c r="B611" s="6" t="str">
        <f aca="false">'Dish Database'!B202</f>
        <v>Jeera rice</v>
      </c>
      <c r="C611" s="6" t="str">
        <f aca="false">'Dish Database'!D202</f>
        <v>Rice, Pulao &amp; Khichdi</v>
      </c>
      <c r="D611" s="6" t="str">
        <f aca="false">'Dish Database'!F202</f>
        <v>Veg</v>
      </c>
      <c r="E611" s="6" t="str">
        <f aca="false">'Dish Database'!E202</f>
        <v>North</v>
      </c>
      <c r="F611" s="6" t="s">
        <v>103</v>
      </c>
      <c r="G611" s="6" t="s">
        <v>2423</v>
      </c>
      <c r="H611" s="16" t="n">
        <v>250</v>
      </c>
      <c r="I611" s="6" t="str">
        <f aca="false">'Dish Database'!I202</f>
        <v>g</v>
      </c>
      <c r="J611" s="13" t="n">
        <f aca="false">'Dish Database'!J202*H611/100</f>
        <v>395</v>
      </c>
      <c r="K611" s="17" t="n">
        <f aca="false">'Dish Database'!K202*H611/100</f>
        <v>7</v>
      </c>
      <c r="L611" s="17" t="n">
        <f aca="false">'Dish Database'!L202*H611/100</f>
        <v>70</v>
      </c>
      <c r="M611" s="17" t="n">
        <f aca="false">'Dish Database'!M202*H611/100</f>
        <v>10</v>
      </c>
      <c r="N611" s="17" t="n">
        <f aca="false">'Dish Database'!N202*H611/100</f>
        <v>1.5</v>
      </c>
      <c r="O611" s="17" t="n">
        <f aca="false">'Dish Database'!O202*H611/100</f>
        <v>0.5</v>
      </c>
      <c r="P611" s="13" t="n">
        <f aca="false">'Dish Database'!P202*H611/100</f>
        <v>625</v>
      </c>
    </row>
    <row r="612" customFormat="false" ht="15" hidden="false" customHeight="false" outlineLevel="0" collapsed="false">
      <c r="A612" s="6" t="str">
        <f aca="false">'Dish Database'!A202</f>
        <v>D201</v>
      </c>
      <c r="B612" s="6" t="str">
        <f aca="false">'Dish Database'!B202</f>
        <v>Jeera rice</v>
      </c>
      <c r="C612" s="6" t="str">
        <f aca="false">'Dish Database'!D202</f>
        <v>Rice, Pulao &amp; Khichdi</v>
      </c>
      <c r="D612" s="6" t="str">
        <f aca="false">'Dish Database'!F202</f>
        <v>Veg</v>
      </c>
      <c r="E612" s="6" t="str">
        <f aca="false">'Dish Database'!E202</f>
        <v>North</v>
      </c>
      <c r="F612" s="6" t="s">
        <v>2246</v>
      </c>
      <c r="G612" s="6" t="s">
        <v>2267</v>
      </c>
      <c r="H612" s="16" t="n">
        <v>350</v>
      </c>
      <c r="I612" s="6" t="str">
        <f aca="false">'Dish Database'!I202</f>
        <v>g</v>
      </c>
      <c r="J612" s="13" t="n">
        <f aca="false">'Dish Database'!J202*H612/100</f>
        <v>553</v>
      </c>
      <c r="K612" s="17" t="n">
        <f aca="false">'Dish Database'!K202*H612/100</f>
        <v>9.8</v>
      </c>
      <c r="L612" s="17" t="n">
        <f aca="false">'Dish Database'!L202*H612/100</f>
        <v>98</v>
      </c>
      <c r="M612" s="17" t="n">
        <f aca="false">'Dish Database'!M202*H612/100</f>
        <v>14</v>
      </c>
      <c r="N612" s="17" t="n">
        <f aca="false">'Dish Database'!N202*H612/100</f>
        <v>2.1</v>
      </c>
      <c r="O612" s="17" t="n">
        <f aca="false">'Dish Database'!O202*H612/100</f>
        <v>0.7</v>
      </c>
      <c r="P612" s="13" t="n">
        <f aca="false">'Dish Database'!P202*H612/100</f>
        <v>875</v>
      </c>
    </row>
    <row r="613" customFormat="false" ht="15" hidden="false" customHeight="false" outlineLevel="0" collapsed="false">
      <c r="A613" s="6" t="str">
        <f aca="false">'Dish Database'!A202</f>
        <v>D201</v>
      </c>
      <c r="B613" s="6" t="str">
        <f aca="false">'Dish Database'!B202</f>
        <v>Jeera rice</v>
      </c>
      <c r="C613" s="6" t="str">
        <f aca="false">'Dish Database'!D202</f>
        <v>Rice, Pulao &amp; Khichdi</v>
      </c>
      <c r="D613" s="6" t="str">
        <f aca="false">'Dish Database'!F202</f>
        <v>Veg</v>
      </c>
      <c r="E613" s="6" t="str">
        <f aca="false">'Dish Database'!E202</f>
        <v>North</v>
      </c>
      <c r="F613" s="6" t="s">
        <v>2323</v>
      </c>
      <c r="G613" s="6" t="s">
        <v>2324</v>
      </c>
      <c r="H613" s="16" t="n">
        <v>300</v>
      </c>
      <c r="I613" s="6" t="str">
        <f aca="false">'Dish Database'!I202</f>
        <v>g</v>
      </c>
      <c r="J613" s="13" t="n">
        <f aca="false">'Dish Database'!J202*H613/100</f>
        <v>474</v>
      </c>
      <c r="K613" s="17" t="n">
        <f aca="false">'Dish Database'!K202*H613/100</f>
        <v>8.4</v>
      </c>
      <c r="L613" s="17" t="n">
        <f aca="false">'Dish Database'!L202*H613/100</f>
        <v>84</v>
      </c>
      <c r="M613" s="17" t="n">
        <f aca="false">'Dish Database'!M202*H613/100</f>
        <v>12</v>
      </c>
      <c r="N613" s="17" t="n">
        <f aca="false">'Dish Database'!N202*H613/100</f>
        <v>1.8</v>
      </c>
      <c r="O613" s="17" t="n">
        <f aca="false">'Dish Database'!O202*H613/100</f>
        <v>0.6</v>
      </c>
      <c r="P613" s="13" t="n">
        <f aca="false">'Dish Database'!P202*H613/100</f>
        <v>750</v>
      </c>
    </row>
    <row r="614" customFormat="false" ht="15" hidden="false" customHeight="false" outlineLevel="0" collapsed="false">
      <c r="A614" s="6" t="str">
        <f aca="false">'Dish Database'!A202</f>
        <v>D201</v>
      </c>
      <c r="B614" s="6" t="str">
        <f aca="false">'Dish Database'!B202</f>
        <v>Jeera rice</v>
      </c>
      <c r="C614" s="6" t="str">
        <f aca="false">'Dish Database'!D202</f>
        <v>Rice, Pulao &amp; Khichdi</v>
      </c>
      <c r="D614" s="6" t="str">
        <f aca="false">'Dish Database'!F202</f>
        <v>Veg</v>
      </c>
      <c r="E614" s="6" t="str">
        <f aca="false">'Dish Database'!E202</f>
        <v>North</v>
      </c>
      <c r="F614" s="6" t="s">
        <v>2325</v>
      </c>
      <c r="G614" s="6" t="s">
        <v>2326</v>
      </c>
      <c r="H614" s="16" t="n">
        <v>550</v>
      </c>
      <c r="I614" s="6" t="str">
        <f aca="false">'Dish Database'!I202</f>
        <v>g</v>
      </c>
      <c r="J614" s="13" t="n">
        <f aca="false">'Dish Database'!J202*H614/100</f>
        <v>869</v>
      </c>
      <c r="K614" s="17" t="n">
        <f aca="false">'Dish Database'!K202*H614/100</f>
        <v>15.4</v>
      </c>
      <c r="L614" s="17" t="n">
        <f aca="false">'Dish Database'!L202*H614/100</f>
        <v>154</v>
      </c>
      <c r="M614" s="17" t="n">
        <f aca="false">'Dish Database'!M202*H614/100</f>
        <v>22</v>
      </c>
      <c r="N614" s="17" t="n">
        <f aca="false">'Dish Database'!N202*H614/100</f>
        <v>3.3</v>
      </c>
      <c r="O614" s="17" t="n">
        <f aca="false">'Dish Database'!O202*H614/100</f>
        <v>1.1</v>
      </c>
      <c r="P614" s="13" t="n">
        <f aca="false">'Dish Database'!P202*H614/100</f>
        <v>1375</v>
      </c>
    </row>
    <row r="615" customFormat="false" ht="15" hidden="false" customHeight="false" outlineLevel="0" collapsed="false">
      <c r="A615" s="6" t="str">
        <f aca="false">'Dish Database'!A203</f>
        <v>D202</v>
      </c>
      <c r="B615" s="6" t="str">
        <f aca="false">'Dish Database'!B203</f>
        <v>Ghee rice</v>
      </c>
      <c r="C615" s="6" t="str">
        <f aca="false">'Dish Database'!D203</f>
        <v>Rice, Pulao &amp; Khichdi</v>
      </c>
      <c r="D615" s="6" t="str">
        <f aca="false">'Dish Database'!F203</f>
        <v>Veg</v>
      </c>
      <c r="E615" s="6" t="str">
        <f aca="false">'Dish Database'!E203</f>
        <v>South</v>
      </c>
      <c r="F615" s="6" t="s">
        <v>2243</v>
      </c>
      <c r="G615" s="6" t="s">
        <v>2265</v>
      </c>
      <c r="H615" s="16" t="n">
        <v>150</v>
      </c>
      <c r="I615" s="6" t="str">
        <f aca="false">'Dish Database'!I203</f>
        <v>g</v>
      </c>
      <c r="J615" s="13" t="n">
        <f aca="false">'Dish Database'!J203*H615/100</f>
        <v>283.95</v>
      </c>
      <c r="K615" s="17" t="n">
        <f aca="false">'Dish Database'!K203*H615/100</f>
        <v>4.5</v>
      </c>
      <c r="L615" s="17" t="n">
        <f aca="false">'Dish Database'!L203*H615/100</f>
        <v>45</v>
      </c>
      <c r="M615" s="17" t="n">
        <f aca="false">'Dish Database'!M203*H615/100</f>
        <v>9.75</v>
      </c>
      <c r="N615" s="17" t="n">
        <f aca="false">'Dish Database'!N203*H615/100</f>
        <v>0.9</v>
      </c>
      <c r="O615" s="17" t="n">
        <f aca="false">'Dish Database'!O203*H615/100</f>
        <v>0.45</v>
      </c>
      <c r="P615" s="13" t="n">
        <f aca="false">'Dish Database'!P203*H615/100</f>
        <v>300</v>
      </c>
    </row>
    <row r="616" customFormat="false" ht="15" hidden="false" customHeight="false" outlineLevel="0" collapsed="false">
      <c r="A616" s="6" t="str">
        <f aca="false">'Dish Database'!A203</f>
        <v>D202</v>
      </c>
      <c r="B616" s="6" t="str">
        <f aca="false">'Dish Database'!B203</f>
        <v>Ghee rice</v>
      </c>
      <c r="C616" s="6" t="str">
        <f aca="false">'Dish Database'!D203</f>
        <v>Rice, Pulao &amp; Khichdi</v>
      </c>
      <c r="D616" s="6" t="str">
        <f aca="false">'Dish Database'!F203</f>
        <v>Veg</v>
      </c>
      <c r="E616" s="6" t="str">
        <f aca="false">'Dish Database'!E203</f>
        <v>South</v>
      </c>
      <c r="F616" s="6" t="s">
        <v>103</v>
      </c>
      <c r="G616" s="6" t="s">
        <v>2423</v>
      </c>
      <c r="H616" s="16" t="n">
        <v>250</v>
      </c>
      <c r="I616" s="6" t="str">
        <f aca="false">'Dish Database'!I203</f>
        <v>g</v>
      </c>
      <c r="J616" s="13" t="n">
        <f aca="false">'Dish Database'!J203*H616/100</f>
        <v>473.25</v>
      </c>
      <c r="K616" s="17" t="n">
        <f aca="false">'Dish Database'!K203*H616/100</f>
        <v>7.5</v>
      </c>
      <c r="L616" s="17" t="n">
        <f aca="false">'Dish Database'!L203*H616/100</f>
        <v>75</v>
      </c>
      <c r="M616" s="17" t="n">
        <f aca="false">'Dish Database'!M203*H616/100</f>
        <v>16.25</v>
      </c>
      <c r="N616" s="17" t="n">
        <f aca="false">'Dish Database'!N203*H616/100</f>
        <v>1.5</v>
      </c>
      <c r="O616" s="17" t="n">
        <f aca="false">'Dish Database'!O203*H616/100</f>
        <v>0.75</v>
      </c>
      <c r="P616" s="13" t="n">
        <f aca="false">'Dish Database'!P203*H616/100</f>
        <v>500</v>
      </c>
    </row>
    <row r="617" customFormat="false" ht="15" hidden="false" customHeight="false" outlineLevel="0" collapsed="false">
      <c r="A617" s="6" t="str">
        <f aca="false">'Dish Database'!A203</f>
        <v>D202</v>
      </c>
      <c r="B617" s="6" t="str">
        <f aca="false">'Dish Database'!B203</f>
        <v>Ghee rice</v>
      </c>
      <c r="C617" s="6" t="str">
        <f aca="false">'Dish Database'!D203</f>
        <v>Rice, Pulao &amp; Khichdi</v>
      </c>
      <c r="D617" s="6" t="str">
        <f aca="false">'Dish Database'!F203</f>
        <v>Veg</v>
      </c>
      <c r="E617" s="6" t="str">
        <f aca="false">'Dish Database'!E203</f>
        <v>South</v>
      </c>
      <c r="F617" s="6" t="s">
        <v>2246</v>
      </c>
      <c r="G617" s="6" t="s">
        <v>2267</v>
      </c>
      <c r="H617" s="16" t="n">
        <v>350</v>
      </c>
      <c r="I617" s="6" t="str">
        <f aca="false">'Dish Database'!I203</f>
        <v>g</v>
      </c>
      <c r="J617" s="13" t="n">
        <f aca="false">'Dish Database'!J203*H617/100</f>
        <v>662.55</v>
      </c>
      <c r="K617" s="17" t="n">
        <f aca="false">'Dish Database'!K203*H617/100</f>
        <v>10.5</v>
      </c>
      <c r="L617" s="17" t="n">
        <f aca="false">'Dish Database'!L203*H617/100</f>
        <v>105</v>
      </c>
      <c r="M617" s="17" t="n">
        <f aca="false">'Dish Database'!M203*H617/100</f>
        <v>22.75</v>
      </c>
      <c r="N617" s="17" t="n">
        <f aca="false">'Dish Database'!N203*H617/100</f>
        <v>2.1</v>
      </c>
      <c r="O617" s="17" t="n">
        <f aca="false">'Dish Database'!O203*H617/100</f>
        <v>1.05</v>
      </c>
      <c r="P617" s="13" t="n">
        <f aca="false">'Dish Database'!P203*H617/100</f>
        <v>700</v>
      </c>
    </row>
    <row r="618" customFormat="false" ht="15" hidden="false" customHeight="false" outlineLevel="0" collapsed="false">
      <c r="A618" s="6" t="str">
        <f aca="false">'Dish Database'!A203</f>
        <v>D202</v>
      </c>
      <c r="B618" s="6" t="str">
        <f aca="false">'Dish Database'!B203</f>
        <v>Ghee rice</v>
      </c>
      <c r="C618" s="6" t="str">
        <f aca="false">'Dish Database'!D203</f>
        <v>Rice, Pulao &amp; Khichdi</v>
      </c>
      <c r="D618" s="6" t="str">
        <f aca="false">'Dish Database'!F203</f>
        <v>Veg</v>
      </c>
      <c r="E618" s="6" t="str">
        <f aca="false">'Dish Database'!E203</f>
        <v>South</v>
      </c>
      <c r="F618" s="6" t="s">
        <v>2323</v>
      </c>
      <c r="G618" s="6" t="s">
        <v>2324</v>
      </c>
      <c r="H618" s="16" t="n">
        <v>300</v>
      </c>
      <c r="I618" s="6" t="str">
        <f aca="false">'Dish Database'!I203</f>
        <v>g</v>
      </c>
      <c r="J618" s="13" t="n">
        <f aca="false">'Dish Database'!J203*H618/100</f>
        <v>567.9</v>
      </c>
      <c r="K618" s="17" t="n">
        <f aca="false">'Dish Database'!K203*H618/100</f>
        <v>9</v>
      </c>
      <c r="L618" s="17" t="n">
        <f aca="false">'Dish Database'!L203*H618/100</f>
        <v>90</v>
      </c>
      <c r="M618" s="17" t="n">
        <f aca="false">'Dish Database'!M203*H618/100</f>
        <v>19.5</v>
      </c>
      <c r="N618" s="17" t="n">
        <f aca="false">'Dish Database'!N203*H618/100</f>
        <v>1.8</v>
      </c>
      <c r="O618" s="17" t="n">
        <f aca="false">'Dish Database'!O203*H618/100</f>
        <v>0.9</v>
      </c>
      <c r="P618" s="13" t="n">
        <f aca="false">'Dish Database'!P203*H618/100</f>
        <v>600</v>
      </c>
    </row>
    <row r="619" customFormat="false" ht="15" hidden="false" customHeight="false" outlineLevel="0" collapsed="false">
      <c r="A619" s="6" t="str">
        <f aca="false">'Dish Database'!A203</f>
        <v>D202</v>
      </c>
      <c r="B619" s="6" t="str">
        <f aca="false">'Dish Database'!B203</f>
        <v>Ghee rice</v>
      </c>
      <c r="C619" s="6" t="str">
        <f aca="false">'Dish Database'!D203</f>
        <v>Rice, Pulao &amp; Khichdi</v>
      </c>
      <c r="D619" s="6" t="str">
        <f aca="false">'Dish Database'!F203</f>
        <v>Veg</v>
      </c>
      <c r="E619" s="6" t="str">
        <f aca="false">'Dish Database'!E203</f>
        <v>South</v>
      </c>
      <c r="F619" s="6" t="s">
        <v>2325</v>
      </c>
      <c r="G619" s="6" t="s">
        <v>2326</v>
      </c>
      <c r="H619" s="16" t="n">
        <v>550</v>
      </c>
      <c r="I619" s="6" t="str">
        <f aca="false">'Dish Database'!I203</f>
        <v>g</v>
      </c>
      <c r="J619" s="13" t="n">
        <f aca="false">'Dish Database'!J203*H619/100</f>
        <v>1041.15</v>
      </c>
      <c r="K619" s="17" t="n">
        <f aca="false">'Dish Database'!K203*H619/100</f>
        <v>16.5</v>
      </c>
      <c r="L619" s="17" t="n">
        <f aca="false">'Dish Database'!L203*H619/100</f>
        <v>165</v>
      </c>
      <c r="M619" s="17" t="n">
        <f aca="false">'Dish Database'!M203*H619/100</f>
        <v>35.75</v>
      </c>
      <c r="N619" s="17" t="n">
        <f aca="false">'Dish Database'!N203*H619/100</f>
        <v>3.3</v>
      </c>
      <c r="O619" s="17" t="n">
        <f aca="false">'Dish Database'!O203*H619/100</f>
        <v>1.65</v>
      </c>
      <c r="P619" s="13" t="n">
        <f aca="false">'Dish Database'!P203*H619/100</f>
        <v>1100</v>
      </c>
    </row>
    <row r="620" customFormat="false" ht="15" hidden="false" customHeight="false" outlineLevel="0" collapsed="false">
      <c r="A620" s="6" t="str">
        <f aca="false">'Dish Database'!A204</f>
        <v>D203</v>
      </c>
      <c r="B620" s="6" t="str">
        <f aca="false">'Dish Database'!B204</f>
        <v>Veg pulao</v>
      </c>
      <c r="C620" s="6" t="str">
        <f aca="false">'Dish Database'!D204</f>
        <v>Rice, Pulao &amp; Khichdi</v>
      </c>
      <c r="D620" s="6" t="str">
        <f aca="false">'Dish Database'!F204</f>
        <v>Veg</v>
      </c>
      <c r="E620" s="6" t="str">
        <f aca="false">'Dish Database'!E204</f>
        <v>North</v>
      </c>
      <c r="F620" s="6" t="s">
        <v>2243</v>
      </c>
      <c r="G620" s="6" t="s">
        <v>2265</v>
      </c>
      <c r="H620" s="16" t="n">
        <v>150</v>
      </c>
      <c r="I620" s="6" t="str">
        <f aca="false">'Dish Database'!I204</f>
        <v>g</v>
      </c>
      <c r="J620" s="13" t="n">
        <f aca="false">'Dish Database'!J204*H620/100</f>
        <v>224.25</v>
      </c>
      <c r="K620" s="17" t="n">
        <f aca="false">'Dish Database'!K204*H620/100</f>
        <v>4.5</v>
      </c>
      <c r="L620" s="17" t="n">
        <f aca="false">'Dish Database'!L204*H620/100</f>
        <v>37.5</v>
      </c>
      <c r="M620" s="17" t="n">
        <f aca="false">'Dish Database'!M204*H620/100</f>
        <v>6.75</v>
      </c>
      <c r="N620" s="17" t="n">
        <f aca="false">'Dish Database'!N204*H620/100</f>
        <v>2.25</v>
      </c>
      <c r="O620" s="17" t="n">
        <f aca="false">'Dish Database'!O204*H620/100</f>
        <v>1.8</v>
      </c>
      <c r="P620" s="13" t="n">
        <f aca="false">'Dish Database'!P204*H620/100</f>
        <v>420</v>
      </c>
    </row>
    <row r="621" customFormat="false" ht="15" hidden="false" customHeight="false" outlineLevel="0" collapsed="false">
      <c r="A621" s="6" t="str">
        <f aca="false">'Dish Database'!A204</f>
        <v>D203</v>
      </c>
      <c r="B621" s="6" t="str">
        <f aca="false">'Dish Database'!B204</f>
        <v>Veg pulao</v>
      </c>
      <c r="C621" s="6" t="str">
        <f aca="false">'Dish Database'!D204</f>
        <v>Rice, Pulao &amp; Khichdi</v>
      </c>
      <c r="D621" s="6" t="str">
        <f aca="false">'Dish Database'!F204</f>
        <v>Veg</v>
      </c>
      <c r="E621" s="6" t="str">
        <f aca="false">'Dish Database'!E204</f>
        <v>North</v>
      </c>
      <c r="F621" s="6" t="s">
        <v>103</v>
      </c>
      <c r="G621" s="6" t="s">
        <v>2423</v>
      </c>
      <c r="H621" s="16" t="n">
        <v>250</v>
      </c>
      <c r="I621" s="6" t="str">
        <f aca="false">'Dish Database'!I204</f>
        <v>g</v>
      </c>
      <c r="J621" s="13" t="n">
        <f aca="false">'Dish Database'!J204*H621/100</f>
        <v>373.75</v>
      </c>
      <c r="K621" s="17" t="n">
        <f aca="false">'Dish Database'!K204*H621/100</f>
        <v>7.5</v>
      </c>
      <c r="L621" s="17" t="n">
        <f aca="false">'Dish Database'!L204*H621/100</f>
        <v>62.5</v>
      </c>
      <c r="M621" s="17" t="n">
        <f aca="false">'Dish Database'!M204*H621/100</f>
        <v>11.25</v>
      </c>
      <c r="N621" s="17" t="n">
        <f aca="false">'Dish Database'!N204*H621/100</f>
        <v>3.75</v>
      </c>
      <c r="O621" s="17" t="n">
        <f aca="false">'Dish Database'!O204*H621/100</f>
        <v>3</v>
      </c>
      <c r="P621" s="13" t="n">
        <f aca="false">'Dish Database'!P204*H621/100</f>
        <v>700</v>
      </c>
    </row>
    <row r="622" customFormat="false" ht="15" hidden="false" customHeight="false" outlineLevel="0" collapsed="false">
      <c r="A622" s="6" t="str">
        <f aca="false">'Dish Database'!A204</f>
        <v>D203</v>
      </c>
      <c r="B622" s="6" t="str">
        <f aca="false">'Dish Database'!B204</f>
        <v>Veg pulao</v>
      </c>
      <c r="C622" s="6" t="str">
        <f aca="false">'Dish Database'!D204</f>
        <v>Rice, Pulao &amp; Khichdi</v>
      </c>
      <c r="D622" s="6" t="str">
        <f aca="false">'Dish Database'!F204</f>
        <v>Veg</v>
      </c>
      <c r="E622" s="6" t="str">
        <f aca="false">'Dish Database'!E204</f>
        <v>North</v>
      </c>
      <c r="F622" s="6" t="s">
        <v>2246</v>
      </c>
      <c r="G622" s="6" t="s">
        <v>2267</v>
      </c>
      <c r="H622" s="16" t="n">
        <v>350</v>
      </c>
      <c r="I622" s="6" t="str">
        <f aca="false">'Dish Database'!I204</f>
        <v>g</v>
      </c>
      <c r="J622" s="13" t="n">
        <f aca="false">'Dish Database'!J204*H622/100</f>
        <v>523.25</v>
      </c>
      <c r="K622" s="17" t="n">
        <f aca="false">'Dish Database'!K204*H622/100</f>
        <v>10.5</v>
      </c>
      <c r="L622" s="17" t="n">
        <f aca="false">'Dish Database'!L204*H622/100</f>
        <v>87.5</v>
      </c>
      <c r="M622" s="17" t="n">
        <f aca="false">'Dish Database'!M204*H622/100</f>
        <v>15.75</v>
      </c>
      <c r="N622" s="17" t="n">
        <f aca="false">'Dish Database'!N204*H622/100</f>
        <v>5.25</v>
      </c>
      <c r="O622" s="17" t="n">
        <f aca="false">'Dish Database'!O204*H622/100</f>
        <v>4.2</v>
      </c>
      <c r="P622" s="13" t="n">
        <f aca="false">'Dish Database'!P204*H622/100</f>
        <v>980</v>
      </c>
    </row>
    <row r="623" customFormat="false" ht="15" hidden="false" customHeight="false" outlineLevel="0" collapsed="false">
      <c r="A623" s="6" t="str">
        <f aca="false">'Dish Database'!A204</f>
        <v>D203</v>
      </c>
      <c r="B623" s="6" t="str">
        <f aca="false">'Dish Database'!B204</f>
        <v>Veg pulao</v>
      </c>
      <c r="C623" s="6" t="str">
        <f aca="false">'Dish Database'!D204</f>
        <v>Rice, Pulao &amp; Khichdi</v>
      </c>
      <c r="D623" s="6" t="str">
        <f aca="false">'Dish Database'!F204</f>
        <v>Veg</v>
      </c>
      <c r="E623" s="6" t="str">
        <f aca="false">'Dish Database'!E204</f>
        <v>North</v>
      </c>
      <c r="F623" s="6" t="s">
        <v>2323</v>
      </c>
      <c r="G623" s="6" t="s">
        <v>2324</v>
      </c>
      <c r="H623" s="16" t="n">
        <v>300</v>
      </c>
      <c r="I623" s="6" t="str">
        <f aca="false">'Dish Database'!I204</f>
        <v>g</v>
      </c>
      <c r="J623" s="13" t="n">
        <f aca="false">'Dish Database'!J204*H623/100</f>
        <v>448.5</v>
      </c>
      <c r="K623" s="17" t="n">
        <f aca="false">'Dish Database'!K204*H623/100</f>
        <v>9</v>
      </c>
      <c r="L623" s="17" t="n">
        <f aca="false">'Dish Database'!L204*H623/100</f>
        <v>75</v>
      </c>
      <c r="M623" s="17" t="n">
        <f aca="false">'Dish Database'!M204*H623/100</f>
        <v>13.5</v>
      </c>
      <c r="N623" s="17" t="n">
        <f aca="false">'Dish Database'!N204*H623/100</f>
        <v>4.5</v>
      </c>
      <c r="O623" s="17" t="n">
        <f aca="false">'Dish Database'!O204*H623/100</f>
        <v>3.6</v>
      </c>
      <c r="P623" s="13" t="n">
        <f aca="false">'Dish Database'!P204*H623/100</f>
        <v>840</v>
      </c>
    </row>
    <row r="624" customFormat="false" ht="15" hidden="false" customHeight="false" outlineLevel="0" collapsed="false">
      <c r="A624" s="6" t="str">
        <f aca="false">'Dish Database'!A204</f>
        <v>D203</v>
      </c>
      <c r="B624" s="6" t="str">
        <f aca="false">'Dish Database'!B204</f>
        <v>Veg pulao</v>
      </c>
      <c r="C624" s="6" t="str">
        <f aca="false">'Dish Database'!D204</f>
        <v>Rice, Pulao &amp; Khichdi</v>
      </c>
      <c r="D624" s="6" t="str">
        <f aca="false">'Dish Database'!F204</f>
        <v>Veg</v>
      </c>
      <c r="E624" s="6" t="str">
        <f aca="false">'Dish Database'!E204</f>
        <v>North</v>
      </c>
      <c r="F624" s="6" t="s">
        <v>2325</v>
      </c>
      <c r="G624" s="6" t="s">
        <v>2326</v>
      </c>
      <c r="H624" s="16" t="n">
        <v>550</v>
      </c>
      <c r="I624" s="6" t="str">
        <f aca="false">'Dish Database'!I204</f>
        <v>g</v>
      </c>
      <c r="J624" s="13" t="n">
        <f aca="false">'Dish Database'!J204*H624/100</f>
        <v>822.25</v>
      </c>
      <c r="K624" s="17" t="n">
        <f aca="false">'Dish Database'!K204*H624/100</f>
        <v>16.5</v>
      </c>
      <c r="L624" s="17" t="n">
        <f aca="false">'Dish Database'!L204*H624/100</f>
        <v>137.5</v>
      </c>
      <c r="M624" s="17" t="n">
        <f aca="false">'Dish Database'!M204*H624/100</f>
        <v>24.75</v>
      </c>
      <c r="N624" s="17" t="n">
        <f aca="false">'Dish Database'!N204*H624/100</f>
        <v>8.25</v>
      </c>
      <c r="O624" s="17" t="n">
        <f aca="false">'Dish Database'!O204*H624/100</f>
        <v>6.6</v>
      </c>
      <c r="P624" s="13" t="n">
        <f aca="false">'Dish Database'!P204*H624/100</f>
        <v>1540</v>
      </c>
    </row>
    <row r="625" customFormat="false" ht="15" hidden="false" customHeight="false" outlineLevel="0" collapsed="false">
      <c r="A625" s="6" t="str">
        <f aca="false">'Dish Database'!A205</f>
        <v>D204</v>
      </c>
      <c r="B625" s="6" t="str">
        <f aca="false">'Dish Database'!B205</f>
        <v>Matar pulao</v>
      </c>
      <c r="C625" s="6" t="str">
        <f aca="false">'Dish Database'!D205</f>
        <v>Rice, Pulao &amp; Khichdi</v>
      </c>
      <c r="D625" s="6" t="str">
        <f aca="false">'Dish Database'!F205</f>
        <v>Veg</v>
      </c>
      <c r="E625" s="6" t="str">
        <f aca="false">'Dish Database'!E205</f>
        <v>North</v>
      </c>
      <c r="F625" s="6" t="s">
        <v>2243</v>
      </c>
      <c r="G625" s="6" t="s">
        <v>2265</v>
      </c>
      <c r="H625" s="16" t="n">
        <v>150</v>
      </c>
      <c r="I625" s="6" t="str">
        <f aca="false">'Dish Database'!I205</f>
        <v>g</v>
      </c>
      <c r="J625" s="13" t="n">
        <f aca="false">'Dish Database'!J205*H625/100</f>
        <v>231.75</v>
      </c>
      <c r="K625" s="17" t="n">
        <f aca="false">'Dish Database'!K205*H625/100</f>
        <v>5.25</v>
      </c>
      <c r="L625" s="17" t="n">
        <f aca="false">'Dish Database'!L205*H625/100</f>
        <v>39</v>
      </c>
      <c r="M625" s="17" t="n">
        <f aca="false">'Dish Database'!M205*H625/100</f>
        <v>6.75</v>
      </c>
      <c r="N625" s="17" t="n">
        <f aca="false">'Dish Database'!N205*H625/100</f>
        <v>3</v>
      </c>
      <c r="O625" s="17" t="n">
        <f aca="false">'Dish Database'!O205*H625/100</f>
        <v>2.25</v>
      </c>
      <c r="P625" s="13" t="n">
        <f aca="false">'Dish Database'!P205*H625/100</f>
        <v>420</v>
      </c>
    </row>
    <row r="626" customFormat="false" ht="15" hidden="false" customHeight="false" outlineLevel="0" collapsed="false">
      <c r="A626" s="6" t="str">
        <f aca="false">'Dish Database'!A205</f>
        <v>D204</v>
      </c>
      <c r="B626" s="6" t="str">
        <f aca="false">'Dish Database'!B205</f>
        <v>Matar pulao</v>
      </c>
      <c r="C626" s="6" t="str">
        <f aca="false">'Dish Database'!D205</f>
        <v>Rice, Pulao &amp; Khichdi</v>
      </c>
      <c r="D626" s="6" t="str">
        <f aca="false">'Dish Database'!F205</f>
        <v>Veg</v>
      </c>
      <c r="E626" s="6" t="str">
        <f aca="false">'Dish Database'!E205</f>
        <v>North</v>
      </c>
      <c r="F626" s="6" t="s">
        <v>103</v>
      </c>
      <c r="G626" s="6" t="s">
        <v>2423</v>
      </c>
      <c r="H626" s="16" t="n">
        <v>250</v>
      </c>
      <c r="I626" s="6" t="str">
        <f aca="false">'Dish Database'!I205</f>
        <v>g</v>
      </c>
      <c r="J626" s="13" t="n">
        <f aca="false">'Dish Database'!J205*H626/100</f>
        <v>386.25</v>
      </c>
      <c r="K626" s="17" t="n">
        <f aca="false">'Dish Database'!K205*H626/100</f>
        <v>8.75</v>
      </c>
      <c r="L626" s="17" t="n">
        <f aca="false">'Dish Database'!L205*H626/100</f>
        <v>65</v>
      </c>
      <c r="M626" s="17" t="n">
        <f aca="false">'Dish Database'!M205*H626/100</f>
        <v>11.25</v>
      </c>
      <c r="N626" s="17" t="n">
        <f aca="false">'Dish Database'!N205*H626/100</f>
        <v>5</v>
      </c>
      <c r="O626" s="17" t="n">
        <f aca="false">'Dish Database'!O205*H626/100</f>
        <v>3.75</v>
      </c>
      <c r="P626" s="13" t="n">
        <f aca="false">'Dish Database'!P205*H626/100</f>
        <v>700</v>
      </c>
    </row>
    <row r="627" customFormat="false" ht="15" hidden="false" customHeight="false" outlineLevel="0" collapsed="false">
      <c r="A627" s="6" t="str">
        <f aca="false">'Dish Database'!A205</f>
        <v>D204</v>
      </c>
      <c r="B627" s="6" t="str">
        <f aca="false">'Dish Database'!B205</f>
        <v>Matar pulao</v>
      </c>
      <c r="C627" s="6" t="str">
        <f aca="false">'Dish Database'!D205</f>
        <v>Rice, Pulao &amp; Khichdi</v>
      </c>
      <c r="D627" s="6" t="str">
        <f aca="false">'Dish Database'!F205</f>
        <v>Veg</v>
      </c>
      <c r="E627" s="6" t="str">
        <f aca="false">'Dish Database'!E205</f>
        <v>North</v>
      </c>
      <c r="F627" s="6" t="s">
        <v>2246</v>
      </c>
      <c r="G627" s="6" t="s">
        <v>2267</v>
      </c>
      <c r="H627" s="16" t="n">
        <v>350</v>
      </c>
      <c r="I627" s="6" t="str">
        <f aca="false">'Dish Database'!I205</f>
        <v>g</v>
      </c>
      <c r="J627" s="13" t="n">
        <f aca="false">'Dish Database'!J205*H627/100</f>
        <v>540.75</v>
      </c>
      <c r="K627" s="17" t="n">
        <f aca="false">'Dish Database'!K205*H627/100</f>
        <v>12.25</v>
      </c>
      <c r="L627" s="17" t="n">
        <f aca="false">'Dish Database'!L205*H627/100</f>
        <v>91</v>
      </c>
      <c r="M627" s="17" t="n">
        <f aca="false">'Dish Database'!M205*H627/100</f>
        <v>15.75</v>
      </c>
      <c r="N627" s="17" t="n">
        <f aca="false">'Dish Database'!N205*H627/100</f>
        <v>7</v>
      </c>
      <c r="O627" s="17" t="n">
        <f aca="false">'Dish Database'!O205*H627/100</f>
        <v>5.25</v>
      </c>
      <c r="P627" s="13" t="n">
        <f aca="false">'Dish Database'!P205*H627/100</f>
        <v>980</v>
      </c>
    </row>
    <row r="628" customFormat="false" ht="15" hidden="false" customHeight="false" outlineLevel="0" collapsed="false">
      <c r="A628" s="6" t="str">
        <f aca="false">'Dish Database'!A205</f>
        <v>D204</v>
      </c>
      <c r="B628" s="6" t="str">
        <f aca="false">'Dish Database'!B205</f>
        <v>Matar pulao</v>
      </c>
      <c r="C628" s="6" t="str">
        <f aca="false">'Dish Database'!D205</f>
        <v>Rice, Pulao &amp; Khichdi</v>
      </c>
      <c r="D628" s="6" t="str">
        <f aca="false">'Dish Database'!F205</f>
        <v>Veg</v>
      </c>
      <c r="E628" s="6" t="str">
        <f aca="false">'Dish Database'!E205</f>
        <v>North</v>
      </c>
      <c r="F628" s="6" t="s">
        <v>2323</v>
      </c>
      <c r="G628" s="6" t="s">
        <v>2324</v>
      </c>
      <c r="H628" s="16" t="n">
        <v>300</v>
      </c>
      <c r="I628" s="6" t="str">
        <f aca="false">'Dish Database'!I205</f>
        <v>g</v>
      </c>
      <c r="J628" s="13" t="n">
        <f aca="false">'Dish Database'!J205*H628/100</f>
        <v>463.5</v>
      </c>
      <c r="K628" s="17" t="n">
        <f aca="false">'Dish Database'!K205*H628/100</f>
        <v>10.5</v>
      </c>
      <c r="L628" s="17" t="n">
        <f aca="false">'Dish Database'!L205*H628/100</f>
        <v>78</v>
      </c>
      <c r="M628" s="17" t="n">
        <f aca="false">'Dish Database'!M205*H628/100</f>
        <v>13.5</v>
      </c>
      <c r="N628" s="17" t="n">
        <f aca="false">'Dish Database'!N205*H628/100</f>
        <v>6</v>
      </c>
      <c r="O628" s="17" t="n">
        <f aca="false">'Dish Database'!O205*H628/100</f>
        <v>4.5</v>
      </c>
      <c r="P628" s="13" t="n">
        <f aca="false">'Dish Database'!P205*H628/100</f>
        <v>840</v>
      </c>
    </row>
    <row r="629" customFormat="false" ht="15" hidden="false" customHeight="false" outlineLevel="0" collapsed="false">
      <c r="A629" s="6" t="str">
        <f aca="false">'Dish Database'!A205</f>
        <v>D204</v>
      </c>
      <c r="B629" s="6" t="str">
        <f aca="false">'Dish Database'!B205</f>
        <v>Matar pulao</v>
      </c>
      <c r="C629" s="6" t="str">
        <f aca="false">'Dish Database'!D205</f>
        <v>Rice, Pulao &amp; Khichdi</v>
      </c>
      <c r="D629" s="6" t="str">
        <f aca="false">'Dish Database'!F205</f>
        <v>Veg</v>
      </c>
      <c r="E629" s="6" t="str">
        <f aca="false">'Dish Database'!E205</f>
        <v>North</v>
      </c>
      <c r="F629" s="6" t="s">
        <v>2325</v>
      </c>
      <c r="G629" s="6" t="s">
        <v>2326</v>
      </c>
      <c r="H629" s="16" t="n">
        <v>550</v>
      </c>
      <c r="I629" s="6" t="str">
        <f aca="false">'Dish Database'!I205</f>
        <v>g</v>
      </c>
      <c r="J629" s="13" t="n">
        <f aca="false">'Dish Database'!J205*H629/100</f>
        <v>849.75</v>
      </c>
      <c r="K629" s="17" t="n">
        <f aca="false">'Dish Database'!K205*H629/100</f>
        <v>19.25</v>
      </c>
      <c r="L629" s="17" t="n">
        <f aca="false">'Dish Database'!L205*H629/100</f>
        <v>143</v>
      </c>
      <c r="M629" s="17" t="n">
        <f aca="false">'Dish Database'!M205*H629/100</f>
        <v>24.75</v>
      </c>
      <c r="N629" s="17" t="n">
        <f aca="false">'Dish Database'!N205*H629/100</f>
        <v>11</v>
      </c>
      <c r="O629" s="17" t="n">
        <f aca="false">'Dish Database'!O205*H629/100</f>
        <v>8.25</v>
      </c>
      <c r="P629" s="13" t="n">
        <f aca="false">'Dish Database'!P205*H629/100</f>
        <v>1540</v>
      </c>
    </row>
    <row r="630" customFormat="false" ht="15" hidden="false" customHeight="false" outlineLevel="0" collapsed="false">
      <c r="A630" s="6" t="str">
        <f aca="false">'Dish Database'!A206</f>
        <v>D205</v>
      </c>
      <c r="B630" s="6" t="str">
        <f aca="false">'Dish Database'!B206</f>
        <v>Kashmiri pulao (with dry fruits)</v>
      </c>
      <c r="C630" s="6" t="str">
        <f aca="false">'Dish Database'!D206</f>
        <v>Rice, Pulao &amp; Khichdi</v>
      </c>
      <c r="D630" s="6" t="str">
        <f aca="false">'Dish Database'!F206</f>
        <v>Veg</v>
      </c>
      <c r="E630" s="6" t="str">
        <f aca="false">'Dish Database'!E206</f>
        <v>North</v>
      </c>
      <c r="F630" s="6" t="s">
        <v>2243</v>
      </c>
      <c r="G630" s="6" t="s">
        <v>2265</v>
      </c>
      <c r="H630" s="16" t="n">
        <v>150</v>
      </c>
      <c r="I630" s="6" t="str">
        <f aca="false">'Dish Database'!I206</f>
        <v>g</v>
      </c>
      <c r="J630" s="13" t="n">
        <f aca="false">'Dish Database'!J206*H630/100</f>
        <v>303</v>
      </c>
      <c r="K630" s="17" t="n">
        <f aca="false">'Dish Database'!K206*H630/100</f>
        <v>5.25</v>
      </c>
      <c r="L630" s="17" t="n">
        <f aca="false">'Dish Database'!L206*H630/100</f>
        <v>48</v>
      </c>
      <c r="M630" s="17" t="n">
        <f aca="false">'Dish Database'!M206*H630/100</f>
        <v>10.5</v>
      </c>
      <c r="N630" s="17" t="n">
        <f aca="false">'Dish Database'!N206*H630/100</f>
        <v>2.25</v>
      </c>
      <c r="O630" s="17" t="n">
        <f aca="false">'Dish Database'!O206*H630/100</f>
        <v>9</v>
      </c>
      <c r="P630" s="13" t="n">
        <f aca="false">'Dish Database'!P206*H630/100</f>
        <v>300</v>
      </c>
    </row>
    <row r="631" customFormat="false" ht="15" hidden="false" customHeight="false" outlineLevel="0" collapsed="false">
      <c r="A631" s="6" t="str">
        <f aca="false">'Dish Database'!A206</f>
        <v>D205</v>
      </c>
      <c r="B631" s="6" t="str">
        <f aca="false">'Dish Database'!B206</f>
        <v>Kashmiri pulao (with dry fruits)</v>
      </c>
      <c r="C631" s="6" t="str">
        <f aca="false">'Dish Database'!D206</f>
        <v>Rice, Pulao &amp; Khichdi</v>
      </c>
      <c r="D631" s="6" t="str">
        <f aca="false">'Dish Database'!F206</f>
        <v>Veg</v>
      </c>
      <c r="E631" s="6" t="str">
        <f aca="false">'Dish Database'!E206</f>
        <v>North</v>
      </c>
      <c r="F631" s="6" t="s">
        <v>103</v>
      </c>
      <c r="G631" s="6" t="s">
        <v>2423</v>
      </c>
      <c r="H631" s="16" t="n">
        <v>250</v>
      </c>
      <c r="I631" s="6" t="str">
        <f aca="false">'Dish Database'!I206</f>
        <v>g</v>
      </c>
      <c r="J631" s="13" t="n">
        <f aca="false">'Dish Database'!J206*H631/100</f>
        <v>505</v>
      </c>
      <c r="K631" s="17" t="n">
        <f aca="false">'Dish Database'!K206*H631/100</f>
        <v>8.75</v>
      </c>
      <c r="L631" s="17" t="n">
        <f aca="false">'Dish Database'!L206*H631/100</f>
        <v>80</v>
      </c>
      <c r="M631" s="17" t="n">
        <f aca="false">'Dish Database'!M206*H631/100</f>
        <v>17.5</v>
      </c>
      <c r="N631" s="17" t="n">
        <f aca="false">'Dish Database'!N206*H631/100</f>
        <v>3.75</v>
      </c>
      <c r="O631" s="17" t="n">
        <f aca="false">'Dish Database'!O206*H631/100</f>
        <v>15</v>
      </c>
      <c r="P631" s="13" t="n">
        <f aca="false">'Dish Database'!P206*H631/100</f>
        <v>500</v>
      </c>
    </row>
    <row r="632" customFormat="false" ht="15" hidden="false" customHeight="false" outlineLevel="0" collapsed="false">
      <c r="A632" s="6" t="str">
        <f aca="false">'Dish Database'!A206</f>
        <v>D205</v>
      </c>
      <c r="B632" s="6" t="str">
        <f aca="false">'Dish Database'!B206</f>
        <v>Kashmiri pulao (with dry fruits)</v>
      </c>
      <c r="C632" s="6" t="str">
        <f aca="false">'Dish Database'!D206</f>
        <v>Rice, Pulao &amp; Khichdi</v>
      </c>
      <c r="D632" s="6" t="str">
        <f aca="false">'Dish Database'!F206</f>
        <v>Veg</v>
      </c>
      <c r="E632" s="6" t="str">
        <f aca="false">'Dish Database'!E206</f>
        <v>North</v>
      </c>
      <c r="F632" s="6" t="s">
        <v>2246</v>
      </c>
      <c r="G632" s="6" t="s">
        <v>2267</v>
      </c>
      <c r="H632" s="16" t="n">
        <v>350</v>
      </c>
      <c r="I632" s="6" t="str">
        <f aca="false">'Dish Database'!I206</f>
        <v>g</v>
      </c>
      <c r="J632" s="13" t="n">
        <f aca="false">'Dish Database'!J206*H632/100</f>
        <v>707</v>
      </c>
      <c r="K632" s="17" t="n">
        <f aca="false">'Dish Database'!K206*H632/100</f>
        <v>12.25</v>
      </c>
      <c r="L632" s="17" t="n">
        <f aca="false">'Dish Database'!L206*H632/100</f>
        <v>112</v>
      </c>
      <c r="M632" s="17" t="n">
        <f aca="false">'Dish Database'!M206*H632/100</f>
        <v>24.5</v>
      </c>
      <c r="N632" s="17" t="n">
        <f aca="false">'Dish Database'!N206*H632/100</f>
        <v>5.25</v>
      </c>
      <c r="O632" s="17" t="n">
        <f aca="false">'Dish Database'!O206*H632/100</f>
        <v>21</v>
      </c>
      <c r="P632" s="13" t="n">
        <f aca="false">'Dish Database'!P206*H632/100</f>
        <v>700</v>
      </c>
    </row>
    <row r="633" customFormat="false" ht="15" hidden="false" customHeight="false" outlineLevel="0" collapsed="false">
      <c r="A633" s="6" t="str">
        <f aca="false">'Dish Database'!A206</f>
        <v>D205</v>
      </c>
      <c r="B633" s="6" t="str">
        <f aca="false">'Dish Database'!B206</f>
        <v>Kashmiri pulao (with dry fruits)</v>
      </c>
      <c r="C633" s="6" t="str">
        <f aca="false">'Dish Database'!D206</f>
        <v>Rice, Pulao &amp; Khichdi</v>
      </c>
      <c r="D633" s="6" t="str">
        <f aca="false">'Dish Database'!F206</f>
        <v>Veg</v>
      </c>
      <c r="E633" s="6" t="str">
        <f aca="false">'Dish Database'!E206</f>
        <v>North</v>
      </c>
      <c r="F633" s="6" t="s">
        <v>2323</v>
      </c>
      <c r="G633" s="6" t="s">
        <v>2324</v>
      </c>
      <c r="H633" s="16" t="n">
        <v>300</v>
      </c>
      <c r="I633" s="6" t="str">
        <f aca="false">'Dish Database'!I206</f>
        <v>g</v>
      </c>
      <c r="J633" s="13" t="n">
        <f aca="false">'Dish Database'!J206*H633/100</f>
        <v>606</v>
      </c>
      <c r="K633" s="17" t="n">
        <f aca="false">'Dish Database'!K206*H633/100</f>
        <v>10.5</v>
      </c>
      <c r="L633" s="17" t="n">
        <f aca="false">'Dish Database'!L206*H633/100</f>
        <v>96</v>
      </c>
      <c r="M633" s="17" t="n">
        <f aca="false">'Dish Database'!M206*H633/100</f>
        <v>21</v>
      </c>
      <c r="N633" s="17" t="n">
        <f aca="false">'Dish Database'!N206*H633/100</f>
        <v>4.5</v>
      </c>
      <c r="O633" s="17" t="n">
        <f aca="false">'Dish Database'!O206*H633/100</f>
        <v>18</v>
      </c>
      <c r="P633" s="13" t="n">
        <f aca="false">'Dish Database'!P206*H633/100</f>
        <v>600</v>
      </c>
    </row>
    <row r="634" customFormat="false" ht="15" hidden="false" customHeight="false" outlineLevel="0" collapsed="false">
      <c r="A634" s="6" t="str">
        <f aca="false">'Dish Database'!A206</f>
        <v>D205</v>
      </c>
      <c r="B634" s="6" t="str">
        <f aca="false">'Dish Database'!B206</f>
        <v>Kashmiri pulao (with dry fruits)</v>
      </c>
      <c r="C634" s="6" t="str">
        <f aca="false">'Dish Database'!D206</f>
        <v>Rice, Pulao &amp; Khichdi</v>
      </c>
      <c r="D634" s="6" t="str">
        <f aca="false">'Dish Database'!F206</f>
        <v>Veg</v>
      </c>
      <c r="E634" s="6" t="str">
        <f aca="false">'Dish Database'!E206</f>
        <v>North</v>
      </c>
      <c r="F634" s="6" t="s">
        <v>2325</v>
      </c>
      <c r="G634" s="6" t="s">
        <v>2326</v>
      </c>
      <c r="H634" s="16" t="n">
        <v>550</v>
      </c>
      <c r="I634" s="6" t="str">
        <f aca="false">'Dish Database'!I206</f>
        <v>g</v>
      </c>
      <c r="J634" s="13" t="n">
        <f aca="false">'Dish Database'!J206*H634/100</f>
        <v>1111</v>
      </c>
      <c r="K634" s="17" t="n">
        <f aca="false">'Dish Database'!K206*H634/100</f>
        <v>19.25</v>
      </c>
      <c r="L634" s="17" t="n">
        <f aca="false">'Dish Database'!L206*H634/100</f>
        <v>176</v>
      </c>
      <c r="M634" s="17" t="n">
        <f aca="false">'Dish Database'!M206*H634/100</f>
        <v>38.5</v>
      </c>
      <c r="N634" s="17" t="n">
        <f aca="false">'Dish Database'!N206*H634/100</f>
        <v>8.25</v>
      </c>
      <c r="O634" s="17" t="n">
        <f aca="false">'Dish Database'!O206*H634/100</f>
        <v>33</v>
      </c>
      <c r="P634" s="13" t="n">
        <f aca="false">'Dish Database'!P206*H634/100</f>
        <v>1100</v>
      </c>
    </row>
    <row r="635" customFormat="false" ht="15" hidden="false" customHeight="false" outlineLevel="0" collapsed="false">
      <c r="A635" s="6" t="str">
        <f aca="false">'Dish Database'!A207</f>
        <v>D206</v>
      </c>
      <c r="B635" s="6" t="str">
        <f aca="false">'Dish Database'!B207</f>
        <v>Lemon rice</v>
      </c>
      <c r="C635" s="6" t="str">
        <f aca="false">'Dish Database'!D207</f>
        <v>Rice, Pulao &amp; Khichdi</v>
      </c>
      <c r="D635" s="6" t="str">
        <f aca="false">'Dish Database'!F207</f>
        <v>Veg</v>
      </c>
      <c r="E635" s="6" t="str">
        <f aca="false">'Dish Database'!E207</f>
        <v>South</v>
      </c>
      <c r="F635" s="6" t="s">
        <v>2243</v>
      </c>
      <c r="G635" s="6" t="s">
        <v>2265</v>
      </c>
      <c r="H635" s="16" t="n">
        <v>150</v>
      </c>
      <c r="I635" s="6" t="str">
        <f aca="false">'Dish Database'!I207</f>
        <v>g</v>
      </c>
      <c r="J635" s="13" t="n">
        <f aca="false">'Dish Database'!J207*H635/100</f>
        <v>276</v>
      </c>
      <c r="K635" s="17" t="n">
        <f aca="false">'Dish Database'!K207*H635/100</f>
        <v>4.5</v>
      </c>
      <c r="L635" s="17" t="n">
        <f aca="false">'Dish Database'!L207*H635/100</f>
        <v>45</v>
      </c>
      <c r="M635" s="17" t="n">
        <f aca="false">'Dish Database'!M207*H635/100</f>
        <v>9</v>
      </c>
      <c r="N635" s="17" t="n">
        <f aca="false">'Dish Database'!N207*H635/100</f>
        <v>1.5</v>
      </c>
      <c r="O635" s="17" t="n">
        <f aca="false">'Dish Database'!O207*H635/100</f>
        <v>0.75</v>
      </c>
      <c r="P635" s="13" t="n">
        <f aca="false">'Dish Database'!P207*H635/100</f>
        <v>480</v>
      </c>
    </row>
    <row r="636" customFormat="false" ht="15" hidden="false" customHeight="false" outlineLevel="0" collapsed="false">
      <c r="A636" s="6" t="str">
        <f aca="false">'Dish Database'!A207</f>
        <v>D206</v>
      </c>
      <c r="B636" s="6" t="str">
        <f aca="false">'Dish Database'!B207</f>
        <v>Lemon rice</v>
      </c>
      <c r="C636" s="6" t="str">
        <f aca="false">'Dish Database'!D207</f>
        <v>Rice, Pulao &amp; Khichdi</v>
      </c>
      <c r="D636" s="6" t="str">
        <f aca="false">'Dish Database'!F207</f>
        <v>Veg</v>
      </c>
      <c r="E636" s="6" t="str">
        <f aca="false">'Dish Database'!E207</f>
        <v>South</v>
      </c>
      <c r="F636" s="6" t="s">
        <v>103</v>
      </c>
      <c r="G636" s="6" t="s">
        <v>2423</v>
      </c>
      <c r="H636" s="16" t="n">
        <v>250</v>
      </c>
      <c r="I636" s="6" t="str">
        <f aca="false">'Dish Database'!I207</f>
        <v>g</v>
      </c>
      <c r="J636" s="13" t="n">
        <f aca="false">'Dish Database'!J207*H636/100</f>
        <v>460</v>
      </c>
      <c r="K636" s="17" t="n">
        <f aca="false">'Dish Database'!K207*H636/100</f>
        <v>7.5</v>
      </c>
      <c r="L636" s="17" t="n">
        <f aca="false">'Dish Database'!L207*H636/100</f>
        <v>75</v>
      </c>
      <c r="M636" s="17" t="n">
        <f aca="false">'Dish Database'!M207*H636/100</f>
        <v>15</v>
      </c>
      <c r="N636" s="17" t="n">
        <f aca="false">'Dish Database'!N207*H636/100</f>
        <v>2.5</v>
      </c>
      <c r="O636" s="17" t="n">
        <f aca="false">'Dish Database'!O207*H636/100</f>
        <v>1.25</v>
      </c>
      <c r="P636" s="13" t="n">
        <f aca="false">'Dish Database'!P207*H636/100</f>
        <v>800</v>
      </c>
    </row>
    <row r="637" customFormat="false" ht="15" hidden="false" customHeight="false" outlineLevel="0" collapsed="false">
      <c r="A637" s="6" t="str">
        <f aca="false">'Dish Database'!A207</f>
        <v>D206</v>
      </c>
      <c r="B637" s="6" t="str">
        <f aca="false">'Dish Database'!B207</f>
        <v>Lemon rice</v>
      </c>
      <c r="C637" s="6" t="str">
        <f aca="false">'Dish Database'!D207</f>
        <v>Rice, Pulao &amp; Khichdi</v>
      </c>
      <c r="D637" s="6" t="str">
        <f aca="false">'Dish Database'!F207</f>
        <v>Veg</v>
      </c>
      <c r="E637" s="6" t="str">
        <f aca="false">'Dish Database'!E207</f>
        <v>South</v>
      </c>
      <c r="F637" s="6" t="s">
        <v>2246</v>
      </c>
      <c r="G637" s="6" t="s">
        <v>2267</v>
      </c>
      <c r="H637" s="16" t="n">
        <v>350</v>
      </c>
      <c r="I637" s="6" t="str">
        <f aca="false">'Dish Database'!I207</f>
        <v>g</v>
      </c>
      <c r="J637" s="13" t="n">
        <f aca="false">'Dish Database'!J207*H637/100</f>
        <v>644</v>
      </c>
      <c r="K637" s="17" t="n">
        <f aca="false">'Dish Database'!K207*H637/100</f>
        <v>10.5</v>
      </c>
      <c r="L637" s="17" t="n">
        <f aca="false">'Dish Database'!L207*H637/100</f>
        <v>105</v>
      </c>
      <c r="M637" s="17" t="n">
        <f aca="false">'Dish Database'!M207*H637/100</f>
        <v>21</v>
      </c>
      <c r="N637" s="17" t="n">
        <f aca="false">'Dish Database'!N207*H637/100</f>
        <v>3.5</v>
      </c>
      <c r="O637" s="17" t="n">
        <f aca="false">'Dish Database'!O207*H637/100</f>
        <v>1.75</v>
      </c>
      <c r="P637" s="13" t="n">
        <f aca="false">'Dish Database'!P207*H637/100</f>
        <v>1120</v>
      </c>
    </row>
    <row r="638" customFormat="false" ht="15" hidden="false" customHeight="false" outlineLevel="0" collapsed="false">
      <c r="A638" s="6" t="str">
        <f aca="false">'Dish Database'!A207</f>
        <v>D206</v>
      </c>
      <c r="B638" s="6" t="str">
        <f aca="false">'Dish Database'!B207</f>
        <v>Lemon rice</v>
      </c>
      <c r="C638" s="6" t="str">
        <f aca="false">'Dish Database'!D207</f>
        <v>Rice, Pulao &amp; Khichdi</v>
      </c>
      <c r="D638" s="6" t="str">
        <f aca="false">'Dish Database'!F207</f>
        <v>Veg</v>
      </c>
      <c r="E638" s="6" t="str">
        <f aca="false">'Dish Database'!E207</f>
        <v>South</v>
      </c>
      <c r="F638" s="6" t="s">
        <v>2323</v>
      </c>
      <c r="G638" s="6" t="s">
        <v>2324</v>
      </c>
      <c r="H638" s="16" t="n">
        <v>300</v>
      </c>
      <c r="I638" s="6" t="str">
        <f aca="false">'Dish Database'!I207</f>
        <v>g</v>
      </c>
      <c r="J638" s="13" t="n">
        <f aca="false">'Dish Database'!J207*H638/100</f>
        <v>552</v>
      </c>
      <c r="K638" s="17" t="n">
        <f aca="false">'Dish Database'!K207*H638/100</f>
        <v>9</v>
      </c>
      <c r="L638" s="17" t="n">
        <f aca="false">'Dish Database'!L207*H638/100</f>
        <v>90</v>
      </c>
      <c r="M638" s="17" t="n">
        <f aca="false">'Dish Database'!M207*H638/100</f>
        <v>18</v>
      </c>
      <c r="N638" s="17" t="n">
        <f aca="false">'Dish Database'!N207*H638/100</f>
        <v>3</v>
      </c>
      <c r="O638" s="17" t="n">
        <f aca="false">'Dish Database'!O207*H638/100</f>
        <v>1.5</v>
      </c>
      <c r="P638" s="13" t="n">
        <f aca="false">'Dish Database'!P207*H638/100</f>
        <v>960</v>
      </c>
    </row>
    <row r="639" customFormat="false" ht="15" hidden="false" customHeight="false" outlineLevel="0" collapsed="false">
      <c r="A639" s="6" t="str">
        <f aca="false">'Dish Database'!A207</f>
        <v>D206</v>
      </c>
      <c r="B639" s="6" t="str">
        <f aca="false">'Dish Database'!B207</f>
        <v>Lemon rice</v>
      </c>
      <c r="C639" s="6" t="str">
        <f aca="false">'Dish Database'!D207</f>
        <v>Rice, Pulao &amp; Khichdi</v>
      </c>
      <c r="D639" s="6" t="str">
        <f aca="false">'Dish Database'!F207</f>
        <v>Veg</v>
      </c>
      <c r="E639" s="6" t="str">
        <f aca="false">'Dish Database'!E207</f>
        <v>South</v>
      </c>
      <c r="F639" s="6" t="s">
        <v>2325</v>
      </c>
      <c r="G639" s="6" t="s">
        <v>2326</v>
      </c>
      <c r="H639" s="16" t="n">
        <v>550</v>
      </c>
      <c r="I639" s="6" t="str">
        <f aca="false">'Dish Database'!I207</f>
        <v>g</v>
      </c>
      <c r="J639" s="13" t="n">
        <f aca="false">'Dish Database'!J207*H639/100</f>
        <v>1012</v>
      </c>
      <c r="K639" s="17" t="n">
        <f aca="false">'Dish Database'!K207*H639/100</f>
        <v>16.5</v>
      </c>
      <c r="L639" s="17" t="n">
        <f aca="false">'Dish Database'!L207*H639/100</f>
        <v>165</v>
      </c>
      <c r="M639" s="17" t="n">
        <f aca="false">'Dish Database'!M207*H639/100</f>
        <v>33</v>
      </c>
      <c r="N639" s="17" t="n">
        <f aca="false">'Dish Database'!N207*H639/100</f>
        <v>5.5</v>
      </c>
      <c r="O639" s="17" t="n">
        <f aca="false">'Dish Database'!O207*H639/100</f>
        <v>2.75</v>
      </c>
      <c r="P639" s="13" t="n">
        <f aca="false">'Dish Database'!P207*H639/100</f>
        <v>1760</v>
      </c>
    </row>
    <row r="640" customFormat="false" ht="15" hidden="false" customHeight="false" outlineLevel="0" collapsed="false">
      <c r="A640" s="6" t="str">
        <f aca="false">'Dish Database'!A208</f>
        <v>D207</v>
      </c>
      <c r="B640" s="6" t="str">
        <f aca="false">'Dish Database'!B208</f>
        <v>Tamarind rice</v>
      </c>
      <c r="C640" s="6" t="str">
        <f aca="false">'Dish Database'!D208</f>
        <v>Rice, Pulao &amp; Khichdi</v>
      </c>
      <c r="D640" s="6" t="str">
        <f aca="false">'Dish Database'!F208</f>
        <v>Veg</v>
      </c>
      <c r="E640" s="6" t="str">
        <f aca="false">'Dish Database'!E208</f>
        <v>South</v>
      </c>
      <c r="F640" s="6" t="s">
        <v>2243</v>
      </c>
      <c r="G640" s="6" t="s">
        <v>2265</v>
      </c>
      <c r="H640" s="16" t="n">
        <v>150</v>
      </c>
      <c r="I640" s="6" t="str">
        <f aca="false">'Dish Database'!I208</f>
        <v>g</v>
      </c>
      <c r="J640" s="13" t="n">
        <f aca="false">'Dish Database'!J208*H640/100</f>
        <v>315.6</v>
      </c>
      <c r="K640" s="17" t="n">
        <f aca="false">'Dish Database'!K208*H640/100</f>
        <v>5.25</v>
      </c>
      <c r="L640" s="17" t="n">
        <f aca="false">'Dish Database'!L208*H640/100</f>
        <v>48</v>
      </c>
      <c r="M640" s="17" t="n">
        <f aca="false">'Dish Database'!M208*H640/100</f>
        <v>12</v>
      </c>
      <c r="N640" s="17" t="n">
        <f aca="false">'Dish Database'!N208*H640/100</f>
        <v>2.7</v>
      </c>
      <c r="O640" s="17" t="n">
        <f aca="false">'Dish Database'!O208*H640/100</f>
        <v>3.75</v>
      </c>
      <c r="P640" s="13" t="n">
        <f aca="false">'Dish Database'!P208*H640/100</f>
        <v>675</v>
      </c>
    </row>
    <row r="641" customFormat="false" ht="15" hidden="false" customHeight="false" outlineLevel="0" collapsed="false">
      <c r="A641" s="6" t="str">
        <f aca="false">'Dish Database'!A208</f>
        <v>D207</v>
      </c>
      <c r="B641" s="6" t="str">
        <f aca="false">'Dish Database'!B208</f>
        <v>Tamarind rice</v>
      </c>
      <c r="C641" s="6" t="str">
        <f aca="false">'Dish Database'!D208</f>
        <v>Rice, Pulao &amp; Khichdi</v>
      </c>
      <c r="D641" s="6" t="str">
        <f aca="false">'Dish Database'!F208</f>
        <v>Veg</v>
      </c>
      <c r="E641" s="6" t="str">
        <f aca="false">'Dish Database'!E208</f>
        <v>South</v>
      </c>
      <c r="F641" s="6" t="s">
        <v>103</v>
      </c>
      <c r="G641" s="6" t="s">
        <v>2423</v>
      </c>
      <c r="H641" s="16" t="n">
        <v>250</v>
      </c>
      <c r="I641" s="6" t="str">
        <f aca="false">'Dish Database'!I208</f>
        <v>g</v>
      </c>
      <c r="J641" s="13" t="n">
        <f aca="false">'Dish Database'!J208*H641/100</f>
        <v>526</v>
      </c>
      <c r="K641" s="17" t="n">
        <f aca="false">'Dish Database'!K208*H641/100</f>
        <v>8.75</v>
      </c>
      <c r="L641" s="17" t="n">
        <f aca="false">'Dish Database'!L208*H641/100</f>
        <v>80</v>
      </c>
      <c r="M641" s="17" t="n">
        <f aca="false">'Dish Database'!M208*H641/100</f>
        <v>20</v>
      </c>
      <c r="N641" s="17" t="n">
        <f aca="false">'Dish Database'!N208*H641/100</f>
        <v>4.5</v>
      </c>
      <c r="O641" s="17" t="n">
        <f aca="false">'Dish Database'!O208*H641/100</f>
        <v>6.25</v>
      </c>
      <c r="P641" s="13" t="n">
        <f aca="false">'Dish Database'!P208*H641/100</f>
        <v>1125</v>
      </c>
    </row>
    <row r="642" customFormat="false" ht="15" hidden="false" customHeight="false" outlineLevel="0" collapsed="false">
      <c r="A642" s="6" t="str">
        <f aca="false">'Dish Database'!A208</f>
        <v>D207</v>
      </c>
      <c r="B642" s="6" t="str">
        <f aca="false">'Dish Database'!B208</f>
        <v>Tamarind rice</v>
      </c>
      <c r="C642" s="6" t="str">
        <f aca="false">'Dish Database'!D208</f>
        <v>Rice, Pulao &amp; Khichdi</v>
      </c>
      <c r="D642" s="6" t="str">
        <f aca="false">'Dish Database'!F208</f>
        <v>Veg</v>
      </c>
      <c r="E642" s="6" t="str">
        <f aca="false">'Dish Database'!E208</f>
        <v>South</v>
      </c>
      <c r="F642" s="6" t="s">
        <v>2246</v>
      </c>
      <c r="G642" s="6" t="s">
        <v>2267</v>
      </c>
      <c r="H642" s="16" t="n">
        <v>350</v>
      </c>
      <c r="I642" s="6" t="str">
        <f aca="false">'Dish Database'!I208</f>
        <v>g</v>
      </c>
      <c r="J642" s="13" t="n">
        <f aca="false">'Dish Database'!J208*H642/100</f>
        <v>736.4</v>
      </c>
      <c r="K642" s="17" t="n">
        <f aca="false">'Dish Database'!K208*H642/100</f>
        <v>12.25</v>
      </c>
      <c r="L642" s="17" t="n">
        <f aca="false">'Dish Database'!L208*H642/100</f>
        <v>112</v>
      </c>
      <c r="M642" s="17" t="n">
        <f aca="false">'Dish Database'!M208*H642/100</f>
        <v>28</v>
      </c>
      <c r="N642" s="17" t="n">
        <f aca="false">'Dish Database'!N208*H642/100</f>
        <v>6.3</v>
      </c>
      <c r="O642" s="17" t="n">
        <f aca="false">'Dish Database'!O208*H642/100</f>
        <v>8.75</v>
      </c>
      <c r="P642" s="13" t="n">
        <f aca="false">'Dish Database'!P208*H642/100</f>
        <v>1575</v>
      </c>
    </row>
    <row r="643" customFormat="false" ht="15" hidden="false" customHeight="false" outlineLevel="0" collapsed="false">
      <c r="A643" s="6" t="str">
        <f aca="false">'Dish Database'!A208</f>
        <v>D207</v>
      </c>
      <c r="B643" s="6" t="str">
        <f aca="false">'Dish Database'!B208</f>
        <v>Tamarind rice</v>
      </c>
      <c r="C643" s="6" t="str">
        <f aca="false">'Dish Database'!D208</f>
        <v>Rice, Pulao &amp; Khichdi</v>
      </c>
      <c r="D643" s="6" t="str">
        <f aca="false">'Dish Database'!F208</f>
        <v>Veg</v>
      </c>
      <c r="E643" s="6" t="str">
        <f aca="false">'Dish Database'!E208</f>
        <v>South</v>
      </c>
      <c r="F643" s="6" t="s">
        <v>2323</v>
      </c>
      <c r="G643" s="6" t="s">
        <v>2324</v>
      </c>
      <c r="H643" s="16" t="n">
        <v>300</v>
      </c>
      <c r="I643" s="6" t="str">
        <f aca="false">'Dish Database'!I208</f>
        <v>g</v>
      </c>
      <c r="J643" s="13" t="n">
        <f aca="false">'Dish Database'!J208*H643/100</f>
        <v>631.2</v>
      </c>
      <c r="K643" s="17" t="n">
        <f aca="false">'Dish Database'!K208*H643/100</f>
        <v>10.5</v>
      </c>
      <c r="L643" s="17" t="n">
        <f aca="false">'Dish Database'!L208*H643/100</f>
        <v>96</v>
      </c>
      <c r="M643" s="17" t="n">
        <f aca="false">'Dish Database'!M208*H643/100</f>
        <v>24</v>
      </c>
      <c r="N643" s="17" t="n">
        <f aca="false">'Dish Database'!N208*H643/100</f>
        <v>5.4</v>
      </c>
      <c r="O643" s="17" t="n">
        <f aca="false">'Dish Database'!O208*H643/100</f>
        <v>7.5</v>
      </c>
      <c r="P643" s="13" t="n">
        <f aca="false">'Dish Database'!P208*H643/100</f>
        <v>1350</v>
      </c>
    </row>
    <row r="644" customFormat="false" ht="15" hidden="false" customHeight="false" outlineLevel="0" collapsed="false">
      <c r="A644" s="6" t="str">
        <f aca="false">'Dish Database'!A208</f>
        <v>D207</v>
      </c>
      <c r="B644" s="6" t="str">
        <f aca="false">'Dish Database'!B208</f>
        <v>Tamarind rice</v>
      </c>
      <c r="C644" s="6" t="str">
        <f aca="false">'Dish Database'!D208</f>
        <v>Rice, Pulao &amp; Khichdi</v>
      </c>
      <c r="D644" s="6" t="str">
        <f aca="false">'Dish Database'!F208</f>
        <v>Veg</v>
      </c>
      <c r="E644" s="6" t="str">
        <f aca="false">'Dish Database'!E208</f>
        <v>South</v>
      </c>
      <c r="F644" s="6" t="s">
        <v>2325</v>
      </c>
      <c r="G644" s="6" t="s">
        <v>2326</v>
      </c>
      <c r="H644" s="16" t="n">
        <v>550</v>
      </c>
      <c r="I644" s="6" t="str">
        <f aca="false">'Dish Database'!I208</f>
        <v>g</v>
      </c>
      <c r="J644" s="13" t="n">
        <f aca="false">'Dish Database'!J208*H644/100</f>
        <v>1157.2</v>
      </c>
      <c r="K644" s="17" t="n">
        <f aca="false">'Dish Database'!K208*H644/100</f>
        <v>19.25</v>
      </c>
      <c r="L644" s="17" t="n">
        <f aca="false">'Dish Database'!L208*H644/100</f>
        <v>176</v>
      </c>
      <c r="M644" s="17" t="n">
        <f aca="false">'Dish Database'!M208*H644/100</f>
        <v>44</v>
      </c>
      <c r="N644" s="17" t="n">
        <f aca="false">'Dish Database'!N208*H644/100</f>
        <v>9.9</v>
      </c>
      <c r="O644" s="17" t="n">
        <f aca="false">'Dish Database'!O208*H644/100</f>
        <v>13.75</v>
      </c>
      <c r="P644" s="13" t="n">
        <f aca="false">'Dish Database'!P208*H644/100</f>
        <v>2475</v>
      </c>
    </row>
    <row r="645" customFormat="false" ht="15" hidden="false" customHeight="false" outlineLevel="0" collapsed="false">
      <c r="A645" s="6" t="str">
        <f aca="false">'Dish Database'!A209</f>
        <v>D208</v>
      </c>
      <c r="B645" s="6" t="str">
        <f aca="false">'Dish Database'!B209</f>
        <v>Curd rice</v>
      </c>
      <c r="C645" s="6" t="str">
        <f aca="false">'Dish Database'!D209</f>
        <v>Rice, Pulao &amp; Khichdi</v>
      </c>
      <c r="D645" s="6" t="str">
        <f aca="false">'Dish Database'!F209</f>
        <v>Veg</v>
      </c>
      <c r="E645" s="6" t="str">
        <f aca="false">'Dish Database'!E209</f>
        <v>South</v>
      </c>
      <c r="F645" s="6" t="s">
        <v>2243</v>
      </c>
      <c r="G645" s="6" t="s">
        <v>2265</v>
      </c>
      <c r="H645" s="16" t="n">
        <v>150</v>
      </c>
      <c r="I645" s="6" t="str">
        <f aca="false">'Dish Database'!I209</f>
        <v>g</v>
      </c>
      <c r="J645" s="13" t="n">
        <f aca="false">'Dish Database'!J209*H645/100</f>
        <v>178.05</v>
      </c>
      <c r="K645" s="17" t="n">
        <f aca="false">'Dish Database'!K209*H645/100</f>
        <v>4.5</v>
      </c>
      <c r="L645" s="17" t="n">
        <f aca="false">'Dish Database'!L209*H645/100</f>
        <v>28.5</v>
      </c>
      <c r="M645" s="17" t="n">
        <f aca="false">'Dish Database'!M209*H645/100</f>
        <v>5.25</v>
      </c>
      <c r="N645" s="17" t="n">
        <f aca="false">'Dish Database'!N209*H645/100</f>
        <v>0.6</v>
      </c>
      <c r="O645" s="17" t="n">
        <f aca="false">'Dish Database'!O209*H645/100</f>
        <v>2.25</v>
      </c>
      <c r="P645" s="13" t="n">
        <f aca="false">'Dish Database'!P209*H645/100</f>
        <v>420</v>
      </c>
    </row>
    <row r="646" customFormat="false" ht="15" hidden="false" customHeight="false" outlineLevel="0" collapsed="false">
      <c r="A646" s="6" t="str">
        <f aca="false">'Dish Database'!A209</f>
        <v>D208</v>
      </c>
      <c r="B646" s="6" t="str">
        <f aca="false">'Dish Database'!B209</f>
        <v>Curd rice</v>
      </c>
      <c r="C646" s="6" t="str">
        <f aca="false">'Dish Database'!D209</f>
        <v>Rice, Pulao &amp; Khichdi</v>
      </c>
      <c r="D646" s="6" t="str">
        <f aca="false">'Dish Database'!F209</f>
        <v>Veg</v>
      </c>
      <c r="E646" s="6" t="str">
        <f aca="false">'Dish Database'!E209</f>
        <v>South</v>
      </c>
      <c r="F646" s="6" t="s">
        <v>103</v>
      </c>
      <c r="G646" s="6" t="s">
        <v>2423</v>
      </c>
      <c r="H646" s="16" t="n">
        <v>250</v>
      </c>
      <c r="I646" s="6" t="str">
        <f aca="false">'Dish Database'!I209</f>
        <v>g</v>
      </c>
      <c r="J646" s="13" t="n">
        <f aca="false">'Dish Database'!J209*H646/100</f>
        <v>296.75</v>
      </c>
      <c r="K646" s="17" t="n">
        <f aca="false">'Dish Database'!K209*H646/100</f>
        <v>7.5</v>
      </c>
      <c r="L646" s="17" t="n">
        <f aca="false">'Dish Database'!L209*H646/100</f>
        <v>47.5</v>
      </c>
      <c r="M646" s="17" t="n">
        <f aca="false">'Dish Database'!M209*H646/100</f>
        <v>8.75</v>
      </c>
      <c r="N646" s="17" t="n">
        <f aca="false">'Dish Database'!N209*H646/100</f>
        <v>1</v>
      </c>
      <c r="O646" s="17" t="n">
        <f aca="false">'Dish Database'!O209*H646/100</f>
        <v>3.75</v>
      </c>
      <c r="P646" s="13" t="n">
        <f aca="false">'Dish Database'!P209*H646/100</f>
        <v>700</v>
      </c>
    </row>
    <row r="647" customFormat="false" ht="15" hidden="false" customHeight="false" outlineLevel="0" collapsed="false">
      <c r="A647" s="6" t="str">
        <f aca="false">'Dish Database'!A209</f>
        <v>D208</v>
      </c>
      <c r="B647" s="6" t="str">
        <f aca="false">'Dish Database'!B209</f>
        <v>Curd rice</v>
      </c>
      <c r="C647" s="6" t="str">
        <f aca="false">'Dish Database'!D209</f>
        <v>Rice, Pulao &amp; Khichdi</v>
      </c>
      <c r="D647" s="6" t="str">
        <f aca="false">'Dish Database'!F209</f>
        <v>Veg</v>
      </c>
      <c r="E647" s="6" t="str">
        <f aca="false">'Dish Database'!E209</f>
        <v>South</v>
      </c>
      <c r="F647" s="6" t="s">
        <v>2246</v>
      </c>
      <c r="G647" s="6" t="s">
        <v>2267</v>
      </c>
      <c r="H647" s="16" t="n">
        <v>350</v>
      </c>
      <c r="I647" s="6" t="str">
        <f aca="false">'Dish Database'!I209</f>
        <v>g</v>
      </c>
      <c r="J647" s="13" t="n">
        <f aca="false">'Dish Database'!J209*H647/100</f>
        <v>415.45</v>
      </c>
      <c r="K647" s="17" t="n">
        <f aca="false">'Dish Database'!K209*H647/100</f>
        <v>10.5</v>
      </c>
      <c r="L647" s="17" t="n">
        <f aca="false">'Dish Database'!L209*H647/100</f>
        <v>66.5</v>
      </c>
      <c r="M647" s="17" t="n">
        <f aca="false">'Dish Database'!M209*H647/100</f>
        <v>12.25</v>
      </c>
      <c r="N647" s="17" t="n">
        <f aca="false">'Dish Database'!N209*H647/100</f>
        <v>1.4</v>
      </c>
      <c r="O647" s="17" t="n">
        <f aca="false">'Dish Database'!O209*H647/100</f>
        <v>5.25</v>
      </c>
      <c r="P647" s="13" t="n">
        <f aca="false">'Dish Database'!P209*H647/100</f>
        <v>980</v>
      </c>
    </row>
    <row r="648" customFormat="false" ht="15" hidden="false" customHeight="false" outlineLevel="0" collapsed="false">
      <c r="A648" s="6" t="str">
        <f aca="false">'Dish Database'!A209</f>
        <v>D208</v>
      </c>
      <c r="B648" s="6" t="str">
        <f aca="false">'Dish Database'!B209</f>
        <v>Curd rice</v>
      </c>
      <c r="C648" s="6" t="str">
        <f aca="false">'Dish Database'!D209</f>
        <v>Rice, Pulao &amp; Khichdi</v>
      </c>
      <c r="D648" s="6" t="str">
        <f aca="false">'Dish Database'!F209</f>
        <v>Veg</v>
      </c>
      <c r="E648" s="6" t="str">
        <f aca="false">'Dish Database'!E209</f>
        <v>South</v>
      </c>
      <c r="F648" s="6" t="s">
        <v>2323</v>
      </c>
      <c r="G648" s="6" t="s">
        <v>2324</v>
      </c>
      <c r="H648" s="16" t="n">
        <v>300</v>
      </c>
      <c r="I648" s="6" t="str">
        <f aca="false">'Dish Database'!I209</f>
        <v>g</v>
      </c>
      <c r="J648" s="13" t="n">
        <f aca="false">'Dish Database'!J209*H648/100</f>
        <v>356.1</v>
      </c>
      <c r="K648" s="17" t="n">
        <f aca="false">'Dish Database'!K209*H648/100</f>
        <v>9</v>
      </c>
      <c r="L648" s="17" t="n">
        <f aca="false">'Dish Database'!L209*H648/100</f>
        <v>57</v>
      </c>
      <c r="M648" s="17" t="n">
        <f aca="false">'Dish Database'!M209*H648/100</f>
        <v>10.5</v>
      </c>
      <c r="N648" s="17" t="n">
        <f aca="false">'Dish Database'!N209*H648/100</f>
        <v>1.2</v>
      </c>
      <c r="O648" s="17" t="n">
        <f aca="false">'Dish Database'!O209*H648/100</f>
        <v>4.5</v>
      </c>
      <c r="P648" s="13" t="n">
        <f aca="false">'Dish Database'!P209*H648/100</f>
        <v>840</v>
      </c>
    </row>
    <row r="649" customFormat="false" ht="15" hidden="false" customHeight="false" outlineLevel="0" collapsed="false">
      <c r="A649" s="6" t="str">
        <f aca="false">'Dish Database'!A209</f>
        <v>D208</v>
      </c>
      <c r="B649" s="6" t="str">
        <f aca="false">'Dish Database'!B209</f>
        <v>Curd rice</v>
      </c>
      <c r="C649" s="6" t="str">
        <f aca="false">'Dish Database'!D209</f>
        <v>Rice, Pulao &amp; Khichdi</v>
      </c>
      <c r="D649" s="6" t="str">
        <f aca="false">'Dish Database'!F209</f>
        <v>Veg</v>
      </c>
      <c r="E649" s="6" t="str">
        <f aca="false">'Dish Database'!E209</f>
        <v>South</v>
      </c>
      <c r="F649" s="6" t="s">
        <v>2325</v>
      </c>
      <c r="G649" s="6" t="s">
        <v>2326</v>
      </c>
      <c r="H649" s="16" t="n">
        <v>550</v>
      </c>
      <c r="I649" s="6" t="str">
        <f aca="false">'Dish Database'!I209</f>
        <v>g</v>
      </c>
      <c r="J649" s="13" t="n">
        <f aca="false">'Dish Database'!J209*H649/100</f>
        <v>652.85</v>
      </c>
      <c r="K649" s="17" t="n">
        <f aca="false">'Dish Database'!K209*H649/100</f>
        <v>16.5</v>
      </c>
      <c r="L649" s="17" t="n">
        <f aca="false">'Dish Database'!L209*H649/100</f>
        <v>104.5</v>
      </c>
      <c r="M649" s="17" t="n">
        <f aca="false">'Dish Database'!M209*H649/100</f>
        <v>19.25</v>
      </c>
      <c r="N649" s="17" t="n">
        <f aca="false">'Dish Database'!N209*H649/100</f>
        <v>2.2</v>
      </c>
      <c r="O649" s="17" t="n">
        <f aca="false">'Dish Database'!O209*H649/100</f>
        <v>8.25</v>
      </c>
      <c r="P649" s="13" t="n">
        <f aca="false">'Dish Database'!P209*H649/100</f>
        <v>1540</v>
      </c>
    </row>
    <row r="650" customFormat="false" ht="15" hidden="false" customHeight="false" outlineLevel="0" collapsed="false">
      <c r="A650" s="6" t="str">
        <f aca="false">'Dish Database'!A210</f>
        <v>D209</v>
      </c>
      <c r="B650" s="6" t="str">
        <f aca="false">'Dish Database'!B210</f>
        <v>Tomato rice</v>
      </c>
      <c r="C650" s="6" t="str">
        <f aca="false">'Dish Database'!D210</f>
        <v>Rice, Pulao &amp; Khichdi</v>
      </c>
      <c r="D650" s="6" t="str">
        <f aca="false">'Dish Database'!F210</f>
        <v>Veg</v>
      </c>
      <c r="E650" s="6" t="str">
        <f aca="false">'Dish Database'!E210</f>
        <v>South</v>
      </c>
      <c r="F650" s="6" t="s">
        <v>2243</v>
      </c>
      <c r="G650" s="6" t="s">
        <v>2265</v>
      </c>
      <c r="H650" s="16" t="n">
        <v>150</v>
      </c>
      <c r="I650" s="6" t="str">
        <f aca="false">'Dish Database'!I210</f>
        <v>g</v>
      </c>
      <c r="J650" s="13" t="n">
        <f aca="false">'Dish Database'!J210*H650/100</f>
        <v>263.1</v>
      </c>
      <c r="K650" s="17" t="n">
        <f aca="false">'Dish Database'!K210*H650/100</f>
        <v>4.5</v>
      </c>
      <c r="L650" s="17" t="n">
        <f aca="false">'Dish Database'!L210*H650/100</f>
        <v>42</v>
      </c>
      <c r="M650" s="17" t="n">
        <f aca="false">'Dish Database'!M210*H650/100</f>
        <v>9</v>
      </c>
      <c r="N650" s="17" t="n">
        <f aca="false">'Dish Database'!N210*H650/100</f>
        <v>1.95</v>
      </c>
      <c r="O650" s="17" t="n">
        <f aca="false">'Dish Database'!O210*H650/100</f>
        <v>2.25</v>
      </c>
      <c r="P650" s="13" t="n">
        <f aca="false">'Dish Database'!P210*H650/100</f>
        <v>525</v>
      </c>
    </row>
    <row r="651" customFormat="false" ht="15" hidden="false" customHeight="false" outlineLevel="0" collapsed="false">
      <c r="A651" s="6" t="str">
        <f aca="false">'Dish Database'!A210</f>
        <v>D209</v>
      </c>
      <c r="B651" s="6" t="str">
        <f aca="false">'Dish Database'!B210</f>
        <v>Tomato rice</v>
      </c>
      <c r="C651" s="6" t="str">
        <f aca="false">'Dish Database'!D210</f>
        <v>Rice, Pulao &amp; Khichdi</v>
      </c>
      <c r="D651" s="6" t="str">
        <f aca="false">'Dish Database'!F210</f>
        <v>Veg</v>
      </c>
      <c r="E651" s="6" t="str">
        <f aca="false">'Dish Database'!E210</f>
        <v>South</v>
      </c>
      <c r="F651" s="6" t="s">
        <v>103</v>
      </c>
      <c r="G651" s="6" t="s">
        <v>2423</v>
      </c>
      <c r="H651" s="16" t="n">
        <v>250</v>
      </c>
      <c r="I651" s="6" t="str">
        <f aca="false">'Dish Database'!I210</f>
        <v>g</v>
      </c>
      <c r="J651" s="13" t="n">
        <f aca="false">'Dish Database'!J210*H651/100</f>
        <v>438.5</v>
      </c>
      <c r="K651" s="17" t="n">
        <f aca="false">'Dish Database'!K210*H651/100</f>
        <v>7.5</v>
      </c>
      <c r="L651" s="17" t="n">
        <f aca="false">'Dish Database'!L210*H651/100</f>
        <v>70</v>
      </c>
      <c r="M651" s="17" t="n">
        <f aca="false">'Dish Database'!M210*H651/100</f>
        <v>15</v>
      </c>
      <c r="N651" s="17" t="n">
        <f aca="false">'Dish Database'!N210*H651/100</f>
        <v>3.25</v>
      </c>
      <c r="O651" s="17" t="n">
        <f aca="false">'Dish Database'!O210*H651/100</f>
        <v>3.75</v>
      </c>
      <c r="P651" s="13" t="n">
        <f aca="false">'Dish Database'!P210*H651/100</f>
        <v>875</v>
      </c>
    </row>
    <row r="652" customFormat="false" ht="15" hidden="false" customHeight="false" outlineLevel="0" collapsed="false">
      <c r="A652" s="6" t="str">
        <f aca="false">'Dish Database'!A210</f>
        <v>D209</v>
      </c>
      <c r="B652" s="6" t="str">
        <f aca="false">'Dish Database'!B210</f>
        <v>Tomato rice</v>
      </c>
      <c r="C652" s="6" t="str">
        <f aca="false">'Dish Database'!D210</f>
        <v>Rice, Pulao &amp; Khichdi</v>
      </c>
      <c r="D652" s="6" t="str">
        <f aca="false">'Dish Database'!F210</f>
        <v>Veg</v>
      </c>
      <c r="E652" s="6" t="str">
        <f aca="false">'Dish Database'!E210</f>
        <v>South</v>
      </c>
      <c r="F652" s="6" t="s">
        <v>2246</v>
      </c>
      <c r="G652" s="6" t="s">
        <v>2267</v>
      </c>
      <c r="H652" s="16" t="n">
        <v>350</v>
      </c>
      <c r="I652" s="6" t="str">
        <f aca="false">'Dish Database'!I210</f>
        <v>g</v>
      </c>
      <c r="J652" s="13" t="n">
        <f aca="false">'Dish Database'!J210*H652/100</f>
        <v>613.9</v>
      </c>
      <c r="K652" s="17" t="n">
        <f aca="false">'Dish Database'!K210*H652/100</f>
        <v>10.5</v>
      </c>
      <c r="L652" s="17" t="n">
        <f aca="false">'Dish Database'!L210*H652/100</f>
        <v>98</v>
      </c>
      <c r="M652" s="17" t="n">
        <f aca="false">'Dish Database'!M210*H652/100</f>
        <v>21</v>
      </c>
      <c r="N652" s="17" t="n">
        <f aca="false">'Dish Database'!N210*H652/100</f>
        <v>4.55</v>
      </c>
      <c r="O652" s="17" t="n">
        <f aca="false">'Dish Database'!O210*H652/100</f>
        <v>5.25</v>
      </c>
      <c r="P652" s="13" t="n">
        <f aca="false">'Dish Database'!P210*H652/100</f>
        <v>1225</v>
      </c>
    </row>
    <row r="653" customFormat="false" ht="15" hidden="false" customHeight="false" outlineLevel="0" collapsed="false">
      <c r="A653" s="6" t="str">
        <f aca="false">'Dish Database'!A210</f>
        <v>D209</v>
      </c>
      <c r="B653" s="6" t="str">
        <f aca="false">'Dish Database'!B210</f>
        <v>Tomato rice</v>
      </c>
      <c r="C653" s="6" t="str">
        <f aca="false">'Dish Database'!D210</f>
        <v>Rice, Pulao &amp; Khichdi</v>
      </c>
      <c r="D653" s="6" t="str">
        <f aca="false">'Dish Database'!F210</f>
        <v>Veg</v>
      </c>
      <c r="E653" s="6" t="str">
        <f aca="false">'Dish Database'!E210</f>
        <v>South</v>
      </c>
      <c r="F653" s="6" t="s">
        <v>2323</v>
      </c>
      <c r="G653" s="6" t="s">
        <v>2324</v>
      </c>
      <c r="H653" s="16" t="n">
        <v>300</v>
      </c>
      <c r="I653" s="6" t="str">
        <f aca="false">'Dish Database'!I210</f>
        <v>g</v>
      </c>
      <c r="J653" s="13" t="n">
        <f aca="false">'Dish Database'!J210*H653/100</f>
        <v>526.2</v>
      </c>
      <c r="K653" s="17" t="n">
        <f aca="false">'Dish Database'!K210*H653/100</f>
        <v>9</v>
      </c>
      <c r="L653" s="17" t="n">
        <f aca="false">'Dish Database'!L210*H653/100</f>
        <v>84</v>
      </c>
      <c r="M653" s="17" t="n">
        <f aca="false">'Dish Database'!M210*H653/100</f>
        <v>18</v>
      </c>
      <c r="N653" s="17" t="n">
        <f aca="false">'Dish Database'!N210*H653/100</f>
        <v>3.9</v>
      </c>
      <c r="O653" s="17" t="n">
        <f aca="false">'Dish Database'!O210*H653/100</f>
        <v>4.5</v>
      </c>
      <c r="P653" s="13" t="n">
        <f aca="false">'Dish Database'!P210*H653/100</f>
        <v>1050</v>
      </c>
    </row>
    <row r="654" customFormat="false" ht="15" hidden="false" customHeight="false" outlineLevel="0" collapsed="false">
      <c r="A654" s="6" t="str">
        <f aca="false">'Dish Database'!A210</f>
        <v>D209</v>
      </c>
      <c r="B654" s="6" t="str">
        <f aca="false">'Dish Database'!B210</f>
        <v>Tomato rice</v>
      </c>
      <c r="C654" s="6" t="str">
        <f aca="false">'Dish Database'!D210</f>
        <v>Rice, Pulao &amp; Khichdi</v>
      </c>
      <c r="D654" s="6" t="str">
        <f aca="false">'Dish Database'!F210</f>
        <v>Veg</v>
      </c>
      <c r="E654" s="6" t="str">
        <f aca="false">'Dish Database'!E210</f>
        <v>South</v>
      </c>
      <c r="F654" s="6" t="s">
        <v>2325</v>
      </c>
      <c r="G654" s="6" t="s">
        <v>2326</v>
      </c>
      <c r="H654" s="16" t="n">
        <v>550</v>
      </c>
      <c r="I654" s="6" t="str">
        <f aca="false">'Dish Database'!I210</f>
        <v>g</v>
      </c>
      <c r="J654" s="13" t="n">
        <f aca="false">'Dish Database'!J210*H654/100</f>
        <v>964.7</v>
      </c>
      <c r="K654" s="17" t="n">
        <f aca="false">'Dish Database'!K210*H654/100</f>
        <v>16.5</v>
      </c>
      <c r="L654" s="17" t="n">
        <f aca="false">'Dish Database'!L210*H654/100</f>
        <v>154</v>
      </c>
      <c r="M654" s="17" t="n">
        <f aca="false">'Dish Database'!M210*H654/100</f>
        <v>33</v>
      </c>
      <c r="N654" s="17" t="n">
        <f aca="false">'Dish Database'!N210*H654/100</f>
        <v>7.15</v>
      </c>
      <c r="O654" s="17" t="n">
        <f aca="false">'Dish Database'!O210*H654/100</f>
        <v>8.25</v>
      </c>
      <c r="P654" s="13" t="n">
        <f aca="false">'Dish Database'!P210*H654/100</f>
        <v>1925</v>
      </c>
    </row>
    <row r="655" customFormat="false" ht="15" hidden="false" customHeight="false" outlineLevel="0" collapsed="false">
      <c r="A655" s="6" t="str">
        <f aca="false">'Dish Database'!A211</f>
        <v>D210</v>
      </c>
      <c r="B655" s="6" t="str">
        <f aca="false">'Dish Database'!B211</f>
        <v>Coconut rice</v>
      </c>
      <c r="C655" s="6" t="str">
        <f aca="false">'Dish Database'!D211</f>
        <v>Rice, Pulao &amp; Khichdi</v>
      </c>
      <c r="D655" s="6" t="str">
        <f aca="false">'Dish Database'!F211</f>
        <v>Veg</v>
      </c>
      <c r="E655" s="6" t="str">
        <f aca="false">'Dish Database'!E211</f>
        <v>South</v>
      </c>
      <c r="F655" s="6" t="s">
        <v>2243</v>
      </c>
      <c r="G655" s="6" t="s">
        <v>2265</v>
      </c>
      <c r="H655" s="16" t="n">
        <v>150</v>
      </c>
      <c r="I655" s="6" t="str">
        <f aca="false">'Dish Database'!I211</f>
        <v>g</v>
      </c>
      <c r="J655" s="13" t="n">
        <f aca="false">'Dish Database'!J211*H655/100</f>
        <v>301.5</v>
      </c>
      <c r="K655" s="17" t="n">
        <f aca="false">'Dish Database'!K211*H655/100</f>
        <v>4.5</v>
      </c>
      <c r="L655" s="17" t="n">
        <f aca="false">'Dish Database'!L211*H655/100</f>
        <v>42</v>
      </c>
      <c r="M655" s="17" t="n">
        <f aca="false">'Dish Database'!M211*H655/100</f>
        <v>13.5</v>
      </c>
      <c r="N655" s="17" t="n">
        <f aca="false">'Dish Database'!N211*H655/100</f>
        <v>3</v>
      </c>
      <c r="O655" s="17" t="n">
        <f aca="false">'Dish Database'!O211*H655/100</f>
        <v>1.5</v>
      </c>
      <c r="P655" s="13" t="n">
        <f aca="false">'Dish Database'!P211*H655/100</f>
        <v>450</v>
      </c>
    </row>
    <row r="656" customFormat="false" ht="15" hidden="false" customHeight="false" outlineLevel="0" collapsed="false">
      <c r="A656" s="6" t="str">
        <f aca="false">'Dish Database'!A211</f>
        <v>D210</v>
      </c>
      <c r="B656" s="6" t="str">
        <f aca="false">'Dish Database'!B211</f>
        <v>Coconut rice</v>
      </c>
      <c r="C656" s="6" t="str">
        <f aca="false">'Dish Database'!D211</f>
        <v>Rice, Pulao &amp; Khichdi</v>
      </c>
      <c r="D656" s="6" t="str">
        <f aca="false">'Dish Database'!F211</f>
        <v>Veg</v>
      </c>
      <c r="E656" s="6" t="str">
        <f aca="false">'Dish Database'!E211</f>
        <v>South</v>
      </c>
      <c r="F656" s="6" t="s">
        <v>103</v>
      </c>
      <c r="G656" s="6" t="s">
        <v>2423</v>
      </c>
      <c r="H656" s="16" t="n">
        <v>250</v>
      </c>
      <c r="I656" s="6" t="str">
        <f aca="false">'Dish Database'!I211</f>
        <v>g</v>
      </c>
      <c r="J656" s="13" t="n">
        <f aca="false">'Dish Database'!J211*H656/100</f>
        <v>502.5</v>
      </c>
      <c r="K656" s="17" t="n">
        <f aca="false">'Dish Database'!K211*H656/100</f>
        <v>7.5</v>
      </c>
      <c r="L656" s="17" t="n">
        <f aca="false">'Dish Database'!L211*H656/100</f>
        <v>70</v>
      </c>
      <c r="M656" s="17" t="n">
        <f aca="false">'Dish Database'!M211*H656/100</f>
        <v>22.5</v>
      </c>
      <c r="N656" s="17" t="n">
        <f aca="false">'Dish Database'!N211*H656/100</f>
        <v>5</v>
      </c>
      <c r="O656" s="17" t="n">
        <f aca="false">'Dish Database'!O211*H656/100</f>
        <v>2.5</v>
      </c>
      <c r="P656" s="13" t="n">
        <f aca="false">'Dish Database'!P211*H656/100</f>
        <v>750</v>
      </c>
    </row>
    <row r="657" customFormat="false" ht="15" hidden="false" customHeight="false" outlineLevel="0" collapsed="false">
      <c r="A657" s="6" t="str">
        <f aca="false">'Dish Database'!A211</f>
        <v>D210</v>
      </c>
      <c r="B657" s="6" t="str">
        <f aca="false">'Dish Database'!B211</f>
        <v>Coconut rice</v>
      </c>
      <c r="C657" s="6" t="str">
        <f aca="false">'Dish Database'!D211</f>
        <v>Rice, Pulao &amp; Khichdi</v>
      </c>
      <c r="D657" s="6" t="str">
        <f aca="false">'Dish Database'!F211</f>
        <v>Veg</v>
      </c>
      <c r="E657" s="6" t="str">
        <f aca="false">'Dish Database'!E211</f>
        <v>South</v>
      </c>
      <c r="F657" s="6" t="s">
        <v>2246</v>
      </c>
      <c r="G657" s="6" t="s">
        <v>2267</v>
      </c>
      <c r="H657" s="16" t="n">
        <v>350</v>
      </c>
      <c r="I657" s="6" t="str">
        <f aca="false">'Dish Database'!I211</f>
        <v>g</v>
      </c>
      <c r="J657" s="13" t="n">
        <f aca="false">'Dish Database'!J211*H657/100</f>
        <v>703.5</v>
      </c>
      <c r="K657" s="17" t="n">
        <f aca="false">'Dish Database'!K211*H657/100</f>
        <v>10.5</v>
      </c>
      <c r="L657" s="17" t="n">
        <f aca="false">'Dish Database'!L211*H657/100</f>
        <v>98</v>
      </c>
      <c r="M657" s="17" t="n">
        <f aca="false">'Dish Database'!M211*H657/100</f>
        <v>31.5</v>
      </c>
      <c r="N657" s="17" t="n">
        <f aca="false">'Dish Database'!N211*H657/100</f>
        <v>7</v>
      </c>
      <c r="O657" s="17" t="n">
        <f aca="false">'Dish Database'!O211*H657/100</f>
        <v>3.5</v>
      </c>
      <c r="P657" s="13" t="n">
        <f aca="false">'Dish Database'!P211*H657/100</f>
        <v>1050</v>
      </c>
    </row>
    <row r="658" customFormat="false" ht="15" hidden="false" customHeight="false" outlineLevel="0" collapsed="false">
      <c r="A658" s="6" t="str">
        <f aca="false">'Dish Database'!A211</f>
        <v>D210</v>
      </c>
      <c r="B658" s="6" t="str">
        <f aca="false">'Dish Database'!B211</f>
        <v>Coconut rice</v>
      </c>
      <c r="C658" s="6" t="str">
        <f aca="false">'Dish Database'!D211</f>
        <v>Rice, Pulao &amp; Khichdi</v>
      </c>
      <c r="D658" s="6" t="str">
        <f aca="false">'Dish Database'!F211</f>
        <v>Veg</v>
      </c>
      <c r="E658" s="6" t="str">
        <f aca="false">'Dish Database'!E211</f>
        <v>South</v>
      </c>
      <c r="F658" s="6" t="s">
        <v>2323</v>
      </c>
      <c r="G658" s="6" t="s">
        <v>2324</v>
      </c>
      <c r="H658" s="16" t="n">
        <v>300</v>
      </c>
      <c r="I658" s="6" t="str">
        <f aca="false">'Dish Database'!I211</f>
        <v>g</v>
      </c>
      <c r="J658" s="13" t="n">
        <f aca="false">'Dish Database'!J211*H658/100</f>
        <v>603</v>
      </c>
      <c r="K658" s="17" t="n">
        <f aca="false">'Dish Database'!K211*H658/100</f>
        <v>9</v>
      </c>
      <c r="L658" s="17" t="n">
        <f aca="false">'Dish Database'!L211*H658/100</f>
        <v>84</v>
      </c>
      <c r="M658" s="17" t="n">
        <f aca="false">'Dish Database'!M211*H658/100</f>
        <v>27</v>
      </c>
      <c r="N658" s="17" t="n">
        <f aca="false">'Dish Database'!N211*H658/100</f>
        <v>6</v>
      </c>
      <c r="O658" s="17" t="n">
        <f aca="false">'Dish Database'!O211*H658/100</f>
        <v>3</v>
      </c>
      <c r="P658" s="13" t="n">
        <f aca="false">'Dish Database'!P211*H658/100</f>
        <v>900</v>
      </c>
    </row>
    <row r="659" customFormat="false" ht="15" hidden="false" customHeight="false" outlineLevel="0" collapsed="false">
      <c r="A659" s="6" t="str">
        <f aca="false">'Dish Database'!A211</f>
        <v>D210</v>
      </c>
      <c r="B659" s="6" t="str">
        <f aca="false">'Dish Database'!B211</f>
        <v>Coconut rice</v>
      </c>
      <c r="C659" s="6" t="str">
        <f aca="false">'Dish Database'!D211</f>
        <v>Rice, Pulao &amp; Khichdi</v>
      </c>
      <c r="D659" s="6" t="str">
        <f aca="false">'Dish Database'!F211</f>
        <v>Veg</v>
      </c>
      <c r="E659" s="6" t="str">
        <f aca="false">'Dish Database'!E211</f>
        <v>South</v>
      </c>
      <c r="F659" s="6" t="s">
        <v>2325</v>
      </c>
      <c r="G659" s="6" t="s">
        <v>2326</v>
      </c>
      <c r="H659" s="16" t="n">
        <v>550</v>
      </c>
      <c r="I659" s="6" t="str">
        <f aca="false">'Dish Database'!I211</f>
        <v>g</v>
      </c>
      <c r="J659" s="13" t="n">
        <f aca="false">'Dish Database'!J211*H659/100</f>
        <v>1105.5</v>
      </c>
      <c r="K659" s="17" t="n">
        <f aca="false">'Dish Database'!K211*H659/100</f>
        <v>16.5</v>
      </c>
      <c r="L659" s="17" t="n">
        <f aca="false">'Dish Database'!L211*H659/100</f>
        <v>154</v>
      </c>
      <c r="M659" s="17" t="n">
        <f aca="false">'Dish Database'!M211*H659/100</f>
        <v>49.5</v>
      </c>
      <c r="N659" s="17" t="n">
        <f aca="false">'Dish Database'!N211*H659/100</f>
        <v>11</v>
      </c>
      <c r="O659" s="17" t="n">
        <f aca="false">'Dish Database'!O211*H659/100</f>
        <v>5.5</v>
      </c>
      <c r="P659" s="13" t="n">
        <f aca="false">'Dish Database'!P211*H659/100</f>
        <v>1650</v>
      </c>
    </row>
    <row r="660" customFormat="false" ht="15" hidden="false" customHeight="false" outlineLevel="0" collapsed="false">
      <c r="A660" s="6" t="str">
        <f aca="false">'Dish Database'!A212</f>
        <v>D211</v>
      </c>
      <c r="B660" s="6" t="str">
        <f aca="false">'Dish Database'!B212</f>
        <v>Vangi bath</v>
      </c>
      <c r="C660" s="6" t="str">
        <f aca="false">'Dish Database'!D212</f>
        <v>Rice, Pulao &amp; Khichdi</v>
      </c>
      <c r="D660" s="6" t="str">
        <f aca="false">'Dish Database'!F212</f>
        <v>Veg</v>
      </c>
      <c r="E660" s="6" t="str">
        <f aca="false">'Dish Database'!E212</f>
        <v>South</v>
      </c>
      <c r="F660" s="6" t="s">
        <v>2243</v>
      </c>
      <c r="G660" s="6" t="s">
        <v>2265</v>
      </c>
      <c r="H660" s="16" t="n">
        <v>150</v>
      </c>
      <c r="I660" s="6" t="str">
        <f aca="false">'Dish Database'!I212</f>
        <v>g</v>
      </c>
      <c r="J660" s="13" t="n">
        <f aca="false">'Dish Database'!J212*H660/100</f>
        <v>262.5</v>
      </c>
      <c r="K660" s="17" t="n">
        <f aca="false">'Dish Database'!K212*H660/100</f>
        <v>4.5</v>
      </c>
      <c r="L660" s="17" t="n">
        <f aca="false">'Dish Database'!L212*H660/100</f>
        <v>39</v>
      </c>
      <c r="M660" s="17" t="n">
        <f aca="false">'Dish Database'!M212*H660/100</f>
        <v>10.5</v>
      </c>
      <c r="N660" s="17" t="n">
        <f aca="false">'Dish Database'!N212*H660/100</f>
        <v>3</v>
      </c>
      <c r="O660" s="17" t="n">
        <f aca="false">'Dish Database'!O212*H660/100</f>
        <v>2.25</v>
      </c>
      <c r="P660" s="13" t="n">
        <f aca="false">'Dish Database'!P212*H660/100</f>
        <v>525</v>
      </c>
    </row>
    <row r="661" customFormat="false" ht="15" hidden="false" customHeight="false" outlineLevel="0" collapsed="false">
      <c r="A661" s="6" t="str">
        <f aca="false">'Dish Database'!A212</f>
        <v>D211</v>
      </c>
      <c r="B661" s="6" t="str">
        <f aca="false">'Dish Database'!B212</f>
        <v>Vangi bath</v>
      </c>
      <c r="C661" s="6" t="str">
        <f aca="false">'Dish Database'!D212</f>
        <v>Rice, Pulao &amp; Khichdi</v>
      </c>
      <c r="D661" s="6" t="str">
        <f aca="false">'Dish Database'!F212</f>
        <v>Veg</v>
      </c>
      <c r="E661" s="6" t="str">
        <f aca="false">'Dish Database'!E212</f>
        <v>South</v>
      </c>
      <c r="F661" s="6" t="s">
        <v>103</v>
      </c>
      <c r="G661" s="6" t="s">
        <v>2423</v>
      </c>
      <c r="H661" s="16" t="n">
        <v>250</v>
      </c>
      <c r="I661" s="6" t="str">
        <f aca="false">'Dish Database'!I212</f>
        <v>g</v>
      </c>
      <c r="J661" s="13" t="n">
        <f aca="false">'Dish Database'!J212*H661/100</f>
        <v>437.5</v>
      </c>
      <c r="K661" s="17" t="n">
        <f aca="false">'Dish Database'!K212*H661/100</f>
        <v>7.5</v>
      </c>
      <c r="L661" s="17" t="n">
        <f aca="false">'Dish Database'!L212*H661/100</f>
        <v>65</v>
      </c>
      <c r="M661" s="17" t="n">
        <f aca="false">'Dish Database'!M212*H661/100</f>
        <v>17.5</v>
      </c>
      <c r="N661" s="17" t="n">
        <f aca="false">'Dish Database'!N212*H661/100</f>
        <v>5</v>
      </c>
      <c r="O661" s="17" t="n">
        <f aca="false">'Dish Database'!O212*H661/100</f>
        <v>3.75</v>
      </c>
      <c r="P661" s="13" t="n">
        <f aca="false">'Dish Database'!P212*H661/100</f>
        <v>875</v>
      </c>
    </row>
    <row r="662" customFormat="false" ht="15" hidden="false" customHeight="false" outlineLevel="0" collapsed="false">
      <c r="A662" s="6" t="str">
        <f aca="false">'Dish Database'!A212</f>
        <v>D211</v>
      </c>
      <c r="B662" s="6" t="str">
        <f aca="false">'Dish Database'!B212</f>
        <v>Vangi bath</v>
      </c>
      <c r="C662" s="6" t="str">
        <f aca="false">'Dish Database'!D212</f>
        <v>Rice, Pulao &amp; Khichdi</v>
      </c>
      <c r="D662" s="6" t="str">
        <f aca="false">'Dish Database'!F212</f>
        <v>Veg</v>
      </c>
      <c r="E662" s="6" t="str">
        <f aca="false">'Dish Database'!E212</f>
        <v>South</v>
      </c>
      <c r="F662" s="6" t="s">
        <v>2246</v>
      </c>
      <c r="G662" s="6" t="s">
        <v>2267</v>
      </c>
      <c r="H662" s="16" t="n">
        <v>350</v>
      </c>
      <c r="I662" s="6" t="str">
        <f aca="false">'Dish Database'!I212</f>
        <v>g</v>
      </c>
      <c r="J662" s="13" t="n">
        <f aca="false">'Dish Database'!J212*H662/100</f>
        <v>612.5</v>
      </c>
      <c r="K662" s="17" t="n">
        <f aca="false">'Dish Database'!K212*H662/100</f>
        <v>10.5</v>
      </c>
      <c r="L662" s="17" t="n">
        <f aca="false">'Dish Database'!L212*H662/100</f>
        <v>91</v>
      </c>
      <c r="M662" s="17" t="n">
        <f aca="false">'Dish Database'!M212*H662/100</f>
        <v>24.5</v>
      </c>
      <c r="N662" s="17" t="n">
        <f aca="false">'Dish Database'!N212*H662/100</f>
        <v>7</v>
      </c>
      <c r="O662" s="17" t="n">
        <f aca="false">'Dish Database'!O212*H662/100</f>
        <v>5.25</v>
      </c>
      <c r="P662" s="13" t="n">
        <f aca="false">'Dish Database'!P212*H662/100</f>
        <v>1225</v>
      </c>
    </row>
    <row r="663" customFormat="false" ht="15" hidden="false" customHeight="false" outlineLevel="0" collapsed="false">
      <c r="A663" s="6" t="str">
        <f aca="false">'Dish Database'!A212</f>
        <v>D211</v>
      </c>
      <c r="B663" s="6" t="str">
        <f aca="false">'Dish Database'!B212</f>
        <v>Vangi bath</v>
      </c>
      <c r="C663" s="6" t="str">
        <f aca="false">'Dish Database'!D212</f>
        <v>Rice, Pulao &amp; Khichdi</v>
      </c>
      <c r="D663" s="6" t="str">
        <f aca="false">'Dish Database'!F212</f>
        <v>Veg</v>
      </c>
      <c r="E663" s="6" t="str">
        <f aca="false">'Dish Database'!E212</f>
        <v>South</v>
      </c>
      <c r="F663" s="6" t="s">
        <v>2323</v>
      </c>
      <c r="G663" s="6" t="s">
        <v>2324</v>
      </c>
      <c r="H663" s="16" t="n">
        <v>300</v>
      </c>
      <c r="I663" s="6" t="str">
        <f aca="false">'Dish Database'!I212</f>
        <v>g</v>
      </c>
      <c r="J663" s="13" t="n">
        <f aca="false">'Dish Database'!J212*H663/100</f>
        <v>525</v>
      </c>
      <c r="K663" s="17" t="n">
        <f aca="false">'Dish Database'!K212*H663/100</f>
        <v>9</v>
      </c>
      <c r="L663" s="17" t="n">
        <f aca="false">'Dish Database'!L212*H663/100</f>
        <v>78</v>
      </c>
      <c r="M663" s="17" t="n">
        <f aca="false">'Dish Database'!M212*H663/100</f>
        <v>21</v>
      </c>
      <c r="N663" s="17" t="n">
        <f aca="false">'Dish Database'!N212*H663/100</f>
        <v>6</v>
      </c>
      <c r="O663" s="17" t="n">
        <f aca="false">'Dish Database'!O212*H663/100</f>
        <v>4.5</v>
      </c>
      <c r="P663" s="13" t="n">
        <f aca="false">'Dish Database'!P212*H663/100</f>
        <v>1050</v>
      </c>
    </row>
    <row r="664" customFormat="false" ht="15" hidden="false" customHeight="false" outlineLevel="0" collapsed="false">
      <c r="A664" s="6" t="str">
        <f aca="false">'Dish Database'!A212</f>
        <v>D211</v>
      </c>
      <c r="B664" s="6" t="str">
        <f aca="false">'Dish Database'!B212</f>
        <v>Vangi bath</v>
      </c>
      <c r="C664" s="6" t="str">
        <f aca="false">'Dish Database'!D212</f>
        <v>Rice, Pulao &amp; Khichdi</v>
      </c>
      <c r="D664" s="6" t="str">
        <f aca="false">'Dish Database'!F212</f>
        <v>Veg</v>
      </c>
      <c r="E664" s="6" t="str">
        <f aca="false">'Dish Database'!E212</f>
        <v>South</v>
      </c>
      <c r="F664" s="6" t="s">
        <v>2325</v>
      </c>
      <c r="G664" s="6" t="s">
        <v>2326</v>
      </c>
      <c r="H664" s="16" t="n">
        <v>550</v>
      </c>
      <c r="I664" s="6" t="str">
        <f aca="false">'Dish Database'!I212</f>
        <v>g</v>
      </c>
      <c r="J664" s="13" t="n">
        <f aca="false">'Dish Database'!J212*H664/100</f>
        <v>962.5</v>
      </c>
      <c r="K664" s="17" t="n">
        <f aca="false">'Dish Database'!K212*H664/100</f>
        <v>16.5</v>
      </c>
      <c r="L664" s="17" t="n">
        <f aca="false">'Dish Database'!L212*H664/100</f>
        <v>143</v>
      </c>
      <c r="M664" s="17" t="n">
        <f aca="false">'Dish Database'!M212*H664/100</f>
        <v>38.5</v>
      </c>
      <c r="N664" s="17" t="n">
        <f aca="false">'Dish Database'!N212*H664/100</f>
        <v>11</v>
      </c>
      <c r="O664" s="17" t="n">
        <f aca="false">'Dish Database'!O212*H664/100</f>
        <v>8.25</v>
      </c>
      <c r="P664" s="13" t="n">
        <f aca="false">'Dish Database'!P212*H664/100</f>
        <v>1925</v>
      </c>
    </row>
    <row r="665" customFormat="false" ht="15" hidden="false" customHeight="false" outlineLevel="0" collapsed="false">
      <c r="A665" s="6" t="str">
        <f aca="false">'Dish Database'!A213</f>
        <v>D212</v>
      </c>
      <c r="B665" s="6" t="str">
        <f aca="false">'Dish Database'!B213</f>
        <v>Khichdi (moong dal, plain)</v>
      </c>
      <c r="C665" s="6" t="str">
        <f aca="false">'Dish Database'!D213</f>
        <v>Rice, Pulao &amp; Khichdi</v>
      </c>
      <c r="D665" s="6" t="str">
        <f aca="false">'Dish Database'!F213</f>
        <v>Veg</v>
      </c>
      <c r="E665" s="6" t="str">
        <f aca="false">'Dish Database'!E213</f>
        <v>Pan-India</v>
      </c>
      <c r="F665" s="6" t="s">
        <v>2243</v>
      </c>
      <c r="G665" s="6" t="s">
        <v>2265</v>
      </c>
      <c r="H665" s="16" t="n">
        <v>150</v>
      </c>
      <c r="I665" s="6" t="str">
        <f aca="false">'Dish Database'!I213</f>
        <v>g</v>
      </c>
      <c r="J665" s="13" t="n">
        <f aca="false">'Dish Database'!J213*H665/100</f>
        <v>161.25</v>
      </c>
      <c r="K665" s="17" t="n">
        <f aca="false">'Dish Database'!K213*H665/100</f>
        <v>6</v>
      </c>
      <c r="L665" s="17" t="n">
        <f aca="false">'Dish Database'!L213*H665/100</f>
        <v>27</v>
      </c>
      <c r="M665" s="17" t="n">
        <f aca="false">'Dish Database'!M213*H665/100</f>
        <v>3.75</v>
      </c>
      <c r="N665" s="17" t="n">
        <f aca="false">'Dish Database'!N213*H665/100</f>
        <v>2.25</v>
      </c>
      <c r="O665" s="17" t="n">
        <f aca="false">'Dish Database'!O213*H665/100</f>
        <v>0.45</v>
      </c>
      <c r="P665" s="13" t="n">
        <f aca="false">'Dish Database'!P213*H665/100</f>
        <v>375</v>
      </c>
    </row>
    <row r="666" customFormat="false" ht="15" hidden="false" customHeight="false" outlineLevel="0" collapsed="false">
      <c r="A666" s="6" t="str">
        <f aca="false">'Dish Database'!A213</f>
        <v>D212</v>
      </c>
      <c r="B666" s="6" t="str">
        <f aca="false">'Dish Database'!B213</f>
        <v>Khichdi (moong dal, plain)</v>
      </c>
      <c r="C666" s="6" t="str">
        <f aca="false">'Dish Database'!D213</f>
        <v>Rice, Pulao &amp; Khichdi</v>
      </c>
      <c r="D666" s="6" t="str">
        <f aca="false">'Dish Database'!F213</f>
        <v>Veg</v>
      </c>
      <c r="E666" s="6" t="str">
        <f aca="false">'Dish Database'!E213</f>
        <v>Pan-India</v>
      </c>
      <c r="F666" s="6" t="s">
        <v>103</v>
      </c>
      <c r="G666" s="6" t="s">
        <v>2423</v>
      </c>
      <c r="H666" s="16" t="n">
        <v>250</v>
      </c>
      <c r="I666" s="6" t="str">
        <f aca="false">'Dish Database'!I213</f>
        <v>g</v>
      </c>
      <c r="J666" s="13" t="n">
        <f aca="false">'Dish Database'!J213*H666/100</f>
        <v>268.75</v>
      </c>
      <c r="K666" s="17" t="n">
        <f aca="false">'Dish Database'!K213*H666/100</f>
        <v>10</v>
      </c>
      <c r="L666" s="17" t="n">
        <f aca="false">'Dish Database'!L213*H666/100</f>
        <v>45</v>
      </c>
      <c r="M666" s="17" t="n">
        <f aca="false">'Dish Database'!M213*H666/100</f>
        <v>6.25</v>
      </c>
      <c r="N666" s="17" t="n">
        <f aca="false">'Dish Database'!N213*H666/100</f>
        <v>3.75</v>
      </c>
      <c r="O666" s="17" t="n">
        <f aca="false">'Dish Database'!O213*H666/100</f>
        <v>0.75</v>
      </c>
      <c r="P666" s="13" t="n">
        <f aca="false">'Dish Database'!P213*H666/100</f>
        <v>625</v>
      </c>
    </row>
    <row r="667" customFormat="false" ht="15" hidden="false" customHeight="false" outlineLevel="0" collapsed="false">
      <c r="A667" s="6" t="str">
        <f aca="false">'Dish Database'!A213</f>
        <v>D212</v>
      </c>
      <c r="B667" s="6" t="str">
        <f aca="false">'Dish Database'!B213</f>
        <v>Khichdi (moong dal, plain)</v>
      </c>
      <c r="C667" s="6" t="str">
        <f aca="false">'Dish Database'!D213</f>
        <v>Rice, Pulao &amp; Khichdi</v>
      </c>
      <c r="D667" s="6" t="str">
        <f aca="false">'Dish Database'!F213</f>
        <v>Veg</v>
      </c>
      <c r="E667" s="6" t="str">
        <f aca="false">'Dish Database'!E213</f>
        <v>Pan-India</v>
      </c>
      <c r="F667" s="6" t="s">
        <v>2246</v>
      </c>
      <c r="G667" s="6" t="s">
        <v>2267</v>
      </c>
      <c r="H667" s="16" t="n">
        <v>350</v>
      </c>
      <c r="I667" s="6" t="str">
        <f aca="false">'Dish Database'!I213</f>
        <v>g</v>
      </c>
      <c r="J667" s="13" t="n">
        <f aca="false">'Dish Database'!J213*H667/100</f>
        <v>376.25</v>
      </c>
      <c r="K667" s="17" t="n">
        <f aca="false">'Dish Database'!K213*H667/100</f>
        <v>14</v>
      </c>
      <c r="L667" s="17" t="n">
        <f aca="false">'Dish Database'!L213*H667/100</f>
        <v>63</v>
      </c>
      <c r="M667" s="17" t="n">
        <f aca="false">'Dish Database'!M213*H667/100</f>
        <v>8.75</v>
      </c>
      <c r="N667" s="17" t="n">
        <f aca="false">'Dish Database'!N213*H667/100</f>
        <v>5.25</v>
      </c>
      <c r="O667" s="17" t="n">
        <f aca="false">'Dish Database'!O213*H667/100</f>
        <v>1.05</v>
      </c>
      <c r="P667" s="13" t="n">
        <f aca="false">'Dish Database'!P213*H667/100</f>
        <v>875</v>
      </c>
    </row>
    <row r="668" customFormat="false" ht="15" hidden="false" customHeight="false" outlineLevel="0" collapsed="false">
      <c r="A668" s="6" t="str">
        <f aca="false">'Dish Database'!A213</f>
        <v>D212</v>
      </c>
      <c r="B668" s="6" t="str">
        <f aca="false">'Dish Database'!B213</f>
        <v>Khichdi (moong dal, plain)</v>
      </c>
      <c r="C668" s="6" t="str">
        <f aca="false">'Dish Database'!D213</f>
        <v>Rice, Pulao &amp; Khichdi</v>
      </c>
      <c r="D668" s="6" t="str">
        <f aca="false">'Dish Database'!F213</f>
        <v>Veg</v>
      </c>
      <c r="E668" s="6" t="str">
        <f aca="false">'Dish Database'!E213</f>
        <v>Pan-India</v>
      </c>
      <c r="F668" s="6" t="s">
        <v>2323</v>
      </c>
      <c r="G668" s="6" t="s">
        <v>2324</v>
      </c>
      <c r="H668" s="16" t="n">
        <v>300</v>
      </c>
      <c r="I668" s="6" t="str">
        <f aca="false">'Dish Database'!I213</f>
        <v>g</v>
      </c>
      <c r="J668" s="13" t="n">
        <f aca="false">'Dish Database'!J213*H668/100</f>
        <v>322.5</v>
      </c>
      <c r="K668" s="17" t="n">
        <f aca="false">'Dish Database'!K213*H668/100</f>
        <v>12</v>
      </c>
      <c r="L668" s="17" t="n">
        <f aca="false">'Dish Database'!L213*H668/100</f>
        <v>54</v>
      </c>
      <c r="M668" s="17" t="n">
        <f aca="false">'Dish Database'!M213*H668/100</f>
        <v>7.5</v>
      </c>
      <c r="N668" s="17" t="n">
        <f aca="false">'Dish Database'!N213*H668/100</f>
        <v>4.5</v>
      </c>
      <c r="O668" s="17" t="n">
        <f aca="false">'Dish Database'!O213*H668/100</f>
        <v>0.9</v>
      </c>
      <c r="P668" s="13" t="n">
        <f aca="false">'Dish Database'!P213*H668/100</f>
        <v>750</v>
      </c>
    </row>
    <row r="669" customFormat="false" ht="15" hidden="false" customHeight="false" outlineLevel="0" collapsed="false">
      <c r="A669" s="6" t="str">
        <f aca="false">'Dish Database'!A213</f>
        <v>D212</v>
      </c>
      <c r="B669" s="6" t="str">
        <f aca="false">'Dish Database'!B213</f>
        <v>Khichdi (moong dal, plain)</v>
      </c>
      <c r="C669" s="6" t="str">
        <f aca="false">'Dish Database'!D213</f>
        <v>Rice, Pulao &amp; Khichdi</v>
      </c>
      <c r="D669" s="6" t="str">
        <f aca="false">'Dish Database'!F213</f>
        <v>Veg</v>
      </c>
      <c r="E669" s="6" t="str">
        <f aca="false">'Dish Database'!E213</f>
        <v>Pan-India</v>
      </c>
      <c r="F669" s="6" t="s">
        <v>2325</v>
      </c>
      <c r="G669" s="6" t="s">
        <v>2326</v>
      </c>
      <c r="H669" s="16" t="n">
        <v>550</v>
      </c>
      <c r="I669" s="6" t="str">
        <f aca="false">'Dish Database'!I213</f>
        <v>g</v>
      </c>
      <c r="J669" s="13" t="n">
        <f aca="false">'Dish Database'!J213*H669/100</f>
        <v>591.25</v>
      </c>
      <c r="K669" s="17" t="n">
        <f aca="false">'Dish Database'!K213*H669/100</f>
        <v>22</v>
      </c>
      <c r="L669" s="17" t="n">
        <f aca="false">'Dish Database'!L213*H669/100</f>
        <v>99</v>
      </c>
      <c r="M669" s="17" t="n">
        <f aca="false">'Dish Database'!M213*H669/100</f>
        <v>13.75</v>
      </c>
      <c r="N669" s="17" t="n">
        <f aca="false">'Dish Database'!N213*H669/100</f>
        <v>8.25</v>
      </c>
      <c r="O669" s="17" t="n">
        <f aca="false">'Dish Database'!O213*H669/100</f>
        <v>1.65</v>
      </c>
      <c r="P669" s="13" t="n">
        <f aca="false">'Dish Database'!P213*H669/100</f>
        <v>1375</v>
      </c>
    </row>
    <row r="670" customFormat="false" ht="15" hidden="false" customHeight="false" outlineLevel="0" collapsed="false">
      <c r="A670" s="6" t="str">
        <f aca="false">'Dish Database'!A214</f>
        <v>D213</v>
      </c>
      <c r="B670" s="6" t="str">
        <f aca="false">'Dish Database'!B214</f>
        <v>Masala / vegetable khichdi</v>
      </c>
      <c r="C670" s="6" t="str">
        <f aca="false">'Dish Database'!D214</f>
        <v>Rice, Pulao &amp; Khichdi</v>
      </c>
      <c r="D670" s="6" t="str">
        <f aca="false">'Dish Database'!F214</f>
        <v>Veg</v>
      </c>
      <c r="E670" s="6" t="str">
        <f aca="false">'Dish Database'!E214</f>
        <v>Pan-India</v>
      </c>
      <c r="F670" s="6" t="s">
        <v>2243</v>
      </c>
      <c r="G670" s="6" t="s">
        <v>2265</v>
      </c>
      <c r="H670" s="16" t="n">
        <v>150</v>
      </c>
      <c r="I670" s="6" t="str">
        <f aca="false">'Dish Database'!I214</f>
        <v>g</v>
      </c>
      <c r="J670" s="13" t="n">
        <f aca="false">'Dish Database'!J214*H670/100</f>
        <v>166.65</v>
      </c>
      <c r="K670" s="17" t="n">
        <f aca="false">'Dish Database'!K214*H670/100</f>
        <v>6</v>
      </c>
      <c r="L670" s="17" t="n">
        <f aca="false">'Dish Database'!L214*H670/100</f>
        <v>25.5</v>
      </c>
      <c r="M670" s="17" t="n">
        <f aca="false">'Dish Database'!M214*H670/100</f>
        <v>5.25</v>
      </c>
      <c r="N670" s="17" t="n">
        <f aca="false">'Dish Database'!N214*H670/100</f>
        <v>3.3</v>
      </c>
      <c r="O670" s="17" t="n">
        <f aca="false">'Dish Database'!O214*H670/100</f>
        <v>1.5</v>
      </c>
      <c r="P670" s="13" t="n">
        <f aca="false">'Dish Database'!P214*H670/100</f>
        <v>450</v>
      </c>
    </row>
    <row r="671" customFormat="false" ht="15" hidden="false" customHeight="false" outlineLevel="0" collapsed="false">
      <c r="A671" s="6" t="str">
        <f aca="false">'Dish Database'!A214</f>
        <v>D213</v>
      </c>
      <c r="B671" s="6" t="str">
        <f aca="false">'Dish Database'!B214</f>
        <v>Masala / vegetable khichdi</v>
      </c>
      <c r="C671" s="6" t="str">
        <f aca="false">'Dish Database'!D214</f>
        <v>Rice, Pulao &amp; Khichdi</v>
      </c>
      <c r="D671" s="6" t="str">
        <f aca="false">'Dish Database'!F214</f>
        <v>Veg</v>
      </c>
      <c r="E671" s="6" t="str">
        <f aca="false">'Dish Database'!E214</f>
        <v>Pan-India</v>
      </c>
      <c r="F671" s="6" t="s">
        <v>103</v>
      </c>
      <c r="G671" s="6" t="s">
        <v>2423</v>
      </c>
      <c r="H671" s="16" t="n">
        <v>250</v>
      </c>
      <c r="I671" s="6" t="str">
        <f aca="false">'Dish Database'!I214</f>
        <v>g</v>
      </c>
      <c r="J671" s="13" t="n">
        <f aca="false">'Dish Database'!J214*H671/100</f>
        <v>277.75</v>
      </c>
      <c r="K671" s="17" t="n">
        <f aca="false">'Dish Database'!K214*H671/100</f>
        <v>10</v>
      </c>
      <c r="L671" s="17" t="n">
        <f aca="false">'Dish Database'!L214*H671/100</f>
        <v>42.5</v>
      </c>
      <c r="M671" s="17" t="n">
        <f aca="false">'Dish Database'!M214*H671/100</f>
        <v>8.75</v>
      </c>
      <c r="N671" s="17" t="n">
        <f aca="false">'Dish Database'!N214*H671/100</f>
        <v>5.5</v>
      </c>
      <c r="O671" s="17" t="n">
        <f aca="false">'Dish Database'!O214*H671/100</f>
        <v>2.5</v>
      </c>
      <c r="P671" s="13" t="n">
        <f aca="false">'Dish Database'!P214*H671/100</f>
        <v>750</v>
      </c>
    </row>
    <row r="672" customFormat="false" ht="15" hidden="false" customHeight="false" outlineLevel="0" collapsed="false">
      <c r="A672" s="6" t="str">
        <f aca="false">'Dish Database'!A214</f>
        <v>D213</v>
      </c>
      <c r="B672" s="6" t="str">
        <f aca="false">'Dish Database'!B214</f>
        <v>Masala / vegetable khichdi</v>
      </c>
      <c r="C672" s="6" t="str">
        <f aca="false">'Dish Database'!D214</f>
        <v>Rice, Pulao &amp; Khichdi</v>
      </c>
      <c r="D672" s="6" t="str">
        <f aca="false">'Dish Database'!F214</f>
        <v>Veg</v>
      </c>
      <c r="E672" s="6" t="str">
        <f aca="false">'Dish Database'!E214</f>
        <v>Pan-India</v>
      </c>
      <c r="F672" s="6" t="s">
        <v>2246</v>
      </c>
      <c r="G672" s="6" t="s">
        <v>2267</v>
      </c>
      <c r="H672" s="16" t="n">
        <v>350</v>
      </c>
      <c r="I672" s="6" t="str">
        <f aca="false">'Dish Database'!I214</f>
        <v>g</v>
      </c>
      <c r="J672" s="13" t="n">
        <f aca="false">'Dish Database'!J214*H672/100</f>
        <v>388.85</v>
      </c>
      <c r="K672" s="17" t="n">
        <f aca="false">'Dish Database'!K214*H672/100</f>
        <v>14</v>
      </c>
      <c r="L672" s="17" t="n">
        <f aca="false">'Dish Database'!L214*H672/100</f>
        <v>59.5</v>
      </c>
      <c r="M672" s="17" t="n">
        <f aca="false">'Dish Database'!M214*H672/100</f>
        <v>12.25</v>
      </c>
      <c r="N672" s="17" t="n">
        <f aca="false">'Dish Database'!N214*H672/100</f>
        <v>7.7</v>
      </c>
      <c r="O672" s="17" t="n">
        <f aca="false">'Dish Database'!O214*H672/100</f>
        <v>3.5</v>
      </c>
      <c r="P672" s="13" t="n">
        <f aca="false">'Dish Database'!P214*H672/100</f>
        <v>1050</v>
      </c>
    </row>
    <row r="673" customFormat="false" ht="15" hidden="false" customHeight="false" outlineLevel="0" collapsed="false">
      <c r="A673" s="6" t="str">
        <f aca="false">'Dish Database'!A214</f>
        <v>D213</v>
      </c>
      <c r="B673" s="6" t="str">
        <f aca="false">'Dish Database'!B214</f>
        <v>Masala / vegetable khichdi</v>
      </c>
      <c r="C673" s="6" t="str">
        <f aca="false">'Dish Database'!D214</f>
        <v>Rice, Pulao &amp; Khichdi</v>
      </c>
      <c r="D673" s="6" t="str">
        <f aca="false">'Dish Database'!F214</f>
        <v>Veg</v>
      </c>
      <c r="E673" s="6" t="str">
        <f aca="false">'Dish Database'!E214</f>
        <v>Pan-India</v>
      </c>
      <c r="F673" s="6" t="s">
        <v>2323</v>
      </c>
      <c r="G673" s="6" t="s">
        <v>2324</v>
      </c>
      <c r="H673" s="16" t="n">
        <v>300</v>
      </c>
      <c r="I673" s="6" t="str">
        <f aca="false">'Dish Database'!I214</f>
        <v>g</v>
      </c>
      <c r="J673" s="13" t="n">
        <f aca="false">'Dish Database'!J214*H673/100</f>
        <v>333.3</v>
      </c>
      <c r="K673" s="17" t="n">
        <f aca="false">'Dish Database'!K214*H673/100</f>
        <v>12</v>
      </c>
      <c r="L673" s="17" t="n">
        <f aca="false">'Dish Database'!L214*H673/100</f>
        <v>51</v>
      </c>
      <c r="M673" s="17" t="n">
        <f aca="false">'Dish Database'!M214*H673/100</f>
        <v>10.5</v>
      </c>
      <c r="N673" s="17" t="n">
        <f aca="false">'Dish Database'!N214*H673/100</f>
        <v>6.6</v>
      </c>
      <c r="O673" s="17" t="n">
        <f aca="false">'Dish Database'!O214*H673/100</f>
        <v>3</v>
      </c>
      <c r="P673" s="13" t="n">
        <f aca="false">'Dish Database'!P214*H673/100</f>
        <v>900</v>
      </c>
    </row>
    <row r="674" customFormat="false" ht="15" hidden="false" customHeight="false" outlineLevel="0" collapsed="false">
      <c r="A674" s="6" t="str">
        <f aca="false">'Dish Database'!A214</f>
        <v>D213</v>
      </c>
      <c r="B674" s="6" t="str">
        <f aca="false">'Dish Database'!B214</f>
        <v>Masala / vegetable khichdi</v>
      </c>
      <c r="C674" s="6" t="str">
        <f aca="false">'Dish Database'!D214</f>
        <v>Rice, Pulao &amp; Khichdi</v>
      </c>
      <c r="D674" s="6" t="str">
        <f aca="false">'Dish Database'!F214</f>
        <v>Veg</v>
      </c>
      <c r="E674" s="6" t="str">
        <f aca="false">'Dish Database'!E214</f>
        <v>Pan-India</v>
      </c>
      <c r="F674" s="6" t="s">
        <v>2325</v>
      </c>
      <c r="G674" s="6" t="s">
        <v>2326</v>
      </c>
      <c r="H674" s="16" t="n">
        <v>550</v>
      </c>
      <c r="I674" s="6" t="str">
        <f aca="false">'Dish Database'!I214</f>
        <v>g</v>
      </c>
      <c r="J674" s="13" t="n">
        <f aca="false">'Dish Database'!J214*H674/100</f>
        <v>611.05</v>
      </c>
      <c r="K674" s="17" t="n">
        <f aca="false">'Dish Database'!K214*H674/100</f>
        <v>22</v>
      </c>
      <c r="L674" s="17" t="n">
        <f aca="false">'Dish Database'!L214*H674/100</f>
        <v>93.5</v>
      </c>
      <c r="M674" s="17" t="n">
        <f aca="false">'Dish Database'!M214*H674/100</f>
        <v>19.25</v>
      </c>
      <c r="N674" s="17" t="n">
        <f aca="false">'Dish Database'!N214*H674/100</f>
        <v>12.1</v>
      </c>
      <c r="O674" s="17" t="n">
        <f aca="false">'Dish Database'!O214*H674/100</f>
        <v>5.5</v>
      </c>
      <c r="P674" s="13" t="n">
        <f aca="false">'Dish Database'!P214*H674/100</f>
        <v>1650</v>
      </c>
    </row>
    <row r="675" customFormat="false" ht="15" hidden="false" customHeight="false" outlineLevel="0" collapsed="false">
      <c r="A675" s="6" t="str">
        <f aca="false">'Dish Database'!A215</f>
        <v>D214</v>
      </c>
      <c r="B675" s="6" t="str">
        <f aca="false">'Dish Database'!B215</f>
        <v>Chicken pulao</v>
      </c>
      <c r="C675" s="6" t="str">
        <f aca="false">'Dish Database'!D215</f>
        <v>Rice, Pulao &amp; Khichdi</v>
      </c>
      <c r="D675" s="6" t="str">
        <f aca="false">'Dish Database'!F215</f>
        <v>Non-Veg</v>
      </c>
      <c r="E675" s="6" t="str">
        <f aca="false">'Dish Database'!E215</f>
        <v>North</v>
      </c>
      <c r="F675" s="6" t="s">
        <v>2243</v>
      </c>
      <c r="G675" s="6" t="s">
        <v>2265</v>
      </c>
      <c r="H675" s="16" t="n">
        <v>200</v>
      </c>
      <c r="I675" s="6" t="str">
        <f aca="false">'Dish Database'!I215</f>
        <v>g</v>
      </c>
      <c r="J675" s="13" t="n">
        <f aca="false">'Dish Database'!J215*H675/100</f>
        <v>322.8</v>
      </c>
      <c r="K675" s="17" t="n">
        <f aca="false">'Dish Database'!K215*H675/100</f>
        <v>15</v>
      </c>
      <c r="L675" s="17" t="n">
        <f aca="false">'Dish Database'!L215*H675/100</f>
        <v>44</v>
      </c>
      <c r="M675" s="17" t="n">
        <f aca="false">'Dish Database'!M215*H675/100</f>
        <v>10</v>
      </c>
      <c r="N675" s="17" t="n">
        <f aca="false">'Dish Database'!N215*H675/100</f>
        <v>1.6</v>
      </c>
      <c r="O675" s="17" t="n">
        <f aca="false">'Dish Database'!O215*H675/100</f>
        <v>1.6</v>
      </c>
      <c r="P675" s="13" t="n">
        <f aca="false">'Dish Database'!P215*H675/100</f>
        <v>700</v>
      </c>
    </row>
    <row r="676" customFormat="false" ht="15" hidden="false" customHeight="false" outlineLevel="0" collapsed="false">
      <c r="A676" s="6" t="str">
        <f aca="false">'Dish Database'!A215</f>
        <v>D214</v>
      </c>
      <c r="B676" s="6" t="str">
        <f aca="false">'Dish Database'!B215</f>
        <v>Chicken pulao</v>
      </c>
      <c r="C676" s="6" t="str">
        <f aca="false">'Dish Database'!D215</f>
        <v>Rice, Pulao &amp; Khichdi</v>
      </c>
      <c r="D676" s="6" t="str">
        <f aca="false">'Dish Database'!F215</f>
        <v>Non-Veg</v>
      </c>
      <c r="E676" s="6" t="str">
        <f aca="false">'Dish Database'!E215</f>
        <v>North</v>
      </c>
      <c r="F676" s="6" t="s">
        <v>103</v>
      </c>
      <c r="G676" s="6" t="s">
        <v>2266</v>
      </c>
      <c r="H676" s="16" t="n">
        <v>300</v>
      </c>
      <c r="I676" s="6" t="str">
        <f aca="false">'Dish Database'!I215</f>
        <v>g</v>
      </c>
      <c r="J676" s="13" t="n">
        <f aca="false">'Dish Database'!J215*H676/100</f>
        <v>484.2</v>
      </c>
      <c r="K676" s="17" t="n">
        <f aca="false">'Dish Database'!K215*H676/100</f>
        <v>22.5</v>
      </c>
      <c r="L676" s="17" t="n">
        <f aca="false">'Dish Database'!L215*H676/100</f>
        <v>66</v>
      </c>
      <c r="M676" s="17" t="n">
        <f aca="false">'Dish Database'!M215*H676/100</f>
        <v>15</v>
      </c>
      <c r="N676" s="17" t="n">
        <f aca="false">'Dish Database'!N215*H676/100</f>
        <v>2.4</v>
      </c>
      <c r="O676" s="17" t="n">
        <f aca="false">'Dish Database'!O215*H676/100</f>
        <v>2.4</v>
      </c>
      <c r="P676" s="13" t="n">
        <f aca="false">'Dish Database'!P215*H676/100</f>
        <v>1050</v>
      </c>
    </row>
    <row r="677" customFormat="false" ht="15" hidden="false" customHeight="false" outlineLevel="0" collapsed="false">
      <c r="A677" s="6" t="str">
        <f aca="false">'Dish Database'!A215</f>
        <v>D214</v>
      </c>
      <c r="B677" s="6" t="str">
        <f aca="false">'Dish Database'!B215</f>
        <v>Chicken pulao</v>
      </c>
      <c r="C677" s="6" t="str">
        <f aca="false">'Dish Database'!D215</f>
        <v>Rice, Pulao &amp; Khichdi</v>
      </c>
      <c r="D677" s="6" t="str">
        <f aca="false">'Dish Database'!F215</f>
        <v>Non-Veg</v>
      </c>
      <c r="E677" s="6" t="str">
        <f aca="false">'Dish Database'!E215</f>
        <v>North</v>
      </c>
      <c r="F677" s="6" t="s">
        <v>2246</v>
      </c>
      <c r="G677" s="6" t="s">
        <v>2267</v>
      </c>
      <c r="H677" s="16" t="n">
        <v>400</v>
      </c>
      <c r="I677" s="6" t="str">
        <f aca="false">'Dish Database'!I215</f>
        <v>g</v>
      </c>
      <c r="J677" s="13" t="n">
        <f aca="false">'Dish Database'!J215*H677/100</f>
        <v>645.6</v>
      </c>
      <c r="K677" s="17" t="n">
        <f aca="false">'Dish Database'!K215*H677/100</f>
        <v>30</v>
      </c>
      <c r="L677" s="17" t="n">
        <f aca="false">'Dish Database'!L215*H677/100</f>
        <v>88</v>
      </c>
      <c r="M677" s="17" t="n">
        <f aca="false">'Dish Database'!M215*H677/100</f>
        <v>20</v>
      </c>
      <c r="N677" s="17" t="n">
        <f aca="false">'Dish Database'!N215*H677/100</f>
        <v>3.2</v>
      </c>
      <c r="O677" s="17" t="n">
        <f aca="false">'Dish Database'!O215*H677/100</f>
        <v>3.2</v>
      </c>
      <c r="P677" s="13" t="n">
        <f aca="false">'Dish Database'!P215*H677/100</f>
        <v>1400</v>
      </c>
    </row>
    <row r="678" customFormat="false" ht="15" hidden="false" customHeight="false" outlineLevel="0" collapsed="false">
      <c r="A678" s="6" t="str">
        <f aca="false">'Dish Database'!A215</f>
        <v>D214</v>
      </c>
      <c r="B678" s="6" t="str">
        <f aca="false">'Dish Database'!B215</f>
        <v>Chicken pulao</v>
      </c>
      <c r="C678" s="6" t="str">
        <f aca="false">'Dish Database'!D215</f>
        <v>Rice, Pulao &amp; Khichdi</v>
      </c>
      <c r="D678" s="6" t="str">
        <f aca="false">'Dish Database'!F215</f>
        <v>Non-Veg</v>
      </c>
      <c r="E678" s="6" t="str">
        <f aca="false">'Dish Database'!E215</f>
        <v>North</v>
      </c>
      <c r="F678" s="6" t="s">
        <v>2323</v>
      </c>
      <c r="G678" s="6" t="s">
        <v>2324</v>
      </c>
      <c r="H678" s="16" t="n">
        <v>350</v>
      </c>
      <c r="I678" s="6" t="str">
        <f aca="false">'Dish Database'!I215</f>
        <v>g</v>
      </c>
      <c r="J678" s="13" t="n">
        <f aca="false">'Dish Database'!J215*H678/100</f>
        <v>564.9</v>
      </c>
      <c r="K678" s="17" t="n">
        <f aca="false">'Dish Database'!K215*H678/100</f>
        <v>26.25</v>
      </c>
      <c r="L678" s="17" t="n">
        <f aca="false">'Dish Database'!L215*H678/100</f>
        <v>77</v>
      </c>
      <c r="M678" s="17" t="n">
        <f aca="false">'Dish Database'!M215*H678/100</f>
        <v>17.5</v>
      </c>
      <c r="N678" s="17" t="n">
        <f aca="false">'Dish Database'!N215*H678/100</f>
        <v>2.8</v>
      </c>
      <c r="O678" s="17" t="n">
        <f aca="false">'Dish Database'!O215*H678/100</f>
        <v>2.8</v>
      </c>
      <c r="P678" s="13" t="n">
        <f aca="false">'Dish Database'!P215*H678/100</f>
        <v>1225</v>
      </c>
    </row>
    <row r="679" customFormat="false" ht="15" hidden="false" customHeight="false" outlineLevel="0" collapsed="false">
      <c r="A679" s="6" t="str">
        <f aca="false">'Dish Database'!A215</f>
        <v>D214</v>
      </c>
      <c r="B679" s="6" t="str">
        <f aca="false">'Dish Database'!B215</f>
        <v>Chicken pulao</v>
      </c>
      <c r="C679" s="6" t="str">
        <f aca="false">'Dish Database'!D215</f>
        <v>Rice, Pulao &amp; Khichdi</v>
      </c>
      <c r="D679" s="6" t="str">
        <f aca="false">'Dish Database'!F215</f>
        <v>Non-Veg</v>
      </c>
      <c r="E679" s="6" t="str">
        <f aca="false">'Dish Database'!E215</f>
        <v>North</v>
      </c>
      <c r="F679" s="6" t="s">
        <v>2325</v>
      </c>
      <c r="G679" s="6" t="s">
        <v>2326</v>
      </c>
      <c r="H679" s="16" t="n">
        <v>650</v>
      </c>
      <c r="I679" s="6" t="str">
        <f aca="false">'Dish Database'!I215</f>
        <v>g</v>
      </c>
      <c r="J679" s="13" t="n">
        <f aca="false">'Dish Database'!J215*H679/100</f>
        <v>1049.1</v>
      </c>
      <c r="K679" s="17" t="n">
        <f aca="false">'Dish Database'!K215*H679/100</f>
        <v>48.75</v>
      </c>
      <c r="L679" s="17" t="n">
        <f aca="false">'Dish Database'!L215*H679/100</f>
        <v>143</v>
      </c>
      <c r="M679" s="17" t="n">
        <f aca="false">'Dish Database'!M215*H679/100</f>
        <v>32.5</v>
      </c>
      <c r="N679" s="17" t="n">
        <f aca="false">'Dish Database'!N215*H679/100</f>
        <v>5.2</v>
      </c>
      <c r="O679" s="17" t="n">
        <f aca="false">'Dish Database'!O215*H679/100</f>
        <v>5.2</v>
      </c>
      <c r="P679" s="13" t="n">
        <f aca="false">'Dish Database'!P215*H679/100</f>
        <v>2275</v>
      </c>
    </row>
    <row r="680" customFormat="false" ht="15" hidden="false" customHeight="false" outlineLevel="0" collapsed="false">
      <c r="A680" s="6" t="str">
        <f aca="false">'Dish Database'!A216</f>
        <v>D215</v>
      </c>
      <c r="B680" s="6" t="str">
        <f aca="false">'Dish Database'!B216</f>
        <v>Mutton pulao / yakhni pulao</v>
      </c>
      <c r="C680" s="6" t="str">
        <f aca="false">'Dish Database'!D216</f>
        <v>Rice, Pulao &amp; Khichdi</v>
      </c>
      <c r="D680" s="6" t="str">
        <f aca="false">'Dish Database'!F216</f>
        <v>Non-Veg</v>
      </c>
      <c r="E680" s="6" t="str">
        <f aca="false">'Dish Database'!E216</f>
        <v>North</v>
      </c>
      <c r="F680" s="6" t="s">
        <v>2243</v>
      </c>
      <c r="G680" s="6" t="s">
        <v>2265</v>
      </c>
      <c r="H680" s="16" t="n">
        <v>200</v>
      </c>
      <c r="I680" s="6" t="str">
        <f aca="false">'Dish Database'!I216</f>
        <v>g</v>
      </c>
      <c r="J680" s="13" t="n">
        <f aca="false">'Dish Database'!J216*H680/100</f>
        <v>363.2</v>
      </c>
      <c r="K680" s="17" t="n">
        <f aca="false">'Dish Database'!K216*H680/100</f>
        <v>16</v>
      </c>
      <c r="L680" s="17" t="n">
        <f aca="false">'Dish Database'!L216*H680/100</f>
        <v>44</v>
      </c>
      <c r="M680" s="17" t="n">
        <f aca="false">'Dish Database'!M216*H680/100</f>
        <v>14</v>
      </c>
      <c r="N680" s="17" t="n">
        <f aca="false">'Dish Database'!N216*H680/100</f>
        <v>1.4</v>
      </c>
      <c r="O680" s="17" t="n">
        <f aca="false">'Dish Database'!O216*H680/100</f>
        <v>1.6</v>
      </c>
      <c r="P680" s="13" t="n">
        <f aca="false">'Dish Database'!P216*H680/100</f>
        <v>700</v>
      </c>
    </row>
    <row r="681" customFormat="false" ht="15" hidden="false" customHeight="false" outlineLevel="0" collapsed="false">
      <c r="A681" s="6" t="str">
        <f aca="false">'Dish Database'!A216</f>
        <v>D215</v>
      </c>
      <c r="B681" s="6" t="str">
        <f aca="false">'Dish Database'!B216</f>
        <v>Mutton pulao / yakhni pulao</v>
      </c>
      <c r="C681" s="6" t="str">
        <f aca="false">'Dish Database'!D216</f>
        <v>Rice, Pulao &amp; Khichdi</v>
      </c>
      <c r="D681" s="6" t="str">
        <f aca="false">'Dish Database'!F216</f>
        <v>Non-Veg</v>
      </c>
      <c r="E681" s="6" t="str">
        <f aca="false">'Dish Database'!E216</f>
        <v>North</v>
      </c>
      <c r="F681" s="6" t="s">
        <v>103</v>
      </c>
      <c r="G681" s="6" t="s">
        <v>2266</v>
      </c>
      <c r="H681" s="16" t="n">
        <v>300</v>
      </c>
      <c r="I681" s="6" t="str">
        <f aca="false">'Dish Database'!I216</f>
        <v>g</v>
      </c>
      <c r="J681" s="13" t="n">
        <f aca="false">'Dish Database'!J216*H681/100</f>
        <v>544.8</v>
      </c>
      <c r="K681" s="17" t="n">
        <f aca="false">'Dish Database'!K216*H681/100</f>
        <v>24</v>
      </c>
      <c r="L681" s="17" t="n">
        <f aca="false">'Dish Database'!L216*H681/100</f>
        <v>66</v>
      </c>
      <c r="M681" s="17" t="n">
        <f aca="false">'Dish Database'!M216*H681/100</f>
        <v>21</v>
      </c>
      <c r="N681" s="17" t="n">
        <f aca="false">'Dish Database'!N216*H681/100</f>
        <v>2.1</v>
      </c>
      <c r="O681" s="17" t="n">
        <f aca="false">'Dish Database'!O216*H681/100</f>
        <v>2.4</v>
      </c>
      <c r="P681" s="13" t="n">
        <f aca="false">'Dish Database'!P216*H681/100</f>
        <v>1050</v>
      </c>
    </row>
    <row r="682" customFormat="false" ht="15" hidden="false" customHeight="false" outlineLevel="0" collapsed="false">
      <c r="A682" s="6" t="str">
        <f aca="false">'Dish Database'!A216</f>
        <v>D215</v>
      </c>
      <c r="B682" s="6" t="str">
        <f aca="false">'Dish Database'!B216</f>
        <v>Mutton pulao / yakhni pulao</v>
      </c>
      <c r="C682" s="6" t="str">
        <f aca="false">'Dish Database'!D216</f>
        <v>Rice, Pulao &amp; Khichdi</v>
      </c>
      <c r="D682" s="6" t="str">
        <f aca="false">'Dish Database'!F216</f>
        <v>Non-Veg</v>
      </c>
      <c r="E682" s="6" t="str">
        <f aca="false">'Dish Database'!E216</f>
        <v>North</v>
      </c>
      <c r="F682" s="6" t="s">
        <v>2246</v>
      </c>
      <c r="G682" s="6" t="s">
        <v>2267</v>
      </c>
      <c r="H682" s="16" t="n">
        <v>400</v>
      </c>
      <c r="I682" s="6" t="str">
        <f aca="false">'Dish Database'!I216</f>
        <v>g</v>
      </c>
      <c r="J682" s="13" t="n">
        <f aca="false">'Dish Database'!J216*H682/100</f>
        <v>726.4</v>
      </c>
      <c r="K682" s="17" t="n">
        <f aca="false">'Dish Database'!K216*H682/100</f>
        <v>32</v>
      </c>
      <c r="L682" s="17" t="n">
        <f aca="false">'Dish Database'!L216*H682/100</f>
        <v>88</v>
      </c>
      <c r="M682" s="17" t="n">
        <f aca="false">'Dish Database'!M216*H682/100</f>
        <v>28</v>
      </c>
      <c r="N682" s="17" t="n">
        <f aca="false">'Dish Database'!N216*H682/100</f>
        <v>2.8</v>
      </c>
      <c r="O682" s="17" t="n">
        <f aca="false">'Dish Database'!O216*H682/100</f>
        <v>3.2</v>
      </c>
      <c r="P682" s="13" t="n">
        <f aca="false">'Dish Database'!P216*H682/100</f>
        <v>1400</v>
      </c>
    </row>
    <row r="683" customFormat="false" ht="15" hidden="false" customHeight="false" outlineLevel="0" collapsed="false">
      <c r="A683" s="6" t="str">
        <f aca="false">'Dish Database'!A216</f>
        <v>D215</v>
      </c>
      <c r="B683" s="6" t="str">
        <f aca="false">'Dish Database'!B216</f>
        <v>Mutton pulao / yakhni pulao</v>
      </c>
      <c r="C683" s="6" t="str">
        <f aca="false">'Dish Database'!D216</f>
        <v>Rice, Pulao &amp; Khichdi</v>
      </c>
      <c r="D683" s="6" t="str">
        <f aca="false">'Dish Database'!F216</f>
        <v>Non-Veg</v>
      </c>
      <c r="E683" s="6" t="str">
        <f aca="false">'Dish Database'!E216</f>
        <v>North</v>
      </c>
      <c r="F683" s="6" t="s">
        <v>2323</v>
      </c>
      <c r="G683" s="6" t="s">
        <v>2324</v>
      </c>
      <c r="H683" s="16" t="n">
        <v>350</v>
      </c>
      <c r="I683" s="6" t="str">
        <f aca="false">'Dish Database'!I216</f>
        <v>g</v>
      </c>
      <c r="J683" s="13" t="n">
        <f aca="false">'Dish Database'!J216*H683/100</f>
        <v>635.6</v>
      </c>
      <c r="K683" s="17" t="n">
        <f aca="false">'Dish Database'!K216*H683/100</f>
        <v>28</v>
      </c>
      <c r="L683" s="17" t="n">
        <f aca="false">'Dish Database'!L216*H683/100</f>
        <v>77</v>
      </c>
      <c r="M683" s="17" t="n">
        <f aca="false">'Dish Database'!M216*H683/100</f>
        <v>24.5</v>
      </c>
      <c r="N683" s="17" t="n">
        <f aca="false">'Dish Database'!N216*H683/100</f>
        <v>2.45</v>
      </c>
      <c r="O683" s="17" t="n">
        <f aca="false">'Dish Database'!O216*H683/100</f>
        <v>2.8</v>
      </c>
      <c r="P683" s="13" t="n">
        <f aca="false">'Dish Database'!P216*H683/100</f>
        <v>1225</v>
      </c>
    </row>
    <row r="684" customFormat="false" ht="15" hidden="false" customHeight="false" outlineLevel="0" collapsed="false">
      <c r="A684" s="6" t="str">
        <f aca="false">'Dish Database'!A216</f>
        <v>D215</v>
      </c>
      <c r="B684" s="6" t="str">
        <f aca="false">'Dish Database'!B216</f>
        <v>Mutton pulao / yakhni pulao</v>
      </c>
      <c r="C684" s="6" t="str">
        <f aca="false">'Dish Database'!D216</f>
        <v>Rice, Pulao &amp; Khichdi</v>
      </c>
      <c r="D684" s="6" t="str">
        <f aca="false">'Dish Database'!F216</f>
        <v>Non-Veg</v>
      </c>
      <c r="E684" s="6" t="str">
        <f aca="false">'Dish Database'!E216</f>
        <v>North</v>
      </c>
      <c r="F684" s="6" t="s">
        <v>2325</v>
      </c>
      <c r="G684" s="6" t="s">
        <v>2326</v>
      </c>
      <c r="H684" s="16" t="n">
        <v>650</v>
      </c>
      <c r="I684" s="6" t="str">
        <f aca="false">'Dish Database'!I216</f>
        <v>g</v>
      </c>
      <c r="J684" s="13" t="n">
        <f aca="false">'Dish Database'!J216*H684/100</f>
        <v>1180.4</v>
      </c>
      <c r="K684" s="17" t="n">
        <f aca="false">'Dish Database'!K216*H684/100</f>
        <v>52</v>
      </c>
      <c r="L684" s="17" t="n">
        <f aca="false">'Dish Database'!L216*H684/100</f>
        <v>143</v>
      </c>
      <c r="M684" s="17" t="n">
        <f aca="false">'Dish Database'!M216*H684/100</f>
        <v>45.5</v>
      </c>
      <c r="N684" s="17" t="n">
        <f aca="false">'Dish Database'!N216*H684/100</f>
        <v>4.55</v>
      </c>
      <c r="O684" s="17" t="n">
        <f aca="false">'Dish Database'!O216*H684/100</f>
        <v>5.2</v>
      </c>
      <c r="P684" s="13" t="n">
        <f aca="false">'Dish Database'!P216*H684/100</f>
        <v>2275</v>
      </c>
    </row>
    <row r="685" customFormat="false" ht="15" hidden="false" customHeight="false" outlineLevel="0" collapsed="false">
      <c r="A685" s="6" t="str">
        <f aca="false">'Dish Database'!A217</f>
        <v>D216</v>
      </c>
      <c r="B685" s="6" t="str">
        <f aca="false">'Dish Database'!B217</f>
        <v>Veg biryani</v>
      </c>
      <c r="C685" s="6" t="str">
        <f aca="false">'Dish Database'!D217</f>
        <v>Biryani</v>
      </c>
      <c r="D685" s="6" t="str">
        <f aca="false">'Dish Database'!F217</f>
        <v>Veg</v>
      </c>
      <c r="E685" s="6" t="str">
        <f aca="false">'Dish Database'!E217</f>
        <v>Pan-India</v>
      </c>
      <c r="F685" s="6" t="s">
        <v>2243</v>
      </c>
      <c r="G685" s="6" t="s">
        <v>2265</v>
      </c>
      <c r="H685" s="16" t="n">
        <v>200</v>
      </c>
      <c r="I685" s="6" t="str">
        <f aca="false">'Dish Database'!I217</f>
        <v>g</v>
      </c>
      <c r="J685" s="13" t="n">
        <f aca="false">'Dish Database'!J217*H685/100</f>
        <v>328</v>
      </c>
      <c r="K685" s="17" t="n">
        <f aca="false">'Dish Database'!K217*H685/100</f>
        <v>7</v>
      </c>
      <c r="L685" s="17" t="n">
        <f aca="false">'Dish Database'!L217*H685/100</f>
        <v>50</v>
      </c>
      <c r="M685" s="17" t="n">
        <f aca="false">'Dish Database'!M217*H685/100</f>
        <v>12</v>
      </c>
      <c r="N685" s="17" t="n">
        <f aca="false">'Dish Database'!N217*H685/100</f>
        <v>4</v>
      </c>
      <c r="O685" s="17" t="n">
        <f aca="false">'Dish Database'!O217*H685/100</f>
        <v>3</v>
      </c>
      <c r="P685" s="13" t="n">
        <f aca="false">'Dish Database'!P217*H685/100</f>
        <v>760</v>
      </c>
    </row>
    <row r="686" customFormat="false" ht="15" hidden="false" customHeight="false" outlineLevel="0" collapsed="false">
      <c r="A686" s="6" t="str">
        <f aca="false">'Dish Database'!A217</f>
        <v>D216</v>
      </c>
      <c r="B686" s="6" t="str">
        <f aca="false">'Dish Database'!B217</f>
        <v>Veg biryani</v>
      </c>
      <c r="C686" s="6" t="str">
        <f aca="false">'Dish Database'!D217</f>
        <v>Biryani</v>
      </c>
      <c r="D686" s="6" t="str">
        <f aca="false">'Dish Database'!F217</f>
        <v>Veg</v>
      </c>
      <c r="E686" s="6" t="str">
        <f aca="false">'Dish Database'!E217</f>
        <v>Pan-India</v>
      </c>
      <c r="F686" s="6" t="s">
        <v>103</v>
      </c>
      <c r="G686" s="6" t="s">
        <v>2266</v>
      </c>
      <c r="H686" s="16" t="n">
        <v>300</v>
      </c>
      <c r="I686" s="6" t="str">
        <f aca="false">'Dish Database'!I217</f>
        <v>g</v>
      </c>
      <c r="J686" s="13" t="n">
        <f aca="false">'Dish Database'!J217*H686/100</f>
        <v>492</v>
      </c>
      <c r="K686" s="17" t="n">
        <f aca="false">'Dish Database'!K217*H686/100</f>
        <v>10.5</v>
      </c>
      <c r="L686" s="17" t="n">
        <f aca="false">'Dish Database'!L217*H686/100</f>
        <v>75</v>
      </c>
      <c r="M686" s="17" t="n">
        <f aca="false">'Dish Database'!M217*H686/100</f>
        <v>18</v>
      </c>
      <c r="N686" s="17" t="n">
        <f aca="false">'Dish Database'!N217*H686/100</f>
        <v>6</v>
      </c>
      <c r="O686" s="17" t="n">
        <f aca="false">'Dish Database'!O217*H686/100</f>
        <v>4.5</v>
      </c>
      <c r="P686" s="13" t="n">
        <f aca="false">'Dish Database'!P217*H686/100</f>
        <v>1140</v>
      </c>
    </row>
    <row r="687" customFormat="false" ht="15" hidden="false" customHeight="false" outlineLevel="0" collapsed="false">
      <c r="A687" s="6" t="str">
        <f aca="false">'Dish Database'!A217</f>
        <v>D216</v>
      </c>
      <c r="B687" s="6" t="str">
        <f aca="false">'Dish Database'!B217</f>
        <v>Veg biryani</v>
      </c>
      <c r="C687" s="6" t="str">
        <f aca="false">'Dish Database'!D217</f>
        <v>Biryani</v>
      </c>
      <c r="D687" s="6" t="str">
        <f aca="false">'Dish Database'!F217</f>
        <v>Veg</v>
      </c>
      <c r="E687" s="6" t="str">
        <f aca="false">'Dish Database'!E217</f>
        <v>Pan-India</v>
      </c>
      <c r="F687" s="6" t="s">
        <v>2246</v>
      </c>
      <c r="G687" s="6" t="s">
        <v>2267</v>
      </c>
      <c r="H687" s="16" t="n">
        <v>400</v>
      </c>
      <c r="I687" s="6" t="str">
        <f aca="false">'Dish Database'!I217</f>
        <v>g</v>
      </c>
      <c r="J687" s="13" t="n">
        <f aca="false">'Dish Database'!J217*H687/100</f>
        <v>656</v>
      </c>
      <c r="K687" s="17" t="n">
        <f aca="false">'Dish Database'!K217*H687/100</f>
        <v>14</v>
      </c>
      <c r="L687" s="17" t="n">
        <f aca="false">'Dish Database'!L217*H687/100</f>
        <v>100</v>
      </c>
      <c r="M687" s="17" t="n">
        <f aca="false">'Dish Database'!M217*H687/100</f>
        <v>24</v>
      </c>
      <c r="N687" s="17" t="n">
        <f aca="false">'Dish Database'!N217*H687/100</f>
        <v>8</v>
      </c>
      <c r="O687" s="17" t="n">
        <f aca="false">'Dish Database'!O217*H687/100</f>
        <v>6</v>
      </c>
      <c r="P687" s="13" t="n">
        <f aca="false">'Dish Database'!P217*H687/100</f>
        <v>1520</v>
      </c>
    </row>
    <row r="688" customFormat="false" ht="15" hidden="false" customHeight="false" outlineLevel="0" collapsed="false">
      <c r="A688" s="6" t="str">
        <f aca="false">'Dish Database'!A217</f>
        <v>D216</v>
      </c>
      <c r="B688" s="6" t="str">
        <f aca="false">'Dish Database'!B217</f>
        <v>Veg biryani</v>
      </c>
      <c r="C688" s="6" t="str">
        <f aca="false">'Dish Database'!D217</f>
        <v>Biryani</v>
      </c>
      <c r="D688" s="6" t="str">
        <f aca="false">'Dish Database'!F217</f>
        <v>Veg</v>
      </c>
      <c r="E688" s="6" t="str">
        <f aca="false">'Dish Database'!E217</f>
        <v>Pan-India</v>
      </c>
      <c r="F688" s="6" t="s">
        <v>2323</v>
      </c>
      <c r="G688" s="6" t="s">
        <v>2324</v>
      </c>
      <c r="H688" s="16" t="n">
        <v>350</v>
      </c>
      <c r="I688" s="6" t="str">
        <f aca="false">'Dish Database'!I217</f>
        <v>g</v>
      </c>
      <c r="J688" s="13" t="n">
        <f aca="false">'Dish Database'!J217*H688/100</f>
        <v>574</v>
      </c>
      <c r="K688" s="17" t="n">
        <f aca="false">'Dish Database'!K217*H688/100</f>
        <v>12.25</v>
      </c>
      <c r="L688" s="17" t="n">
        <f aca="false">'Dish Database'!L217*H688/100</f>
        <v>87.5</v>
      </c>
      <c r="M688" s="17" t="n">
        <f aca="false">'Dish Database'!M217*H688/100</f>
        <v>21</v>
      </c>
      <c r="N688" s="17" t="n">
        <f aca="false">'Dish Database'!N217*H688/100</f>
        <v>7</v>
      </c>
      <c r="O688" s="17" t="n">
        <f aca="false">'Dish Database'!O217*H688/100</f>
        <v>5.25</v>
      </c>
      <c r="P688" s="13" t="n">
        <f aca="false">'Dish Database'!P217*H688/100</f>
        <v>1330</v>
      </c>
    </row>
    <row r="689" customFormat="false" ht="15" hidden="false" customHeight="false" outlineLevel="0" collapsed="false">
      <c r="A689" s="6" t="str">
        <f aca="false">'Dish Database'!A217</f>
        <v>D216</v>
      </c>
      <c r="B689" s="6" t="str">
        <f aca="false">'Dish Database'!B217</f>
        <v>Veg biryani</v>
      </c>
      <c r="C689" s="6" t="str">
        <f aca="false">'Dish Database'!D217</f>
        <v>Biryani</v>
      </c>
      <c r="D689" s="6" t="str">
        <f aca="false">'Dish Database'!F217</f>
        <v>Veg</v>
      </c>
      <c r="E689" s="6" t="str">
        <f aca="false">'Dish Database'!E217</f>
        <v>Pan-India</v>
      </c>
      <c r="F689" s="6" t="s">
        <v>2325</v>
      </c>
      <c r="G689" s="6" t="s">
        <v>2326</v>
      </c>
      <c r="H689" s="16" t="n">
        <v>650</v>
      </c>
      <c r="I689" s="6" t="str">
        <f aca="false">'Dish Database'!I217</f>
        <v>g</v>
      </c>
      <c r="J689" s="13" t="n">
        <f aca="false">'Dish Database'!J217*H689/100</f>
        <v>1066</v>
      </c>
      <c r="K689" s="17" t="n">
        <f aca="false">'Dish Database'!K217*H689/100</f>
        <v>22.75</v>
      </c>
      <c r="L689" s="17" t="n">
        <f aca="false">'Dish Database'!L217*H689/100</f>
        <v>162.5</v>
      </c>
      <c r="M689" s="17" t="n">
        <f aca="false">'Dish Database'!M217*H689/100</f>
        <v>39</v>
      </c>
      <c r="N689" s="17" t="n">
        <f aca="false">'Dish Database'!N217*H689/100</f>
        <v>13</v>
      </c>
      <c r="O689" s="17" t="n">
        <f aca="false">'Dish Database'!O217*H689/100</f>
        <v>9.75</v>
      </c>
      <c r="P689" s="13" t="n">
        <f aca="false">'Dish Database'!P217*H689/100</f>
        <v>2470</v>
      </c>
    </row>
    <row r="690" customFormat="false" ht="15" hidden="false" customHeight="false" outlineLevel="0" collapsed="false">
      <c r="A690" s="6" t="str">
        <f aca="false">'Dish Database'!A218</f>
        <v>D217</v>
      </c>
      <c r="B690" s="6" t="str">
        <f aca="false">'Dish Database'!B218</f>
        <v>Paneer biryani</v>
      </c>
      <c r="C690" s="6" t="str">
        <f aca="false">'Dish Database'!D218</f>
        <v>Biryani</v>
      </c>
      <c r="D690" s="6" t="str">
        <f aca="false">'Dish Database'!F218</f>
        <v>Veg</v>
      </c>
      <c r="E690" s="6" t="str">
        <f aca="false">'Dish Database'!E218</f>
        <v>Pan-India</v>
      </c>
      <c r="F690" s="6" t="s">
        <v>2243</v>
      </c>
      <c r="G690" s="6" t="s">
        <v>2265</v>
      </c>
      <c r="H690" s="16" t="n">
        <v>200</v>
      </c>
      <c r="I690" s="6" t="str">
        <f aca="false">'Dish Database'!I218</f>
        <v>g</v>
      </c>
      <c r="J690" s="13" t="n">
        <f aca="false">'Dish Database'!J218*H690/100</f>
        <v>378</v>
      </c>
      <c r="K690" s="17" t="n">
        <f aca="false">'Dish Database'!K218*H690/100</f>
        <v>12</v>
      </c>
      <c r="L690" s="17" t="n">
        <f aca="false">'Dish Database'!L218*H690/100</f>
        <v>48</v>
      </c>
      <c r="M690" s="17" t="n">
        <f aca="false">'Dish Database'!M218*H690/100</f>
        <v>16</v>
      </c>
      <c r="N690" s="17" t="n">
        <f aca="false">'Dish Database'!N218*H690/100</f>
        <v>3</v>
      </c>
      <c r="O690" s="17" t="n">
        <f aca="false">'Dish Database'!O218*H690/100</f>
        <v>3</v>
      </c>
      <c r="P690" s="13" t="n">
        <f aca="false">'Dish Database'!P218*H690/100</f>
        <v>800</v>
      </c>
    </row>
    <row r="691" customFormat="false" ht="15" hidden="false" customHeight="false" outlineLevel="0" collapsed="false">
      <c r="A691" s="6" t="str">
        <f aca="false">'Dish Database'!A218</f>
        <v>D217</v>
      </c>
      <c r="B691" s="6" t="str">
        <f aca="false">'Dish Database'!B218</f>
        <v>Paneer biryani</v>
      </c>
      <c r="C691" s="6" t="str">
        <f aca="false">'Dish Database'!D218</f>
        <v>Biryani</v>
      </c>
      <c r="D691" s="6" t="str">
        <f aca="false">'Dish Database'!F218</f>
        <v>Veg</v>
      </c>
      <c r="E691" s="6" t="str">
        <f aca="false">'Dish Database'!E218</f>
        <v>Pan-India</v>
      </c>
      <c r="F691" s="6" t="s">
        <v>103</v>
      </c>
      <c r="G691" s="6" t="s">
        <v>2266</v>
      </c>
      <c r="H691" s="16" t="n">
        <v>300</v>
      </c>
      <c r="I691" s="6" t="str">
        <f aca="false">'Dish Database'!I218</f>
        <v>g</v>
      </c>
      <c r="J691" s="13" t="n">
        <f aca="false">'Dish Database'!J218*H691/100</f>
        <v>567</v>
      </c>
      <c r="K691" s="17" t="n">
        <f aca="false">'Dish Database'!K218*H691/100</f>
        <v>18</v>
      </c>
      <c r="L691" s="17" t="n">
        <f aca="false">'Dish Database'!L218*H691/100</f>
        <v>72</v>
      </c>
      <c r="M691" s="17" t="n">
        <f aca="false">'Dish Database'!M218*H691/100</f>
        <v>24</v>
      </c>
      <c r="N691" s="17" t="n">
        <f aca="false">'Dish Database'!N218*H691/100</f>
        <v>4.5</v>
      </c>
      <c r="O691" s="17" t="n">
        <f aca="false">'Dish Database'!O218*H691/100</f>
        <v>4.5</v>
      </c>
      <c r="P691" s="13" t="n">
        <f aca="false">'Dish Database'!P218*H691/100</f>
        <v>1200</v>
      </c>
    </row>
    <row r="692" customFormat="false" ht="15" hidden="false" customHeight="false" outlineLevel="0" collapsed="false">
      <c r="A692" s="6" t="str">
        <f aca="false">'Dish Database'!A218</f>
        <v>D217</v>
      </c>
      <c r="B692" s="6" t="str">
        <f aca="false">'Dish Database'!B218</f>
        <v>Paneer biryani</v>
      </c>
      <c r="C692" s="6" t="str">
        <f aca="false">'Dish Database'!D218</f>
        <v>Biryani</v>
      </c>
      <c r="D692" s="6" t="str">
        <f aca="false">'Dish Database'!F218</f>
        <v>Veg</v>
      </c>
      <c r="E692" s="6" t="str">
        <f aca="false">'Dish Database'!E218</f>
        <v>Pan-India</v>
      </c>
      <c r="F692" s="6" t="s">
        <v>2246</v>
      </c>
      <c r="G692" s="6" t="s">
        <v>2267</v>
      </c>
      <c r="H692" s="16" t="n">
        <v>400</v>
      </c>
      <c r="I692" s="6" t="str">
        <f aca="false">'Dish Database'!I218</f>
        <v>g</v>
      </c>
      <c r="J692" s="13" t="n">
        <f aca="false">'Dish Database'!J218*H692/100</f>
        <v>756</v>
      </c>
      <c r="K692" s="17" t="n">
        <f aca="false">'Dish Database'!K218*H692/100</f>
        <v>24</v>
      </c>
      <c r="L692" s="17" t="n">
        <f aca="false">'Dish Database'!L218*H692/100</f>
        <v>96</v>
      </c>
      <c r="M692" s="17" t="n">
        <f aca="false">'Dish Database'!M218*H692/100</f>
        <v>32</v>
      </c>
      <c r="N692" s="17" t="n">
        <f aca="false">'Dish Database'!N218*H692/100</f>
        <v>6</v>
      </c>
      <c r="O692" s="17" t="n">
        <f aca="false">'Dish Database'!O218*H692/100</f>
        <v>6</v>
      </c>
      <c r="P692" s="13" t="n">
        <f aca="false">'Dish Database'!P218*H692/100</f>
        <v>1600</v>
      </c>
    </row>
    <row r="693" customFormat="false" ht="15" hidden="false" customHeight="false" outlineLevel="0" collapsed="false">
      <c r="A693" s="6" t="str">
        <f aca="false">'Dish Database'!A218</f>
        <v>D217</v>
      </c>
      <c r="B693" s="6" t="str">
        <f aca="false">'Dish Database'!B218</f>
        <v>Paneer biryani</v>
      </c>
      <c r="C693" s="6" t="str">
        <f aca="false">'Dish Database'!D218</f>
        <v>Biryani</v>
      </c>
      <c r="D693" s="6" t="str">
        <f aca="false">'Dish Database'!F218</f>
        <v>Veg</v>
      </c>
      <c r="E693" s="6" t="str">
        <f aca="false">'Dish Database'!E218</f>
        <v>Pan-India</v>
      </c>
      <c r="F693" s="6" t="s">
        <v>2323</v>
      </c>
      <c r="G693" s="6" t="s">
        <v>2324</v>
      </c>
      <c r="H693" s="16" t="n">
        <v>350</v>
      </c>
      <c r="I693" s="6" t="str">
        <f aca="false">'Dish Database'!I218</f>
        <v>g</v>
      </c>
      <c r="J693" s="13" t="n">
        <f aca="false">'Dish Database'!J218*H693/100</f>
        <v>661.5</v>
      </c>
      <c r="K693" s="17" t="n">
        <f aca="false">'Dish Database'!K218*H693/100</f>
        <v>21</v>
      </c>
      <c r="L693" s="17" t="n">
        <f aca="false">'Dish Database'!L218*H693/100</f>
        <v>84</v>
      </c>
      <c r="M693" s="17" t="n">
        <f aca="false">'Dish Database'!M218*H693/100</f>
        <v>28</v>
      </c>
      <c r="N693" s="17" t="n">
        <f aca="false">'Dish Database'!N218*H693/100</f>
        <v>5.25</v>
      </c>
      <c r="O693" s="17" t="n">
        <f aca="false">'Dish Database'!O218*H693/100</f>
        <v>5.25</v>
      </c>
      <c r="P693" s="13" t="n">
        <f aca="false">'Dish Database'!P218*H693/100</f>
        <v>1400</v>
      </c>
    </row>
    <row r="694" customFormat="false" ht="15" hidden="false" customHeight="false" outlineLevel="0" collapsed="false">
      <c r="A694" s="6" t="str">
        <f aca="false">'Dish Database'!A218</f>
        <v>D217</v>
      </c>
      <c r="B694" s="6" t="str">
        <f aca="false">'Dish Database'!B218</f>
        <v>Paneer biryani</v>
      </c>
      <c r="C694" s="6" t="str">
        <f aca="false">'Dish Database'!D218</f>
        <v>Biryani</v>
      </c>
      <c r="D694" s="6" t="str">
        <f aca="false">'Dish Database'!F218</f>
        <v>Veg</v>
      </c>
      <c r="E694" s="6" t="str">
        <f aca="false">'Dish Database'!E218</f>
        <v>Pan-India</v>
      </c>
      <c r="F694" s="6" t="s">
        <v>2325</v>
      </c>
      <c r="G694" s="6" t="s">
        <v>2326</v>
      </c>
      <c r="H694" s="16" t="n">
        <v>650</v>
      </c>
      <c r="I694" s="6" t="str">
        <f aca="false">'Dish Database'!I218</f>
        <v>g</v>
      </c>
      <c r="J694" s="13" t="n">
        <f aca="false">'Dish Database'!J218*H694/100</f>
        <v>1228.5</v>
      </c>
      <c r="K694" s="17" t="n">
        <f aca="false">'Dish Database'!K218*H694/100</f>
        <v>39</v>
      </c>
      <c r="L694" s="17" t="n">
        <f aca="false">'Dish Database'!L218*H694/100</f>
        <v>156</v>
      </c>
      <c r="M694" s="17" t="n">
        <f aca="false">'Dish Database'!M218*H694/100</f>
        <v>52</v>
      </c>
      <c r="N694" s="17" t="n">
        <f aca="false">'Dish Database'!N218*H694/100</f>
        <v>9.75</v>
      </c>
      <c r="O694" s="17" t="n">
        <f aca="false">'Dish Database'!O218*H694/100</f>
        <v>9.75</v>
      </c>
      <c r="P694" s="13" t="n">
        <f aca="false">'Dish Database'!P218*H694/100</f>
        <v>2600</v>
      </c>
    </row>
    <row r="695" customFormat="false" ht="15" hidden="false" customHeight="false" outlineLevel="0" collapsed="false">
      <c r="A695" s="6" t="str">
        <f aca="false">'Dish Database'!A219</f>
        <v>D218</v>
      </c>
      <c r="B695" s="6" t="str">
        <f aca="false">'Dish Database'!B219</f>
        <v>Mushroom biryani</v>
      </c>
      <c r="C695" s="6" t="str">
        <f aca="false">'Dish Database'!D219</f>
        <v>Biryani</v>
      </c>
      <c r="D695" s="6" t="str">
        <f aca="false">'Dish Database'!F219</f>
        <v>Veg</v>
      </c>
      <c r="E695" s="6" t="str">
        <f aca="false">'Dish Database'!E219</f>
        <v>Pan-India</v>
      </c>
      <c r="F695" s="6" t="s">
        <v>2243</v>
      </c>
      <c r="G695" s="6" t="s">
        <v>2265</v>
      </c>
      <c r="H695" s="16" t="n">
        <v>200</v>
      </c>
      <c r="I695" s="6" t="str">
        <f aca="false">'Dish Database'!I219</f>
        <v>g</v>
      </c>
      <c r="J695" s="13" t="n">
        <f aca="false">'Dish Database'!J219*H695/100</f>
        <v>331.2</v>
      </c>
      <c r="K695" s="17" t="n">
        <f aca="false">'Dish Database'!K219*H695/100</f>
        <v>7.6</v>
      </c>
      <c r="L695" s="17" t="n">
        <f aca="false">'Dish Database'!L219*H695/100</f>
        <v>50</v>
      </c>
      <c r="M695" s="17" t="n">
        <f aca="false">'Dish Database'!M219*H695/100</f>
        <v>12</v>
      </c>
      <c r="N695" s="17" t="n">
        <f aca="false">'Dish Database'!N219*H695/100</f>
        <v>3.6</v>
      </c>
      <c r="O695" s="17" t="n">
        <f aca="false">'Dish Database'!O219*H695/100</f>
        <v>3</v>
      </c>
      <c r="P695" s="13" t="n">
        <f aca="false">'Dish Database'!P219*H695/100</f>
        <v>760</v>
      </c>
    </row>
    <row r="696" customFormat="false" ht="15" hidden="false" customHeight="false" outlineLevel="0" collapsed="false">
      <c r="A696" s="6" t="str">
        <f aca="false">'Dish Database'!A219</f>
        <v>D218</v>
      </c>
      <c r="B696" s="6" t="str">
        <f aca="false">'Dish Database'!B219</f>
        <v>Mushroom biryani</v>
      </c>
      <c r="C696" s="6" t="str">
        <f aca="false">'Dish Database'!D219</f>
        <v>Biryani</v>
      </c>
      <c r="D696" s="6" t="str">
        <f aca="false">'Dish Database'!F219</f>
        <v>Veg</v>
      </c>
      <c r="E696" s="6" t="str">
        <f aca="false">'Dish Database'!E219</f>
        <v>Pan-India</v>
      </c>
      <c r="F696" s="6" t="s">
        <v>103</v>
      </c>
      <c r="G696" s="6" t="s">
        <v>2266</v>
      </c>
      <c r="H696" s="16" t="n">
        <v>300</v>
      </c>
      <c r="I696" s="6" t="str">
        <f aca="false">'Dish Database'!I219</f>
        <v>g</v>
      </c>
      <c r="J696" s="13" t="n">
        <f aca="false">'Dish Database'!J219*H696/100</f>
        <v>496.8</v>
      </c>
      <c r="K696" s="17" t="n">
        <f aca="false">'Dish Database'!K219*H696/100</f>
        <v>11.4</v>
      </c>
      <c r="L696" s="17" t="n">
        <f aca="false">'Dish Database'!L219*H696/100</f>
        <v>75</v>
      </c>
      <c r="M696" s="17" t="n">
        <f aca="false">'Dish Database'!M219*H696/100</f>
        <v>18</v>
      </c>
      <c r="N696" s="17" t="n">
        <f aca="false">'Dish Database'!N219*H696/100</f>
        <v>5.4</v>
      </c>
      <c r="O696" s="17" t="n">
        <f aca="false">'Dish Database'!O219*H696/100</f>
        <v>4.5</v>
      </c>
      <c r="P696" s="13" t="n">
        <f aca="false">'Dish Database'!P219*H696/100</f>
        <v>1140</v>
      </c>
    </row>
    <row r="697" customFormat="false" ht="15" hidden="false" customHeight="false" outlineLevel="0" collapsed="false">
      <c r="A697" s="6" t="str">
        <f aca="false">'Dish Database'!A219</f>
        <v>D218</v>
      </c>
      <c r="B697" s="6" t="str">
        <f aca="false">'Dish Database'!B219</f>
        <v>Mushroom biryani</v>
      </c>
      <c r="C697" s="6" t="str">
        <f aca="false">'Dish Database'!D219</f>
        <v>Biryani</v>
      </c>
      <c r="D697" s="6" t="str">
        <f aca="false">'Dish Database'!F219</f>
        <v>Veg</v>
      </c>
      <c r="E697" s="6" t="str">
        <f aca="false">'Dish Database'!E219</f>
        <v>Pan-India</v>
      </c>
      <c r="F697" s="6" t="s">
        <v>2246</v>
      </c>
      <c r="G697" s="6" t="s">
        <v>2267</v>
      </c>
      <c r="H697" s="16" t="n">
        <v>400</v>
      </c>
      <c r="I697" s="6" t="str">
        <f aca="false">'Dish Database'!I219</f>
        <v>g</v>
      </c>
      <c r="J697" s="13" t="n">
        <f aca="false">'Dish Database'!J219*H697/100</f>
        <v>662.4</v>
      </c>
      <c r="K697" s="17" t="n">
        <f aca="false">'Dish Database'!K219*H697/100</f>
        <v>15.2</v>
      </c>
      <c r="L697" s="17" t="n">
        <f aca="false">'Dish Database'!L219*H697/100</f>
        <v>100</v>
      </c>
      <c r="M697" s="17" t="n">
        <f aca="false">'Dish Database'!M219*H697/100</f>
        <v>24</v>
      </c>
      <c r="N697" s="17" t="n">
        <f aca="false">'Dish Database'!N219*H697/100</f>
        <v>7.2</v>
      </c>
      <c r="O697" s="17" t="n">
        <f aca="false">'Dish Database'!O219*H697/100</f>
        <v>6</v>
      </c>
      <c r="P697" s="13" t="n">
        <f aca="false">'Dish Database'!P219*H697/100</f>
        <v>1520</v>
      </c>
    </row>
    <row r="698" customFormat="false" ht="15" hidden="false" customHeight="false" outlineLevel="0" collapsed="false">
      <c r="A698" s="6" t="str">
        <f aca="false">'Dish Database'!A219</f>
        <v>D218</v>
      </c>
      <c r="B698" s="6" t="str">
        <f aca="false">'Dish Database'!B219</f>
        <v>Mushroom biryani</v>
      </c>
      <c r="C698" s="6" t="str">
        <f aca="false">'Dish Database'!D219</f>
        <v>Biryani</v>
      </c>
      <c r="D698" s="6" t="str">
        <f aca="false">'Dish Database'!F219</f>
        <v>Veg</v>
      </c>
      <c r="E698" s="6" t="str">
        <f aca="false">'Dish Database'!E219</f>
        <v>Pan-India</v>
      </c>
      <c r="F698" s="6" t="s">
        <v>2323</v>
      </c>
      <c r="G698" s="6" t="s">
        <v>2324</v>
      </c>
      <c r="H698" s="16" t="n">
        <v>350</v>
      </c>
      <c r="I698" s="6" t="str">
        <f aca="false">'Dish Database'!I219</f>
        <v>g</v>
      </c>
      <c r="J698" s="13" t="n">
        <f aca="false">'Dish Database'!J219*H698/100</f>
        <v>579.6</v>
      </c>
      <c r="K698" s="17" t="n">
        <f aca="false">'Dish Database'!K219*H698/100</f>
        <v>13.3</v>
      </c>
      <c r="L698" s="17" t="n">
        <f aca="false">'Dish Database'!L219*H698/100</f>
        <v>87.5</v>
      </c>
      <c r="M698" s="17" t="n">
        <f aca="false">'Dish Database'!M219*H698/100</f>
        <v>21</v>
      </c>
      <c r="N698" s="17" t="n">
        <f aca="false">'Dish Database'!N219*H698/100</f>
        <v>6.3</v>
      </c>
      <c r="O698" s="17" t="n">
        <f aca="false">'Dish Database'!O219*H698/100</f>
        <v>5.25</v>
      </c>
      <c r="P698" s="13" t="n">
        <f aca="false">'Dish Database'!P219*H698/100</f>
        <v>1330</v>
      </c>
    </row>
    <row r="699" customFormat="false" ht="15" hidden="false" customHeight="false" outlineLevel="0" collapsed="false">
      <c r="A699" s="6" t="str">
        <f aca="false">'Dish Database'!A219</f>
        <v>D218</v>
      </c>
      <c r="B699" s="6" t="str">
        <f aca="false">'Dish Database'!B219</f>
        <v>Mushroom biryani</v>
      </c>
      <c r="C699" s="6" t="str">
        <f aca="false">'Dish Database'!D219</f>
        <v>Biryani</v>
      </c>
      <c r="D699" s="6" t="str">
        <f aca="false">'Dish Database'!F219</f>
        <v>Veg</v>
      </c>
      <c r="E699" s="6" t="str">
        <f aca="false">'Dish Database'!E219</f>
        <v>Pan-India</v>
      </c>
      <c r="F699" s="6" t="s">
        <v>2325</v>
      </c>
      <c r="G699" s="6" t="s">
        <v>2326</v>
      </c>
      <c r="H699" s="16" t="n">
        <v>650</v>
      </c>
      <c r="I699" s="6" t="str">
        <f aca="false">'Dish Database'!I219</f>
        <v>g</v>
      </c>
      <c r="J699" s="13" t="n">
        <f aca="false">'Dish Database'!J219*H699/100</f>
        <v>1076.4</v>
      </c>
      <c r="K699" s="17" t="n">
        <f aca="false">'Dish Database'!K219*H699/100</f>
        <v>24.7</v>
      </c>
      <c r="L699" s="17" t="n">
        <f aca="false">'Dish Database'!L219*H699/100</f>
        <v>162.5</v>
      </c>
      <c r="M699" s="17" t="n">
        <f aca="false">'Dish Database'!M219*H699/100</f>
        <v>39</v>
      </c>
      <c r="N699" s="17" t="n">
        <f aca="false">'Dish Database'!N219*H699/100</f>
        <v>11.7</v>
      </c>
      <c r="O699" s="17" t="n">
        <f aca="false">'Dish Database'!O219*H699/100</f>
        <v>9.75</v>
      </c>
      <c r="P699" s="13" t="n">
        <f aca="false">'Dish Database'!P219*H699/100</f>
        <v>2470</v>
      </c>
    </row>
    <row r="700" customFormat="false" ht="15" hidden="false" customHeight="false" outlineLevel="0" collapsed="false">
      <c r="A700" s="6" t="str">
        <f aca="false">'Dish Database'!A220</f>
        <v>D219</v>
      </c>
      <c r="B700" s="6" t="str">
        <f aca="false">'Dish Database'!B220</f>
        <v>Chicken biryani</v>
      </c>
      <c r="C700" s="6" t="str">
        <f aca="false">'Dish Database'!D220</f>
        <v>Biryani</v>
      </c>
      <c r="D700" s="6" t="str">
        <f aca="false">'Dish Database'!F220</f>
        <v>Non-Veg</v>
      </c>
      <c r="E700" s="6" t="str">
        <f aca="false">'Dish Database'!E220</f>
        <v>Pan-India</v>
      </c>
      <c r="F700" s="6" t="s">
        <v>2243</v>
      </c>
      <c r="G700" s="6" t="s">
        <v>2265</v>
      </c>
      <c r="H700" s="16" t="n">
        <v>200</v>
      </c>
      <c r="I700" s="6" t="str">
        <f aca="false">'Dish Database'!I220</f>
        <v>g</v>
      </c>
      <c r="J700" s="13" t="n">
        <f aca="false">'Dish Database'!J220*H700/100</f>
        <v>369.8</v>
      </c>
      <c r="K700" s="17" t="n">
        <f aca="false">'Dish Database'!K220*H700/100</f>
        <v>18</v>
      </c>
      <c r="L700" s="17" t="n">
        <f aca="false">'Dish Database'!L220*H700/100</f>
        <v>46</v>
      </c>
      <c r="M700" s="17" t="n">
        <f aca="false">'Dish Database'!M220*H700/100</f>
        <v>13</v>
      </c>
      <c r="N700" s="17" t="n">
        <f aca="false">'Dish Database'!N220*H700/100</f>
        <v>1.6</v>
      </c>
      <c r="O700" s="17" t="n">
        <f aca="false">'Dish Database'!O220*H700/100</f>
        <v>2</v>
      </c>
      <c r="P700" s="13" t="n">
        <f aca="false">'Dish Database'!P220*H700/100</f>
        <v>840</v>
      </c>
    </row>
    <row r="701" customFormat="false" ht="15" hidden="false" customHeight="false" outlineLevel="0" collapsed="false">
      <c r="A701" s="6" t="str">
        <f aca="false">'Dish Database'!A220</f>
        <v>D219</v>
      </c>
      <c r="B701" s="6" t="str">
        <f aca="false">'Dish Database'!B220</f>
        <v>Chicken biryani</v>
      </c>
      <c r="C701" s="6" t="str">
        <f aca="false">'Dish Database'!D220</f>
        <v>Biryani</v>
      </c>
      <c r="D701" s="6" t="str">
        <f aca="false">'Dish Database'!F220</f>
        <v>Non-Veg</v>
      </c>
      <c r="E701" s="6" t="str">
        <f aca="false">'Dish Database'!E220</f>
        <v>Pan-India</v>
      </c>
      <c r="F701" s="6" t="s">
        <v>103</v>
      </c>
      <c r="G701" s="6" t="s">
        <v>2266</v>
      </c>
      <c r="H701" s="16" t="n">
        <v>300</v>
      </c>
      <c r="I701" s="6" t="str">
        <f aca="false">'Dish Database'!I220</f>
        <v>g</v>
      </c>
      <c r="J701" s="13" t="n">
        <f aca="false">'Dish Database'!J220*H701/100</f>
        <v>554.7</v>
      </c>
      <c r="K701" s="17" t="n">
        <f aca="false">'Dish Database'!K220*H701/100</f>
        <v>27</v>
      </c>
      <c r="L701" s="17" t="n">
        <f aca="false">'Dish Database'!L220*H701/100</f>
        <v>69</v>
      </c>
      <c r="M701" s="17" t="n">
        <f aca="false">'Dish Database'!M220*H701/100</f>
        <v>19.5</v>
      </c>
      <c r="N701" s="17" t="n">
        <f aca="false">'Dish Database'!N220*H701/100</f>
        <v>2.4</v>
      </c>
      <c r="O701" s="17" t="n">
        <f aca="false">'Dish Database'!O220*H701/100</f>
        <v>3</v>
      </c>
      <c r="P701" s="13" t="n">
        <f aca="false">'Dish Database'!P220*H701/100</f>
        <v>1260</v>
      </c>
    </row>
    <row r="702" customFormat="false" ht="15" hidden="false" customHeight="false" outlineLevel="0" collapsed="false">
      <c r="A702" s="6" t="str">
        <f aca="false">'Dish Database'!A220</f>
        <v>D219</v>
      </c>
      <c r="B702" s="6" t="str">
        <f aca="false">'Dish Database'!B220</f>
        <v>Chicken biryani</v>
      </c>
      <c r="C702" s="6" t="str">
        <f aca="false">'Dish Database'!D220</f>
        <v>Biryani</v>
      </c>
      <c r="D702" s="6" t="str">
        <f aca="false">'Dish Database'!F220</f>
        <v>Non-Veg</v>
      </c>
      <c r="E702" s="6" t="str">
        <f aca="false">'Dish Database'!E220</f>
        <v>Pan-India</v>
      </c>
      <c r="F702" s="6" t="s">
        <v>2246</v>
      </c>
      <c r="G702" s="6" t="s">
        <v>2267</v>
      </c>
      <c r="H702" s="16" t="n">
        <v>400</v>
      </c>
      <c r="I702" s="6" t="str">
        <f aca="false">'Dish Database'!I220</f>
        <v>g</v>
      </c>
      <c r="J702" s="13" t="n">
        <f aca="false">'Dish Database'!J220*H702/100</f>
        <v>739.6</v>
      </c>
      <c r="K702" s="17" t="n">
        <f aca="false">'Dish Database'!K220*H702/100</f>
        <v>36</v>
      </c>
      <c r="L702" s="17" t="n">
        <f aca="false">'Dish Database'!L220*H702/100</f>
        <v>92</v>
      </c>
      <c r="M702" s="17" t="n">
        <f aca="false">'Dish Database'!M220*H702/100</f>
        <v>26</v>
      </c>
      <c r="N702" s="17" t="n">
        <f aca="false">'Dish Database'!N220*H702/100</f>
        <v>3.2</v>
      </c>
      <c r="O702" s="17" t="n">
        <f aca="false">'Dish Database'!O220*H702/100</f>
        <v>4</v>
      </c>
      <c r="P702" s="13" t="n">
        <f aca="false">'Dish Database'!P220*H702/100</f>
        <v>1680</v>
      </c>
    </row>
    <row r="703" customFormat="false" ht="15" hidden="false" customHeight="false" outlineLevel="0" collapsed="false">
      <c r="A703" s="6" t="str">
        <f aca="false">'Dish Database'!A220</f>
        <v>D219</v>
      </c>
      <c r="B703" s="6" t="str">
        <f aca="false">'Dish Database'!B220</f>
        <v>Chicken biryani</v>
      </c>
      <c r="C703" s="6" t="str">
        <f aca="false">'Dish Database'!D220</f>
        <v>Biryani</v>
      </c>
      <c r="D703" s="6" t="str">
        <f aca="false">'Dish Database'!F220</f>
        <v>Non-Veg</v>
      </c>
      <c r="E703" s="6" t="str">
        <f aca="false">'Dish Database'!E220</f>
        <v>Pan-India</v>
      </c>
      <c r="F703" s="6" t="s">
        <v>2323</v>
      </c>
      <c r="G703" s="6" t="s">
        <v>2324</v>
      </c>
      <c r="H703" s="16" t="n">
        <v>350</v>
      </c>
      <c r="I703" s="6" t="str">
        <f aca="false">'Dish Database'!I220</f>
        <v>g</v>
      </c>
      <c r="J703" s="13" t="n">
        <f aca="false">'Dish Database'!J220*H703/100</f>
        <v>647.15</v>
      </c>
      <c r="K703" s="17" t="n">
        <f aca="false">'Dish Database'!K220*H703/100</f>
        <v>31.5</v>
      </c>
      <c r="L703" s="17" t="n">
        <f aca="false">'Dish Database'!L220*H703/100</f>
        <v>80.5</v>
      </c>
      <c r="M703" s="17" t="n">
        <f aca="false">'Dish Database'!M220*H703/100</f>
        <v>22.75</v>
      </c>
      <c r="N703" s="17" t="n">
        <f aca="false">'Dish Database'!N220*H703/100</f>
        <v>2.8</v>
      </c>
      <c r="O703" s="17" t="n">
        <f aca="false">'Dish Database'!O220*H703/100</f>
        <v>3.5</v>
      </c>
      <c r="P703" s="13" t="n">
        <f aca="false">'Dish Database'!P220*H703/100</f>
        <v>1470</v>
      </c>
    </row>
    <row r="704" customFormat="false" ht="15" hidden="false" customHeight="false" outlineLevel="0" collapsed="false">
      <c r="A704" s="6" t="str">
        <f aca="false">'Dish Database'!A220</f>
        <v>D219</v>
      </c>
      <c r="B704" s="6" t="str">
        <f aca="false">'Dish Database'!B220</f>
        <v>Chicken biryani</v>
      </c>
      <c r="C704" s="6" t="str">
        <f aca="false">'Dish Database'!D220</f>
        <v>Biryani</v>
      </c>
      <c r="D704" s="6" t="str">
        <f aca="false">'Dish Database'!F220</f>
        <v>Non-Veg</v>
      </c>
      <c r="E704" s="6" t="str">
        <f aca="false">'Dish Database'!E220</f>
        <v>Pan-India</v>
      </c>
      <c r="F704" s="6" t="s">
        <v>2325</v>
      </c>
      <c r="G704" s="6" t="s">
        <v>2326</v>
      </c>
      <c r="H704" s="16" t="n">
        <v>650</v>
      </c>
      <c r="I704" s="6" t="str">
        <f aca="false">'Dish Database'!I220</f>
        <v>g</v>
      </c>
      <c r="J704" s="13" t="n">
        <f aca="false">'Dish Database'!J220*H704/100</f>
        <v>1201.85</v>
      </c>
      <c r="K704" s="17" t="n">
        <f aca="false">'Dish Database'!K220*H704/100</f>
        <v>58.5</v>
      </c>
      <c r="L704" s="17" t="n">
        <f aca="false">'Dish Database'!L220*H704/100</f>
        <v>149.5</v>
      </c>
      <c r="M704" s="17" t="n">
        <f aca="false">'Dish Database'!M220*H704/100</f>
        <v>42.25</v>
      </c>
      <c r="N704" s="17" t="n">
        <f aca="false">'Dish Database'!N220*H704/100</f>
        <v>5.2</v>
      </c>
      <c r="O704" s="17" t="n">
        <f aca="false">'Dish Database'!O220*H704/100</f>
        <v>6.5</v>
      </c>
      <c r="P704" s="13" t="n">
        <f aca="false">'Dish Database'!P220*H704/100</f>
        <v>2730</v>
      </c>
    </row>
    <row r="705" customFormat="false" ht="15" hidden="false" customHeight="false" outlineLevel="0" collapsed="false">
      <c r="A705" s="6" t="str">
        <f aca="false">'Dish Database'!A221</f>
        <v>D220</v>
      </c>
      <c r="B705" s="6" t="str">
        <f aca="false">'Dish Database'!B221</f>
        <v>Hyderabadi chicken dum biryani</v>
      </c>
      <c r="C705" s="6" t="str">
        <f aca="false">'Dish Database'!D221</f>
        <v>Biryani</v>
      </c>
      <c r="D705" s="6" t="str">
        <f aca="false">'Dish Database'!F221</f>
        <v>Non-Veg</v>
      </c>
      <c r="E705" s="6" t="str">
        <f aca="false">'Dish Database'!E221</f>
        <v>South</v>
      </c>
      <c r="F705" s="6" t="s">
        <v>2243</v>
      </c>
      <c r="G705" s="6" t="s">
        <v>2265</v>
      </c>
      <c r="H705" s="16" t="n">
        <v>200</v>
      </c>
      <c r="I705" s="6" t="str">
        <f aca="false">'Dish Database'!I221</f>
        <v>g</v>
      </c>
      <c r="J705" s="13" t="n">
        <f aca="false">'Dish Database'!J221*H705/100</f>
        <v>388.8</v>
      </c>
      <c r="K705" s="17" t="n">
        <f aca="false">'Dish Database'!K221*H705/100</f>
        <v>18</v>
      </c>
      <c r="L705" s="17" t="n">
        <f aca="false">'Dish Database'!L221*H705/100</f>
        <v>44</v>
      </c>
      <c r="M705" s="17" t="n">
        <f aca="false">'Dish Database'!M221*H705/100</f>
        <v>16</v>
      </c>
      <c r="N705" s="17" t="n">
        <f aca="false">'Dish Database'!N221*H705/100</f>
        <v>1.6</v>
      </c>
      <c r="O705" s="17" t="n">
        <f aca="false">'Dish Database'!O221*H705/100</f>
        <v>2</v>
      </c>
      <c r="P705" s="13" t="n">
        <f aca="false">'Dish Database'!P221*H705/100</f>
        <v>840</v>
      </c>
    </row>
    <row r="706" customFormat="false" ht="15" hidden="false" customHeight="false" outlineLevel="0" collapsed="false">
      <c r="A706" s="6" t="str">
        <f aca="false">'Dish Database'!A221</f>
        <v>D220</v>
      </c>
      <c r="B706" s="6" t="str">
        <f aca="false">'Dish Database'!B221</f>
        <v>Hyderabadi chicken dum biryani</v>
      </c>
      <c r="C706" s="6" t="str">
        <f aca="false">'Dish Database'!D221</f>
        <v>Biryani</v>
      </c>
      <c r="D706" s="6" t="str">
        <f aca="false">'Dish Database'!F221</f>
        <v>Non-Veg</v>
      </c>
      <c r="E706" s="6" t="str">
        <f aca="false">'Dish Database'!E221</f>
        <v>South</v>
      </c>
      <c r="F706" s="6" t="s">
        <v>103</v>
      </c>
      <c r="G706" s="6" t="s">
        <v>2266</v>
      </c>
      <c r="H706" s="16" t="n">
        <v>300</v>
      </c>
      <c r="I706" s="6" t="str">
        <f aca="false">'Dish Database'!I221</f>
        <v>g</v>
      </c>
      <c r="J706" s="13" t="n">
        <f aca="false">'Dish Database'!J221*H706/100</f>
        <v>583.2</v>
      </c>
      <c r="K706" s="17" t="n">
        <f aca="false">'Dish Database'!K221*H706/100</f>
        <v>27</v>
      </c>
      <c r="L706" s="17" t="n">
        <f aca="false">'Dish Database'!L221*H706/100</f>
        <v>66</v>
      </c>
      <c r="M706" s="17" t="n">
        <f aca="false">'Dish Database'!M221*H706/100</f>
        <v>24</v>
      </c>
      <c r="N706" s="17" t="n">
        <f aca="false">'Dish Database'!N221*H706/100</f>
        <v>2.4</v>
      </c>
      <c r="O706" s="17" t="n">
        <f aca="false">'Dish Database'!O221*H706/100</f>
        <v>3</v>
      </c>
      <c r="P706" s="13" t="n">
        <f aca="false">'Dish Database'!P221*H706/100</f>
        <v>1260</v>
      </c>
    </row>
    <row r="707" customFormat="false" ht="15" hidden="false" customHeight="false" outlineLevel="0" collapsed="false">
      <c r="A707" s="6" t="str">
        <f aca="false">'Dish Database'!A221</f>
        <v>D220</v>
      </c>
      <c r="B707" s="6" t="str">
        <f aca="false">'Dish Database'!B221</f>
        <v>Hyderabadi chicken dum biryani</v>
      </c>
      <c r="C707" s="6" t="str">
        <f aca="false">'Dish Database'!D221</f>
        <v>Biryani</v>
      </c>
      <c r="D707" s="6" t="str">
        <f aca="false">'Dish Database'!F221</f>
        <v>Non-Veg</v>
      </c>
      <c r="E707" s="6" t="str">
        <f aca="false">'Dish Database'!E221</f>
        <v>South</v>
      </c>
      <c r="F707" s="6" t="s">
        <v>2246</v>
      </c>
      <c r="G707" s="6" t="s">
        <v>2267</v>
      </c>
      <c r="H707" s="16" t="n">
        <v>400</v>
      </c>
      <c r="I707" s="6" t="str">
        <f aca="false">'Dish Database'!I221</f>
        <v>g</v>
      </c>
      <c r="J707" s="13" t="n">
        <f aca="false">'Dish Database'!J221*H707/100</f>
        <v>777.6</v>
      </c>
      <c r="K707" s="17" t="n">
        <f aca="false">'Dish Database'!K221*H707/100</f>
        <v>36</v>
      </c>
      <c r="L707" s="17" t="n">
        <f aca="false">'Dish Database'!L221*H707/100</f>
        <v>88</v>
      </c>
      <c r="M707" s="17" t="n">
        <f aca="false">'Dish Database'!M221*H707/100</f>
        <v>32</v>
      </c>
      <c r="N707" s="17" t="n">
        <f aca="false">'Dish Database'!N221*H707/100</f>
        <v>3.2</v>
      </c>
      <c r="O707" s="17" t="n">
        <f aca="false">'Dish Database'!O221*H707/100</f>
        <v>4</v>
      </c>
      <c r="P707" s="13" t="n">
        <f aca="false">'Dish Database'!P221*H707/100</f>
        <v>1680</v>
      </c>
    </row>
    <row r="708" customFormat="false" ht="15" hidden="false" customHeight="false" outlineLevel="0" collapsed="false">
      <c r="A708" s="6" t="str">
        <f aca="false">'Dish Database'!A221</f>
        <v>D220</v>
      </c>
      <c r="B708" s="6" t="str">
        <f aca="false">'Dish Database'!B221</f>
        <v>Hyderabadi chicken dum biryani</v>
      </c>
      <c r="C708" s="6" t="str">
        <f aca="false">'Dish Database'!D221</f>
        <v>Biryani</v>
      </c>
      <c r="D708" s="6" t="str">
        <f aca="false">'Dish Database'!F221</f>
        <v>Non-Veg</v>
      </c>
      <c r="E708" s="6" t="str">
        <f aca="false">'Dish Database'!E221</f>
        <v>South</v>
      </c>
      <c r="F708" s="6" t="s">
        <v>2323</v>
      </c>
      <c r="G708" s="6" t="s">
        <v>2324</v>
      </c>
      <c r="H708" s="16" t="n">
        <v>350</v>
      </c>
      <c r="I708" s="6" t="str">
        <f aca="false">'Dish Database'!I221</f>
        <v>g</v>
      </c>
      <c r="J708" s="13" t="n">
        <f aca="false">'Dish Database'!J221*H708/100</f>
        <v>680.4</v>
      </c>
      <c r="K708" s="17" t="n">
        <f aca="false">'Dish Database'!K221*H708/100</f>
        <v>31.5</v>
      </c>
      <c r="L708" s="17" t="n">
        <f aca="false">'Dish Database'!L221*H708/100</f>
        <v>77</v>
      </c>
      <c r="M708" s="17" t="n">
        <f aca="false">'Dish Database'!M221*H708/100</f>
        <v>28</v>
      </c>
      <c r="N708" s="17" t="n">
        <f aca="false">'Dish Database'!N221*H708/100</f>
        <v>2.8</v>
      </c>
      <c r="O708" s="17" t="n">
        <f aca="false">'Dish Database'!O221*H708/100</f>
        <v>3.5</v>
      </c>
      <c r="P708" s="13" t="n">
        <f aca="false">'Dish Database'!P221*H708/100</f>
        <v>1470</v>
      </c>
    </row>
    <row r="709" customFormat="false" ht="15" hidden="false" customHeight="false" outlineLevel="0" collapsed="false">
      <c r="A709" s="6" t="str">
        <f aca="false">'Dish Database'!A221</f>
        <v>D220</v>
      </c>
      <c r="B709" s="6" t="str">
        <f aca="false">'Dish Database'!B221</f>
        <v>Hyderabadi chicken dum biryani</v>
      </c>
      <c r="C709" s="6" t="str">
        <f aca="false">'Dish Database'!D221</f>
        <v>Biryani</v>
      </c>
      <c r="D709" s="6" t="str">
        <f aca="false">'Dish Database'!F221</f>
        <v>Non-Veg</v>
      </c>
      <c r="E709" s="6" t="str">
        <f aca="false">'Dish Database'!E221</f>
        <v>South</v>
      </c>
      <c r="F709" s="6" t="s">
        <v>2325</v>
      </c>
      <c r="G709" s="6" t="s">
        <v>2326</v>
      </c>
      <c r="H709" s="16" t="n">
        <v>650</v>
      </c>
      <c r="I709" s="6" t="str">
        <f aca="false">'Dish Database'!I221</f>
        <v>g</v>
      </c>
      <c r="J709" s="13" t="n">
        <f aca="false">'Dish Database'!J221*H709/100</f>
        <v>1263.6</v>
      </c>
      <c r="K709" s="17" t="n">
        <f aca="false">'Dish Database'!K221*H709/100</f>
        <v>58.5</v>
      </c>
      <c r="L709" s="17" t="n">
        <f aca="false">'Dish Database'!L221*H709/100</f>
        <v>143</v>
      </c>
      <c r="M709" s="17" t="n">
        <f aca="false">'Dish Database'!M221*H709/100</f>
        <v>52</v>
      </c>
      <c r="N709" s="17" t="n">
        <f aca="false">'Dish Database'!N221*H709/100</f>
        <v>5.2</v>
      </c>
      <c r="O709" s="17" t="n">
        <f aca="false">'Dish Database'!O221*H709/100</f>
        <v>6.5</v>
      </c>
      <c r="P709" s="13" t="n">
        <f aca="false">'Dish Database'!P221*H709/100</f>
        <v>2730</v>
      </c>
    </row>
    <row r="710" customFormat="false" ht="15" hidden="false" customHeight="false" outlineLevel="0" collapsed="false">
      <c r="A710" s="6" t="str">
        <f aca="false">'Dish Database'!A222</f>
        <v>D221</v>
      </c>
      <c r="B710" s="6" t="str">
        <f aca="false">'Dish Database'!B222</f>
        <v>Mutton biryani</v>
      </c>
      <c r="C710" s="6" t="str">
        <f aca="false">'Dish Database'!D222</f>
        <v>Biryani</v>
      </c>
      <c r="D710" s="6" t="str">
        <f aca="false">'Dish Database'!F222</f>
        <v>Non-Veg</v>
      </c>
      <c r="E710" s="6" t="str">
        <f aca="false">'Dish Database'!E222</f>
        <v>Pan-India</v>
      </c>
      <c r="F710" s="6" t="s">
        <v>2243</v>
      </c>
      <c r="G710" s="6" t="s">
        <v>2265</v>
      </c>
      <c r="H710" s="16" t="n">
        <v>200</v>
      </c>
      <c r="I710" s="6" t="str">
        <f aca="false">'Dish Database'!I222</f>
        <v>g</v>
      </c>
      <c r="J710" s="13" t="n">
        <f aca="false">'Dish Database'!J222*H710/100</f>
        <v>397.8</v>
      </c>
      <c r="K710" s="17" t="n">
        <f aca="false">'Dish Database'!K222*H710/100</f>
        <v>18</v>
      </c>
      <c r="L710" s="17" t="n">
        <f aca="false">'Dish Database'!L222*H710/100</f>
        <v>44</v>
      </c>
      <c r="M710" s="17" t="n">
        <f aca="false">'Dish Database'!M222*H710/100</f>
        <v>17</v>
      </c>
      <c r="N710" s="17" t="n">
        <f aca="false">'Dish Database'!N222*H710/100</f>
        <v>1.6</v>
      </c>
      <c r="O710" s="17" t="n">
        <f aca="false">'Dish Database'!O222*H710/100</f>
        <v>2</v>
      </c>
      <c r="P710" s="13" t="n">
        <f aca="false">'Dish Database'!P222*H710/100</f>
        <v>840</v>
      </c>
    </row>
    <row r="711" customFormat="false" ht="15" hidden="false" customHeight="false" outlineLevel="0" collapsed="false">
      <c r="A711" s="6" t="str">
        <f aca="false">'Dish Database'!A222</f>
        <v>D221</v>
      </c>
      <c r="B711" s="6" t="str">
        <f aca="false">'Dish Database'!B222</f>
        <v>Mutton biryani</v>
      </c>
      <c r="C711" s="6" t="str">
        <f aca="false">'Dish Database'!D222</f>
        <v>Biryani</v>
      </c>
      <c r="D711" s="6" t="str">
        <f aca="false">'Dish Database'!F222</f>
        <v>Non-Veg</v>
      </c>
      <c r="E711" s="6" t="str">
        <f aca="false">'Dish Database'!E222</f>
        <v>Pan-India</v>
      </c>
      <c r="F711" s="6" t="s">
        <v>103</v>
      </c>
      <c r="G711" s="6" t="s">
        <v>2266</v>
      </c>
      <c r="H711" s="16" t="n">
        <v>300</v>
      </c>
      <c r="I711" s="6" t="str">
        <f aca="false">'Dish Database'!I222</f>
        <v>g</v>
      </c>
      <c r="J711" s="13" t="n">
        <f aca="false">'Dish Database'!J222*H711/100</f>
        <v>596.7</v>
      </c>
      <c r="K711" s="17" t="n">
        <f aca="false">'Dish Database'!K222*H711/100</f>
        <v>27</v>
      </c>
      <c r="L711" s="17" t="n">
        <f aca="false">'Dish Database'!L222*H711/100</f>
        <v>66</v>
      </c>
      <c r="M711" s="17" t="n">
        <f aca="false">'Dish Database'!M222*H711/100</f>
        <v>25.5</v>
      </c>
      <c r="N711" s="17" t="n">
        <f aca="false">'Dish Database'!N222*H711/100</f>
        <v>2.4</v>
      </c>
      <c r="O711" s="17" t="n">
        <f aca="false">'Dish Database'!O222*H711/100</f>
        <v>3</v>
      </c>
      <c r="P711" s="13" t="n">
        <f aca="false">'Dish Database'!P222*H711/100</f>
        <v>1260</v>
      </c>
    </row>
    <row r="712" customFormat="false" ht="15" hidden="false" customHeight="false" outlineLevel="0" collapsed="false">
      <c r="A712" s="6" t="str">
        <f aca="false">'Dish Database'!A222</f>
        <v>D221</v>
      </c>
      <c r="B712" s="6" t="str">
        <f aca="false">'Dish Database'!B222</f>
        <v>Mutton biryani</v>
      </c>
      <c r="C712" s="6" t="str">
        <f aca="false">'Dish Database'!D222</f>
        <v>Biryani</v>
      </c>
      <c r="D712" s="6" t="str">
        <f aca="false">'Dish Database'!F222</f>
        <v>Non-Veg</v>
      </c>
      <c r="E712" s="6" t="str">
        <f aca="false">'Dish Database'!E222</f>
        <v>Pan-India</v>
      </c>
      <c r="F712" s="6" t="s">
        <v>2246</v>
      </c>
      <c r="G712" s="6" t="s">
        <v>2267</v>
      </c>
      <c r="H712" s="16" t="n">
        <v>400</v>
      </c>
      <c r="I712" s="6" t="str">
        <f aca="false">'Dish Database'!I222</f>
        <v>g</v>
      </c>
      <c r="J712" s="13" t="n">
        <f aca="false">'Dish Database'!J222*H712/100</f>
        <v>795.6</v>
      </c>
      <c r="K712" s="17" t="n">
        <f aca="false">'Dish Database'!K222*H712/100</f>
        <v>36</v>
      </c>
      <c r="L712" s="17" t="n">
        <f aca="false">'Dish Database'!L222*H712/100</f>
        <v>88</v>
      </c>
      <c r="M712" s="17" t="n">
        <f aca="false">'Dish Database'!M222*H712/100</f>
        <v>34</v>
      </c>
      <c r="N712" s="17" t="n">
        <f aca="false">'Dish Database'!N222*H712/100</f>
        <v>3.2</v>
      </c>
      <c r="O712" s="17" t="n">
        <f aca="false">'Dish Database'!O222*H712/100</f>
        <v>4</v>
      </c>
      <c r="P712" s="13" t="n">
        <f aca="false">'Dish Database'!P222*H712/100</f>
        <v>1680</v>
      </c>
    </row>
    <row r="713" customFormat="false" ht="15" hidden="false" customHeight="false" outlineLevel="0" collapsed="false">
      <c r="A713" s="6" t="str">
        <f aca="false">'Dish Database'!A222</f>
        <v>D221</v>
      </c>
      <c r="B713" s="6" t="str">
        <f aca="false">'Dish Database'!B222</f>
        <v>Mutton biryani</v>
      </c>
      <c r="C713" s="6" t="str">
        <f aca="false">'Dish Database'!D222</f>
        <v>Biryani</v>
      </c>
      <c r="D713" s="6" t="str">
        <f aca="false">'Dish Database'!F222</f>
        <v>Non-Veg</v>
      </c>
      <c r="E713" s="6" t="str">
        <f aca="false">'Dish Database'!E222</f>
        <v>Pan-India</v>
      </c>
      <c r="F713" s="6" t="s">
        <v>2323</v>
      </c>
      <c r="G713" s="6" t="s">
        <v>2324</v>
      </c>
      <c r="H713" s="16" t="n">
        <v>350</v>
      </c>
      <c r="I713" s="6" t="str">
        <f aca="false">'Dish Database'!I222</f>
        <v>g</v>
      </c>
      <c r="J713" s="13" t="n">
        <f aca="false">'Dish Database'!J222*H713/100</f>
        <v>696.15</v>
      </c>
      <c r="K713" s="17" t="n">
        <f aca="false">'Dish Database'!K222*H713/100</f>
        <v>31.5</v>
      </c>
      <c r="L713" s="17" t="n">
        <f aca="false">'Dish Database'!L222*H713/100</f>
        <v>77</v>
      </c>
      <c r="M713" s="17" t="n">
        <f aca="false">'Dish Database'!M222*H713/100</f>
        <v>29.75</v>
      </c>
      <c r="N713" s="17" t="n">
        <f aca="false">'Dish Database'!N222*H713/100</f>
        <v>2.8</v>
      </c>
      <c r="O713" s="17" t="n">
        <f aca="false">'Dish Database'!O222*H713/100</f>
        <v>3.5</v>
      </c>
      <c r="P713" s="13" t="n">
        <f aca="false">'Dish Database'!P222*H713/100</f>
        <v>1470</v>
      </c>
    </row>
    <row r="714" customFormat="false" ht="15" hidden="false" customHeight="false" outlineLevel="0" collapsed="false">
      <c r="A714" s="6" t="str">
        <f aca="false">'Dish Database'!A222</f>
        <v>D221</v>
      </c>
      <c r="B714" s="6" t="str">
        <f aca="false">'Dish Database'!B222</f>
        <v>Mutton biryani</v>
      </c>
      <c r="C714" s="6" t="str">
        <f aca="false">'Dish Database'!D222</f>
        <v>Biryani</v>
      </c>
      <c r="D714" s="6" t="str">
        <f aca="false">'Dish Database'!F222</f>
        <v>Non-Veg</v>
      </c>
      <c r="E714" s="6" t="str">
        <f aca="false">'Dish Database'!E222</f>
        <v>Pan-India</v>
      </c>
      <c r="F714" s="6" t="s">
        <v>2325</v>
      </c>
      <c r="G714" s="6" t="s">
        <v>2326</v>
      </c>
      <c r="H714" s="16" t="n">
        <v>650</v>
      </c>
      <c r="I714" s="6" t="str">
        <f aca="false">'Dish Database'!I222</f>
        <v>g</v>
      </c>
      <c r="J714" s="13" t="n">
        <f aca="false">'Dish Database'!J222*H714/100</f>
        <v>1292.85</v>
      </c>
      <c r="K714" s="17" t="n">
        <f aca="false">'Dish Database'!K222*H714/100</f>
        <v>58.5</v>
      </c>
      <c r="L714" s="17" t="n">
        <f aca="false">'Dish Database'!L222*H714/100</f>
        <v>143</v>
      </c>
      <c r="M714" s="17" t="n">
        <f aca="false">'Dish Database'!M222*H714/100</f>
        <v>55.25</v>
      </c>
      <c r="N714" s="17" t="n">
        <f aca="false">'Dish Database'!N222*H714/100</f>
        <v>5.2</v>
      </c>
      <c r="O714" s="17" t="n">
        <f aca="false">'Dish Database'!O222*H714/100</f>
        <v>6.5</v>
      </c>
      <c r="P714" s="13" t="n">
        <f aca="false">'Dish Database'!P222*H714/100</f>
        <v>2730</v>
      </c>
    </row>
    <row r="715" customFormat="false" ht="15" hidden="false" customHeight="false" outlineLevel="0" collapsed="false">
      <c r="A715" s="6" t="str">
        <f aca="false">'Dish Database'!A223</f>
        <v>D222</v>
      </c>
      <c r="B715" s="6" t="str">
        <f aca="false">'Dish Database'!B223</f>
        <v>Lucknowi (Awadhi) mutton biryani</v>
      </c>
      <c r="C715" s="6" t="str">
        <f aca="false">'Dish Database'!D223</f>
        <v>Biryani</v>
      </c>
      <c r="D715" s="6" t="str">
        <f aca="false">'Dish Database'!F223</f>
        <v>Non-Veg</v>
      </c>
      <c r="E715" s="6" t="str">
        <f aca="false">'Dish Database'!E223</f>
        <v>North</v>
      </c>
      <c r="F715" s="6" t="s">
        <v>2243</v>
      </c>
      <c r="G715" s="6" t="s">
        <v>2265</v>
      </c>
      <c r="H715" s="16" t="n">
        <v>200</v>
      </c>
      <c r="I715" s="6" t="str">
        <f aca="false">'Dish Database'!I223</f>
        <v>g</v>
      </c>
      <c r="J715" s="13" t="n">
        <f aca="false">'Dish Database'!J223*H715/100</f>
        <v>397.2</v>
      </c>
      <c r="K715" s="17" t="n">
        <f aca="false">'Dish Database'!K223*H715/100</f>
        <v>18</v>
      </c>
      <c r="L715" s="17" t="n">
        <f aca="false">'Dish Database'!L223*H715/100</f>
        <v>46</v>
      </c>
      <c r="M715" s="17" t="n">
        <f aca="false">'Dish Database'!M223*H715/100</f>
        <v>16</v>
      </c>
      <c r="N715" s="17" t="n">
        <f aca="false">'Dish Database'!N223*H715/100</f>
        <v>1.4</v>
      </c>
      <c r="O715" s="17" t="n">
        <f aca="false">'Dish Database'!O223*H715/100</f>
        <v>2</v>
      </c>
      <c r="P715" s="13" t="n">
        <f aca="false">'Dish Database'!P223*H715/100</f>
        <v>800</v>
      </c>
    </row>
    <row r="716" customFormat="false" ht="15" hidden="false" customHeight="false" outlineLevel="0" collapsed="false">
      <c r="A716" s="6" t="str">
        <f aca="false">'Dish Database'!A223</f>
        <v>D222</v>
      </c>
      <c r="B716" s="6" t="str">
        <f aca="false">'Dish Database'!B223</f>
        <v>Lucknowi (Awadhi) mutton biryani</v>
      </c>
      <c r="C716" s="6" t="str">
        <f aca="false">'Dish Database'!D223</f>
        <v>Biryani</v>
      </c>
      <c r="D716" s="6" t="str">
        <f aca="false">'Dish Database'!F223</f>
        <v>Non-Veg</v>
      </c>
      <c r="E716" s="6" t="str">
        <f aca="false">'Dish Database'!E223</f>
        <v>North</v>
      </c>
      <c r="F716" s="6" t="s">
        <v>103</v>
      </c>
      <c r="G716" s="6" t="s">
        <v>2266</v>
      </c>
      <c r="H716" s="16" t="n">
        <v>300</v>
      </c>
      <c r="I716" s="6" t="str">
        <f aca="false">'Dish Database'!I223</f>
        <v>g</v>
      </c>
      <c r="J716" s="13" t="n">
        <f aca="false">'Dish Database'!J223*H716/100</f>
        <v>595.8</v>
      </c>
      <c r="K716" s="17" t="n">
        <f aca="false">'Dish Database'!K223*H716/100</f>
        <v>27</v>
      </c>
      <c r="L716" s="17" t="n">
        <f aca="false">'Dish Database'!L223*H716/100</f>
        <v>69</v>
      </c>
      <c r="M716" s="17" t="n">
        <f aca="false">'Dish Database'!M223*H716/100</f>
        <v>24</v>
      </c>
      <c r="N716" s="17" t="n">
        <f aca="false">'Dish Database'!N223*H716/100</f>
        <v>2.1</v>
      </c>
      <c r="O716" s="17" t="n">
        <f aca="false">'Dish Database'!O223*H716/100</f>
        <v>3</v>
      </c>
      <c r="P716" s="13" t="n">
        <f aca="false">'Dish Database'!P223*H716/100</f>
        <v>1200</v>
      </c>
    </row>
    <row r="717" customFormat="false" ht="15" hidden="false" customHeight="false" outlineLevel="0" collapsed="false">
      <c r="A717" s="6" t="str">
        <f aca="false">'Dish Database'!A223</f>
        <v>D222</v>
      </c>
      <c r="B717" s="6" t="str">
        <f aca="false">'Dish Database'!B223</f>
        <v>Lucknowi (Awadhi) mutton biryani</v>
      </c>
      <c r="C717" s="6" t="str">
        <f aca="false">'Dish Database'!D223</f>
        <v>Biryani</v>
      </c>
      <c r="D717" s="6" t="str">
        <f aca="false">'Dish Database'!F223</f>
        <v>Non-Veg</v>
      </c>
      <c r="E717" s="6" t="str">
        <f aca="false">'Dish Database'!E223</f>
        <v>North</v>
      </c>
      <c r="F717" s="6" t="s">
        <v>2246</v>
      </c>
      <c r="G717" s="6" t="s">
        <v>2267</v>
      </c>
      <c r="H717" s="16" t="n">
        <v>400</v>
      </c>
      <c r="I717" s="6" t="str">
        <f aca="false">'Dish Database'!I223</f>
        <v>g</v>
      </c>
      <c r="J717" s="13" t="n">
        <f aca="false">'Dish Database'!J223*H717/100</f>
        <v>794.4</v>
      </c>
      <c r="K717" s="17" t="n">
        <f aca="false">'Dish Database'!K223*H717/100</f>
        <v>36</v>
      </c>
      <c r="L717" s="17" t="n">
        <f aca="false">'Dish Database'!L223*H717/100</f>
        <v>92</v>
      </c>
      <c r="M717" s="17" t="n">
        <f aca="false">'Dish Database'!M223*H717/100</f>
        <v>32</v>
      </c>
      <c r="N717" s="17" t="n">
        <f aca="false">'Dish Database'!N223*H717/100</f>
        <v>2.8</v>
      </c>
      <c r="O717" s="17" t="n">
        <f aca="false">'Dish Database'!O223*H717/100</f>
        <v>4</v>
      </c>
      <c r="P717" s="13" t="n">
        <f aca="false">'Dish Database'!P223*H717/100</f>
        <v>1600</v>
      </c>
    </row>
    <row r="718" customFormat="false" ht="15" hidden="false" customHeight="false" outlineLevel="0" collapsed="false">
      <c r="A718" s="6" t="str">
        <f aca="false">'Dish Database'!A223</f>
        <v>D222</v>
      </c>
      <c r="B718" s="6" t="str">
        <f aca="false">'Dish Database'!B223</f>
        <v>Lucknowi (Awadhi) mutton biryani</v>
      </c>
      <c r="C718" s="6" t="str">
        <f aca="false">'Dish Database'!D223</f>
        <v>Biryani</v>
      </c>
      <c r="D718" s="6" t="str">
        <f aca="false">'Dish Database'!F223</f>
        <v>Non-Veg</v>
      </c>
      <c r="E718" s="6" t="str">
        <f aca="false">'Dish Database'!E223</f>
        <v>North</v>
      </c>
      <c r="F718" s="6" t="s">
        <v>2323</v>
      </c>
      <c r="G718" s="6" t="s">
        <v>2324</v>
      </c>
      <c r="H718" s="16" t="n">
        <v>350</v>
      </c>
      <c r="I718" s="6" t="str">
        <f aca="false">'Dish Database'!I223</f>
        <v>g</v>
      </c>
      <c r="J718" s="13" t="n">
        <f aca="false">'Dish Database'!J223*H718/100</f>
        <v>695.1</v>
      </c>
      <c r="K718" s="17" t="n">
        <f aca="false">'Dish Database'!K223*H718/100</f>
        <v>31.5</v>
      </c>
      <c r="L718" s="17" t="n">
        <f aca="false">'Dish Database'!L223*H718/100</f>
        <v>80.5</v>
      </c>
      <c r="M718" s="17" t="n">
        <f aca="false">'Dish Database'!M223*H718/100</f>
        <v>28</v>
      </c>
      <c r="N718" s="17" t="n">
        <f aca="false">'Dish Database'!N223*H718/100</f>
        <v>2.45</v>
      </c>
      <c r="O718" s="17" t="n">
        <f aca="false">'Dish Database'!O223*H718/100</f>
        <v>3.5</v>
      </c>
      <c r="P718" s="13" t="n">
        <f aca="false">'Dish Database'!P223*H718/100</f>
        <v>1400</v>
      </c>
    </row>
    <row r="719" customFormat="false" ht="15" hidden="false" customHeight="false" outlineLevel="0" collapsed="false">
      <c r="A719" s="6" t="str">
        <f aca="false">'Dish Database'!A223</f>
        <v>D222</v>
      </c>
      <c r="B719" s="6" t="str">
        <f aca="false">'Dish Database'!B223</f>
        <v>Lucknowi (Awadhi) mutton biryani</v>
      </c>
      <c r="C719" s="6" t="str">
        <f aca="false">'Dish Database'!D223</f>
        <v>Biryani</v>
      </c>
      <c r="D719" s="6" t="str">
        <f aca="false">'Dish Database'!F223</f>
        <v>Non-Veg</v>
      </c>
      <c r="E719" s="6" t="str">
        <f aca="false">'Dish Database'!E223</f>
        <v>North</v>
      </c>
      <c r="F719" s="6" t="s">
        <v>2325</v>
      </c>
      <c r="G719" s="6" t="s">
        <v>2326</v>
      </c>
      <c r="H719" s="16" t="n">
        <v>650</v>
      </c>
      <c r="I719" s="6" t="str">
        <f aca="false">'Dish Database'!I223</f>
        <v>g</v>
      </c>
      <c r="J719" s="13" t="n">
        <f aca="false">'Dish Database'!J223*H719/100</f>
        <v>1290.9</v>
      </c>
      <c r="K719" s="17" t="n">
        <f aca="false">'Dish Database'!K223*H719/100</f>
        <v>58.5</v>
      </c>
      <c r="L719" s="17" t="n">
        <f aca="false">'Dish Database'!L223*H719/100</f>
        <v>149.5</v>
      </c>
      <c r="M719" s="17" t="n">
        <f aca="false">'Dish Database'!M223*H719/100</f>
        <v>52</v>
      </c>
      <c r="N719" s="17" t="n">
        <f aca="false">'Dish Database'!N223*H719/100</f>
        <v>4.55</v>
      </c>
      <c r="O719" s="17" t="n">
        <f aca="false">'Dish Database'!O223*H719/100</f>
        <v>6.5</v>
      </c>
      <c r="P719" s="13" t="n">
        <f aca="false">'Dish Database'!P223*H719/100</f>
        <v>2600</v>
      </c>
    </row>
    <row r="720" customFormat="false" ht="15" hidden="false" customHeight="false" outlineLevel="0" collapsed="false">
      <c r="A720" s="6" t="str">
        <f aca="false">'Dish Database'!A224</f>
        <v>D223</v>
      </c>
      <c r="B720" s="6" t="str">
        <f aca="false">'Dish Database'!B224</f>
        <v>Kolkata chicken biryani (with aloo &amp; egg)</v>
      </c>
      <c r="C720" s="6" t="str">
        <f aca="false">'Dish Database'!D224</f>
        <v>Biryani</v>
      </c>
      <c r="D720" s="6" t="str">
        <f aca="false">'Dish Database'!F224</f>
        <v>Non-Veg</v>
      </c>
      <c r="E720" s="6" t="str">
        <f aca="false">'Dish Database'!E224</f>
        <v>East</v>
      </c>
      <c r="F720" s="6" t="s">
        <v>2243</v>
      </c>
      <c r="G720" s="6" t="s">
        <v>2265</v>
      </c>
      <c r="H720" s="16" t="n">
        <v>200</v>
      </c>
      <c r="I720" s="6" t="str">
        <f aca="false">'Dish Database'!I224</f>
        <v>g</v>
      </c>
      <c r="J720" s="13" t="n">
        <f aca="false">'Dish Database'!J224*H720/100</f>
        <v>382.4</v>
      </c>
      <c r="K720" s="17" t="n">
        <f aca="false">'Dish Database'!K224*H720/100</f>
        <v>15</v>
      </c>
      <c r="L720" s="17" t="n">
        <f aca="false">'Dish Database'!L224*H720/100</f>
        <v>50</v>
      </c>
      <c r="M720" s="17" t="n">
        <f aca="false">'Dish Database'!M224*H720/100</f>
        <v>14</v>
      </c>
      <c r="N720" s="17" t="n">
        <f aca="false">'Dish Database'!N224*H720/100</f>
        <v>1.8</v>
      </c>
      <c r="O720" s="17" t="n">
        <f aca="false">'Dish Database'!O224*H720/100</f>
        <v>3</v>
      </c>
      <c r="P720" s="13" t="n">
        <f aca="false">'Dish Database'!P224*H720/100</f>
        <v>800</v>
      </c>
    </row>
    <row r="721" customFormat="false" ht="15" hidden="false" customHeight="false" outlineLevel="0" collapsed="false">
      <c r="A721" s="6" t="str">
        <f aca="false">'Dish Database'!A224</f>
        <v>D223</v>
      </c>
      <c r="B721" s="6" t="str">
        <f aca="false">'Dish Database'!B224</f>
        <v>Kolkata chicken biryani (with aloo &amp; egg)</v>
      </c>
      <c r="C721" s="6" t="str">
        <f aca="false">'Dish Database'!D224</f>
        <v>Biryani</v>
      </c>
      <c r="D721" s="6" t="str">
        <f aca="false">'Dish Database'!F224</f>
        <v>Non-Veg</v>
      </c>
      <c r="E721" s="6" t="str">
        <f aca="false">'Dish Database'!E224</f>
        <v>East</v>
      </c>
      <c r="F721" s="6" t="s">
        <v>103</v>
      </c>
      <c r="G721" s="6" t="s">
        <v>2266</v>
      </c>
      <c r="H721" s="16" t="n">
        <v>300</v>
      </c>
      <c r="I721" s="6" t="str">
        <f aca="false">'Dish Database'!I224</f>
        <v>g</v>
      </c>
      <c r="J721" s="13" t="n">
        <f aca="false">'Dish Database'!J224*H721/100</f>
        <v>573.6</v>
      </c>
      <c r="K721" s="17" t="n">
        <f aca="false">'Dish Database'!K224*H721/100</f>
        <v>22.5</v>
      </c>
      <c r="L721" s="17" t="n">
        <f aca="false">'Dish Database'!L224*H721/100</f>
        <v>75</v>
      </c>
      <c r="M721" s="17" t="n">
        <f aca="false">'Dish Database'!M224*H721/100</f>
        <v>21</v>
      </c>
      <c r="N721" s="17" t="n">
        <f aca="false">'Dish Database'!N224*H721/100</f>
        <v>2.7</v>
      </c>
      <c r="O721" s="17" t="n">
        <f aca="false">'Dish Database'!O224*H721/100</f>
        <v>4.5</v>
      </c>
      <c r="P721" s="13" t="n">
        <f aca="false">'Dish Database'!P224*H721/100</f>
        <v>1200</v>
      </c>
    </row>
    <row r="722" customFormat="false" ht="15" hidden="false" customHeight="false" outlineLevel="0" collapsed="false">
      <c r="A722" s="6" t="str">
        <f aca="false">'Dish Database'!A224</f>
        <v>D223</v>
      </c>
      <c r="B722" s="6" t="str">
        <f aca="false">'Dish Database'!B224</f>
        <v>Kolkata chicken biryani (with aloo &amp; egg)</v>
      </c>
      <c r="C722" s="6" t="str">
        <f aca="false">'Dish Database'!D224</f>
        <v>Biryani</v>
      </c>
      <c r="D722" s="6" t="str">
        <f aca="false">'Dish Database'!F224</f>
        <v>Non-Veg</v>
      </c>
      <c r="E722" s="6" t="str">
        <f aca="false">'Dish Database'!E224</f>
        <v>East</v>
      </c>
      <c r="F722" s="6" t="s">
        <v>2246</v>
      </c>
      <c r="G722" s="6" t="s">
        <v>2267</v>
      </c>
      <c r="H722" s="16" t="n">
        <v>400</v>
      </c>
      <c r="I722" s="6" t="str">
        <f aca="false">'Dish Database'!I224</f>
        <v>g</v>
      </c>
      <c r="J722" s="13" t="n">
        <f aca="false">'Dish Database'!J224*H722/100</f>
        <v>764.8</v>
      </c>
      <c r="K722" s="17" t="n">
        <f aca="false">'Dish Database'!K224*H722/100</f>
        <v>30</v>
      </c>
      <c r="L722" s="17" t="n">
        <f aca="false">'Dish Database'!L224*H722/100</f>
        <v>100</v>
      </c>
      <c r="M722" s="17" t="n">
        <f aca="false">'Dish Database'!M224*H722/100</f>
        <v>28</v>
      </c>
      <c r="N722" s="17" t="n">
        <f aca="false">'Dish Database'!N224*H722/100</f>
        <v>3.6</v>
      </c>
      <c r="O722" s="17" t="n">
        <f aca="false">'Dish Database'!O224*H722/100</f>
        <v>6</v>
      </c>
      <c r="P722" s="13" t="n">
        <f aca="false">'Dish Database'!P224*H722/100</f>
        <v>1600</v>
      </c>
    </row>
    <row r="723" customFormat="false" ht="15" hidden="false" customHeight="false" outlineLevel="0" collapsed="false">
      <c r="A723" s="6" t="str">
        <f aca="false">'Dish Database'!A224</f>
        <v>D223</v>
      </c>
      <c r="B723" s="6" t="str">
        <f aca="false">'Dish Database'!B224</f>
        <v>Kolkata chicken biryani (with aloo &amp; egg)</v>
      </c>
      <c r="C723" s="6" t="str">
        <f aca="false">'Dish Database'!D224</f>
        <v>Biryani</v>
      </c>
      <c r="D723" s="6" t="str">
        <f aca="false">'Dish Database'!F224</f>
        <v>Non-Veg</v>
      </c>
      <c r="E723" s="6" t="str">
        <f aca="false">'Dish Database'!E224</f>
        <v>East</v>
      </c>
      <c r="F723" s="6" t="s">
        <v>2323</v>
      </c>
      <c r="G723" s="6" t="s">
        <v>2324</v>
      </c>
      <c r="H723" s="16" t="n">
        <v>350</v>
      </c>
      <c r="I723" s="6" t="str">
        <f aca="false">'Dish Database'!I224</f>
        <v>g</v>
      </c>
      <c r="J723" s="13" t="n">
        <f aca="false">'Dish Database'!J224*H723/100</f>
        <v>669.2</v>
      </c>
      <c r="K723" s="17" t="n">
        <f aca="false">'Dish Database'!K224*H723/100</f>
        <v>26.25</v>
      </c>
      <c r="L723" s="17" t="n">
        <f aca="false">'Dish Database'!L224*H723/100</f>
        <v>87.5</v>
      </c>
      <c r="M723" s="17" t="n">
        <f aca="false">'Dish Database'!M224*H723/100</f>
        <v>24.5</v>
      </c>
      <c r="N723" s="17" t="n">
        <f aca="false">'Dish Database'!N224*H723/100</f>
        <v>3.15</v>
      </c>
      <c r="O723" s="17" t="n">
        <f aca="false">'Dish Database'!O224*H723/100</f>
        <v>5.25</v>
      </c>
      <c r="P723" s="13" t="n">
        <f aca="false">'Dish Database'!P224*H723/100</f>
        <v>1400</v>
      </c>
    </row>
    <row r="724" customFormat="false" ht="15" hidden="false" customHeight="false" outlineLevel="0" collapsed="false">
      <c r="A724" s="6" t="str">
        <f aca="false">'Dish Database'!A224</f>
        <v>D223</v>
      </c>
      <c r="B724" s="6" t="str">
        <f aca="false">'Dish Database'!B224</f>
        <v>Kolkata chicken biryani (with aloo &amp; egg)</v>
      </c>
      <c r="C724" s="6" t="str">
        <f aca="false">'Dish Database'!D224</f>
        <v>Biryani</v>
      </c>
      <c r="D724" s="6" t="str">
        <f aca="false">'Dish Database'!F224</f>
        <v>Non-Veg</v>
      </c>
      <c r="E724" s="6" t="str">
        <f aca="false">'Dish Database'!E224</f>
        <v>East</v>
      </c>
      <c r="F724" s="6" t="s">
        <v>2325</v>
      </c>
      <c r="G724" s="6" t="s">
        <v>2326</v>
      </c>
      <c r="H724" s="16" t="n">
        <v>650</v>
      </c>
      <c r="I724" s="6" t="str">
        <f aca="false">'Dish Database'!I224</f>
        <v>g</v>
      </c>
      <c r="J724" s="13" t="n">
        <f aca="false">'Dish Database'!J224*H724/100</f>
        <v>1242.8</v>
      </c>
      <c r="K724" s="17" t="n">
        <f aca="false">'Dish Database'!K224*H724/100</f>
        <v>48.75</v>
      </c>
      <c r="L724" s="17" t="n">
        <f aca="false">'Dish Database'!L224*H724/100</f>
        <v>162.5</v>
      </c>
      <c r="M724" s="17" t="n">
        <f aca="false">'Dish Database'!M224*H724/100</f>
        <v>45.5</v>
      </c>
      <c r="N724" s="17" t="n">
        <f aca="false">'Dish Database'!N224*H724/100</f>
        <v>5.85</v>
      </c>
      <c r="O724" s="17" t="n">
        <f aca="false">'Dish Database'!O224*H724/100</f>
        <v>9.75</v>
      </c>
      <c r="P724" s="13" t="n">
        <f aca="false">'Dish Database'!P224*H724/100</f>
        <v>2600</v>
      </c>
    </row>
    <row r="725" customFormat="false" ht="15" hidden="false" customHeight="false" outlineLevel="0" collapsed="false">
      <c r="A725" s="6" t="str">
        <f aca="false">'Dish Database'!A225</f>
        <v>D224</v>
      </c>
      <c r="B725" s="6" t="str">
        <f aca="false">'Dish Database'!B225</f>
        <v>Malabar / Thalassery chicken biryani</v>
      </c>
      <c r="C725" s="6" t="str">
        <f aca="false">'Dish Database'!D225</f>
        <v>Biryani</v>
      </c>
      <c r="D725" s="6" t="str">
        <f aca="false">'Dish Database'!F225</f>
        <v>Non-Veg</v>
      </c>
      <c r="E725" s="6" t="str">
        <f aca="false">'Dish Database'!E225</f>
        <v>South</v>
      </c>
      <c r="F725" s="6" t="s">
        <v>2243</v>
      </c>
      <c r="G725" s="6" t="s">
        <v>2265</v>
      </c>
      <c r="H725" s="16" t="n">
        <v>200</v>
      </c>
      <c r="I725" s="6" t="str">
        <f aca="false">'Dish Database'!I225</f>
        <v>g</v>
      </c>
      <c r="J725" s="13" t="n">
        <f aca="false">'Dish Database'!J225*H725/100</f>
        <v>400.8</v>
      </c>
      <c r="K725" s="17" t="n">
        <f aca="false">'Dish Database'!K225*H725/100</f>
        <v>17</v>
      </c>
      <c r="L725" s="17" t="n">
        <f aca="false">'Dish Database'!L225*H725/100</f>
        <v>48</v>
      </c>
      <c r="M725" s="17" t="n">
        <f aca="false">'Dish Database'!M225*H725/100</f>
        <v>16</v>
      </c>
      <c r="N725" s="17" t="n">
        <f aca="false">'Dish Database'!N225*H725/100</f>
        <v>1.6</v>
      </c>
      <c r="O725" s="17" t="n">
        <f aca="false">'Dish Database'!O225*H725/100</f>
        <v>3</v>
      </c>
      <c r="P725" s="13" t="n">
        <f aca="false">'Dish Database'!P225*H725/100</f>
        <v>800</v>
      </c>
    </row>
    <row r="726" customFormat="false" ht="15" hidden="false" customHeight="false" outlineLevel="0" collapsed="false">
      <c r="A726" s="6" t="str">
        <f aca="false">'Dish Database'!A225</f>
        <v>D224</v>
      </c>
      <c r="B726" s="6" t="str">
        <f aca="false">'Dish Database'!B225</f>
        <v>Malabar / Thalassery chicken biryani</v>
      </c>
      <c r="C726" s="6" t="str">
        <f aca="false">'Dish Database'!D225</f>
        <v>Biryani</v>
      </c>
      <c r="D726" s="6" t="str">
        <f aca="false">'Dish Database'!F225</f>
        <v>Non-Veg</v>
      </c>
      <c r="E726" s="6" t="str">
        <f aca="false">'Dish Database'!E225</f>
        <v>South</v>
      </c>
      <c r="F726" s="6" t="s">
        <v>103</v>
      </c>
      <c r="G726" s="6" t="s">
        <v>2266</v>
      </c>
      <c r="H726" s="16" t="n">
        <v>300</v>
      </c>
      <c r="I726" s="6" t="str">
        <f aca="false">'Dish Database'!I225</f>
        <v>g</v>
      </c>
      <c r="J726" s="13" t="n">
        <f aca="false">'Dish Database'!J225*H726/100</f>
        <v>601.2</v>
      </c>
      <c r="K726" s="17" t="n">
        <f aca="false">'Dish Database'!K225*H726/100</f>
        <v>25.5</v>
      </c>
      <c r="L726" s="17" t="n">
        <f aca="false">'Dish Database'!L225*H726/100</f>
        <v>72</v>
      </c>
      <c r="M726" s="17" t="n">
        <f aca="false">'Dish Database'!M225*H726/100</f>
        <v>24</v>
      </c>
      <c r="N726" s="17" t="n">
        <f aca="false">'Dish Database'!N225*H726/100</f>
        <v>2.4</v>
      </c>
      <c r="O726" s="17" t="n">
        <f aca="false">'Dish Database'!O225*H726/100</f>
        <v>4.5</v>
      </c>
      <c r="P726" s="13" t="n">
        <f aca="false">'Dish Database'!P225*H726/100</f>
        <v>1200</v>
      </c>
    </row>
    <row r="727" customFormat="false" ht="15" hidden="false" customHeight="false" outlineLevel="0" collapsed="false">
      <c r="A727" s="6" t="str">
        <f aca="false">'Dish Database'!A225</f>
        <v>D224</v>
      </c>
      <c r="B727" s="6" t="str">
        <f aca="false">'Dish Database'!B225</f>
        <v>Malabar / Thalassery chicken biryani</v>
      </c>
      <c r="C727" s="6" t="str">
        <f aca="false">'Dish Database'!D225</f>
        <v>Biryani</v>
      </c>
      <c r="D727" s="6" t="str">
        <f aca="false">'Dish Database'!F225</f>
        <v>Non-Veg</v>
      </c>
      <c r="E727" s="6" t="str">
        <f aca="false">'Dish Database'!E225</f>
        <v>South</v>
      </c>
      <c r="F727" s="6" t="s">
        <v>2246</v>
      </c>
      <c r="G727" s="6" t="s">
        <v>2267</v>
      </c>
      <c r="H727" s="16" t="n">
        <v>400</v>
      </c>
      <c r="I727" s="6" t="str">
        <f aca="false">'Dish Database'!I225</f>
        <v>g</v>
      </c>
      <c r="J727" s="13" t="n">
        <f aca="false">'Dish Database'!J225*H727/100</f>
        <v>801.6</v>
      </c>
      <c r="K727" s="17" t="n">
        <f aca="false">'Dish Database'!K225*H727/100</f>
        <v>34</v>
      </c>
      <c r="L727" s="17" t="n">
        <f aca="false">'Dish Database'!L225*H727/100</f>
        <v>96</v>
      </c>
      <c r="M727" s="17" t="n">
        <f aca="false">'Dish Database'!M225*H727/100</f>
        <v>32</v>
      </c>
      <c r="N727" s="17" t="n">
        <f aca="false">'Dish Database'!N225*H727/100</f>
        <v>3.2</v>
      </c>
      <c r="O727" s="17" t="n">
        <f aca="false">'Dish Database'!O225*H727/100</f>
        <v>6</v>
      </c>
      <c r="P727" s="13" t="n">
        <f aca="false">'Dish Database'!P225*H727/100</f>
        <v>1600</v>
      </c>
    </row>
    <row r="728" customFormat="false" ht="15" hidden="false" customHeight="false" outlineLevel="0" collapsed="false">
      <c r="A728" s="6" t="str">
        <f aca="false">'Dish Database'!A225</f>
        <v>D224</v>
      </c>
      <c r="B728" s="6" t="str">
        <f aca="false">'Dish Database'!B225</f>
        <v>Malabar / Thalassery chicken biryani</v>
      </c>
      <c r="C728" s="6" t="str">
        <f aca="false">'Dish Database'!D225</f>
        <v>Biryani</v>
      </c>
      <c r="D728" s="6" t="str">
        <f aca="false">'Dish Database'!F225</f>
        <v>Non-Veg</v>
      </c>
      <c r="E728" s="6" t="str">
        <f aca="false">'Dish Database'!E225</f>
        <v>South</v>
      </c>
      <c r="F728" s="6" t="s">
        <v>2323</v>
      </c>
      <c r="G728" s="6" t="s">
        <v>2324</v>
      </c>
      <c r="H728" s="16" t="n">
        <v>350</v>
      </c>
      <c r="I728" s="6" t="str">
        <f aca="false">'Dish Database'!I225</f>
        <v>g</v>
      </c>
      <c r="J728" s="13" t="n">
        <f aca="false">'Dish Database'!J225*H728/100</f>
        <v>701.4</v>
      </c>
      <c r="K728" s="17" t="n">
        <f aca="false">'Dish Database'!K225*H728/100</f>
        <v>29.75</v>
      </c>
      <c r="L728" s="17" t="n">
        <f aca="false">'Dish Database'!L225*H728/100</f>
        <v>84</v>
      </c>
      <c r="M728" s="17" t="n">
        <f aca="false">'Dish Database'!M225*H728/100</f>
        <v>28</v>
      </c>
      <c r="N728" s="17" t="n">
        <f aca="false">'Dish Database'!N225*H728/100</f>
        <v>2.8</v>
      </c>
      <c r="O728" s="17" t="n">
        <f aca="false">'Dish Database'!O225*H728/100</f>
        <v>5.25</v>
      </c>
      <c r="P728" s="13" t="n">
        <f aca="false">'Dish Database'!P225*H728/100</f>
        <v>1400</v>
      </c>
    </row>
    <row r="729" customFormat="false" ht="15" hidden="false" customHeight="false" outlineLevel="0" collapsed="false">
      <c r="A729" s="6" t="str">
        <f aca="false">'Dish Database'!A225</f>
        <v>D224</v>
      </c>
      <c r="B729" s="6" t="str">
        <f aca="false">'Dish Database'!B225</f>
        <v>Malabar / Thalassery chicken biryani</v>
      </c>
      <c r="C729" s="6" t="str">
        <f aca="false">'Dish Database'!D225</f>
        <v>Biryani</v>
      </c>
      <c r="D729" s="6" t="str">
        <f aca="false">'Dish Database'!F225</f>
        <v>Non-Veg</v>
      </c>
      <c r="E729" s="6" t="str">
        <f aca="false">'Dish Database'!E225</f>
        <v>South</v>
      </c>
      <c r="F729" s="6" t="s">
        <v>2325</v>
      </c>
      <c r="G729" s="6" t="s">
        <v>2326</v>
      </c>
      <c r="H729" s="16" t="n">
        <v>650</v>
      </c>
      <c r="I729" s="6" t="str">
        <f aca="false">'Dish Database'!I225</f>
        <v>g</v>
      </c>
      <c r="J729" s="13" t="n">
        <f aca="false">'Dish Database'!J225*H729/100</f>
        <v>1302.6</v>
      </c>
      <c r="K729" s="17" t="n">
        <f aca="false">'Dish Database'!K225*H729/100</f>
        <v>55.25</v>
      </c>
      <c r="L729" s="17" t="n">
        <f aca="false">'Dish Database'!L225*H729/100</f>
        <v>156</v>
      </c>
      <c r="M729" s="17" t="n">
        <f aca="false">'Dish Database'!M225*H729/100</f>
        <v>52</v>
      </c>
      <c r="N729" s="17" t="n">
        <f aca="false">'Dish Database'!N225*H729/100</f>
        <v>5.2</v>
      </c>
      <c r="O729" s="17" t="n">
        <f aca="false">'Dish Database'!O225*H729/100</f>
        <v>9.75</v>
      </c>
      <c r="P729" s="13" t="n">
        <f aca="false">'Dish Database'!P225*H729/100</f>
        <v>2600</v>
      </c>
    </row>
    <row r="730" customFormat="false" ht="15" hidden="false" customHeight="false" outlineLevel="0" collapsed="false">
      <c r="A730" s="6" t="str">
        <f aca="false">'Dish Database'!A226</f>
        <v>D225</v>
      </c>
      <c r="B730" s="6" t="str">
        <f aca="false">'Dish Database'!B226</f>
        <v>Ambur / Dindigul chicken biryani</v>
      </c>
      <c r="C730" s="6" t="str">
        <f aca="false">'Dish Database'!D226</f>
        <v>Biryani</v>
      </c>
      <c r="D730" s="6" t="str">
        <f aca="false">'Dish Database'!F226</f>
        <v>Non-Veg</v>
      </c>
      <c r="E730" s="6" t="str">
        <f aca="false">'Dish Database'!E226</f>
        <v>South</v>
      </c>
      <c r="F730" s="6" t="s">
        <v>2243</v>
      </c>
      <c r="G730" s="6" t="s">
        <v>2265</v>
      </c>
      <c r="H730" s="16" t="n">
        <v>200</v>
      </c>
      <c r="I730" s="6" t="str">
        <f aca="false">'Dish Database'!I226</f>
        <v>g</v>
      </c>
      <c r="J730" s="13" t="n">
        <f aca="false">'Dish Database'!J226*H730/100</f>
        <v>387.8</v>
      </c>
      <c r="K730" s="17" t="n">
        <f aca="false">'Dish Database'!K226*H730/100</f>
        <v>18</v>
      </c>
      <c r="L730" s="17" t="n">
        <f aca="false">'Dish Database'!L226*H730/100</f>
        <v>46</v>
      </c>
      <c r="M730" s="17" t="n">
        <f aca="false">'Dish Database'!M226*H730/100</f>
        <v>15</v>
      </c>
      <c r="N730" s="17" t="n">
        <f aca="false">'Dish Database'!N226*H730/100</f>
        <v>1.6</v>
      </c>
      <c r="O730" s="17" t="n">
        <f aca="false">'Dish Database'!O226*H730/100</f>
        <v>2</v>
      </c>
      <c r="P730" s="13" t="n">
        <f aca="false">'Dish Database'!P226*H730/100</f>
        <v>840</v>
      </c>
    </row>
    <row r="731" customFormat="false" ht="15" hidden="false" customHeight="false" outlineLevel="0" collapsed="false">
      <c r="A731" s="6" t="str">
        <f aca="false">'Dish Database'!A226</f>
        <v>D225</v>
      </c>
      <c r="B731" s="6" t="str">
        <f aca="false">'Dish Database'!B226</f>
        <v>Ambur / Dindigul chicken biryani</v>
      </c>
      <c r="C731" s="6" t="str">
        <f aca="false">'Dish Database'!D226</f>
        <v>Biryani</v>
      </c>
      <c r="D731" s="6" t="str">
        <f aca="false">'Dish Database'!F226</f>
        <v>Non-Veg</v>
      </c>
      <c r="E731" s="6" t="str">
        <f aca="false">'Dish Database'!E226</f>
        <v>South</v>
      </c>
      <c r="F731" s="6" t="s">
        <v>103</v>
      </c>
      <c r="G731" s="6" t="s">
        <v>2266</v>
      </c>
      <c r="H731" s="16" t="n">
        <v>300</v>
      </c>
      <c r="I731" s="6" t="str">
        <f aca="false">'Dish Database'!I226</f>
        <v>g</v>
      </c>
      <c r="J731" s="13" t="n">
        <f aca="false">'Dish Database'!J226*H731/100</f>
        <v>581.7</v>
      </c>
      <c r="K731" s="17" t="n">
        <f aca="false">'Dish Database'!K226*H731/100</f>
        <v>27</v>
      </c>
      <c r="L731" s="17" t="n">
        <f aca="false">'Dish Database'!L226*H731/100</f>
        <v>69</v>
      </c>
      <c r="M731" s="17" t="n">
        <f aca="false">'Dish Database'!M226*H731/100</f>
        <v>22.5</v>
      </c>
      <c r="N731" s="17" t="n">
        <f aca="false">'Dish Database'!N226*H731/100</f>
        <v>2.4</v>
      </c>
      <c r="O731" s="17" t="n">
        <f aca="false">'Dish Database'!O226*H731/100</f>
        <v>3</v>
      </c>
      <c r="P731" s="13" t="n">
        <f aca="false">'Dish Database'!P226*H731/100</f>
        <v>1260</v>
      </c>
    </row>
    <row r="732" customFormat="false" ht="15" hidden="false" customHeight="false" outlineLevel="0" collapsed="false">
      <c r="A732" s="6" t="str">
        <f aca="false">'Dish Database'!A226</f>
        <v>D225</v>
      </c>
      <c r="B732" s="6" t="str">
        <f aca="false">'Dish Database'!B226</f>
        <v>Ambur / Dindigul chicken biryani</v>
      </c>
      <c r="C732" s="6" t="str">
        <f aca="false">'Dish Database'!D226</f>
        <v>Biryani</v>
      </c>
      <c r="D732" s="6" t="str">
        <f aca="false">'Dish Database'!F226</f>
        <v>Non-Veg</v>
      </c>
      <c r="E732" s="6" t="str">
        <f aca="false">'Dish Database'!E226</f>
        <v>South</v>
      </c>
      <c r="F732" s="6" t="s">
        <v>2246</v>
      </c>
      <c r="G732" s="6" t="s">
        <v>2267</v>
      </c>
      <c r="H732" s="16" t="n">
        <v>400</v>
      </c>
      <c r="I732" s="6" t="str">
        <f aca="false">'Dish Database'!I226</f>
        <v>g</v>
      </c>
      <c r="J732" s="13" t="n">
        <f aca="false">'Dish Database'!J226*H732/100</f>
        <v>775.6</v>
      </c>
      <c r="K732" s="17" t="n">
        <f aca="false">'Dish Database'!K226*H732/100</f>
        <v>36</v>
      </c>
      <c r="L732" s="17" t="n">
        <f aca="false">'Dish Database'!L226*H732/100</f>
        <v>92</v>
      </c>
      <c r="M732" s="17" t="n">
        <f aca="false">'Dish Database'!M226*H732/100</f>
        <v>30</v>
      </c>
      <c r="N732" s="17" t="n">
        <f aca="false">'Dish Database'!N226*H732/100</f>
        <v>3.2</v>
      </c>
      <c r="O732" s="17" t="n">
        <f aca="false">'Dish Database'!O226*H732/100</f>
        <v>4</v>
      </c>
      <c r="P732" s="13" t="n">
        <f aca="false">'Dish Database'!P226*H732/100</f>
        <v>1680</v>
      </c>
    </row>
    <row r="733" customFormat="false" ht="15" hidden="false" customHeight="false" outlineLevel="0" collapsed="false">
      <c r="A733" s="6" t="str">
        <f aca="false">'Dish Database'!A226</f>
        <v>D225</v>
      </c>
      <c r="B733" s="6" t="str">
        <f aca="false">'Dish Database'!B226</f>
        <v>Ambur / Dindigul chicken biryani</v>
      </c>
      <c r="C733" s="6" t="str">
        <f aca="false">'Dish Database'!D226</f>
        <v>Biryani</v>
      </c>
      <c r="D733" s="6" t="str">
        <f aca="false">'Dish Database'!F226</f>
        <v>Non-Veg</v>
      </c>
      <c r="E733" s="6" t="str">
        <f aca="false">'Dish Database'!E226</f>
        <v>South</v>
      </c>
      <c r="F733" s="6" t="s">
        <v>2323</v>
      </c>
      <c r="G733" s="6" t="s">
        <v>2324</v>
      </c>
      <c r="H733" s="16" t="n">
        <v>350</v>
      </c>
      <c r="I733" s="6" t="str">
        <f aca="false">'Dish Database'!I226</f>
        <v>g</v>
      </c>
      <c r="J733" s="13" t="n">
        <f aca="false">'Dish Database'!J226*H733/100</f>
        <v>678.65</v>
      </c>
      <c r="K733" s="17" t="n">
        <f aca="false">'Dish Database'!K226*H733/100</f>
        <v>31.5</v>
      </c>
      <c r="L733" s="17" t="n">
        <f aca="false">'Dish Database'!L226*H733/100</f>
        <v>80.5</v>
      </c>
      <c r="M733" s="17" t="n">
        <f aca="false">'Dish Database'!M226*H733/100</f>
        <v>26.25</v>
      </c>
      <c r="N733" s="17" t="n">
        <f aca="false">'Dish Database'!N226*H733/100</f>
        <v>2.8</v>
      </c>
      <c r="O733" s="17" t="n">
        <f aca="false">'Dish Database'!O226*H733/100</f>
        <v>3.5</v>
      </c>
      <c r="P733" s="13" t="n">
        <f aca="false">'Dish Database'!P226*H733/100</f>
        <v>1470</v>
      </c>
    </row>
    <row r="734" customFormat="false" ht="15" hidden="false" customHeight="false" outlineLevel="0" collapsed="false">
      <c r="A734" s="6" t="str">
        <f aca="false">'Dish Database'!A226</f>
        <v>D225</v>
      </c>
      <c r="B734" s="6" t="str">
        <f aca="false">'Dish Database'!B226</f>
        <v>Ambur / Dindigul chicken biryani</v>
      </c>
      <c r="C734" s="6" t="str">
        <f aca="false">'Dish Database'!D226</f>
        <v>Biryani</v>
      </c>
      <c r="D734" s="6" t="str">
        <f aca="false">'Dish Database'!F226</f>
        <v>Non-Veg</v>
      </c>
      <c r="E734" s="6" t="str">
        <f aca="false">'Dish Database'!E226</f>
        <v>South</v>
      </c>
      <c r="F734" s="6" t="s">
        <v>2325</v>
      </c>
      <c r="G734" s="6" t="s">
        <v>2326</v>
      </c>
      <c r="H734" s="16" t="n">
        <v>650</v>
      </c>
      <c r="I734" s="6" t="str">
        <f aca="false">'Dish Database'!I226</f>
        <v>g</v>
      </c>
      <c r="J734" s="13" t="n">
        <f aca="false">'Dish Database'!J226*H734/100</f>
        <v>1260.35</v>
      </c>
      <c r="K734" s="17" t="n">
        <f aca="false">'Dish Database'!K226*H734/100</f>
        <v>58.5</v>
      </c>
      <c r="L734" s="17" t="n">
        <f aca="false">'Dish Database'!L226*H734/100</f>
        <v>149.5</v>
      </c>
      <c r="M734" s="17" t="n">
        <f aca="false">'Dish Database'!M226*H734/100</f>
        <v>48.75</v>
      </c>
      <c r="N734" s="17" t="n">
        <f aca="false">'Dish Database'!N226*H734/100</f>
        <v>5.2</v>
      </c>
      <c r="O734" s="17" t="n">
        <f aca="false">'Dish Database'!O226*H734/100</f>
        <v>6.5</v>
      </c>
      <c r="P734" s="13" t="n">
        <f aca="false">'Dish Database'!P226*H734/100</f>
        <v>2730</v>
      </c>
    </row>
    <row r="735" customFormat="false" ht="15" hidden="false" customHeight="false" outlineLevel="0" collapsed="false">
      <c r="A735" s="6" t="str">
        <f aca="false">'Dish Database'!A227</f>
        <v>D226</v>
      </c>
      <c r="B735" s="6" t="str">
        <f aca="false">'Dish Database'!B227</f>
        <v>Egg biryani</v>
      </c>
      <c r="C735" s="6" t="str">
        <f aca="false">'Dish Database'!D227</f>
        <v>Biryani</v>
      </c>
      <c r="D735" s="6" t="str">
        <f aca="false">'Dish Database'!F227</f>
        <v>Egg</v>
      </c>
      <c r="E735" s="6" t="str">
        <f aca="false">'Dish Database'!E227</f>
        <v>Pan-India</v>
      </c>
      <c r="F735" s="6" t="s">
        <v>2243</v>
      </c>
      <c r="G735" s="6" t="s">
        <v>2265</v>
      </c>
      <c r="H735" s="16" t="n">
        <v>200</v>
      </c>
      <c r="I735" s="6" t="str">
        <f aca="false">'Dish Database'!I227</f>
        <v>g</v>
      </c>
      <c r="J735" s="13" t="n">
        <f aca="false">'Dish Database'!J227*H735/100</f>
        <v>357.8</v>
      </c>
      <c r="K735" s="17" t="n">
        <f aca="false">'Dish Database'!K227*H735/100</f>
        <v>13</v>
      </c>
      <c r="L735" s="17" t="n">
        <f aca="false">'Dish Database'!L227*H735/100</f>
        <v>48</v>
      </c>
      <c r="M735" s="17" t="n">
        <f aca="false">'Dish Database'!M227*H735/100</f>
        <v>13</v>
      </c>
      <c r="N735" s="17" t="n">
        <f aca="false">'Dish Database'!N227*H735/100</f>
        <v>1.6</v>
      </c>
      <c r="O735" s="17" t="n">
        <f aca="false">'Dish Database'!O227*H735/100</f>
        <v>2</v>
      </c>
      <c r="P735" s="13" t="n">
        <f aca="false">'Dish Database'!P227*H735/100</f>
        <v>800</v>
      </c>
    </row>
    <row r="736" customFormat="false" ht="15" hidden="false" customHeight="false" outlineLevel="0" collapsed="false">
      <c r="A736" s="6" t="str">
        <f aca="false">'Dish Database'!A227</f>
        <v>D226</v>
      </c>
      <c r="B736" s="6" t="str">
        <f aca="false">'Dish Database'!B227</f>
        <v>Egg biryani</v>
      </c>
      <c r="C736" s="6" t="str">
        <f aca="false">'Dish Database'!D227</f>
        <v>Biryani</v>
      </c>
      <c r="D736" s="6" t="str">
        <f aca="false">'Dish Database'!F227</f>
        <v>Egg</v>
      </c>
      <c r="E736" s="6" t="str">
        <f aca="false">'Dish Database'!E227</f>
        <v>Pan-India</v>
      </c>
      <c r="F736" s="6" t="s">
        <v>103</v>
      </c>
      <c r="G736" s="6" t="s">
        <v>2266</v>
      </c>
      <c r="H736" s="16" t="n">
        <v>300</v>
      </c>
      <c r="I736" s="6" t="str">
        <f aca="false">'Dish Database'!I227</f>
        <v>g</v>
      </c>
      <c r="J736" s="13" t="n">
        <f aca="false">'Dish Database'!J227*H736/100</f>
        <v>536.7</v>
      </c>
      <c r="K736" s="17" t="n">
        <f aca="false">'Dish Database'!K227*H736/100</f>
        <v>19.5</v>
      </c>
      <c r="L736" s="17" t="n">
        <f aca="false">'Dish Database'!L227*H736/100</f>
        <v>72</v>
      </c>
      <c r="M736" s="17" t="n">
        <f aca="false">'Dish Database'!M227*H736/100</f>
        <v>19.5</v>
      </c>
      <c r="N736" s="17" t="n">
        <f aca="false">'Dish Database'!N227*H736/100</f>
        <v>2.4</v>
      </c>
      <c r="O736" s="17" t="n">
        <f aca="false">'Dish Database'!O227*H736/100</f>
        <v>3</v>
      </c>
      <c r="P736" s="13" t="n">
        <f aca="false">'Dish Database'!P227*H736/100</f>
        <v>1200</v>
      </c>
    </row>
    <row r="737" customFormat="false" ht="15" hidden="false" customHeight="false" outlineLevel="0" collapsed="false">
      <c r="A737" s="6" t="str">
        <f aca="false">'Dish Database'!A227</f>
        <v>D226</v>
      </c>
      <c r="B737" s="6" t="str">
        <f aca="false">'Dish Database'!B227</f>
        <v>Egg biryani</v>
      </c>
      <c r="C737" s="6" t="str">
        <f aca="false">'Dish Database'!D227</f>
        <v>Biryani</v>
      </c>
      <c r="D737" s="6" t="str">
        <f aca="false">'Dish Database'!F227</f>
        <v>Egg</v>
      </c>
      <c r="E737" s="6" t="str">
        <f aca="false">'Dish Database'!E227</f>
        <v>Pan-India</v>
      </c>
      <c r="F737" s="6" t="s">
        <v>2246</v>
      </c>
      <c r="G737" s="6" t="s">
        <v>2267</v>
      </c>
      <c r="H737" s="16" t="n">
        <v>400</v>
      </c>
      <c r="I737" s="6" t="str">
        <f aca="false">'Dish Database'!I227</f>
        <v>g</v>
      </c>
      <c r="J737" s="13" t="n">
        <f aca="false">'Dish Database'!J227*H737/100</f>
        <v>715.6</v>
      </c>
      <c r="K737" s="17" t="n">
        <f aca="false">'Dish Database'!K227*H737/100</f>
        <v>26</v>
      </c>
      <c r="L737" s="17" t="n">
        <f aca="false">'Dish Database'!L227*H737/100</f>
        <v>96</v>
      </c>
      <c r="M737" s="17" t="n">
        <f aca="false">'Dish Database'!M227*H737/100</f>
        <v>26</v>
      </c>
      <c r="N737" s="17" t="n">
        <f aca="false">'Dish Database'!N227*H737/100</f>
        <v>3.2</v>
      </c>
      <c r="O737" s="17" t="n">
        <f aca="false">'Dish Database'!O227*H737/100</f>
        <v>4</v>
      </c>
      <c r="P737" s="13" t="n">
        <f aca="false">'Dish Database'!P227*H737/100</f>
        <v>1600</v>
      </c>
    </row>
    <row r="738" customFormat="false" ht="15" hidden="false" customHeight="false" outlineLevel="0" collapsed="false">
      <c r="A738" s="6" t="str">
        <f aca="false">'Dish Database'!A227</f>
        <v>D226</v>
      </c>
      <c r="B738" s="6" t="str">
        <f aca="false">'Dish Database'!B227</f>
        <v>Egg biryani</v>
      </c>
      <c r="C738" s="6" t="str">
        <f aca="false">'Dish Database'!D227</f>
        <v>Biryani</v>
      </c>
      <c r="D738" s="6" t="str">
        <f aca="false">'Dish Database'!F227</f>
        <v>Egg</v>
      </c>
      <c r="E738" s="6" t="str">
        <f aca="false">'Dish Database'!E227</f>
        <v>Pan-India</v>
      </c>
      <c r="F738" s="6" t="s">
        <v>2323</v>
      </c>
      <c r="G738" s="6" t="s">
        <v>2324</v>
      </c>
      <c r="H738" s="16" t="n">
        <v>350</v>
      </c>
      <c r="I738" s="6" t="str">
        <f aca="false">'Dish Database'!I227</f>
        <v>g</v>
      </c>
      <c r="J738" s="13" t="n">
        <f aca="false">'Dish Database'!J227*H738/100</f>
        <v>626.15</v>
      </c>
      <c r="K738" s="17" t="n">
        <f aca="false">'Dish Database'!K227*H738/100</f>
        <v>22.75</v>
      </c>
      <c r="L738" s="17" t="n">
        <f aca="false">'Dish Database'!L227*H738/100</f>
        <v>84</v>
      </c>
      <c r="M738" s="17" t="n">
        <f aca="false">'Dish Database'!M227*H738/100</f>
        <v>22.75</v>
      </c>
      <c r="N738" s="17" t="n">
        <f aca="false">'Dish Database'!N227*H738/100</f>
        <v>2.8</v>
      </c>
      <c r="O738" s="17" t="n">
        <f aca="false">'Dish Database'!O227*H738/100</f>
        <v>3.5</v>
      </c>
      <c r="P738" s="13" t="n">
        <f aca="false">'Dish Database'!P227*H738/100</f>
        <v>1400</v>
      </c>
    </row>
    <row r="739" customFormat="false" ht="15" hidden="false" customHeight="false" outlineLevel="0" collapsed="false">
      <c r="A739" s="6" t="str">
        <f aca="false">'Dish Database'!A227</f>
        <v>D226</v>
      </c>
      <c r="B739" s="6" t="str">
        <f aca="false">'Dish Database'!B227</f>
        <v>Egg biryani</v>
      </c>
      <c r="C739" s="6" t="str">
        <f aca="false">'Dish Database'!D227</f>
        <v>Biryani</v>
      </c>
      <c r="D739" s="6" t="str">
        <f aca="false">'Dish Database'!F227</f>
        <v>Egg</v>
      </c>
      <c r="E739" s="6" t="str">
        <f aca="false">'Dish Database'!E227</f>
        <v>Pan-India</v>
      </c>
      <c r="F739" s="6" t="s">
        <v>2325</v>
      </c>
      <c r="G739" s="6" t="s">
        <v>2326</v>
      </c>
      <c r="H739" s="16" t="n">
        <v>650</v>
      </c>
      <c r="I739" s="6" t="str">
        <f aca="false">'Dish Database'!I227</f>
        <v>g</v>
      </c>
      <c r="J739" s="13" t="n">
        <f aca="false">'Dish Database'!J227*H739/100</f>
        <v>1162.85</v>
      </c>
      <c r="K739" s="17" t="n">
        <f aca="false">'Dish Database'!K227*H739/100</f>
        <v>42.25</v>
      </c>
      <c r="L739" s="17" t="n">
        <f aca="false">'Dish Database'!L227*H739/100</f>
        <v>156</v>
      </c>
      <c r="M739" s="17" t="n">
        <f aca="false">'Dish Database'!M227*H739/100</f>
        <v>42.25</v>
      </c>
      <c r="N739" s="17" t="n">
        <f aca="false">'Dish Database'!N227*H739/100</f>
        <v>5.2</v>
      </c>
      <c r="O739" s="17" t="n">
        <f aca="false">'Dish Database'!O227*H739/100</f>
        <v>6.5</v>
      </c>
      <c r="P739" s="13" t="n">
        <f aca="false">'Dish Database'!P227*H739/100</f>
        <v>2600</v>
      </c>
    </row>
    <row r="740" customFormat="false" ht="15" hidden="false" customHeight="false" outlineLevel="0" collapsed="false">
      <c r="A740" s="6" t="str">
        <f aca="false">'Dish Database'!A228</f>
        <v>D227</v>
      </c>
      <c r="B740" s="6" t="str">
        <f aca="false">'Dish Database'!B228</f>
        <v>Prawn biryani</v>
      </c>
      <c r="C740" s="6" t="str">
        <f aca="false">'Dish Database'!D228</f>
        <v>Biryani</v>
      </c>
      <c r="D740" s="6" t="str">
        <f aca="false">'Dish Database'!F228</f>
        <v>Non-Veg</v>
      </c>
      <c r="E740" s="6" t="str">
        <f aca="false">'Dish Database'!E228</f>
        <v>Pan-India</v>
      </c>
      <c r="F740" s="6" t="s">
        <v>2243</v>
      </c>
      <c r="G740" s="6" t="s">
        <v>2265</v>
      </c>
      <c r="H740" s="16" t="n">
        <v>200</v>
      </c>
      <c r="I740" s="6" t="str">
        <f aca="false">'Dish Database'!I228</f>
        <v>g</v>
      </c>
      <c r="J740" s="13" t="n">
        <f aca="false">'Dish Database'!J228*H740/100</f>
        <v>352.8</v>
      </c>
      <c r="K740" s="17" t="n">
        <f aca="false">'Dish Database'!K228*H740/100</f>
        <v>16</v>
      </c>
      <c r="L740" s="17" t="n">
        <f aca="false">'Dish Database'!L228*H740/100</f>
        <v>46</v>
      </c>
      <c r="M740" s="17" t="n">
        <f aca="false">'Dish Database'!M228*H740/100</f>
        <v>12</v>
      </c>
      <c r="N740" s="17" t="n">
        <f aca="false">'Dish Database'!N228*H740/100</f>
        <v>1.6</v>
      </c>
      <c r="O740" s="17" t="n">
        <f aca="false">'Dish Database'!O228*H740/100</f>
        <v>2</v>
      </c>
      <c r="P740" s="13" t="n">
        <f aca="false">'Dish Database'!P228*H740/100</f>
        <v>900</v>
      </c>
    </row>
    <row r="741" customFormat="false" ht="15" hidden="false" customHeight="false" outlineLevel="0" collapsed="false">
      <c r="A741" s="6" t="str">
        <f aca="false">'Dish Database'!A228</f>
        <v>D227</v>
      </c>
      <c r="B741" s="6" t="str">
        <f aca="false">'Dish Database'!B228</f>
        <v>Prawn biryani</v>
      </c>
      <c r="C741" s="6" t="str">
        <f aca="false">'Dish Database'!D228</f>
        <v>Biryani</v>
      </c>
      <c r="D741" s="6" t="str">
        <f aca="false">'Dish Database'!F228</f>
        <v>Non-Veg</v>
      </c>
      <c r="E741" s="6" t="str">
        <f aca="false">'Dish Database'!E228</f>
        <v>Pan-India</v>
      </c>
      <c r="F741" s="6" t="s">
        <v>103</v>
      </c>
      <c r="G741" s="6" t="s">
        <v>2266</v>
      </c>
      <c r="H741" s="16" t="n">
        <v>300</v>
      </c>
      <c r="I741" s="6" t="str">
        <f aca="false">'Dish Database'!I228</f>
        <v>g</v>
      </c>
      <c r="J741" s="13" t="n">
        <f aca="false">'Dish Database'!J228*H741/100</f>
        <v>529.2</v>
      </c>
      <c r="K741" s="17" t="n">
        <f aca="false">'Dish Database'!K228*H741/100</f>
        <v>24</v>
      </c>
      <c r="L741" s="17" t="n">
        <f aca="false">'Dish Database'!L228*H741/100</f>
        <v>69</v>
      </c>
      <c r="M741" s="17" t="n">
        <f aca="false">'Dish Database'!M228*H741/100</f>
        <v>18</v>
      </c>
      <c r="N741" s="17" t="n">
        <f aca="false">'Dish Database'!N228*H741/100</f>
        <v>2.4</v>
      </c>
      <c r="O741" s="17" t="n">
        <f aca="false">'Dish Database'!O228*H741/100</f>
        <v>3</v>
      </c>
      <c r="P741" s="13" t="n">
        <f aca="false">'Dish Database'!P228*H741/100</f>
        <v>1350</v>
      </c>
    </row>
    <row r="742" customFormat="false" ht="15" hidden="false" customHeight="false" outlineLevel="0" collapsed="false">
      <c r="A742" s="6" t="str">
        <f aca="false">'Dish Database'!A228</f>
        <v>D227</v>
      </c>
      <c r="B742" s="6" t="str">
        <f aca="false">'Dish Database'!B228</f>
        <v>Prawn biryani</v>
      </c>
      <c r="C742" s="6" t="str">
        <f aca="false">'Dish Database'!D228</f>
        <v>Biryani</v>
      </c>
      <c r="D742" s="6" t="str">
        <f aca="false">'Dish Database'!F228</f>
        <v>Non-Veg</v>
      </c>
      <c r="E742" s="6" t="str">
        <f aca="false">'Dish Database'!E228</f>
        <v>Pan-India</v>
      </c>
      <c r="F742" s="6" t="s">
        <v>2246</v>
      </c>
      <c r="G742" s="6" t="s">
        <v>2267</v>
      </c>
      <c r="H742" s="16" t="n">
        <v>400</v>
      </c>
      <c r="I742" s="6" t="str">
        <f aca="false">'Dish Database'!I228</f>
        <v>g</v>
      </c>
      <c r="J742" s="13" t="n">
        <f aca="false">'Dish Database'!J228*H742/100</f>
        <v>705.6</v>
      </c>
      <c r="K742" s="17" t="n">
        <f aca="false">'Dish Database'!K228*H742/100</f>
        <v>32</v>
      </c>
      <c r="L742" s="17" t="n">
        <f aca="false">'Dish Database'!L228*H742/100</f>
        <v>92</v>
      </c>
      <c r="M742" s="17" t="n">
        <f aca="false">'Dish Database'!M228*H742/100</f>
        <v>24</v>
      </c>
      <c r="N742" s="17" t="n">
        <f aca="false">'Dish Database'!N228*H742/100</f>
        <v>3.2</v>
      </c>
      <c r="O742" s="17" t="n">
        <f aca="false">'Dish Database'!O228*H742/100</f>
        <v>4</v>
      </c>
      <c r="P742" s="13" t="n">
        <f aca="false">'Dish Database'!P228*H742/100</f>
        <v>1800</v>
      </c>
    </row>
    <row r="743" customFormat="false" ht="15" hidden="false" customHeight="false" outlineLevel="0" collapsed="false">
      <c r="A743" s="6" t="str">
        <f aca="false">'Dish Database'!A228</f>
        <v>D227</v>
      </c>
      <c r="B743" s="6" t="str">
        <f aca="false">'Dish Database'!B228</f>
        <v>Prawn biryani</v>
      </c>
      <c r="C743" s="6" t="str">
        <f aca="false">'Dish Database'!D228</f>
        <v>Biryani</v>
      </c>
      <c r="D743" s="6" t="str">
        <f aca="false">'Dish Database'!F228</f>
        <v>Non-Veg</v>
      </c>
      <c r="E743" s="6" t="str">
        <f aca="false">'Dish Database'!E228</f>
        <v>Pan-India</v>
      </c>
      <c r="F743" s="6" t="s">
        <v>2323</v>
      </c>
      <c r="G743" s="6" t="s">
        <v>2324</v>
      </c>
      <c r="H743" s="16" t="n">
        <v>350</v>
      </c>
      <c r="I743" s="6" t="str">
        <f aca="false">'Dish Database'!I228</f>
        <v>g</v>
      </c>
      <c r="J743" s="13" t="n">
        <f aca="false">'Dish Database'!J228*H743/100</f>
        <v>617.4</v>
      </c>
      <c r="K743" s="17" t="n">
        <f aca="false">'Dish Database'!K228*H743/100</f>
        <v>28</v>
      </c>
      <c r="L743" s="17" t="n">
        <f aca="false">'Dish Database'!L228*H743/100</f>
        <v>80.5</v>
      </c>
      <c r="M743" s="17" t="n">
        <f aca="false">'Dish Database'!M228*H743/100</f>
        <v>21</v>
      </c>
      <c r="N743" s="17" t="n">
        <f aca="false">'Dish Database'!N228*H743/100</f>
        <v>2.8</v>
      </c>
      <c r="O743" s="17" t="n">
        <f aca="false">'Dish Database'!O228*H743/100</f>
        <v>3.5</v>
      </c>
      <c r="P743" s="13" t="n">
        <f aca="false">'Dish Database'!P228*H743/100</f>
        <v>1575</v>
      </c>
    </row>
    <row r="744" customFormat="false" ht="15" hidden="false" customHeight="false" outlineLevel="0" collapsed="false">
      <c r="A744" s="6" t="str">
        <f aca="false">'Dish Database'!A228</f>
        <v>D227</v>
      </c>
      <c r="B744" s="6" t="str">
        <f aca="false">'Dish Database'!B228</f>
        <v>Prawn biryani</v>
      </c>
      <c r="C744" s="6" t="str">
        <f aca="false">'Dish Database'!D228</f>
        <v>Biryani</v>
      </c>
      <c r="D744" s="6" t="str">
        <f aca="false">'Dish Database'!F228</f>
        <v>Non-Veg</v>
      </c>
      <c r="E744" s="6" t="str">
        <f aca="false">'Dish Database'!E228</f>
        <v>Pan-India</v>
      </c>
      <c r="F744" s="6" t="s">
        <v>2325</v>
      </c>
      <c r="G744" s="6" t="s">
        <v>2326</v>
      </c>
      <c r="H744" s="16" t="n">
        <v>650</v>
      </c>
      <c r="I744" s="6" t="str">
        <f aca="false">'Dish Database'!I228</f>
        <v>g</v>
      </c>
      <c r="J744" s="13" t="n">
        <f aca="false">'Dish Database'!J228*H744/100</f>
        <v>1146.6</v>
      </c>
      <c r="K744" s="17" t="n">
        <f aca="false">'Dish Database'!K228*H744/100</f>
        <v>52</v>
      </c>
      <c r="L744" s="17" t="n">
        <f aca="false">'Dish Database'!L228*H744/100</f>
        <v>149.5</v>
      </c>
      <c r="M744" s="17" t="n">
        <f aca="false">'Dish Database'!M228*H744/100</f>
        <v>39</v>
      </c>
      <c r="N744" s="17" t="n">
        <f aca="false">'Dish Database'!N228*H744/100</f>
        <v>5.2</v>
      </c>
      <c r="O744" s="17" t="n">
        <f aca="false">'Dish Database'!O228*H744/100</f>
        <v>6.5</v>
      </c>
      <c r="P744" s="13" t="n">
        <f aca="false">'Dish Database'!P228*H744/100</f>
        <v>2925</v>
      </c>
    </row>
    <row r="745" customFormat="false" ht="15" hidden="false" customHeight="false" outlineLevel="0" collapsed="false">
      <c r="A745" s="6" t="str">
        <f aca="false">'Dish Database'!A229</f>
        <v>D228</v>
      </c>
      <c r="B745" s="6" t="str">
        <f aca="false">'Dish Database'!B229</f>
        <v>Fish biryani</v>
      </c>
      <c r="C745" s="6" t="str">
        <f aca="false">'Dish Database'!D229</f>
        <v>Biryani</v>
      </c>
      <c r="D745" s="6" t="str">
        <f aca="false">'Dish Database'!F229</f>
        <v>Non-Veg</v>
      </c>
      <c r="E745" s="6" t="str">
        <f aca="false">'Dish Database'!E229</f>
        <v>South</v>
      </c>
      <c r="F745" s="6" t="s">
        <v>2243</v>
      </c>
      <c r="G745" s="6" t="s">
        <v>2265</v>
      </c>
      <c r="H745" s="16" t="n">
        <v>200</v>
      </c>
      <c r="I745" s="6" t="str">
        <f aca="false">'Dish Database'!I229</f>
        <v>g</v>
      </c>
      <c r="J745" s="13" t="n">
        <f aca="false">'Dish Database'!J229*H745/100</f>
        <v>356.8</v>
      </c>
      <c r="K745" s="17" t="n">
        <f aca="false">'Dish Database'!K229*H745/100</f>
        <v>17</v>
      </c>
      <c r="L745" s="17" t="n">
        <f aca="false">'Dish Database'!L229*H745/100</f>
        <v>46</v>
      </c>
      <c r="M745" s="17" t="n">
        <f aca="false">'Dish Database'!M229*H745/100</f>
        <v>12</v>
      </c>
      <c r="N745" s="17" t="n">
        <f aca="false">'Dish Database'!N229*H745/100</f>
        <v>1.6</v>
      </c>
      <c r="O745" s="17" t="n">
        <f aca="false">'Dish Database'!O229*H745/100</f>
        <v>2</v>
      </c>
      <c r="P745" s="13" t="n">
        <f aca="false">'Dish Database'!P229*H745/100</f>
        <v>840</v>
      </c>
    </row>
    <row r="746" customFormat="false" ht="15" hidden="false" customHeight="false" outlineLevel="0" collapsed="false">
      <c r="A746" s="6" t="str">
        <f aca="false">'Dish Database'!A229</f>
        <v>D228</v>
      </c>
      <c r="B746" s="6" t="str">
        <f aca="false">'Dish Database'!B229</f>
        <v>Fish biryani</v>
      </c>
      <c r="C746" s="6" t="str">
        <f aca="false">'Dish Database'!D229</f>
        <v>Biryani</v>
      </c>
      <c r="D746" s="6" t="str">
        <f aca="false">'Dish Database'!F229</f>
        <v>Non-Veg</v>
      </c>
      <c r="E746" s="6" t="str">
        <f aca="false">'Dish Database'!E229</f>
        <v>South</v>
      </c>
      <c r="F746" s="6" t="s">
        <v>103</v>
      </c>
      <c r="G746" s="6" t="s">
        <v>2266</v>
      </c>
      <c r="H746" s="16" t="n">
        <v>300</v>
      </c>
      <c r="I746" s="6" t="str">
        <f aca="false">'Dish Database'!I229</f>
        <v>g</v>
      </c>
      <c r="J746" s="13" t="n">
        <f aca="false">'Dish Database'!J229*H746/100</f>
        <v>535.2</v>
      </c>
      <c r="K746" s="17" t="n">
        <f aca="false">'Dish Database'!K229*H746/100</f>
        <v>25.5</v>
      </c>
      <c r="L746" s="17" t="n">
        <f aca="false">'Dish Database'!L229*H746/100</f>
        <v>69</v>
      </c>
      <c r="M746" s="17" t="n">
        <f aca="false">'Dish Database'!M229*H746/100</f>
        <v>18</v>
      </c>
      <c r="N746" s="17" t="n">
        <f aca="false">'Dish Database'!N229*H746/100</f>
        <v>2.4</v>
      </c>
      <c r="O746" s="17" t="n">
        <f aca="false">'Dish Database'!O229*H746/100</f>
        <v>3</v>
      </c>
      <c r="P746" s="13" t="n">
        <f aca="false">'Dish Database'!P229*H746/100</f>
        <v>1260</v>
      </c>
    </row>
    <row r="747" customFormat="false" ht="15" hidden="false" customHeight="false" outlineLevel="0" collapsed="false">
      <c r="A747" s="6" t="str">
        <f aca="false">'Dish Database'!A229</f>
        <v>D228</v>
      </c>
      <c r="B747" s="6" t="str">
        <f aca="false">'Dish Database'!B229</f>
        <v>Fish biryani</v>
      </c>
      <c r="C747" s="6" t="str">
        <f aca="false">'Dish Database'!D229</f>
        <v>Biryani</v>
      </c>
      <c r="D747" s="6" t="str">
        <f aca="false">'Dish Database'!F229</f>
        <v>Non-Veg</v>
      </c>
      <c r="E747" s="6" t="str">
        <f aca="false">'Dish Database'!E229</f>
        <v>South</v>
      </c>
      <c r="F747" s="6" t="s">
        <v>2246</v>
      </c>
      <c r="G747" s="6" t="s">
        <v>2267</v>
      </c>
      <c r="H747" s="16" t="n">
        <v>400</v>
      </c>
      <c r="I747" s="6" t="str">
        <f aca="false">'Dish Database'!I229</f>
        <v>g</v>
      </c>
      <c r="J747" s="13" t="n">
        <f aca="false">'Dish Database'!J229*H747/100</f>
        <v>713.6</v>
      </c>
      <c r="K747" s="17" t="n">
        <f aca="false">'Dish Database'!K229*H747/100</f>
        <v>34</v>
      </c>
      <c r="L747" s="17" t="n">
        <f aca="false">'Dish Database'!L229*H747/100</f>
        <v>92</v>
      </c>
      <c r="M747" s="17" t="n">
        <f aca="false">'Dish Database'!M229*H747/100</f>
        <v>24</v>
      </c>
      <c r="N747" s="17" t="n">
        <f aca="false">'Dish Database'!N229*H747/100</f>
        <v>3.2</v>
      </c>
      <c r="O747" s="17" t="n">
        <f aca="false">'Dish Database'!O229*H747/100</f>
        <v>4</v>
      </c>
      <c r="P747" s="13" t="n">
        <f aca="false">'Dish Database'!P229*H747/100</f>
        <v>1680</v>
      </c>
    </row>
    <row r="748" customFormat="false" ht="15" hidden="false" customHeight="false" outlineLevel="0" collapsed="false">
      <c r="A748" s="6" t="str">
        <f aca="false">'Dish Database'!A229</f>
        <v>D228</v>
      </c>
      <c r="B748" s="6" t="str">
        <f aca="false">'Dish Database'!B229</f>
        <v>Fish biryani</v>
      </c>
      <c r="C748" s="6" t="str">
        <f aca="false">'Dish Database'!D229</f>
        <v>Biryani</v>
      </c>
      <c r="D748" s="6" t="str">
        <f aca="false">'Dish Database'!F229</f>
        <v>Non-Veg</v>
      </c>
      <c r="E748" s="6" t="str">
        <f aca="false">'Dish Database'!E229</f>
        <v>South</v>
      </c>
      <c r="F748" s="6" t="s">
        <v>2323</v>
      </c>
      <c r="G748" s="6" t="s">
        <v>2324</v>
      </c>
      <c r="H748" s="16" t="n">
        <v>350</v>
      </c>
      <c r="I748" s="6" t="str">
        <f aca="false">'Dish Database'!I229</f>
        <v>g</v>
      </c>
      <c r="J748" s="13" t="n">
        <f aca="false">'Dish Database'!J229*H748/100</f>
        <v>624.4</v>
      </c>
      <c r="K748" s="17" t="n">
        <f aca="false">'Dish Database'!K229*H748/100</f>
        <v>29.75</v>
      </c>
      <c r="L748" s="17" t="n">
        <f aca="false">'Dish Database'!L229*H748/100</f>
        <v>80.5</v>
      </c>
      <c r="M748" s="17" t="n">
        <f aca="false">'Dish Database'!M229*H748/100</f>
        <v>21</v>
      </c>
      <c r="N748" s="17" t="n">
        <f aca="false">'Dish Database'!N229*H748/100</f>
        <v>2.8</v>
      </c>
      <c r="O748" s="17" t="n">
        <f aca="false">'Dish Database'!O229*H748/100</f>
        <v>3.5</v>
      </c>
      <c r="P748" s="13" t="n">
        <f aca="false">'Dish Database'!P229*H748/100</f>
        <v>1470</v>
      </c>
    </row>
    <row r="749" customFormat="false" ht="15" hidden="false" customHeight="false" outlineLevel="0" collapsed="false">
      <c r="A749" s="6" t="str">
        <f aca="false">'Dish Database'!A229</f>
        <v>D228</v>
      </c>
      <c r="B749" s="6" t="str">
        <f aca="false">'Dish Database'!B229</f>
        <v>Fish biryani</v>
      </c>
      <c r="C749" s="6" t="str">
        <f aca="false">'Dish Database'!D229</f>
        <v>Biryani</v>
      </c>
      <c r="D749" s="6" t="str">
        <f aca="false">'Dish Database'!F229</f>
        <v>Non-Veg</v>
      </c>
      <c r="E749" s="6" t="str">
        <f aca="false">'Dish Database'!E229</f>
        <v>South</v>
      </c>
      <c r="F749" s="6" t="s">
        <v>2325</v>
      </c>
      <c r="G749" s="6" t="s">
        <v>2326</v>
      </c>
      <c r="H749" s="16" t="n">
        <v>650</v>
      </c>
      <c r="I749" s="6" t="str">
        <f aca="false">'Dish Database'!I229</f>
        <v>g</v>
      </c>
      <c r="J749" s="13" t="n">
        <f aca="false">'Dish Database'!J229*H749/100</f>
        <v>1159.6</v>
      </c>
      <c r="K749" s="17" t="n">
        <f aca="false">'Dish Database'!K229*H749/100</f>
        <v>55.25</v>
      </c>
      <c r="L749" s="17" t="n">
        <f aca="false">'Dish Database'!L229*H749/100</f>
        <v>149.5</v>
      </c>
      <c r="M749" s="17" t="n">
        <f aca="false">'Dish Database'!M229*H749/100</f>
        <v>39</v>
      </c>
      <c r="N749" s="17" t="n">
        <f aca="false">'Dish Database'!N229*H749/100</f>
        <v>5.2</v>
      </c>
      <c r="O749" s="17" t="n">
        <f aca="false">'Dish Database'!O229*H749/100</f>
        <v>6.5</v>
      </c>
      <c r="P749" s="13" t="n">
        <f aca="false">'Dish Database'!P229*H749/100</f>
        <v>2730</v>
      </c>
    </row>
    <row r="750" customFormat="false" ht="15" hidden="false" customHeight="false" outlineLevel="0" collapsed="false">
      <c r="A750" s="6" t="str">
        <f aca="false">'Dish Database'!A230</f>
        <v>D229</v>
      </c>
      <c r="B750" s="6" t="str">
        <f aca="false">'Dish Database'!B230</f>
        <v>Toor / arhar dal (home, light tadka)</v>
      </c>
      <c r="C750" s="6" t="str">
        <f aca="false">'Dish Database'!D230</f>
        <v>Dal &amp; Legumes</v>
      </c>
      <c r="D750" s="6" t="str">
        <f aca="false">'Dish Database'!F230</f>
        <v>Veg</v>
      </c>
      <c r="E750" s="6" t="str">
        <f aca="false">'Dish Database'!E230</f>
        <v>Pan-India</v>
      </c>
      <c r="F750" s="6" t="s">
        <v>2243</v>
      </c>
      <c r="G750" s="6" t="s">
        <v>2500</v>
      </c>
      <c r="H750" s="16" t="n">
        <v>100</v>
      </c>
      <c r="I750" s="6" t="str">
        <f aca="false">'Dish Database'!I230</f>
        <v>g</v>
      </c>
      <c r="J750" s="13" t="n">
        <f aca="false">'Dish Database'!J230*H750/100</f>
        <v>83.6</v>
      </c>
      <c r="K750" s="17" t="n">
        <f aca="false">'Dish Database'!K230*H750/100</f>
        <v>4.8</v>
      </c>
      <c r="L750" s="17" t="n">
        <f aca="false">'Dish Database'!L230*H750/100</f>
        <v>13</v>
      </c>
      <c r="M750" s="17" t="n">
        <f aca="false">'Dish Database'!M230*H750/100</f>
        <v>2</v>
      </c>
      <c r="N750" s="17" t="n">
        <f aca="false">'Dish Database'!N230*H750/100</f>
        <v>2.8</v>
      </c>
      <c r="O750" s="17" t="n">
        <f aca="false">'Dish Database'!O230*H750/100</f>
        <v>0.8</v>
      </c>
      <c r="P750" s="13" t="n">
        <f aca="false">'Dish Database'!P230*H750/100</f>
        <v>300</v>
      </c>
    </row>
    <row r="751" customFormat="false" ht="15" hidden="false" customHeight="false" outlineLevel="0" collapsed="false">
      <c r="A751" s="6" t="str">
        <f aca="false">'Dish Database'!A230</f>
        <v>D229</v>
      </c>
      <c r="B751" s="6" t="str">
        <f aca="false">'Dish Database'!B230</f>
        <v>Toor / arhar dal (home, light tadka)</v>
      </c>
      <c r="C751" s="6" t="str">
        <f aca="false">'Dish Database'!D230</f>
        <v>Dal &amp; Legumes</v>
      </c>
      <c r="D751" s="6" t="str">
        <f aca="false">'Dish Database'!F230</f>
        <v>Veg</v>
      </c>
      <c r="E751" s="6" t="str">
        <f aca="false">'Dish Database'!E230</f>
        <v>Pan-India</v>
      </c>
      <c r="F751" s="6" t="s">
        <v>103</v>
      </c>
      <c r="G751" s="6" t="s">
        <v>2501</v>
      </c>
      <c r="H751" s="16" t="n">
        <v>150</v>
      </c>
      <c r="I751" s="6" t="str">
        <f aca="false">'Dish Database'!I230</f>
        <v>g</v>
      </c>
      <c r="J751" s="13" t="n">
        <f aca="false">'Dish Database'!J230*H751/100</f>
        <v>125.4</v>
      </c>
      <c r="K751" s="17" t="n">
        <f aca="false">'Dish Database'!K230*H751/100</f>
        <v>7.2</v>
      </c>
      <c r="L751" s="17" t="n">
        <f aca="false">'Dish Database'!L230*H751/100</f>
        <v>19.5</v>
      </c>
      <c r="M751" s="17" t="n">
        <f aca="false">'Dish Database'!M230*H751/100</f>
        <v>3</v>
      </c>
      <c r="N751" s="17" t="n">
        <f aca="false">'Dish Database'!N230*H751/100</f>
        <v>4.2</v>
      </c>
      <c r="O751" s="17" t="n">
        <f aca="false">'Dish Database'!O230*H751/100</f>
        <v>1.2</v>
      </c>
      <c r="P751" s="13" t="n">
        <f aca="false">'Dish Database'!P230*H751/100</f>
        <v>450</v>
      </c>
    </row>
    <row r="752" customFormat="false" ht="15" hidden="false" customHeight="false" outlineLevel="0" collapsed="false">
      <c r="A752" s="6" t="str">
        <f aca="false">'Dish Database'!A230</f>
        <v>D229</v>
      </c>
      <c r="B752" s="6" t="str">
        <f aca="false">'Dish Database'!B230</f>
        <v>Toor / arhar dal (home, light tadka)</v>
      </c>
      <c r="C752" s="6" t="str">
        <f aca="false">'Dish Database'!D230</f>
        <v>Dal &amp; Legumes</v>
      </c>
      <c r="D752" s="6" t="str">
        <f aca="false">'Dish Database'!F230</f>
        <v>Veg</v>
      </c>
      <c r="E752" s="6" t="str">
        <f aca="false">'Dish Database'!E230</f>
        <v>Pan-India</v>
      </c>
      <c r="F752" s="6" t="s">
        <v>2246</v>
      </c>
      <c r="G752" s="6" t="s">
        <v>2502</v>
      </c>
      <c r="H752" s="16" t="n">
        <v>200</v>
      </c>
      <c r="I752" s="6" t="str">
        <f aca="false">'Dish Database'!I230</f>
        <v>g</v>
      </c>
      <c r="J752" s="13" t="n">
        <f aca="false">'Dish Database'!J230*H752/100</f>
        <v>167.2</v>
      </c>
      <c r="K752" s="17" t="n">
        <f aca="false">'Dish Database'!K230*H752/100</f>
        <v>9.6</v>
      </c>
      <c r="L752" s="17" t="n">
        <f aca="false">'Dish Database'!L230*H752/100</f>
        <v>26</v>
      </c>
      <c r="M752" s="17" t="n">
        <f aca="false">'Dish Database'!M230*H752/100</f>
        <v>4</v>
      </c>
      <c r="N752" s="17" t="n">
        <f aca="false">'Dish Database'!N230*H752/100</f>
        <v>5.6</v>
      </c>
      <c r="O752" s="17" t="n">
        <f aca="false">'Dish Database'!O230*H752/100</f>
        <v>1.6</v>
      </c>
      <c r="P752" s="13" t="n">
        <f aca="false">'Dish Database'!P230*H752/100</f>
        <v>600</v>
      </c>
    </row>
    <row r="753" customFormat="false" ht="15" hidden="false" customHeight="false" outlineLevel="0" collapsed="false">
      <c r="A753" s="6" t="str">
        <f aca="false">'Dish Database'!A230</f>
        <v>D229</v>
      </c>
      <c r="B753" s="6" t="str">
        <f aca="false">'Dish Database'!B230</f>
        <v>Toor / arhar dal (home, light tadka)</v>
      </c>
      <c r="C753" s="6" t="str">
        <f aca="false">'Dish Database'!D230</f>
        <v>Dal &amp; Legumes</v>
      </c>
      <c r="D753" s="6" t="str">
        <f aca="false">'Dish Database'!F230</f>
        <v>Veg</v>
      </c>
      <c r="E753" s="6" t="str">
        <f aca="false">'Dish Database'!E230</f>
        <v>Pan-India</v>
      </c>
      <c r="F753" s="6" t="s">
        <v>2323</v>
      </c>
      <c r="G753" s="6" t="s">
        <v>2503</v>
      </c>
      <c r="H753" s="16" t="n">
        <v>250</v>
      </c>
      <c r="I753" s="6" t="str">
        <f aca="false">'Dish Database'!I230</f>
        <v>g</v>
      </c>
      <c r="J753" s="13" t="n">
        <f aca="false">'Dish Database'!J230*H753/100</f>
        <v>209</v>
      </c>
      <c r="K753" s="17" t="n">
        <f aca="false">'Dish Database'!K230*H753/100</f>
        <v>12</v>
      </c>
      <c r="L753" s="17" t="n">
        <f aca="false">'Dish Database'!L230*H753/100</f>
        <v>32.5</v>
      </c>
      <c r="M753" s="17" t="n">
        <f aca="false">'Dish Database'!M230*H753/100</f>
        <v>5</v>
      </c>
      <c r="N753" s="17" t="n">
        <f aca="false">'Dish Database'!N230*H753/100</f>
        <v>7</v>
      </c>
      <c r="O753" s="17" t="n">
        <f aca="false">'Dish Database'!O230*H753/100</f>
        <v>2</v>
      </c>
      <c r="P753" s="13" t="n">
        <f aca="false">'Dish Database'!P230*H753/100</f>
        <v>750</v>
      </c>
    </row>
    <row r="754" customFormat="false" ht="15" hidden="false" customHeight="false" outlineLevel="0" collapsed="false">
      <c r="A754" s="6" t="str">
        <f aca="false">'Dish Database'!A230</f>
        <v>D229</v>
      </c>
      <c r="B754" s="6" t="str">
        <f aca="false">'Dish Database'!B230</f>
        <v>Toor / arhar dal (home, light tadka)</v>
      </c>
      <c r="C754" s="6" t="str">
        <f aca="false">'Dish Database'!D230</f>
        <v>Dal &amp; Legumes</v>
      </c>
      <c r="D754" s="6" t="str">
        <f aca="false">'Dish Database'!F230</f>
        <v>Veg</v>
      </c>
      <c r="E754" s="6" t="str">
        <f aca="false">'Dish Database'!E230</f>
        <v>Pan-India</v>
      </c>
      <c r="F754" s="6" t="s">
        <v>2325</v>
      </c>
      <c r="G754" s="6" t="s">
        <v>2504</v>
      </c>
      <c r="H754" s="16" t="n">
        <v>500</v>
      </c>
      <c r="I754" s="6" t="str">
        <f aca="false">'Dish Database'!I230</f>
        <v>g</v>
      </c>
      <c r="J754" s="13" t="n">
        <f aca="false">'Dish Database'!J230*H754/100</f>
        <v>418</v>
      </c>
      <c r="K754" s="17" t="n">
        <f aca="false">'Dish Database'!K230*H754/100</f>
        <v>24</v>
      </c>
      <c r="L754" s="17" t="n">
        <f aca="false">'Dish Database'!L230*H754/100</f>
        <v>65</v>
      </c>
      <c r="M754" s="17" t="n">
        <f aca="false">'Dish Database'!M230*H754/100</f>
        <v>10</v>
      </c>
      <c r="N754" s="17" t="n">
        <f aca="false">'Dish Database'!N230*H754/100</f>
        <v>14</v>
      </c>
      <c r="O754" s="17" t="n">
        <f aca="false">'Dish Database'!O230*H754/100</f>
        <v>4</v>
      </c>
      <c r="P754" s="13" t="n">
        <f aca="false">'Dish Database'!P230*H754/100</f>
        <v>1500</v>
      </c>
    </row>
    <row r="755" customFormat="false" ht="15" hidden="false" customHeight="false" outlineLevel="0" collapsed="false">
      <c r="A755" s="6" t="str">
        <f aca="false">'Dish Database'!A231</f>
        <v>D230</v>
      </c>
      <c r="B755" s="6" t="str">
        <f aca="false">'Dish Database'!B231</f>
        <v>Dal tadka (restaurant)</v>
      </c>
      <c r="C755" s="6" t="str">
        <f aca="false">'Dish Database'!D231</f>
        <v>Dal &amp; Legumes</v>
      </c>
      <c r="D755" s="6" t="str">
        <f aca="false">'Dish Database'!F231</f>
        <v>Veg</v>
      </c>
      <c r="E755" s="6" t="str">
        <f aca="false">'Dish Database'!E231</f>
        <v>North</v>
      </c>
      <c r="F755" s="6" t="s">
        <v>2243</v>
      </c>
      <c r="G755" s="6" t="s">
        <v>2500</v>
      </c>
      <c r="H755" s="16" t="n">
        <v>100</v>
      </c>
      <c r="I755" s="6" t="str">
        <f aca="false">'Dish Database'!I231</f>
        <v>g</v>
      </c>
      <c r="J755" s="13" t="n">
        <f aca="false">'Dish Database'!J231*H755/100</f>
        <v>115.9</v>
      </c>
      <c r="K755" s="17" t="n">
        <f aca="false">'Dish Database'!K231*H755/100</f>
        <v>5</v>
      </c>
      <c r="L755" s="17" t="n">
        <f aca="false">'Dish Database'!L231*H755/100</f>
        <v>13</v>
      </c>
      <c r="M755" s="17" t="n">
        <f aca="false">'Dish Database'!M231*H755/100</f>
        <v>5.5</v>
      </c>
      <c r="N755" s="17" t="n">
        <f aca="false">'Dish Database'!N231*H755/100</f>
        <v>2.8</v>
      </c>
      <c r="O755" s="17" t="n">
        <f aca="false">'Dish Database'!O231*H755/100</f>
        <v>1.2</v>
      </c>
      <c r="P755" s="13" t="n">
        <f aca="false">'Dish Database'!P231*H755/100</f>
        <v>380</v>
      </c>
    </row>
    <row r="756" customFormat="false" ht="15" hidden="false" customHeight="false" outlineLevel="0" collapsed="false">
      <c r="A756" s="6" t="str">
        <f aca="false">'Dish Database'!A231</f>
        <v>D230</v>
      </c>
      <c r="B756" s="6" t="str">
        <f aca="false">'Dish Database'!B231</f>
        <v>Dal tadka (restaurant)</v>
      </c>
      <c r="C756" s="6" t="str">
        <f aca="false">'Dish Database'!D231</f>
        <v>Dal &amp; Legumes</v>
      </c>
      <c r="D756" s="6" t="str">
        <f aca="false">'Dish Database'!F231</f>
        <v>Veg</v>
      </c>
      <c r="E756" s="6" t="str">
        <f aca="false">'Dish Database'!E231</f>
        <v>North</v>
      </c>
      <c r="F756" s="6" t="s">
        <v>103</v>
      </c>
      <c r="G756" s="6" t="s">
        <v>2501</v>
      </c>
      <c r="H756" s="16" t="n">
        <v>150</v>
      </c>
      <c r="I756" s="6" t="str">
        <f aca="false">'Dish Database'!I231</f>
        <v>g</v>
      </c>
      <c r="J756" s="13" t="n">
        <f aca="false">'Dish Database'!J231*H756/100</f>
        <v>173.85</v>
      </c>
      <c r="K756" s="17" t="n">
        <f aca="false">'Dish Database'!K231*H756/100</f>
        <v>7.5</v>
      </c>
      <c r="L756" s="17" t="n">
        <f aca="false">'Dish Database'!L231*H756/100</f>
        <v>19.5</v>
      </c>
      <c r="M756" s="17" t="n">
        <f aca="false">'Dish Database'!M231*H756/100</f>
        <v>8.25</v>
      </c>
      <c r="N756" s="17" t="n">
        <f aca="false">'Dish Database'!N231*H756/100</f>
        <v>4.2</v>
      </c>
      <c r="O756" s="17" t="n">
        <f aca="false">'Dish Database'!O231*H756/100</f>
        <v>1.8</v>
      </c>
      <c r="P756" s="13" t="n">
        <f aca="false">'Dish Database'!P231*H756/100</f>
        <v>570</v>
      </c>
    </row>
    <row r="757" customFormat="false" ht="15" hidden="false" customHeight="false" outlineLevel="0" collapsed="false">
      <c r="A757" s="6" t="str">
        <f aca="false">'Dish Database'!A231</f>
        <v>D230</v>
      </c>
      <c r="B757" s="6" t="str">
        <f aca="false">'Dish Database'!B231</f>
        <v>Dal tadka (restaurant)</v>
      </c>
      <c r="C757" s="6" t="str">
        <f aca="false">'Dish Database'!D231</f>
        <v>Dal &amp; Legumes</v>
      </c>
      <c r="D757" s="6" t="str">
        <f aca="false">'Dish Database'!F231</f>
        <v>Veg</v>
      </c>
      <c r="E757" s="6" t="str">
        <f aca="false">'Dish Database'!E231</f>
        <v>North</v>
      </c>
      <c r="F757" s="6" t="s">
        <v>2246</v>
      </c>
      <c r="G757" s="6" t="s">
        <v>2502</v>
      </c>
      <c r="H757" s="16" t="n">
        <v>200</v>
      </c>
      <c r="I757" s="6" t="str">
        <f aca="false">'Dish Database'!I231</f>
        <v>g</v>
      </c>
      <c r="J757" s="13" t="n">
        <f aca="false">'Dish Database'!J231*H757/100</f>
        <v>231.8</v>
      </c>
      <c r="K757" s="17" t="n">
        <f aca="false">'Dish Database'!K231*H757/100</f>
        <v>10</v>
      </c>
      <c r="L757" s="17" t="n">
        <f aca="false">'Dish Database'!L231*H757/100</f>
        <v>26</v>
      </c>
      <c r="M757" s="17" t="n">
        <f aca="false">'Dish Database'!M231*H757/100</f>
        <v>11</v>
      </c>
      <c r="N757" s="17" t="n">
        <f aca="false">'Dish Database'!N231*H757/100</f>
        <v>5.6</v>
      </c>
      <c r="O757" s="17" t="n">
        <f aca="false">'Dish Database'!O231*H757/100</f>
        <v>2.4</v>
      </c>
      <c r="P757" s="13" t="n">
        <f aca="false">'Dish Database'!P231*H757/100</f>
        <v>760</v>
      </c>
    </row>
    <row r="758" customFormat="false" ht="15" hidden="false" customHeight="false" outlineLevel="0" collapsed="false">
      <c r="A758" s="6" t="str">
        <f aca="false">'Dish Database'!A231</f>
        <v>D230</v>
      </c>
      <c r="B758" s="6" t="str">
        <f aca="false">'Dish Database'!B231</f>
        <v>Dal tadka (restaurant)</v>
      </c>
      <c r="C758" s="6" t="str">
        <f aca="false">'Dish Database'!D231</f>
        <v>Dal &amp; Legumes</v>
      </c>
      <c r="D758" s="6" t="str">
        <f aca="false">'Dish Database'!F231</f>
        <v>Veg</v>
      </c>
      <c r="E758" s="6" t="str">
        <f aca="false">'Dish Database'!E231</f>
        <v>North</v>
      </c>
      <c r="F758" s="6" t="s">
        <v>2323</v>
      </c>
      <c r="G758" s="6" t="s">
        <v>2503</v>
      </c>
      <c r="H758" s="16" t="n">
        <v>250</v>
      </c>
      <c r="I758" s="6" t="str">
        <f aca="false">'Dish Database'!I231</f>
        <v>g</v>
      </c>
      <c r="J758" s="13" t="n">
        <f aca="false">'Dish Database'!J231*H758/100</f>
        <v>289.75</v>
      </c>
      <c r="K758" s="17" t="n">
        <f aca="false">'Dish Database'!K231*H758/100</f>
        <v>12.5</v>
      </c>
      <c r="L758" s="17" t="n">
        <f aca="false">'Dish Database'!L231*H758/100</f>
        <v>32.5</v>
      </c>
      <c r="M758" s="17" t="n">
        <f aca="false">'Dish Database'!M231*H758/100</f>
        <v>13.75</v>
      </c>
      <c r="N758" s="17" t="n">
        <f aca="false">'Dish Database'!N231*H758/100</f>
        <v>7</v>
      </c>
      <c r="O758" s="17" t="n">
        <f aca="false">'Dish Database'!O231*H758/100</f>
        <v>3</v>
      </c>
      <c r="P758" s="13" t="n">
        <f aca="false">'Dish Database'!P231*H758/100</f>
        <v>950</v>
      </c>
    </row>
    <row r="759" customFormat="false" ht="15" hidden="false" customHeight="false" outlineLevel="0" collapsed="false">
      <c r="A759" s="6" t="str">
        <f aca="false">'Dish Database'!A231</f>
        <v>D230</v>
      </c>
      <c r="B759" s="6" t="str">
        <f aca="false">'Dish Database'!B231</f>
        <v>Dal tadka (restaurant)</v>
      </c>
      <c r="C759" s="6" t="str">
        <f aca="false">'Dish Database'!D231</f>
        <v>Dal &amp; Legumes</v>
      </c>
      <c r="D759" s="6" t="str">
        <f aca="false">'Dish Database'!F231</f>
        <v>Veg</v>
      </c>
      <c r="E759" s="6" t="str">
        <f aca="false">'Dish Database'!E231</f>
        <v>North</v>
      </c>
      <c r="F759" s="6" t="s">
        <v>2325</v>
      </c>
      <c r="G759" s="6" t="s">
        <v>2504</v>
      </c>
      <c r="H759" s="16" t="n">
        <v>500</v>
      </c>
      <c r="I759" s="6" t="str">
        <f aca="false">'Dish Database'!I231</f>
        <v>g</v>
      </c>
      <c r="J759" s="13" t="n">
        <f aca="false">'Dish Database'!J231*H759/100</f>
        <v>579.5</v>
      </c>
      <c r="K759" s="17" t="n">
        <f aca="false">'Dish Database'!K231*H759/100</f>
        <v>25</v>
      </c>
      <c r="L759" s="17" t="n">
        <f aca="false">'Dish Database'!L231*H759/100</f>
        <v>65</v>
      </c>
      <c r="M759" s="17" t="n">
        <f aca="false">'Dish Database'!M231*H759/100</f>
        <v>27.5</v>
      </c>
      <c r="N759" s="17" t="n">
        <f aca="false">'Dish Database'!N231*H759/100</f>
        <v>14</v>
      </c>
      <c r="O759" s="17" t="n">
        <f aca="false">'Dish Database'!O231*H759/100</f>
        <v>6</v>
      </c>
      <c r="P759" s="13" t="n">
        <f aca="false">'Dish Database'!P231*H759/100</f>
        <v>1900</v>
      </c>
    </row>
    <row r="760" customFormat="false" ht="15" hidden="false" customHeight="false" outlineLevel="0" collapsed="false">
      <c r="A760" s="6" t="str">
        <f aca="false">'Dish Database'!A232</f>
        <v>D231</v>
      </c>
      <c r="B760" s="6" t="str">
        <f aca="false">'Dish Database'!B232</f>
        <v>Dal fry</v>
      </c>
      <c r="C760" s="6" t="str">
        <f aca="false">'Dish Database'!D232</f>
        <v>Dal &amp; Legumes</v>
      </c>
      <c r="D760" s="6" t="str">
        <f aca="false">'Dish Database'!F232</f>
        <v>Veg</v>
      </c>
      <c r="E760" s="6" t="str">
        <f aca="false">'Dish Database'!E232</f>
        <v>North</v>
      </c>
      <c r="F760" s="6" t="s">
        <v>2243</v>
      </c>
      <c r="G760" s="6" t="s">
        <v>2500</v>
      </c>
      <c r="H760" s="16" t="n">
        <v>100</v>
      </c>
      <c r="I760" s="6" t="str">
        <f aca="false">'Dish Database'!I232</f>
        <v>g</v>
      </c>
      <c r="J760" s="13" t="n">
        <f aca="false">'Dish Database'!J232*H760/100</f>
        <v>111.4</v>
      </c>
      <c r="K760" s="17" t="n">
        <f aca="false">'Dish Database'!K232*H760/100</f>
        <v>5</v>
      </c>
      <c r="L760" s="17" t="n">
        <f aca="false">'Dish Database'!L232*H760/100</f>
        <v>13</v>
      </c>
      <c r="M760" s="17" t="n">
        <f aca="false">'Dish Database'!M232*H760/100</f>
        <v>5</v>
      </c>
      <c r="N760" s="17" t="n">
        <f aca="false">'Dish Database'!N232*H760/100</f>
        <v>2.8</v>
      </c>
      <c r="O760" s="17" t="n">
        <f aca="false">'Dish Database'!O232*H760/100</f>
        <v>1.2</v>
      </c>
      <c r="P760" s="13" t="n">
        <f aca="false">'Dish Database'!P232*H760/100</f>
        <v>380</v>
      </c>
    </row>
    <row r="761" customFormat="false" ht="15" hidden="false" customHeight="false" outlineLevel="0" collapsed="false">
      <c r="A761" s="6" t="str">
        <f aca="false">'Dish Database'!A232</f>
        <v>D231</v>
      </c>
      <c r="B761" s="6" t="str">
        <f aca="false">'Dish Database'!B232</f>
        <v>Dal fry</v>
      </c>
      <c r="C761" s="6" t="str">
        <f aca="false">'Dish Database'!D232</f>
        <v>Dal &amp; Legumes</v>
      </c>
      <c r="D761" s="6" t="str">
        <f aca="false">'Dish Database'!F232</f>
        <v>Veg</v>
      </c>
      <c r="E761" s="6" t="str">
        <f aca="false">'Dish Database'!E232</f>
        <v>North</v>
      </c>
      <c r="F761" s="6" t="s">
        <v>103</v>
      </c>
      <c r="G761" s="6" t="s">
        <v>2501</v>
      </c>
      <c r="H761" s="16" t="n">
        <v>150</v>
      </c>
      <c r="I761" s="6" t="str">
        <f aca="false">'Dish Database'!I232</f>
        <v>g</v>
      </c>
      <c r="J761" s="13" t="n">
        <f aca="false">'Dish Database'!J232*H761/100</f>
        <v>167.1</v>
      </c>
      <c r="K761" s="17" t="n">
        <f aca="false">'Dish Database'!K232*H761/100</f>
        <v>7.5</v>
      </c>
      <c r="L761" s="17" t="n">
        <f aca="false">'Dish Database'!L232*H761/100</f>
        <v>19.5</v>
      </c>
      <c r="M761" s="17" t="n">
        <f aca="false">'Dish Database'!M232*H761/100</f>
        <v>7.5</v>
      </c>
      <c r="N761" s="17" t="n">
        <f aca="false">'Dish Database'!N232*H761/100</f>
        <v>4.2</v>
      </c>
      <c r="O761" s="17" t="n">
        <f aca="false">'Dish Database'!O232*H761/100</f>
        <v>1.8</v>
      </c>
      <c r="P761" s="13" t="n">
        <f aca="false">'Dish Database'!P232*H761/100</f>
        <v>570</v>
      </c>
    </row>
    <row r="762" customFormat="false" ht="15" hidden="false" customHeight="false" outlineLevel="0" collapsed="false">
      <c r="A762" s="6" t="str">
        <f aca="false">'Dish Database'!A232</f>
        <v>D231</v>
      </c>
      <c r="B762" s="6" t="str">
        <f aca="false">'Dish Database'!B232</f>
        <v>Dal fry</v>
      </c>
      <c r="C762" s="6" t="str">
        <f aca="false">'Dish Database'!D232</f>
        <v>Dal &amp; Legumes</v>
      </c>
      <c r="D762" s="6" t="str">
        <f aca="false">'Dish Database'!F232</f>
        <v>Veg</v>
      </c>
      <c r="E762" s="6" t="str">
        <f aca="false">'Dish Database'!E232</f>
        <v>North</v>
      </c>
      <c r="F762" s="6" t="s">
        <v>2246</v>
      </c>
      <c r="G762" s="6" t="s">
        <v>2502</v>
      </c>
      <c r="H762" s="16" t="n">
        <v>200</v>
      </c>
      <c r="I762" s="6" t="str">
        <f aca="false">'Dish Database'!I232</f>
        <v>g</v>
      </c>
      <c r="J762" s="13" t="n">
        <f aca="false">'Dish Database'!J232*H762/100</f>
        <v>222.8</v>
      </c>
      <c r="K762" s="17" t="n">
        <f aca="false">'Dish Database'!K232*H762/100</f>
        <v>10</v>
      </c>
      <c r="L762" s="17" t="n">
        <f aca="false">'Dish Database'!L232*H762/100</f>
        <v>26</v>
      </c>
      <c r="M762" s="17" t="n">
        <f aca="false">'Dish Database'!M232*H762/100</f>
        <v>10</v>
      </c>
      <c r="N762" s="17" t="n">
        <f aca="false">'Dish Database'!N232*H762/100</f>
        <v>5.6</v>
      </c>
      <c r="O762" s="17" t="n">
        <f aca="false">'Dish Database'!O232*H762/100</f>
        <v>2.4</v>
      </c>
      <c r="P762" s="13" t="n">
        <f aca="false">'Dish Database'!P232*H762/100</f>
        <v>760</v>
      </c>
    </row>
    <row r="763" customFormat="false" ht="15" hidden="false" customHeight="false" outlineLevel="0" collapsed="false">
      <c r="A763" s="6" t="str">
        <f aca="false">'Dish Database'!A232</f>
        <v>D231</v>
      </c>
      <c r="B763" s="6" t="str">
        <f aca="false">'Dish Database'!B232</f>
        <v>Dal fry</v>
      </c>
      <c r="C763" s="6" t="str">
        <f aca="false">'Dish Database'!D232</f>
        <v>Dal &amp; Legumes</v>
      </c>
      <c r="D763" s="6" t="str">
        <f aca="false">'Dish Database'!F232</f>
        <v>Veg</v>
      </c>
      <c r="E763" s="6" t="str">
        <f aca="false">'Dish Database'!E232</f>
        <v>North</v>
      </c>
      <c r="F763" s="6" t="s">
        <v>2323</v>
      </c>
      <c r="G763" s="6" t="s">
        <v>2503</v>
      </c>
      <c r="H763" s="16" t="n">
        <v>250</v>
      </c>
      <c r="I763" s="6" t="str">
        <f aca="false">'Dish Database'!I232</f>
        <v>g</v>
      </c>
      <c r="J763" s="13" t="n">
        <f aca="false">'Dish Database'!J232*H763/100</f>
        <v>278.5</v>
      </c>
      <c r="K763" s="17" t="n">
        <f aca="false">'Dish Database'!K232*H763/100</f>
        <v>12.5</v>
      </c>
      <c r="L763" s="17" t="n">
        <f aca="false">'Dish Database'!L232*H763/100</f>
        <v>32.5</v>
      </c>
      <c r="M763" s="17" t="n">
        <f aca="false">'Dish Database'!M232*H763/100</f>
        <v>12.5</v>
      </c>
      <c r="N763" s="17" t="n">
        <f aca="false">'Dish Database'!N232*H763/100</f>
        <v>7</v>
      </c>
      <c r="O763" s="17" t="n">
        <f aca="false">'Dish Database'!O232*H763/100</f>
        <v>3</v>
      </c>
      <c r="P763" s="13" t="n">
        <f aca="false">'Dish Database'!P232*H763/100</f>
        <v>950</v>
      </c>
    </row>
    <row r="764" customFormat="false" ht="15" hidden="false" customHeight="false" outlineLevel="0" collapsed="false">
      <c r="A764" s="6" t="str">
        <f aca="false">'Dish Database'!A232</f>
        <v>D231</v>
      </c>
      <c r="B764" s="6" t="str">
        <f aca="false">'Dish Database'!B232</f>
        <v>Dal fry</v>
      </c>
      <c r="C764" s="6" t="str">
        <f aca="false">'Dish Database'!D232</f>
        <v>Dal &amp; Legumes</v>
      </c>
      <c r="D764" s="6" t="str">
        <f aca="false">'Dish Database'!F232</f>
        <v>Veg</v>
      </c>
      <c r="E764" s="6" t="str">
        <f aca="false">'Dish Database'!E232</f>
        <v>North</v>
      </c>
      <c r="F764" s="6" t="s">
        <v>2325</v>
      </c>
      <c r="G764" s="6" t="s">
        <v>2504</v>
      </c>
      <c r="H764" s="16" t="n">
        <v>500</v>
      </c>
      <c r="I764" s="6" t="str">
        <f aca="false">'Dish Database'!I232</f>
        <v>g</v>
      </c>
      <c r="J764" s="13" t="n">
        <f aca="false">'Dish Database'!J232*H764/100</f>
        <v>557</v>
      </c>
      <c r="K764" s="17" t="n">
        <f aca="false">'Dish Database'!K232*H764/100</f>
        <v>25</v>
      </c>
      <c r="L764" s="17" t="n">
        <f aca="false">'Dish Database'!L232*H764/100</f>
        <v>65</v>
      </c>
      <c r="M764" s="17" t="n">
        <f aca="false">'Dish Database'!M232*H764/100</f>
        <v>25</v>
      </c>
      <c r="N764" s="17" t="n">
        <f aca="false">'Dish Database'!N232*H764/100</f>
        <v>14</v>
      </c>
      <c r="O764" s="17" t="n">
        <f aca="false">'Dish Database'!O232*H764/100</f>
        <v>6</v>
      </c>
      <c r="P764" s="13" t="n">
        <f aca="false">'Dish Database'!P232*H764/100</f>
        <v>1900</v>
      </c>
    </row>
    <row r="765" customFormat="false" ht="15" hidden="false" customHeight="false" outlineLevel="0" collapsed="false">
      <c r="A765" s="6" t="str">
        <f aca="false">'Dish Database'!A233</f>
        <v>D232</v>
      </c>
      <c r="B765" s="6" t="str">
        <f aca="false">'Dish Database'!B233</f>
        <v>Moong dal (yellow)</v>
      </c>
      <c r="C765" s="6" t="str">
        <f aca="false">'Dish Database'!D233</f>
        <v>Dal &amp; Legumes</v>
      </c>
      <c r="D765" s="6" t="str">
        <f aca="false">'Dish Database'!F233</f>
        <v>Veg</v>
      </c>
      <c r="E765" s="6" t="str">
        <f aca="false">'Dish Database'!E233</f>
        <v>Pan-India</v>
      </c>
      <c r="F765" s="6" t="s">
        <v>2243</v>
      </c>
      <c r="G765" s="6" t="s">
        <v>2500</v>
      </c>
      <c r="H765" s="16" t="n">
        <v>100</v>
      </c>
      <c r="I765" s="6" t="str">
        <f aca="false">'Dish Database'!I233</f>
        <v>g</v>
      </c>
      <c r="J765" s="13" t="n">
        <f aca="false">'Dish Database'!J233*H765/100</f>
        <v>84.8</v>
      </c>
      <c r="K765" s="17" t="n">
        <f aca="false">'Dish Database'!K233*H765/100</f>
        <v>5.3</v>
      </c>
      <c r="L765" s="17" t="n">
        <f aca="false">'Dish Database'!L233*H765/100</f>
        <v>12.5</v>
      </c>
      <c r="M765" s="17" t="n">
        <f aca="false">'Dish Database'!M233*H765/100</f>
        <v>2</v>
      </c>
      <c r="N765" s="17" t="n">
        <f aca="false">'Dish Database'!N233*H765/100</f>
        <v>2.2</v>
      </c>
      <c r="O765" s="17" t="n">
        <f aca="false">'Dish Database'!O233*H765/100</f>
        <v>0.5</v>
      </c>
      <c r="P765" s="13" t="n">
        <f aca="false">'Dish Database'!P233*H765/100</f>
        <v>280</v>
      </c>
    </row>
    <row r="766" customFormat="false" ht="15" hidden="false" customHeight="false" outlineLevel="0" collapsed="false">
      <c r="A766" s="6" t="str">
        <f aca="false">'Dish Database'!A233</f>
        <v>D232</v>
      </c>
      <c r="B766" s="6" t="str">
        <f aca="false">'Dish Database'!B233</f>
        <v>Moong dal (yellow)</v>
      </c>
      <c r="C766" s="6" t="str">
        <f aca="false">'Dish Database'!D233</f>
        <v>Dal &amp; Legumes</v>
      </c>
      <c r="D766" s="6" t="str">
        <f aca="false">'Dish Database'!F233</f>
        <v>Veg</v>
      </c>
      <c r="E766" s="6" t="str">
        <f aca="false">'Dish Database'!E233</f>
        <v>Pan-India</v>
      </c>
      <c r="F766" s="6" t="s">
        <v>103</v>
      </c>
      <c r="G766" s="6" t="s">
        <v>2501</v>
      </c>
      <c r="H766" s="16" t="n">
        <v>150</v>
      </c>
      <c r="I766" s="6" t="str">
        <f aca="false">'Dish Database'!I233</f>
        <v>g</v>
      </c>
      <c r="J766" s="13" t="n">
        <f aca="false">'Dish Database'!J233*H766/100</f>
        <v>127.2</v>
      </c>
      <c r="K766" s="17" t="n">
        <f aca="false">'Dish Database'!K233*H766/100</f>
        <v>7.95</v>
      </c>
      <c r="L766" s="17" t="n">
        <f aca="false">'Dish Database'!L233*H766/100</f>
        <v>18.75</v>
      </c>
      <c r="M766" s="17" t="n">
        <f aca="false">'Dish Database'!M233*H766/100</f>
        <v>3</v>
      </c>
      <c r="N766" s="17" t="n">
        <f aca="false">'Dish Database'!N233*H766/100</f>
        <v>3.3</v>
      </c>
      <c r="O766" s="17" t="n">
        <f aca="false">'Dish Database'!O233*H766/100</f>
        <v>0.75</v>
      </c>
      <c r="P766" s="13" t="n">
        <f aca="false">'Dish Database'!P233*H766/100</f>
        <v>420</v>
      </c>
    </row>
    <row r="767" customFormat="false" ht="15" hidden="false" customHeight="false" outlineLevel="0" collapsed="false">
      <c r="A767" s="6" t="str">
        <f aca="false">'Dish Database'!A233</f>
        <v>D232</v>
      </c>
      <c r="B767" s="6" t="str">
        <f aca="false">'Dish Database'!B233</f>
        <v>Moong dal (yellow)</v>
      </c>
      <c r="C767" s="6" t="str">
        <f aca="false">'Dish Database'!D233</f>
        <v>Dal &amp; Legumes</v>
      </c>
      <c r="D767" s="6" t="str">
        <f aca="false">'Dish Database'!F233</f>
        <v>Veg</v>
      </c>
      <c r="E767" s="6" t="str">
        <f aca="false">'Dish Database'!E233</f>
        <v>Pan-India</v>
      </c>
      <c r="F767" s="6" t="s">
        <v>2246</v>
      </c>
      <c r="G767" s="6" t="s">
        <v>2502</v>
      </c>
      <c r="H767" s="16" t="n">
        <v>200</v>
      </c>
      <c r="I767" s="6" t="str">
        <f aca="false">'Dish Database'!I233</f>
        <v>g</v>
      </c>
      <c r="J767" s="13" t="n">
        <f aca="false">'Dish Database'!J233*H767/100</f>
        <v>169.6</v>
      </c>
      <c r="K767" s="17" t="n">
        <f aca="false">'Dish Database'!K233*H767/100</f>
        <v>10.6</v>
      </c>
      <c r="L767" s="17" t="n">
        <f aca="false">'Dish Database'!L233*H767/100</f>
        <v>25</v>
      </c>
      <c r="M767" s="17" t="n">
        <f aca="false">'Dish Database'!M233*H767/100</f>
        <v>4</v>
      </c>
      <c r="N767" s="17" t="n">
        <f aca="false">'Dish Database'!N233*H767/100</f>
        <v>4.4</v>
      </c>
      <c r="O767" s="17" t="n">
        <f aca="false">'Dish Database'!O233*H767/100</f>
        <v>1</v>
      </c>
      <c r="P767" s="13" t="n">
        <f aca="false">'Dish Database'!P233*H767/100</f>
        <v>560</v>
      </c>
    </row>
    <row r="768" customFormat="false" ht="15" hidden="false" customHeight="false" outlineLevel="0" collapsed="false">
      <c r="A768" s="6" t="str">
        <f aca="false">'Dish Database'!A233</f>
        <v>D232</v>
      </c>
      <c r="B768" s="6" t="str">
        <f aca="false">'Dish Database'!B233</f>
        <v>Moong dal (yellow)</v>
      </c>
      <c r="C768" s="6" t="str">
        <f aca="false">'Dish Database'!D233</f>
        <v>Dal &amp; Legumes</v>
      </c>
      <c r="D768" s="6" t="str">
        <f aca="false">'Dish Database'!F233</f>
        <v>Veg</v>
      </c>
      <c r="E768" s="6" t="str">
        <f aca="false">'Dish Database'!E233</f>
        <v>Pan-India</v>
      </c>
      <c r="F768" s="6" t="s">
        <v>2323</v>
      </c>
      <c r="G768" s="6" t="s">
        <v>2503</v>
      </c>
      <c r="H768" s="16" t="n">
        <v>250</v>
      </c>
      <c r="I768" s="6" t="str">
        <f aca="false">'Dish Database'!I233</f>
        <v>g</v>
      </c>
      <c r="J768" s="13" t="n">
        <f aca="false">'Dish Database'!J233*H768/100</f>
        <v>212</v>
      </c>
      <c r="K768" s="17" t="n">
        <f aca="false">'Dish Database'!K233*H768/100</f>
        <v>13.25</v>
      </c>
      <c r="L768" s="17" t="n">
        <f aca="false">'Dish Database'!L233*H768/100</f>
        <v>31.25</v>
      </c>
      <c r="M768" s="17" t="n">
        <f aca="false">'Dish Database'!M233*H768/100</f>
        <v>5</v>
      </c>
      <c r="N768" s="17" t="n">
        <f aca="false">'Dish Database'!N233*H768/100</f>
        <v>5.5</v>
      </c>
      <c r="O768" s="17" t="n">
        <f aca="false">'Dish Database'!O233*H768/100</f>
        <v>1.25</v>
      </c>
      <c r="P768" s="13" t="n">
        <f aca="false">'Dish Database'!P233*H768/100</f>
        <v>700</v>
      </c>
    </row>
    <row r="769" customFormat="false" ht="15" hidden="false" customHeight="false" outlineLevel="0" collapsed="false">
      <c r="A769" s="6" t="str">
        <f aca="false">'Dish Database'!A233</f>
        <v>D232</v>
      </c>
      <c r="B769" s="6" t="str">
        <f aca="false">'Dish Database'!B233</f>
        <v>Moong dal (yellow)</v>
      </c>
      <c r="C769" s="6" t="str">
        <f aca="false">'Dish Database'!D233</f>
        <v>Dal &amp; Legumes</v>
      </c>
      <c r="D769" s="6" t="str">
        <f aca="false">'Dish Database'!F233</f>
        <v>Veg</v>
      </c>
      <c r="E769" s="6" t="str">
        <f aca="false">'Dish Database'!E233</f>
        <v>Pan-India</v>
      </c>
      <c r="F769" s="6" t="s">
        <v>2325</v>
      </c>
      <c r="G769" s="6" t="s">
        <v>2504</v>
      </c>
      <c r="H769" s="16" t="n">
        <v>500</v>
      </c>
      <c r="I769" s="6" t="str">
        <f aca="false">'Dish Database'!I233</f>
        <v>g</v>
      </c>
      <c r="J769" s="13" t="n">
        <f aca="false">'Dish Database'!J233*H769/100</f>
        <v>424</v>
      </c>
      <c r="K769" s="17" t="n">
        <f aca="false">'Dish Database'!K233*H769/100</f>
        <v>26.5</v>
      </c>
      <c r="L769" s="17" t="n">
        <f aca="false">'Dish Database'!L233*H769/100</f>
        <v>62.5</v>
      </c>
      <c r="M769" s="17" t="n">
        <f aca="false">'Dish Database'!M233*H769/100</f>
        <v>10</v>
      </c>
      <c r="N769" s="17" t="n">
        <f aca="false">'Dish Database'!N233*H769/100</f>
        <v>11</v>
      </c>
      <c r="O769" s="17" t="n">
        <f aca="false">'Dish Database'!O233*H769/100</f>
        <v>2.5</v>
      </c>
      <c r="P769" s="13" t="n">
        <f aca="false">'Dish Database'!P233*H769/100</f>
        <v>1400</v>
      </c>
    </row>
    <row r="770" customFormat="false" ht="15" hidden="false" customHeight="false" outlineLevel="0" collapsed="false">
      <c r="A770" s="6" t="str">
        <f aca="false">'Dish Database'!A234</f>
        <v>D233</v>
      </c>
      <c r="B770" s="6" t="str">
        <f aca="false">'Dish Database'!B234</f>
        <v>Masoor dal (red lentil)</v>
      </c>
      <c r="C770" s="6" t="str">
        <f aca="false">'Dish Database'!D234</f>
        <v>Dal &amp; Legumes</v>
      </c>
      <c r="D770" s="6" t="str">
        <f aca="false">'Dish Database'!F234</f>
        <v>Veg</v>
      </c>
      <c r="E770" s="6" t="str">
        <f aca="false">'Dish Database'!E234</f>
        <v>Pan-India</v>
      </c>
      <c r="F770" s="6" t="s">
        <v>2243</v>
      </c>
      <c r="G770" s="6" t="s">
        <v>2500</v>
      </c>
      <c r="H770" s="16" t="n">
        <v>100</v>
      </c>
      <c r="I770" s="6" t="str">
        <f aca="false">'Dish Database'!I234</f>
        <v>g</v>
      </c>
      <c r="J770" s="13" t="n">
        <f aca="false">'Dish Database'!J234*H770/100</f>
        <v>86.4</v>
      </c>
      <c r="K770" s="17" t="n">
        <f aca="false">'Dish Database'!K234*H770/100</f>
        <v>5.5</v>
      </c>
      <c r="L770" s="17" t="n">
        <f aca="false">'Dish Database'!L234*H770/100</f>
        <v>13</v>
      </c>
      <c r="M770" s="17" t="n">
        <f aca="false">'Dish Database'!M234*H770/100</f>
        <v>2</v>
      </c>
      <c r="N770" s="17" t="n">
        <f aca="false">'Dish Database'!N234*H770/100</f>
        <v>2.8</v>
      </c>
      <c r="O770" s="17" t="n">
        <f aca="false">'Dish Database'!O234*H770/100</f>
        <v>0.8</v>
      </c>
      <c r="P770" s="13" t="n">
        <f aca="false">'Dish Database'!P234*H770/100</f>
        <v>280</v>
      </c>
    </row>
    <row r="771" customFormat="false" ht="15" hidden="false" customHeight="false" outlineLevel="0" collapsed="false">
      <c r="A771" s="6" t="str">
        <f aca="false">'Dish Database'!A234</f>
        <v>D233</v>
      </c>
      <c r="B771" s="6" t="str">
        <f aca="false">'Dish Database'!B234</f>
        <v>Masoor dal (red lentil)</v>
      </c>
      <c r="C771" s="6" t="str">
        <f aca="false">'Dish Database'!D234</f>
        <v>Dal &amp; Legumes</v>
      </c>
      <c r="D771" s="6" t="str">
        <f aca="false">'Dish Database'!F234</f>
        <v>Veg</v>
      </c>
      <c r="E771" s="6" t="str">
        <f aca="false">'Dish Database'!E234</f>
        <v>Pan-India</v>
      </c>
      <c r="F771" s="6" t="s">
        <v>103</v>
      </c>
      <c r="G771" s="6" t="s">
        <v>2501</v>
      </c>
      <c r="H771" s="16" t="n">
        <v>150</v>
      </c>
      <c r="I771" s="6" t="str">
        <f aca="false">'Dish Database'!I234</f>
        <v>g</v>
      </c>
      <c r="J771" s="13" t="n">
        <f aca="false">'Dish Database'!J234*H771/100</f>
        <v>129.6</v>
      </c>
      <c r="K771" s="17" t="n">
        <f aca="false">'Dish Database'!K234*H771/100</f>
        <v>8.25</v>
      </c>
      <c r="L771" s="17" t="n">
        <f aca="false">'Dish Database'!L234*H771/100</f>
        <v>19.5</v>
      </c>
      <c r="M771" s="17" t="n">
        <f aca="false">'Dish Database'!M234*H771/100</f>
        <v>3</v>
      </c>
      <c r="N771" s="17" t="n">
        <f aca="false">'Dish Database'!N234*H771/100</f>
        <v>4.2</v>
      </c>
      <c r="O771" s="17" t="n">
        <f aca="false">'Dish Database'!O234*H771/100</f>
        <v>1.2</v>
      </c>
      <c r="P771" s="13" t="n">
        <f aca="false">'Dish Database'!P234*H771/100</f>
        <v>420</v>
      </c>
    </row>
    <row r="772" customFormat="false" ht="15" hidden="false" customHeight="false" outlineLevel="0" collapsed="false">
      <c r="A772" s="6" t="str">
        <f aca="false">'Dish Database'!A234</f>
        <v>D233</v>
      </c>
      <c r="B772" s="6" t="str">
        <f aca="false">'Dish Database'!B234</f>
        <v>Masoor dal (red lentil)</v>
      </c>
      <c r="C772" s="6" t="str">
        <f aca="false">'Dish Database'!D234</f>
        <v>Dal &amp; Legumes</v>
      </c>
      <c r="D772" s="6" t="str">
        <f aca="false">'Dish Database'!F234</f>
        <v>Veg</v>
      </c>
      <c r="E772" s="6" t="str">
        <f aca="false">'Dish Database'!E234</f>
        <v>Pan-India</v>
      </c>
      <c r="F772" s="6" t="s">
        <v>2246</v>
      </c>
      <c r="G772" s="6" t="s">
        <v>2502</v>
      </c>
      <c r="H772" s="16" t="n">
        <v>200</v>
      </c>
      <c r="I772" s="6" t="str">
        <f aca="false">'Dish Database'!I234</f>
        <v>g</v>
      </c>
      <c r="J772" s="13" t="n">
        <f aca="false">'Dish Database'!J234*H772/100</f>
        <v>172.8</v>
      </c>
      <c r="K772" s="17" t="n">
        <f aca="false">'Dish Database'!K234*H772/100</f>
        <v>11</v>
      </c>
      <c r="L772" s="17" t="n">
        <f aca="false">'Dish Database'!L234*H772/100</f>
        <v>26</v>
      </c>
      <c r="M772" s="17" t="n">
        <f aca="false">'Dish Database'!M234*H772/100</f>
        <v>4</v>
      </c>
      <c r="N772" s="17" t="n">
        <f aca="false">'Dish Database'!N234*H772/100</f>
        <v>5.6</v>
      </c>
      <c r="O772" s="17" t="n">
        <f aca="false">'Dish Database'!O234*H772/100</f>
        <v>1.6</v>
      </c>
      <c r="P772" s="13" t="n">
        <f aca="false">'Dish Database'!P234*H772/100</f>
        <v>560</v>
      </c>
    </row>
    <row r="773" customFormat="false" ht="15" hidden="false" customHeight="false" outlineLevel="0" collapsed="false">
      <c r="A773" s="6" t="str">
        <f aca="false">'Dish Database'!A234</f>
        <v>D233</v>
      </c>
      <c r="B773" s="6" t="str">
        <f aca="false">'Dish Database'!B234</f>
        <v>Masoor dal (red lentil)</v>
      </c>
      <c r="C773" s="6" t="str">
        <f aca="false">'Dish Database'!D234</f>
        <v>Dal &amp; Legumes</v>
      </c>
      <c r="D773" s="6" t="str">
        <f aca="false">'Dish Database'!F234</f>
        <v>Veg</v>
      </c>
      <c r="E773" s="6" t="str">
        <f aca="false">'Dish Database'!E234</f>
        <v>Pan-India</v>
      </c>
      <c r="F773" s="6" t="s">
        <v>2323</v>
      </c>
      <c r="G773" s="6" t="s">
        <v>2503</v>
      </c>
      <c r="H773" s="16" t="n">
        <v>250</v>
      </c>
      <c r="I773" s="6" t="str">
        <f aca="false">'Dish Database'!I234</f>
        <v>g</v>
      </c>
      <c r="J773" s="13" t="n">
        <f aca="false">'Dish Database'!J234*H773/100</f>
        <v>216</v>
      </c>
      <c r="K773" s="17" t="n">
        <f aca="false">'Dish Database'!K234*H773/100</f>
        <v>13.75</v>
      </c>
      <c r="L773" s="17" t="n">
        <f aca="false">'Dish Database'!L234*H773/100</f>
        <v>32.5</v>
      </c>
      <c r="M773" s="17" t="n">
        <f aca="false">'Dish Database'!M234*H773/100</f>
        <v>5</v>
      </c>
      <c r="N773" s="17" t="n">
        <f aca="false">'Dish Database'!N234*H773/100</f>
        <v>7</v>
      </c>
      <c r="O773" s="17" t="n">
        <f aca="false">'Dish Database'!O234*H773/100</f>
        <v>2</v>
      </c>
      <c r="P773" s="13" t="n">
        <f aca="false">'Dish Database'!P234*H773/100</f>
        <v>700</v>
      </c>
    </row>
    <row r="774" customFormat="false" ht="15" hidden="false" customHeight="false" outlineLevel="0" collapsed="false">
      <c r="A774" s="6" t="str">
        <f aca="false">'Dish Database'!A234</f>
        <v>D233</v>
      </c>
      <c r="B774" s="6" t="str">
        <f aca="false">'Dish Database'!B234</f>
        <v>Masoor dal (red lentil)</v>
      </c>
      <c r="C774" s="6" t="str">
        <f aca="false">'Dish Database'!D234</f>
        <v>Dal &amp; Legumes</v>
      </c>
      <c r="D774" s="6" t="str">
        <f aca="false">'Dish Database'!F234</f>
        <v>Veg</v>
      </c>
      <c r="E774" s="6" t="str">
        <f aca="false">'Dish Database'!E234</f>
        <v>Pan-India</v>
      </c>
      <c r="F774" s="6" t="s">
        <v>2325</v>
      </c>
      <c r="G774" s="6" t="s">
        <v>2504</v>
      </c>
      <c r="H774" s="16" t="n">
        <v>500</v>
      </c>
      <c r="I774" s="6" t="str">
        <f aca="false">'Dish Database'!I234</f>
        <v>g</v>
      </c>
      <c r="J774" s="13" t="n">
        <f aca="false">'Dish Database'!J234*H774/100</f>
        <v>432</v>
      </c>
      <c r="K774" s="17" t="n">
        <f aca="false">'Dish Database'!K234*H774/100</f>
        <v>27.5</v>
      </c>
      <c r="L774" s="17" t="n">
        <f aca="false">'Dish Database'!L234*H774/100</f>
        <v>65</v>
      </c>
      <c r="M774" s="17" t="n">
        <f aca="false">'Dish Database'!M234*H774/100</f>
        <v>10</v>
      </c>
      <c r="N774" s="17" t="n">
        <f aca="false">'Dish Database'!N234*H774/100</f>
        <v>14</v>
      </c>
      <c r="O774" s="17" t="n">
        <f aca="false">'Dish Database'!O234*H774/100</f>
        <v>4</v>
      </c>
      <c r="P774" s="13" t="n">
        <f aca="false">'Dish Database'!P234*H774/100</f>
        <v>1400</v>
      </c>
    </row>
    <row r="775" customFormat="false" ht="15" hidden="false" customHeight="false" outlineLevel="0" collapsed="false">
      <c r="A775" s="6" t="str">
        <f aca="false">'Dish Database'!A235</f>
        <v>D234</v>
      </c>
      <c r="B775" s="6" t="str">
        <f aca="false">'Dish Database'!B235</f>
        <v>Chana dal</v>
      </c>
      <c r="C775" s="6" t="str">
        <f aca="false">'Dish Database'!D235</f>
        <v>Dal &amp; Legumes</v>
      </c>
      <c r="D775" s="6" t="str">
        <f aca="false">'Dish Database'!F235</f>
        <v>Veg</v>
      </c>
      <c r="E775" s="6" t="str">
        <f aca="false">'Dish Database'!E235</f>
        <v>Pan-India</v>
      </c>
      <c r="F775" s="6" t="s">
        <v>2243</v>
      </c>
      <c r="G775" s="6" t="s">
        <v>2500</v>
      </c>
      <c r="H775" s="16" t="n">
        <v>100</v>
      </c>
      <c r="I775" s="6" t="str">
        <f aca="false">'Dish Database'!I235</f>
        <v>g</v>
      </c>
      <c r="J775" s="13" t="n">
        <f aca="false">'Dish Database'!J235*H775/100</f>
        <v>107</v>
      </c>
      <c r="K775" s="17" t="n">
        <f aca="false">'Dish Database'!K235*H775/100</f>
        <v>6</v>
      </c>
      <c r="L775" s="17" t="n">
        <f aca="false">'Dish Database'!L235*H775/100</f>
        <v>16</v>
      </c>
      <c r="M775" s="17" t="n">
        <f aca="false">'Dish Database'!M235*H775/100</f>
        <v>3</v>
      </c>
      <c r="N775" s="17" t="n">
        <f aca="false">'Dish Database'!N235*H775/100</f>
        <v>4</v>
      </c>
      <c r="O775" s="17" t="n">
        <f aca="false">'Dish Database'!O235*H775/100</f>
        <v>1.5</v>
      </c>
      <c r="P775" s="13" t="n">
        <f aca="false">'Dish Database'!P235*H775/100</f>
        <v>300</v>
      </c>
    </row>
    <row r="776" customFormat="false" ht="15" hidden="false" customHeight="false" outlineLevel="0" collapsed="false">
      <c r="A776" s="6" t="str">
        <f aca="false">'Dish Database'!A235</f>
        <v>D234</v>
      </c>
      <c r="B776" s="6" t="str">
        <f aca="false">'Dish Database'!B235</f>
        <v>Chana dal</v>
      </c>
      <c r="C776" s="6" t="str">
        <f aca="false">'Dish Database'!D235</f>
        <v>Dal &amp; Legumes</v>
      </c>
      <c r="D776" s="6" t="str">
        <f aca="false">'Dish Database'!F235</f>
        <v>Veg</v>
      </c>
      <c r="E776" s="6" t="str">
        <f aca="false">'Dish Database'!E235</f>
        <v>Pan-India</v>
      </c>
      <c r="F776" s="6" t="s">
        <v>103</v>
      </c>
      <c r="G776" s="6" t="s">
        <v>2501</v>
      </c>
      <c r="H776" s="16" t="n">
        <v>150</v>
      </c>
      <c r="I776" s="6" t="str">
        <f aca="false">'Dish Database'!I235</f>
        <v>g</v>
      </c>
      <c r="J776" s="13" t="n">
        <f aca="false">'Dish Database'!J235*H776/100</f>
        <v>160.5</v>
      </c>
      <c r="K776" s="17" t="n">
        <f aca="false">'Dish Database'!K235*H776/100</f>
        <v>9</v>
      </c>
      <c r="L776" s="17" t="n">
        <f aca="false">'Dish Database'!L235*H776/100</f>
        <v>24</v>
      </c>
      <c r="M776" s="17" t="n">
        <f aca="false">'Dish Database'!M235*H776/100</f>
        <v>4.5</v>
      </c>
      <c r="N776" s="17" t="n">
        <f aca="false">'Dish Database'!N235*H776/100</f>
        <v>6</v>
      </c>
      <c r="O776" s="17" t="n">
        <f aca="false">'Dish Database'!O235*H776/100</f>
        <v>2.25</v>
      </c>
      <c r="P776" s="13" t="n">
        <f aca="false">'Dish Database'!P235*H776/100</f>
        <v>450</v>
      </c>
    </row>
    <row r="777" customFormat="false" ht="15" hidden="false" customHeight="false" outlineLevel="0" collapsed="false">
      <c r="A777" s="6" t="str">
        <f aca="false">'Dish Database'!A235</f>
        <v>D234</v>
      </c>
      <c r="B777" s="6" t="str">
        <f aca="false">'Dish Database'!B235</f>
        <v>Chana dal</v>
      </c>
      <c r="C777" s="6" t="str">
        <f aca="false">'Dish Database'!D235</f>
        <v>Dal &amp; Legumes</v>
      </c>
      <c r="D777" s="6" t="str">
        <f aca="false">'Dish Database'!F235</f>
        <v>Veg</v>
      </c>
      <c r="E777" s="6" t="str">
        <f aca="false">'Dish Database'!E235</f>
        <v>Pan-India</v>
      </c>
      <c r="F777" s="6" t="s">
        <v>2246</v>
      </c>
      <c r="G777" s="6" t="s">
        <v>2502</v>
      </c>
      <c r="H777" s="16" t="n">
        <v>200</v>
      </c>
      <c r="I777" s="6" t="str">
        <f aca="false">'Dish Database'!I235</f>
        <v>g</v>
      </c>
      <c r="J777" s="13" t="n">
        <f aca="false">'Dish Database'!J235*H777/100</f>
        <v>214</v>
      </c>
      <c r="K777" s="17" t="n">
        <f aca="false">'Dish Database'!K235*H777/100</f>
        <v>12</v>
      </c>
      <c r="L777" s="17" t="n">
        <f aca="false">'Dish Database'!L235*H777/100</f>
        <v>32</v>
      </c>
      <c r="M777" s="17" t="n">
        <f aca="false">'Dish Database'!M235*H777/100</f>
        <v>6</v>
      </c>
      <c r="N777" s="17" t="n">
        <f aca="false">'Dish Database'!N235*H777/100</f>
        <v>8</v>
      </c>
      <c r="O777" s="17" t="n">
        <f aca="false">'Dish Database'!O235*H777/100</f>
        <v>3</v>
      </c>
      <c r="P777" s="13" t="n">
        <f aca="false">'Dish Database'!P235*H777/100</f>
        <v>600</v>
      </c>
    </row>
    <row r="778" customFormat="false" ht="15" hidden="false" customHeight="false" outlineLevel="0" collapsed="false">
      <c r="A778" s="6" t="str">
        <f aca="false">'Dish Database'!A235</f>
        <v>D234</v>
      </c>
      <c r="B778" s="6" t="str">
        <f aca="false">'Dish Database'!B235</f>
        <v>Chana dal</v>
      </c>
      <c r="C778" s="6" t="str">
        <f aca="false">'Dish Database'!D235</f>
        <v>Dal &amp; Legumes</v>
      </c>
      <c r="D778" s="6" t="str">
        <f aca="false">'Dish Database'!F235</f>
        <v>Veg</v>
      </c>
      <c r="E778" s="6" t="str">
        <f aca="false">'Dish Database'!E235</f>
        <v>Pan-India</v>
      </c>
      <c r="F778" s="6" t="s">
        <v>2323</v>
      </c>
      <c r="G778" s="6" t="s">
        <v>2503</v>
      </c>
      <c r="H778" s="16" t="n">
        <v>250</v>
      </c>
      <c r="I778" s="6" t="str">
        <f aca="false">'Dish Database'!I235</f>
        <v>g</v>
      </c>
      <c r="J778" s="13" t="n">
        <f aca="false">'Dish Database'!J235*H778/100</f>
        <v>267.5</v>
      </c>
      <c r="K778" s="17" t="n">
        <f aca="false">'Dish Database'!K235*H778/100</f>
        <v>15</v>
      </c>
      <c r="L778" s="17" t="n">
        <f aca="false">'Dish Database'!L235*H778/100</f>
        <v>40</v>
      </c>
      <c r="M778" s="17" t="n">
        <f aca="false">'Dish Database'!M235*H778/100</f>
        <v>7.5</v>
      </c>
      <c r="N778" s="17" t="n">
        <f aca="false">'Dish Database'!N235*H778/100</f>
        <v>10</v>
      </c>
      <c r="O778" s="17" t="n">
        <f aca="false">'Dish Database'!O235*H778/100</f>
        <v>3.75</v>
      </c>
      <c r="P778" s="13" t="n">
        <f aca="false">'Dish Database'!P235*H778/100</f>
        <v>750</v>
      </c>
    </row>
    <row r="779" customFormat="false" ht="15" hidden="false" customHeight="false" outlineLevel="0" collapsed="false">
      <c r="A779" s="6" t="str">
        <f aca="false">'Dish Database'!A235</f>
        <v>D234</v>
      </c>
      <c r="B779" s="6" t="str">
        <f aca="false">'Dish Database'!B235</f>
        <v>Chana dal</v>
      </c>
      <c r="C779" s="6" t="str">
        <f aca="false">'Dish Database'!D235</f>
        <v>Dal &amp; Legumes</v>
      </c>
      <c r="D779" s="6" t="str">
        <f aca="false">'Dish Database'!F235</f>
        <v>Veg</v>
      </c>
      <c r="E779" s="6" t="str">
        <f aca="false">'Dish Database'!E235</f>
        <v>Pan-India</v>
      </c>
      <c r="F779" s="6" t="s">
        <v>2325</v>
      </c>
      <c r="G779" s="6" t="s">
        <v>2504</v>
      </c>
      <c r="H779" s="16" t="n">
        <v>500</v>
      </c>
      <c r="I779" s="6" t="str">
        <f aca="false">'Dish Database'!I235</f>
        <v>g</v>
      </c>
      <c r="J779" s="13" t="n">
        <f aca="false">'Dish Database'!J235*H779/100</f>
        <v>535</v>
      </c>
      <c r="K779" s="17" t="n">
        <f aca="false">'Dish Database'!K235*H779/100</f>
        <v>30</v>
      </c>
      <c r="L779" s="17" t="n">
        <f aca="false">'Dish Database'!L235*H779/100</f>
        <v>80</v>
      </c>
      <c r="M779" s="17" t="n">
        <f aca="false">'Dish Database'!M235*H779/100</f>
        <v>15</v>
      </c>
      <c r="N779" s="17" t="n">
        <f aca="false">'Dish Database'!N235*H779/100</f>
        <v>20</v>
      </c>
      <c r="O779" s="17" t="n">
        <f aca="false">'Dish Database'!O235*H779/100</f>
        <v>7.5</v>
      </c>
      <c r="P779" s="13" t="n">
        <f aca="false">'Dish Database'!P235*H779/100</f>
        <v>1500</v>
      </c>
    </row>
    <row r="780" customFormat="false" ht="15" hidden="false" customHeight="false" outlineLevel="0" collapsed="false">
      <c r="A780" s="6" t="str">
        <f aca="false">'Dish Database'!A236</f>
        <v>D235</v>
      </c>
      <c r="B780" s="6" t="str">
        <f aca="false">'Dish Database'!B236</f>
        <v>Urad dal (dhuli)</v>
      </c>
      <c r="C780" s="6" t="str">
        <f aca="false">'Dish Database'!D236</f>
        <v>Dal &amp; Legumes</v>
      </c>
      <c r="D780" s="6" t="str">
        <f aca="false">'Dish Database'!F236</f>
        <v>Veg</v>
      </c>
      <c r="E780" s="6" t="str">
        <f aca="false">'Dish Database'!E236</f>
        <v>North</v>
      </c>
      <c r="F780" s="6" t="s">
        <v>2243</v>
      </c>
      <c r="G780" s="6" t="s">
        <v>2500</v>
      </c>
      <c r="H780" s="16" t="n">
        <v>100</v>
      </c>
      <c r="I780" s="6" t="str">
        <f aca="false">'Dish Database'!I236</f>
        <v>g</v>
      </c>
      <c r="J780" s="13" t="n">
        <f aca="false">'Dish Database'!J236*H780/100</f>
        <v>94</v>
      </c>
      <c r="K780" s="17" t="n">
        <f aca="false">'Dish Database'!K236*H780/100</f>
        <v>5.5</v>
      </c>
      <c r="L780" s="17" t="n">
        <f aca="false">'Dish Database'!L236*H780/100</f>
        <v>12.5</v>
      </c>
      <c r="M780" s="17" t="n">
        <f aca="false">'Dish Database'!M236*H780/100</f>
        <v>3</v>
      </c>
      <c r="N780" s="17" t="n">
        <f aca="false">'Dish Database'!N236*H780/100</f>
        <v>2.5</v>
      </c>
      <c r="O780" s="17" t="n">
        <f aca="false">'Dish Database'!O236*H780/100</f>
        <v>0.5</v>
      </c>
      <c r="P780" s="13" t="n">
        <f aca="false">'Dish Database'!P236*H780/100</f>
        <v>300</v>
      </c>
    </row>
    <row r="781" customFormat="false" ht="15" hidden="false" customHeight="false" outlineLevel="0" collapsed="false">
      <c r="A781" s="6" t="str">
        <f aca="false">'Dish Database'!A236</f>
        <v>D235</v>
      </c>
      <c r="B781" s="6" t="str">
        <f aca="false">'Dish Database'!B236</f>
        <v>Urad dal (dhuli)</v>
      </c>
      <c r="C781" s="6" t="str">
        <f aca="false">'Dish Database'!D236</f>
        <v>Dal &amp; Legumes</v>
      </c>
      <c r="D781" s="6" t="str">
        <f aca="false">'Dish Database'!F236</f>
        <v>Veg</v>
      </c>
      <c r="E781" s="6" t="str">
        <f aca="false">'Dish Database'!E236</f>
        <v>North</v>
      </c>
      <c r="F781" s="6" t="s">
        <v>103</v>
      </c>
      <c r="G781" s="6" t="s">
        <v>2501</v>
      </c>
      <c r="H781" s="16" t="n">
        <v>150</v>
      </c>
      <c r="I781" s="6" t="str">
        <f aca="false">'Dish Database'!I236</f>
        <v>g</v>
      </c>
      <c r="J781" s="13" t="n">
        <f aca="false">'Dish Database'!J236*H781/100</f>
        <v>141</v>
      </c>
      <c r="K781" s="17" t="n">
        <f aca="false">'Dish Database'!K236*H781/100</f>
        <v>8.25</v>
      </c>
      <c r="L781" s="17" t="n">
        <f aca="false">'Dish Database'!L236*H781/100</f>
        <v>18.75</v>
      </c>
      <c r="M781" s="17" t="n">
        <f aca="false">'Dish Database'!M236*H781/100</f>
        <v>4.5</v>
      </c>
      <c r="N781" s="17" t="n">
        <f aca="false">'Dish Database'!N236*H781/100</f>
        <v>3.75</v>
      </c>
      <c r="O781" s="17" t="n">
        <f aca="false">'Dish Database'!O236*H781/100</f>
        <v>0.75</v>
      </c>
      <c r="P781" s="13" t="n">
        <f aca="false">'Dish Database'!P236*H781/100</f>
        <v>450</v>
      </c>
    </row>
    <row r="782" customFormat="false" ht="15" hidden="false" customHeight="false" outlineLevel="0" collapsed="false">
      <c r="A782" s="6" t="str">
        <f aca="false">'Dish Database'!A236</f>
        <v>D235</v>
      </c>
      <c r="B782" s="6" t="str">
        <f aca="false">'Dish Database'!B236</f>
        <v>Urad dal (dhuli)</v>
      </c>
      <c r="C782" s="6" t="str">
        <f aca="false">'Dish Database'!D236</f>
        <v>Dal &amp; Legumes</v>
      </c>
      <c r="D782" s="6" t="str">
        <f aca="false">'Dish Database'!F236</f>
        <v>Veg</v>
      </c>
      <c r="E782" s="6" t="str">
        <f aca="false">'Dish Database'!E236</f>
        <v>North</v>
      </c>
      <c r="F782" s="6" t="s">
        <v>2246</v>
      </c>
      <c r="G782" s="6" t="s">
        <v>2502</v>
      </c>
      <c r="H782" s="16" t="n">
        <v>200</v>
      </c>
      <c r="I782" s="6" t="str">
        <f aca="false">'Dish Database'!I236</f>
        <v>g</v>
      </c>
      <c r="J782" s="13" t="n">
        <f aca="false">'Dish Database'!J236*H782/100</f>
        <v>188</v>
      </c>
      <c r="K782" s="17" t="n">
        <f aca="false">'Dish Database'!K236*H782/100</f>
        <v>11</v>
      </c>
      <c r="L782" s="17" t="n">
        <f aca="false">'Dish Database'!L236*H782/100</f>
        <v>25</v>
      </c>
      <c r="M782" s="17" t="n">
        <f aca="false">'Dish Database'!M236*H782/100</f>
        <v>6</v>
      </c>
      <c r="N782" s="17" t="n">
        <f aca="false">'Dish Database'!N236*H782/100</f>
        <v>5</v>
      </c>
      <c r="O782" s="17" t="n">
        <f aca="false">'Dish Database'!O236*H782/100</f>
        <v>1</v>
      </c>
      <c r="P782" s="13" t="n">
        <f aca="false">'Dish Database'!P236*H782/100</f>
        <v>600</v>
      </c>
    </row>
    <row r="783" customFormat="false" ht="15" hidden="false" customHeight="false" outlineLevel="0" collapsed="false">
      <c r="A783" s="6" t="str">
        <f aca="false">'Dish Database'!A236</f>
        <v>D235</v>
      </c>
      <c r="B783" s="6" t="str">
        <f aca="false">'Dish Database'!B236</f>
        <v>Urad dal (dhuli)</v>
      </c>
      <c r="C783" s="6" t="str">
        <f aca="false">'Dish Database'!D236</f>
        <v>Dal &amp; Legumes</v>
      </c>
      <c r="D783" s="6" t="str">
        <f aca="false">'Dish Database'!F236</f>
        <v>Veg</v>
      </c>
      <c r="E783" s="6" t="str">
        <f aca="false">'Dish Database'!E236</f>
        <v>North</v>
      </c>
      <c r="F783" s="6" t="s">
        <v>2323</v>
      </c>
      <c r="G783" s="6" t="s">
        <v>2503</v>
      </c>
      <c r="H783" s="16" t="n">
        <v>250</v>
      </c>
      <c r="I783" s="6" t="str">
        <f aca="false">'Dish Database'!I236</f>
        <v>g</v>
      </c>
      <c r="J783" s="13" t="n">
        <f aca="false">'Dish Database'!J236*H783/100</f>
        <v>235</v>
      </c>
      <c r="K783" s="17" t="n">
        <f aca="false">'Dish Database'!K236*H783/100</f>
        <v>13.75</v>
      </c>
      <c r="L783" s="17" t="n">
        <f aca="false">'Dish Database'!L236*H783/100</f>
        <v>31.25</v>
      </c>
      <c r="M783" s="17" t="n">
        <f aca="false">'Dish Database'!M236*H783/100</f>
        <v>7.5</v>
      </c>
      <c r="N783" s="17" t="n">
        <f aca="false">'Dish Database'!N236*H783/100</f>
        <v>6.25</v>
      </c>
      <c r="O783" s="17" t="n">
        <f aca="false">'Dish Database'!O236*H783/100</f>
        <v>1.25</v>
      </c>
      <c r="P783" s="13" t="n">
        <f aca="false">'Dish Database'!P236*H783/100</f>
        <v>750</v>
      </c>
    </row>
    <row r="784" customFormat="false" ht="15" hidden="false" customHeight="false" outlineLevel="0" collapsed="false">
      <c r="A784" s="6" t="str">
        <f aca="false">'Dish Database'!A236</f>
        <v>D235</v>
      </c>
      <c r="B784" s="6" t="str">
        <f aca="false">'Dish Database'!B236</f>
        <v>Urad dal (dhuli)</v>
      </c>
      <c r="C784" s="6" t="str">
        <f aca="false">'Dish Database'!D236</f>
        <v>Dal &amp; Legumes</v>
      </c>
      <c r="D784" s="6" t="str">
        <f aca="false">'Dish Database'!F236</f>
        <v>Veg</v>
      </c>
      <c r="E784" s="6" t="str">
        <f aca="false">'Dish Database'!E236</f>
        <v>North</v>
      </c>
      <c r="F784" s="6" t="s">
        <v>2325</v>
      </c>
      <c r="G784" s="6" t="s">
        <v>2504</v>
      </c>
      <c r="H784" s="16" t="n">
        <v>500</v>
      </c>
      <c r="I784" s="6" t="str">
        <f aca="false">'Dish Database'!I236</f>
        <v>g</v>
      </c>
      <c r="J784" s="13" t="n">
        <f aca="false">'Dish Database'!J236*H784/100</f>
        <v>470</v>
      </c>
      <c r="K784" s="17" t="n">
        <f aca="false">'Dish Database'!K236*H784/100</f>
        <v>27.5</v>
      </c>
      <c r="L784" s="17" t="n">
        <f aca="false">'Dish Database'!L236*H784/100</f>
        <v>62.5</v>
      </c>
      <c r="M784" s="17" t="n">
        <f aca="false">'Dish Database'!M236*H784/100</f>
        <v>15</v>
      </c>
      <c r="N784" s="17" t="n">
        <f aca="false">'Dish Database'!N236*H784/100</f>
        <v>12.5</v>
      </c>
      <c r="O784" s="17" t="n">
        <f aca="false">'Dish Database'!O236*H784/100</f>
        <v>2.5</v>
      </c>
      <c r="P784" s="13" t="n">
        <f aca="false">'Dish Database'!P236*H784/100</f>
        <v>1500</v>
      </c>
    </row>
    <row r="785" customFormat="false" ht="15" hidden="false" customHeight="false" outlineLevel="0" collapsed="false">
      <c r="A785" s="6" t="str">
        <f aca="false">'Dish Database'!A237</f>
        <v>D236</v>
      </c>
      <c r="B785" s="6" t="str">
        <f aca="false">'Dish Database'!B237</f>
        <v>Whole moong dal</v>
      </c>
      <c r="C785" s="6" t="str">
        <f aca="false">'Dish Database'!D237</f>
        <v>Dal &amp; Legumes</v>
      </c>
      <c r="D785" s="6" t="str">
        <f aca="false">'Dish Database'!F237</f>
        <v>Veg</v>
      </c>
      <c r="E785" s="6" t="str">
        <f aca="false">'Dish Database'!E237</f>
        <v>Pan-India</v>
      </c>
      <c r="F785" s="6" t="s">
        <v>2243</v>
      </c>
      <c r="G785" s="6" t="s">
        <v>2500</v>
      </c>
      <c r="H785" s="16" t="n">
        <v>100</v>
      </c>
      <c r="I785" s="6" t="str">
        <f aca="false">'Dish Database'!I237</f>
        <v>g</v>
      </c>
      <c r="J785" s="13" t="n">
        <f aca="false">'Dish Database'!J237*H785/100</f>
        <v>103</v>
      </c>
      <c r="K785" s="17" t="n">
        <f aca="false">'Dish Database'!K237*H785/100</f>
        <v>6</v>
      </c>
      <c r="L785" s="17" t="n">
        <f aca="false">'Dish Database'!L237*H785/100</f>
        <v>15</v>
      </c>
      <c r="M785" s="17" t="n">
        <f aca="false">'Dish Database'!M237*H785/100</f>
        <v>3</v>
      </c>
      <c r="N785" s="17" t="n">
        <f aca="false">'Dish Database'!N237*H785/100</f>
        <v>4</v>
      </c>
      <c r="O785" s="17" t="n">
        <f aca="false">'Dish Database'!O237*H785/100</f>
        <v>1</v>
      </c>
      <c r="P785" s="13" t="n">
        <f aca="false">'Dish Database'!P237*H785/100</f>
        <v>300</v>
      </c>
    </row>
    <row r="786" customFormat="false" ht="15" hidden="false" customHeight="false" outlineLevel="0" collapsed="false">
      <c r="A786" s="6" t="str">
        <f aca="false">'Dish Database'!A237</f>
        <v>D236</v>
      </c>
      <c r="B786" s="6" t="str">
        <f aca="false">'Dish Database'!B237</f>
        <v>Whole moong dal</v>
      </c>
      <c r="C786" s="6" t="str">
        <f aca="false">'Dish Database'!D237</f>
        <v>Dal &amp; Legumes</v>
      </c>
      <c r="D786" s="6" t="str">
        <f aca="false">'Dish Database'!F237</f>
        <v>Veg</v>
      </c>
      <c r="E786" s="6" t="str">
        <f aca="false">'Dish Database'!E237</f>
        <v>Pan-India</v>
      </c>
      <c r="F786" s="6" t="s">
        <v>103</v>
      </c>
      <c r="G786" s="6" t="s">
        <v>2501</v>
      </c>
      <c r="H786" s="16" t="n">
        <v>150</v>
      </c>
      <c r="I786" s="6" t="str">
        <f aca="false">'Dish Database'!I237</f>
        <v>g</v>
      </c>
      <c r="J786" s="13" t="n">
        <f aca="false">'Dish Database'!J237*H786/100</f>
        <v>154.5</v>
      </c>
      <c r="K786" s="17" t="n">
        <f aca="false">'Dish Database'!K237*H786/100</f>
        <v>9</v>
      </c>
      <c r="L786" s="17" t="n">
        <f aca="false">'Dish Database'!L237*H786/100</f>
        <v>22.5</v>
      </c>
      <c r="M786" s="17" t="n">
        <f aca="false">'Dish Database'!M237*H786/100</f>
        <v>4.5</v>
      </c>
      <c r="N786" s="17" t="n">
        <f aca="false">'Dish Database'!N237*H786/100</f>
        <v>6</v>
      </c>
      <c r="O786" s="17" t="n">
        <f aca="false">'Dish Database'!O237*H786/100</f>
        <v>1.5</v>
      </c>
      <c r="P786" s="13" t="n">
        <f aca="false">'Dish Database'!P237*H786/100</f>
        <v>450</v>
      </c>
    </row>
    <row r="787" customFormat="false" ht="15" hidden="false" customHeight="false" outlineLevel="0" collapsed="false">
      <c r="A787" s="6" t="str">
        <f aca="false">'Dish Database'!A237</f>
        <v>D236</v>
      </c>
      <c r="B787" s="6" t="str">
        <f aca="false">'Dish Database'!B237</f>
        <v>Whole moong dal</v>
      </c>
      <c r="C787" s="6" t="str">
        <f aca="false">'Dish Database'!D237</f>
        <v>Dal &amp; Legumes</v>
      </c>
      <c r="D787" s="6" t="str">
        <f aca="false">'Dish Database'!F237</f>
        <v>Veg</v>
      </c>
      <c r="E787" s="6" t="str">
        <f aca="false">'Dish Database'!E237</f>
        <v>Pan-India</v>
      </c>
      <c r="F787" s="6" t="s">
        <v>2246</v>
      </c>
      <c r="G787" s="6" t="s">
        <v>2502</v>
      </c>
      <c r="H787" s="16" t="n">
        <v>200</v>
      </c>
      <c r="I787" s="6" t="str">
        <f aca="false">'Dish Database'!I237</f>
        <v>g</v>
      </c>
      <c r="J787" s="13" t="n">
        <f aca="false">'Dish Database'!J237*H787/100</f>
        <v>206</v>
      </c>
      <c r="K787" s="17" t="n">
        <f aca="false">'Dish Database'!K237*H787/100</f>
        <v>12</v>
      </c>
      <c r="L787" s="17" t="n">
        <f aca="false">'Dish Database'!L237*H787/100</f>
        <v>30</v>
      </c>
      <c r="M787" s="17" t="n">
        <f aca="false">'Dish Database'!M237*H787/100</f>
        <v>6</v>
      </c>
      <c r="N787" s="17" t="n">
        <f aca="false">'Dish Database'!N237*H787/100</f>
        <v>8</v>
      </c>
      <c r="O787" s="17" t="n">
        <f aca="false">'Dish Database'!O237*H787/100</f>
        <v>2</v>
      </c>
      <c r="P787" s="13" t="n">
        <f aca="false">'Dish Database'!P237*H787/100</f>
        <v>600</v>
      </c>
    </row>
    <row r="788" customFormat="false" ht="15" hidden="false" customHeight="false" outlineLevel="0" collapsed="false">
      <c r="A788" s="6" t="str">
        <f aca="false">'Dish Database'!A237</f>
        <v>D236</v>
      </c>
      <c r="B788" s="6" t="str">
        <f aca="false">'Dish Database'!B237</f>
        <v>Whole moong dal</v>
      </c>
      <c r="C788" s="6" t="str">
        <f aca="false">'Dish Database'!D237</f>
        <v>Dal &amp; Legumes</v>
      </c>
      <c r="D788" s="6" t="str">
        <f aca="false">'Dish Database'!F237</f>
        <v>Veg</v>
      </c>
      <c r="E788" s="6" t="str">
        <f aca="false">'Dish Database'!E237</f>
        <v>Pan-India</v>
      </c>
      <c r="F788" s="6" t="s">
        <v>2323</v>
      </c>
      <c r="G788" s="6" t="s">
        <v>2503</v>
      </c>
      <c r="H788" s="16" t="n">
        <v>250</v>
      </c>
      <c r="I788" s="6" t="str">
        <f aca="false">'Dish Database'!I237</f>
        <v>g</v>
      </c>
      <c r="J788" s="13" t="n">
        <f aca="false">'Dish Database'!J237*H788/100</f>
        <v>257.5</v>
      </c>
      <c r="K788" s="17" t="n">
        <f aca="false">'Dish Database'!K237*H788/100</f>
        <v>15</v>
      </c>
      <c r="L788" s="17" t="n">
        <f aca="false">'Dish Database'!L237*H788/100</f>
        <v>37.5</v>
      </c>
      <c r="M788" s="17" t="n">
        <f aca="false">'Dish Database'!M237*H788/100</f>
        <v>7.5</v>
      </c>
      <c r="N788" s="17" t="n">
        <f aca="false">'Dish Database'!N237*H788/100</f>
        <v>10</v>
      </c>
      <c r="O788" s="17" t="n">
        <f aca="false">'Dish Database'!O237*H788/100</f>
        <v>2.5</v>
      </c>
      <c r="P788" s="13" t="n">
        <f aca="false">'Dish Database'!P237*H788/100</f>
        <v>750</v>
      </c>
    </row>
    <row r="789" customFormat="false" ht="15" hidden="false" customHeight="false" outlineLevel="0" collapsed="false">
      <c r="A789" s="6" t="str">
        <f aca="false">'Dish Database'!A237</f>
        <v>D236</v>
      </c>
      <c r="B789" s="6" t="str">
        <f aca="false">'Dish Database'!B237</f>
        <v>Whole moong dal</v>
      </c>
      <c r="C789" s="6" t="str">
        <f aca="false">'Dish Database'!D237</f>
        <v>Dal &amp; Legumes</v>
      </c>
      <c r="D789" s="6" t="str">
        <f aca="false">'Dish Database'!F237</f>
        <v>Veg</v>
      </c>
      <c r="E789" s="6" t="str">
        <f aca="false">'Dish Database'!E237</f>
        <v>Pan-India</v>
      </c>
      <c r="F789" s="6" t="s">
        <v>2325</v>
      </c>
      <c r="G789" s="6" t="s">
        <v>2504</v>
      </c>
      <c r="H789" s="16" t="n">
        <v>500</v>
      </c>
      <c r="I789" s="6" t="str">
        <f aca="false">'Dish Database'!I237</f>
        <v>g</v>
      </c>
      <c r="J789" s="13" t="n">
        <f aca="false">'Dish Database'!J237*H789/100</f>
        <v>515</v>
      </c>
      <c r="K789" s="17" t="n">
        <f aca="false">'Dish Database'!K237*H789/100</f>
        <v>30</v>
      </c>
      <c r="L789" s="17" t="n">
        <f aca="false">'Dish Database'!L237*H789/100</f>
        <v>75</v>
      </c>
      <c r="M789" s="17" t="n">
        <f aca="false">'Dish Database'!M237*H789/100</f>
        <v>15</v>
      </c>
      <c r="N789" s="17" t="n">
        <f aca="false">'Dish Database'!N237*H789/100</f>
        <v>20</v>
      </c>
      <c r="O789" s="17" t="n">
        <f aca="false">'Dish Database'!O237*H789/100</f>
        <v>5</v>
      </c>
      <c r="P789" s="13" t="n">
        <f aca="false">'Dish Database'!P237*H789/100</f>
        <v>1500</v>
      </c>
    </row>
    <row r="790" customFormat="false" ht="15" hidden="false" customHeight="false" outlineLevel="0" collapsed="false">
      <c r="A790" s="6" t="str">
        <f aca="false">'Dish Database'!A238</f>
        <v>D237</v>
      </c>
      <c r="B790" s="6" t="str">
        <f aca="false">'Dish Database'!B238</f>
        <v>Mixed dal / Panchmel dal</v>
      </c>
      <c r="C790" s="6" t="str">
        <f aca="false">'Dish Database'!D238</f>
        <v>Dal &amp; Legumes</v>
      </c>
      <c r="D790" s="6" t="str">
        <f aca="false">'Dish Database'!F238</f>
        <v>Veg</v>
      </c>
      <c r="E790" s="6" t="str">
        <f aca="false">'Dish Database'!E238</f>
        <v>North</v>
      </c>
      <c r="F790" s="6" t="s">
        <v>2243</v>
      </c>
      <c r="G790" s="6" t="s">
        <v>2500</v>
      </c>
      <c r="H790" s="16" t="n">
        <v>100</v>
      </c>
      <c r="I790" s="6" t="str">
        <f aca="false">'Dish Database'!I238</f>
        <v>g</v>
      </c>
      <c r="J790" s="13" t="n">
        <f aca="false">'Dish Database'!J238*H790/100</f>
        <v>103.1</v>
      </c>
      <c r="K790" s="17" t="n">
        <f aca="false">'Dish Database'!K238*H790/100</f>
        <v>5.5</v>
      </c>
      <c r="L790" s="17" t="n">
        <f aca="false">'Dish Database'!L238*H790/100</f>
        <v>14</v>
      </c>
      <c r="M790" s="17" t="n">
        <f aca="false">'Dish Database'!M238*H790/100</f>
        <v>3.5</v>
      </c>
      <c r="N790" s="17" t="n">
        <f aca="false">'Dish Database'!N238*H790/100</f>
        <v>3.2</v>
      </c>
      <c r="O790" s="17" t="n">
        <f aca="false">'Dish Database'!O238*H790/100</f>
        <v>1</v>
      </c>
      <c r="P790" s="13" t="n">
        <f aca="false">'Dish Database'!P238*H790/100</f>
        <v>320</v>
      </c>
    </row>
    <row r="791" customFormat="false" ht="15" hidden="false" customHeight="false" outlineLevel="0" collapsed="false">
      <c r="A791" s="6" t="str">
        <f aca="false">'Dish Database'!A238</f>
        <v>D237</v>
      </c>
      <c r="B791" s="6" t="str">
        <f aca="false">'Dish Database'!B238</f>
        <v>Mixed dal / Panchmel dal</v>
      </c>
      <c r="C791" s="6" t="str">
        <f aca="false">'Dish Database'!D238</f>
        <v>Dal &amp; Legumes</v>
      </c>
      <c r="D791" s="6" t="str">
        <f aca="false">'Dish Database'!F238</f>
        <v>Veg</v>
      </c>
      <c r="E791" s="6" t="str">
        <f aca="false">'Dish Database'!E238</f>
        <v>North</v>
      </c>
      <c r="F791" s="6" t="s">
        <v>103</v>
      </c>
      <c r="G791" s="6" t="s">
        <v>2501</v>
      </c>
      <c r="H791" s="16" t="n">
        <v>150</v>
      </c>
      <c r="I791" s="6" t="str">
        <f aca="false">'Dish Database'!I238</f>
        <v>g</v>
      </c>
      <c r="J791" s="13" t="n">
        <f aca="false">'Dish Database'!J238*H791/100</f>
        <v>154.65</v>
      </c>
      <c r="K791" s="17" t="n">
        <f aca="false">'Dish Database'!K238*H791/100</f>
        <v>8.25</v>
      </c>
      <c r="L791" s="17" t="n">
        <f aca="false">'Dish Database'!L238*H791/100</f>
        <v>21</v>
      </c>
      <c r="M791" s="17" t="n">
        <f aca="false">'Dish Database'!M238*H791/100</f>
        <v>5.25</v>
      </c>
      <c r="N791" s="17" t="n">
        <f aca="false">'Dish Database'!N238*H791/100</f>
        <v>4.8</v>
      </c>
      <c r="O791" s="17" t="n">
        <f aca="false">'Dish Database'!O238*H791/100</f>
        <v>1.5</v>
      </c>
      <c r="P791" s="13" t="n">
        <f aca="false">'Dish Database'!P238*H791/100</f>
        <v>480</v>
      </c>
    </row>
    <row r="792" customFormat="false" ht="15" hidden="false" customHeight="false" outlineLevel="0" collapsed="false">
      <c r="A792" s="6" t="str">
        <f aca="false">'Dish Database'!A238</f>
        <v>D237</v>
      </c>
      <c r="B792" s="6" t="str">
        <f aca="false">'Dish Database'!B238</f>
        <v>Mixed dal / Panchmel dal</v>
      </c>
      <c r="C792" s="6" t="str">
        <f aca="false">'Dish Database'!D238</f>
        <v>Dal &amp; Legumes</v>
      </c>
      <c r="D792" s="6" t="str">
        <f aca="false">'Dish Database'!F238</f>
        <v>Veg</v>
      </c>
      <c r="E792" s="6" t="str">
        <f aca="false">'Dish Database'!E238</f>
        <v>North</v>
      </c>
      <c r="F792" s="6" t="s">
        <v>2246</v>
      </c>
      <c r="G792" s="6" t="s">
        <v>2502</v>
      </c>
      <c r="H792" s="16" t="n">
        <v>200</v>
      </c>
      <c r="I792" s="6" t="str">
        <f aca="false">'Dish Database'!I238</f>
        <v>g</v>
      </c>
      <c r="J792" s="13" t="n">
        <f aca="false">'Dish Database'!J238*H792/100</f>
        <v>206.2</v>
      </c>
      <c r="K792" s="17" t="n">
        <f aca="false">'Dish Database'!K238*H792/100</f>
        <v>11</v>
      </c>
      <c r="L792" s="17" t="n">
        <f aca="false">'Dish Database'!L238*H792/100</f>
        <v>28</v>
      </c>
      <c r="M792" s="17" t="n">
        <f aca="false">'Dish Database'!M238*H792/100</f>
        <v>7</v>
      </c>
      <c r="N792" s="17" t="n">
        <f aca="false">'Dish Database'!N238*H792/100</f>
        <v>6.4</v>
      </c>
      <c r="O792" s="17" t="n">
        <f aca="false">'Dish Database'!O238*H792/100</f>
        <v>2</v>
      </c>
      <c r="P792" s="13" t="n">
        <f aca="false">'Dish Database'!P238*H792/100</f>
        <v>640</v>
      </c>
    </row>
    <row r="793" customFormat="false" ht="15" hidden="false" customHeight="false" outlineLevel="0" collapsed="false">
      <c r="A793" s="6" t="str">
        <f aca="false">'Dish Database'!A238</f>
        <v>D237</v>
      </c>
      <c r="B793" s="6" t="str">
        <f aca="false">'Dish Database'!B238</f>
        <v>Mixed dal / Panchmel dal</v>
      </c>
      <c r="C793" s="6" t="str">
        <f aca="false">'Dish Database'!D238</f>
        <v>Dal &amp; Legumes</v>
      </c>
      <c r="D793" s="6" t="str">
        <f aca="false">'Dish Database'!F238</f>
        <v>Veg</v>
      </c>
      <c r="E793" s="6" t="str">
        <f aca="false">'Dish Database'!E238</f>
        <v>North</v>
      </c>
      <c r="F793" s="6" t="s">
        <v>2323</v>
      </c>
      <c r="G793" s="6" t="s">
        <v>2503</v>
      </c>
      <c r="H793" s="16" t="n">
        <v>250</v>
      </c>
      <c r="I793" s="6" t="str">
        <f aca="false">'Dish Database'!I238</f>
        <v>g</v>
      </c>
      <c r="J793" s="13" t="n">
        <f aca="false">'Dish Database'!J238*H793/100</f>
        <v>257.75</v>
      </c>
      <c r="K793" s="17" t="n">
        <f aca="false">'Dish Database'!K238*H793/100</f>
        <v>13.75</v>
      </c>
      <c r="L793" s="17" t="n">
        <f aca="false">'Dish Database'!L238*H793/100</f>
        <v>35</v>
      </c>
      <c r="M793" s="17" t="n">
        <f aca="false">'Dish Database'!M238*H793/100</f>
        <v>8.75</v>
      </c>
      <c r="N793" s="17" t="n">
        <f aca="false">'Dish Database'!N238*H793/100</f>
        <v>8</v>
      </c>
      <c r="O793" s="17" t="n">
        <f aca="false">'Dish Database'!O238*H793/100</f>
        <v>2.5</v>
      </c>
      <c r="P793" s="13" t="n">
        <f aca="false">'Dish Database'!P238*H793/100</f>
        <v>800</v>
      </c>
    </row>
    <row r="794" customFormat="false" ht="15" hidden="false" customHeight="false" outlineLevel="0" collapsed="false">
      <c r="A794" s="6" t="str">
        <f aca="false">'Dish Database'!A238</f>
        <v>D237</v>
      </c>
      <c r="B794" s="6" t="str">
        <f aca="false">'Dish Database'!B238</f>
        <v>Mixed dal / Panchmel dal</v>
      </c>
      <c r="C794" s="6" t="str">
        <f aca="false">'Dish Database'!D238</f>
        <v>Dal &amp; Legumes</v>
      </c>
      <c r="D794" s="6" t="str">
        <f aca="false">'Dish Database'!F238</f>
        <v>Veg</v>
      </c>
      <c r="E794" s="6" t="str">
        <f aca="false">'Dish Database'!E238</f>
        <v>North</v>
      </c>
      <c r="F794" s="6" t="s">
        <v>2325</v>
      </c>
      <c r="G794" s="6" t="s">
        <v>2504</v>
      </c>
      <c r="H794" s="16" t="n">
        <v>500</v>
      </c>
      <c r="I794" s="6" t="str">
        <f aca="false">'Dish Database'!I238</f>
        <v>g</v>
      </c>
      <c r="J794" s="13" t="n">
        <f aca="false">'Dish Database'!J238*H794/100</f>
        <v>515.5</v>
      </c>
      <c r="K794" s="17" t="n">
        <f aca="false">'Dish Database'!K238*H794/100</f>
        <v>27.5</v>
      </c>
      <c r="L794" s="17" t="n">
        <f aca="false">'Dish Database'!L238*H794/100</f>
        <v>70</v>
      </c>
      <c r="M794" s="17" t="n">
        <f aca="false">'Dish Database'!M238*H794/100</f>
        <v>17.5</v>
      </c>
      <c r="N794" s="17" t="n">
        <f aca="false">'Dish Database'!N238*H794/100</f>
        <v>16</v>
      </c>
      <c r="O794" s="17" t="n">
        <f aca="false">'Dish Database'!O238*H794/100</f>
        <v>5</v>
      </c>
      <c r="P794" s="13" t="n">
        <f aca="false">'Dish Database'!P238*H794/100</f>
        <v>1600</v>
      </c>
    </row>
    <row r="795" customFormat="false" ht="15" hidden="false" customHeight="false" outlineLevel="0" collapsed="false">
      <c r="A795" s="6" t="str">
        <f aca="false">'Dish Database'!A239</f>
        <v>D238</v>
      </c>
      <c r="B795" s="6" t="str">
        <f aca="false">'Dish Database'!B239</f>
        <v>Dal makhani (restaurant)</v>
      </c>
      <c r="C795" s="6" t="str">
        <f aca="false">'Dish Database'!D239</f>
        <v>Dal &amp; Legumes</v>
      </c>
      <c r="D795" s="6" t="str">
        <f aca="false">'Dish Database'!F239</f>
        <v>Veg</v>
      </c>
      <c r="E795" s="6" t="str">
        <f aca="false">'Dish Database'!E239</f>
        <v>North</v>
      </c>
      <c r="F795" s="6" t="s">
        <v>2243</v>
      </c>
      <c r="G795" s="6" t="s">
        <v>2500</v>
      </c>
      <c r="H795" s="16" t="n">
        <v>100</v>
      </c>
      <c r="I795" s="6" t="str">
        <f aca="false">'Dish Database'!I239</f>
        <v>g</v>
      </c>
      <c r="J795" s="13" t="n">
        <f aca="false">'Dish Database'!J239*H795/100</f>
        <v>146.5</v>
      </c>
      <c r="K795" s="17" t="n">
        <f aca="false">'Dish Database'!K239*H795/100</f>
        <v>5.5</v>
      </c>
      <c r="L795" s="17" t="n">
        <f aca="false">'Dish Database'!L239*H795/100</f>
        <v>14</v>
      </c>
      <c r="M795" s="17" t="n">
        <f aca="false">'Dish Database'!M239*H795/100</f>
        <v>8.5</v>
      </c>
      <c r="N795" s="17" t="n">
        <f aca="false">'Dish Database'!N239*H795/100</f>
        <v>4</v>
      </c>
      <c r="O795" s="17" t="n">
        <f aca="false">'Dish Database'!O239*H795/100</f>
        <v>1.5</v>
      </c>
      <c r="P795" s="13" t="n">
        <f aca="false">'Dish Database'!P239*H795/100</f>
        <v>400</v>
      </c>
    </row>
    <row r="796" customFormat="false" ht="15" hidden="false" customHeight="false" outlineLevel="0" collapsed="false">
      <c r="A796" s="6" t="str">
        <f aca="false">'Dish Database'!A239</f>
        <v>D238</v>
      </c>
      <c r="B796" s="6" t="str">
        <f aca="false">'Dish Database'!B239</f>
        <v>Dal makhani (restaurant)</v>
      </c>
      <c r="C796" s="6" t="str">
        <f aca="false">'Dish Database'!D239</f>
        <v>Dal &amp; Legumes</v>
      </c>
      <c r="D796" s="6" t="str">
        <f aca="false">'Dish Database'!F239</f>
        <v>Veg</v>
      </c>
      <c r="E796" s="6" t="str">
        <f aca="false">'Dish Database'!E239</f>
        <v>North</v>
      </c>
      <c r="F796" s="6" t="s">
        <v>103</v>
      </c>
      <c r="G796" s="6" t="s">
        <v>2501</v>
      </c>
      <c r="H796" s="16" t="n">
        <v>150</v>
      </c>
      <c r="I796" s="6" t="str">
        <f aca="false">'Dish Database'!I239</f>
        <v>g</v>
      </c>
      <c r="J796" s="13" t="n">
        <f aca="false">'Dish Database'!J239*H796/100</f>
        <v>219.75</v>
      </c>
      <c r="K796" s="17" t="n">
        <f aca="false">'Dish Database'!K239*H796/100</f>
        <v>8.25</v>
      </c>
      <c r="L796" s="17" t="n">
        <f aca="false">'Dish Database'!L239*H796/100</f>
        <v>21</v>
      </c>
      <c r="M796" s="17" t="n">
        <f aca="false">'Dish Database'!M239*H796/100</f>
        <v>12.75</v>
      </c>
      <c r="N796" s="17" t="n">
        <f aca="false">'Dish Database'!N239*H796/100</f>
        <v>6</v>
      </c>
      <c r="O796" s="17" t="n">
        <f aca="false">'Dish Database'!O239*H796/100</f>
        <v>2.25</v>
      </c>
      <c r="P796" s="13" t="n">
        <f aca="false">'Dish Database'!P239*H796/100</f>
        <v>600</v>
      </c>
    </row>
    <row r="797" customFormat="false" ht="15" hidden="false" customHeight="false" outlineLevel="0" collapsed="false">
      <c r="A797" s="6" t="str">
        <f aca="false">'Dish Database'!A239</f>
        <v>D238</v>
      </c>
      <c r="B797" s="6" t="str">
        <f aca="false">'Dish Database'!B239</f>
        <v>Dal makhani (restaurant)</v>
      </c>
      <c r="C797" s="6" t="str">
        <f aca="false">'Dish Database'!D239</f>
        <v>Dal &amp; Legumes</v>
      </c>
      <c r="D797" s="6" t="str">
        <f aca="false">'Dish Database'!F239</f>
        <v>Veg</v>
      </c>
      <c r="E797" s="6" t="str">
        <f aca="false">'Dish Database'!E239</f>
        <v>North</v>
      </c>
      <c r="F797" s="6" t="s">
        <v>2246</v>
      </c>
      <c r="G797" s="6" t="s">
        <v>2502</v>
      </c>
      <c r="H797" s="16" t="n">
        <v>200</v>
      </c>
      <c r="I797" s="6" t="str">
        <f aca="false">'Dish Database'!I239</f>
        <v>g</v>
      </c>
      <c r="J797" s="13" t="n">
        <f aca="false">'Dish Database'!J239*H797/100</f>
        <v>293</v>
      </c>
      <c r="K797" s="17" t="n">
        <f aca="false">'Dish Database'!K239*H797/100</f>
        <v>11</v>
      </c>
      <c r="L797" s="17" t="n">
        <f aca="false">'Dish Database'!L239*H797/100</f>
        <v>28</v>
      </c>
      <c r="M797" s="17" t="n">
        <f aca="false">'Dish Database'!M239*H797/100</f>
        <v>17</v>
      </c>
      <c r="N797" s="17" t="n">
        <f aca="false">'Dish Database'!N239*H797/100</f>
        <v>8</v>
      </c>
      <c r="O797" s="17" t="n">
        <f aca="false">'Dish Database'!O239*H797/100</f>
        <v>3</v>
      </c>
      <c r="P797" s="13" t="n">
        <f aca="false">'Dish Database'!P239*H797/100</f>
        <v>800</v>
      </c>
    </row>
    <row r="798" customFormat="false" ht="15" hidden="false" customHeight="false" outlineLevel="0" collapsed="false">
      <c r="A798" s="6" t="str">
        <f aca="false">'Dish Database'!A239</f>
        <v>D238</v>
      </c>
      <c r="B798" s="6" t="str">
        <f aca="false">'Dish Database'!B239</f>
        <v>Dal makhani (restaurant)</v>
      </c>
      <c r="C798" s="6" t="str">
        <f aca="false">'Dish Database'!D239</f>
        <v>Dal &amp; Legumes</v>
      </c>
      <c r="D798" s="6" t="str">
        <f aca="false">'Dish Database'!F239</f>
        <v>Veg</v>
      </c>
      <c r="E798" s="6" t="str">
        <f aca="false">'Dish Database'!E239</f>
        <v>North</v>
      </c>
      <c r="F798" s="6" t="s">
        <v>2323</v>
      </c>
      <c r="G798" s="6" t="s">
        <v>2503</v>
      </c>
      <c r="H798" s="16" t="n">
        <v>250</v>
      </c>
      <c r="I798" s="6" t="str">
        <f aca="false">'Dish Database'!I239</f>
        <v>g</v>
      </c>
      <c r="J798" s="13" t="n">
        <f aca="false">'Dish Database'!J239*H798/100</f>
        <v>366.25</v>
      </c>
      <c r="K798" s="17" t="n">
        <f aca="false">'Dish Database'!K239*H798/100</f>
        <v>13.75</v>
      </c>
      <c r="L798" s="17" t="n">
        <f aca="false">'Dish Database'!L239*H798/100</f>
        <v>35</v>
      </c>
      <c r="M798" s="17" t="n">
        <f aca="false">'Dish Database'!M239*H798/100</f>
        <v>21.25</v>
      </c>
      <c r="N798" s="17" t="n">
        <f aca="false">'Dish Database'!N239*H798/100</f>
        <v>10</v>
      </c>
      <c r="O798" s="17" t="n">
        <f aca="false">'Dish Database'!O239*H798/100</f>
        <v>3.75</v>
      </c>
      <c r="P798" s="13" t="n">
        <f aca="false">'Dish Database'!P239*H798/100</f>
        <v>1000</v>
      </c>
    </row>
    <row r="799" customFormat="false" ht="15" hidden="false" customHeight="false" outlineLevel="0" collapsed="false">
      <c r="A799" s="6" t="str">
        <f aca="false">'Dish Database'!A239</f>
        <v>D238</v>
      </c>
      <c r="B799" s="6" t="str">
        <f aca="false">'Dish Database'!B239</f>
        <v>Dal makhani (restaurant)</v>
      </c>
      <c r="C799" s="6" t="str">
        <f aca="false">'Dish Database'!D239</f>
        <v>Dal &amp; Legumes</v>
      </c>
      <c r="D799" s="6" t="str">
        <f aca="false">'Dish Database'!F239</f>
        <v>Veg</v>
      </c>
      <c r="E799" s="6" t="str">
        <f aca="false">'Dish Database'!E239</f>
        <v>North</v>
      </c>
      <c r="F799" s="6" t="s">
        <v>2325</v>
      </c>
      <c r="G799" s="6" t="s">
        <v>2504</v>
      </c>
      <c r="H799" s="16" t="n">
        <v>500</v>
      </c>
      <c r="I799" s="6" t="str">
        <f aca="false">'Dish Database'!I239</f>
        <v>g</v>
      </c>
      <c r="J799" s="13" t="n">
        <f aca="false">'Dish Database'!J239*H799/100</f>
        <v>732.5</v>
      </c>
      <c r="K799" s="17" t="n">
        <f aca="false">'Dish Database'!K239*H799/100</f>
        <v>27.5</v>
      </c>
      <c r="L799" s="17" t="n">
        <f aca="false">'Dish Database'!L239*H799/100</f>
        <v>70</v>
      </c>
      <c r="M799" s="17" t="n">
        <f aca="false">'Dish Database'!M239*H799/100</f>
        <v>42.5</v>
      </c>
      <c r="N799" s="17" t="n">
        <f aca="false">'Dish Database'!N239*H799/100</f>
        <v>20</v>
      </c>
      <c r="O799" s="17" t="n">
        <f aca="false">'Dish Database'!O239*H799/100</f>
        <v>7.5</v>
      </c>
      <c r="P799" s="13" t="n">
        <f aca="false">'Dish Database'!P239*H799/100</f>
        <v>2000</v>
      </c>
    </row>
    <row r="800" customFormat="false" ht="15" hidden="false" customHeight="false" outlineLevel="0" collapsed="false">
      <c r="A800" s="6" t="str">
        <f aca="false">'Dish Database'!A240</f>
        <v>D239</v>
      </c>
      <c r="B800" s="6" t="str">
        <f aca="false">'Dish Database'!B240</f>
        <v>Dal makhani (home, light)</v>
      </c>
      <c r="C800" s="6" t="str">
        <f aca="false">'Dish Database'!D240</f>
        <v>Dal &amp; Legumes</v>
      </c>
      <c r="D800" s="6" t="str">
        <f aca="false">'Dish Database'!F240</f>
        <v>Veg</v>
      </c>
      <c r="E800" s="6" t="str">
        <f aca="false">'Dish Database'!E240</f>
        <v>North</v>
      </c>
      <c r="F800" s="6" t="s">
        <v>2243</v>
      </c>
      <c r="G800" s="6" t="s">
        <v>2500</v>
      </c>
      <c r="H800" s="16" t="n">
        <v>100</v>
      </c>
      <c r="I800" s="6" t="str">
        <f aca="false">'Dish Database'!I240</f>
        <v>g</v>
      </c>
      <c r="J800" s="13" t="n">
        <f aca="false">'Dish Database'!J240*H800/100</f>
        <v>106</v>
      </c>
      <c r="K800" s="17" t="n">
        <f aca="false">'Dish Database'!K240*H800/100</f>
        <v>5.5</v>
      </c>
      <c r="L800" s="17" t="n">
        <f aca="false">'Dish Database'!L240*H800/100</f>
        <v>14</v>
      </c>
      <c r="M800" s="17" t="n">
        <f aca="false">'Dish Database'!M240*H800/100</f>
        <v>4</v>
      </c>
      <c r="N800" s="17" t="n">
        <f aca="false">'Dish Database'!N240*H800/100</f>
        <v>4</v>
      </c>
      <c r="O800" s="17" t="n">
        <f aca="false">'Dish Database'!O240*H800/100</f>
        <v>1.5</v>
      </c>
      <c r="P800" s="13" t="n">
        <f aca="false">'Dish Database'!P240*H800/100</f>
        <v>350</v>
      </c>
    </row>
    <row r="801" customFormat="false" ht="15" hidden="false" customHeight="false" outlineLevel="0" collapsed="false">
      <c r="A801" s="6" t="str">
        <f aca="false">'Dish Database'!A240</f>
        <v>D239</v>
      </c>
      <c r="B801" s="6" t="str">
        <f aca="false">'Dish Database'!B240</f>
        <v>Dal makhani (home, light)</v>
      </c>
      <c r="C801" s="6" t="str">
        <f aca="false">'Dish Database'!D240</f>
        <v>Dal &amp; Legumes</v>
      </c>
      <c r="D801" s="6" t="str">
        <f aca="false">'Dish Database'!F240</f>
        <v>Veg</v>
      </c>
      <c r="E801" s="6" t="str">
        <f aca="false">'Dish Database'!E240</f>
        <v>North</v>
      </c>
      <c r="F801" s="6" t="s">
        <v>103</v>
      </c>
      <c r="G801" s="6" t="s">
        <v>2501</v>
      </c>
      <c r="H801" s="16" t="n">
        <v>150</v>
      </c>
      <c r="I801" s="6" t="str">
        <f aca="false">'Dish Database'!I240</f>
        <v>g</v>
      </c>
      <c r="J801" s="13" t="n">
        <f aca="false">'Dish Database'!J240*H801/100</f>
        <v>159</v>
      </c>
      <c r="K801" s="17" t="n">
        <f aca="false">'Dish Database'!K240*H801/100</f>
        <v>8.25</v>
      </c>
      <c r="L801" s="17" t="n">
        <f aca="false">'Dish Database'!L240*H801/100</f>
        <v>21</v>
      </c>
      <c r="M801" s="17" t="n">
        <f aca="false">'Dish Database'!M240*H801/100</f>
        <v>6</v>
      </c>
      <c r="N801" s="17" t="n">
        <f aca="false">'Dish Database'!N240*H801/100</f>
        <v>6</v>
      </c>
      <c r="O801" s="17" t="n">
        <f aca="false">'Dish Database'!O240*H801/100</f>
        <v>2.25</v>
      </c>
      <c r="P801" s="13" t="n">
        <f aca="false">'Dish Database'!P240*H801/100</f>
        <v>525</v>
      </c>
    </row>
    <row r="802" customFormat="false" ht="15" hidden="false" customHeight="false" outlineLevel="0" collapsed="false">
      <c r="A802" s="6" t="str">
        <f aca="false">'Dish Database'!A240</f>
        <v>D239</v>
      </c>
      <c r="B802" s="6" t="str">
        <f aca="false">'Dish Database'!B240</f>
        <v>Dal makhani (home, light)</v>
      </c>
      <c r="C802" s="6" t="str">
        <f aca="false">'Dish Database'!D240</f>
        <v>Dal &amp; Legumes</v>
      </c>
      <c r="D802" s="6" t="str">
        <f aca="false">'Dish Database'!F240</f>
        <v>Veg</v>
      </c>
      <c r="E802" s="6" t="str">
        <f aca="false">'Dish Database'!E240</f>
        <v>North</v>
      </c>
      <c r="F802" s="6" t="s">
        <v>2246</v>
      </c>
      <c r="G802" s="6" t="s">
        <v>2502</v>
      </c>
      <c r="H802" s="16" t="n">
        <v>200</v>
      </c>
      <c r="I802" s="6" t="str">
        <f aca="false">'Dish Database'!I240</f>
        <v>g</v>
      </c>
      <c r="J802" s="13" t="n">
        <f aca="false">'Dish Database'!J240*H802/100</f>
        <v>212</v>
      </c>
      <c r="K802" s="17" t="n">
        <f aca="false">'Dish Database'!K240*H802/100</f>
        <v>11</v>
      </c>
      <c r="L802" s="17" t="n">
        <f aca="false">'Dish Database'!L240*H802/100</f>
        <v>28</v>
      </c>
      <c r="M802" s="17" t="n">
        <f aca="false">'Dish Database'!M240*H802/100</f>
        <v>8</v>
      </c>
      <c r="N802" s="17" t="n">
        <f aca="false">'Dish Database'!N240*H802/100</f>
        <v>8</v>
      </c>
      <c r="O802" s="17" t="n">
        <f aca="false">'Dish Database'!O240*H802/100</f>
        <v>3</v>
      </c>
      <c r="P802" s="13" t="n">
        <f aca="false">'Dish Database'!P240*H802/100</f>
        <v>700</v>
      </c>
    </row>
    <row r="803" customFormat="false" ht="15" hidden="false" customHeight="false" outlineLevel="0" collapsed="false">
      <c r="A803" s="6" t="str">
        <f aca="false">'Dish Database'!A240</f>
        <v>D239</v>
      </c>
      <c r="B803" s="6" t="str">
        <f aca="false">'Dish Database'!B240</f>
        <v>Dal makhani (home, light)</v>
      </c>
      <c r="C803" s="6" t="str">
        <f aca="false">'Dish Database'!D240</f>
        <v>Dal &amp; Legumes</v>
      </c>
      <c r="D803" s="6" t="str">
        <f aca="false">'Dish Database'!F240</f>
        <v>Veg</v>
      </c>
      <c r="E803" s="6" t="str">
        <f aca="false">'Dish Database'!E240</f>
        <v>North</v>
      </c>
      <c r="F803" s="6" t="s">
        <v>2323</v>
      </c>
      <c r="G803" s="6" t="s">
        <v>2503</v>
      </c>
      <c r="H803" s="16" t="n">
        <v>250</v>
      </c>
      <c r="I803" s="6" t="str">
        <f aca="false">'Dish Database'!I240</f>
        <v>g</v>
      </c>
      <c r="J803" s="13" t="n">
        <f aca="false">'Dish Database'!J240*H803/100</f>
        <v>265</v>
      </c>
      <c r="K803" s="17" t="n">
        <f aca="false">'Dish Database'!K240*H803/100</f>
        <v>13.75</v>
      </c>
      <c r="L803" s="17" t="n">
        <f aca="false">'Dish Database'!L240*H803/100</f>
        <v>35</v>
      </c>
      <c r="M803" s="17" t="n">
        <f aca="false">'Dish Database'!M240*H803/100</f>
        <v>10</v>
      </c>
      <c r="N803" s="17" t="n">
        <f aca="false">'Dish Database'!N240*H803/100</f>
        <v>10</v>
      </c>
      <c r="O803" s="17" t="n">
        <f aca="false">'Dish Database'!O240*H803/100</f>
        <v>3.75</v>
      </c>
      <c r="P803" s="13" t="n">
        <f aca="false">'Dish Database'!P240*H803/100</f>
        <v>875</v>
      </c>
    </row>
    <row r="804" customFormat="false" ht="15" hidden="false" customHeight="false" outlineLevel="0" collapsed="false">
      <c r="A804" s="6" t="str">
        <f aca="false">'Dish Database'!A240</f>
        <v>D239</v>
      </c>
      <c r="B804" s="6" t="str">
        <f aca="false">'Dish Database'!B240</f>
        <v>Dal makhani (home, light)</v>
      </c>
      <c r="C804" s="6" t="str">
        <f aca="false">'Dish Database'!D240</f>
        <v>Dal &amp; Legumes</v>
      </c>
      <c r="D804" s="6" t="str">
        <f aca="false">'Dish Database'!F240</f>
        <v>Veg</v>
      </c>
      <c r="E804" s="6" t="str">
        <f aca="false">'Dish Database'!E240</f>
        <v>North</v>
      </c>
      <c r="F804" s="6" t="s">
        <v>2325</v>
      </c>
      <c r="G804" s="6" t="s">
        <v>2504</v>
      </c>
      <c r="H804" s="16" t="n">
        <v>500</v>
      </c>
      <c r="I804" s="6" t="str">
        <f aca="false">'Dish Database'!I240</f>
        <v>g</v>
      </c>
      <c r="J804" s="13" t="n">
        <f aca="false">'Dish Database'!J240*H804/100</f>
        <v>530</v>
      </c>
      <c r="K804" s="17" t="n">
        <f aca="false">'Dish Database'!K240*H804/100</f>
        <v>27.5</v>
      </c>
      <c r="L804" s="17" t="n">
        <f aca="false">'Dish Database'!L240*H804/100</f>
        <v>70</v>
      </c>
      <c r="M804" s="17" t="n">
        <f aca="false">'Dish Database'!M240*H804/100</f>
        <v>20</v>
      </c>
      <c r="N804" s="17" t="n">
        <f aca="false">'Dish Database'!N240*H804/100</f>
        <v>20</v>
      </c>
      <c r="O804" s="17" t="n">
        <f aca="false">'Dish Database'!O240*H804/100</f>
        <v>7.5</v>
      </c>
      <c r="P804" s="13" t="n">
        <f aca="false">'Dish Database'!P240*H804/100</f>
        <v>1750</v>
      </c>
    </row>
    <row r="805" customFormat="false" ht="15" hidden="false" customHeight="false" outlineLevel="0" collapsed="false">
      <c r="A805" s="6" t="str">
        <f aca="false">'Dish Database'!A241</f>
        <v>D240</v>
      </c>
      <c r="B805" s="6" t="str">
        <f aca="false">'Dish Database'!B241</f>
        <v>Rajma masala</v>
      </c>
      <c r="C805" s="6" t="str">
        <f aca="false">'Dish Database'!D241</f>
        <v>Dal &amp; Legumes</v>
      </c>
      <c r="D805" s="6" t="str">
        <f aca="false">'Dish Database'!F241</f>
        <v>Veg</v>
      </c>
      <c r="E805" s="6" t="str">
        <f aca="false">'Dish Database'!E241</f>
        <v>North</v>
      </c>
      <c r="F805" s="6" t="s">
        <v>2243</v>
      </c>
      <c r="G805" s="6" t="s">
        <v>2500</v>
      </c>
      <c r="H805" s="16" t="n">
        <v>100</v>
      </c>
      <c r="I805" s="6" t="str">
        <f aca="false">'Dish Database'!I241</f>
        <v>g</v>
      </c>
      <c r="J805" s="13" t="n">
        <f aca="false">'Dish Database'!J241*H805/100</f>
        <v>115.5</v>
      </c>
      <c r="K805" s="17" t="n">
        <f aca="false">'Dish Database'!K241*H805/100</f>
        <v>5</v>
      </c>
      <c r="L805" s="17" t="n">
        <f aca="false">'Dish Database'!L241*H805/100</f>
        <v>16</v>
      </c>
      <c r="M805" s="17" t="n">
        <f aca="false">'Dish Database'!M241*H805/100</f>
        <v>4.5</v>
      </c>
      <c r="N805" s="17" t="n">
        <f aca="false">'Dish Database'!N241*H805/100</f>
        <v>4.5</v>
      </c>
      <c r="O805" s="17" t="n">
        <f aca="false">'Dish Database'!O241*H805/100</f>
        <v>1.5</v>
      </c>
      <c r="P805" s="13" t="n">
        <f aca="false">'Dish Database'!P241*H805/100</f>
        <v>350</v>
      </c>
    </row>
    <row r="806" customFormat="false" ht="15" hidden="false" customHeight="false" outlineLevel="0" collapsed="false">
      <c r="A806" s="6" t="str">
        <f aca="false">'Dish Database'!A241</f>
        <v>D240</v>
      </c>
      <c r="B806" s="6" t="str">
        <f aca="false">'Dish Database'!B241</f>
        <v>Rajma masala</v>
      </c>
      <c r="C806" s="6" t="str">
        <f aca="false">'Dish Database'!D241</f>
        <v>Dal &amp; Legumes</v>
      </c>
      <c r="D806" s="6" t="str">
        <f aca="false">'Dish Database'!F241</f>
        <v>Veg</v>
      </c>
      <c r="E806" s="6" t="str">
        <f aca="false">'Dish Database'!E241</f>
        <v>North</v>
      </c>
      <c r="F806" s="6" t="s">
        <v>103</v>
      </c>
      <c r="G806" s="6" t="s">
        <v>2501</v>
      </c>
      <c r="H806" s="16" t="n">
        <v>150</v>
      </c>
      <c r="I806" s="6" t="str">
        <f aca="false">'Dish Database'!I241</f>
        <v>g</v>
      </c>
      <c r="J806" s="13" t="n">
        <f aca="false">'Dish Database'!J241*H806/100</f>
        <v>173.25</v>
      </c>
      <c r="K806" s="17" t="n">
        <f aca="false">'Dish Database'!K241*H806/100</f>
        <v>7.5</v>
      </c>
      <c r="L806" s="17" t="n">
        <f aca="false">'Dish Database'!L241*H806/100</f>
        <v>24</v>
      </c>
      <c r="M806" s="17" t="n">
        <f aca="false">'Dish Database'!M241*H806/100</f>
        <v>6.75</v>
      </c>
      <c r="N806" s="17" t="n">
        <f aca="false">'Dish Database'!N241*H806/100</f>
        <v>6.75</v>
      </c>
      <c r="O806" s="17" t="n">
        <f aca="false">'Dish Database'!O241*H806/100</f>
        <v>2.25</v>
      </c>
      <c r="P806" s="13" t="n">
        <f aca="false">'Dish Database'!P241*H806/100</f>
        <v>525</v>
      </c>
    </row>
    <row r="807" customFormat="false" ht="15" hidden="false" customHeight="false" outlineLevel="0" collapsed="false">
      <c r="A807" s="6" t="str">
        <f aca="false">'Dish Database'!A241</f>
        <v>D240</v>
      </c>
      <c r="B807" s="6" t="str">
        <f aca="false">'Dish Database'!B241</f>
        <v>Rajma masala</v>
      </c>
      <c r="C807" s="6" t="str">
        <f aca="false">'Dish Database'!D241</f>
        <v>Dal &amp; Legumes</v>
      </c>
      <c r="D807" s="6" t="str">
        <f aca="false">'Dish Database'!F241</f>
        <v>Veg</v>
      </c>
      <c r="E807" s="6" t="str">
        <f aca="false">'Dish Database'!E241</f>
        <v>North</v>
      </c>
      <c r="F807" s="6" t="s">
        <v>2246</v>
      </c>
      <c r="G807" s="6" t="s">
        <v>2502</v>
      </c>
      <c r="H807" s="16" t="n">
        <v>200</v>
      </c>
      <c r="I807" s="6" t="str">
        <f aca="false">'Dish Database'!I241</f>
        <v>g</v>
      </c>
      <c r="J807" s="13" t="n">
        <f aca="false">'Dish Database'!J241*H807/100</f>
        <v>231</v>
      </c>
      <c r="K807" s="17" t="n">
        <f aca="false">'Dish Database'!K241*H807/100</f>
        <v>10</v>
      </c>
      <c r="L807" s="17" t="n">
        <f aca="false">'Dish Database'!L241*H807/100</f>
        <v>32</v>
      </c>
      <c r="M807" s="17" t="n">
        <f aca="false">'Dish Database'!M241*H807/100</f>
        <v>9</v>
      </c>
      <c r="N807" s="17" t="n">
        <f aca="false">'Dish Database'!N241*H807/100</f>
        <v>9</v>
      </c>
      <c r="O807" s="17" t="n">
        <f aca="false">'Dish Database'!O241*H807/100</f>
        <v>3</v>
      </c>
      <c r="P807" s="13" t="n">
        <f aca="false">'Dish Database'!P241*H807/100</f>
        <v>700</v>
      </c>
    </row>
    <row r="808" customFormat="false" ht="15" hidden="false" customHeight="false" outlineLevel="0" collapsed="false">
      <c r="A808" s="6" t="str">
        <f aca="false">'Dish Database'!A241</f>
        <v>D240</v>
      </c>
      <c r="B808" s="6" t="str">
        <f aca="false">'Dish Database'!B241</f>
        <v>Rajma masala</v>
      </c>
      <c r="C808" s="6" t="str">
        <f aca="false">'Dish Database'!D241</f>
        <v>Dal &amp; Legumes</v>
      </c>
      <c r="D808" s="6" t="str">
        <f aca="false">'Dish Database'!F241</f>
        <v>Veg</v>
      </c>
      <c r="E808" s="6" t="str">
        <f aca="false">'Dish Database'!E241</f>
        <v>North</v>
      </c>
      <c r="F808" s="6" t="s">
        <v>2323</v>
      </c>
      <c r="G808" s="6" t="s">
        <v>2503</v>
      </c>
      <c r="H808" s="16" t="n">
        <v>250</v>
      </c>
      <c r="I808" s="6" t="str">
        <f aca="false">'Dish Database'!I241</f>
        <v>g</v>
      </c>
      <c r="J808" s="13" t="n">
        <f aca="false">'Dish Database'!J241*H808/100</f>
        <v>288.75</v>
      </c>
      <c r="K808" s="17" t="n">
        <f aca="false">'Dish Database'!K241*H808/100</f>
        <v>12.5</v>
      </c>
      <c r="L808" s="17" t="n">
        <f aca="false">'Dish Database'!L241*H808/100</f>
        <v>40</v>
      </c>
      <c r="M808" s="17" t="n">
        <f aca="false">'Dish Database'!M241*H808/100</f>
        <v>11.25</v>
      </c>
      <c r="N808" s="17" t="n">
        <f aca="false">'Dish Database'!N241*H808/100</f>
        <v>11.25</v>
      </c>
      <c r="O808" s="17" t="n">
        <f aca="false">'Dish Database'!O241*H808/100</f>
        <v>3.75</v>
      </c>
      <c r="P808" s="13" t="n">
        <f aca="false">'Dish Database'!P241*H808/100</f>
        <v>875</v>
      </c>
    </row>
    <row r="809" customFormat="false" ht="15" hidden="false" customHeight="false" outlineLevel="0" collapsed="false">
      <c r="A809" s="6" t="str">
        <f aca="false">'Dish Database'!A241</f>
        <v>D240</v>
      </c>
      <c r="B809" s="6" t="str">
        <f aca="false">'Dish Database'!B241</f>
        <v>Rajma masala</v>
      </c>
      <c r="C809" s="6" t="str">
        <f aca="false">'Dish Database'!D241</f>
        <v>Dal &amp; Legumes</v>
      </c>
      <c r="D809" s="6" t="str">
        <f aca="false">'Dish Database'!F241</f>
        <v>Veg</v>
      </c>
      <c r="E809" s="6" t="str">
        <f aca="false">'Dish Database'!E241</f>
        <v>North</v>
      </c>
      <c r="F809" s="6" t="s">
        <v>2325</v>
      </c>
      <c r="G809" s="6" t="s">
        <v>2504</v>
      </c>
      <c r="H809" s="16" t="n">
        <v>500</v>
      </c>
      <c r="I809" s="6" t="str">
        <f aca="false">'Dish Database'!I241</f>
        <v>g</v>
      </c>
      <c r="J809" s="13" t="n">
        <f aca="false">'Dish Database'!J241*H809/100</f>
        <v>577.5</v>
      </c>
      <c r="K809" s="17" t="n">
        <f aca="false">'Dish Database'!K241*H809/100</f>
        <v>25</v>
      </c>
      <c r="L809" s="17" t="n">
        <f aca="false">'Dish Database'!L241*H809/100</f>
        <v>80</v>
      </c>
      <c r="M809" s="17" t="n">
        <f aca="false">'Dish Database'!M241*H809/100</f>
        <v>22.5</v>
      </c>
      <c r="N809" s="17" t="n">
        <f aca="false">'Dish Database'!N241*H809/100</f>
        <v>22.5</v>
      </c>
      <c r="O809" s="17" t="n">
        <f aca="false">'Dish Database'!O241*H809/100</f>
        <v>7.5</v>
      </c>
      <c r="P809" s="13" t="n">
        <f aca="false">'Dish Database'!P241*H809/100</f>
        <v>1750</v>
      </c>
    </row>
    <row r="810" customFormat="false" ht="15" hidden="false" customHeight="false" outlineLevel="0" collapsed="false">
      <c r="A810" s="6" t="str">
        <f aca="false">'Dish Database'!A242</f>
        <v>D241</v>
      </c>
      <c r="B810" s="6" t="str">
        <f aca="false">'Dish Database'!B242</f>
        <v>Chole / Chana masala</v>
      </c>
      <c r="C810" s="6" t="str">
        <f aca="false">'Dish Database'!D242</f>
        <v>Dal &amp; Legumes</v>
      </c>
      <c r="D810" s="6" t="str">
        <f aca="false">'Dish Database'!F242</f>
        <v>Veg</v>
      </c>
      <c r="E810" s="6" t="str">
        <f aca="false">'Dish Database'!E242</f>
        <v>North</v>
      </c>
      <c r="F810" s="6" t="s">
        <v>2243</v>
      </c>
      <c r="G810" s="6" t="s">
        <v>2500</v>
      </c>
      <c r="H810" s="16" t="n">
        <v>100</v>
      </c>
      <c r="I810" s="6" t="str">
        <f aca="false">'Dish Database'!I242</f>
        <v>g</v>
      </c>
      <c r="J810" s="13" t="n">
        <f aca="false">'Dish Database'!J242*H810/100</f>
        <v>145</v>
      </c>
      <c r="K810" s="17" t="n">
        <f aca="false">'Dish Database'!K242*H810/100</f>
        <v>6.5</v>
      </c>
      <c r="L810" s="17" t="n">
        <f aca="false">'Dish Database'!L242*H810/100</f>
        <v>19</v>
      </c>
      <c r="M810" s="17" t="n">
        <f aca="false">'Dish Database'!M242*H810/100</f>
        <v>6</v>
      </c>
      <c r="N810" s="17" t="n">
        <f aca="false">'Dish Database'!N242*H810/100</f>
        <v>5.5</v>
      </c>
      <c r="O810" s="17" t="n">
        <f aca="false">'Dish Database'!O242*H810/100</f>
        <v>2</v>
      </c>
      <c r="P810" s="13" t="n">
        <f aca="false">'Dish Database'!P242*H810/100</f>
        <v>400</v>
      </c>
    </row>
    <row r="811" customFormat="false" ht="15" hidden="false" customHeight="false" outlineLevel="0" collapsed="false">
      <c r="A811" s="6" t="str">
        <f aca="false">'Dish Database'!A242</f>
        <v>D241</v>
      </c>
      <c r="B811" s="6" t="str">
        <f aca="false">'Dish Database'!B242</f>
        <v>Chole / Chana masala</v>
      </c>
      <c r="C811" s="6" t="str">
        <f aca="false">'Dish Database'!D242</f>
        <v>Dal &amp; Legumes</v>
      </c>
      <c r="D811" s="6" t="str">
        <f aca="false">'Dish Database'!F242</f>
        <v>Veg</v>
      </c>
      <c r="E811" s="6" t="str">
        <f aca="false">'Dish Database'!E242</f>
        <v>North</v>
      </c>
      <c r="F811" s="6" t="s">
        <v>103</v>
      </c>
      <c r="G811" s="6" t="s">
        <v>2501</v>
      </c>
      <c r="H811" s="16" t="n">
        <v>150</v>
      </c>
      <c r="I811" s="6" t="str">
        <f aca="false">'Dish Database'!I242</f>
        <v>g</v>
      </c>
      <c r="J811" s="13" t="n">
        <f aca="false">'Dish Database'!J242*H811/100</f>
        <v>217.5</v>
      </c>
      <c r="K811" s="17" t="n">
        <f aca="false">'Dish Database'!K242*H811/100</f>
        <v>9.75</v>
      </c>
      <c r="L811" s="17" t="n">
        <f aca="false">'Dish Database'!L242*H811/100</f>
        <v>28.5</v>
      </c>
      <c r="M811" s="17" t="n">
        <f aca="false">'Dish Database'!M242*H811/100</f>
        <v>9</v>
      </c>
      <c r="N811" s="17" t="n">
        <f aca="false">'Dish Database'!N242*H811/100</f>
        <v>8.25</v>
      </c>
      <c r="O811" s="17" t="n">
        <f aca="false">'Dish Database'!O242*H811/100</f>
        <v>3</v>
      </c>
      <c r="P811" s="13" t="n">
        <f aca="false">'Dish Database'!P242*H811/100</f>
        <v>600</v>
      </c>
    </row>
    <row r="812" customFormat="false" ht="15" hidden="false" customHeight="false" outlineLevel="0" collapsed="false">
      <c r="A812" s="6" t="str">
        <f aca="false">'Dish Database'!A242</f>
        <v>D241</v>
      </c>
      <c r="B812" s="6" t="str">
        <f aca="false">'Dish Database'!B242</f>
        <v>Chole / Chana masala</v>
      </c>
      <c r="C812" s="6" t="str">
        <f aca="false">'Dish Database'!D242</f>
        <v>Dal &amp; Legumes</v>
      </c>
      <c r="D812" s="6" t="str">
        <f aca="false">'Dish Database'!F242</f>
        <v>Veg</v>
      </c>
      <c r="E812" s="6" t="str">
        <f aca="false">'Dish Database'!E242</f>
        <v>North</v>
      </c>
      <c r="F812" s="6" t="s">
        <v>2246</v>
      </c>
      <c r="G812" s="6" t="s">
        <v>2502</v>
      </c>
      <c r="H812" s="16" t="n">
        <v>200</v>
      </c>
      <c r="I812" s="6" t="str">
        <f aca="false">'Dish Database'!I242</f>
        <v>g</v>
      </c>
      <c r="J812" s="13" t="n">
        <f aca="false">'Dish Database'!J242*H812/100</f>
        <v>290</v>
      </c>
      <c r="K812" s="17" t="n">
        <f aca="false">'Dish Database'!K242*H812/100</f>
        <v>13</v>
      </c>
      <c r="L812" s="17" t="n">
        <f aca="false">'Dish Database'!L242*H812/100</f>
        <v>38</v>
      </c>
      <c r="M812" s="17" t="n">
        <f aca="false">'Dish Database'!M242*H812/100</f>
        <v>12</v>
      </c>
      <c r="N812" s="17" t="n">
        <f aca="false">'Dish Database'!N242*H812/100</f>
        <v>11</v>
      </c>
      <c r="O812" s="17" t="n">
        <f aca="false">'Dish Database'!O242*H812/100</f>
        <v>4</v>
      </c>
      <c r="P812" s="13" t="n">
        <f aca="false">'Dish Database'!P242*H812/100</f>
        <v>800</v>
      </c>
    </row>
    <row r="813" customFormat="false" ht="15" hidden="false" customHeight="false" outlineLevel="0" collapsed="false">
      <c r="A813" s="6" t="str">
        <f aca="false">'Dish Database'!A242</f>
        <v>D241</v>
      </c>
      <c r="B813" s="6" t="str">
        <f aca="false">'Dish Database'!B242</f>
        <v>Chole / Chana masala</v>
      </c>
      <c r="C813" s="6" t="str">
        <f aca="false">'Dish Database'!D242</f>
        <v>Dal &amp; Legumes</v>
      </c>
      <c r="D813" s="6" t="str">
        <f aca="false">'Dish Database'!F242</f>
        <v>Veg</v>
      </c>
      <c r="E813" s="6" t="str">
        <f aca="false">'Dish Database'!E242</f>
        <v>North</v>
      </c>
      <c r="F813" s="6" t="s">
        <v>2323</v>
      </c>
      <c r="G813" s="6" t="s">
        <v>2503</v>
      </c>
      <c r="H813" s="16" t="n">
        <v>250</v>
      </c>
      <c r="I813" s="6" t="str">
        <f aca="false">'Dish Database'!I242</f>
        <v>g</v>
      </c>
      <c r="J813" s="13" t="n">
        <f aca="false">'Dish Database'!J242*H813/100</f>
        <v>362.5</v>
      </c>
      <c r="K813" s="17" t="n">
        <f aca="false">'Dish Database'!K242*H813/100</f>
        <v>16.25</v>
      </c>
      <c r="L813" s="17" t="n">
        <f aca="false">'Dish Database'!L242*H813/100</f>
        <v>47.5</v>
      </c>
      <c r="M813" s="17" t="n">
        <f aca="false">'Dish Database'!M242*H813/100</f>
        <v>15</v>
      </c>
      <c r="N813" s="17" t="n">
        <f aca="false">'Dish Database'!N242*H813/100</f>
        <v>13.75</v>
      </c>
      <c r="O813" s="17" t="n">
        <f aca="false">'Dish Database'!O242*H813/100</f>
        <v>5</v>
      </c>
      <c r="P813" s="13" t="n">
        <f aca="false">'Dish Database'!P242*H813/100</f>
        <v>1000</v>
      </c>
    </row>
    <row r="814" customFormat="false" ht="15" hidden="false" customHeight="false" outlineLevel="0" collapsed="false">
      <c r="A814" s="6" t="str">
        <f aca="false">'Dish Database'!A242</f>
        <v>D241</v>
      </c>
      <c r="B814" s="6" t="str">
        <f aca="false">'Dish Database'!B242</f>
        <v>Chole / Chana masala</v>
      </c>
      <c r="C814" s="6" t="str">
        <f aca="false">'Dish Database'!D242</f>
        <v>Dal &amp; Legumes</v>
      </c>
      <c r="D814" s="6" t="str">
        <f aca="false">'Dish Database'!F242</f>
        <v>Veg</v>
      </c>
      <c r="E814" s="6" t="str">
        <f aca="false">'Dish Database'!E242</f>
        <v>North</v>
      </c>
      <c r="F814" s="6" t="s">
        <v>2325</v>
      </c>
      <c r="G814" s="6" t="s">
        <v>2504</v>
      </c>
      <c r="H814" s="16" t="n">
        <v>500</v>
      </c>
      <c r="I814" s="6" t="str">
        <f aca="false">'Dish Database'!I242</f>
        <v>g</v>
      </c>
      <c r="J814" s="13" t="n">
        <f aca="false">'Dish Database'!J242*H814/100</f>
        <v>725</v>
      </c>
      <c r="K814" s="17" t="n">
        <f aca="false">'Dish Database'!K242*H814/100</f>
        <v>32.5</v>
      </c>
      <c r="L814" s="17" t="n">
        <f aca="false">'Dish Database'!L242*H814/100</f>
        <v>95</v>
      </c>
      <c r="M814" s="17" t="n">
        <f aca="false">'Dish Database'!M242*H814/100</f>
        <v>30</v>
      </c>
      <c r="N814" s="17" t="n">
        <f aca="false">'Dish Database'!N242*H814/100</f>
        <v>27.5</v>
      </c>
      <c r="O814" s="17" t="n">
        <f aca="false">'Dish Database'!O242*H814/100</f>
        <v>10</v>
      </c>
      <c r="P814" s="13" t="n">
        <f aca="false">'Dish Database'!P242*H814/100</f>
        <v>2000</v>
      </c>
    </row>
    <row r="815" customFormat="false" ht="15" hidden="false" customHeight="false" outlineLevel="0" collapsed="false">
      <c r="A815" s="6" t="str">
        <f aca="false">'Dish Database'!A243</f>
        <v>D242</v>
      </c>
      <c r="B815" s="6" t="str">
        <f aca="false">'Dish Database'!B243</f>
        <v>Pindi chole (dry style)</v>
      </c>
      <c r="C815" s="6" t="str">
        <f aca="false">'Dish Database'!D243</f>
        <v>Dal &amp; Legumes</v>
      </c>
      <c r="D815" s="6" t="str">
        <f aca="false">'Dish Database'!F243</f>
        <v>Veg</v>
      </c>
      <c r="E815" s="6" t="str">
        <f aca="false">'Dish Database'!E243</f>
        <v>North</v>
      </c>
      <c r="F815" s="6" t="s">
        <v>2243</v>
      </c>
      <c r="G815" s="6" t="s">
        <v>2500</v>
      </c>
      <c r="H815" s="16" t="n">
        <v>100</v>
      </c>
      <c r="I815" s="6" t="str">
        <f aca="false">'Dish Database'!I243</f>
        <v>g</v>
      </c>
      <c r="J815" s="13" t="n">
        <f aca="false">'Dish Database'!J243*H815/100</f>
        <v>172.5</v>
      </c>
      <c r="K815" s="17" t="n">
        <f aca="false">'Dish Database'!K243*H815/100</f>
        <v>7.5</v>
      </c>
      <c r="L815" s="17" t="n">
        <f aca="false">'Dish Database'!L243*H815/100</f>
        <v>22</v>
      </c>
      <c r="M815" s="17" t="n">
        <f aca="false">'Dish Database'!M243*H815/100</f>
        <v>7.5</v>
      </c>
      <c r="N815" s="17" t="n">
        <f aca="false">'Dish Database'!N243*H815/100</f>
        <v>6.5</v>
      </c>
      <c r="O815" s="17" t="n">
        <f aca="false">'Dish Database'!O243*H815/100</f>
        <v>2</v>
      </c>
      <c r="P815" s="13" t="n">
        <f aca="false">'Dish Database'!P243*H815/100</f>
        <v>420</v>
      </c>
    </row>
    <row r="816" customFormat="false" ht="15" hidden="false" customHeight="false" outlineLevel="0" collapsed="false">
      <c r="A816" s="6" t="str">
        <f aca="false">'Dish Database'!A243</f>
        <v>D242</v>
      </c>
      <c r="B816" s="6" t="str">
        <f aca="false">'Dish Database'!B243</f>
        <v>Pindi chole (dry style)</v>
      </c>
      <c r="C816" s="6" t="str">
        <f aca="false">'Dish Database'!D243</f>
        <v>Dal &amp; Legumes</v>
      </c>
      <c r="D816" s="6" t="str">
        <f aca="false">'Dish Database'!F243</f>
        <v>Veg</v>
      </c>
      <c r="E816" s="6" t="str">
        <f aca="false">'Dish Database'!E243</f>
        <v>North</v>
      </c>
      <c r="F816" s="6" t="s">
        <v>103</v>
      </c>
      <c r="G816" s="6" t="s">
        <v>2501</v>
      </c>
      <c r="H816" s="16" t="n">
        <v>150</v>
      </c>
      <c r="I816" s="6" t="str">
        <f aca="false">'Dish Database'!I243</f>
        <v>g</v>
      </c>
      <c r="J816" s="13" t="n">
        <f aca="false">'Dish Database'!J243*H816/100</f>
        <v>258.75</v>
      </c>
      <c r="K816" s="17" t="n">
        <f aca="false">'Dish Database'!K243*H816/100</f>
        <v>11.25</v>
      </c>
      <c r="L816" s="17" t="n">
        <f aca="false">'Dish Database'!L243*H816/100</f>
        <v>33</v>
      </c>
      <c r="M816" s="17" t="n">
        <f aca="false">'Dish Database'!M243*H816/100</f>
        <v>11.25</v>
      </c>
      <c r="N816" s="17" t="n">
        <f aca="false">'Dish Database'!N243*H816/100</f>
        <v>9.75</v>
      </c>
      <c r="O816" s="17" t="n">
        <f aca="false">'Dish Database'!O243*H816/100</f>
        <v>3</v>
      </c>
      <c r="P816" s="13" t="n">
        <f aca="false">'Dish Database'!P243*H816/100</f>
        <v>630</v>
      </c>
    </row>
    <row r="817" customFormat="false" ht="15" hidden="false" customHeight="false" outlineLevel="0" collapsed="false">
      <c r="A817" s="6" t="str">
        <f aca="false">'Dish Database'!A243</f>
        <v>D242</v>
      </c>
      <c r="B817" s="6" t="str">
        <f aca="false">'Dish Database'!B243</f>
        <v>Pindi chole (dry style)</v>
      </c>
      <c r="C817" s="6" t="str">
        <f aca="false">'Dish Database'!D243</f>
        <v>Dal &amp; Legumes</v>
      </c>
      <c r="D817" s="6" t="str">
        <f aca="false">'Dish Database'!F243</f>
        <v>Veg</v>
      </c>
      <c r="E817" s="6" t="str">
        <f aca="false">'Dish Database'!E243</f>
        <v>North</v>
      </c>
      <c r="F817" s="6" t="s">
        <v>2246</v>
      </c>
      <c r="G817" s="6" t="s">
        <v>2502</v>
      </c>
      <c r="H817" s="16" t="n">
        <v>200</v>
      </c>
      <c r="I817" s="6" t="str">
        <f aca="false">'Dish Database'!I243</f>
        <v>g</v>
      </c>
      <c r="J817" s="13" t="n">
        <f aca="false">'Dish Database'!J243*H817/100</f>
        <v>345</v>
      </c>
      <c r="K817" s="17" t="n">
        <f aca="false">'Dish Database'!K243*H817/100</f>
        <v>15</v>
      </c>
      <c r="L817" s="17" t="n">
        <f aca="false">'Dish Database'!L243*H817/100</f>
        <v>44</v>
      </c>
      <c r="M817" s="17" t="n">
        <f aca="false">'Dish Database'!M243*H817/100</f>
        <v>15</v>
      </c>
      <c r="N817" s="17" t="n">
        <f aca="false">'Dish Database'!N243*H817/100</f>
        <v>13</v>
      </c>
      <c r="O817" s="17" t="n">
        <f aca="false">'Dish Database'!O243*H817/100</f>
        <v>4</v>
      </c>
      <c r="P817" s="13" t="n">
        <f aca="false">'Dish Database'!P243*H817/100</f>
        <v>840</v>
      </c>
    </row>
    <row r="818" customFormat="false" ht="15" hidden="false" customHeight="false" outlineLevel="0" collapsed="false">
      <c r="A818" s="6" t="str">
        <f aca="false">'Dish Database'!A243</f>
        <v>D242</v>
      </c>
      <c r="B818" s="6" t="str">
        <f aca="false">'Dish Database'!B243</f>
        <v>Pindi chole (dry style)</v>
      </c>
      <c r="C818" s="6" t="str">
        <f aca="false">'Dish Database'!D243</f>
        <v>Dal &amp; Legumes</v>
      </c>
      <c r="D818" s="6" t="str">
        <f aca="false">'Dish Database'!F243</f>
        <v>Veg</v>
      </c>
      <c r="E818" s="6" t="str">
        <f aca="false">'Dish Database'!E243</f>
        <v>North</v>
      </c>
      <c r="F818" s="6" t="s">
        <v>2323</v>
      </c>
      <c r="G818" s="6" t="s">
        <v>2503</v>
      </c>
      <c r="H818" s="16" t="n">
        <v>250</v>
      </c>
      <c r="I818" s="6" t="str">
        <f aca="false">'Dish Database'!I243</f>
        <v>g</v>
      </c>
      <c r="J818" s="13" t="n">
        <f aca="false">'Dish Database'!J243*H818/100</f>
        <v>431.25</v>
      </c>
      <c r="K818" s="17" t="n">
        <f aca="false">'Dish Database'!K243*H818/100</f>
        <v>18.75</v>
      </c>
      <c r="L818" s="17" t="n">
        <f aca="false">'Dish Database'!L243*H818/100</f>
        <v>55</v>
      </c>
      <c r="M818" s="17" t="n">
        <f aca="false">'Dish Database'!M243*H818/100</f>
        <v>18.75</v>
      </c>
      <c r="N818" s="17" t="n">
        <f aca="false">'Dish Database'!N243*H818/100</f>
        <v>16.25</v>
      </c>
      <c r="O818" s="17" t="n">
        <f aca="false">'Dish Database'!O243*H818/100</f>
        <v>5</v>
      </c>
      <c r="P818" s="13" t="n">
        <f aca="false">'Dish Database'!P243*H818/100</f>
        <v>1050</v>
      </c>
    </row>
    <row r="819" customFormat="false" ht="15" hidden="false" customHeight="false" outlineLevel="0" collapsed="false">
      <c r="A819" s="6" t="str">
        <f aca="false">'Dish Database'!A243</f>
        <v>D242</v>
      </c>
      <c r="B819" s="6" t="str">
        <f aca="false">'Dish Database'!B243</f>
        <v>Pindi chole (dry style)</v>
      </c>
      <c r="C819" s="6" t="str">
        <f aca="false">'Dish Database'!D243</f>
        <v>Dal &amp; Legumes</v>
      </c>
      <c r="D819" s="6" t="str">
        <f aca="false">'Dish Database'!F243</f>
        <v>Veg</v>
      </c>
      <c r="E819" s="6" t="str">
        <f aca="false">'Dish Database'!E243</f>
        <v>North</v>
      </c>
      <c r="F819" s="6" t="s">
        <v>2325</v>
      </c>
      <c r="G819" s="6" t="s">
        <v>2504</v>
      </c>
      <c r="H819" s="16" t="n">
        <v>500</v>
      </c>
      <c r="I819" s="6" t="str">
        <f aca="false">'Dish Database'!I243</f>
        <v>g</v>
      </c>
      <c r="J819" s="13" t="n">
        <f aca="false">'Dish Database'!J243*H819/100</f>
        <v>862.5</v>
      </c>
      <c r="K819" s="17" t="n">
        <f aca="false">'Dish Database'!K243*H819/100</f>
        <v>37.5</v>
      </c>
      <c r="L819" s="17" t="n">
        <f aca="false">'Dish Database'!L243*H819/100</f>
        <v>110</v>
      </c>
      <c r="M819" s="17" t="n">
        <f aca="false">'Dish Database'!M243*H819/100</f>
        <v>37.5</v>
      </c>
      <c r="N819" s="17" t="n">
        <f aca="false">'Dish Database'!N243*H819/100</f>
        <v>32.5</v>
      </c>
      <c r="O819" s="17" t="n">
        <f aca="false">'Dish Database'!O243*H819/100</f>
        <v>10</v>
      </c>
      <c r="P819" s="13" t="n">
        <f aca="false">'Dish Database'!P243*H819/100</f>
        <v>2100</v>
      </c>
    </row>
    <row r="820" customFormat="false" ht="15" hidden="false" customHeight="false" outlineLevel="0" collapsed="false">
      <c r="A820" s="6" t="str">
        <f aca="false">'Dish Database'!A244</f>
        <v>D243</v>
      </c>
      <c r="B820" s="6" t="str">
        <f aca="false">'Dish Database'!B244</f>
        <v>Kala chana curry</v>
      </c>
      <c r="C820" s="6" t="str">
        <f aca="false">'Dish Database'!D244</f>
        <v>Dal &amp; Legumes</v>
      </c>
      <c r="D820" s="6" t="str">
        <f aca="false">'Dish Database'!F244</f>
        <v>Veg</v>
      </c>
      <c r="E820" s="6" t="str">
        <f aca="false">'Dish Database'!E244</f>
        <v>North</v>
      </c>
      <c r="F820" s="6" t="s">
        <v>2243</v>
      </c>
      <c r="G820" s="6" t="s">
        <v>2500</v>
      </c>
      <c r="H820" s="16" t="n">
        <v>100</v>
      </c>
      <c r="I820" s="6" t="str">
        <f aca="false">'Dish Database'!I244</f>
        <v>g</v>
      </c>
      <c r="J820" s="13" t="n">
        <f aca="false">'Dish Database'!J244*H820/100</f>
        <v>126.5</v>
      </c>
      <c r="K820" s="17" t="n">
        <f aca="false">'Dish Database'!K244*H820/100</f>
        <v>6.5</v>
      </c>
      <c r="L820" s="17" t="n">
        <f aca="false">'Dish Database'!L244*H820/100</f>
        <v>18</v>
      </c>
      <c r="M820" s="17" t="n">
        <f aca="false">'Dish Database'!M244*H820/100</f>
        <v>4.5</v>
      </c>
      <c r="N820" s="17" t="n">
        <f aca="false">'Dish Database'!N244*H820/100</f>
        <v>6</v>
      </c>
      <c r="O820" s="17" t="n">
        <f aca="false">'Dish Database'!O244*H820/100</f>
        <v>1.5</v>
      </c>
      <c r="P820" s="13" t="n">
        <f aca="false">'Dish Database'!P244*H820/100</f>
        <v>350</v>
      </c>
    </row>
    <row r="821" customFormat="false" ht="15" hidden="false" customHeight="false" outlineLevel="0" collapsed="false">
      <c r="A821" s="6" t="str">
        <f aca="false">'Dish Database'!A244</f>
        <v>D243</v>
      </c>
      <c r="B821" s="6" t="str">
        <f aca="false">'Dish Database'!B244</f>
        <v>Kala chana curry</v>
      </c>
      <c r="C821" s="6" t="str">
        <f aca="false">'Dish Database'!D244</f>
        <v>Dal &amp; Legumes</v>
      </c>
      <c r="D821" s="6" t="str">
        <f aca="false">'Dish Database'!F244</f>
        <v>Veg</v>
      </c>
      <c r="E821" s="6" t="str">
        <f aca="false">'Dish Database'!E244</f>
        <v>North</v>
      </c>
      <c r="F821" s="6" t="s">
        <v>103</v>
      </c>
      <c r="G821" s="6" t="s">
        <v>2501</v>
      </c>
      <c r="H821" s="16" t="n">
        <v>150</v>
      </c>
      <c r="I821" s="6" t="str">
        <f aca="false">'Dish Database'!I244</f>
        <v>g</v>
      </c>
      <c r="J821" s="13" t="n">
        <f aca="false">'Dish Database'!J244*H821/100</f>
        <v>189.75</v>
      </c>
      <c r="K821" s="17" t="n">
        <f aca="false">'Dish Database'!K244*H821/100</f>
        <v>9.75</v>
      </c>
      <c r="L821" s="17" t="n">
        <f aca="false">'Dish Database'!L244*H821/100</f>
        <v>27</v>
      </c>
      <c r="M821" s="17" t="n">
        <f aca="false">'Dish Database'!M244*H821/100</f>
        <v>6.75</v>
      </c>
      <c r="N821" s="17" t="n">
        <f aca="false">'Dish Database'!N244*H821/100</f>
        <v>9</v>
      </c>
      <c r="O821" s="17" t="n">
        <f aca="false">'Dish Database'!O244*H821/100</f>
        <v>2.25</v>
      </c>
      <c r="P821" s="13" t="n">
        <f aca="false">'Dish Database'!P244*H821/100</f>
        <v>525</v>
      </c>
    </row>
    <row r="822" customFormat="false" ht="15" hidden="false" customHeight="false" outlineLevel="0" collapsed="false">
      <c r="A822" s="6" t="str">
        <f aca="false">'Dish Database'!A244</f>
        <v>D243</v>
      </c>
      <c r="B822" s="6" t="str">
        <f aca="false">'Dish Database'!B244</f>
        <v>Kala chana curry</v>
      </c>
      <c r="C822" s="6" t="str">
        <f aca="false">'Dish Database'!D244</f>
        <v>Dal &amp; Legumes</v>
      </c>
      <c r="D822" s="6" t="str">
        <f aca="false">'Dish Database'!F244</f>
        <v>Veg</v>
      </c>
      <c r="E822" s="6" t="str">
        <f aca="false">'Dish Database'!E244</f>
        <v>North</v>
      </c>
      <c r="F822" s="6" t="s">
        <v>2246</v>
      </c>
      <c r="G822" s="6" t="s">
        <v>2502</v>
      </c>
      <c r="H822" s="16" t="n">
        <v>200</v>
      </c>
      <c r="I822" s="6" t="str">
        <f aca="false">'Dish Database'!I244</f>
        <v>g</v>
      </c>
      <c r="J822" s="13" t="n">
        <f aca="false">'Dish Database'!J244*H822/100</f>
        <v>253</v>
      </c>
      <c r="K822" s="17" t="n">
        <f aca="false">'Dish Database'!K244*H822/100</f>
        <v>13</v>
      </c>
      <c r="L822" s="17" t="n">
        <f aca="false">'Dish Database'!L244*H822/100</f>
        <v>36</v>
      </c>
      <c r="M822" s="17" t="n">
        <f aca="false">'Dish Database'!M244*H822/100</f>
        <v>9</v>
      </c>
      <c r="N822" s="17" t="n">
        <f aca="false">'Dish Database'!N244*H822/100</f>
        <v>12</v>
      </c>
      <c r="O822" s="17" t="n">
        <f aca="false">'Dish Database'!O244*H822/100</f>
        <v>3</v>
      </c>
      <c r="P822" s="13" t="n">
        <f aca="false">'Dish Database'!P244*H822/100</f>
        <v>700</v>
      </c>
    </row>
    <row r="823" customFormat="false" ht="15" hidden="false" customHeight="false" outlineLevel="0" collapsed="false">
      <c r="A823" s="6" t="str">
        <f aca="false">'Dish Database'!A244</f>
        <v>D243</v>
      </c>
      <c r="B823" s="6" t="str">
        <f aca="false">'Dish Database'!B244</f>
        <v>Kala chana curry</v>
      </c>
      <c r="C823" s="6" t="str">
        <f aca="false">'Dish Database'!D244</f>
        <v>Dal &amp; Legumes</v>
      </c>
      <c r="D823" s="6" t="str">
        <f aca="false">'Dish Database'!F244</f>
        <v>Veg</v>
      </c>
      <c r="E823" s="6" t="str">
        <f aca="false">'Dish Database'!E244</f>
        <v>North</v>
      </c>
      <c r="F823" s="6" t="s">
        <v>2323</v>
      </c>
      <c r="G823" s="6" t="s">
        <v>2503</v>
      </c>
      <c r="H823" s="16" t="n">
        <v>250</v>
      </c>
      <c r="I823" s="6" t="str">
        <f aca="false">'Dish Database'!I244</f>
        <v>g</v>
      </c>
      <c r="J823" s="13" t="n">
        <f aca="false">'Dish Database'!J244*H823/100</f>
        <v>316.25</v>
      </c>
      <c r="K823" s="17" t="n">
        <f aca="false">'Dish Database'!K244*H823/100</f>
        <v>16.25</v>
      </c>
      <c r="L823" s="17" t="n">
        <f aca="false">'Dish Database'!L244*H823/100</f>
        <v>45</v>
      </c>
      <c r="M823" s="17" t="n">
        <f aca="false">'Dish Database'!M244*H823/100</f>
        <v>11.25</v>
      </c>
      <c r="N823" s="17" t="n">
        <f aca="false">'Dish Database'!N244*H823/100</f>
        <v>15</v>
      </c>
      <c r="O823" s="17" t="n">
        <f aca="false">'Dish Database'!O244*H823/100</f>
        <v>3.75</v>
      </c>
      <c r="P823" s="13" t="n">
        <f aca="false">'Dish Database'!P244*H823/100</f>
        <v>875</v>
      </c>
    </row>
    <row r="824" customFormat="false" ht="15" hidden="false" customHeight="false" outlineLevel="0" collapsed="false">
      <c r="A824" s="6" t="str">
        <f aca="false">'Dish Database'!A244</f>
        <v>D243</v>
      </c>
      <c r="B824" s="6" t="str">
        <f aca="false">'Dish Database'!B244</f>
        <v>Kala chana curry</v>
      </c>
      <c r="C824" s="6" t="str">
        <f aca="false">'Dish Database'!D244</f>
        <v>Dal &amp; Legumes</v>
      </c>
      <c r="D824" s="6" t="str">
        <f aca="false">'Dish Database'!F244</f>
        <v>Veg</v>
      </c>
      <c r="E824" s="6" t="str">
        <f aca="false">'Dish Database'!E244</f>
        <v>North</v>
      </c>
      <c r="F824" s="6" t="s">
        <v>2325</v>
      </c>
      <c r="G824" s="6" t="s">
        <v>2504</v>
      </c>
      <c r="H824" s="16" t="n">
        <v>500</v>
      </c>
      <c r="I824" s="6" t="str">
        <f aca="false">'Dish Database'!I244</f>
        <v>g</v>
      </c>
      <c r="J824" s="13" t="n">
        <f aca="false">'Dish Database'!J244*H824/100</f>
        <v>632.5</v>
      </c>
      <c r="K824" s="17" t="n">
        <f aca="false">'Dish Database'!K244*H824/100</f>
        <v>32.5</v>
      </c>
      <c r="L824" s="17" t="n">
        <f aca="false">'Dish Database'!L244*H824/100</f>
        <v>90</v>
      </c>
      <c r="M824" s="17" t="n">
        <f aca="false">'Dish Database'!M244*H824/100</f>
        <v>22.5</v>
      </c>
      <c r="N824" s="17" t="n">
        <f aca="false">'Dish Database'!N244*H824/100</f>
        <v>30</v>
      </c>
      <c r="O824" s="17" t="n">
        <f aca="false">'Dish Database'!O244*H824/100</f>
        <v>7.5</v>
      </c>
      <c r="P824" s="13" t="n">
        <f aca="false">'Dish Database'!P244*H824/100</f>
        <v>1750</v>
      </c>
    </row>
    <row r="825" customFormat="false" ht="15" hidden="false" customHeight="false" outlineLevel="0" collapsed="false">
      <c r="A825" s="6" t="str">
        <f aca="false">'Dish Database'!A245</f>
        <v>D244</v>
      </c>
      <c r="B825" s="6" t="str">
        <f aca="false">'Dish Database'!B245</f>
        <v>Kadala curry</v>
      </c>
      <c r="C825" s="6" t="str">
        <f aca="false">'Dish Database'!D245</f>
        <v>Dal &amp; Legumes</v>
      </c>
      <c r="D825" s="6" t="str">
        <f aca="false">'Dish Database'!F245</f>
        <v>Veg</v>
      </c>
      <c r="E825" s="6" t="str">
        <f aca="false">'Dish Database'!E245</f>
        <v>South</v>
      </c>
      <c r="F825" s="6" t="s">
        <v>2243</v>
      </c>
      <c r="G825" s="6" t="s">
        <v>2500</v>
      </c>
      <c r="H825" s="16" t="n">
        <v>100</v>
      </c>
      <c r="I825" s="6" t="str">
        <f aca="false">'Dish Database'!I245</f>
        <v>g</v>
      </c>
      <c r="J825" s="13" t="n">
        <f aca="false">'Dish Database'!J245*H825/100</f>
        <v>146</v>
      </c>
      <c r="K825" s="17" t="n">
        <f aca="false">'Dish Database'!K245*H825/100</f>
        <v>6.5</v>
      </c>
      <c r="L825" s="17" t="n">
        <f aca="false">'Dish Database'!L245*H825/100</f>
        <v>17</v>
      </c>
      <c r="M825" s="17" t="n">
        <f aca="false">'Dish Database'!M245*H825/100</f>
        <v>7</v>
      </c>
      <c r="N825" s="17" t="n">
        <f aca="false">'Dish Database'!N245*H825/100</f>
        <v>5.5</v>
      </c>
      <c r="O825" s="17" t="n">
        <f aca="false">'Dish Database'!O245*H825/100</f>
        <v>2</v>
      </c>
      <c r="P825" s="13" t="n">
        <f aca="false">'Dish Database'!P245*H825/100</f>
        <v>350</v>
      </c>
    </row>
    <row r="826" customFormat="false" ht="15" hidden="false" customHeight="false" outlineLevel="0" collapsed="false">
      <c r="A826" s="6" t="str">
        <f aca="false">'Dish Database'!A245</f>
        <v>D244</v>
      </c>
      <c r="B826" s="6" t="str">
        <f aca="false">'Dish Database'!B245</f>
        <v>Kadala curry</v>
      </c>
      <c r="C826" s="6" t="str">
        <f aca="false">'Dish Database'!D245</f>
        <v>Dal &amp; Legumes</v>
      </c>
      <c r="D826" s="6" t="str">
        <f aca="false">'Dish Database'!F245</f>
        <v>Veg</v>
      </c>
      <c r="E826" s="6" t="str">
        <f aca="false">'Dish Database'!E245</f>
        <v>South</v>
      </c>
      <c r="F826" s="6" t="s">
        <v>103</v>
      </c>
      <c r="G826" s="6" t="s">
        <v>2501</v>
      </c>
      <c r="H826" s="16" t="n">
        <v>150</v>
      </c>
      <c r="I826" s="6" t="str">
        <f aca="false">'Dish Database'!I245</f>
        <v>g</v>
      </c>
      <c r="J826" s="13" t="n">
        <f aca="false">'Dish Database'!J245*H826/100</f>
        <v>219</v>
      </c>
      <c r="K826" s="17" t="n">
        <f aca="false">'Dish Database'!K245*H826/100</f>
        <v>9.75</v>
      </c>
      <c r="L826" s="17" t="n">
        <f aca="false">'Dish Database'!L245*H826/100</f>
        <v>25.5</v>
      </c>
      <c r="M826" s="17" t="n">
        <f aca="false">'Dish Database'!M245*H826/100</f>
        <v>10.5</v>
      </c>
      <c r="N826" s="17" t="n">
        <f aca="false">'Dish Database'!N245*H826/100</f>
        <v>8.25</v>
      </c>
      <c r="O826" s="17" t="n">
        <f aca="false">'Dish Database'!O245*H826/100</f>
        <v>3</v>
      </c>
      <c r="P826" s="13" t="n">
        <f aca="false">'Dish Database'!P245*H826/100</f>
        <v>525</v>
      </c>
    </row>
    <row r="827" customFormat="false" ht="15" hidden="false" customHeight="false" outlineLevel="0" collapsed="false">
      <c r="A827" s="6" t="str">
        <f aca="false">'Dish Database'!A245</f>
        <v>D244</v>
      </c>
      <c r="B827" s="6" t="str">
        <f aca="false">'Dish Database'!B245</f>
        <v>Kadala curry</v>
      </c>
      <c r="C827" s="6" t="str">
        <f aca="false">'Dish Database'!D245</f>
        <v>Dal &amp; Legumes</v>
      </c>
      <c r="D827" s="6" t="str">
        <f aca="false">'Dish Database'!F245</f>
        <v>Veg</v>
      </c>
      <c r="E827" s="6" t="str">
        <f aca="false">'Dish Database'!E245</f>
        <v>South</v>
      </c>
      <c r="F827" s="6" t="s">
        <v>2246</v>
      </c>
      <c r="G827" s="6" t="s">
        <v>2502</v>
      </c>
      <c r="H827" s="16" t="n">
        <v>200</v>
      </c>
      <c r="I827" s="6" t="str">
        <f aca="false">'Dish Database'!I245</f>
        <v>g</v>
      </c>
      <c r="J827" s="13" t="n">
        <f aca="false">'Dish Database'!J245*H827/100</f>
        <v>292</v>
      </c>
      <c r="K827" s="17" t="n">
        <f aca="false">'Dish Database'!K245*H827/100</f>
        <v>13</v>
      </c>
      <c r="L827" s="17" t="n">
        <f aca="false">'Dish Database'!L245*H827/100</f>
        <v>34</v>
      </c>
      <c r="M827" s="17" t="n">
        <f aca="false">'Dish Database'!M245*H827/100</f>
        <v>14</v>
      </c>
      <c r="N827" s="17" t="n">
        <f aca="false">'Dish Database'!N245*H827/100</f>
        <v>11</v>
      </c>
      <c r="O827" s="17" t="n">
        <f aca="false">'Dish Database'!O245*H827/100</f>
        <v>4</v>
      </c>
      <c r="P827" s="13" t="n">
        <f aca="false">'Dish Database'!P245*H827/100</f>
        <v>700</v>
      </c>
    </row>
    <row r="828" customFormat="false" ht="15" hidden="false" customHeight="false" outlineLevel="0" collapsed="false">
      <c r="A828" s="6" t="str">
        <f aca="false">'Dish Database'!A245</f>
        <v>D244</v>
      </c>
      <c r="B828" s="6" t="str">
        <f aca="false">'Dish Database'!B245</f>
        <v>Kadala curry</v>
      </c>
      <c r="C828" s="6" t="str">
        <f aca="false">'Dish Database'!D245</f>
        <v>Dal &amp; Legumes</v>
      </c>
      <c r="D828" s="6" t="str">
        <f aca="false">'Dish Database'!F245</f>
        <v>Veg</v>
      </c>
      <c r="E828" s="6" t="str">
        <f aca="false">'Dish Database'!E245</f>
        <v>South</v>
      </c>
      <c r="F828" s="6" t="s">
        <v>2323</v>
      </c>
      <c r="G828" s="6" t="s">
        <v>2503</v>
      </c>
      <c r="H828" s="16" t="n">
        <v>250</v>
      </c>
      <c r="I828" s="6" t="str">
        <f aca="false">'Dish Database'!I245</f>
        <v>g</v>
      </c>
      <c r="J828" s="13" t="n">
        <f aca="false">'Dish Database'!J245*H828/100</f>
        <v>365</v>
      </c>
      <c r="K828" s="17" t="n">
        <f aca="false">'Dish Database'!K245*H828/100</f>
        <v>16.25</v>
      </c>
      <c r="L828" s="17" t="n">
        <f aca="false">'Dish Database'!L245*H828/100</f>
        <v>42.5</v>
      </c>
      <c r="M828" s="17" t="n">
        <f aca="false">'Dish Database'!M245*H828/100</f>
        <v>17.5</v>
      </c>
      <c r="N828" s="17" t="n">
        <f aca="false">'Dish Database'!N245*H828/100</f>
        <v>13.75</v>
      </c>
      <c r="O828" s="17" t="n">
        <f aca="false">'Dish Database'!O245*H828/100</f>
        <v>5</v>
      </c>
      <c r="P828" s="13" t="n">
        <f aca="false">'Dish Database'!P245*H828/100</f>
        <v>875</v>
      </c>
    </row>
    <row r="829" customFormat="false" ht="15" hidden="false" customHeight="false" outlineLevel="0" collapsed="false">
      <c r="A829" s="6" t="str">
        <f aca="false">'Dish Database'!A245</f>
        <v>D244</v>
      </c>
      <c r="B829" s="6" t="str">
        <f aca="false">'Dish Database'!B245</f>
        <v>Kadala curry</v>
      </c>
      <c r="C829" s="6" t="str">
        <f aca="false">'Dish Database'!D245</f>
        <v>Dal &amp; Legumes</v>
      </c>
      <c r="D829" s="6" t="str">
        <f aca="false">'Dish Database'!F245</f>
        <v>Veg</v>
      </c>
      <c r="E829" s="6" t="str">
        <f aca="false">'Dish Database'!E245</f>
        <v>South</v>
      </c>
      <c r="F829" s="6" t="s">
        <v>2325</v>
      </c>
      <c r="G829" s="6" t="s">
        <v>2504</v>
      </c>
      <c r="H829" s="16" t="n">
        <v>500</v>
      </c>
      <c r="I829" s="6" t="str">
        <f aca="false">'Dish Database'!I245</f>
        <v>g</v>
      </c>
      <c r="J829" s="13" t="n">
        <f aca="false">'Dish Database'!J245*H829/100</f>
        <v>730</v>
      </c>
      <c r="K829" s="17" t="n">
        <f aca="false">'Dish Database'!K245*H829/100</f>
        <v>32.5</v>
      </c>
      <c r="L829" s="17" t="n">
        <f aca="false">'Dish Database'!L245*H829/100</f>
        <v>85</v>
      </c>
      <c r="M829" s="17" t="n">
        <f aca="false">'Dish Database'!M245*H829/100</f>
        <v>35</v>
      </c>
      <c r="N829" s="17" t="n">
        <f aca="false">'Dish Database'!N245*H829/100</f>
        <v>27.5</v>
      </c>
      <c r="O829" s="17" t="n">
        <f aca="false">'Dish Database'!O245*H829/100</f>
        <v>10</v>
      </c>
      <c r="P829" s="13" t="n">
        <f aca="false">'Dish Database'!P245*H829/100</f>
        <v>1750</v>
      </c>
    </row>
    <row r="830" customFormat="false" ht="15" hidden="false" customHeight="false" outlineLevel="0" collapsed="false">
      <c r="A830" s="6" t="str">
        <f aca="false">'Dish Database'!A246</f>
        <v>D245</v>
      </c>
      <c r="B830" s="6" t="str">
        <f aca="false">'Dish Database'!B246</f>
        <v>Lobia curry</v>
      </c>
      <c r="C830" s="6" t="str">
        <f aca="false">'Dish Database'!D246</f>
        <v>Dal &amp; Legumes</v>
      </c>
      <c r="D830" s="6" t="str">
        <f aca="false">'Dish Database'!F246</f>
        <v>Veg</v>
      </c>
      <c r="E830" s="6" t="str">
        <f aca="false">'Dish Database'!E246</f>
        <v>North</v>
      </c>
      <c r="F830" s="6" t="s">
        <v>2243</v>
      </c>
      <c r="G830" s="6" t="s">
        <v>2500</v>
      </c>
      <c r="H830" s="16" t="n">
        <v>100</v>
      </c>
      <c r="I830" s="6" t="str">
        <f aca="false">'Dish Database'!I246</f>
        <v>g</v>
      </c>
      <c r="J830" s="13" t="n">
        <f aca="false">'Dish Database'!J246*H830/100</f>
        <v>119</v>
      </c>
      <c r="K830" s="17" t="n">
        <f aca="false">'Dish Database'!K246*H830/100</f>
        <v>6</v>
      </c>
      <c r="L830" s="17" t="n">
        <f aca="false">'Dish Database'!L246*H830/100</f>
        <v>17</v>
      </c>
      <c r="M830" s="17" t="n">
        <f aca="false">'Dish Database'!M246*H830/100</f>
        <v>4</v>
      </c>
      <c r="N830" s="17" t="n">
        <f aca="false">'Dish Database'!N246*H830/100</f>
        <v>4.5</v>
      </c>
      <c r="O830" s="17" t="n">
        <f aca="false">'Dish Database'!O246*H830/100</f>
        <v>1.5</v>
      </c>
      <c r="P830" s="13" t="n">
        <f aca="false">'Dish Database'!P246*H830/100</f>
        <v>350</v>
      </c>
    </row>
    <row r="831" customFormat="false" ht="15" hidden="false" customHeight="false" outlineLevel="0" collapsed="false">
      <c r="A831" s="6" t="str">
        <f aca="false">'Dish Database'!A246</f>
        <v>D245</v>
      </c>
      <c r="B831" s="6" t="str">
        <f aca="false">'Dish Database'!B246</f>
        <v>Lobia curry</v>
      </c>
      <c r="C831" s="6" t="str">
        <f aca="false">'Dish Database'!D246</f>
        <v>Dal &amp; Legumes</v>
      </c>
      <c r="D831" s="6" t="str">
        <f aca="false">'Dish Database'!F246</f>
        <v>Veg</v>
      </c>
      <c r="E831" s="6" t="str">
        <f aca="false">'Dish Database'!E246</f>
        <v>North</v>
      </c>
      <c r="F831" s="6" t="s">
        <v>103</v>
      </c>
      <c r="G831" s="6" t="s">
        <v>2501</v>
      </c>
      <c r="H831" s="16" t="n">
        <v>150</v>
      </c>
      <c r="I831" s="6" t="str">
        <f aca="false">'Dish Database'!I246</f>
        <v>g</v>
      </c>
      <c r="J831" s="13" t="n">
        <f aca="false">'Dish Database'!J246*H831/100</f>
        <v>178.5</v>
      </c>
      <c r="K831" s="17" t="n">
        <f aca="false">'Dish Database'!K246*H831/100</f>
        <v>9</v>
      </c>
      <c r="L831" s="17" t="n">
        <f aca="false">'Dish Database'!L246*H831/100</f>
        <v>25.5</v>
      </c>
      <c r="M831" s="17" t="n">
        <f aca="false">'Dish Database'!M246*H831/100</f>
        <v>6</v>
      </c>
      <c r="N831" s="17" t="n">
        <f aca="false">'Dish Database'!N246*H831/100</f>
        <v>6.75</v>
      </c>
      <c r="O831" s="17" t="n">
        <f aca="false">'Dish Database'!O246*H831/100</f>
        <v>2.25</v>
      </c>
      <c r="P831" s="13" t="n">
        <f aca="false">'Dish Database'!P246*H831/100</f>
        <v>525</v>
      </c>
    </row>
    <row r="832" customFormat="false" ht="15" hidden="false" customHeight="false" outlineLevel="0" collapsed="false">
      <c r="A832" s="6" t="str">
        <f aca="false">'Dish Database'!A246</f>
        <v>D245</v>
      </c>
      <c r="B832" s="6" t="str">
        <f aca="false">'Dish Database'!B246</f>
        <v>Lobia curry</v>
      </c>
      <c r="C832" s="6" t="str">
        <f aca="false">'Dish Database'!D246</f>
        <v>Dal &amp; Legumes</v>
      </c>
      <c r="D832" s="6" t="str">
        <f aca="false">'Dish Database'!F246</f>
        <v>Veg</v>
      </c>
      <c r="E832" s="6" t="str">
        <f aca="false">'Dish Database'!E246</f>
        <v>North</v>
      </c>
      <c r="F832" s="6" t="s">
        <v>2246</v>
      </c>
      <c r="G832" s="6" t="s">
        <v>2502</v>
      </c>
      <c r="H832" s="16" t="n">
        <v>200</v>
      </c>
      <c r="I832" s="6" t="str">
        <f aca="false">'Dish Database'!I246</f>
        <v>g</v>
      </c>
      <c r="J832" s="13" t="n">
        <f aca="false">'Dish Database'!J246*H832/100</f>
        <v>238</v>
      </c>
      <c r="K832" s="17" t="n">
        <f aca="false">'Dish Database'!K246*H832/100</f>
        <v>12</v>
      </c>
      <c r="L832" s="17" t="n">
        <f aca="false">'Dish Database'!L246*H832/100</f>
        <v>34</v>
      </c>
      <c r="M832" s="17" t="n">
        <f aca="false">'Dish Database'!M246*H832/100</f>
        <v>8</v>
      </c>
      <c r="N832" s="17" t="n">
        <f aca="false">'Dish Database'!N246*H832/100</f>
        <v>9</v>
      </c>
      <c r="O832" s="17" t="n">
        <f aca="false">'Dish Database'!O246*H832/100</f>
        <v>3</v>
      </c>
      <c r="P832" s="13" t="n">
        <f aca="false">'Dish Database'!P246*H832/100</f>
        <v>700</v>
      </c>
    </row>
    <row r="833" customFormat="false" ht="15" hidden="false" customHeight="false" outlineLevel="0" collapsed="false">
      <c r="A833" s="6" t="str">
        <f aca="false">'Dish Database'!A246</f>
        <v>D245</v>
      </c>
      <c r="B833" s="6" t="str">
        <f aca="false">'Dish Database'!B246</f>
        <v>Lobia curry</v>
      </c>
      <c r="C833" s="6" t="str">
        <f aca="false">'Dish Database'!D246</f>
        <v>Dal &amp; Legumes</v>
      </c>
      <c r="D833" s="6" t="str">
        <f aca="false">'Dish Database'!F246</f>
        <v>Veg</v>
      </c>
      <c r="E833" s="6" t="str">
        <f aca="false">'Dish Database'!E246</f>
        <v>North</v>
      </c>
      <c r="F833" s="6" t="s">
        <v>2323</v>
      </c>
      <c r="G833" s="6" t="s">
        <v>2503</v>
      </c>
      <c r="H833" s="16" t="n">
        <v>250</v>
      </c>
      <c r="I833" s="6" t="str">
        <f aca="false">'Dish Database'!I246</f>
        <v>g</v>
      </c>
      <c r="J833" s="13" t="n">
        <f aca="false">'Dish Database'!J246*H833/100</f>
        <v>297.5</v>
      </c>
      <c r="K833" s="17" t="n">
        <f aca="false">'Dish Database'!K246*H833/100</f>
        <v>15</v>
      </c>
      <c r="L833" s="17" t="n">
        <f aca="false">'Dish Database'!L246*H833/100</f>
        <v>42.5</v>
      </c>
      <c r="M833" s="17" t="n">
        <f aca="false">'Dish Database'!M246*H833/100</f>
        <v>10</v>
      </c>
      <c r="N833" s="17" t="n">
        <f aca="false">'Dish Database'!N246*H833/100</f>
        <v>11.25</v>
      </c>
      <c r="O833" s="17" t="n">
        <f aca="false">'Dish Database'!O246*H833/100</f>
        <v>3.75</v>
      </c>
      <c r="P833" s="13" t="n">
        <f aca="false">'Dish Database'!P246*H833/100</f>
        <v>875</v>
      </c>
    </row>
    <row r="834" customFormat="false" ht="15" hidden="false" customHeight="false" outlineLevel="0" collapsed="false">
      <c r="A834" s="6" t="str">
        <f aca="false">'Dish Database'!A246</f>
        <v>D245</v>
      </c>
      <c r="B834" s="6" t="str">
        <f aca="false">'Dish Database'!B246</f>
        <v>Lobia curry</v>
      </c>
      <c r="C834" s="6" t="str">
        <f aca="false">'Dish Database'!D246</f>
        <v>Dal &amp; Legumes</v>
      </c>
      <c r="D834" s="6" t="str">
        <f aca="false">'Dish Database'!F246</f>
        <v>Veg</v>
      </c>
      <c r="E834" s="6" t="str">
        <f aca="false">'Dish Database'!E246</f>
        <v>North</v>
      </c>
      <c r="F834" s="6" t="s">
        <v>2325</v>
      </c>
      <c r="G834" s="6" t="s">
        <v>2504</v>
      </c>
      <c r="H834" s="16" t="n">
        <v>500</v>
      </c>
      <c r="I834" s="6" t="str">
        <f aca="false">'Dish Database'!I246</f>
        <v>g</v>
      </c>
      <c r="J834" s="13" t="n">
        <f aca="false">'Dish Database'!J246*H834/100</f>
        <v>595</v>
      </c>
      <c r="K834" s="17" t="n">
        <f aca="false">'Dish Database'!K246*H834/100</f>
        <v>30</v>
      </c>
      <c r="L834" s="17" t="n">
        <f aca="false">'Dish Database'!L246*H834/100</f>
        <v>85</v>
      </c>
      <c r="M834" s="17" t="n">
        <f aca="false">'Dish Database'!M246*H834/100</f>
        <v>20</v>
      </c>
      <c r="N834" s="17" t="n">
        <f aca="false">'Dish Database'!N246*H834/100</f>
        <v>22.5</v>
      </c>
      <c r="O834" s="17" t="n">
        <f aca="false">'Dish Database'!O246*H834/100</f>
        <v>7.5</v>
      </c>
      <c r="P834" s="13" t="n">
        <f aca="false">'Dish Database'!P246*H834/100</f>
        <v>1750</v>
      </c>
    </row>
    <row r="835" customFormat="false" ht="15" hidden="false" customHeight="false" outlineLevel="0" collapsed="false">
      <c r="A835" s="6" t="str">
        <f aca="false">'Dish Database'!A247</f>
        <v>D246</v>
      </c>
      <c r="B835" s="6" t="str">
        <f aca="false">'Dish Database'!B247</f>
        <v>Kadhi pakora (Punjabi)</v>
      </c>
      <c r="C835" s="6" t="str">
        <f aca="false">'Dish Database'!D247</f>
        <v>Dal &amp; Legumes</v>
      </c>
      <c r="D835" s="6" t="str">
        <f aca="false">'Dish Database'!F247</f>
        <v>Veg</v>
      </c>
      <c r="E835" s="6" t="str">
        <f aca="false">'Dish Database'!E247</f>
        <v>North</v>
      </c>
      <c r="F835" s="6" t="s">
        <v>2243</v>
      </c>
      <c r="G835" s="6" t="s">
        <v>2500</v>
      </c>
      <c r="H835" s="16" t="n">
        <v>100</v>
      </c>
      <c r="I835" s="6" t="str">
        <f aca="false">'Dish Database'!I247</f>
        <v>g</v>
      </c>
      <c r="J835" s="13" t="n">
        <f aca="false">'Dish Database'!J247*H835/100</f>
        <v>106.5</v>
      </c>
      <c r="K835" s="17" t="n">
        <f aca="false">'Dish Database'!K247*H835/100</f>
        <v>3.5</v>
      </c>
      <c r="L835" s="17" t="n">
        <f aca="false">'Dish Database'!L247*H835/100</f>
        <v>9</v>
      </c>
      <c r="M835" s="17" t="n">
        <f aca="false">'Dish Database'!M247*H835/100</f>
        <v>6.5</v>
      </c>
      <c r="N835" s="17" t="n">
        <f aca="false">'Dish Database'!N247*H835/100</f>
        <v>1</v>
      </c>
      <c r="O835" s="17" t="n">
        <f aca="false">'Dish Database'!O247*H835/100</f>
        <v>2.5</v>
      </c>
      <c r="P835" s="13" t="n">
        <f aca="false">'Dish Database'!P247*H835/100</f>
        <v>380</v>
      </c>
    </row>
    <row r="836" customFormat="false" ht="15" hidden="false" customHeight="false" outlineLevel="0" collapsed="false">
      <c r="A836" s="6" t="str">
        <f aca="false">'Dish Database'!A247</f>
        <v>D246</v>
      </c>
      <c r="B836" s="6" t="str">
        <f aca="false">'Dish Database'!B247</f>
        <v>Kadhi pakora (Punjabi)</v>
      </c>
      <c r="C836" s="6" t="str">
        <f aca="false">'Dish Database'!D247</f>
        <v>Dal &amp; Legumes</v>
      </c>
      <c r="D836" s="6" t="str">
        <f aca="false">'Dish Database'!F247</f>
        <v>Veg</v>
      </c>
      <c r="E836" s="6" t="str">
        <f aca="false">'Dish Database'!E247</f>
        <v>North</v>
      </c>
      <c r="F836" s="6" t="s">
        <v>103</v>
      </c>
      <c r="G836" s="6" t="s">
        <v>2501</v>
      </c>
      <c r="H836" s="16" t="n">
        <v>150</v>
      </c>
      <c r="I836" s="6" t="str">
        <f aca="false">'Dish Database'!I247</f>
        <v>g</v>
      </c>
      <c r="J836" s="13" t="n">
        <f aca="false">'Dish Database'!J247*H836/100</f>
        <v>159.75</v>
      </c>
      <c r="K836" s="17" t="n">
        <f aca="false">'Dish Database'!K247*H836/100</f>
        <v>5.25</v>
      </c>
      <c r="L836" s="17" t="n">
        <f aca="false">'Dish Database'!L247*H836/100</f>
        <v>13.5</v>
      </c>
      <c r="M836" s="17" t="n">
        <f aca="false">'Dish Database'!M247*H836/100</f>
        <v>9.75</v>
      </c>
      <c r="N836" s="17" t="n">
        <f aca="false">'Dish Database'!N247*H836/100</f>
        <v>1.5</v>
      </c>
      <c r="O836" s="17" t="n">
        <f aca="false">'Dish Database'!O247*H836/100</f>
        <v>3.75</v>
      </c>
      <c r="P836" s="13" t="n">
        <f aca="false">'Dish Database'!P247*H836/100</f>
        <v>570</v>
      </c>
    </row>
    <row r="837" customFormat="false" ht="15" hidden="false" customHeight="false" outlineLevel="0" collapsed="false">
      <c r="A837" s="6" t="str">
        <f aca="false">'Dish Database'!A247</f>
        <v>D246</v>
      </c>
      <c r="B837" s="6" t="str">
        <f aca="false">'Dish Database'!B247</f>
        <v>Kadhi pakora (Punjabi)</v>
      </c>
      <c r="C837" s="6" t="str">
        <f aca="false">'Dish Database'!D247</f>
        <v>Dal &amp; Legumes</v>
      </c>
      <c r="D837" s="6" t="str">
        <f aca="false">'Dish Database'!F247</f>
        <v>Veg</v>
      </c>
      <c r="E837" s="6" t="str">
        <f aca="false">'Dish Database'!E247</f>
        <v>North</v>
      </c>
      <c r="F837" s="6" t="s">
        <v>2246</v>
      </c>
      <c r="G837" s="6" t="s">
        <v>2502</v>
      </c>
      <c r="H837" s="16" t="n">
        <v>200</v>
      </c>
      <c r="I837" s="6" t="str">
        <f aca="false">'Dish Database'!I247</f>
        <v>g</v>
      </c>
      <c r="J837" s="13" t="n">
        <f aca="false">'Dish Database'!J247*H837/100</f>
        <v>213</v>
      </c>
      <c r="K837" s="17" t="n">
        <f aca="false">'Dish Database'!K247*H837/100</f>
        <v>7</v>
      </c>
      <c r="L837" s="17" t="n">
        <f aca="false">'Dish Database'!L247*H837/100</f>
        <v>18</v>
      </c>
      <c r="M837" s="17" t="n">
        <f aca="false">'Dish Database'!M247*H837/100</f>
        <v>13</v>
      </c>
      <c r="N837" s="17" t="n">
        <f aca="false">'Dish Database'!N247*H837/100</f>
        <v>2</v>
      </c>
      <c r="O837" s="17" t="n">
        <f aca="false">'Dish Database'!O247*H837/100</f>
        <v>5</v>
      </c>
      <c r="P837" s="13" t="n">
        <f aca="false">'Dish Database'!P247*H837/100</f>
        <v>760</v>
      </c>
    </row>
    <row r="838" customFormat="false" ht="15" hidden="false" customHeight="false" outlineLevel="0" collapsed="false">
      <c r="A838" s="6" t="str">
        <f aca="false">'Dish Database'!A247</f>
        <v>D246</v>
      </c>
      <c r="B838" s="6" t="str">
        <f aca="false">'Dish Database'!B247</f>
        <v>Kadhi pakora (Punjabi)</v>
      </c>
      <c r="C838" s="6" t="str">
        <f aca="false">'Dish Database'!D247</f>
        <v>Dal &amp; Legumes</v>
      </c>
      <c r="D838" s="6" t="str">
        <f aca="false">'Dish Database'!F247</f>
        <v>Veg</v>
      </c>
      <c r="E838" s="6" t="str">
        <f aca="false">'Dish Database'!E247</f>
        <v>North</v>
      </c>
      <c r="F838" s="6" t="s">
        <v>2323</v>
      </c>
      <c r="G838" s="6" t="s">
        <v>2503</v>
      </c>
      <c r="H838" s="16" t="n">
        <v>250</v>
      </c>
      <c r="I838" s="6" t="str">
        <f aca="false">'Dish Database'!I247</f>
        <v>g</v>
      </c>
      <c r="J838" s="13" t="n">
        <f aca="false">'Dish Database'!J247*H838/100</f>
        <v>266.25</v>
      </c>
      <c r="K838" s="17" t="n">
        <f aca="false">'Dish Database'!K247*H838/100</f>
        <v>8.75</v>
      </c>
      <c r="L838" s="17" t="n">
        <f aca="false">'Dish Database'!L247*H838/100</f>
        <v>22.5</v>
      </c>
      <c r="M838" s="17" t="n">
        <f aca="false">'Dish Database'!M247*H838/100</f>
        <v>16.25</v>
      </c>
      <c r="N838" s="17" t="n">
        <f aca="false">'Dish Database'!N247*H838/100</f>
        <v>2.5</v>
      </c>
      <c r="O838" s="17" t="n">
        <f aca="false">'Dish Database'!O247*H838/100</f>
        <v>6.25</v>
      </c>
      <c r="P838" s="13" t="n">
        <f aca="false">'Dish Database'!P247*H838/100</f>
        <v>950</v>
      </c>
    </row>
    <row r="839" customFormat="false" ht="15" hidden="false" customHeight="false" outlineLevel="0" collapsed="false">
      <c r="A839" s="6" t="str">
        <f aca="false">'Dish Database'!A247</f>
        <v>D246</v>
      </c>
      <c r="B839" s="6" t="str">
        <f aca="false">'Dish Database'!B247</f>
        <v>Kadhi pakora (Punjabi)</v>
      </c>
      <c r="C839" s="6" t="str">
        <f aca="false">'Dish Database'!D247</f>
        <v>Dal &amp; Legumes</v>
      </c>
      <c r="D839" s="6" t="str">
        <f aca="false">'Dish Database'!F247</f>
        <v>Veg</v>
      </c>
      <c r="E839" s="6" t="str">
        <f aca="false">'Dish Database'!E247</f>
        <v>North</v>
      </c>
      <c r="F839" s="6" t="s">
        <v>2325</v>
      </c>
      <c r="G839" s="6" t="s">
        <v>2504</v>
      </c>
      <c r="H839" s="16" t="n">
        <v>500</v>
      </c>
      <c r="I839" s="6" t="str">
        <f aca="false">'Dish Database'!I247</f>
        <v>g</v>
      </c>
      <c r="J839" s="13" t="n">
        <f aca="false">'Dish Database'!J247*H839/100</f>
        <v>532.5</v>
      </c>
      <c r="K839" s="17" t="n">
        <f aca="false">'Dish Database'!K247*H839/100</f>
        <v>17.5</v>
      </c>
      <c r="L839" s="17" t="n">
        <f aca="false">'Dish Database'!L247*H839/100</f>
        <v>45</v>
      </c>
      <c r="M839" s="17" t="n">
        <f aca="false">'Dish Database'!M247*H839/100</f>
        <v>32.5</v>
      </c>
      <c r="N839" s="17" t="n">
        <f aca="false">'Dish Database'!N247*H839/100</f>
        <v>5</v>
      </c>
      <c r="O839" s="17" t="n">
        <f aca="false">'Dish Database'!O247*H839/100</f>
        <v>12.5</v>
      </c>
      <c r="P839" s="13" t="n">
        <f aca="false">'Dish Database'!P247*H839/100</f>
        <v>1900</v>
      </c>
    </row>
    <row r="840" customFormat="false" ht="15" hidden="false" customHeight="false" outlineLevel="0" collapsed="false">
      <c r="A840" s="6" t="str">
        <f aca="false">'Dish Database'!A248</f>
        <v>D247</v>
      </c>
      <c r="B840" s="6" t="str">
        <f aca="false">'Dish Database'!B248</f>
        <v>Gujarati kadhi</v>
      </c>
      <c r="C840" s="6" t="str">
        <f aca="false">'Dish Database'!D248</f>
        <v>Dal &amp; Legumes</v>
      </c>
      <c r="D840" s="6" t="str">
        <f aca="false">'Dish Database'!F248</f>
        <v>Veg</v>
      </c>
      <c r="E840" s="6" t="str">
        <f aca="false">'Dish Database'!E248</f>
        <v>West</v>
      </c>
      <c r="F840" s="6" t="s">
        <v>2243</v>
      </c>
      <c r="G840" s="6" t="s">
        <v>2500</v>
      </c>
      <c r="H840" s="16" t="n">
        <v>100</v>
      </c>
      <c r="I840" s="6" t="str">
        <f aca="false">'Dish Database'!I248</f>
        <v>g</v>
      </c>
      <c r="J840" s="13" t="n">
        <f aca="false">'Dish Database'!J248*H840/100</f>
        <v>57.5</v>
      </c>
      <c r="K840" s="17" t="n">
        <f aca="false">'Dish Database'!K248*H840/100</f>
        <v>2</v>
      </c>
      <c r="L840" s="17" t="n">
        <f aca="false">'Dish Database'!L248*H840/100</f>
        <v>7</v>
      </c>
      <c r="M840" s="17" t="n">
        <f aca="false">'Dish Database'!M248*H840/100</f>
        <v>2.5</v>
      </c>
      <c r="N840" s="17" t="n">
        <f aca="false">'Dish Database'!N248*H840/100</f>
        <v>0.5</v>
      </c>
      <c r="O840" s="17" t="n">
        <f aca="false">'Dish Database'!O248*H840/100</f>
        <v>4</v>
      </c>
      <c r="P840" s="13" t="n">
        <f aca="false">'Dish Database'!P248*H840/100</f>
        <v>350</v>
      </c>
    </row>
    <row r="841" customFormat="false" ht="15" hidden="false" customHeight="false" outlineLevel="0" collapsed="false">
      <c r="A841" s="6" t="str">
        <f aca="false">'Dish Database'!A248</f>
        <v>D247</v>
      </c>
      <c r="B841" s="6" t="str">
        <f aca="false">'Dish Database'!B248</f>
        <v>Gujarati kadhi</v>
      </c>
      <c r="C841" s="6" t="str">
        <f aca="false">'Dish Database'!D248</f>
        <v>Dal &amp; Legumes</v>
      </c>
      <c r="D841" s="6" t="str">
        <f aca="false">'Dish Database'!F248</f>
        <v>Veg</v>
      </c>
      <c r="E841" s="6" t="str">
        <f aca="false">'Dish Database'!E248</f>
        <v>West</v>
      </c>
      <c r="F841" s="6" t="s">
        <v>103</v>
      </c>
      <c r="G841" s="6" t="s">
        <v>2501</v>
      </c>
      <c r="H841" s="16" t="n">
        <v>150</v>
      </c>
      <c r="I841" s="6" t="str">
        <f aca="false">'Dish Database'!I248</f>
        <v>g</v>
      </c>
      <c r="J841" s="13" t="n">
        <f aca="false">'Dish Database'!J248*H841/100</f>
        <v>86.25</v>
      </c>
      <c r="K841" s="17" t="n">
        <f aca="false">'Dish Database'!K248*H841/100</f>
        <v>3</v>
      </c>
      <c r="L841" s="17" t="n">
        <f aca="false">'Dish Database'!L248*H841/100</f>
        <v>10.5</v>
      </c>
      <c r="M841" s="17" t="n">
        <f aca="false">'Dish Database'!M248*H841/100</f>
        <v>3.75</v>
      </c>
      <c r="N841" s="17" t="n">
        <f aca="false">'Dish Database'!N248*H841/100</f>
        <v>0.75</v>
      </c>
      <c r="O841" s="17" t="n">
        <f aca="false">'Dish Database'!O248*H841/100</f>
        <v>6</v>
      </c>
      <c r="P841" s="13" t="n">
        <f aca="false">'Dish Database'!P248*H841/100</f>
        <v>525</v>
      </c>
    </row>
    <row r="842" customFormat="false" ht="15" hidden="false" customHeight="false" outlineLevel="0" collapsed="false">
      <c r="A842" s="6" t="str">
        <f aca="false">'Dish Database'!A248</f>
        <v>D247</v>
      </c>
      <c r="B842" s="6" t="str">
        <f aca="false">'Dish Database'!B248</f>
        <v>Gujarati kadhi</v>
      </c>
      <c r="C842" s="6" t="str">
        <f aca="false">'Dish Database'!D248</f>
        <v>Dal &amp; Legumes</v>
      </c>
      <c r="D842" s="6" t="str">
        <f aca="false">'Dish Database'!F248</f>
        <v>Veg</v>
      </c>
      <c r="E842" s="6" t="str">
        <f aca="false">'Dish Database'!E248</f>
        <v>West</v>
      </c>
      <c r="F842" s="6" t="s">
        <v>2246</v>
      </c>
      <c r="G842" s="6" t="s">
        <v>2502</v>
      </c>
      <c r="H842" s="16" t="n">
        <v>200</v>
      </c>
      <c r="I842" s="6" t="str">
        <f aca="false">'Dish Database'!I248</f>
        <v>g</v>
      </c>
      <c r="J842" s="13" t="n">
        <f aca="false">'Dish Database'!J248*H842/100</f>
        <v>115</v>
      </c>
      <c r="K842" s="17" t="n">
        <f aca="false">'Dish Database'!K248*H842/100</f>
        <v>4</v>
      </c>
      <c r="L842" s="17" t="n">
        <f aca="false">'Dish Database'!L248*H842/100</f>
        <v>14</v>
      </c>
      <c r="M842" s="17" t="n">
        <f aca="false">'Dish Database'!M248*H842/100</f>
        <v>5</v>
      </c>
      <c r="N842" s="17" t="n">
        <f aca="false">'Dish Database'!N248*H842/100</f>
        <v>1</v>
      </c>
      <c r="O842" s="17" t="n">
        <f aca="false">'Dish Database'!O248*H842/100</f>
        <v>8</v>
      </c>
      <c r="P842" s="13" t="n">
        <f aca="false">'Dish Database'!P248*H842/100</f>
        <v>700</v>
      </c>
    </row>
    <row r="843" customFormat="false" ht="15" hidden="false" customHeight="false" outlineLevel="0" collapsed="false">
      <c r="A843" s="6" t="str">
        <f aca="false">'Dish Database'!A248</f>
        <v>D247</v>
      </c>
      <c r="B843" s="6" t="str">
        <f aca="false">'Dish Database'!B248</f>
        <v>Gujarati kadhi</v>
      </c>
      <c r="C843" s="6" t="str">
        <f aca="false">'Dish Database'!D248</f>
        <v>Dal &amp; Legumes</v>
      </c>
      <c r="D843" s="6" t="str">
        <f aca="false">'Dish Database'!F248</f>
        <v>Veg</v>
      </c>
      <c r="E843" s="6" t="str">
        <f aca="false">'Dish Database'!E248</f>
        <v>West</v>
      </c>
      <c r="F843" s="6" t="s">
        <v>2323</v>
      </c>
      <c r="G843" s="6" t="s">
        <v>2503</v>
      </c>
      <c r="H843" s="16" t="n">
        <v>250</v>
      </c>
      <c r="I843" s="6" t="str">
        <f aca="false">'Dish Database'!I248</f>
        <v>g</v>
      </c>
      <c r="J843" s="13" t="n">
        <f aca="false">'Dish Database'!J248*H843/100</f>
        <v>143.75</v>
      </c>
      <c r="K843" s="17" t="n">
        <f aca="false">'Dish Database'!K248*H843/100</f>
        <v>5</v>
      </c>
      <c r="L843" s="17" t="n">
        <f aca="false">'Dish Database'!L248*H843/100</f>
        <v>17.5</v>
      </c>
      <c r="M843" s="17" t="n">
        <f aca="false">'Dish Database'!M248*H843/100</f>
        <v>6.25</v>
      </c>
      <c r="N843" s="17" t="n">
        <f aca="false">'Dish Database'!N248*H843/100</f>
        <v>1.25</v>
      </c>
      <c r="O843" s="17" t="n">
        <f aca="false">'Dish Database'!O248*H843/100</f>
        <v>10</v>
      </c>
      <c r="P843" s="13" t="n">
        <f aca="false">'Dish Database'!P248*H843/100</f>
        <v>875</v>
      </c>
    </row>
    <row r="844" customFormat="false" ht="15" hidden="false" customHeight="false" outlineLevel="0" collapsed="false">
      <c r="A844" s="6" t="str">
        <f aca="false">'Dish Database'!A248</f>
        <v>D247</v>
      </c>
      <c r="B844" s="6" t="str">
        <f aca="false">'Dish Database'!B248</f>
        <v>Gujarati kadhi</v>
      </c>
      <c r="C844" s="6" t="str">
        <f aca="false">'Dish Database'!D248</f>
        <v>Dal &amp; Legumes</v>
      </c>
      <c r="D844" s="6" t="str">
        <f aca="false">'Dish Database'!F248</f>
        <v>Veg</v>
      </c>
      <c r="E844" s="6" t="str">
        <f aca="false">'Dish Database'!E248</f>
        <v>West</v>
      </c>
      <c r="F844" s="6" t="s">
        <v>2325</v>
      </c>
      <c r="G844" s="6" t="s">
        <v>2504</v>
      </c>
      <c r="H844" s="16" t="n">
        <v>500</v>
      </c>
      <c r="I844" s="6" t="str">
        <f aca="false">'Dish Database'!I248</f>
        <v>g</v>
      </c>
      <c r="J844" s="13" t="n">
        <f aca="false">'Dish Database'!J248*H844/100</f>
        <v>287.5</v>
      </c>
      <c r="K844" s="17" t="n">
        <f aca="false">'Dish Database'!K248*H844/100</f>
        <v>10</v>
      </c>
      <c r="L844" s="17" t="n">
        <f aca="false">'Dish Database'!L248*H844/100</f>
        <v>35</v>
      </c>
      <c r="M844" s="17" t="n">
        <f aca="false">'Dish Database'!M248*H844/100</f>
        <v>12.5</v>
      </c>
      <c r="N844" s="17" t="n">
        <f aca="false">'Dish Database'!N248*H844/100</f>
        <v>2.5</v>
      </c>
      <c r="O844" s="17" t="n">
        <f aca="false">'Dish Database'!O248*H844/100</f>
        <v>20</v>
      </c>
      <c r="P844" s="13" t="n">
        <f aca="false">'Dish Database'!P248*H844/100</f>
        <v>1750</v>
      </c>
    </row>
    <row r="845" customFormat="false" ht="15" hidden="false" customHeight="false" outlineLevel="0" collapsed="false">
      <c r="A845" s="6" t="str">
        <f aca="false">'Dish Database'!A249</f>
        <v>D248</v>
      </c>
      <c r="B845" s="6" t="str">
        <f aca="false">'Dish Database'!B249</f>
        <v>Gujarati dal (sweet-sour)</v>
      </c>
      <c r="C845" s="6" t="str">
        <f aca="false">'Dish Database'!D249</f>
        <v>Dal &amp; Legumes</v>
      </c>
      <c r="D845" s="6" t="str">
        <f aca="false">'Dish Database'!F249</f>
        <v>Veg</v>
      </c>
      <c r="E845" s="6" t="str">
        <f aca="false">'Dish Database'!E249</f>
        <v>West</v>
      </c>
      <c r="F845" s="6" t="s">
        <v>2243</v>
      </c>
      <c r="G845" s="6" t="s">
        <v>2500</v>
      </c>
      <c r="H845" s="16" t="n">
        <v>100</v>
      </c>
      <c r="I845" s="6" t="str">
        <f aca="false">'Dish Database'!I249</f>
        <v>g</v>
      </c>
      <c r="J845" s="13" t="n">
        <f aca="false">'Dish Database'!J249*H845/100</f>
        <v>89.5</v>
      </c>
      <c r="K845" s="17" t="n">
        <f aca="false">'Dish Database'!K249*H845/100</f>
        <v>4</v>
      </c>
      <c r="L845" s="17" t="n">
        <f aca="false">'Dish Database'!L249*H845/100</f>
        <v>14</v>
      </c>
      <c r="M845" s="17" t="n">
        <f aca="false">'Dish Database'!M249*H845/100</f>
        <v>2.5</v>
      </c>
      <c r="N845" s="17" t="n">
        <f aca="false">'Dish Database'!N249*H845/100</f>
        <v>2.5</v>
      </c>
      <c r="O845" s="17" t="n">
        <f aca="false">'Dish Database'!O249*H845/100</f>
        <v>4</v>
      </c>
      <c r="P845" s="13" t="n">
        <f aca="false">'Dish Database'!P249*H845/100</f>
        <v>330</v>
      </c>
    </row>
    <row r="846" customFormat="false" ht="15" hidden="false" customHeight="false" outlineLevel="0" collapsed="false">
      <c r="A846" s="6" t="str">
        <f aca="false">'Dish Database'!A249</f>
        <v>D248</v>
      </c>
      <c r="B846" s="6" t="str">
        <f aca="false">'Dish Database'!B249</f>
        <v>Gujarati dal (sweet-sour)</v>
      </c>
      <c r="C846" s="6" t="str">
        <f aca="false">'Dish Database'!D249</f>
        <v>Dal &amp; Legumes</v>
      </c>
      <c r="D846" s="6" t="str">
        <f aca="false">'Dish Database'!F249</f>
        <v>Veg</v>
      </c>
      <c r="E846" s="6" t="str">
        <f aca="false">'Dish Database'!E249</f>
        <v>West</v>
      </c>
      <c r="F846" s="6" t="s">
        <v>103</v>
      </c>
      <c r="G846" s="6" t="s">
        <v>2501</v>
      </c>
      <c r="H846" s="16" t="n">
        <v>150</v>
      </c>
      <c r="I846" s="6" t="str">
        <f aca="false">'Dish Database'!I249</f>
        <v>g</v>
      </c>
      <c r="J846" s="13" t="n">
        <f aca="false">'Dish Database'!J249*H846/100</f>
        <v>134.25</v>
      </c>
      <c r="K846" s="17" t="n">
        <f aca="false">'Dish Database'!K249*H846/100</f>
        <v>6</v>
      </c>
      <c r="L846" s="17" t="n">
        <f aca="false">'Dish Database'!L249*H846/100</f>
        <v>21</v>
      </c>
      <c r="M846" s="17" t="n">
        <f aca="false">'Dish Database'!M249*H846/100</f>
        <v>3.75</v>
      </c>
      <c r="N846" s="17" t="n">
        <f aca="false">'Dish Database'!N249*H846/100</f>
        <v>3.75</v>
      </c>
      <c r="O846" s="17" t="n">
        <f aca="false">'Dish Database'!O249*H846/100</f>
        <v>6</v>
      </c>
      <c r="P846" s="13" t="n">
        <f aca="false">'Dish Database'!P249*H846/100</f>
        <v>495</v>
      </c>
    </row>
    <row r="847" customFormat="false" ht="15" hidden="false" customHeight="false" outlineLevel="0" collapsed="false">
      <c r="A847" s="6" t="str">
        <f aca="false">'Dish Database'!A249</f>
        <v>D248</v>
      </c>
      <c r="B847" s="6" t="str">
        <f aca="false">'Dish Database'!B249</f>
        <v>Gujarati dal (sweet-sour)</v>
      </c>
      <c r="C847" s="6" t="str">
        <f aca="false">'Dish Database'!D249</f>
        <v>Dal &amp; Legumes</v>
      </c>
      <c r="D847" s="6" t="str">
        <f aca="false">'Dish Database'!F249</f>
        <v>Veg</v>
      </c>
      <c r="E847" s="6" t="str">
        <f aca="false">'Dish Database'!E249</f>
        <v>West</v>
      </c>
      <c r="F847" s="6" t="s">
        <v>2246</v>
      </c>
      <c r="G847" s="6" t="s">
        <v>2502</v>
      </c>
      <c r="H847" s="16" t="n">
        <v>200</v>
      </c>
      <c r="I847" s="6" t="str">
        <f aca="false">'Dish Database'!I249</f>
        <v>g</v>
      </c>
      <c r="J847" s="13" t="n">
        <f aca="false">'Dish Database'!J249*H847/100</f>
        <v>179</v>
      </c>
      <c r="K847" s="17" t="n">
        <f aca="false">'Dish Database'!K249*H847/100</f>
        <v>8</v>
      </c>
      <c r="L847" s="17" t="n">
        <f aca="false">'Dish Database'!L249*H847/100</f>
        <v>28</v>
      </c>
      <c r="M847" s="17" t="n">
        <f aca="false">'Dish Database'!M249*H847/100</f>
        <v>5</v>
      </c>
      <c r="N847" s="17" t="n">
        <f aca="false">'Dish Database'!N249*H847/100</f>
        <v>5</v>
      </c>
      <c r="O847" s="17" t="n">
        <f aca="false">'Dish Database'!O249*H847/100</f>
        <v>8</v>
      </c>
      <c r="P847" s="13" t="n">
        <f aca="false">'Dish Database'!P249*H847/100</f>
        <v>660</v>
      </c>
    </row>
    <row r="848" customFormat="false" ht="15" hidden="false" customHeight="false" outlineLevel="0" collapsed="false">
      <c r="A848" s="6" t="str">
        <f aca="false">'Dish Database'!A249</f>
        <v>D248</v>
      </c>
      <c r="B848" s="6" t="str">
        <f aca="false">'Dish Database'!B249</f>
        <v>Gujarati dal (sweet-sour)</v>
      </c>
      <c r="C848" s="6" t="str">
        <f aca="false">'Dish Database'!D249</f>
        <v>Dal &amp; Legumes</v>
      </c>
      <c r="D848" s="6" t="str">
        <f aca="false">'Dish Database'!F249</f>
        <v>Veg</v>
      </c>
      <c r="E848" s="6" t="str">
        <f aca="false">'Dish Database'!E249</f>
        <v>West</v>
      </c>
      <c r="F848" s="6" t="s">
        <v>2323</v>
      </c>
      <c r="G848" s="6" t="s">
        <v>2503</v>
      </c>
      <c r="H848" s="16" t="n">
        <v>250</v>
      </c>
      <c r="I848" s="6" t="str">
        <f aca="false">'Dish Database'!I249</f>
        <v>g</v>
      </c>
      <c r="J848" s="13" t="n">
        <f aca="false">'Dish Database'!J249*H848/100</f>
        <v>223.75</v>
      </c>
      <c r="K848" s="17" t="n">
        <f aca="false">'Dish Database'!K249*H848/100</f>
        <v>10</v>
      </c>
      <c r="L848" s="17" t="n">
        <f aca="false">'Dish Database'!L249*H848/100</f>
        <v>35</v>
      </c>
      <c r="M848" s="17" t="n">
        <f aca="false">'Dish Database'!M249*H848/100</f>
        <v>6.25</v>
      </c>
      <c r="N848" s="17" t="n">
        <f aca="false">'Dish Database'!N249*H848/100</f>
        <v>6.25</v>
      </c>
      <c r="O848" s="17" t="n">
        <f aca="false">'Dish Database'!O249*H848/100</f>
        <v>10</v>
      </c>
      <c r="P848" s="13" t="n">
        <f aca="false">'Dish Database'!P249*H848/100</f>
        <v>825</v>
      </c>
    </row>
    <row r="849" customFormat="false" ht="15" hidden="false" customHeight="false" outlineLevel="0" collapsed="false">
      <c r="A849" s="6" t="str">
        <f aca="false">'Dish Database'!A249</f>
        <v>D248</v>
      </c>
      <c r="B849" s="6" t="str">
        <f aca="false">'Dish Database'!B249</f>
        <v>Gujarati dal (sweet-sour)</v>
      </c>
      <c r="C849" s="6" t="str">
        <f aca="false">'Dish Database'!D249</f>
        <v>Dal &amp; Legumes</v>
      </c>
      <c r="D849" s="6" t="str">
        <f aca="false">'Dish Database'!F249</f>
        <v>Veg</v>
      </c>
      <c r="E849" s="6" t="str">
        <f aca="false">'Dish Database'!E249</f>
        <v>West</v>
      </c>
      <c r="F849" s="6" t="s">
        <v>2325</v>
      </c>
      <c r="G849" s="6" t="s">
        <v>2504</v>
      </c>
      <c r="H849" s="16" t="n">
        <v>500</v>
      </c>
      <c r="I849" s="6" t="str">
        <f aca="false">'Dish Database'!I249</f>
        <v>g</v>
      </c>
      <c r="J849" s="13" t="n">
        <f aca="false">'Dish Database'!J249*H849/100</f>
        <v>447.5</v>
      </c>
      <c r="K849" s="17" t="n">
        <f aca="false">'Dish Database'!K249*H849/100</f>
        <v>20</v>
      </c>
      <c r="L849" s="17" t="n">
        <f aca="false">'Dish Database'!L249*H849/100</f>
        <v>70</v>
      </c>
      <c r="M849" s="17" t="n">
        <f aca="false">'Dish Database'!M249*H849/100</f>
        <v>12.5</v>
      </c>
      <c r="N849" s="17" t="n">
        <f aca="false">'Dish Database'!N249*H849/100</f>
        <v>12.5</v>
      </c>
      <c r="O849" s="17" t="n">
        <f aca="false">'Dish Database'!O249*H849/100</f>
        <v>20</v>
      </c>
      <c r="P849" s="13" t="n">
        <f aca="false">'Dish Database'!P249*H849/100</f>
        <v>1650</v>
      </c>
    </row>
    <row r="850" customFormat="false" ht="15" hidden="false" customHeight="false" outlineLevel="0" collapsed="false">
      <c r="A850" s="6" t="str">
        <f aca="false">'Dish Database'!A250</f>
        <v>D249</v>
      </c>
      <c r="B850" s="6" t="str">
        <f aca="false">'Dish Database'!B250</f>
        <v>Dal dhokli</v>
      </c>
      <c r="C850" s="6" t="str">
        <f aca="false">'Dish Database'!D250</f>
        <v>Dal &amp; Legumes</v>
      </c>
      <c r="D850" s="6" t="str">
        <f aca="false">'Dish Database'!F250</f>
        <v>Veg</v>
      </c>
      <c r="E850" s="6" t="str">
        <f aca="false">'Dish Database'!E250</f>
        <v>West</v>
      </c>
      <c r="F850" s="6" t="s">
        <v>2243</v>
      </c>
      <c r="G850" s="6" t="s">
        <v>2500</v>
      </c>
      <c r="H850" s="16" t="n">
        <v>100</v>
      </c>
      <c r="I850" s="6" t="str">
        <f aca="false">'Dish Database'!I250</f>
        <v>g</v>
      </c>
      <c r="J850" s="13" t="n">
        <f aca="false">'Dish Database'!J250*H850/100</f>
        <v>104.5</v>
      </c>
      <c r="K850" s="17" t="n">
        <f aca="false">'Dish Database'!K250*H850/100</f>
        <v>4.5</v>
      </c>
      <c r="L850" s="17" t="n">
        <f aca="false">'Dish Database'!L250*H850/100</f>
        <v>15</v>
      </c>
      <c r="M850" s="17" t="n">
        <f aca="false">'Dish Database'!M250*H850/100</f>
        <v>3.5</v>
      </c>
      <c r="N850" s="17" t="n">
        <f aca="false">'Dish Database'!N250*H850/100</f>
        <v>2.5</v>
      </c>
      <c r="O850" s="17" t="n">
        <f aca="false">'Dish Database'!O250*H850/100</f>
        <v>3</v>
      </c>
      <c r="P850" s="13" t="n">
        <f aca="false">'Dish Database'!P250*H850/100</f>
        <v>350</v>
      </c>
    </row>
    <row r="851" customFormat="false" ht="15" hidden="false" customHeight="false" outlineLevel="0" collapsed="false">
      <c r="A851" s="6" t="str">
        <f aca="false">'Dish Database'!A250</f>
        <v>D249</v>
      </c>
      <c r="B851" s="6" t="str">
        <f aca="false">'Dish Database'!B250</f>
        <v>Dal dhokli</v>
      </c>
      <c r="C851" s="6" t="str">
        <f aca="false">'Dish Database'!D250</f>
        <v>Dal &amp; Legumes</v>
      </c>
      <c r="D851" s="6" t="str">
        <f aca="false">'Dish Database'!F250</f>
        <v>Veg</v>
      </c>
      <c r="E851" s="6" t="str">
        <f aca="false">'Dish Database'!E250</f>
        <v>West</v>
      </c>
      <c r="F851" s="6" t="s">
        <v>103</v>
      </c>
      <c r="G851" s="6" t="s">
        <v>2501</v>
      </c>
      <c r="H851" s="16" t="n">
        <v>150</v>
      </c>
      <c r="I851" s="6" t="str">
        <f aca="false">'Dish Database'!I250</f>
        <v>g</v>
      </c>
      <c r="J851" s="13" t="n">
        <f aca="false">'Dish Database'!J250*H851/100</f>
        <v>156.75</v>
      </c>
      <c r="K851" s="17" t="n">
        <f aca="false">'Dish Database'!K250*H851/100</f>
        <v>6.75</v>
      </c>
      <c r="L851" s="17" t="n">
        <f aca="false">'Dish Database'!L250*H851/100</f>
        <v>22.5</v>
      </c>
      <c r="M851" s="17" t="n">
        <f aca="false">'Dish Database'!M250*H851/100</f>
        <v>5.25</v>
      </c>
      <c r="N851" s="17" t="n">
        <f aca="false">'Dish Database'!N250*H851/100</f>
        <v>3.75</v>
      </c>
      <c r="O851" s="17" t="n">
        <f aca="false">'Dish Database'!O250*H851/100</f>
        <v>4.5</v>
      </c>
      <c r="P851" s="13" t="n">
        <f aca="false">'Dish Database'!P250*H851/100</f>
        <v>525</v>
      </c>
    </row>
    <row r="852" customFormat="false" ht="15" hidden="false" customHeight="false" outlineLevel="0" collapsed="false">
      <c r="A852" s="6" t="str">
        <f aca="false">'Dish Database'!A250</f>
        <v>D249</v>
      </c>
      <c r="B852" s="6" t="str">
        <f aca="false">'Dish Database'!B250</f>
        <v>Dal dhokli</v>
      </c>
      <c r="C852" s="6" t="str">
        <f aca="false">'Dish Database'!D250</f>
        <v>Dal &amp; Legumes</v>
      </c>
      <c r="D852" s="6" t="str">
        <f aca="false">'Dish Database'!F250</f>
        <v>Veg</v>
      </c>
      <c r="E852" s="6" t="str">
        <f aca="false">'Dish Database'!E250</f>
        <v>West</v>
      </c>
      <c r="F852" s="6" t="s">
        <v>2246</v>
      </c>
      <c r="G852" s="6" t="s">
        <v>2502</v>
      </c>
      <c r="H852" s="16" t="n">
        <v>200</v>
      </c>
      <c r="I852" s="6" t="str">
        <f aca="false">'Dish Database'!I250</f>
        <v>g</v>
      </c>
      <c r="J852" s="13" t="n">
        <f aca="false">'Dish Database'!J250*H852/100</f>
        <v>209</v>
      </c>
      <c r="K852" s="17" t="n">
        <f aca="false">'Dish Database'!K250*H852/100</f>
        <v>9</v>
      </c>
      <c r="L852" s="17" t="n">
        <f aca="false">'Dish Database'!L250*H852/100</f>
        <v>30</v>
      </c>
      <c r="M852" s="17" t="n">
        <f aca="false">'Dish Database'!M250*H852/100</f>
        <v>7</v>
      </c>
      <c r="N852" s="17" t="n">
        <f aca="false">'Dish Database'!N250*H852/100</f>
        <v>5</v>
      </c>
      <c r="O852" s="17" t="n">
        <f aca="false">'Dish Database'!O250*H852/100</f>
        <v>6</v>
      </c>
      <c r="P852" s="13" t="n">
        <f aca="false">'Dish Database'!P250*H852/100</f>
        <v>700</v>
      </c>
    </row>
    <row r="853" customFormat="false" ht="15" hidden="false" customHeight="false" outlineLevel="0" collapsed="false">
      <c r="A853" s="6" t="str">
        <f aca="false">'Dish Database'!A250</f>
        <v>D249</v>
      </c>
      <c r="B853" s="6" t="str">
        <f aca="false">'Dish Database'!B250</f>
        <v>Dal dhokli</v>
      </c>
      <c r="C853" s="6" t="str">
        <f aca="false">'Dish Database'!D250</f>
        <v>Dal &amp; Legumes</v>
      </c>
      <c r="D853" s="6" t="str">
        <f aca="false">'Dish Database'!F250</f>
        <v>Veg</v>
      </c>
      <c r="E853" s="6" t="str">
        <f aca="false">'Dish Database'!E250</f>
        <v>West</v>
      </c>
      <c r="F853" s="6" t="s">
        <v>2323</v>
      </c>
      <c r="G853" s="6" t="s">
        <v>2503</v>
      </c>
      <c r="H853" s="16" t="n">
        <v>250</v>
      </c>
      <c r="I853" s="6" t="str">
        <f aca="false">'Dish Database'!I250</f>
        <v>g</v>
      </c>
      <c r="J853" s="13" t="n">
        <f aca="false">'Dish Database'!J250*H853/100</f>
        <v>261.25</v>
      </c>
      <c r="K853" s="17" t="n">
        <f aca="false">'Dish Database'!K250*H853/100</f>
        <v>11.25</v>
      </c>
      <c r="L853" s="17" t="n">
        <f aca="false">'Dish Database'!L250*H853/100</f>
        <v>37.5</v>
      </c>
      <c r="M853" s="17" t="n">
        <f aca="false">'Dish Database'!M250*H853/100</f>
        <v>8.75</v>
      </c>
      <c r="N853" s="17" t="n">
        <f aca="false">'Dish Database'!N250*H853/100</f>
        <v>6.25</v>
      </c>
      <c r="O853" s="17" t="n">
        <f aca="false">'Dish Database'!O250*H853/100</f>
        <v>7.5</v>
      </c>
      <c r="P853" s="13" t="n">
        <f aca="false">'Dish Database'!P250*H853/100</f>
        <v>875</v>
      </c>
    </row>
    <row r="854" customFormat="false" ht="15" hidden="false" customHeight="false" outlineLevel="0" collapsed="false">
      <c r="A854" s="6" t="str">
        <f aca="false">'Dish Database'!A250</f>
        <v>D249</v>
      </c>
      <c r="B854" s="6" t="str">
        <f aca="false">'Dish Database'!B250</f>
        <v>Dal dhokli</v>
      </c>
      <c r="C854" s="6" t="str">
        <f aca="false">'Dish Database'!D250</f>
        <v>Dal &amp; Legumes</v>
      </c>
      <c r="D854" s="6" t="str">
        <f aca="false">'Dish Database'!F250</f>
        <v>Veg</v>
      </c>
      <c r="E854" s="6" t="str">
        <f aca="false">'Dish Database'!E250</f>
        <v>West</v>
      </c>
      <c r="F854" s="6" t="s">
        <v>2325</v>
      </c>
      <c r="G854" s="6" t="s">
        <v>2504</v>
      </c>
      <c r="H854" s="16" t="n">
        <v>500</v>
      </c>
      <c r="I854" s="6" t="str">
        <f aca="false">'Dish Database'!I250</f>
        <v>g</v>
      </c>
      <c r="J854" s="13" t="n">
        <f aca="false">'Dish Database'!J250*H854/100</f>
        <v>522.5</v>
      </c>
      <c r="K854" s="17" t="n">
        <f aca="false">'Dish Database'!K250*H854/100</f>
        <v>22.5</v>
      </c>
      <c r="L854" s="17" t="n">
        <f aca="false">'Dish Database'!L250*H854/100</f>
        <v>75</v>
      </c>
      <c r="M854" s="17" t="n">
        <f aca="false">'Dish Database'!M250*H854/100</f>
        <v>17.5</v>
      </c>
      <c r="N854" s="17" t="n">
        <f aca="false">'Dish Database'!N250*H854/100</f>
        <v>12.5</v>
      </c>
      <c r="O854" s="17" t="n">
        <f aca="false">'Dish Database'!O250*H854/100</f>
        <v>15</v>
      </c>
      <c r="P854" s="13" t="n">
        <f aca="false">'Dish Database'!P250*H854/100</f>
        <v>1750</v>
      </c>
    </row>
    <row r="855" customFormat="false" ht="15" hidden="false" customHeight="false" outlineLevel="0" collapsed="false">
      <c r="A855" s="6" t="str">
        <f aca="false">'Dish Database'!A251</f>
        <v>D250</v>
      </c>
      <c r="B855" s="6" t="str">
        <f aca="false">'Dish Database'!B251</f>
        <v>Sambar</v>
      </c>
      <c r="C855" s="6" t="str">
        <f aca="false">'Dish Database'!D251</f>
        <v>Dal &amp; Legumes</v>
      </c>
      <c r="D855" s="6" t="str">
        <f aca="false">'Dish Database'!F251</f>
        <v>Veg</v>
      </c>
      <c r="E855" s="6" t="str">
        <f aca="false">'Dish Database'!E251</f>
        <v>South</v>
      </c>
      <c r="F855" s="6" t="s">
        <v>2243</v>
      </c>
      <c r="G855" s="6" t="s">
        <v>2500</v>
      </c>
      <c r="H855" s="16" t="n">
        <v>100</v>
      </c>
      <c r="I855" s="6" t="str">
        <f aca="false">'Dish Database'!I251</f>
        <v>g</v>
      </c>
      <c r="J855" s="13" t="n">
        <f aca="false">'Dish Database'!J251*H855/100</f>
        <v>76</v>
      </c>
      <c r="K855" s="17" t="n">
        <f aca="false">'Dish Database'!K251*H855/100</f>
        <v>3.5</v>
      </c>
      <c r="L855" s="17" t="n">
        <f aca="false">'Dish Database'!L251*H855/100</f>
        <v>10.5</v>
      </c>
      <c r="M855" s="17" t="n">
        <f aca="false">'Dish Database'!M251*H855/100</f>
        <v>2.8</v>
      </c>
      <c r="N855" s="17" t="n">
        <f aca="false">'Dish Database'!N251*H855/100</f>
        <v>2.6</v>
      </c>
      <c r="O855" s="17" t="n">
        <f aca="false">'Dish Database'!O251*H855/100</f>
        <v>2</v>
      </c>
      <c r="P855" s="13" t="n">
        <f aca="false">'Dish Database'!P251*H855/100</f>
        <v>330</v>
      </c>
    </row>
    <row r="856" customFormat="false" ht="15" hidden="false" customHeight="false" outlineLevel="0" collapsed="false">
      <c r="A856" s="6" t="str">
        <f aca="false">'Dish Database'!A251</f>
        <v>D250</v>
      </c>
      <c r="B856" s="6" t="str">
        <f aca="false">'Dish Database'!B251</f>
        <v>Sambar</v>
      </c>
      <c r="C856" s="6" t="str">
        <f aca="false">'Dish Database'!D251</f>
        <v>Dal &amp; Legumes</v>
      </c>
      <c r="D856" s="6" t="str">
        <f aca="false">'Dish Database'!F251</f>
        <v>Veg</v>
      </c>
      <c r="E856" s="6" t="str">
        <f aca="false">'Dish Database'!E251</f>
        <v>South</v>
      </c>
      <c r="F856" s="6" t="s">
        <v>103</v>
      </c>
      <c r="G856" s="6" t="s">
        <v>2501</v>
      </c>
      <c r="H856" s="16" t="n">
        <v>150</v>
      </c>
      <c r="I856" s="6" t="str">
        <f aca="false">'Dish Database'!I251</f>
        <v>g</v>
      </c>
      <c r="J856" s="13" t="n">
        <f aca="false">'Dish Database'!J251*H856/100</f>
        <v>114</v>
      </c>
      <c r="K856" s="17" t="n">
        <f aca="false">'Dish Database'!K251*H856/100</f>
        <v>5.25</v>
      </c>
      <c r="L856" s="17" t="n">
        <f aca="false">'Dish Database'!L251*H856/100</f>
        <v>15.75</v>
      </c>
      <c r="M856" s="17" t="n">
        <f aca="false">'Dish Database'!M251*H856/100</f>
        <v>4.2</v>
      </c>
      <c r="N856" s="17" t="n">
        <f aca="false">'Dish Database'!N251*H856/100</f>
        <v>3.9</v>
      </c>
      <c r="O856" s="17" t="n">
        <f aca="false">'Dish Database'!O251*H856/100</f>
        <v>3</v>
      </c>
      <c r="P856" s="13" t="n">
        <f aca="false">'Dish Database'!P251*H856/100</f>
        <v>495</v>
      </c>
    </row>
    <row r="857" customFormat="false" ht="15" hidden="false" customHeight="false" outlineLevel="0" collapsed="false">
      <c r="A857" s="6" t="str">
        <f aca="false">'Dish Database'!A251</f>
        <v>D250</v>
      </c>
      <c r="B857" s="6" t="str">
        <f aca="false">'Dish Database'!B251</f>
        <v>Sambar</v>
      </c>
      <c r="C857" s="6" t="str">
        <f aca="false">'Dish Database'!D251</f>
        <v>Dal &amp; Legumes</v>
      </c>
      <c r="D857" s="6" t="str">
        <f aca="false">'Dish Database'!F251</f>
        <v>Veg</v>
      </c>
      <c r="E857" s="6" t="str">
        <f aca="false">'Dish Database'!E251</f>
        <v>South</v>
      </c>
      <c r="F857" s="6" t="s">
        <v>2246</v>
      </c>
      <c r="G857" s="6" t="s">
        <v>2502</v>
      </c>
      <c r="H857" s="16" t="n">
        <v>200</v>
      </c>
      <c r="I857" s="6" t="str">
        <f aca="false">'Dish Database'!I251</f>
        <v>g</v>
      </c>
      <c r="J857" s="13" t="n">
        <f aca="false">'Dish Database'!J251*H857/100</f>
        <v>152</v>
      </c>
      <c r="K857" s="17" t="n">
        <f aca="false">'Dish Database'!K251*H857/100</f>
        <v>7</v>
      </c>
      <c r="L857" s="17" t="n">
        <f aca="false">'Dish Database'!L251*H857/100</f>
        <v>21</v>
      </c>
      <c r="M857" s="17" t="n">
        <f aca="false">'Dish Database'!M251*H857/100</f>
        <v>5.6</v>
      </c>
      <c r="N857" s="17" t="n">
        <f aca="false">'Dish Database'!N251*H857/100</f>
        <v>5.2</v>
      </c>
      <c r="O857" s="17" t="n">
        <f aca="false">'Dish Database'!O251*H857/100</f>
        <v>4</v>
      </c>
      <c r="P857" s="13" t="n">
        <f aca="false">'Dish Database'!P251*H857/100</f>
        <v>660</v>
      </c>
    </row>
    <row r="858" customFormat="false" ht="15" hidden="false" customHeight="false" outlineLevel="0" collapsed="false">
      <c r="A858" s="6" t="str">
        <f aca="false">'Dish Database'!A251</f>
        <v>D250</v>
      </c>
      <c r="B858" s="6" t="str">
        <f aca="false">'Dish Database'!B251</f>
        <v>Sambar</v>
      </c>
      <c r="C858" s="6" t="str">
        <f aca="false">'Dish Database'!D251</f>
        <v>Dal &amp; Legumes</v>
      </c>
      <c r="D858" s="6" t="str">
        <f aca="false">'Dish Database'!F251</f>
        <v>Veg</v>
      </c>
      <c r="E858" s="6" t="str">
        <f aca="false">'Dish Database'!E251</f>
        <v>South</v>
      </c>
      <c r="F858" s="6" t="s">
        <v>2323</v>
      </c>
      <c r="G858" s="6" t="s">
        <v>2503</v>
      </c>
      <c r="H858" s="16" t="n">
        <v>250</v>
      </c>
      <c r="I858" s="6" t="str">
        <f aca="false">'Dish Database'!I251</f>
        <v>g</v>
      </c>
      <c r="J858" s="13" t="n">
        <f aca="false">'Dish Database'!J251*H858/100</f>
        <v>190</v>
      </c>
      <c r="K858" s="17" t="n">
        <f aca="false">'Dish Database'!K251*H858/100</f>
        <v>8.75</v>
      </c>
      <c r="L858" s="17" t="n">
        <f aca="false">'Dish Database'!L251*H858/100</f>
        <v>26.25</v>
      </c>
      <c r="M858" s="17" t="n">
        <f aca="false">'Dish Database'!M251*H858/100</f>
        <v>7</v>
      </c>
      <c r="N858" s="17" t="n">
        <f aca="false">'Dish Database'!N251*H858/100</f>
        <v>6.5</v>
      </c>
      <c r="O858" s="17" t="n">
        <f aca="false">'Dish Database'!O251*H858/100</f>
        <v>5</v>
      </c>
      <c r="P858" s="13" t="n">
        <f aca="false">'Dish Database'!P251*H858/100</f>
        <v>825</v>
      </c>
    </row>
    <row r="859" customFormat="false" ht="15" hidden="false" customHeight="false" outlineLevel="0" collapsed="false">
      <c r="A859" s="6" t="str">
        <f aca="false">'Dish Database'!A251</f>
        <v>D250</v>
      </c>
      <c r="B859" s="6" t="str">
        <f aca="false">'Dish Database'!B251</f>
        <v>Sambar</v>
      </c>
      <c r="C859" s="6" t="str">
        <f aca="false">'Dish Database'!D251</f>
        <v>Dal &amp; Legumes</v>
      </c>
      <c r="D859" s="6" t="str">
        <f aca="false">'Dish Database'!F251</f>
        <v>Veg</v>
      </c>
      <c r="E859" s="6" t="str">
        <f aca="false">'Dish Database'!E251</f>
        <v>South</v>
      </c>
      <c r="F859" s="6" t="s">
        <v>2325</v>
      </c>
      <c r="G859" s="6" t="s">
        <v>2504</v>
      </c>
      <c r="H859" s="16" t="n">
        <v>500</v>
      </c>
      <c r="I859" s="6" t="str">
        <f aca="false">'Dish Database'!I251</f>
        <v>g</v>
      </c>
      <c r="J859" s="13" t="n">
        <f aca="false">'Dish Database'!J251*H859/100</f>
        <v>380</v>
      </c>
      <c r="K859" s="17" t="n">
        <f aca="false">'Dish Database'!K251*H859/100</f>
        <v>17.5</v>
      </c>
      <c r="L859" s="17" t="n">
        <f aca="false">'Dish Database'!L251*H859/100</f>
        <v>52.5</v>
      </c>
      <c r="M859" s="17" t="n">
        <f aca="false">'Dish Database'!M251*H859/100</f>
        <v>14</v>
      </c>
      <c r="N859" s="17" t="n">
        <f aca="false">'Dish Database'!N251*H859/100</f>
        <v>13</v>
      </c>
      <c r="O859" s="17" t="n">
        <f aca="false">'Dish Database'!O251*H859/100</f>
        <v>10</v>
      </c>
      <c r="P859" s="13" t="n">
        <f aca="false">'Dish Database'!P251*H859/100</f>
        <v>1650</v>
      </c>
    </row>
    <row r="860" customFormat="false" ht="15" hidden="false" customHeight="false" outlineLevel="0" collapsed="false">
      <c r="A860" s="6" t="str">
        <f aca="false">'Dish Database'!A252</f>
        <v>D251</v>
      </c>
      <c r="B860" s="6" t="str">
        <f aca="false">'Dish Database'!B252</f>
        <v>Rasam</v>
      </c>
      <c r="C860" s="6" t="str">
        <f aca="false">'Dish Database'!D252</f>
        <v>Dal &amp; Legumes</v>
      </c>
      <c r="D860" s="6" t="str">
        <f aca="false">'Dish Database'!F252</f>
        <v>Veg</v>
      </c>
      <c r="E860" s="6" t="str">
        <f aca="false">'Dish Database'!E252</f>
        <v>South</v>
      </c>
      <c r="F860" s="6" t="s">
        <v>2243</v>
      </c>
      <c r="G860" s="6" t="s">
        <v>2505</v>
      </c>
      <c r="H860" s="16" t="n">
        <v>150</v>
      </c>
      <c r="I860" s="6" t="str">
        <f aca="false">'Dish Database'!I252</f>
        <v>ml</v>
      </c>
      <c r="J860" s="13" t="n">
        <f aca="false">'Dish Database'!J252*H860/100</f>
        <v>44.4</v>
      </c>
      <c r="K860" s="17" t="n">
        <f aca="false">'Dish Database'!K252*H860/100</f>
        <v>1.5</v>
      </c>
      <c r="L860" s="17" t="n">
        <f aca="false">'Dish Database'!L252*H860/100</f>
        <v>6</v>
      </c>
      <c r="M860" s="17" t="n">
        <f aca="false">'Dish Database'!M252*H860/100</f>
        <v>1.8</v>
      </c>
      <c r="N860" s="17" t="n">
        <f aca="false">'Dish Database'!N252*H860/100</f>
        <v>0.9</v>
      </c>
      <c r="O860" s="17" t="n">
        <f aca="false">'Dish Database'!O252*H860/100</f>
        <v>2.25</v>
      </c>
      <c r="P860" s="13" t="n">
        <f aca="false">'Dish Database'!P252*H860/100</f>
        <v>525</v>
      </c>
    </row>
    <row r="861" customFormat="false" ht="15" hidden="false" customHeight="false" outlineLevel="0" collapsed="false">
      <c r="A861" s="6" t="str">
        <f aca="false">'Dish Database'!A252</f>
        <v>D251</v>
      </c>
      <c r="B861" s="6" t="str">
        <f aca="false">'Dish Database'!B252</f>
        <v>Rasam</v>
      </c>
      <c r="C861" s="6" t="str">
        <f aca="false">'Dish Database'!D252</f>
        <v>Dal &amp; Legumes</v>
      </c>
      <c r="D861" s="6" t="str">
        <f aca="false">'Dish Database'!F252</f>
        <v>Veg</v>
      </c>
      <c r="E861" s="6" t="str">
        <f aca="false">'Dish Database'!E252</f>
        <v>South</v>
      </c>
      <c r="F861" s="6" t="s">
        <v>103</v>
      </c>
      <c r="G861" s="6" t="s">
        <v>2506</v>
      </c>
      <c r="H861" s="16" t="n">
        <v>250</v>
      </c>
      <c r="I861" s="6" t="str">
        <f aca="false">'Dish Database'!I252</f>
        <v>ml</v>
      </c>
      <c r="J861" s="13" t="n">
        <f aca="false">'Dish Database'!J252*H861/100</f>
        <v>74</v>
      </c>
      <c r="K861" s="17" t="n">
        <f aca="false">'Dish Database'!K252*H861/100</f>
        <v>2.5</v>
      </c>
      <c r="L861" s="17" t="n">
        <f aca="false">'Dish Database'!L252*H861/100</f>
        <v>10</v>
      </c>
      <c r="M861" s="17" t="n">
        <f aca="false">'Dish Database'!M252*H861/100</f>
        <v>3</v>
      </c>
      <c r="N861" s="17" t="n">
        <f aca="false">'Dish Database'!N252*H861/100</f>
        <v>1.5</v>
      </c>
      <c r="O861" s="17" t="n">
        <f aca="false">'Dish Database'!O252*H861/100</f>
        <v>3.75</v>
      </c>
      <c r="P861" s="13" t="n">
        <f aca="false">'Dish Database'!P252*H861/100</f>
        <v>875</v>
      </c>
    </row>
    <row r="862" customFormat="false" ht="15" hidden="false" customHeight="false" outlineLevel="0" collapsed="false">
      <c r="A862" s="6" t="str">
        <f aca="false">'Dish Database'!A252</f>
        <v>D251</v>
      </c>
      <c r="B862" s="6" t="str">
        <f aca="false">'Dish Database'!B252</f>
        <v>Rasam</v>
      </c>
      <c r="C862" s="6" t="str">
        <f aca="false">'Dish Database'!D252</f>
        <v>Dal &amp; Legumes</v>
      </c>
      <c r="D862" s="6" t="str">
        <f aca="false">'Dish Database'!F252</f>
        <v>Veg</v>
      </c>
      <c r="E862" s="6" t="str">
        <f aca="false">'Dish Database'!E252</f>
        <v>South</v>
      </c>
      <c r="F862" s="6" t="s">
        <v>2246</v>
      </c>
      <c r="G862" s="6" t="s">
        <v>2507</v>
      </c>
      <c r="H862" s="16" t="n">
        <v>350</v>
      </c>
      <c r="I862" s="6" t="str">
        <f aca="false">'Dish Database'!I252</f>
        <v>ml</v>
      </c>
      <c r="J862" s="13" t="n">
        <f aca="false">'Dish Database'!J252*H862/100</f>
        <v>103.6</v>
      </c>
      <c r="K862" s="17" t="n">
        <f aca="false">'Dish Database'!K252*H862/100</f>
        <v>3.5</v>
      </c>
      <c r="L862" s="17" t="n">
        <f aca="false">'Dish Database'!L252*H862/100</f>
        <v>14</v>
      </c>
      <c r="M862" s="17" t="n">
        <f aca="false">'Dish Database'!M252*H862/100</f>
        <v>4.2</v>
      </c>
      <c r="N862" s="17" t="n">
        <f aca="false">'Dish Database'!N252*H862/100</f>
        <v>2.1</v>
      </c>
      <c r="O862" s="17" t="n">
        <f aca="false">'Dish Database'!O252*H862/100</f>
        <v>5.25</v>
      </c>
      <c r="P862" s="13" t="n">
        <f aca="false">'Dish Database'!P252*H862/100</f>
        <v>1225</v>
      </c>
    </row>
    <row r="863" customFormat="false" ht="15" hidden="false" customHeight="false" outlineLevel="0" collapsed="false">
      <c r="A863" s="6" t="str">
        <f aca="false">'Dish Database'!A253</f>
        <v>D252</v>
      </c>
      <c r="B863" s="6" t="str">
        <f aca="false">'Dish Database'!B253</f>
        <v>Dalma (Odia)</v>
      </c>
      <c r="C863" s="6" t="str">
        <f aca="false">'Dish Database'!D253</f>
        <v>Dal &amp; Legumes</v>
      </c>
      <c r="D863" s="6" t="str">
        <f aca="false">'Dish Database'!F253</f>
        <v>Veg</v>
      </c>
      <c r="E863" s="6" t="str">
        <f aca="false">'Dish Database'!E253</f>
        <v>East</v>
      </c>
      <c r="F863" s="6" t="s">
        <v>2243</v>
      </c>
      <c r="G863" s="6" t="s">
        <v>2500</v>
      </c>
      <c r="H863" s="16" t="n">
        <v>100</v>
      </c>
      <c r="I863" s="6" t="str">
        <f aca="false">'Dish Database'!I253</f>
        <v>g</v>
      </c>
      <c r="J863" s="13" t="n">
        <f aca="false">'Dish Database'!J253*H863/100</f>
        <v>90</v>
      </c>
      <c r="K863" s="17" t="n">
        <f aca="false">'Dish Database'!K253*H863/100</f>
        <v>4.5</v>
      </c>
      <c r="L863" s="17" t="n">
        <f aca="false">'Dish Database'!L253*H863/100</f>
        <v>13</v>
      </c>
      <c r="M863" s="17" t="n">
        <f aca="false">'Dish Database'!M253*H863/100</f>
        <v>3</v>
      </c>
      <c r="N863" s="17" t="n">
        <f aca="false">'Dish Database'!N253*H863/100</f>
        <v>3.5</v>
      </c>
      <c r="O863" s="17" t="n">
        <f aca="false">'Dish Database'!O253*H863/100</f>
        <v>2</v>
      </c>
      <c r="P863" s="13" t="n">
        <f aca="false">'Dish Database'!P253*H863/100</f>
        <v>320</v>
      </c>
    </row>
    <row r="864" customFormat="false" ht="15" hidden="false" customHeight="false" outlineLevel="0" collapsed="false">
      <c r="A864" s="6" t="str">
        <f aca="false">'Dish Database'!A253</f>
        <v>D252</v>
      </c>
      <c r="B864" s="6" t="str">
        <f aca="false">'Dish Database'!B253</f>
        <v>Dalma (Odia)</v>
      </c>
      <c r="C864" s="6" t="str">
        <f aca="false">'Dish Database'!D253</f>
        <v>Dal &amp; Legumes</v>
      </c>
      <c r="D864" s="6" t="str">
        <f aca="false">'Dish Database'!F253</f>
        <v>Veg</v>
      </c>
      <c r="E864" s="6" t="str">
        <f aca="false">'Dish Database'!E253</f>
        <v>East</v>
      </c>
      <c r="F864" s="6" t="s">
        <v>103</v>
      </c>
      <c r="G864" s="6" t="s">
        <v>2501</v>
      </c>
      <c r="H864" s="16" t="n">
        <v>150</v>
      </c>
      <c r="I864" s="6" t="str">
        <f aca="false">'Dish Database'!I253</f>
        <v>g</v>
      </c>
      <c r="J864" s="13" t="n">
        <f aca="false">'Dish Database'!J253*H864/100</f>
        <v>135</v>
      </c>
      <c r="K864" s="17" t="n">
        <f aca="false">'Dish Database'!K253*H864/100</f>
        <v>6.75</v>
      </c>
      <c r="L864" s="17" t="n">
        <f aca="false">'Dish Database'!L253*H864/100</f>
        <v>19.5</v>
      </c>
      <c r="M864" s="17" t="n">
        <f aca="false">'Dish Database'!M253*H864/100</f>
        <v>4.5</v>
      </c>
      <c r="N864" s="17" t="n">
        <f aca="false">'Dish Database'!N253*H864/100</f>
        <v>5.25</v>
      </c>
      <c r="O864" s="17" t="n">
        <f aca="false">'Dish Database'!O253*H864/100</f>
        <v>3</v>
      </c>
      <c r="P864" s="13" t="n">
        <f aca="false">'Dish Database'!P253*H864/100</f>
        <v>480</v>
      </c>
    </row>
    <row r="865" customFormat="false" ht="15" hidden="false" customHeight="false" outlineLevel="0" collapsed="false">
      <c r="A865" s="6" t="str">
        <f aca="false">'Dish Database'!A253</f>
        <v>D252</v>
      </c>
      <c r="B865" s="6" t="str">
        <f aca="false">'Dish Database'!B253</f>
        <v>Dalma (Odia)</v>
      </c>
      <c r="C865" s="6" t="str">
        <f aca="false">'Dish Database'!D253</f>
        <v>Dal &amp; Legumes</v>
      </c>
      <c r="D865" s="6" t="str">
        <f aca="false">'Dish Database'!F253</f>
        <v>Veg</v>
      </c>
      <c r="E865" s="6" t="str">
        <f aca="false">'Dish Database'!E253</f>
        <v>East</v>
      </c>
      <c r="F865" s="6" t="s">
        <v>2246</v>
      </c>
      <c r="G865" s="6" t="s">
        <v>2502</v>
      </c>
      <c r="H865" s="16" t="n">
        <v>200</v>
      </c>
      <c r="I865" s="6" t="str">
        <f aca="false">'Dish Database'!I253</f>
        <v>g</v>
      </c>
      <c r="J865" s="13" t="n">
        <f aca="false">'Dish Database'!J253*H865/100</f>
        <v>180</v>
      </c>
      <c r="K865" s="17" t="n">
        <f aca="false">'Dish Database'!K253*H865/100</f>
        <v>9</v>
      </c>
      <c r="L865" s="17" t="n">
        <f aca="false">'Dish Database'!L253*H865/100</f>
        <v>26</v>
      </c>
      <c r="M865" s="17" t="n">
        <f aca="false">'Dish Database'!M253*H865/100</f>
        <v>6</v>
      </c>
      <c r="N865" s="17" t="n">
        <f aca="false">'Dish Database'!N253*H865/100</f>
        <v>7</v>
      </c>
      <c r="O865" s="17" t="n">
        <f aca="false">'Dish Database'!O253*H865/100</f>
        <v>4</v>
      </c>
      <c r="P865" s="13" t="n">
        <f aca="false">'Dish Database'!P253*H865/100</f>
        <v>640</v>
      </c>
    </row>
    <row r="866" customFormat="false" ht="15" hidden="false" customHeight="false" outlineLevel="0" collapsed="false">
      <c r="A866" s="6" t="str">
        <f aca="false">'Dish Database'!A253</f>
        <v>D252</v>
      </c>
      <c r="B866" s="6" t="str">
        <f aca="false">'Dish Database'!B253</f>
        <v>Dalma (Odia)</v>
      </c>
      <c r="C866" s="6" t="str">
        <f aca="false">'Dish Database'!D253</f>
        <v>Dal &amp; Legumes</v>
      </c>
      <c r="D866" s="6" t="str">
        <f aca="false">'Dish Database'!F253</f>
        <v>Veg</v>
      </c>
      <c r="E866" s="6" t="str">
        <f aca="false">'Dish Database'!E253</f>
        <v>East</v>
      </c>
      <c r="F866" s="6" t="s">
        <v>2323</v>
      </c>
      <c r="G866" s="6" t="s">
        <v>2503</v>
      </c>
      <c r="H866" s="16" t="n">
        <v>250</v>
      </c>
      <c r="I866" s="6" t="str">
        <f aca="false">'Dish Database'!I253</f>
        <v>g</v>
      </c>
      <c r="J866" s="13" t="n">
        <f aca="false">'Dish Database'!J253*H866/100</f>
        <v>225</v>
      </c>
      <c r="K866" s="17" t="n">
        <f aca="false">'Dish Database'!K253*H866/100</f>
        <v>11.25</v>
      </c>
      <c r="L866" s="17" t="n">
        <f aca="false">'Dish Database'!L253*H866/100</f>
        <v>32.5</v>
      </c>
      <c r="M866" s="17" t="n">
        <f aca="false">'Dish Database'!M253*H866/100</f>
        <v>7.5</v>
      </c>
      <c r="N866" s="17" t="n">
        <f aca="false">'Dish Database'!N253*H866/100</f>
        <v>8.75</v>
      </c>
      <c r="O866" s="17" t="n">
        <f aca="false">'Dish Database'!O253*H866/100</f>
        <v>5</v>
      </c>
      <c r="P866" s="13" t="n">
        <f aca="false">'Dish Database'!P253*H866/100</f>
        <v>800</v>
      </c>
    </row>
    <row r="867" customFormat="false" ht="15" hidden="false" customHeight="false" outlineLevel="0" collapsed="false">
      <c r="A867" s="6" t="str">
        <f aca="false">'Dish Database'!A253</f>
        <v>D252</v>
      </c>
      <c r="B867" s="6" t="str">
        <f aca="false">'Dish Database'!B253</f>
        <v>Dalma (Odia)</v>
      </c>
      <c r="C867" s="6" t="str">
        <f aca="false">'Dish Database'!D253</f>
        <v>Dal &amp; Legumes</v>
      </c>
      <c r="D867" s="6" t="str">
        <f aca="false">'Dish Database'!F253</f>
        <v>Veg</v>
      </c>
      <c r="E867" s="6" t="str">
        <f aca="false">'Dish Database'!E253</f>
        <v>East</v>
      </c>
      <c r="F867" s="6" t="s">
        <v>2325</v>
      </c>
      <c r="G867" s="6" t="s">
        <v>2504</v>
      </c>
      <c r="H867" s="16" t="n">
        <v>500</v>
      </c>
      <c r="I867" s="6" t="str">
        <f aca="false">'Dish Database'!I253</f>
        <v>g</v>
      </c>
      <c r="J867" s="13" t="n">
        <f aca="false">'Dish Database'!J253*H867/100</f>
        <v>450</v>
      </c>
      <c r="K867" s="17" t="n">
        <f aca="false">'Dish Database'!K253*H867/100</f>
        <v>22.5</v>
      </c>
      <c r="L867" s="17" t="n">
        <f aca="false">'Dish Database'!L253*H867/100</f>
        <v>65</v>
      </c>
      <c r="M867" s="17" t="n">
        <f aca="false">'Dish Database'!M253*H867/100</f>
        <v>15</v>
      </c>
      <c r="N867" s="17" t="n">
        <f aca="false">'Dish Database'!N253*H867/100</f>
        <v>17.5</v>
      </c>
      <c r="O867" s="17" t="n">
        <f aca="false">'Dish Database'!O253*H867/100</f>
        <v>10</v>
      </c>
      <c r="P867" s="13" t="n">
        <f aca="false">'Dish Database'!P253*H867/100</f>
        <v>1600</v>
      </c>
    </row>
    <row r="868" customFormat="false" ht="15" hidden="false" customHeight="false" outlineLevel="0" collapsed="false">
      <c r="A868" s="6" t="str">
        <f aca="false">'Dish Database'!A254</f>
        <v>D253</v>
      </c>
      <c r="B868" s="6" t="str">
        <f aca="false">'Dish Database'!B254</f>
        <v>Cholar dal (Bengali)</v>
      </c>
      <c r="C868" s="6" t="str">
        <f aca="false">'Dish Database'!D254</f>
        <v>Dal &amp; Legumes</v>
      </c>
      <c r="D868" s="6" t="str">
        <f aca="false">'Dish Database'!F254</f>
        <v>Veg</v>
      </c>
      <c r="E868" s="6" t="str">
        <f aca="false">'Dish Database'!E254</f>
        <v>East</v>
      </c>
      <c r="F868" s="6" t="s">
        <v>2243</v>
      </c>
      <c r="G868" s="6" t="s">
        <v>2500</v>
      </c>
      <c r="H868" s="16" t="n">
        <v>100</v>
      </c>
      <c r="I868" s="6" t="str">
        <f aca="false">'Dish Database'!I254</f>
        <v>g</v>
      </c>
      <c r="J868" s="13" t="n">
        <f aca="false">'Dish Database'!J254*H868/100</f>
        <v>133</v>
      </c>
      <c r="K868" s="17" t="n">
        <f aca="false">'Dish Database'!K254*H868/100</f>
        <v>6</v>
      </c>
      <c r="L868" s="17" t="n">
        <f aca="false">'Dish Database'!L254*H868/100</f>
        <v>18</v>
      </c>
      <c r="M868" s="17" t="n">
        <f aca="false">'Dish Database'!M254*H868/100</f>
        <v>5</v>
      </c>
      <c r="N868" s="17" t="n">
        <f aca="false">'Dish Database'!N254*H868/100</f>
        <v>4</v>
      </c>
      <c r="O868" s="17" t="n">
        <f aca="false">'Dish Database'!O254*H868/100</f>
        <v>4</v>
      </c>
      <c r="P868" s="13" t="n">
        <f aca="false">'Dish Database'!P254*H868/100</f>
        <v>330</v>
      </c>
    </row>
    <row r="869" customFormat="false" ht="15" hidden="false" customHeight="false" outlineLevel="0" collapsed="false">
      <c r="A869" s="6" t="str">
        <f aca="false">'Dish Database'!A254</f>
        <v>D253</v>
      </c>
      <c r="B869" s="6" t="str">
        <f aca="false">'Dish Database'!B254</f>
        <v>Cholar dal (Bengali)</v>
      </c>
      <c r="C869" s="6" t="str">
        <f aca="false">'Dish Database'!D254</f>
        <v>Dal &amp; Legumes</v>
      </c>
      <c r="D869" s="6" t="str">
        <f aca="false">'Dish Database'!F254</f>
        <v>Veg</v>
      </c>
      <c r="E869" s="6" t="str">
        <f aca="false">'Dish Database'!E254</f>
        <v>East</v>
      </c>
      <c r="F869" s="6" t="s">
        <v>103</v>
      </c>
      <c r="G869" s="6" t="s">
        <v>2501</v>
      </c>
      <c r="H869" s="16" t="n">
        <v>150</v>
      </c>
      <c r="I869" s="6" t="str">
        <f aca="false">'Dish Database'!I254</f>
        <v>g</v>
      </c>
      <c r="J869" s="13" t="n">
        <f aca="false">'Dish Database'!J254*H869/100</f>
        <v>199.5</v>
      </c>
      <c r="K869" s="17" t="n">
        <f aca="false">'Dish Database'!K254*H869/100</f>
        <v>9</v>
      </c>
      <c r="L869" s="17" t="n">
        <f aca="false">'Dish Database'!L254*H869/100</f>
        <v>27</v>
      </c>
      <c r="M869" s="17" t="n">
        <f aca="false">'Dish Database'!M254*H869/100</f>
        <v>7.5</v>
      </c>
      <c r="N869" s="17" t="n">
        <f aca="false">'Dish Database'!N254*H869/100</f>
        <v>6</v>
      </c>
      <c r="O869" s="17" t="n">
        <f aca="false">'Dish Database'!O254*H869/100</f>
        <v>6</v>
      </c>
      <c r="P869" s="13" t="n">
        <f aca="false">'Dish Database'!P254*H869/100</f>
        <v>495</v>
      </c>
    </row>
    <row r="870" customFormat="false" ht="15" hidden="false" customHeight="false" outlineLevel="0" collapsed="false">
      <c r="A870" s="6" t="str">
        <f aca="false">'Dish Database'!A254</f>
        <v>D253</v>
      </c>
      <c r="B870" s="6" t="str">
        <f aca="false">'Dish Database'!B254</f>
        <v>Cholar dal (Bengali)</v>
      </c>
      <c r="C870" s="6" t="str">
        <f aca="false">'Dish Database'!D254</f>
        <v>Dal &amp; Legumes</v>
      </c>
      <c r="D870" s="6" t="str">
        <f aca="false">'Dish Database'!F254</f>
        <v>Veg</v>
      </c>
      <c r="E870" s="6" t="str">
        <f aca="false">'Dish Database'!E254</f>
        <v>East</v>
      </c>
      <c r="F870" s="6" t="s">
        <v>2246</v>
      </c>
      <c r="G870" s="6" t="s">
        <v>2502</v>
      </c>
      <c r="H870" s="16" t="n">
        <v>200</v>
      </c>
      <c r="I870" s="6" t="str">
        <f aca="false">'Dish Database'!I254</f>
        <v>g</v>
      </c>
      <c r="J870" s="13" t="n">
        <f aca="false">'Dish Database'!J254*H870/100</f>
        <v>266</v>
      </c>
      <c r="K870" s="17" t="n">
        <f aca="false">'Dish Database'!K254*H870/100</f>
        <v>12</v>
      </c>
      <c r="L870" s="17" t="n">
        <f aca="false">'Dish Database'!L254*H870/100</f>
        <v>36</v>
      </c>
      <c r="M870" s="17" t="n">
        <f aca="false">'Dish Database'!M254*H870/100</f>
        <v>10</v>
      </c>
      <c r="N870" s="17" t="n">
        <f aca="false">'Dish Database'!N254*H870/100</f>
        <v>8</v>
      </c>
      <c r="O870" s="17" t="n">
        <f aca="false">'Dish Database'!O254*H870/100</f>
        <v>8</v>
      </c>
      <c r="P870" s="13" t="n">
        <f aca="false">'Dish Database'!P254*H870/100</f>
        <v>660</v>
      </c>
    </row>
    <row r="871" customFormat="false" ht="15" hidden="false" customHeight="false" outlineLevel="0" collapsed="false">
      <c r="A871" s="6" t="str">
        <f aca="false">'Dish Database'!A254</f>
        <v>D253</v>
      </c>
      <c r="B871" s="6" t="str">
        <f aca="false">'Dish Database'!B254</f>
        <v>Cholar dal (Bengali)</v>
      </c>
      <c r="C871" s="6" t="str">
        <f aca="false">'Dish Database'!D254</f>
        <v>Dal &amp; Legumes</v>
      </c>
      <c r="D871" s="6" t="str">
        <f aca="false">'Dish Database'!F254</f>
        <v>Veg</v>
      </c>
      <c r="E871" s="6" t="str">
        <f aca="false">'Dish Database'!E254</f>
        <v>East</v>
      </c>
      <c r="F871" s="6" t="s">
        <v>2323</v>
      </c>
      <c r="G871" s="6" t="s">
        <v>2503</v>
      </c>
      <c r="H871" s="16" t="n">
        <v>250</v>
      </c>
      <c r="I871" s="6" t="str">
        <f aca="false">'Dish Database'!I254</f>
        <v>g</v>
      </c>
      <c r="J871" s="13" t="n">
        <f aca="false">'Dish Database'!J254*H871/100</f>
        <v>332.5</v>
      </c>
      <c r="K871" s="17" t="n">
        <f aca="false">'Dish Database'!K254*H871/100</f>
        <v>15</v>
      </c>
      <c r="L871" s="17" t="n">
        <f aca="false">'Dish Database'!L254*H871/100</f>
        <v>45</v>
      </c>
      <c r="M871" s="17" t="n">
        <f aca="false">'Dish Database'!M254*H871/100</f>
        <v>12.5</v>
      </c>
      <c r="N871" s="17" t="n">
        <f aca="false">'Dish Database'!N254*H871/100</f>
        <v>10</v>
      </c>
      <c r="O871" s="17" t="n">
        <f aca="false">'Dish Database'!O254*H871/100</f>
        <v>10</v>
      </c>
      <c r="P871" s="13" t="n">
        <f aca="false">'Dish Database'!P254*H871/100</f>
        <v>825</v>
      </c>
    </row>
    <row r="872" customFormat="false" ht="15" hidden="false" customHeight="false" outlineLevel="0" collapsed="false">
      <c r="A872" s="6" t="str">
        <f aca="false">'Dish Database'!A254</f>
        <v>D253</v>
      </c>
      <c r="B872" s="6" t="str">
        <f aca="false">'Dish Database'!B254</f>
        <v>Cholar dal (Bengali)</v>
      </c>
      <c r="C872" s="6" t="str">
        <f aca="false">'Dish Database'!D254</f>
        <v>Dal &amp; Legumes</v>
      </c>
      <c r="D872" s="6" t="str">
        <f aca="false">'Dish Database'!F254</f>
        <v>Veg</v>
      </c>
      <c r="E872" s="6" t="str">
        <f aca="false">'Dish Database'!E254</f>
        <v>East</v>
      </c>
      <c r="F872" s="6" t="s">
        <v>2325</v>
      </c>
      <c r="G872" s="6" t="s">
        <v>2504</v>
      </c>
      <c r="H872" s="16" t="n">
        <v>500</v>
      </c>
      <c r="I872" s="6" t="str">
        <f aca="false">'Dish Database'!I254</f>
        <v>g</v>
      </c>
      <c r="J872" s="13" t="n">
        <f aca="false">'Dish Database'!J254*H872/100</f>
        <v>665</v>
      </c>
      <c r="K872" s="17" t="n">
        <f aca="false">'Dish Database'!K254*H872/100</f>
        <v>30</v>
      </c>
      <c r="L872" s="17" t="n">
        <f aca="false">'Dish Database'!L254*H872/100</f>
        <v>90</v>
      </c>
      <c r="M872" s="17" t="n">
        <f aca="false">'Dish Database'!M254*H872/100</f>
        <v>25</v>
      </c>
      <c r="N872" s="17" t="n">
        <f aca="false">'Dish Database'!N254*H872/100</f>
        <v>20</v>
      </c>
      <c r="O872" s="17" t="n">
        <f aca="false">'Dish Database'!O254*H872/100</f>
        <v>20</v>
      </c>
      <c r="P872" s="13" t="n">
        <f aca="false">'Dish Database'!P254*H872/100</f>
        <v>1650</v>
      </c>
    </row>
    <row r="873" customFormat="false" ht="15" hidden="false" customHeight="false" outlineLevel="0" collapsed="false">
      <c r="A873" s="6" t="str">
        <f aca="false">'Dish Database'!A255</f>
        <v>D254</v>
      </c>
      <c r="B873" s="6" t="str">
        <f aca="false">'Dish Database'!B255</f>
        <v>Kulthi (horse gram) dal</v>
      </c>
      <c r="C873" s="6" t="str">
        <f aca="false">'Dish Database'!D255</f>
        <v>Dal &amp; Legumes</v>
      </c>
      <c r="D873" s="6" t="str">
        <f aca="false">'Dish Database'!F255</f>
        <v>Veg</v>
      </c>
      <c r="E873" s="6" t="str">
        <f aca="false">'Dish Database'!E255</f>
        <v>Pan-India</v>
      </c>
      <c r="F873" s="6" t="s">
        <v>2243</v>
      </c>
      <c r="G873" s="6" t="s">
        <v>2500</v>
      </c>
      <c r="H873" s="16" t="n">
        <v>100</v>
      </c>
      <c r="I873" s="6" t="str">
        <f aca="false">'Dish Database'!I255</f>
        <v>g</v>
      </c>
      <c r="J873" s="13" t="n">
        <f aca="false">'Dish Database'!J255*H873/100</f>
        <v>90.5</v>
      </c>
      <c r="K873" s="17" t="n">
        <f aca="false">'Dish Database'!K255*H873/100</f>
        <v>5.5</v>
      </c>
      <c r="L873" s="17" t="n">
        <f aca="false">'Dish Database'!L255*H873/100</f>
        <v>13</v>
      </c>
      <c r="M873" s="17" t="n">
        <f aca="false">'Dish Database'!M255*H873/100</f>
        <v>2.5</v>
      </c>
      <c r="N873" s="17" t="n">
        <f aca="false">'Dish Database'!N255*H873/100</f>
        <v>3</v>
      </c>
      <c r="O873" s="17" t="n">
        <f aca="false">'Dish Database'!O255*H873/100</f>
        <v>0.5</v>
      </c>
      <c r="P873" s="13" t="n">
        <f aca="false">'Dish Database'!P255*H873/100</f>
        <v>300</v>
      </c>
    </row>
    <row r="874" customFormat="false" ht="15" hidden="false" customHeight="false" outlineLevel="0" collapsed="false">
      <c r="A874" s="6" t="str">
        <f aca="false">'Dish Database'!A255</f>
        <v>D254</v>
      </c>
      <c r="B874" s="6" t="str">
        <f aca="false">'Dish Database'!B255</f>
        <v>Kulthi (horse gram) dal</v>
      </c>
      <c r="C874" s="6" t="str">
        <f aca="false">'Dish Database'!D255</f>
        <v>Dal &amp; Legumes</v>
      </c>
      <c r="D874" s="6" t="str">
        <f aca="false">'Dish Database'!F255</f>
        <v>Veg</v>
      </c>
      <c r="E874" s="6" t="str">
        <f aca="false">'Dish Database'!E255</f>
        <v>Pan-India</v>
      </c>
      <c r="F874" s="6" t="s">
        <v>103</v>
      </c>
      <c r="G874" s="6" t="s">
        <v>2501</v>
      </c>
      <c r="H874" s="16" t="n">
        <v>150</v>
      </c>
      <c r="I874" s="6" t="str">
        <f aca="false">'Dish Database'!I255</f>
        <v>g</v>
      </c>
      <c r="J874" s="13" t="n">
        <f aca="false">'Dish Database'!J255*H874/100</f>
        <v>135.75</v>
      </c>
      <c r="K874" s="17" t="n">
        <f aca="false">'Dish Database'!K255*H874/100</f>
        <v>8.25</v>
      </c>
      <c r="L874" s="17" t="n">
        <f aca="false">'Dish Database'!L255*H874/100</f>
        <v>19.5</v>
      </c>
      <c r="M874" s="17" t="n">
        <f aca="false">'Dish Database'!M255*H874/100</f>
        <v>3.75</v>
      </c>
      <c r="N874" s="17" t="n">
        <f aca="false">'Dish Database'!N255*H874/100</f>
        <v>4.5</v>
      </c>
      <c r="O874" s="17" t="n">
        <f aca="false">'Dish Database'!O255*H874/100</f>
        <v>0.75</v>
      </c>
      <c r="P874" s="13" t="n">
        <f aca="false">'Dish Database'!P255*H874/100</f>
        <v>450</v>
      </c>
    </row>
    <row r="875" customFormat="false" ht="15" hidden="false" customHeight="false" outlineLevel="0" collapsed="false">
      <c r="A875" s="6" t="str">
        <f aca="false">'Dish Database'!A255</f>
        <v>D254</v>
      </c>
      <c r="B875" s="6" t="str">
        <f aca="false">'Dish Database'!B255</f>
        <v>Kulthi (horse gram) dal</v>
      </c>
      <c r="C875" s="6" t="str">
        <f aca="false">'Dish Database'!D255</f>
        <v>Dal &amp; Legumes</v>
      </c>
      <c r="D875" s="6" t="str">
        <f aca="false">'Dish Database'!F255</f>
        <v>Veg</v>
      </c>
      <c r="E875" s="6" t="str">
        <f aca="false">'Dish Database'!E255</f>
        <v>Pan-India</v>
      </c>
      <c r="F875" s="6" t="s">
        <v>2246</v>
      </c>
      <c r="G875" s="6" t="s">
        <v>2502</v>
      </c>
      <c r="H875" s="16" t="n">
        <v>200</v>
      </c>
      <c r="I875" s="6" t="str">
        <f aca="false">'Dish Database'!I255</f>
        <v>g</v>
      </c>
      <c r="J875" s="13" t="n">
        <f aca="false">'Dish Database'!J255*H875/100</f>
        <v>181</v>
      </c>
      <c r="K875" s="17" t="n">
        <f aca="false">'Dish Database'!K255*H875/100</f>
        <v>11</v>
      </c>
      <c r="L875" s="17" t="n">
        <f aca="false">'Dish Database'!L255*H875/100</f>
        <v>26</v>
      </c>
      <c r="M875" s="17" t="n">
        <f aca="false">'Dish Database'!M255*H875/100</f>
        <v>5</v>
      </c>
      <c r="N875" s="17" t="n">
        <f aca="false">'Dish Database'!N255*H875/100</f>
        <v>6</v>
      </c>
      <c r="O875" s="17" t="n">
        <f aca="false">'Dish Database'!O255*H875/100</f>
        <v>1</v>
      </c>
      <c r="P875" s="13" t="n">
        <f aca="false">'Dish Database'!P255*H875/100</f>
        <v>600</v>
      </c>
    </row>
    <row r="876" customFormat="false" ht="15" hidden="false" customHeight="false" outlineLevel="0" collapsed="false">
      <c r="A876" s="6" t="str">
        <f aca="false">'Dish Database'!A255</f>
        <v>D254</v>
      </c>
      <c r="B876" s="6" t="str">
        <f aca="false">'Dish Database'!B255</f>
        <v>Kulthi (horse gram) dal</v>
      </c>
      <c r="C876" s="6" t="str">
        <f aca="false">'Dish Database'!D255</f>
        <v>Dal &amp; Legumes</v>
      </c>
      <c r="D876" s="6" t="str">
        <f aca="false">'Dish Database'!F255</f>
        <v>Veg</v>
      </c>
      <c r="E876" s="6" t="str">
        <f aca="false">'Dish Database'!E255</f>
        <v>Pan-India</v>
      </c>
      <c r="F876" s="6" t="s">
        <v>2323</v>
      </c>
      <c r="G876" s="6" t="s">
        <v>2503</v>
      </c>
      <c r="H876" s="16" t="n">
        <v>250</v>
      </c>
      <c r="I876" s="6" t="str">
        <f aca="false">'Dish Database'!I255</f>
        <v>g</v>
      </c>
      <c r="J876" s="13" t="n">
        <f aca="false">'Dish Database'!J255*H876/100</f>
        <v>226.25</v>
      </c>
      <c r="K876" s="17" t="n">
        <f aca="false">'Dish Database'!K255*H876/100</f>
        <v>13.75</v>
      </c>
      <c r="L876" s="17" t="n">
        <f aca="false">'Dish Database'!L255*H876/100</f>
        <v>32.5</v>
      </c>
      <c r="M876" s="17" t="n">
        <f aca="false">'Dish Database'!M255*H876/100</f>
        <v>6.25</v>
      </c>
      <c r="N876" s="17" t="n">
        <f aca="false">'Dish Database'!N255*H876/100</f>
        <v>7.5</v>
      </c>
      <c r="O876" s="17" t="n">
        <f aca="false">'Dish Database'!O255*H876/100</f>
        <v>1.25</v>
      </c>
      <c r="P876" s="13" t="n">
        <f aca="false">'Dish Database'!P255*H876/100</f>
        <v>750</v>
      </c>
    </row>
    <row r="877" customFormat="false" ht="15" hidden="false" customHeight="false" outlineLevel="0" collapsed="false">
      <c r="A877" s="6" t="str">
        <f aca="false">'Dish Database'!A255</f>
        <v>D254</v>
      </c>
      <c r="B877" s="6" t="str">
        <f aca="false">'Dish Database'!B255</f>
        <v>Kulthi (horse gram) dal</v>
      </c>
      <c r="C877" s="6" t="str">
        <f aca="false">'Dish Database'!D255</f>
        <v>Dal &amp; Legumes</v>
      </c>
      <c r="D877" s="6" t="str">
        <f aca="false">'Dish Database'!F255</f>
        <v>Veg</v>
      </c>
      <c r="E877" s="6" t="str">
        <f aca="false">'Dish Database'!E255</f>
        <v>Pan-India</v>
      </c>
      <c r="F877" s="6" t="s">
        <v>2325</v>
      </c>
      <c r="G877" s="6" t="s">
        <v>2504</v>
      </c>
      <c r="H877" s="16" t="n">
        <v>500</v>
      </c>
      <c r="I877" s="6" t="str">
        <f aca="false">'Dish Database'!I255</f>
        <v>g</v>
      </c>
      <c r="J877" s="13" t="n">
        <f aca="false">'Dish Database'!J255*H877/100</f>
        <v>452.5</v>
      </c>
      <c r="K877" s="17" t="n">
        <f aca="false">'Dish Database'!K255*H877/100</f>
        <v>27.5</v>
      </c>
      <c r="L877" s="17" t="n">
        <f aca="false">'Dish Database'!L255*H877/100</f>
        <v>65</v>
      </c>
      <c r="M877" s="17" t="n">
        <f aca="false">'Dish Database'!M255*H877/100</f>
        <v>12.5</v>
      </c>
      <c r="N877" s="17" t="n">
        <f aca="false">'Dish Database'!N255*H877/100</f>
        <v>15</v>
      </c>
      <c r="O877" s="17" t="n">
        <f aca="false">'Dish Database'!O255*H877/100</f>
        <v>2.5</v>
      </c>
      <c r="P877" s="13" t="n">
        <f aca="false">'Dish Database'!P255*H877/100</f>
        <v>1500</v>
      </c>
    </row>
    <row r="878" customFormat="false" ht="15" hidden="false" customHeight="false" outlineLevel="0" collapsed="false">
      <c r="A878" s="6" t="str">
        <f aca="false">'Dish Database'!A256</f>
        <v>D255</v>
      </c>
      <c r="B878" s="6" t="str">
        <f aca="false">'Dish Database'!B256</f>
        <v>Usal (sprouted matki curry)</v>
      </c>
      <c r="C878" s="6" t="str">
        <f aca="false">'Dish Database'!D256</f>
        <v>Dal &amp; Legumes</v>
      </c>
      <c r="D878" s="6" t="str">
        <f aca="false">'Dish Database'!F256</f>
        <v>Veg</v>
      </c>
      <c r="E878" s="6" t="str">
        <f aca="false">'Dish Database'!E256</f>
        <v>West</v>
      </c>
      <c r="F878" s="6" t="s">
        <v>2243</v>
      </c>
      <c r="G878" s="6" t="s">
        <v>2500</v>
      </c>
      <c r="H878" s="16" t="n">
        <v>100</v>
      </c>
      <c r="I878" s="6" t="str">
        <f aca="false">'Dish Database'!I256</f>
        <v>g</v>
      </c>
      <c r="J878" s="13" t="n">
        <f aca="false">'Dish Database'!J256*H878/100</f>
        <v>116</v>
      </c>
      <c r="K878" s="17" t="n">
        <f aca="false">'Dish Database'!K256*H878/100</f>
        <v>6</v>
      </c>
      <c r="L878" s="17" t="n">
        <f aca="false">'Dish Database'!L256*H878/100</f>
        <v>14</v>
      </c>
      <c r="M878" s="17" t="n">
        <f aca="false">'Dish Database'!M256*H878/100</f>
        <v>5</v>
      </c>
      <c r="N878" s="17" t="n">
        <f aca="false">'Dish Database'!N256*H878/100</f>
        <v>4.5</v>
      </c>
      <c r="O878" s="17" t="n">
        <f aca="false">'Dish Database'!O256*H878/100</f>
        <v>2</v>
      </c>
      <c r="P878" s="13" t="n">
        <f aca="false">'Dish Database'!P256*H878/100</f>
        <v>380</v>
      </c>
    </row>
    <row r="879" customFormat="false" ht="15" hidden="false" customHeight="false" outlineLevel="0" collapsed="false">
      <c r="A879" s="6" t="str">
        <f aca="false">'Dish Database'!A256</f>
        <v>D255</v>
      </c>
      <c r="B879" s="6" t="str">
        <f aca="false">'Dish Database'!B256</f>
        <v>Usal (sprouted matki curry)</v>
      </c>
      <c r="C879" s="6" t="str">
        <f aca="false">'Dish Database'!D256</f>
        <v>Dal &amp; Legumes</v>
      </c>
      <c r="D879" s="6" t="str">
        <f aca="false">'Dish Database'!F256</f>
        <v>Veg</v>
      </c>
      <c r="E879" s="6" t="str">
        <f aca="false">'Dish Database'!E256</f>
        <v>West</v>
      </c>
      <c r="F879" s="6" t="s">
        <v>103</v>
      </c>
      <c r="G879" s="6" t="s">
        <v>2501</v>
      </c>
      <c r="H879" s="16" t="n">
        <v>150</v>
      </c>
      <c r="I879" s="6" t="str">
        <f aca="false">'Dish Database'!I256</f>
        <v>g</v>
      </c>
      <c r="J879" s="13" t="n">
        <f aca="false">'Dish Database'!J256*H879/100</f>
        <v>174</v>
      </c>
      <c r="K879" s="17" t="n">
        <f aca="false">'Dish Database'!K256*H879/100</f>
        <v>9</v>
      </c>
      <c r="L879" s="17" t="n">
        <f aca="false">'Dish Database'!L256*H879/100</f>
        <v>21</v>
      </c>
      <c r="M879" s="17" t="n">
        <f aca="false">'Dish Database'!M256*H879/100</f>
        <v>7.5</v>
      </c>
      <c r="N879" s="17" t="n">
        <f aca="false">'Dish Database'!N256*H879/100</f>
        <v>6.75</v>
      </c>
      <c r="O879" s="17" t="n">
        <f aca="false">'Dish Database'!O256*H879/100</f>
        <v>3</v>
      </c>
      <c r="P879" s="13" t="n">
        <f aca="false">'Dish Database'!P256*H879/100</f>
        <v>570</v>
      </c>
    </row>
    <row r="880" customFormat="false" ht="15" hidden="false" customHeight="false" outlineLevel="0" collapsed="false">
      <c r="A880" s="6" t="str">
        <f aca="false">'Dish Database'!A256</f>
        <v>D255</v>
      </c>
      <c r="B880" s="6" t="str">
        <f aca="false">'Dish Database'!B256</f>
        <v>Usal (sprouted matki curry)</v>
      </c>
      <c r="C880" s="6" t="str">
        <f aca="false">'Dish Database'!D256</f>
        <v>Dal &amp; Legumes</v>
      </c>
      <c r="D880" s="6" t="str">
        <f aca="false">'Dish Database'!F256</f>
        <v>Veg</v>
      </c>
      <c r="E880" s="6" t="str">
        <f aca="false">'Dish Database'!E256</f>
        <v>West</v>
      </c>
      <c r="F880" s="6" t="s">
        <v>2246</v>
      </c>
      <c r="G880" s="6" t="s">
        <v>2502</v>
      </c>
      <c r="H880" s="16" t="n">
        <v>200</v>
      </c>
      <c r="I880" s="6" t="str">
        <f aca="false">'Dish Database'!I256</f>
        <v>g</v>
      </c>
      <c r="J880" s="13" t="n">
        <f aca="false">'Dish Database'!J256*H880/100</f>
        <v>232</v>
      </c>
      <c r="K880" s="17" t="n">
        <f aca="false">'Dish Database'!K256*H880/100</f>
        <v>12</v>
      </c>
      <c r="L880" s="17" t="n">
        <f aca="false">'Dish Database'!L256*H880/100</f>
        <v>28</v>
      </c>
      <c r="M880" s="17" t="n">
        <f aca="false">'Dish Database'!M256*H880/100</f>
        <v>10</v>
      </c>
      <c r="N880" s="17" t="n">
        <f aca="false">'Dish Database'!N256*H880/100</f>
        <v>9</v>
      </c>
      <c r="O880" s="17" t="n">
        <f aca="false">'Dish Database'!O256*H880/100</f>
        <v>4</v>
      </c>
      <c r="P880" s="13" t="n">
        <f aca="false">'Dish Database'!P256*H880/100</f>
        <v>760</v>
      </c>
    </row>
    <row r="881" customFormat="false" ht="15" hidden="false" customHeight="false" outlineLevel="0" collapsed="false">
      <c r="A881" s="6" t="str">
        <f aca="false">'Dish Database'!A256</f>
        <v>D255</v>
      </c>
      <c r="B881" s="6" t="str">
        <f aca="false">'Dish Database'!B256</f>
        <v>Usal (sprouted matki curry)</v>
      </c>
      <c r="C881" s="6" t="str">
        <f aca="false">'Dish Database'!D256</f>
        <v>Dal &amp; Legumes</v>
      </c>
      <c r="D881" s="6" t="str">
        <f aca="false">'Dish Database'!F256</f>
        <v>Veg</v>
      </c>
      <c r="E881" s="6" t="str">
        <f aca="false">'Dish Database'!E256</f>
        <v>West</v>
      </c>
      <c r="F881" s="6" t="s">
        <v>2323</v>
      </c>
      <c r="G881" s="6" t="s">
        <v>2503</v>
      </c>
      <c r="H881" s="16" t="n">
        <v>250</v>
      </c>
      <c r="I881" s="6" t="str">
        <f aca="false">'Dish Database'!I256</f>
        <v>g</v>
      </c>
      <c r="J881" s="13" t="n">
        <f aca="false">'Dish Database'!J256*H881/100</f>
        <v>290</v>
      </c>
      <c r="K881" s="17" t="n">
        <f aca="false">'Dish Database'!K256*H881/100</f>
        <v>15</v>
      </c>
      <c r="L881" s="17" t="n">
        <f aca="false">'Dish Database'!L256*H881/100</f>
        <v>35</v>
      </c>
      <c r="M881" s="17" t="n">
        <f aca="false">'Dish Database'!M256*H881/100</f>
        <v>12.5</v>
      </c>
      <c r="N881" s="17" t="n">
        <f aca="false">'Dish Database'!N256*H881/100</f>
        <v>11.25</v>
      </c>
      <c r="O881" s="17" t="n">
        <f aca="false">'Dish Database'!O256*H881/100</f>
        <v>5</v>
      </c>
      <c r="P881" s="13" t="n">
        <f aca="false">'Dish Database'!P256*H881/100</f>
        <v>950</v>
      </c>
    </row>
    <row r="882" customFormat="false" ht="15" hidden="false" customHeight="false" outlineLevel="0" collapsed="false">
      <c r="A882" s="6" t="str">
        <f aca="false">'Dish Database'!A256</f>
        <v>D255</v>
      </c>
      <c r="B882" s="6" t="str">
        <f aca="false">'Dish Database'!B256</f>
        <v>Usal (sprouted matki curry)</v>
      </c>
      <c r="C882" s="6" t="str">
        <f aca="false">'Dish Database'!D256</f>
        <v>Dal &amp; Legumes</v>
      </c>
      <c r="D882" s="6" t="str">
        <f aca="false">'Dish Database'!F256</f>
        <v>Veg</v>
      </c>
      <c r="E882" s="6" t="str">
        <f aca="false">'Dish Database'!E256</f>
        <v>West</v>
      </c>
      <c r="F882" s="6" t="s">
        <v>2325</v>
      </c>
      <c r="G882" s="6" t="s">
        <v>2504</v>
      </c>
      <c r="H882" s="16" t="n">
        <v>500</v>
      </c>
      <c r="I882" s="6" t="str">
        <f aca="false">'Dish Database'!I256</f>
        <v>g</v>
      </c>
      <c r="J882" s="13" t="n">
        <f aca="false">'Dish Database'!J256*H882/100</f>
        <v>580</v>
      </c>
      <c r="K882" s="17" t="n">
        <f aca="false">'Dish Database'!K256*H882/100</f>
        <v>30</v>
      </c>
      <c r="L882" s="17" t="n">
        <f aca="false">'Dish Database'!L256*H882/100</f>
        <v>70</v>
      </c>
      <c r="M882" s="17" t="n">
        <f aca="false">'Dish Database'!M256*H882/100</f>
        <v>25</v>
      </c>
      <c r="N882" s="17" t="n">
        <f aca="false">'Dish Database'!N256*H882/100</f>
        <v>22.5</v>
      </c>
      <c r="O882" s="17" t="n">
        <f aca="false">'Dish Database'!O256*H882/100</f>
        <v>10</v>
      </c>
      <c r="P882" s="13" t="n">
        <f aca="false">'Dish Database'!P256*H882/100</f>
        <v>1900</v>
      </c>
    </row>
    <row r="883" customFormat="false" ht="15" hidden="false" customHeight="false" outlineLevel="0" collapsed="false">
      <c r="A883" s="6" t="str">
        <f aca="false">'Dish Database'!A257</f>
        <v>D256</v>
      </c>
      <c r="B883" s="6" t="str">
        <f aca="false">'Dish Database'!B257</f>
        <v>Ghugni</v>
      </c>
      <c r="C883" s="6" t="str">
        <f aca="false">'Dish Database'!D257</f>
        <v>Dal &amp; Legumes</v>
      </c>
      <c r="D883" s="6" t="str">
        <f aca="false">'Dish Database'!F257</f>
        <v>Veg</v>
      </c>
      <c r="E883" s="6" t="str">
        <f aca="false">'Dish Database'!E257</f>
        <v>East</v>
      </c>
      <c r="F883" s="6" t="s">
        <v>2243</v>
      </c>
      <c r="G883" s="6" t="s">
        <v>2500</v>
      </c>
      <c r="H883" s="16" t="n">
        <v>100</v>
      </c>
      <c r="I883" s="6" t="str">
        <f aca="false">'Dish Database'!I257</f>
        <v>g</v>
      </c>
      <c r="J883" s="13" t="n">
        <f aca="false">'Dish Database'!J257*H883/100</f>
        <v>114</v>
      </c>
      <c r="K883" s="17" t="n">
        <f aca="false">'Dish Database'!K257*H883/100</f>
        <v>6</v>
      </c>
      <c r="L883" s="17" t="n">
        <f aca="false">'Dish Database'!L257*H883/100</f>
        <v>16</v>
      </c>
      <c r="M883" s="17" t="n">
        <f aca="false">'Dish Database'!M257*H883/100</f>
        <v>4</v>
      </c>
      <c r="N883" s="17" t="n">
        <f aca="false">'Dish Database'!N257*H883/100</f>
        <v>5</v>
      </c>
      <c r="O883" s="17" t="n">
        <f aca="false">'Dish Database'!O257*H883/100</f>
        <v>1.5</v>
      </c>
      <c r="P883" s="13" t="n">
        <f aca="false">'Dish Database'!P257*H883/100</f>
        <v>380</v>
      </c>
    </row>
    <row r="884" customFormat="false" ht="15" hidden="false" customHeight="false" outlineLevel="0" collapsed="false">
      <c r="A884" s="6" t="str">
        <f aca="false">'Dish Database'!A257</f>
        <v>D256</v>
      </c>
      <c r="B884" s="6" t="str">
        <f aca="false">'Dish Database'!B257</f>
        <v>Ghugni</v>
      </c>
      <c r="C884" s="6" t="str">
        <f aca="false">'Dish Database'!D257</f>
        <v>Dal &amp; Legumes</v>
      </c>
      <c r="D884" s="6" t="str">
        <f aca="false">'Dish Database'!F257</f>
        <v>Veg</v>
      </c>
      <c r="E884" s="6" t="str">
        <f aca="false">'Dish Database'!E257</f>
        <v>East</v>
      </c>
      <c r="F884" s="6" t="s">
        <v>103</v>
      </c>
      <c r="G884" s="6" t="s">
        <v>2501</v>
      </c>
      <c r="H884" s="16" t="n">
        <v>150</v>
      </c>
      <c r="I884" s="6" t="str">
        <f aca="false">'Dish Database'!I257</f>
        <v>g</v>
      </c>
      <c r="J884" s="13" t="n">
        <f aca="false">'Dish Database'!J257*H884/100</f>
        <v>171</v>
      </c>
      <c r="K884" s="17" t="n">
        <f aca="false">'Dish Database'!K257*H884/100</f>
        <v>9</v>
      </c>
      <c r="L884" s="17" t="n">
        <f aca="false">'Dish Database'!L257*H884/100</f>
        <v>24</v>
      </c>
      <c r="M884" s="17" t="n">
        <f aca="false">'Dish Database'!M257*H884/100</f>
        <v>6</v>
      </c>
      <c r="N884" s="17" t="n">
        <f aca="false">'Dish Database'!N257*H884/100</f>
        <v>7.5</v>
      </c>
      <c r="O884" s="17" t="n">
        <f aca="false">'Dish Database'!O257*H884/100</f>
        <v>2.25</v>
      </c>
      <c r="P884" s="13" t="n">
        <f aca="false">'Dish Database'!P257*H884/100</f>
        <v>570</v>
      </c>
    </row>
    <row r="885" customFormat="false" ht="15" hidden="false" customHeight="false" outlineLevel="0" collapsed="false">
      <c r="A885" s="6" t="str">
        <f aca="false">'Dish Database'!A257</f>
        <v>D256</v>
      </c>
      <c r="B885" s="6" t="str">
        <f aca="false">'Dish Database'!B257</f>
        <v>Ghugni</v>
      </c>
      <c r="C885" s="6" t="str">
        <f aca="false">'Dish Database'!D257</f>
        <v>Dal &amp; Legumes</v>
      </c>
      <c r="D885" s="6" t="str">
        <f aca="false">'Dish Database'!F257</f>
        <v>Veg</v>
      </c>
      <c r="E885" s="6" t="str">
        <f aca="false">'Dish Database'!E257</f>
        <v>East</v>
      </c>
      <c r="F885" s="6" t="s">
        <v>2246</v>
      </c>
      <c r="G885" s="6" t="s">
        <v>2502</v>
      </c>
      <c r="H885" s="16" t="n">
        <v>200</v>
      </c>
      <c r="I885" s="6" t="str">
        <f aca="false">'Dish Database'!I257</f>
        <v>g</v>
      </c>
      <c r="J885" s="13" t="n">
        <f aca="false">'Dish Database'!J257*H885/100</f>
        <v>228</v>
      </c>
      <c r="K885" s="17" t="n">
        <f aca="false">'Dish Database'!K257*H885/100</f>
        <v>12</v>
      </c>
      <c r="L885" s="17" t="n">
        <f aca="false">'Dish Database'!L257*H885/100</f>
        <v>32</v>
      </c>
      <c r="M885" s="17" t="n">
        <f aca="false">'Dish Database'!M257*H885/100</f>
        <v>8</v>
      </c>
      <c r="N885" s="17" t="n">
        <f aca="false">'Dish Database'!N257*H885/100</f>
        <v>10</v>
      </c>
      <c r="O885" s="17" t="n">
        <f aca="false">'Dish Database'!O257*H885/100</f>
        <v>3</v>
      </c>
      <c r="P885" s="13" t="n">
        <f aca="false">'Dish Database'!P257*H885/100</f>
        <v>760</v>
      </c>
    </row>
    <row r="886" customFormat="false" ht="15" hidden="false" customHeight="false" outlineLevel="0" collapsed="false">
      <c r="A886" s="6" t="str">
        <f aca="false">'Dish Database'!A257</f>
        <v>D256</v>
      </c>
      <c r="B886" s="6" t="str">
        <f aca="false">'Dish Database'!B257</f>
        <v>Ghugni</v>
      </c>
      <c r="C886" s="6" t="str">
        <f aca="false">'Dish Database'!D257</f>
        <v>Dal &amp; Legumes</v>
      </c>
      <c r="D886" s="6" t="str">
        <f aca="false">'Dish Database'!F257</f>
        <v>Veg</v>
      </c>
      <c r="E886" s="6" t="str">
        <f aca="false">'Dish Database'!E257</f>
        <v>East</v>
      </c>
      <c r="F886" s="6" t="s">
        <v>2323</v>
      </c>
      <c r="G886" s="6" t="s">
        <v>2503</v>
      </c>
      <c r="H886" s="16" t="n">
        <v>250</v>
      </c>
      <c r="I886" s="6" t="str">
        <f aca="false">'Dish Database'!I257</f>
        <v>g</v>
      </c>
      <c r="J886" s="13" t="n">
        <f aca="false">'Dish Database'!J257*H886/100</f>
        <v>285</v>
      </c>
      <c r="K886" s="17" t="n">
        <f aca="false">'Dish Database'!K257*H886/100</f>
        <v>15</v>
      </c>
      <c r="L886" s="17" t="n">
        <f aca="false">'Dish Database'!L257*H886/100</f>
        <v>40</v>
      </c>
      <c r="M886" s="17" t="n">
        <f aca="false">'Dish Database'!M257*H886/100</f>
        <v>10</v>
      </c>
      <c r="N886" s="17" t="n">
        <f aca="false">'Dish Database'!N257*H886/100</f>
        <v>12.5</v>
      </c>
      <c r="O886" s="17" t="n">
        <f aca="false">'Dish Database'!O257*H886/100</f>
        <v>3.75</v>
      </c>
      <c r="P886" s="13" t="n">
        <f aca="false">'Dish Database'!P257*H886/100</f>
        <v>950</v>
      </c>
    </row>
    <row r="887" customFormat="false" ht="15" hidden="false" customHeight="false" outlineLevel="0" collapsed="false">
      <c r="A887" s="6" t="str">
        <f aca="false">'Dish Database'!A257</f>
        <v>D256</v>
      </c>
      <c r="B887" s="6" t="str">
        <f aca="false">'Dish Database'!B257</f>
        <v>Ghugni</v>
      </c>
      <c r="C887" s="6" t="str">
        <f aca="false">'Dish Database'!D257</f>
        <v>Dal &amp; Legumes</v>
      </c>
      <c r="D887" s="6" t="str">
        <f aca="false">'Dish Database'!F257</f>
        <v>Veg</v>
      </c>
      <c r="E887" s="6" t="str">
        <f aca="false">'Dish Database'!E257</f>
        <v>East</v>
      </c>
      <c r="F887" s="6" t="s">
        <v>2325</v>
      </c>
      <c r="G887" s="6" t="s">
        <v>2504</v>
      </c>
      <c r="H887" s="16" t="n">
        <v>500</v>
      </c>
      <c r="I887" s="6" t="str">
        <f aca="false">'Dish Database'!I257</f>
        <v>g</v>
      </c>
      <c r="J887" s="13" t="n">
        <f aca="false">'Dish Database'!J257*H887/100</f>
        <v>570</v>
      </c>
      <c r="K887" s="17" t="n">
        <f aca="false">'Dish Database'!K257*H887/100</f>
        <v>30</v>
      </c>
      <c r="L887" s="17" t="n">
        <f aca="false">'Dish Database'!L257*H887/100</f>
        <v>80</v>
      </c>
      <c r="M887" s="17" t="n">
        <f aca="false">'Dish Database'!M257*H887/100</f>
        <v>20</v>
      </c>
      <c r="N887" s="17" t="n">
        <f aca="false">'Dish Database'!N257*H887/100</f>
        <v>25</v>
      </c>
      <c r="O887" s="17" t="n">
        <f aca="false">'Dish Database'!O257*H887/100</f>
        <v>7.5</v>
      </c>
      <c r="P887" s="13" t="n">
        <f aca="false">'Dish Database'!P257*H887/100</f>
        <v>1900</v>
      </c>
    </row>
    <row r="888" customFormat="false" ht="15" hidden="false" customHeight="false" outlineLevel="0" collapsed="false">
      <c r="A888" s="6" t="str">
        <f aca="false">'Dish Database'!A258</f>
        <v>D257</v>
      </c>
      <c r="B888" s="6" t="str">
        <f aca="false">'Dish Database'!B258</f>
        <v>Ragda (white peas curry)</v>
      </c>
      <c r="C888" s="6" t="str">
        <f aca="false">'Dish Database'!D258</f>
        <v>Dal &amp; Legumes</v>
      </c>
      <c r="D888" s="6" t="str">
        <f aca="false">'Dish Database'!F258</f>
        <v>Veg</v>
      </c>
      <c r="E888" s="6" t="str">
        <f aca="false">'Dish Database'!E258</f>
        <v>West</v>
      </c>
      <c r="F888" s="6" t="s">
        <v>2243</v>
      </c>
      <c r="G888" s="6" t="s">
        <v>2500</v>
      </c>
      <c r="H888" s="16" t="n">
        <v>100</v>
      </c>
      <c r="I888" s="6" t="str">
        <f aca="false">'Dish Database'!I258</f>
        <v>g</v>
      </c>
      <c r="J888" s="13" t="n">
        <f aca="false">'Dish Database'!J258*H888/100</f>
        <v>113</v>
      </c>
      <c r="K888" s="17" t="n">
        <f aca="false">'Dish Database'!K258*H888/100</f>
        <v>6</v>
      </c>
      <c r="L888" s="17" t="n">
        <f aca="false">'Dish Database'!L258*H888/100</f>
        <v>18</v>
      </c>
      <c r="M888" s="17" t="n">
        <f aca="false">'Dish Database'!M258*H888/100</f>
        <v>3</v>
      </c>
      <c r="N888" s="17" t="n">
        <f aca="false">'Dish Database'!N258*H888/100</f>
        <v>5</v>
      </c>
      <c r="O888" s="17" t="n">
        <f aca="false">'Dish Database'!O258*H888/100</f>
        <v>1.5</v>
      </c>
      <c r="P888" s="13" t="n">
        <f aca="false">'Dish Database'!P258*H888/100</f>
        <v>350</v>
      </c>
    </row>
    <row r="889" customFormat="false" ht="15" hidden="false" customHeight="false" outlineLevel="0" collapsed="false">
      <c r="A889" s="6" t="str">
        <f aca="false">'Dish Database'!A258</f>
        <v>D257</v>
      </c>
      <c r="B889" s="6" t="str">
        <f aca="false">'Dish Database'!B258</f>
        <v>Ragda (white peas curry)</v>
      </c>
      <c r="C889" s="6" t="str">
        <f aca="false">'Dish Database'!D258</f>
        <v>Dal &amp; Legumes</v>
      </c>
      <c r="D889" s="6" t="str">
        <f aca="false">'Dish Database'!F258</f>
        <v>Veg</v>
      </c>
      <c r="E889" s="6" t="str">
        <f aca="false">'Dish Database'!E258</f>
        <v>West</v>
      </c>
      <c r="F889" s="6" t="s">
        <v>103</v>
      </c>
      <c r="G889" s="6" t="s">
        <v>2501</v>
      </c>
      <c r="H889" s="16" t="n">
        <v>150</v>
      </c>
      <c r="I889" s="6" t="str">
        <f aca="false">'Dish Database'!I258</f>
        <v>g</v>
      </c>
      <c r="J889" s="13" t="n">
        <f aca="false">'Dish Database'!J258*H889/100</f>
        <v>169.5</v>
      </c>
      <c r="K889" s="17" t="n">
        <f aca="false">'Dish Database'!K258*H889/100</f>
        <v>9</v>
      </c>
      <c r="L889" s="17" t="n">
        <f aca="false">'Dish Database'!L258*H889/100</f>
        <v>27</v>
      </c>
      <c r="M889" s="17" t="n">
        <f aca="false">'Dish Database'!M258*H889/100</f>
        <v>4.5</v>
      </c>
      <c r="N889" s="17" t="n">
        <f aca="false">'Dish Database'!N258*H889/100</f>
        <v>7.5</v>
      </c>
      <c r="O889" s="17" t="n">
        <f aca="false">'Dish Database'!O258*H889/100</f>
        <v>2.25</v>
      </c>
      <c r="P889" s="13" t="n">
        <f aca="false">'Dish Database'!P258*H889/100</f>
        <v>525</v>
      </c>
    </row>
    <row r="890" customFormat="false" ht="15" hidden="false" customHeight="false" outlineLevel="0" collapsed="false">
      <c r="A890" s="6" t="str">
        <f aca="false">'Dish Database'!A258</f>
        <v>D257</v>
      </c>
      <c r="B890" s="6" t="str">
        <f aca="false">'Dish Database'!B258</f>
        <v>Ragda (white peas curry)</v>
      </c>
      <c r="C890" s="6" t="str">
        <f aca="false">'Dish Database'!D258</f>
        <v>Dal &amp; Legumes</v>
      </c>
      <c r="D890" s="6" t="str">
        <f aca="false">'Dish Database'!F258</f>
        <v>Veg</v>
      </c>
      <c r="E890" s="6" t="str">
        <f aca="false">'Dish Database'!E258</f>
        <v>West</v>
      </c>
      <c r="F890" s="6" t="s">
        <v>2246</v>
      </c>
      <c r="G890" s="6" t="s">
        <v>2502</v>
      </c>
      <c r="H890" s="16" t="n">
        <v>200</v>
      </c>
      <c r="I890" s="6" t="str">
        <f aca="false">'Dish Database'!I258</f>
        <v>g</v>
      </c>
      <c r="J890" s="13" t="n">
        <f aca="false">'Dish Database'!J258*H890/100</f>
        <v>226</v>
      </c>
      <c r="K890" s="17" t="n">
        <f aca="false">'Dish Database'!K258*H890/100</f>
        <v>12</v>
      </c>
      <c r="L890" s="17" t="n">
        <f aca="false">'Dish Database'!L258*H890/100</f>
        <v>36</v>
      </c>
      <c r="M890" s="17" t="n">
        <f aca="false">'Dish Database'!M258*H890/100</f>
        <v>6</v>
      </c>
      <c r="N890" s="17" t="n">
        <f aca="false">'Dish Database'!N258*H890/100</f>
        <v>10</v>
      </c>
      <c r="O890" s="17" t="n">
        <f aca="false">'Dish Database'!O258*H890/100</f>
        <v>3</v>
      </c>
      <c r="P890" s="13" t="n">
        <f aca="false">'Dish Database'!P258*H890/100</f>
        <v>700</v>
      </c>
    </row>
    <row r="891" customFormat="false" ht="15" hidden="false" customHeight="false" outlineLevel="0" collapsed="false">
      <c r="A891" s="6" t="str">
        <f aca="false">'Dish Database'!A258</f>
        <v>D257</v>
      </c>
      <c r="B891" s="6" t="str">
        <f aca="false">'Dish Database'!B258</f>
        <v>Ragda (white peas curry)</v>
      </c>
      <c r="C891" s="6" t="str">
        <f aca="false">'Dish Database'!D258</f>
        <v>Dal &amp; Legumes</v>
      </c>
      <c r="D891" s="6" t="str">
        <f aca="false">'Dish Database'!F258</f>
        <v>Veg</v>
      </c>
      <c r="E891" s="6" t="str">
        <f aca="false">'Dish Database'!E258</f>
        <v>West</v>
      </c>
      <c r="F891" s="6" t="s">
        <v>2323</v>
      </c>
      <c r="G891" s="6" t="s">
        <v>2503</v>
      </c>
      <c r="H891" s="16" t="n">
        <v>250</v>
      </c>
      <c r="I891" s="6" t="str">
        <f aca="false">'Dish Database'!I258</f>
        <v>g</v>
      </c>
      <c r="J891" s="13" t="n">
        <f aca="false">'Dish Database'!J258*H891/100</f>
        <v>282.5</v>
      </c>
      <c r="K891" s="17" t="n">
        <f aca="false">'Dish Database'!K258*H891/100</f>
        <v>15</v>
      </c>
      <c r="L891" s="17" t="n">
        <f aca="false">'Dish Database'!L258*H891/100</f>
        <v>45</v>
      </c>
      <c r="M891" s="17" t="n">
        <f aca="false">'Dish Database'!M258*H891/100</f>
        <v>7.5</v>
      </c>
      <c r="N891" s="17" t="n">
        <f aca="false">'Dish Database'!N258*H891/100</f>
        <v>12.5</v>
      </c>
      <c r="O891" s="17" t="n">
        <f aca="false">'Dish Database'!O258*H891/100</f>
        <v>3.75</v>
      </c>
      <c r="P891" s="13" t="n">
        <f aca="false">'Dish Database'!P258*H891/100</f>
        <v>875</v>
      </c>
    </row>
    <row r="892" customFormat="false" ht="15" hidden="false" customHeight="false" outlineLevel="0" collapsed="false">
      <c r="A892" s="6" t="str">
        <f aca="false">'Dish Database'!A258</f>
        <v>D257</v>
      </c>
      <c r="B892" s="6" t="str">
        <f aca="false">'Dish Database'!B258</f>
        <v>Ragda (white peas curry)</v>
      </c>
      <c r="C892" s="6" t="str">
        <f aca="false">'Dish Database'!D258</f>
        <v>Dal &amp; Legumes</v>
      </c>
      <c r="D892" s="6" t="str">
        <f aca="false">'Dish Database'!F258</f>
        <v>Veg</v>
      </c>
      <c r="E892" s="6" t="str">
        <f aca="false">'Dish Database'!E258</f>
        <v>West</v>
      </c>
      <c r="F892" s="6" t="s">
        <v>2325</v>
      </c>
      <c r="G892" s="6" t="s">
        <v>2504</v>
      </c>
      <c r="H892" s="16" t="n">
        <v>500</v>
      </c>
      <c r="I892" s="6" t="str">
        <f aca="false">'Dish Database'!I258</f>
        <v>g</v>
      </c>
      <c r="J892" s="13" t="n">
        <f aca="false">'Dish Database'!J258*H892/100</f>
        <v>565</v>
      </c>
      <c r="K892" s="17" t="n">
        <f aca="false">'Dish Database'!K258*H892/100</f>
        <v>30</v>
      </c>
      <c r="L892" s="17" t="n">
        <f aca="false">'Dish Database'!L258*H892/100</f>
        <v>90</v>
      </c>
      <c r="M892" s="17" t="n">
        <f aca="false">'Dish Database'!M258*H892/100</f>
        <v>15</v>
      </c>
      <c r="N892" s="17" t="n">
        <f aca="false">'Dish Database'!N258*H892/100</f>
        <v>25</v>
      </c>
      <c r="O892" s="17" t="n">
        <f aca="false">'Dish Database'!O258*H892/100</f>
        <v>7.5</v>
      </c>
      <c r="P892" s="13" t="n">
        <f aca="false">'Dish Database'!P258*H892/100</f>
        <v>1750</v>
      </c>
    </row>
    <row r="893" customFormat="false" ht="15" hidden="false" customHeight="false" outlineLevel="0" collapsed="false">
      <c r="A893" s="6" t="str">
        <f aca="false">'Dish Database'!A259</f>
        <v>D258</v>
      </c>
      <c r="B893" s="6" t="str">
        <f aca="false">'Dish Database'!B259</f>
        <v>Soya chunks curry</v>
      </c>
      <c r="C893" s="6" t="str">
        <f aca="false">'Dish Database'!D259</f>
        <v>Dal &amp; Legumes</v>
      </c>
      <c r="D893" s="6" t="str">
        <f aca="false">'Dish Database'!F259</f>
        <v>Veg</v>
      </c>
      <c r="E893" s="6" t="str">
        <f aca="false">'Dish Database'!E259</f>
        <v>Pan-India</v>
      </c>
      <c r="F893" s="6" t="s">
        <v>2243</v>
      </c>
      <c r="G893" s="6" t="s">
        <v>2500</v>
      </c>
      <c r="H893" s="16" t="n">
        <v>100</v>
      </c>
      <c r="I893" s="6" t="str">
        <f aca="false">'Dish Database'!I259</f>
        <v>g</v>
      </c>
      <c r="J893" s="13" t="n">
        <f aca="false">'Dish Database'!J259*H893/100</f>
        <v>111</v>
      </c>
      <c r="K893" s="17" t="n">
        <f aca="false">'Dish Database'!K259*H893/100</f>
        <v>9</v>
      </c>
      <c r="L893" s="17" t="n">
        <f aca="false">'Dish Database'!L259*H893/100</f>
        <v>9</v>
      </c>
      <c r="M893" s="17" t="n">
        <f aca="false">'Dish Database'!M259*H893/100</f>
        <v>5</v>
      </c>
      <c r="N893" s="17" t="n">
        <f aca="false">'Dish Database'!N259*H893/100</f>
        <v>3</v>
      </c>
      <c r="O893" s="17" t="n">
        <f aca="false">'Dish Database'!O259*H893/100</f>
        <v>2.5</v>
      </c>
      <c r="P893" s="13" t="n">
        <f aca="false">'Dish Database'!P259*H893/100</f>
        <v>380</v>
      </c>
    </row>
    <row r="894" customFormat="false" ht="15" hidden="false" customHeight="false" outlineLevel="0" collapsed="false">
      <c r="A894" s="6" t="str">
        <f aca="false">'Dish Database'!A259</f>
        <v>D258</v>
      </c>
      <c r="B894" s="6" t="str">
        <f aca="false">'Dish Database'!B259</f>
        <v>Soya chunks curry</v>
      </c>
      <c r="C894" s="6" t="str">
        <f aca="false">'Dish Database'!D259</f>
        <v>Dal &amp; Legumes</v>
      </c>
      <c r="D894" s="6" t="str">
        <f aca="false">'Dish Database'!F259</f>
        <v>Veg</v>
      </c>
      <c r="E894" s="6" t="str">
        <f aca="false">'Dish Database'!E259</f>
        <v>Pan-India</v>
      </c>
      <c r="F894" s="6" t="s">
        <v>103</v>
      </c>
      <c r="G894" s="6" t="s">
        <v>2501</v>
      </c>
      <c r="H894" s="16" t="n">
        <v>150</v>
      </c>
      <c r="I894" s="6" t="str">
        <f aca="false">'Dish Database'!I259</f>
        <v>g</v>
      </c>
      <c r="J894" s="13" t="n">
        <f aca="false">'Dish Database'!J259*H894/100</f>
        <v>166.5</v>
      </c>
      <c r="K894" s="17" t="n">
        <f aca="false">'Dish Database'!K259*H894/100</f>
        <v>13.5</v>
      </c>
      <c r="L894" s="17" t="n">
        <f aca="false">'Dish Database'!L259*H894/100</f>
        <v>13.5</v>
      </c>
      <c r="M894" s="17" t="n">
        <f aca="false">'Dish Database'!M259*H894/100</f>
        <v>7.5</v>
      </c>
      <c r="N894" s="17" t="n">
        <f aca="false">'Dish Database'!N259*H894/100</f>
        <v>4.5</v>
      </c>
      <c r="O894" s="17" t="n">
        <f aca="false">'Dish Database'!O259*H894/100</f>
        <v>3.75</v>
      </c>
      <c r="P894" s="13" t="n">
        <f aca="false">'Dish Database'!P259*H894/100</f>
        <v>570</v>
      </c>
    </row>
    <row r="895" customFormat="false" ht="15" hidden="false" customHeight="false" outlineLevel="0" collapsed="false">
      <c r="A895" s="6" t="str">
        <f aca="false">'Dish Database'!A259</f>
        <v>D258</v>
      </c>
      <c r="B895" s="6" t="str">
        <f aca="false">'Dish Database'!B259</f>
        <v>Soya chunks curry</v>
      </c>
      <c r="C895" s="6" t="str">
        <f aca="false">'Dish Database'!D259</f>
        <v>Dal &amp; Legumes</v>
      </c>
      <c r="D895" s="6" t="str">
        <f aca="false">'Dish Database'!F259</f>
        <v>Veg</v>
      </c>
      <c r="E895" s="6" t="str">
        <f aca="false">'Dish Database'!E259</f>
        <v>Pan-India</v>
      </c>
      <c r="F895" s="6" t="s">
        <v>2246</v>
      </c>
      <c r="G895" s="6" t="s">
        <v>2502</v>
      </c>
      <c r="H895" s="16" t="n">
        <v>200</v>
      </c>
      <c r="I895" s="6" t="str">
        <f aca="false">'Dish Database'!I259</f>
        <v>g</v>
      </c>
      <c r="J895" s="13" t="n">
        <f aca="false">'Dish Database'!J259*H895/100</f>
        <v>222</v>
      </c>
      <c r="K895" s="17" t="n">
        <f aca="false">'Dish Database'!K259*H895/100</f>
        <v>18</v>
      </c>
      <c r="L895" s="17" t="n">
        <f aca="false">'Dish Database'!L259*H895/100</f>
        <v>18</v>
      </c>
      <c r="M895" s="17" t="n">
        <f aca="false">'Dish Database'!M259*H895/100</f>
        <v>10</v>
      </c>
      <c r="N895" s="17" t="n">
        <f aca="false">'Dish Database'!N259*H895/100</f>
        <v>6</v>
      </c>
      <c r="O895" s="17" t="n">
        <f aca="false">'Dish Database'!O259*H895/100</f>
        <v>5</v>
      </c>
      <c r="P895" s="13" t="n">
        <f aca="false">'Dish Database'!P259*H895/100</f>
        <v>760</v>
      </c>
    </row>
    <row r="896" customFormat="false" ht="15" hidden="false" customHeight="false" outlineLevel="0" collapsed="false">
      <c r="A896" s="6" t="str">
        <f aca="false">'Dish Database'!A259</f>
        <v>D258</v>
      </c>
      <c r="B896" s="6" t="str">
        <f aca="false">'Dish Database'!B259</f>
        <v>Soya chunks curry</v>
      </c>
      <c r="C896" s="6" t="str">
        <f aca="false">'Dish Database'!D259</f>
        <v>Dal &amp; Legumes</v>
      </c>
      <c r="D896" s="6" t="str">
        <f aca="false">'Dish Database'!F259</f>
        <v>Veg</v>
      </c>
      <c r="E896" s="6" t="str">
        <f aca="false">'Dish Database'!E259</f>
        <v>Pan-India</v>
      </c>
      <c r="F896" s="6" t="s">
        <v>2323</v>
      </c>
      <c r="G896" s="6" t="s">
        <v>2503</v>
      </c>
      <c r="H896" s="16" t="n">
        <v>250</v>
      </c>
      <c r="I896" s="6" t="str">
        <f aca="false">'Dish Database'!I259</f>
        <v>g</v>
      </c>
      <c r="J896" s="13" t="n">
        <f aca="false">'Dish Database'!J259*H896/100</f>
        <v>277.5</v>
      </c>
      <c r="K896" s="17" t="n">
        <f aca="false">'Dish Database'!K259*H896/100</f>
        <v>22.5</v>
      </c>
      <c r="L896" s="17" t="n">
        <f aca="false">'Dish Database'!L259*H896/100</f>
        <v>22.5</v>
      </c>
      <c r="M896" s="17" t="n">
        <f aca="false">'Dish Database'!M259*H896/100</f>
        <v>12.5</v>
      </c>
      <c r="N896" s="17" t="n">
        <f aca="false">'Dish Database'!N259*H896/100</f>
        <v>7.5</v>
      </c>
      <c r="O896" s="17" t="n">
        <f aca="false">'Dish Database'!O259*H896/100</f>
        <v>6.25</v>
      </c>
      <c r="P896" s="13" t="n">
        <f aca="false">'Dish Database'!P259*H896/100</f>
        <v>950</v>
      </c>
    </row>
    <row r="897" customFormat="false" ht="15" hidden="false" customHeight="false" outlineLevel="0" collapsed="false">
      <c r="A897" s="6" t="str">
        <f aca="false">'Dish Database'!A259</f>
        <v>D258</v>
      </c>
      <c r="B897" s="6" t="str">
        <f aca="false">'Dish Database'!B259</f>
        <v>Soya chunks curry</v>
      </c>
      <c r="C897" s="6" t="str">
        <f aca="false">'Dish Database'!D259</f>
        <v>Dal &amp; Legumes</v>
      </c>
      <c r="D897" s="6" t="str">
        <f aca="false">'Dish Database'!F259</f>
        <v>Veg</v>
      </c>
      <c r="E897" s="6" t="str">
        <f aca="false">'Dish Database'!E259</f>
        <v>Pan-India</v>
      </c>
      <c r="F897" s="6" t="s">
        <v>2325</v>
      </c>
      <c r="G897" s="6" t="s">
        <v>2504</v>
      </c>
      <c r="H897" s="16" t="n">
        <v>500</v>
      </c>
      <c r="I897" s="6" t="str">
        <f aca="false">'Dish Database'!I259</f>
        <v>g</v>
      </c>
      <c r="J897" s="13" t="n">
        <f aca="false">'Dish Database'!J259*H897/100</f>
        <v>555</v>
      </c>
      <c r="K897" s="17" t="n">
        <f aca="false">'Dish Database'!K259*H897/100</f>
        <v>45</v>
      </c>
      <c r="L897" s="17" t="n">
        <f aca="false">'Dish Database'!L259*H897/100</f>
        <v>45</v>
      </c>
      <c r="M897" s="17" t="n">
        <f aca="false">'Dish Database'!M259*H897/100</f>
        <v>25</v>
      </c>
      <c r="N897" s="17" t="n">
        <f aca="false">'Dish Database'!N259*H897/100</f>
        <v>15</v>
      </c>
      <c r="O897" s="17" t="n">
        <f aca="false">'Dish Database'!O259*H897/100</f>
        <v>12.5</v>
      </c>
      <c r="P897" s="13" t="n">
        <f aca="false">'Dish Database'!P259*H897/100</f>
        <v>1900</v>
      </c>
    </row>
    <row r="898" customFormat="false" ht="15" hidden="false" customHeight="false" outlineLevel="0" collapsed="false">
      <c r="A898" s="6" t="str">
        <f aca="false">'Dish Database'!A260</f>
        <v>D259</v>
      </c>
      <c r="B898" s="6" t="str">
        <f aca="false">'Dish Database'!B260</f>
        <v>Gatte ki sabzi</v>
      </c>
      <c r="C898" s="6" t="str">
        <f aca="false">'Dish Database'!D260</f>
        <v>Dal &amp; Legumes</v>
      </c>
      <c r="D898" s="6" t="str">
        <f aca="false">'Dish Database'!F260</f>
        <v>Veg</v>
      </c>
      <c r="E898" s="6" t="str">
        <f aca="false">'Dish Database'!E260</f>
        <v>West</v>
      </c>
      <c r="F898" s="6" t="s">
        <v>2243</v>
      </c>
      <c r="G898" s="6" t="s">
        <v>2500</v>
      </c>
      <c r="H898" s="16" t="n">
        <v>100</v>
      </c>
      <c r="I898" s="6" t="str">
        <f aca="false">'Dish Database'!I260</f>
        <v>g</v>
      </c>
      <c r="J898" s="13" t="n">
        <f aca="false">'Dish Database'!J260*H898/100</f>
        <v>156</v>
      </c>
      <c r="K898" s="17" t="n">
        <f aca="false">'Dish Database'!K260*H898/100</f>
        <v>6</v>
      </c>
      <c r="L898" s="17" t="n">
        <f aca="false">'Dish Database'!L260*H898/100</f>
        <v>14</v>
      </c>
      <c r="M898" s="17" t="n">
        <f aca="false">'Dish Database'!M260*H898/100</f>
        <v>9</v>
      </c>
      <c r="N898" s="17" t="n">
        <f aca="false">'Dish Database'!N260*H898/100</f>
        <v>2.5</v>
      </c>
      <c r="O898" s="17" t="n">
        <f aca="false">'Dish Database'!O260*H898/100</f>
        <v>2.5</v>
      </c>
      <c r="P898" s="13" t="n">
        <f aca="false">'Dish Database'!P260*H898/100</f>
        <v>400</v>
      </c>
    </row>
    <row r="899" customFormat="false" ht="15" hidden="false" customHeight="false" outlineLevel="0" collapsed="false">
      <c r="A899" s="6" t="str">
        <f aca="false">'Dish Database'!A260</f>
        <v>D259</v>
      </c>
      <c r="B899" s="6" t="str">
        <f aca="false">'Dish Database'!B260</f>
        <v>Gatte ki sabzi</v>
      </c>
      <c r="C899" s="6" t="str">
        <f aca="false">'Dish Database'!D260</f>
        <v>Dal &amp; Legumes</v>
      </c>
      <c r="D899" s="6" t="str">
        <f aca="false">'Dish Database'!F260</f>
        <v>Veg</v>
      </c>
      <c r="E899" s="6" t="str">
        <f aca="false">'Dish Database'!E260</f>
        <v>West</v>
      </c>
      <c r="F899" s="6" t="s">
        <v>103</v>
      </c>
      <c r="G899" s="6" t="s">
        <v>2501</v>
      </c>
      <c r="H899" s="16" t="n">
        <v>150</v>
      </c>
      <c r="I899" s="6" t="str">
        <f aca="false">'Dish Database'!I260</f>
        <v>g</v>
      </c>
      <c r="J899" s="13" t="n">
        <f aca="false">'Dish Database'!J260*H899/100</f>
        <v>234</v>
      </c>
      <c r="K899" s="17" t="n">
        <f aca="false">'Dish Database'!K260*H899/100</f>
        <v>9</v>
      </c>
      <c r="L899" s="17" t="n">
        <f aca="false">'Dish Database'!L260*H899/100</f>
        <v>21</v>
      </c>
      <c r="M899" s="17" t="n">
        <f aca="false">'Dish Database'!M260*H899/100</f>
        <v>13.5</v>
      </c>
      <c r="N899" s="17" t="n">
        <f aca="false">'Dish Database'!N260*H899/100</f>
        <v>3.75</v>
      </c>
      <c r="O899" s="17" t="n">
        <f aca="false">'Dish Database'!O260*H899/100</f>
        <v>3.75</v>
      </c>
      <c r="P899" s="13" t="n">
        <f aca="false">'Dish Database'!P260*H899/100</f>
        <v>600</v>
      </c>
    </row>
    <row r="900" customFormat="false" ht="15" hidden="false" customHeight="false" outlineLevel="0" collapsed="false">
      <c r="A900" s="6" t="str">
        <f aca="false">'Dish Database'!A260</f>
        <v>D259</v>
      </c>
      <c r="B900" s="6" t="str">
        <f aca="false">'Dish Database'!B260</f>
        <v>Gatte ki sabzi</v>
      </c>
      <c r="C900" s="6" t="str">
        <f aca="false">'Dish Database'!D260</f>
        <v>Dal &amp; Legumes</v>
      </c>
      <c r="D900" s="6" t="str">
        <f aca="false">'Dish Database'!F260</f>
        <v>Veg</v>
      </c>
      <c r="E900" s="6" t="str">
        <f aca="false">'Dish Database'!E260</f>
        <v>West</v>
      </c>
      <c r="F900" s="6" t="s">
        <v>2246</v>
      </c>
      <c r="G900" s="6" t="s">
        <v>2502</v>
      </c>
      <c r="H900" s="16" t="n">
        <v>200</v>
      </c>
      <c r="I900" s="6" t="str">
        <f aca="false">'Dish Database'!I260</f>
        <v>g</v>
      </c>
      <c r="J900" s="13" t="n">
        <f aca="false">'Dish Database'!J260*H900/100</f>
        <v>312</v>
      </c>
      <c r="K900" s="17" t="n">
        <f aca="false">'Dish Database'!K260*H900/100</f>
        <v>12</v>
      </c>
      <c r="L900" s="17" t="n">
        <f aca="false">'Dish Database'!L260*H900/100</f>
        <v>28</v>
      </c>
      <c r="M900" s="17" t="n">
        <f aca="false">'Dish Database'!M260*H900/100</f>
        <v>18</v>
      </c>
      <c r="N900" s="17" t="n">
        <f aca="false">'Dish Database'!N260*H900/100</f>
        <v>5</v>
      </c>
      <c r="O900" s="17" t="n">
        <f aca="false">'Dish Database'!O260*H900/100</f>
        <v>5</v>
      </c>
      <c r="P900" s="13" t="n">
        <f aca="false">'Dish Database'!P260*H900/100</f>
        <v>800</v>
      </c>
    </row>
    <row r="901" customFormat="false" ht="15" hidden="false" customHeight="false" outlineLevel="0" collapsed="false">
      <c r="A901" s="6" t="str">
        <f aca="false">'Dish Database'!A260</f>
        <v>D259</v>
      </c>
      <c r="B901" s="6" t="str">
        <f aca="false">'Dish Database'!B260</f>
        <v>Gatte ki sabzi</v>
      </c>
      <c r="C901" s="6" t="str">
        <f aca="false">'Dish Database'!D260</f>
        <v>Dal &amp; Legumes</v>
      </c>
      <c r="D901" s="6" t="str">
        <f aca="false">'Dish Database'!F260</f>
        <v>Veg</v>
      </c>
      <c r="E901" s="6" t="str">
        <f aca="false">'Dish Database'!E260</f>
        <v>West</v>
      </c>
      <c r="F901" s="6" t="s">
        <v>2323</v>
      </c>
      <c r="G901" s="6" t="s">
        <v>2503</v>
      </c>
      <c r="H901" s="16" t="n">
        <v>250</v>
      </c>
      <c r="I901" s="6" t="str">
        <f aca="false">'Dish Database'!I260</f>
        <v>g</v>
      </c>
      <c r="J901" s="13" t="n">
        <f aca="false">'Dish Database'!J260*H901/100</f>
        <v>390</v>
      </c>
      <c r="K901" s="17" t="n">
        <f aca="false">'Dish Database'!K260*H901/100</f>
        <v>15</v>
      </c>
      <c r="L901" s="17" t="n">
        <f aca="false">'Dish Database'!L260*H901/100</f>
        <v>35</v>
      </c>
      <c r="M901" s="17" t="n">
        <f aca="false">'Dish Database'!M260*H901/100</f>
        <v>22.5</v>
      </c>
      <c r="N901" s="17" t="n">
        <f aca="false">'Dish Database'!N260*H901/100</f>
        <v>6.25</v>
      </c>
      <c r="O901" s="17" t="n">
        <f aca="false">'Dish Database'!O260*H901/100</f>
        <v>6.25</v>
      </c>
      <c r="P901" s="13" t="n">
        <f aca="false">'Dish Database'!P260*H901/100</f>
        <v>1000</v>
      </c>
    </row>
    <row r="902" customFormat="false" ht="15" hidden="false" customHeight="false" outlineLevel="0" collapsed="false">
      <c r="A902" s="6" t="str">
        <f aca="false">'Dish Database'!A260</f>
        <v>D259</v>
      </c>
      <c r="B902" s="6" t="str">
        <f aca="false">'Dish Database'!B260</f>
        <v>Gatte ki sabzi</v>
      </c>
      <c r="C902" s="6" t="str">
        <f aca="false">'Dish Database'!D260</f>
        <v>Dal &amp; Legumes</v>
      </c>
      <c r="D902" s="6" t="str">
        <f aca="false">'Dish Database'!F260</f>
        <v>Veg</v>
      </c>
      <c r="E902" s="6" t="str">
        <f aca="false">'Dish Database'!E260</f>
        <v>West</v>
      </c>
      <c r="F902" s="6" t="s">
        <v>2325</v>
      </c>
      <c r="G902" s="6" t="s">
        <v>2504</v>
      </c>
      <c r="H902" s="16" t="n">
        <v>500</v>
      </c>
      <c r="I902" s="6" t="str">
        <f aca="false">'Dish Database'!I260</f>
        <v>g</v>
      </c>
      <c r="J902" s="13" t="n">
        <f aca="false">'Dish Database'!J260*H902/100</f>
        <v>780</v>
      </c>
      <c r="K902" s="17" t="n">
        <f aca="false">'Dish Database'!K260*H902/100</f>
        <v>30</v>
      </c>
      <c r="L902" s="17" t="n">
        <f aca="false">'Dish Database'!L260*H902/100</f>
        <v>70</v>
      </c>
      <c r="M902" s="17" t="n">
        <f aca="false">'Dish Database'!M260*H902/100</f>
        <v>45</v>
      </c>
      <c r="N902" s="17" t="n">
        <f aca="false">'Dish Database'!N260*H902/100</f>
        <v>12.5</v>
      </c>
      <c r="O902" s="17" t="n">
        <f aca="false">'Dish Database'!O260*H902/100</f>
        <v>12.5</v>
      </c>
      <c r="P902" s="13" t="n">
        <f aca="false">'Dish Database'!P260*H902/100</f>
        <v>2000</v>
      </c>
    </row>
    <row r="903" customFormat="false" ht="15" hidden="false" customHeight="false" outlineLevel="0" collapsed="false">
      <c r="A903" s="6" t="str">
        <f aca="false">'Dish Database'!A261</f>
        <v>D260</v>
      </c>
      <c r="B903" s="6" t="str">
        <f aca="false">'Dish Database'!B261</f>
        <v>Paneer butter masala</v>
      </c>
      <c r="C903" s="6" t="str">
        <f aca="false">'Dish Database'!D261</f>
        <v>Veg Curries (Gravy)</v>
      </c>
      <c r="D903" s="6" t="str">
        <f aca="false">'Dish Database'!F261</f>
        <v>Veg</v>
      </c>
      <c r="E903" s="6" t="str">
        <f aca="false">'Dish Database'!E261</f>
        <v>North</v>
      </c>
      <c r="F903" s="6" t="s">
        <v>2243</v>
      </c>
      <c r="G903" s="6" t="s">
        <v>2500</v>
      </c>
      <c r="H903" s="16" t="n">
        <v>100</v>
      </c>
      <c r="I903" s="6" t="str">
        <f aca="false">'Dish Database'!I261</f>
        <v>g</v>
      </c>
      <c r="J903" s="13" t="n">
        <f aca="false">'Dish Database'!J261*H903/100</f>
        <v>194.6</v>
      </c>
      <c r="K903" s="17" t="n">
        <f aca="false">'Dish Database'!K261*H903/100</f>
        <v>7.5</v>
      </c>
      <c r="L903" s="17" t="n">
        <f aca="false">'Dish Database'!L261*H903/100</f>
        <v>8</v>
      </c>
      <c r="M903" s="17" t="n">
        <f aca="false">'Dish Database'!M261*H903/100</f>
        <v>15</v>
      </c>
      <c r="N903" s="17" t="n">
        <f aca="false">'Dish Database'!N261*H903/100</f>
        <v>1.2</v>
      </c>
      <c r="O903" s="17" t="n">
        <f aca="false">'Dish Database'!O261*H903/100</f>
        <v>4</v>
      </c>
      <c r="P903" s="13" t="n">
        <f aca="false">'Dish Database'!P261*H903/100</f>
        <v>450</v>
      </c>
    </row>
    <row r="904" customFormat="false" ht="15" hidden="false" customHeight="false" outlineLevel="0" collapsed="false">
      <c r="A904" s="6" t="str">
        <f aca="false">'Dish Database'!A261</f>
        <v>D260</v>
      </c>
      <c r="B904" s="6" t="str">
        <f aca="false">'Dish Database'!B261</f>
        <v>Paneer butter masala</v>
      </c>
      <c r="C904" s="6" t="str">
        <f aca="false">'Dish Database'!D261</f>
        <v>Veg Curries (Gravy)</v>
      </c>
      <c r="D904" s="6" t="str">
        <f aca="false">'Dish Database'!F261</f>
        <v>Veg</v>
      </c>
      <c r="E904" s="6" t="str">
        <f aca="false">'Dish Database'!E261</f>
        <v>North</v>
      </c>
      <c r="F904" s="6" t="s">
        <v>103</v>
      </c>
      <c r="G904" s="6" t="s">
        <v>2501</v>
      </c>
      <c r="H904" s="16" t="n">
        <v>150</v>
      </c>
      <c r="I904" s="6" t="str">
        <f aca="false">'Dish Database'!I261</f>
        <v>g</v>
      </c>
      <c r="J904" s="13" t="n">
        <f aca="false">'Dish Database'!J261*H904/100</f>
        <v>291.9</v>
      </c>
      <c r="K904" s="17" t="n">
        <f aca="false">'Dish Database'!K261*H904/100</f>
        <v>11.25</v>
      </c>
      <c r="L904" s="17" t="n">
        <f aca="false">'Dish Database'!L261*H904/100</f>
        <v>12</v>
      </c>
      <c r="M904" s="17" t="n">
        <f aca="false">'Dish Database'!M261*H904/100</f>
        <v>22.5</v>
      </c>
      <c r="N904" s="17" t="n">
        <f aca="false">'Dish Database'!N261*H904/100</f>
        <v>1.8</v>
      </c>
      <c r="O904" s="17" t="n">
        <f aca="false">'Dish Database'!O261*H904/100</f>
        <v>6</v>
      </c>
      <c r="P904" s="13" t="n">
        <f aca="false">'Dish Database'!P261*H904/100</f>
        <v>675</v>
      </c>
    </row>
    <row r="905" customFormat="false" ht="15" hidden="false" customHeight="false" outlineLevel="0" collapsed="false">
      <c r="A905" s="6" t="str">
        <f aca="false">'Dish Database'!A261</f>
        <v>D260</v>
      </c>
      <c r="B905" s="6" t="str">
        <f aca="false">'Dish Database'!B261</f>
        <v>Paneer butter masala</v>
      </c>
      <c r="C905" s="6" t="str">
        <f aca="false">'Dish Database'!D261</f>
        <v>Veg Curries (Gravy)</v>
      </c>
      <c r="D905" s="6" t="str">
        <f aca="false">'Dish Database'!F261</f>
        <v>Veg</v>
      </c>
      <c r="E905" s="6" t="str">
        <f aca="false">'Dish Database'!E261</f>
        <v>North</v>
      </c>
      <c r="F905" s="6" t="s">
        <v>2246</v>
      </c>
      <c r="G905" s="6" t="s">
        <v>2502</v>
      </c>
      <c r="H905" s="16" t="n">
        <v>200</v>
      </c>
      <c r="I905" s="6" t="str">
        <f aca="false">'Dish Database'!I261</f>
        <v>g</v>
      </c>
      <c r="J905" s="13" t="n">
        <f aca="false">'Dish Database'!J261*H905/100</f>
        <v>389.2</v>
      </c>
      <c r="K905" s="17" t="n">
        <f aca="false">'Dish Database'!K261*H905/100</f>
        <v>15</v>
      </c>
      <c r="L905" s="17" t="n">
        <f aca="false">'Dish Database'!L261*H905/100</f>
        <v>16</v>
      </c>
      <c r="M905" s="17" t="n">
        <f aca="false">'Dish Database'!M261*H905/100</f>
        <v>30</v>
      </c>
      <c r="N905" s="17" t="n">
        <f aca="false">'Dish Database'!N261*H905/100</f>
        <v>2.4</v>
      </c>
      <c r="O905" s="17" t="n">
        <f aca="false">'Dish Database'!O261*H905/100</f>
        <v>8</v>
      </c>
      <c r="P905" s="13" t="n">
        <f aca="false">'Dish Database'!P261*H905/100</f>
        <v>900</v>
      </c>
    </row>
    <row r="906" customFormat="false" ht="15" hidden="false" customHeight="false" outlineLevel="0" collapsed="false">
      <c r="A906" s="6" t="str">
        <f aca="false">'Dish Database'!A261</f>
        <v>D260</v>
      </c>
      <c r="B906" s="6" t="str">
        <f aca="false">'Dish Database'!B261</f>
        <v>Paneer butter masala</v>
      </c>
      <c r="C906" s="6" t="str">
        <f aca="false">'Dish Database'!D261</f>
        <v>Veg Curries (Gravy)</v>
      </c>
      <c r="D906" s="6" t="str">
        <f aca="false">'Dish Database'!F261</f>
        <v>Veg</v>
      </c>
      <c r="E906" s="6" t="str">
        <f aca="false">'Dish Database'!E261</f>
        <v>North</v>
      </c>
      <c r="F906" s="6" t="s">
        <v>2323</v>
      </c>
      <c r="G906" s="6" t="s">
        <v>2503</v>
      </c>
      <c r="H906" s="16" t="n">
        <v>250</v>
      </c>
      <c r="I906" s="6" t="str">
        <f aca="false">'Dish Database'!I261</f>
        <v>g</v>
      </c>
      <c r="J906" s="13" t="n">
        <f aca="false">'Dish Database'!J261*H906/100</f>
        <v>486.5</v>
      </c>
      <c r="K906" s="17" t="n">
        <f aca="false">'Dish Database'!K261*H906/100</f>
        <v>18.75</v>
      </c>
      <c r="L906" s="17" t="n">
        <f aca="false">'Dish Database'!L261*H906/100</f>
        <v>20</v>
      </c>
      <c r="M906" s="17" t="n">
        <f aca="false">'Dish Database'!M261*H906/100</f>
        <v>37.5</v>
      </c>
      <c r="N906" s="17" t="n">
        <f aca="false">'Dish Database'!N261*H906/100</f>
        <v>3</v>
      </c>
      <c r="O906" s="17" t="n">
        <f aca="false">'Dish Database'!O261*H906/100</f>
        <v>10</v>
      </c>
      <c r="P906" s="13" t="n">
        <f aca="false">'Dish Database'!P261*H906/100</f>
        <v>1125</v>
      </c>
    </row>
    <row r="907" customFormat="false" ht="15" hidden="false" customHeight="false" outlineLevel="0" collapsed="false">
      <c r="A907" s="6" t="str">
        <f aca="false">'Dish Database'!A261</f>
        <v>D260</v>
      </c>
      <c r="B907" s="6" t="str">
        <f aca="false">'Dish Database'!B261</f>
        <v>Paneer butter masala</v>
      </c>
      <c r="C907" s="6" t="str">
        <f aca="false">'Dish Database'!D261</f>
        <v>Veg Curries (Gravy)</v>
      </c>
      <c r="D907" s="6" t="str">
        <f aca="false">'Dish Database'!F261</f>
        <v>Veg</v>
      </c>
      <c r="E907" s="6" t="str">
        <f aca="false">'Dish Database'!E261</f>
        <v>North</v>
      </c>
      <c r="F907" s="6" t="s">
        <v>2325</v>
      </c>
      <c r="G907" s="6" t="s">
        <v>2504</v>
      </c>
      <c r="H907" s="16" t="n">
        <v>500</v>
      </c>
      <c r="I907" s="6" t="str">
        <f aca="false">'Dish Database'!I261</f>
        <v>g</v>
      </c>
      <c r="J907" s="13" t="n">
        <f aca="false">'Dish Database'!J261*H907/100</f>
        <v>973</v>
      </c>
      <c r="K907" s="17" t="n">
        <f aca="false">'Dish Database'!K261*H907/100</f>
        <v>37.5</v>
      </c>
      <c r="L907" s="17" t="n">
        <f aca="false">'Dish Database'!L261*H907/100</f>
        <v>40</v>
      </c>
      <c r="M907" s="17" t="n">
        <f aca="false">'Dish Database'!M261*H907/100</f>
        <v>75</v>
      </c>
      <c r="N907" s="17" t="n">
        <f aca="false">'Dish Database'!N261*H907/100</f>
        <v>6</v>
      </c>
      <c r="O907" s="17" t="n">
        <f aca="false">'Dish Database'!O261*H907/100</f>
        <v>20</v>
      </c>
      <c r="P907" s="13" t="n">
        <f aca="false">'Dish Database'!P261*H907/100</f>
        <v>2250</v>
      </c>
    </row>
    <row r="908" customFormat="false" ht="15" hidden="false" customHeight="false" outlineLevel="0" collapsed="false">
      <c r="A908" s="6" t="str">
        <f aca="false">'Dish Database'!A262</f>
        <v>D261</v>
      </c>
      <c r="B908" s="6" t="str">
        <f aca="false">'Dish Database'!B262</f>
        <v>Shahi paneer</v>
      </c>
      <c r="C908" s="6" t="str">
        <f aca="false">'Dish Database'!D262</f>
        <v>Veg Curries (Gravy)</v>
      </c>
      <c r="D908" s="6" t="str">
        <f aca="false">'Dish Database'!F262</f>
        <v>Veg</v>
      </c>
      <c r="E908" s="6" t="str">
        <f aca="false">'Dish Database'!E262</f>
        <v>North</v>
      </c>
      <c r="F908" s="6" t="s">
        <v>2243</v>
      </c>
      <c r="G908" s="6" t="s">
        <v>2500</v>
      </c>
      <c r="H908" s="16" t="n">
        <v>100</v>
      </c>
      <c r="I908" s="6" t="str">
        <f aca="false">'Dish Database'!I262</f>
        <v>g</v>
      </c>
      <c r="J908" s="13" t="n">
        <f aca="false">'Dish Database'!J262*H908/100</f>
        <v>206</v>
      </c>
      <c r="K908" s="17" t="n">
        <f aca="false">'Dish Database'!K262*H908/100</f>
        <v>7.5</v>
      </c>
      <c r="L908" s="17" t="n">
        <f aca="false">'Dish Database'!L262*H908/100</f>
        <v>8.5</v>
      </c>
      <c r="M908" s="17" t="n">
        <f aca="false">'Dish Database'!M262*H908/100</f>
        <v>16</v>
      </c>
      <c r="N908" s="17" t="n">
        <f aca="false">'Dish Database'!N262*H908/100</f>
        <v>1</v>
      </c>
      <c r="O908" s="17" t="n">
        <f aca="false">'Dish Database'!O262*H908/100</f>
        <v>4.5</v>
      </c>
      <c r="P908" s="13" t="n">
        <f aca="false">'Dish Database'!P262*H908/100</f>
        <v>450</v>
      </c>
    </row>
    <row r="909" customFormat="false" ht="15" hidden="false" customHeight="false" outlineLevel="0" collapsed="false">
      <c r="A909" s="6" t="str">
        <f aca="false">'Dish Database'!A262</f>
        <v>D261</v>
      </c>
      <c r="B909" s="6" t="str">
        <f aca="false">'Dish Database'!B262</f>
        <v>Shahi paneer</v>
      </c>
      <c r="C909" s="6" t="str">
        <f aca="false">'Dish Database'!D262</f>
        <v>Veg Curries (Gravy)</v>
      </c>
      <c r="D909" s="6" t="str">
        <f aca="false">'Dish Database'!F262</f>
        <v>Veg</v>
      </c>
      <c r="E909" s="6" t="str">
        <f aca="false">'Dish Database'!E262</f>
        <v>North</v>
      </c>
      <c r="F909" s="6" t="s">
        <v>103</v>
      </c>
      <c r="G909" s="6" t="s">
        <v>2501</v>
      </c>
      <c r="H909" s="16" t="n">
        <v>150</v>
      </c>
      <c r="I909" s="6" t="str">
        <f aca="false">'Dish Database'!I262</f>
        <v>g</v>
      </c>
      <c r="J909" s="13" t="n">
        <f aca="false">'Dish Database'!J262*H909/100</f>
        <v>309</v>
      </c>
      <c r="K909" s="17" t="n">
        <f aca="false">'Dish Database'!K262*H909/100</f>
        <v>11.25</v>
      </c>
      <c r="L909" s="17" t="n">
        <f aca="false">'Dish Database'!L262*H909/100</f>
        <v>12.75</v>
      </c>
      <c r="M909" s="17" t="n">
        <f aca="false">'Dish Database'!M262*H909/100</f>
        <v>24</v>
      </c>
      <c r="N909" s="17" t="n">
        <f aca="false">'Dish Database'!N262*H909/100</f>
        <v>1.5</v>
      </c>
      <c r="O909" s="17" t="n">
        <f aca="false">'Dish Database'!O262*H909/100</f>
        <v>6.75</v>
      </c>
      <c r="P909" s="13" t="n">
        <f aca="false">'Dish Database'!P262*H909/100</f>
        <v>675</v>
      </c>
    </row>
    <row r="910" customFormat="false" ht="15" hidden="false" customHeight="false" outlineLevel="0" collapsed="false">
      <c r="A910" s="6" t="str">
        <f aca="false">'Dish Database'!A262</f>
        <v>D261</v>
      </c>
      <c r="B910" s="6" t="str">
        <f aca="false">'Dish Database'!B262</f>
        <v>Shahi paneer</v>
      </c>
      <c r="C910" s="6" t="str">
        <f aca="false">'Dish Database'!D262</f>
        <v>Veg Curries (Gravy)</v>
      </c>
      <c r="D910" s="6" t="str">
        <f aca="false">'Dish Database'!F262</f>
        <v>Veg</v>
      </c>
      <c r="E910" s="6" t="str">
        <f aca="false">'Dish Database'!E262</f>
        <v>North</v>
      </c>
      <c r="F910" s="6" t="s">
        <v>2246</v>
      </c>
      <c r="G910" s="6" t="s">
        <v>2502</v>
      </c>
      <c r="H910" s="16" t="n">
        <v>200</v>
      </c>
      <c r="I910" s="6" t="str">
        <f aca="false">'Dish Database'!I262</f>
        <v>g</v>
      </c>
      <c r="J910" s="13" t="n">
        <f aca="false">'Dish Database'!J262*H910/100</f>
        <v>412</v>
      </c>
      <c r="K910" s="17" t="n">
        <f aca="false">'Dish Database'!K262*H910/100</f>
        <v>15</v>
      </c>
      <c r="L910" s="17" t="n">
        <f aca="false">'Dish Database'!L262*H910/100</f>
        <v>17</v>
      </c>
      <c r="M910" s="17" t="n">
        <f aca="false">'Dish Database'!M262*H910/100</f>
        <v>32</v>
      </c>
      <c r="N910" s="17" t="n">
        <f aca="false">'Dish Database'!N262*H910/100</f>
        <v>2</v>
      </c>
      <c r="O910" s="17" t="n">
        <f aca="false">'Dish Database'!O262*H910/100</f>
        <v>9</v>
      </c>
      <c r="P910" s="13" t="n">
        <f aca="false">'Dish Database'!P262*H910/100</f>
        <v>900</v>
      </c>
    </row>
    <row r="911" customFormat="false" ht="15" hidden="false" customHeight="false" outlineLevel="0" collapsed="false">
      <c r="A911" s="6" t="str">
        <f aca="false">'Dish Database'!A262</f>
        <v>D261</v>
      </c>
      <c r="B911" s="6" t="str">
        <f aca="false">'Dish Database'!B262</f>
        <v>Shahi paneer</v>
      </c>
      <c r="C911" s="6" t="str">
        <f aca="false">'Dish Database'!D262</f>
        <v>Veg Curries (Gravy)</v>
      </c>
      <c r="D911" s="6" t="str">
        <f aca="false">'Dish Database'!F262</f>
        <v>Veg</v>
      </c>
      <c r="E911" s="6" t="str">
        <f aca="false">'Dish Database'!E262</f>
        <v>North</v>
      </c>
      <c r="F911" s="6" t="s">
        <v>2323</v>
      </c>
      <c r="G911" s="6" t="s">
        <v>2503</v>
      </c>
      <c r="H911" s="16" t="n">
        <v>250</v>
      </c>
      <c r="I911" s="6" t="str">
        <f aca="false">'Dish Database'!I262</f>
        <v>g</v>
      </c>
      <c r="J911" s="13" t="n">
        <f aca="false">'Dish Database'!J262*H911/100</f>
        <v>515</v>
      </c>
      <c r="K911" s="17" t="n">
        <f aca="false">'Dish Database'!K262*H911/100</f>
        <v>18.75</v>
      </c>
      <c r="L911" s="17" t="n">
        <f aca="false">'Dish Database'!L262*H911/100</f>
        <v>21.25</v>
      </c>
      <c r="M911" s="17" t="n">
        <f aca="false">'Dish Database'!M262*H911/100</f>
        <v>40</v>
      </c>
      <c r="N911" s="17" t="n">
        <f aca="false">'Dish Database'!N262*H911/100</f>
        <v>2.5</v>
      </c>
      <c r="O911" s="17" t="n">
        <f aca="false">'Dish Database'!O262*H911/100</f>
        <v>11.25</v>
      </c>
      <c r="P911" s="13" t="n">
        <f aca="false">'Dish Database'!P262*H911/100</f>
        <v>1125</v>
      </c>
    </row>
    <row r="912" customFormat="false" ht="15" hidden="false" customHeight="false" outlineLevel="0" collapsed="false">
      <c r="A912" s="6" t="str">
        <f aca="false">'Dish Database'!A262</f>
        <v>D261</v>
      </c>
      <c r="B912" s="6" t="str">
        <f aca="false">'Dish Database'!B262</f>
        <v>Shahi paneer</v>
      </c>
      <c r="C912" s="6" t="str">
        <f aca="false">'Dish Database'!D262</f>
        <v>Veg Curries (Gravy)</v>
      </c>
      <c r="D912" s="6" t="str">
        <f aca="false">'Dish Database'!F262</f>
        <v>Veg</v>
      </c>
      <c r="E912" s="6" t="str">
        <f aca="false">'Dish Database'!E262</f>
        <v>North</v>
      </c>
      <c r="F912" s="6" t="s">
        <v>2325</v>
      </c>
      <c r="G912" s="6" t="s">
        <v>2504</v>
      </c>
      <c r="H912" s="16" t="n">
        <v>500</v>
      </c>
      <c r="I912" s="6" t="str">
        <f aca="false">'Dish Database'!I262</f>
        <v>g</v>
      </c>
      <c r="J912" s="13" t="n">
        <f aca="false">'Dish Database'!J262*H912/100</f>
        <v>1030</v>
      </c>
      <c r="K912" s="17" t="n">
        <f aca="false">'Dish Database'!K262*H912/100</f>
        <v>37.5</v>
      </c>
      <c r="L912" s="17" t="n">
        <f aca="false">'Dish Database'!L262*H912/100</f>
        <v>42.5</v>
      </c>
      <c r="M912" s="17" t="n">
        <f aca="false">'Dish Database'!M262*H912/100</f>
        <v>80</v>
      </c>
      <c r="N912" s="17" t="n">
        <f aca="false">'Dish Database'!N262*H912/100</f>
        <v>5</v>
      </c>
      <c r="O912" s="17" t="n">
        <f aca="false">'Dish Database'!O262*H912/100</f>
        <v>22.5</v>
      </c>
      <c r="P912" s="13" t="n">
        <f aca="false">'Dish Database'!P262*H912/100</f>
        <v>2250</v>
      </c>
    </row>
    <row r="913" customFormat="false" ht="15" hidden="false" customHeight="false" outlineLevel="0" collapsed="false">
      <c r="A913" s="6" t="str">
        <f aca="false">'Dish Database'!A263</f>
        <v>D262</v>
      </c>
      <c r="B913" s="6" t="str">
        <f aca="false">'Dish Database'!B263</f>
        <v>Kadai paneer</v>
      </c>
      <c r="C913" s="6" t="str">
        <f aca="false">'Dish Database'!D263</f>
        <v>Veg Curries (Gravy)</v>
      </c>
      <c r="D913" s="6" t="str">
        <f aca="false">'Dish Database'!F263</f>
        <v>Veg</v>
      </c>
      <c r="E913" s="6" t="str">
        <f aca="false">'Dish Database'!E263</f>
        <v>North</v>
      </c>
      <c r="F913" s="6" t="s">
        <v>2243</v>
      </c>
      <c r="G913" s="6" t="s">
        <v>2500</v>
      </c>
      <c r="H913" s="16" t="n">
        <v>100</v>
      </c>
      <c r="I913" s="6" t="str">
        <f aca="false">'Dish Database'!I263</f>
        <v>g</v>
      </c>
      <c r="J913" s="13" t="n">
        <f aca="false">'Dish Database'!J263*H913/100</f>
        <v>168.9</v>
      </c>
      <c r="K913" s="17" t="n">
        <f aca="false">'Dish Database'!K263*H913/100</f>
        <v>8</v>
      </c>
      <c r="L913" s="17" t="n">
        <f aca="false">'Dish Database'!L263*H913/100</f>
        <v>7</v>
      </c>
      <c r="M913" s="17" t="n">
        <f aca="false">'Dish Database'!M263*H913/100</f>
        <v>12.5</v>
      </c>
      <c r="N913" s="17" t="n">
        <f aca="false">'Dish Database'!N263*H913/100</f>
        <v>1.8</v>
      </c>
      <c r="O913" s="17" t="n">
        <f aca="false">'Dish Database'!O263*H913/100</f>
        <v>3</v>
      </c>
      <c r="P913" s="13" t="n">
        <f aca="false">'Dish Database'!P263*H913/100</f>
        <v>420</v>
      </c>
    </row>
    <row r="914" customFormat="false" ht="15" hidden="false" customHeight="false" outlineLevel="0" collapsed="false">
      <c r="A914" s="6" t="str">
        <f aca="false">'Dish Database'!A263</f>
        <v>D262</v>
      </c>
      <c r="B914" s="6" t="str">
        <f aca="false">'Dish Database'!B263</f>
        <v>Kadai paneer</v>
      </c>
      <c r="C914" s="6" t="str">
        <f aca="false">'Dish Database'!D263</f>
        <v>Veg Curries (Gravy)</v>
      </c>
      <c r="D914" s="6" t="str">
        <f aca="false">'Dish Database'!F263</f>
        <v>Veg</v>
      </c>
      <c r="E914" s="6" t="str">
        <f aca="false">'Dish Database'!E263</f>
        <v>North</v>
      </c>
      <c r="F914" s="6" t="s">
        <v>103</v>
      </c>
      <c r="G914" s="6" t="s">
        <v>2501</v>
      </c>
      <c r="H914" s="16" t="n">
        <v>150</v>
      </c>
      <c r="I914" s="6" t="str">
        <f aca="false">'Dish Database'!I263</f>
        <v>g</v>
      </c>
      <c r="J914" s="13" t="n">
        <f aca="false">'Dish Database'!J263*H914/100</f>
        <v>253.35</v>
      </c>
      <c r="K914" s="17" t="n">
        <f aca="false">'Dish Database'!K263*H914/100</f>
        <v>12</v>
      </c>
      <c r="L914" s="17" t="n">
        <f aca="false">'Dish Database'!L263*H914/100</f>
        <v>10.5</v>
      </c>
      <c r="M914" s="17" t="n">
        <f aca="false">'Dish Database'!M263*H914/100</f>
        <v>18.75</v>
      </c>
      <c r="N914" s="17" t="n">
        <f aca="false">'Dish Database'!N263*H914/100</f>
        <v>2.7</v>
      </c>
      <c r="O914" s="17" t="n">
        <f aca="false">'Dish Database'!O263*H914/100</f>
        <v>4.5</v>
      </c>
      <c r="P914" s="13" t="n">
        <f aca="false">'Dish Database'!P263*H914/100</f>
        <v>630</v>
      </c>
    </row>
    <row r="915" customFormat="false" ht="15" hidden="false" customHeight="false" outlineLevel="0" collapsed="false">
      <c r="A915" s="6" t="str">
        <f aca="false">'Dish Database'!A263</f>
        <v>D262</v>
      </c>
      <c r="B915" s="6" t="str">
        <f aca="false">'Dish Database'!B263</f>
        <v>Kadai paneer</v>
      </c>
      <c r="C915" s="6" t="str">
        <f aca="false">'Dish Database'!D263</f>
        <v>Veg Curries (Gravy)</v>
      </c>
      <c r="D915" s="6" t="str">
        <f aca="false">'Dish Database'!F263</f>
        <v>Veg</v>
      </c>
      <c r="E915" s="6" t="str">
        <f aca="false">'Dish Database'!E263</f>
        <v>North</v>
      </c>
      <c r="F915" s="6" t="s">
        <v>2246</v>
      </c>
      <c r="G915" s="6" t="s">
        <v>2502</v>
      </c>
      <c r="H915" s="16" t="n">
        <v>200</v>
      </c>
      <c r="I915" s="6" t="str">
        <f aca="false">'Dish Database'!I263</f>
        <v>g</v>
      </c>
      <c r="J915" s="13" t="n">
        <f aca="false">'Dish Database'!J263*H915/100</f>
        <v>337.8</v>
      </c>
      <c r="K915" s="17" t="n">
        <f aca="false">'Dish Database'!K263*H915/100</f>
        <v>16</v>
      </c>
      <c r="L915" s="17" t="n">
        <f aca="false">'Dish Database'!L263*H915/100</f>
        <v>14</v>
      </c>
      <c r="M915" s="17" t="n">
        <f aca="false">'Dish Database'!M263*H915/100</f>
        <v>25</v>
      </c>
      <c r="N915" s="17" t="n">
        <f aca="false">'Dish Database'!N263*H915/100</f>
        <v>3.6</v>
      </c>
      <c r="O915" s="17" t="n">
        <f aca="false">'Dish Database'!O263*H915/100</f>
        <v>6</v>
      </c>
      <c r="P915" s="13" t="n">
        <f aca="false">'Dish Database'!P263*H915/100</f>
        <v>840</v>
      </c>
    </row>
    <row r="916" customFormat="false" ht="15" hidden="false" customHeight="false" outlineLevel="0" collapsed="false">
      <c r="A916" s="6" t="str">
        <f aca="false">'Dish Database'!A263</f>
        <v>D262</v>
      </c>
      <c r="B916" s="6" t="str">
        <f aca="false">'Dish Database'!B263</f>
        <v>Kadai paneer</v>
      </c>
      <c r="C916" s="6" t="str">
        <f aca="false">'Dish Database'!D263</f>
        <v>Veg Curries (Gravy)</v>
      </c>
      <c r="D916" s="6" t="str">
        <f aca="false">'Dish Database'!F263</f>
        <v>Veg</v>
      </c>
      <c r="E916" s="6" t="str">
        <f aca="false">'Dish Database'!E263</f>
        <v>North</v>
      </c>
      <c r="F916" s="6" t="s">
        <v>2323</v>
      </c>
      <c r="G916" s="6" t="s">
        <v>2503</v>
      </c>
      <c r="H916" s="16" t="n">
        <v>250</v>
      </c>
      <c r="I916" s="6" t="str">
        <f aca="false">'Dish Database'!I263</f>
        <v>g</v>
      </c>
      <c r="J916" s="13" t="n">
        <f aca="false">'Dish Database'!J263*H916/100</f>
        <v>422.25</v>
      </c>
      <c r="K916" s="17" t="n">
        <f aca="false">'Dish Database'!K263*H916/100</f>
        <v>20</v>
      </c>
      <c r="L916" s="17" t="n">
        <f aca="false">'Dish Database'!L263*H916/100</f>
        <v>17.5</v>
      </c>
      <c r="M916" s="17" t="n">
        <f aca="false">'Dish Database'!M263*H916/100</f>
        <v>31.25</v>
      </c>
      <c r="N916" s="17" t="n">
        <f aca="false">'Dish Database'!N263*H916/100</f>
        <v>4.5</v>
      </c>
      <c r="O916" s="17" t="n">
        <f aca="false">'Dish Database'!O263*H916/100</f>
        <v>7.5</v>
      </c>
      <c r="P916" s="13" t="n">
        <f aca="false">'Dish Database'!P263*H916/100</f>
        <v>1050</v>
      </c>
    </row>
    <row r="917" customFormat="false" ht="15" hidden="false" customHeight="false" outlineLevel="0" collapsed="false">
      <c r="A917" s="6" t="str">
        <f aca="false">'Dish Database'!A263</f>
        <v>D262</v>
      </c>
      <c r="B917" s="6" t="str">
        <f aca="false">'Dish Database'!B263</f>
        <v>Kadai paneer</v>
      </c>
      <c r="C917" s="6" t="str">
        <f aca="false">'Dish Database'!D263</f>
        <v>Veg Curries (Gravy)</v>
      </c>
      <c r="D917" s="6" t="str">
        <f aca="false">'Dish Database'!F263</f>
        <v>Veg</v>
      </c>
      <c r="E917" s="6" t="str">
        <f aca="false">'Dish Database'!E263</f>
        <v>North</v>
      </c>
      <c r="F917" s="6" t="s">
        <v>2325</v>
      </c>
      <c r="G917" s="6" t="s">
        <v>2504</v>
      </c>
      <c r="H917" s="16" t="n">
        <v>500</v>
      </c>
      <c r="I917" s="6" t="str">
        <f aca="false">'Dish Database'!I263</f>
        <v>g</v>
      </c>
      <c r="J917" s="13" t="n">
        <f aca="false">'Dish Database'!J263*H917/100</f>
        <v>844.5</v>
      </c>
      <c r="K917" s="17" t="n">
        <f aca="false">'Dish Database'!K263*H917/100</f>
        <v>40</v>
      </c>
      <c r="L917" s="17" t="n">
        <f aca="false">'Dish Database'!L263*H917/100</f>
        <v>35</v>
      </c>
      <c r="M917" s="17" t="n">
        <f aca="false">'Dish Database'!M263*H917/100</f>
        <v>62.5</v>
      </c>
      <c r="N917" s="17" t="n">
        <f aca="false">'Dish Database'!N263*H917/100</f>
        <v>9</v>
      </c>
      <c r="O917" s="17" t="n">
        <f aca="false">'Dish Database'!O263*H917/100</f>
        <v>15</v>
      </c>
      <c r="P917" s="13" t="n">
        <f aca="false">'Dish Database'!P263*H917/100</f>
        <v>2100</v>
      </c>
    </row>
    <row r="918" customFormat="false" ht="15" hidden="false" customHeight="false" outlineLevel="0" collapsed="false">
      <c r="A918" s="6" t="str">
        <f aca="false">'Dish Database'!A264</f>
        <v>D263</v>
      </c>
      <c r="B918" s="6" t="str">
        <f aca="false">'Dish Database'!B264</f>
        <v>Palak paneer</v>
      </c>
      <c r="C918" s="6" t="str">
        <f aca="false">'Dish Database'!D264</f>
        <v>Veg Curries (Gravy)</v>
      </c>
      <c r="D918" s="6" t="str">
        <f aca="false">'Dish Database'!F264</f>
        <v>Veg</v>
      </c>
      <c r="E918" s="6" t="str">
        <f aca="false">'Dish Database'!E264</f>
        <v>North</v>
      </c>
      <c r="F918" s="6" t="s">
        <v>2243</v>
      </c>
      <c r="G918" s="6" t="s">
        <v>2500</v>
      </c>
      <c r="H918" s="16" t="n">
        <v>100</v>
      </c>
      <c r="I918" s="6" t="str">
        <f aca="false">'Dish Database'!I264</f>
        <v>g</v>
      </c>
      <c r="J918" s="13" t="n">
        <f aca="false">'Dish Database'!J264*H918/100</f>
        <v>135.6</v>
      </c>
      <c r="K918" s="17" t="n">
        <f aca="false">'Dish Database'!K264*H918/100</f>
        <v>6.5</v>
      </c>
      <c r="L918" s="17" t="n">
        <f aca="false">'Dish Database'!L264*H918/100</f>
        <v>6</v>
      </c>
      <c r="M918" s="17" t="n">
        <f aca="false">'Dish Database'!M264*H918/100</f>
        <v>10</v>
      </c>
      <c r="N918" s="17" t="n">
        <f aca="false">'Dish Database'!N264*H918/100</f>
        <v>2.2</v>
      </c>
      <c r="O918" s="17" t="n">
        <f aca="false">'Dish Database'!O264*H918/100</f>
        <v>1.5</v>
      </c>
      <c r="P918" s="13" t="n">
        <f aca="false">'Dish Database'!P264*H918/100</f>
        <v>380</v>
      </c>
    </row>
    <row r="919" customFormat="false" ht="15" hidden="false" customHeight="false" outlineLevel="0" collapsed="false">
      <c r="A919" s="6" t="str">
        <f aca="false">'Dish Database'!A264</f>
        <v>D263</v>
      </c>
      <c r="B919" s="6" t="str">
        <f aca="false">'Dish Database'!B264</f>
        <v>Palak paneer</v>
      </c>
      <c r="C919" s="6" t="str">
        <f aca="false">'Dish Database'!D264</f>
        <v>Veg Curries (Gravy)</v>
      </c>
      <c r="D919" s="6" t="str">
        <f aca="false">'Dish Database'!F264</f>
        <v>Veg</v>
      </c>
      <c r="E919" s="6" t="str">
        <f aca="false">'Dish Database'!E264</f>
        <v>North</v>
      </c>
      <c r="F919" s="6" t="s">
        <v>103</v>
      </c>
      <c r="G919" s="6" t="s">
        <v>2501</v>
      </c>
      <c r="H919" s="16" t="n">
        <v>150</v>
      </c>
      <c r="I919" s="6" t="str">
        <f aca="false">'Dish Database'!I264</f>
        <v>g</v>
      </c>
      <c r="J919" s="13" t="n">
        <f aca="false">'Dish Database'!J264*H919/100</f>
        <v>203.4</v>
      </c>
      <c r="K919" s="17" t="n">
        <f aca="false">'Dish Database'!K264*H919/100</f>
        <v>9.75</v>
      </c>
      <c r="L919" s="17" t="n">
        <f aca="false">'Dish Database'!L264*H919/100</f>
        <v>9</v>
      </c>
      <c r="M919" s="17" t="n">
        <f aca="false">'Dish Database'!M264*H919/100</f>
        <v>15</v>
      </c>
      <c r="N919" s="17" t="n">
        <f aca="false">'Dish Database'!N264*H919/100</f>
        <v>3.3</v>
      </c>
      <c r="O919" s="17" t="n">
        <f aca="false">'Dish Database'!O264*H919/100</f>
        <v>2.25</v>
      </c>
      <c r="P919" s="13" t="n">
        <f aca="false">'Dish Database'!P264*H919/100</f>
        <v>570</v>
      </c>
    </row>
    <row r="920" customFormat="false" ht="15" hidden="false" customHeight="false" outlineLevel="0" collapsed="false">
      <c r="A920" s="6" t="str">
        <f aca="false">'Dish Database'!A264</f>
        <v>D263</v>
      </c>
      <c r="B920" s="6" t="str">
        <f aca="false">'Dish Database'!B264</f>
        <v>Palak paneer</v>
      </c>
      <c r="C920" s="6" t="str">
        <f aca="false">'Dish Database'!D264</f>
        <v>Veg Curries (Gravy)</v>
      </c>
      <c r="D920" s="6" t="str">
        <f aca="false">'Dish Database'!F264</f>
        <v>Veg</v>
      </c>
      <c r="E920" s="6" t="str">
        <f aca="false">'Dish Database'!E264</f>
        <v>North</v>
      </c>
      <c r="F920" s="6" t="s">
        <v>2246</v>
      </c>
      <c r="G920" s="6" t="s">
        <v>2502</v>
      </c>
      <c r="H920" s="16" t="n">
        <v>200</v>
      </c>
      <c r="I920" s="6" t="str">
        <f aca="false">'Dish Database'!I264</f>
        <v>g</v>
      </c>
      <c r="J920" s="13" t="n">
        <f aca="false">'Dish Database'!J264*H920/100</f>
        <v>271.2</v>
      </c>
      <c r="K920" s="17" t="n">
        <f aca="false">'Dish Database'!K264*H920/100</f>
        <v>13</v>
      </c>
      <c r="L920" s="17" t="n">
        <f aca="false">'Dish Database'!L264*H920/100</f>
        <v>12</v>
      </c>
      <c r="M920" s="17" t="n">
        <f aca="false">'Dish Database'!M264*H920/100</f>
        <v>20</v>
      </c>
      <c r="N920" s="17" t="n">
        <f aca="false">'Dish Database'!N264*H920/100</f>
        <v>4.4</v>
      </c>
      <c r="O920" s="17" t="n">
        <f aca="false">'Dish Database'!O264*H920/100</f>
        <v>3</v>
      </c>
      <c r="P920" s="13" t="n">
        <f aca="false">'Dish Database'!P264*H920/100</f>
        <v>760</v>
      </c>
    </row>
    <row r="921" customFormat="false" ht="15" hidden="false" customHeight="false" outlineLevel="0" collapsed="false">
      <c r="A921" s="6" t="str">
        <f aca="false">'Dish Database'!A264</f>
        <v>D263</v>
      </c>
      <c r="B921" s="6" t="str">
        <f aca="false">'Dish Database'!B264</f>
        <v>Palak paneer</v>
      </c>
      <c r="C921" s="6" t="str">
        <f aca="false">'Dish Database'!D264</f>
        <v>Veg Curries (Gravy)</v>
      </c>
      <c r="D921" s="6" t="str">
        <f aca="false">'Dish Database'!F264</f>
        <v>Veg</v>
      </c>
      <c r="E921" s="6" t="str">
        <f aca="false">'Dish Database'!E264</f>
        <v>North</v>
      </c>
      <c r="F921" s="6" t="s">
        <v>2323</v>
      </c>
      <c r="G921" s="6" t="s">
        <v>2503</v>
      </c>
      <c r="H921" s="16" t="n">
        <v>250</v>
      </c>
      <c r="I921" s="6" t="str">
        <f aca="false">'Dish Database'!I264</f>
        <v>g</v>
      </c>
      <c r="J921" s="13" t="n">
        <f aca="false">'Dish Database'!J264*H921/100</f>
        <v>339</v>
      </c>
      <c r="K921" s="17" t="n">
        <f aca="false">'Dish Database'!K264*H921/100</f>
        <v>16.25</v>
      </c>
      <c r="L921" s="17" t="n">
        <f aca="false">'Dish Database'!L264*H921/100</f>
        <v>15</v>
      </c>
      <c r="M921" s="17" t="n">
        <f aca="false">'Dish Database'!M264*H921/100</f>
        <v>25</v>
      </c>
      <c r="N921" s="17" t="n">
        <f aca="false">'Dish Database'!N264*H921/100</f>
        <v>5.5</v>
      </c>
      <c r="O921" s="17" t="n">
        <f aca="false">'Dish Database'!O264*H921/100</f>
        <v>3.75</v>
      </c>
      <c r="P921" s="13" t="n">
        <f aca="false">'Dish Database'!P264*H921/100</f>
        <v>950</v>
      </c>
    </row>
    <row r="922" customFormat="false" ht="15" hidden="false" customHeight="false" outlineLevel="0" collapsed="false">
      <c r="A922" s="6" t="str">
        <f aca="false">'Dish Database'!A264</f>
        <v>D263</v>
      </c>
      <c r="B922" s="6" t="str">
        <f aca="false">'Dish Database'!B264</f>
        <v>Palak paneer</v>
      </c>
      <c r="C922" s="6" t="str">
        <f aca="false">'Dish Database'!D264</f>
        <v>Veg Curries (Gravy)</v>
      </c>
      <c r="D922" s="6" t="str">
        <f aca="false">'Dish Database'!F264</f>
        <v>Veg</v>
      </c>
      <c r="E922" s="6" t="str">
        <f aca="false">'Dish Database'!E264</f>
        <v>North</v>
      </c>
      <c r="F922" s="6" t="s">
        <v>2325</v>
      </c>
      <c r="G922" s="6" t="s">
        <v>2504</v>
      </c>
      <c r="H922" s="16" t="n">
        <v>500</v>
      </c>
      <c r="I922" s="6" t="str">
        <f aca="false">'Dish Database'!I264</f>
        <v>g</v>
      </c>
      <c r="J922" s="13" t="n">
        <f aca="false">'Dish Database'!J264*H922/100</f>
        <v>678</v>
      </c>
      <c r="K922" s="17" t="n">
        <f aca="false">'Dish Database'!K264*H922/100</f>
        <v>32.5</v>
      </c>
      <c r="L922" s="17" t="n">
        <f aca="false">'Dish Database'!L264*H922/100</f>
        <v>30</v>
      </c>
      <c r="M922" s="17" t="n">
        <f aca="false">'Dish Database'!M264*H922/100</f>
        <v>50</v>
      </c>
      <c r="N922" s="17" t="n">
        <f aca="false">'Dish Database'!N264*H922/100</f>
        <v>11</v>
      </c>
      <c r="O922" s="17" t="n">
        <f aca="false">'Dish Database'!O264*H922/100</f>
        <v>7.5</v>
      </c>
      <c r="P922" s="13" t="n">
        <f aca="false">'Dish Database'!P264*H922/100</f>
        <v>1900</v>
      </c>
    </row>
    <row r="923" customFormat="false" ht="15" hidden="false" customHeight="false" outlineLevel="0" collapsed="false">
      <c r="A923" s="6" t="str">
        <f aca="false">'Dish Database'!A265</f>
        <v>D264</v>
      </c>
      <c r="B923" s="6" t="str">
        <f aca="false">'Dish Database'!B265</f>
        <v>Matar paneer</v>
      </c>
      <c r="C923" s="6" t="str">
        <f aca="false">'Dish Database'!D265</f>
        <v>Veg Curries (Gravy)</v>
      </c>
      <c r="D923" s="6" t="str">
        <f aca="false">'Dish Database'!F265</f>
        <v>Veg</v>
      </c>
      <c r="E923" s="6" t="str">
        <f aca="false">'Dish Database'!E265</f>
        <v>North</v>
      </c>
      <c r="F923" s="6" t="s">
        <v>2243</v>
      </c>
      <c r="G923" s="6" t="s">
        <v>2500</v>
      </c>
      <c r="H923" s="16" t="n">
        <v>100</v>
      </c>
      <c r="I923" s="6" t="str">
        <f aca="false">'Dish Database'!I265</f>
        <v>g</v>
      </c>
      <c r="J923" s="13" t="n">
        <f aca="false">'Dish Database'!J265*H923/100</f>
        <v>149</v>
      </c>
      <c r="K923" s="17" t="n">
        <f aca="false">'Dish Database'!K265*H923/100</f>
        <v>6.5</v>
      </c>
      <c r="L923" s="17" t="n">
        <f aca="false">'Dish Database'!L265*H923/100</f>
        <v>9.5</v>
      </c>
      <c r="M923" s="17" t="n">
        <f aca="false">'Dish Database'!M265*H923/100</f>
        <v>10</v>
      </c>
      <c r="N923" s="17" t="n">
        <f aca="false">'Dish Database'!N265*H923/100</f>
        <v>2.5</v>
      </c>
      <c r="O923" s="17" t="n">
        <f aca="false">'Dish Database'!O265*H923/100</f>
        <v>3</v>
      </c>
      <c r="P923" s="13" t="n">
        <f aca="false">'Dish Database'!P265*H923/100</f>
        <v>400</v>
      </c>
    </row>
    <row r="924" customFormat="false" ht="15" hidden="false" customHeight="false" outlineLevel="0" collapsed="false">
      <c r="A924" s="6" t="str">
        <f aca="false">'Dish Database'!A265</f>
        <v>D264</v>
      </c>
      <c r="B924" s="6" t="str">
        <f aca="false">'Dish Database'!B265</f>
        <v>Matar paneer</v>
      </c>
      <c r="C924" s="6" t="str">
        <f aca="false">'Dish Database'!D265</f>
        <v>Veg Curries (Gravy)</v>
      </c>
      <c r="D924" s="6" t="str">
        <f aca="false">'Dish Database'!F265</f>
        <v>Veg</v>
      </c>
      <c r="E924" s="6" t="str">
        <f aca="false">'Dish Database'!E265</f>
        <v>North</v>
      </c>
      <c r="F924" s="6" t="s">
        <v>103</v>
      </c>
      <c r="G924" s="6" t="s">
        <v>2501</v>
      </c>
      <c r="H924" s="16" t="n">
        <v>150</v>
      </c>
      <c r="I924" s="6" t="str">
        <f aca="false">'Dish Database'!I265</f>
        <v>g</v>
      </c>
      <c r="J924" s="13" t="n">
        <f aca="false">'Dish Database'!J265*H924/100</f>
        <v>223.5</v>
      </c>
      <c r="K924" s="17" t="n">
        <f aca="false">'Dish Database'!K265*H924/100</f>
        <v>9.75</v>
      </c>
      <c r="L924" s="17" t="n">
        <f aca="false">'Dish Database'!L265*H924/100</f>
        <v>14.25</v>
      </c>
      <c r="M924" s="17" t="n">
        <f aca="false">'Dish Database'!M265*H924/100</f>
        <v>15</v>
      </c>
      <c r="N924" s="17" t="n">
        <f aca="false">'Dish Database'!N265*H924/100</f>
        <v>3.75</v>
      </c>
      <c r="O924" s="17" t="n">
        <f aca="false">'Dish Database'!O265*H924/100</f>
        <v>4.5</v>
      </c>
      <c r="P924" s="13" t="n">
        <f aca="false">'Dish Database'!P265*H924/100</f>
        <v>600</v>
      </c>
    </row>
    <row r="925" customFormat="false" ht="15" hidden="false" customHeight="false" outlineLevel="0" collapsed="false">
      <c r="A925" s="6" t="str">
        <f aca="false">'Dish Database'!A265</f>
        <v>D264</v>
      </c>
      <c r="B925" s="6" t="str">
        <f aca="false">'Dish Database'!B265</f>
        <v>Matar paneer</v>
      </c>
      <c r="C925" s="6" t="str">
        <f aca="false">'Dish Database'!D265</f>
        <v>Veg Curries (Gravy)</v>
      </c>
      <c r="D925" s="6" t="str">
        <f aca="false">'Dish Database'!F265</f>
        <v>Veg</v>
      </c>
      <c r="E925" s="6" t="str">
        <f aca="false">'Dish Database'!E265</f>
        <v>North</v>
      </c>
      <c r="F925" s="6" t="s">
        <v>2246</v>
      </c>
      <c r="G925" s="6" t="s">
        <v>2502</v>
      </c>
      <c r="H925" s="16" t="n">
        <v>200</v>
      </c>
      <c r="I925" s="6" t="str">
        <f aca="false">'Dish Database'!I265</f>
        <v>g</v>
      </c>
      <c r="J925" s="13" t="n">
        <f aca="false">'Dish Database'!J265*H925/100</f>
        <v>298</v>
      </c>
      <c r="K925" s="17" t="n">
        <f aca="false">'Dish Database'!K265*H925/100</f>
        <v>13</v>
      </c>
      <c r="L925" s="17" t="n">
        <f aca="false">'Dish Database'!L265*H925/100</f>
        <v>19</v>
      </c>
      <c r="M925" s="17" t="n">
        <f aca="false">'Dish Database'!M265*H925/100</f>
        <v>20</v>
      </c>
      <c r="N925" s="17" t="n">
        <f aca="false">'Dish Database'!N265*H925/100</f>
        <v>5</v>
      </c>
      <c r="O925" s="17" t="n">
        <f aca="false">'Dish Database'!O265*H925/100</f>
        <v>6</v>
      </c>
      <c r="P925" s="13" t="n">
        <f aca="false">'Dish Database'!P265*H925/100</f>
        <v>800</v>
      </c>
    </row>
    <row r="926" customFormat="false" ht="15" hidden="false" customHeight="false" outlineLevel="0" collapsed="false">
      <c r="A926" s="6" t="str">
        <f aca="false">'Dish Database'!A265</f>
        <v>D264</v>
      </c>
      <c r="B926" s="6" t="str">
        <f aca="false">'Dish Database'!B265</f>
        <v>Matar paneer</v>
      </c>
      <c r="C926" s="6" t="str">
        <f aca="false">'Dish Database'!D265</f>
        <v>Veg Curries (Gravy)</v>
      </c>
      <c r="D926" s="6" t="str">
        <f aca="false">'Dish Database'!F265</f>
        <v>Veg</v>
      </c>
      <c r="E926" s="6" t="str">
        <f aca="false">'Dish Database'!E265</f>
        <v>North</v>
      </c>
      <c r="F926" s="6" t="s">
        <v>2323</v>
      </c>
      <c r="G926" s="6" t="s">
        <v>2503</v>
      </c>
      <c r="H926" s="16" t="n">
        <v>250</v>
      </c>
      <c r="I926" s="6" t="str">
        <f aca="false">'Dish Database'!I265</f>
        <v>g</v>
      </c>
      <c r="J926" s="13" t="n">
        <f aca="false">'Dish Database'!J265*H926/100</f>
        <v>372.5</v>
      </c>
      <c r="K926" s="17" t="n">
        <f aca="false">'Dish Database'!K265*H926/100</f>
        <v>16.25</v>
      </c>
      <c r="L926" s="17" t="n">
        <f aca="false">'Dish Database'!L265*H926/100</f>
        <v>23.75</v>
      </c>
      <c r="M926" s="17" t="n">
        <f aca="false">'Dish Database'!M265*H926/100</f>
        <v>25</v>
      </c>
      <c r="N926" s="17" t="n">
        <f aca="false">'Dish Database'!N265*H926/100</f>
        <v>6.25</v>
      </c>
      <c r="O926" s="17" t="n">
        <f aca="false">'Dish Database'!O265*H926/100</f>
        <v>7.5</v>
      </c>
      <c r="P926" s="13" t="n">
        <f aca="false">'Dish Database'!P265*H926/100</f>
        <v>1000</v>
      </c>
    </row>
    <row r="927" customFormat="false" ht="15" hidden="false" customHeight="false" outlineLevel="0" collapsed="false">
      <c r="A927" s="6" t="str">
        <f aca="false">'Dish Database'!A265</f>
        <v>D264</v>
      </c>
      <c r="B927" s="6" t="str">
        <f aca="false">'Dish Database'!B265</f>
        <v>Matar paneer</v>
      </c>
      <c r="C927" s="6" t="str">
        <f aca="false">'Dish Database'!D265</f>
        <v>Veg Curries (Gravy)</v>
      </c>
      <c r="D927" s="6" t="str">
        <f aca="false">'Dish Database'!F265</f>
        <v>Veg</v>
      </c>
      <c r="E927" s="6" t="str">
        <f aca="false">'Dish Database'!E265</f>
        <v>North</v>
      </c>
      <c r="F927" s="6" t="s">
        <v>2325</v>
      </c>
      <c r="G927" s="6" t="s">
        <v>2504</v>
      </c>
      <c r="H927" s="16" t="n">
        <v>500</v>
      </c>
      <c r="I927" s="6" t="str">
        <f aca="false">'Dish Database'!I265</f>
        <v>g</v>
      </c>
      <c r="J927" s="13" t="n">
        <f aca="false">'Dish Database'!J265*H927/100</f>
        <v>745</v>
      </c>
      <c r="K927" s="17" t="n">
        <f aca="false">'Dish Database'!K265*H927/100</f>
        <v>32.5</v>
      </c>
      <c r="L927" s="17" t="n">
        <f aca="false">'Dish Database'!L265*H927/100</f>
        <v>47.5</v>
      </c>
      <c r="M927" s="17" t="n">
        <f aca="false">'Dish Database'!M265*H927/100</f>
        <v>50</v>
      </c>
      <c r="N927" s="17" t="n">
        <f aca="false">'Dish Database'!N265*H927/100</f>
        <v>12.5</v>
      </c>
      <c r="O927" s="17" t="n">
        <f aca="false">'Dish Database'!O265*H927/100</f>
        <v>15</v>
      </c>
      <c r="P927" s="13" t="n">
        <f aca="false">'Dish Database'!P265*H927/100</f>
        <v>2000</v>
      </c>
    </row>
    <row r="928" customFormat="false" ht="15" hidden="false" customHeight="false" outlineLevel="0" collapsed="false">
      <c r="A928" s="6" t="str">
        <f aca="false">'Dish Database'!A266</f>
        <v>D265</v>
      </c>
      <c r="B928" s="6" t="str">
        <f aca="false">'Dish Database'!B266</f>
        <v>Paneer tikka masala</v>
      </c>
      <c r="C928" s="6" t="str">
        <f aca="false">'Dish Database'!D266</f>
        <v>Veg Curries (Gravy)</v>
      </c>
      <c r="D928" s="6" t="str">
        <f aca="false">'Dish Database'!F266</f>
        <v>Veg</v>
      </c>
      <c r="E928" s="6" t="str">
        <f aca="false">'Dish Database'!E266</f>
        <v>North</v>
      </c>
      <c r="F928" s="6" t="s">
        <v>2243</v>
      </c>
      <c r="G928" s="6" t="s">
        <v>2500</v>
      </c>
      <c r="H928" s="16" t="n">
        <v>100</v>
      </c>
      <c r="I928" s="6" t="str">
        <f aca="false">'Dish Database'!I266</f>
        <v>g</v>
      </c>
      <c r="J928" s="13" t="n">
        <f aca="false">'Dish Database'!J266*H928/100</f>
        <v>189</v>
      </c>
      <c r="K928" s="17" t="n">
        <f aca="false">'Dish Database'!K266*H928/100</f>
        <v>8.5</v>
      </c>
      <c r="L928" s="17" t="n">
        <f aca="false">'Dish Database'!L266*H928/100</f>
        <v>8</v>
      </c>
      <c r="M928" s="17" t="n">
        <f aca="false">'Dish Database'!M266*H928/100</f>
        <v>14</v>
      </c>
      <c r="N928" s="17" t="n">
        <f aca="false">'Dish Database'!N266*H928/100</f>
        <v>1.5</v>
      </c>
      <c r="O928" s="17" t="n">
        <f aca="false">'Dish Database'!O266*H928/100</f>
        <v>3.5</v>
      </c>
      <c r="P928" s="13" t="n">
        <f aca="false">'Dish Database'!P266*H928/100</f>
        <v>450</v>
      </c>
    </row>
    <row r="929" customFormat="false" ht="15" hidden="false" customHeight="false" outlineLevel="0" collapsed="false">
      <c r="A929" s="6" t="str">
        <f aca="false">'Dish Database'!A266</f>
        <v>D265</v>
      </c>
      <c r="B929" s="6" t="str">
        <f aca="false">'Dish Database'!B266</f>
        <v>Paneer tikka masala</v>
      </c>
      <c r="C929" s="6" t="str">
        <f aca="false">'Dish Database'!D266</f>
        <v>Veg Curries (Gravy)</v>
      </c>
      <c r="D929" s="6" t="str">
        <f aca="false">'Dish Database'!F266</f>
        <v>Veg</v>
      </c>
      <c r="E929" s="6" t="str">
        <f aca="false">'Dish Database'!E266</f>
        <v>North</v>
      </c>
      <c r="F929" s="6" t="s">
        <v>103</v>
      </c>
      <c r="G929" s="6" t="s">
        <v>2501</v>
      </c>
      <c r="H929" s="16" t="n">
        <v>150</v>
      </c>
      <c r="I929" s="6" t="str">
        <f aca="false">'Dish Database'!I266</f>
        <v>g</v>
      </c>
      <c r="J929" s="13" t="n">
        <f aca="false">'Dish Database'!J266*H929/100</f>
        <v>283.5</v>
      </c>
      <c r="K929" s="17" t="n">
        <f aca="false">'Dish Database'!K266*H929/100</f>
        <v>12.75</v>
      </c>
      <c r="L929" s="17" t="n">
        <f aca="false">'Dish Database'!L266*H929/100</f>
        <v>12</v>
      </c>
      <c r="M929" s="17" t="n">
        <f aca="false">'Dish Database'!M266*H929/100</f>
        <v>21</v>
      </c>
      <c r="N929" s="17" t="n">
        <f aca="false">'Dish Database'!N266*H929/100</f>
        <v>2.25</v>
      </c>
      <c r="O929" s="17" t="n">
        <f aca="false">'Dish Database'!O266*H929/100</f>
        <v>5.25</v>
      </c>
      <c r="P929" s="13" t="n">
        <f aca="false">'Dish Database'!P266*H929/100</f>
        <v>675</v>
      </c>
    </row>
    <row r="930" customFormat="false" ht="15" hidden="false" customHeight="false" outlineLevel="0" collapsed="false">
      <c r="A930" s="6" t="str">
        <f aca="false">'Dish Database'!A266</f>
        <v>D265</v>
      </c>
      <c r="B930" s="6" t="str">
        <f aca="false">'Dish Database'!B266</f>
        <v>Paneer tikka masala</v>
      </c>
      <c r="C930" s="6" t="str">
        <f aca="false">'Dish Database'!D266</f>
        <v>Veg Curries (Gravy)</v>
      </c>
      <c r="D930" s="6" t="str">
        <f aca="false">'Dish Database'!F266</f>
        <v>Veg</v>
      </c>
      <c r="E930" s="6" t="str">
        <f aca="false">'Dish Database'!E266</f>
        <v>North</v>
      </c>
      <c r="F930" s="6" t="s">
        <v>2246</v>
      </c>
      <c r="G930" s="6" t="s">
        <v>2502</v>
      </c>
      <c r="H930" s="16" t="n">
        <v>200</v>
      </c>
      <c r="I930" s="6" t="str">
        <f aca="false">'Dish Database'!I266</f>
        <v>g</v>
      </c>
      <c r="J930" s="13" t="n">
        <f aca="false">'Dish Database'!J266*H930/100</f>
        <v>378</v>
      </c>
      <c r="K930" s="17" t="n">
        <f aca="false">'Dish Database'!K266*H930/100</f>
        <v>17</v>
      </c>
      <c r="L930" s="17" t="n">
        <f aca="false">'Dish Database'!L266*H930/100</f>
        <v>16</v>
      </c>
      <c r="M930" s="17" t="n">
        <f aca="false">'Dish Database'!M266*H930/100</f>
        <v>28</v>
      </c>
      <c r="N930" s="17" t="n">
        <f aca="false">'Dish Database'!N266*H930/100</f>
        <v>3</v>
      </c>
      <c r="O930" s="17" t="n">
        <f aca="false">'Dish Database'!O266*H930/100</f>
        <v>7</v>
      </c>
      <c r="P930" s="13" t="n">
        <f aca="false">'Dish Database'!P266*H930/100</f>
        <v>900</v>
      </c>
    </row>
    <row r="931" customFormat="false" ht="15" hidden="false" customHeight="false" outlineLevel="0" collapsed="false">
      <c r="A931" s="6" t="str">
        <f aca="false">'Dish Database'!A266</f>
        <v>D265</v>
      </c>
      <c r="B931" s="6" t="str">
        <f aca="false">'Dish Database'!B266</f>
        <v>Paneer tikka masala</v>
      </c>
      <c r="C931" s="6" t="str">
        <f aca="false">'Dish Database'!D266</f>
        <v>Veg Curries (Gravy)</v>
      </c>
      <c r="D931" s="6" t="str">
        <f aca="false">'Dish Database'!F266</f>
        <v>Veg</v>
      </c>
      <c r="E931" s="6" t="str">
        <f aca="false">'Dish Database'!E266</f>
        <v>North</v>
      </c>
      <c r="F931" s="6" t="s">
        <v>2323</v>
      </c>
      <c r="G931" s="6" t="s">
        <v>2503</v>
      </c>
      <c r="H931" s="16" t="n">
        <v>250</v>
      </c>
      <c r="I931" s="6" t="str">
        <f aca="false">'Dish Database'!I266</f>
        <v>g</v>
      </c>
      <c r="J931" s="13" t="n">
        <f aca="false">'Dish Database'!J266*H931/100</f>
        <v>472.5</v>
      </c>
      <c r="K931" s="17" t="n">
        <f aca="false">'Dish Database'!K266*H931/100</f>
        <v>21.25</v>
      </c>
      <c r="L931" s="17" t="n">
        <f aca="false">'Dish Database'!L266*H931/100</f>
        <v>20</v>
      </c>
      <c r="M931" s="17" t="n">
        <f aca="false">'Dish Database'!M266*H931/100</f>
        <v>35</v>
      </c>
      <c r="N931" s="17" t="n">
        <f aca="false">'Dish Database'!N266*H931/100</f>
        <v>3.75</v>
      </c>
      <c r="O931" s="17" t="n">
        <f aca="false">'Dish Database'!O266*H931/100</f>
        <v>8.75</v>
      </c>
      <c r="P931" s="13" t="n">
        <f aca="false">'Dish Database'!P266*H931/100</f>
        <v>1125</v>
      </c>
    </row>
    <row r="932" customFormat="false" ht="15" hidden="false" customHeight="false" outlineLevel="0" collapsed="false">
      <c r="A932" s="6" t="str">
        <f aca="false">'Dish Database'!A266</f>
        <v>D265</v>
      </c>
      <c r="B932" s="6" t="str">
        <f aca="false">'Dish Database'!B266</f>
        <v>Paneer tikka masala</v>
      </c>
      <c r="C932" s="6" t="str">
        <f aca="false">'Dish Database'!D266</f>
        <v>Veg Curries (Gravy)</v>
      </c>
      <c r="D932" s="6" t="str">
        <f aca="false">'Dish Database'!F266</f>
        <v>Veg</v>
      </c>
      <c r="E932" s="6" t="str">
        <f aca="false">'Dish Database'!E266</f>
        <v>North</v>
      </c>
      <c r="F932" s="6" t="s">
        <v>2325</v>
      </c>
      <c r="G932" s="6" t="s">
        <v>2504</v>
      </c>
      <c r="H932" s="16" t="n">
        <v>500</v>
      </c>
      <c r="I932" s="6" t="str">
        <f aca="false">'Dish Database'!I266</f>
        <v>g</v>
      </c>
      <c r="J932" s="13" t="n">
        <f aca="false">'Dish Database'!J266*H932/100</f>
        <v>945</v>
      </c>
      <c r="K932" s="17" t="n">
        <f aca="false">'Dish Database'!K266*H932/100</f>
        <v>42.5</v>
      </c>
      <c r="L932" s="17" t="n">
        <f aca="false">'Dish Database'!L266*H932/100</f>
        <v>40</v>
      </c>
      <c r="M932" s="17" t="n">
        <f aca="false">'Dish Database'!M266*H932/100</f>
        <v>70</v>
      </c>
      <c r="N932" s="17" t="n">
        <f aca="false">'Dish Database'!N266*H932/100</f>
        <v>7.5</v>
      </c>
      <c r="O932" s="17" t="n">
        <f aca="false">'Dish Database'!O266*H932/100</f>
        <v>17.5</v>
      </c>
      <c r="P932" s="13" t="n">
        <f aca="false">'Dish Database'!P266*H932/100</f>
        <v>2250</v>
      </c>
    </row>
    <row r="933" customFormat="false" ht="15" hidden="false" customHeight="false" outlineLevel="0" collapsed="false">
      <c r="A933" s="6" t="str">
        <f aca="false">'Dish Database'!A267</f>
        <v>D266</v>
      </c>
      <c r="B933" s="6" t="str">
        <f aca="false">'Dish Database'!B267</f>
        <v>Paneer do pyaza</v>
      </c>
      <c r="C933" s="6" t="str">
        <f aca="false">'Dish Database'!D267</f>
        <v>Veg Curries (Gravy)</v>
      </c>
      <c r="D933" s="6" t="str">
        <f aca="false">'Dish Database'!F267</f>
        <v>Veg</v>
      </c>
      <c r="E933" s="6" t="str">
        <f aca="false">'Dish Database'!E267</f>
        <v>North</v>
      </c>
      <c r="F933" s="6" t="s">
        <v>2243</v>
      </c>
      <c r="G933" s="6" t="s">
        <v>2500</v>
      </c>
      <c r="H933" s="16" t="n">
        <v>100</v>
      </c>
      <c r="I933" s="6" t="str">
        <f aca="false">'Dish Database'!I267</f>
        <v>g</v>
      </c>
      <c r="J933" s="13" t="n">
        <f aca="false">'Dish Database'!J267*H933/100</f>
        <v>166.8</v>
      </c>
      <c r="K933" s="17" t="n">
        <f aca="false">'Dish Database'!K267*H933/100</f>
        <v>7.5</v>
      </c>
      <c r="L933" s="17" t="n">
        <f aca="false">'Dish Database'!L267*H933/100</f>
        <v>8</v>
      </c>
      <c r="M933" s="17" t="n">
        <f aca="false">'Dish Database'!M267*H933/100</f>
        <v>12</v>
      </c>
      <c r="N933" s="17" t="n">
        <f aca="false">'Dish Database'!N267*H933/100</f>
        <v>1.6</v>
      </c>
      <c r="O933" s="17" t="n">
        <f aca="false">'Dish Database'!O267*H933/100</f>
        <v>3.5</v>
      </c>
      <c r="P933" s="13" t="n">
        <f aca="false">'Dish Database'!P267*H933/100</f>
        <v>420</v>
      </c>
    </row>
    <row r="934" customFormat="false" ht="15" hidden="false" customHeight="false" outlineLevel="0" collapsed="false">
      <c r="A934" s="6" t="str">
        <f aca="false">'Dish Database'!A267</f>
        <v>D266</v>
      </c>
      <c r="B934" s="6" t="str">
        <f aca="false">'Dish Database'!B267</f>
        <v>Paneer do pyaza</v>
      </c>
      <c r="C934" s="6" t="str">
        <f aca="false">'Dish Database'!D267</f>
        <v>Veg Curries (Gravy)</v>
      </c>
      <c r="D934" s="6" t="str">
        <f aca="false">'Dish Database'!F267</f>
        <v>Veg</v>
      </c>
      <c r="E934" s="6" t="str">
        <f aca="false">'Dish Database'!E267</f>
        <v>North</v>
      </c>
      <c r="F934" s="6" t="s">
        <v>103</v>
      </c>
      <c r="G934" s="6" t="s">
        <v>2501</v>
      </c>
      <c r="H934" s="16" t="n">
        <v>150</v>
      </c>
      <c r="I934" s="6" t="str">
        <f aca="false">'Dish Database'!I267</f>
        <v>g</v>
      </c>
      <c r="J934" s="13" t="n">
        <f aca="false">'Dish Database'!J267*H934/100</f>
        <v>250.2</v>
      </c>
      <c r="K934" s="17" t="n">
        <f aca="false">'Dish Database'!K267*H934/100</f>
        <v>11.25</v>
      </c>
      <c r="L934" s="17" t="n">
        <f aca="false">'Dish Database'!L267*H934/100</f>
        <v>12</v>
      </c>
      <c r="M934" s="17" t="n">
        <f aca="false">'Dish Database'!M267*H934/100</f>
        <v>18</v>
      </c>
      <c r="N934" s="17" t="n">
        <f aca="false">'Dish Database'!N267*H934/100</f>
        <v>2.4</v>
      </c>
      <c r="O934" s="17" t="n">
        <f aca="false">'Dish Database'!O267*H934/100</f>
        <v>5.25</v>
      </c>
      <c r="P934" s="13" t="n">
        <f aca="false">'Dish Database'!P267*H934/100</f>
        <v>630</v>
      </c>
    </row>
    <row r="935" customFormat="false" ht="15" hidden="false" customHeight="false" outlineLevel="0" collapsed="false">
      <c r="A935" s="6" t="str">
        <f aca="false">'Dish Database'!A267</f>
        <v>D266</v>
      </c>
      <c r="B935" s="6" t="str">
        <f aca="false">'Dish Database'!B267</f>
        <v>Paneer do pyaza</v>
      </c>
      <c r="C935" s="6" t="str">
        <f aca="false">'Dish Database'!D267</f>
        <v>Veg Curries (Gravy)</v>
      </c>
      <c r="D935" s="6" t="str">
        <f aca="false">'Dish Database'!F267</f>
        <v>Veg</v>
      </c>
      <c r="E935" s="6" t="str">
        <f aca="false">'Dish Database'!E267</f>
        <v>North</v>
      </c>
      <c r="F935" s="6" t="s">
        <v>2246</v>
      </c>
      <c r="G935" s="6" t="s">
        <v>2502</v>
      </c>
      <c r="H935" s="16" t="n">
        <v>200</v>
      </c>
      <c r="I935" s="6" t="str">
        <f aca="false">'Dish Database'!I267</f>
        <v>g</v>
      </c>
      <c r="J935" s="13" t="n">
        <f aca="false">'Dish Database'!J267*H935/100</f>
        <v>333.6</v>
      </c>
      <c r="K935" s="17" t="n">
        <f aca="false">'Dish Database'!K267*H935/100</f>
        <v>15</v>
      </c>
      <c r="L935" s="17" t="n">
        <f aca="false">'Dish Database'!L267*H935/100</f>
        <v>16</v>
      </c>
      <c r="M935" s="17" t="n">
        <f aca="false">'Dish Database'!M267*H935/100</f>
        <v>24</v>
      </c>
      <c r="N935" s="17" t="n">
        <f aca="false">'Dish Database'!N267*H935/100</f>
        <v>3.2</v>
      </c>
      <c r="O935" s="17" t="n">
        <f aca="false">'Dish Database'!O267*H935/100</f>
        <v>7</v>
      </c>
      <c r="P935" s="13" t="n">
        <f aca="false">'Dish Database'!P267*H935/100</f>
        <v>840</v>
      </c>
    </row>
    <row r="936" customFormat="false" ht="15" hidden="false" customHeight="false" outlineLevel="0" collapsed="false">
      <c r="A936" s="6" t="str">
        <f aca="false">'Dish Database'!A267</f>
        <v>D266</v>
      </c>
      <c r="B936" s="6" t="str">
        <f aca="false">'Dish Database'!B267</f>
        <v>Paneer do pyaza</v>
      </c>
      <c r="C936" s="6" t="str">
        <f aca="false">'Dish Database'!D267</f>
        <v>Veg Curries (Gravy)</v>
      </c>
      <c r="D936" s="6" t="str">
        <f aca="false">'Dish Database'!F267</f>
        <v>Veg</v>
      </c>
      <c r="E936" s="6" t="str">
        <f aca="false">'Dish Database'!E267</f>
        <v>North</v>
      </c>
      <c r="F936" s="6" t="s">
        <v>2323</v>
      </c>
      <c r="G936" s="6" t="s">
        <v>2503</v>
      </c>
      <c r="H936" s="16" t="n">
        <v>250</v>
      </c>
      <c r="I936" s="6" t="str">
        <f aca="false">'Dish Database'!I267</f>
        <v>g</v>
      </c>
      <c r="J936" s="13" t="n">
        <f aca="false">'Dish Database'!J267*H936/100</f>
        <v>417</v>
      </c>
      <c r="K936" s="17" t="n">
        <f aca="false">'Dish Database'!K267*H936/100</f>
        <v>18.75</v>
      </c>
      <c r="L936" s="17" t="n">
        <f aca="false">'Dish Database'!L267*H936/100</f>
        <v>20</v>
      </c>
      <c r="M936" s="17" t="n">
        <f aca="false">'Dish Database'!M267*H936/100</f>
        <v>30</v>
      </c>
      <c r="N936" s="17" t="n">
        <f aca="false">'Dish Database'!N267*H936/100</f>
        <v>4</v>
      </c>
      <c r="O936" s="17" t="n">
        <f aca="false">'Dish Database'!O267*H936/100</f>
        <v>8.75</v>
      </c>
      <c r="P936" s="13" t="n">
        <f aca="false">'Dish Database'!P267*H936/100</f>
        <v>1050</v>
      </c>
    </row>
    <row r="937" customFormat="false" ht="15" hidden="false" customHeight="false" outlineLevel="0" collapsed="false">
      <c r="A937" s="6" t="str">
        <f aca="false">'Dish Database'!A267</f>
        <v>D266</v>
      </c>
      <c r="B937" s="6" t="str">
        <f aca="false">'Dish Database'!B267</f>
        <v>Paneer do pyaza</v>
      </c>
      <c r="C937" s="6" t="str">
        <f aca="false">'Dish Database'!D267</f>
        <v>Veg Curries (Gravy)</v>
      </c>
      <c r="D937" s="6" t="str">
        <f aca="false">'Dish Database'!F267</f>
        <v>Veg</v>
      </c>
      <c r="E937" s="6" t="str">
        <f aca="false">'Dish Database'!E267</f>
        <v>North</v>
      </c>
      <c r="F937" s="6" t="s">
        <v>2325</v>
      </c>
      <c r="G937" s="6" t="s">
        <v>2504</v>
      </c>
      <c r="H937" s="16" t="n">
        <v>500</v>
      </c>
      <c r="I937" s="6" t="str">
        <f aca="false">'Dish Database'!I267</f>
        <v>g</v>
      </c>
      <c r="J937" s="13" t="n">
        <f aca="false">'Dish Database'!J267*H937/100</f>
        <v>834</v>
      </c>
      <c r="K937" s="17" t="n">
        <f aca="false">'Dish Database'!K267*H937/100</f>
        <v>37.5</v>
      </c>
      <c r="L937" s="17" t="n">
        <f aca="false">'Dish Database'!L267*H937/100</f>
        <v>40</v>
      </c>
      <c r="M937" s="17" t="n">
        <f aca="false">'Dish Database'!M267*H937/100</f>
        <v>60</v>
      </c>
      <c r="N937" s="17" t="n">
        <f aca="false">'Dish Database'!N267*H937/100</f>
        <v>8</v>
      </c>
      <c r="O937" s="17" t="n">
        <f aca="false">'Dish Database'!O267*H937/100</f>
        <v>17.5</v>
      </c>
      <c r="P937" s="13" t="n">
        <f aca="false">'Dish Database'!P267*H937/100</f>
        <v>2100</v>
      </c>
    </row>
    <row r="938" customFormat="false" ht="15" hidden="false" customHeight="false" outlineLevel="0" collapsed="false">
      <c r="A938" s="6" t="str">
        <f aca="false">'Dish Database'!A268</f>
        <v>D267</v>
      </c>
      <c r="B938" s="6" t="str">
        <f aca="false">'Dish Database'!B268</f>
        <v>Paneer lababdar</v>
      </c>
      <c r="C938" s="6" t="str">
        <f aca="false">'Dish Database'!D268</f>
        <v>Veg Curries (Gravy)</v>
      </c>
      <c r="D938" s="6" t="str">
        <f aca="false">'Dish Database'!F268</f>
        <v>Veg</v>
      </c>
      <c r="E938" s="6" t="str">
        <f aca="false">'Dish Database'!E268</f>
        <v>North</v>
      </c>
      <c r="F938" s="6" t="s">
        <v>2243</v>
      </c>
      <c r="G938" s="6" t="s">
        <v>2500</v>
      </c>
      <c r="H938" s="16" t="n">
        <v>100</v>
      </c>
      <c r="I938" s="6" t="str">
        <f aca="false">'Dish Database'!I268</f>
        <v>g</v>
      </c>
      <c r="J938" s="13" t="n">
        <f aca="false">'Dish Database'!J268*H938/100</f>
        <v>187.4</v>
      </c>
      <c r="K938" s="17" t="n">
        <f aca="false">'Dish Database'!K268*H938/100</f>
        <v>7.5</v>
      </c>
      <c r="L938" s="17" t="n">
        <f aca="false">'Dish Database'!L268*H938/100</f>
        <v>8.5</v>
      </c>
      <c r="M938" s="17" t="n">
        <f aca="false">'Dish Database'!M268*H938/100</f>
        <v>14</v>
      </c>
      <c r="N938" s="17" t="n">
        <f aca="false">'Dish Database'!N268*H938/100</f>
        <v>1.3</v>
      </c>
      <c r="O938" s="17" t="n">
        <f aca="false">'Dish Database'!O268*H938/100</f>
        <v>4</v>
      </c>
      <c r="P938" s="13" t="n">
        <f aca="false">'Dish Database'!P268*H938/100</f>
        <v>450</v>
      </c>
    </row>
    <row r="939" customFormat="false" ht="15" hidden="false" customHeight="false" outlineLevel="0" collapsed="false">
      <c r="A939" s="6" t="str">
        <f aca="false">'Dish Database'!A268</f>
        <v>D267</v>
      </c>
      <c r="B939" s="6" t="str">
        <f aca="false">'Dish Database'!B268</f>
        <v>Paneer lababdar</v>
      </c>
      <c r="C939" s="6" t="str">
        <f aca="false">'Dish Database'!D268</f>
        <v>Veg Curries (Gravy)</v>
      </c>
      <c r="D939" s="6" t="str">
        <f aca="false">'Dish Database'!F268</f>
        <v>Veg</v>
      </c>
      <c r="E939" s="6" t="str">
        <f aca="false">'Dish Database'!E268</f>
        <v>North</v>
      </c>
      <c r="F939" s="6" t="s">
        <v>103</v>
      </c>
      <c r="G939" s="6" t="s">
        <v>2501</v>
      </c>
      <c r="H939" s="16" t="n">
        <v>150</v>
      </c>
      <c r="I939" s="6" t="str">
        <f aca="false">'Dish Database'!I268</f>
        <v>g</v>
      </c>
      <c r="J939" s="13" t="n">
        <f aca="false">'Dish Database'!J268*H939/100</f>
        <v>281.1</v>
      </c>
      <c r="K939" s="17" t="n">
        <f aca="false">'Dish Database'!K268*H939/100</f>
        <v>11.25</v>
      </c>
      <c r="L939" s="17" t="n">
        <f aca="false">'Dish Database'!L268*H939/100</f>
        <v>12.75</v>
      </c>
      <c r="M939" s="17" t="n">
        <f aca="false">'Dish Database'!M268*H939/100</f>
        <v>21</v>
      </c>
      <c r="N939" s="17" t="n">
        <f aca="false">'Dish Database'!N268*H939/100</f>
        <v>1.95</v>
      </c>
      <c r="O939" s="17" t="n">
        <f aca="false">'Dish Database'!O268*H939/100</f>
        <v>6</v>
      </c>
      <c r="P939" s="13" t="n">
        <f aca="false">'Dish Database'!P268*H939/100</f>
        <v>675</v>
      </c>
    </row>
    <row r="940" customFormat="false" ht="15" hidden="false" customHeight="false" outlineLevel="0" collapsed="false">
      <c r="A940" s="6" t="str">
        <f aca="false">'Dish Database'!A268</f>
        <v>D267</v>
      </c>
      <c r="B940" s="6" t="str">
        <f aca="false">'Dish Database'!B268</f>
        <v>Paneer lababdar</v>
      </c>
      <c r="C940" s="6" t="str">
        <f aca="false">'Dish Database'!D268</f>
        <v>Veg Curries (Gravy)</v>
      </c>
      <c r="D940" s="6" t="str">
        <f aca="false">'Dish Database'!F268</f>
        <v>Veg</v>
      </c>
      <c r="E940" s="6" t="str">
        <f aca="false">'Dish Database'!E268</f>
        <v>North</v>
      </c>
      <c r="F940" s="6" t="s">
        <v>2246</v>
      </c>
      <c r="G940" s="6" t="s">
        <v>2502</v>
      </c>
      <c r="H940" s="16" t="n">
        <v>200</v>
      </c>
      <c r="I940" s="6" t="str">
        <f aca="false">'Dish Database'!I268</f>
        <v>g</v>
      </c>
      <c r="J940" s="13" t="n">
        <f aca="false">'Dish Database'!J268*H940/100</f>
        <v>374.8</v>
      </c>
      <c r="K940" s="17" t="n">
        <f aca="false">'Dish Database'!K268*H940/100</f>
        <v>15</v>
      </c>
      <c r="L940" s="17" t="n">
        <f aca="false">'Dish Database'!L268*H940/100</f>
        <v>17</v>
      </c>
      <c r="M940" s="17" t="n">
        <f aca="false">'Dish Database'!M268*H940/100</f>
        <v>28</v>
      </c>
      <c r="N940" s="17" t="n">
        <f aca="false">'Dish Database'!N268*H940/100</f>
        <v>2.6</v>
      </c>
      <c r="O940" s="17" t="n">
        <f aca="false">'Dish Database'!O268*H940/100</f>
        <v>8</v>
      </c>
      <c r="P940" s="13" t="n">
        <f aca="false">'Dish Database'!P268*H940/100</f>
        <v>900</v>
      </c>
    </row>
    <row r="941" customFormat="false" ht="15" hidden="false" customHeight="false" outlineLevel="0" collapsed="false">
      <c r="A941" s="6" t="str">
        <f aca="false">'Dish Database'!A268</f>
        <v>D267</v>
      </c>
      <c r="B941" s="6" t="str">
        <f aca="false">'Dish Database'!B268</f>
        <v>Paneer lababdar</v>
      </c>
      <c r="C941" s="6" t="str">
        <f aca="false">'Dish Database'!D268</f>
        <v>Veg Curries (Gravy)</v>
      </c>
      <c r="D941" s="6" t="str">
        <f aca="false">'Dish Database'!F268</f>
        <v>Veg</v>
      </c>
      <c r="E941" s="6" t="str">
        <f aca="false">'Dish Database'!E268</f>
        <v>North</v>
      </c>
      <c r="F941" s="6" t="s">
        <v>2323</v>
      </c>
      <c r="G941" s="6" t="s">
        <v>2503</v>
      </c>
      <c r="H941" s="16" t="n">
        <v>250</v>
      </c>
      <c r="I941" s="6" t="str">
        <f aca="false">'Dish Database'!I268</f>
        <v>g</v>
      </c>
      <c r="J941" s="13" t="n">
        <f aca="false">'Dish Database'!J268*H941/100</f>
        <v>468.5</v>
      </c>
      <c r="K941" s="17" t="n">
        <f aca="false">'Dish Database'!K268*H941/100</f>
        <v>18.75</v>
      </c>
      <c r="L941" s="17" t="n">
        <f aca="false">'Dish Database'!L268*H941/100</f>
        <v>21.25</v>
      </c>
      <c r="M941" s="17" t="n">
        <f aca="false">'Dish Database'!M268*H941/100</f>
        <v>35</v>
      </c>
      <c r="N941" s="17" t="n">
        <f aca="false">'Dish Database'!N268*H941/100</f>
        <v>3.25</v>
      </c>
      <c r="O941" s="17" t="n">
        <f aca="false">'Dish Database'!O268*H941/100</f>
        <v>10</v>
      </c>
      <c r="P941" s="13" t="n">
        <f aca="false">'Dish Database'!P268*H941/100</f>
        <v>1125</v>
      </c>
    </row>
    <row r="942" customFormat="false" ht="15" hidden="false" customHeight="false" outlineLevel="0" collapsed="false">
      <c r="A942" s="6" t="str">
        <f aca="false">'Dish Database'!A268</f>
        <v>D267</v>
      </c>
      <c r="B942" s="6" t="str">
        <f aca="false">'Dish Database'!B268</f>
        <v>Paneer lababdar</v>
      </c>
      <c r="C942" s="6" t="str">
        <f aca="false">'Dish Database'!D268</f>
        <v>Veg Curries (Gravy)</v>
      </c>
      <c r="D942" s="6" t="str">
        <f aca="false">'Dish Database'!F268</f>
        <v>Veg</v>
      </c>
      <c r="E942" s="6" t="str">
        <f aca="false">'Dish Database'!E268</f>
        <v>North</v>
      </c>
      <c r="F942" s="6" t="s">
        <v>2325</v>
      </c>
      <c r="G942" s="6" t="s">
        <v>2504</v>
      </c>
      <c r="H942" s="16" t="n">
        <v>500</v>
      </c>
      <c r="I942" s="6" t="str">
        <f aca="false">'Dish Database'!I268</f>
        <v>g</v>
      </c>
      <c r="J942" s="13" t="n">
        <f aca="false">'Dish Database'!J268*H942/100</f>
        <v>937</v>
      </c>
      <c r="K942" s="17" t="n">
        <f aca="false">'Dish Database'!K268*H942/100</f>
        <v>37.5</v>
      </c>
      <c r="L942" s="17" t="n">
        <f aca="false">'Dish Database'!L268*H942/100</f>
        <v>42.5</v>
      </c>
      <c r="M942" s="17" t="n">
        <f aca="false">'Dish Database'!M268*H942/100</f>
        <v>70</v>
      </c>
      <c r="N942" s="17" t="n">
        <f aca="false">'Dish Database'!N268*H942/100</f>
        <v>6.5</v>
      </c>
      <c r="O942" s="17" t="n">
        <f aca="false">'Dish Database'!O268*H942/100</f>
        <v>20</v>
      </c>
      <c r="P942" s="13" t="n">
        <f aca="false">'Dish Database'!P268*H942/100</f>
        <v>2250</v>
      </c>
    </row>
    <row r="943" customFormat="false" ht="15" hidden="false" customHeight="false" outlineLevel="0" collapsed="false">
      <c r="A943" s="6" t="str">
        <f aca="false">'Dish Database'!A269</f>
        <v>D268</v>
      </c>
      <c r="B943" s="6" t="str">
        <f aca="false">'Dish Database'!B269</f>
        <v>Methi malai paneer</v>
      </c>
      <c r="C943" s="6" t="str">
        <f aca="false">'Dish Database'!D269</f>
        <v>Veg Curries (Gravy)</v>
      </c>
      <c r="D943" s="6" t="str">
        <f aca="false">'Dish Database'!F269</f>
        <v>Veg</v>
      </c>
      <c r="E943" s="6" t="str">
        <f aca="false">'Dish Database'!E269</f>
        <v>North</v>
      </c>
      <c r="F943" s="6" t="s">
        <v>2243</v>
      </c>
      <c r="G943" s="6" t="s">
        <v>2500</v>
      </c>
      <c r="H943" s="16" t="n">
        <v>100</v>
      </c>
      <c r="I943" s="6" t="str">
        <f aca="false">'Dish Database'!I269</f>
        <v>g</v>
      </c>
      <c r="J943" s="13" t="n">
        <f aca="false">'Dish Database'!J269*H943/100</f>
        <v>182</v>
      </c>
      <c r="K943" s="17" t="n">
        <f aca="false">'Dish Database'!K269*H943/100</f>
        <v>6</v>
      </c>
      <c r="L943" s="17" t="n">
        <f aca="false">'Dish Database'!L269*H943/100</f>
        <v>9</v>
      </c>
      <c r="M943" s="17" t="n">
        <f aca="false">'Dish Database'!M269*H943/100</f>
        <v>14</v>
      </c>
      <c r="N943" s="17" t="n">
        <f aca="false">'Dish Database'!N269*H943/100</f>
        <v>2</v>
      </c>
      <c r="O943" s="17" t="n">
        <f aca="false">'Dish Database'!O269*H943/100</f>
        <v>3</v>
      </c>
      <c r="P943" s="13" t="n">
        <f aca="false">'Dish Database'!P269*H943/100</f>
        <v>420</v>
      </c>
    </row>
    <row r="944" customFormat="false" ht="15" hidden="false" customHeight="false" outlineLevel="0" collapsed="false">
      <c r="A944" s="6" t="str">
        <f aca="false">'Dish Database'!A269</f>
        <v>D268</v>
      </c>
      <c r="B944" s="6" t="str">
        <f aca="false">'Dish Database'!B269</f>
        <v>Methi malai paneer</v>
      </c>
      <c r="C944" s="6" t="str">
        <f aca="false">'Dish Database'!D269</f>
        <v>Veg Curries (Gravy)</v>
      </c>
      <c r="D944" s="6" t="str">
        <f aca="false">'Dish Database'!F269</f>
        <v>Veg</v>
      </c>
      <c r="E944" s="6" t="str">
        <f aca="false">'Dish Database'!E269</f>
        <v>North</v>
      </c>
      <c r="F944" s="6" t="s">
        <v>103</v>
      </c>
      <c r="G944" s="6" t="s">
        <v>2501</v>
      </c>
      <c r="H944" s="16" t="n">
        <v>150</v>
      </c>
      <c r="I944" s="6" t="str">
        <f aca="false">'Dish Database'!I269</f>
        <v>g</v>
      </c>
      <c r="J944" s="13" t="n">
        <f aca="false">'Dish Database'!J269*H944/100</f>
        <v>273</v>
      </c>
      <c r="K944" s="17" t="n">
        <f aca="false">'Dish Database'!K269*H944/100</f>
        <v>9</v>
      </c>
      <c r="L944" s="17" t="n">
        <f aca="false">'Dish Database'!L269*H944/100</f>
        <v>13.5</v>
      </c>
      <c r="M944" s="17" t="n">
        <f aca="false">'Dish Database'!M269*H944/100</f>
        <v>21</v>
      </c>
      <c r="N944" s="17" t="n">
        <f aca="false">'Dish Database'!N269*H944/100</f>
        <v>3</v>
      </c>
      <c r="O944" s="17" t="n">
        <f aca="false">'Dish Database'!O269*H944/100</f>
        <v>4.5</v>
      </c>
      <c r="P944" s="13" t="n">
        <f aca="false">'Dish Database'!P269*H944/100</f>
        <v>630</v>
      </c>
    </row>
    <row r="945" customFormat="false" ht="15" hidden="false" customHeight="false" outlineLevel="0" collapsed="false">
      <c r="A945" s="6" t="str">
        <f aca="false">'Dish Database'!A269</f>
        <v>D268</v>
      </c>
      <c r="B945" s="6" t="str">
        <f aca="false">'Dish Database'!B269</f>
        <v>Methi malai paneer</v>
      </c>
      <c r="C945" s="6" t="str">
        <f aca="false">'Dish Database'!D269</f>
        <v>Veg Curries (Gravy)</v>
      </c>
      <c r="D945" s="6" t="str">
        <f aca="false">'Dish Database'!F269</f>
        <v>Veg</v>
      </c>
      <c r="E945" s="6" t="str">
        <f aca="false">'Dish Database'!E269</f>
        <v>North</v>
      </c>
      <c r="F945" s="6" t="s">
        <v>2246</v>
      </c>
      <c r="G945" s="6" t="s">
        <v>2502</v>
      </c>
      <c r="H945" s="16" t="n">
        <v>200</v>
      </c>
      <c r="I945" s="6" t="str">
        <f aca="false">'Dish Database'!I269</f>
        <v>g</v>
      </c>
      <c r="J945" s="13" t="n">
        <f aca="false">'Dish Database'!J269*H945/100</f>
        <v>364</v>
      </c>
      <c r="K945" s="17" t="n">
        <f aca="false">'Dish Database'!K269*H945/100</f>
        <v>12</v>
      </c>
      <c r="L945" s="17" t="n">
        <f aca="false">'Dish Database'!L269*H945/100</f>
        <v>18</v>
      </c>
      <c r="M945" s="17" t="n">
        <f aca="false">'Dish Database'!M269*H945/100</f>
        <v>28</v>
      </c>
      <c r="N945" s="17" t="n">
        <f aca="false">'Dish Database'!N269*H945/100</f>
        <v>4</v>
      </c>
      <c r="O945" s="17" t="n">
        <f aca="false">'Dish Database'!O269*H945/100</f>
        <v>6</v>
      </c>
      <c r="P945" s="13" t="n">
        <f aca="false">'Dish Database'!P269*H945/100</f>
        <v>840</v>
      </c>
    </row>
    <row r="946" customFormat="false" ht="15" hidden="false" customHeight="false" outlineLevel="0" collapsed="false">
      <c r="A946" s="6" t="str">
        <f aca="false">'Dish Database'!A269</f>
        <v>D268</v>
      </c>
      <c r="B946" s="6" t="str">
        <f aca="false">'Dish Database'!B269</f>
        <v>Methi malai paneer</v>
      </c>
      <c r="C946" s="6" t="str">
        <f aca="false">'Dish Database'!D269</f>
        <v>Veg Curries (Gravy)</v>
      </c>
      <c r="D946" s="6" t="str">
        <f aca="false">'Dish Database'!F269</f>
        <v>Veg</v>
      </c>
      <c r="E946" s="6" t="str">
        <f aca="false">'Dish Database'!E269</f>
        <v>North</v>
      </c>
      <c r="F946" s="6" t="s">
        <v>2323</v>
      </c>
      <c r="G946" s="6" t="s">
        <v>2503</v>
      </c>
      <c r="H946" s="16" t="n">
        <v>250</v>
      </c>
      <c r="I946" s="6" t="str">
        <f aca="false">'Dish Database'!I269</f>
        <v>g</v>
      </c>
      <c r="J946" s="13" t="n">
        <f aca="false">'Dish Database'!J269*H946/100</f>
        <v>455</v>
      </c>
      <c r="K946" s="17" t="n">
        <f aca="false">'Dish Database'!K269*H946/100</f>
        <v>15</v>
      </c>
      <c r="L946" s="17" t="n">
        <f aca="false">'Dish Database'!L269*H946/100</f>
        <v>22.5</v>
      </c>
      <c r="M946" s="17" t="n">
        <f aca="false">'Dish Database'!M269*H946/100</f>
        <v>35</v>
      </c>
      <c r="N946" s="17" t="n">
        <f aca="false">'Dish Database'!N269*H946/100</f>
        <v>5</v>
      </c>
      <c r="O946" s="17" t="n">
        <f aca="false">'Dish Database'!O269*H946/100</f>
        <v>7.5</v>
      </c>
      <c r="P946" s="13" t="n">
        <f aca="false">'Dish Database'!P269*H946/100</f>
        <v>1050</v>
      </c>
    </row>
    <row r="947" customFormat="false" ht="15" hidden="false" customHeight="false" outlineLevel="0" collapsed="false">
      <c r="A947" s="6" t="str">
        <f aca="false">'Dish Database'!A269</f>
        <v>D268</v>
      </c>
      <c r="B947" s="6" t="str">
        <f aca="false">'Dish Database'!B269</f>
        <v>Methi malai paneer</v>
      </c>
      <c r="C947" s="6" t="str">
        <f aca="false">'Dish Database'!D269</f>
        <v>Veg Curries (Gravy)</v>
      </c>
      <c r="D947" s="6" t="str">
        <f aca="false">'Dish Database'!F269</f>
        <v>Veg</v>
      </c>
      <c r="E947" s="6" t="str">
        <f aca="false">'Dish Database'!E269</f>
        <v>North</v>
      </c>
      <c r="F947" s="6" t="s">
        <v>2325</v>
      </c>
      <c r="G947" s="6" t="s">
        <v>2504</v>
      </c>
      <c r="H947" s="16" t="n">
        <v>500</v>
      </c>
      <c r="I947" s="6" t="str">
        <f aca="false">'Dish Database'!I269</f>
        <v>g</v>
      </c>
      <c r="J947" s="13" t="n">
        <f aca="false">'Dish Database'!J269*H947/100</f>
        <v>910</v>
      </c>
      <c r="K947" s="17" t="n">
        <f aca="false">'Dish Database'!K269*H947/100</f>
        <v>30</v>
      </c>
      <c r="L947" s="17" t="n">
        <f aca="false">'Dish Database'!L269*H947/100</f>
        <v>45</v>
      </c>
      <c r="M947" s="17" t="n">
        <f aca="false">'Dish Database'!M269*H947/100</f>
        <v>70</v>
      </c>
      <c r="N947" s="17" t="n">
        <f aca="false">'Dish Database'!N269*H947/100</f>
        <v>10</v>
      </c>
      <c r="O947" s="17" t="n">
        <f aca="false">'Dish Database'!O269*H947/100</f>
        <v>15</v>
      </c>
      <c r="P947" s="13" t="n">
        <f aca="false">'Dish Database'!P269*H947/100</f>
        <v>2100</v>
      </c>
    </row>
    <row r="948" customFormat="false" ht="15" hidden="false" customHeight="false" outlineLevel="0" collapsed="false">
      <c r="A948" s="6" t="str">
        <f aca="false">'Dish Database'!A270</f>
        <v>D269</v>
      </c>
      <c r="B948" s="6" t="str">
        <f aca="false">'Dish Database'!B270</f>
        <v>Methi malai matar</v>
      </c>
      <c r="C948" s="6" t="str">
        <f aca="false">'Dish Database'!D270</f>
        <v>Veg Curries (Gravy)</v>
      </c>
      <c r="D948" s="6" t="str">
        <f aca="false">'Dish Database'!F270</f>
        <v>Veg</v>
      </c>
      <c r="E948" s="6" t="str">
        <f aca="false">'Dish Database'!E270</f>
        <v>North</v>
      </c>
      <c r="F948" s="6" t="s">
        <v>2243</v>
      </c>
      <c r="G948" s="6" t="s">
        <v>2500</v>
      </c>
      <c r="H948" s="16" t="n">
        <v>100</v>
      </c>
      <c r="I948" s="6" t="str">
        <f aca="false">'Dish Database'!I270</f>
        <v>g</v>
      </c>
      <c r="J948" s="13" t="n">
        <f aca="false">'Dish Database'!J270*H948/100</f>
        <v>162</v>
      </c>
      <c r="K948" s="17" t="n">
        <f aca="false">'Dish Database'!K270*H948/100</f>
        <v>4</v>
      </c>
      <c r="L948" s="17" t="n">
        <f aca="false">'Dish Database'!L270*H948/100</f>
        <v>11</v>
      </c>
      <c r="M948" s="17" t="n">
        <f aca="false">'Dish Database'!M270*H948/100</f>
        <v>12</v>
      </c>
      <c r="N948" s="17" t="n">
        <f aca="false">'Dish Database'!N270*H948/100</f>
        <v>3</v>
      </c>
      <c r="O948" s="17" t="n">
        <f aca="false">'Dish Database'!O270*H948/100</f>
        <v>3.5</v>
      </c>
      <c r="P948" s="13" t="n">
        <f aca="false">'Dish Database'!P270*H948/100</f>
        <v>420</v>
      </c>
    </row>
    <row r="949" customFormat="false" ht="15" hidden="false" customHeight="false" outlineLevel="0" collapsed="false">
      <c r="A949" s="6" t="str">
        <f aca="false">'Dish Database'!A270</f>
        <v>D269</v>
      </c>
      <c r="B949" s="6" t="str">
        <f aca="false">'Dish Database'!B270</f>
        <v>Methi malai matar</v>
      </c>
      <c r="C949" s="6" t="str">
        <f aca="false">'Dish Database'!D270</f>
        <v>Veg Curries (Gravy)</v>
      </c>
      <c r="D949" s="6" t="str">
        <f aca="false">'Dish Database'!F270</f>
        <v>Veg</v>
      </c>
      <c r="E949" s="6" t="str">
        <f aca="false">'Dish Database'!E270</f>
        <v>North</v>
      </c>
      <c r="F949" s="6" t="s">
        <v>103</v>
      </c>
      <c r="G949" s="6" t="s">
        <v>2501</v>
      </c>
      <c r="H949" s="16" t="n">
        <v>150</v>
      </c>
      <c r="I949" s="6" t="str">
        <f aca="false">'Dish Database'!I270</f>
        <v>g</v>
      </c>
      <c r="J949" s="13" t="n">
        <f aca="false">'Dish Database'!J270*H949/100</f>
        <v>243</v>
      </c>
      <c r="K949" s="17" t="n">
        <f aca="false">'Dish Database'!K270*H949/100</f>
        <v>6</v>
      </c>
      <c r="L949" s="17" t="n">
        <f aca="false">'Dish Database'!L270*H949/100</f>
        <v>16.5</v>
      </c>
      <c r="M949" s="17" t="n">
        <f aca="false">'Dish Database'!M270*H949/100</f>
        <v>18</v>
      </c>
      <c r="N949" s="17" t="n">
        <f aca="false">'Dish Database'!N270*H949/100</f>
        <v>4.5</v>
      </c>
      <c r="O949" s="17" t="n">
        <f aca="false">'Dish Database'!O270*H949/100</f>
        <v>5.25</v>
      </c>
      <c r="P949" s="13" t="n">
        <f aca="false">'Dish Database'!P270*H949/100</f>
        <v>630</v>
      </c>
    </row>
    <row r="950" customFormat="false" ht="15" hidden="false" customHeight="false" outlineLevel="0" collapsed="false">
      <c r="A950" s="6" t="str">
        <f aca="false">'Dish Database'!A270</f>
        <v>D269</v>
      </c>
      <c r="B950" s="6" t="str">
        <f aca="false">'Dish Database'!B270</f>
        <v>Methi malai matar</v>
      </c>
      <c r="C950" s="6" t="str">
        <f aca="false">'Dish Database'!D270</f>
        <v>Veg Curries (Gravy)</v>
      </c>
      <c r="D950" s="6" t="str">
        <f aca="false">'Dish Database'!F270</f>
        <v>Veg</v>
      </c>
      <c r="E950" s="6" t="str">
        <f aca="false">'Dish Database'!E270</f>
        <v>North</v>
      </c>
      <c r="F950" s="6" t="s">
        <v>2246</v>
      </c>
      <c r="G950" s="6" t="s">
        <v>2502</v>
      </c>
      <c r="H950" s="16" t="n">
        <v>200</v>
      </c>
      <c r="I950" s="6" t="str">
        <f aca="false">'Dish Database'!I270</f>
        <v>g</v>
      </c>
      <c r="J950" s="13" t="n">
        <f aca="false">'Dish Database'!J270*H950/100</f>
        <v>324</v>
      </c>
      <c r="K950" s="17" t="n">
        <f aca="false">'Dish Database'!K270*H950/100</f>
        <v>8</v>
      </c>
      <c r="L950" s="17" t="n">
        <f aca="false">'Dish Database'!L270*H950/100</f>
        <v>22</v>
      </c>
      <c r="M950" s="17" t="n">
        <f aca="false">'Dish Database'!M270*H950/100</f>
        <v>24</v>
      </c>
      <c r="N950" s="17" t="n">
        <f aca="false">'Dish Database'!N270*H950/100</f>
        <v>6</v>
      </c>
      <c r="O950" s="17" t="n">
        <f aca="false">'Dish Database'!O270*H950/100</f>
        <v>7</v>
      </c>
      <c r="P950" s="13" t="n">
        <f aca="false">'Dish Database'!P270*H950/100</f>
        <v>840</v>
      </c>
    </row>
    <row r="951" customFormat="false" ht="15" hidden="false" customHeight="false" outlineLevel="0" collapsed="false">
      <c r="A951" s="6" t="str">
        <f aca="false">'Dish Database'!A270</f>
        <v>D269</v>
      </c>
      <c r="B951" s="6" t="str">
        <f aca="false">'Dish Database'!B270</f>
        <v>Methi malai matar</v>
      </c>
      <c r="C951" s="6" t="str">
        <f aca="false">'Dish Database'!D270</f>
        <v>Veg Curries (Gravy)</v>
      </c>
      <c r="D951" s="6" t="str">
        <f aca="false">'Dish Database'!F270</f>
        <v>Veg</v>
      </c>
      <c r="E951" s="6" t="str">
        <f aca="false">'Dish Database'!E270</f>
        <v>North</v>
      </c>
      <c r="F951" s="6" t="s">
        <v>2323</v>
      </c>
      <c r="G951" s="6" t="s">
        <v>2503</v>
      </c>
      <c r="H951" s="16" t="n">
        <v>250</v>
      </c>
      <c r="I951" s="6" t="str">
        <f aca="false">'Dish Database'!I270</f>
        <v>g</v>
      </c>
      <c r="J951" s="13" t="n">
        <f aca="false">'Dish Database'!J270*H951/100</f>
        <v>405</v>
      </c>
      <c r="K951" s="17" t="n">
        <f aca="false">'Dish Database'!K270*H951/100</f>
        <v>10</v>
      </c>
      <c r="L951" s="17" t="n">
        <f aca="false">'Dish Database'!L270*H951/100</f>
        <v>27.5</v>
      </c>
      <c r="M951" s="17" t="n">
        <f aca="false">'Dish Database'!M270*H951/100</f>
        <v>30</v>
      </c>
      <c r="N951" s="17" t="n">
        <f aca="false">'Dish Database'!N270*H951/100</f>
        <v>7.5</v>
      </c>
      <c r="O951" s="17" t="n">
        <f aca="false">'Dish Database'!O270*H951/100</f>
        <v>8.75</v>
      </c>
      <c r="P951" s="13" t="n">
        <f aca="false">'Dish Database'!P270*H951/100</f>
        <v>1050</v>
      </c>
    </row>
    <row r="952" customFormat="false" ht="15" hidden="false" customHeight="false" outlineLevel="0" collapsed="false">
      <c r="A952" s="6" t="str">
        <f aca="false">'Dish Database'!A270</f>
        <v>D269</v>
      </c>
      <c r="B952" s="6" t="str">
        <f aca="false">'Dish Database'!B270</f>
        <v>Methi malai matar</v>
      </c>
      <c r="C952" s="6" t="str">
        <f aca="false">'Dish Database'!D270</f>
        <v>Veg Curries (Gravy)</v>
      </c>
      <c r="D952" s="6" t="str">
        <f aca="false">'Dish Database'!F270</f>
        <v>Veg</v>
      </c>
      <c r="E952" s="6" t="str">
        <f aca="false">'Dish Database'!E270</f>
        <v>North</v>
      </c>
      <c r="F952" s="6" t="s">
        <v>2325</v>
      </c>
      <c r="G952" s="6" t="s">
        <v>2504</v>
      </c>
      <c r="H952" s="16" t="n">
        <v>500</v>
      </c>
      <c r="I952" s="6" t="str">
        <f aca="false">'Dish Database'!I270</f>
        <v>g</v>
      </c>
      <c r="J952" s="13" t="n">
        <f aca="false">'Dish Database'!J270*H952/100</f>
        <v>810</v>
      </c>
      <c r="K952" s="17" t="n">
        <f aca="false">'Dish Database'!K270*H952/100</f>
        <v>20</v>
      </c>
      <c r="L952" s="17" t="n">
        <f aca="false">'Dish Database'!L270*H952/100</f>
        <v>55</v>
      </c>
      <c r="M952" s="17" t="n">
        <f aca="false">'Dish Database'!M270*H952/100</f>
        <v>60</v>
      </c>
      <c r="N952" s="17" t="n">
        <f aca="false">'Dish Database'!N270*H952/100</f>
        <v>15</v>
      </c>
      <c r="O952" s="17" t="n">
        <f aca="false">'Dish Database'!O270*H952/100</f>
        <v>17.5</v>
      </c>
      <c r="P952" s="13" t="n">
        <f aca="false">'Dish Database'!P270*H952/100</f>
        <v>2100</v>
      </c>
    </row>
    <row r="953" customFormat="false" ht="15" hidden="false" customHeight="false" outlineLevel="0" collapsed="false">
      <c r="A953" s="6" t="str">
        <f aca="false">'Dish Database'!A271</f>
        <v>D270</v>
      </c>
      <c r="B953" s="6" t="str">
        <f aca="false">'Dish Database'!B271</f>
        <v>Malai kofta</v>
      </c>
      <c r="C953" s="6" t="str">
        <f aca="false">'Dish Database'!D271</f>
        <v>Veg Curries (Gravy)</v>
      </c>
      <c r="D953" s="6" t="str">
        <f aca="false">'Dish Database'!F271</f>
        <v>Veg</v>
      </c>
      <c r="E953" s="6" t="str">
        <f aca="false">'Dish Database'!E271</f>
        <v>North</v>
      </c>
      <c r="F953" s="6" t="s">
        <v>2243</v>
      </c>
      <c r="G953" s="6" t="s">
        <v>2500</v>
      </c>
      <c r="H953" s="16" t="n">
        <v>100</v>
      </c>
      <c r="I953" s="6" t="str">
        <f aca="false">'Dish Database'!I271</f>
        <v>g</v>
      </c>
      <c r="J953" s="13" t="n">
        <f aca="false">'Dish Database'!J271*H953/100</f>
        <v>212.8</v>
      </c>
      <c r="K953" s="17" t="n">
        <f aca="false">'Dish Database'!K271*H953/100</f>
        <v>5</v>
      </c>
      <c r="L953" s="17" t="n">
        <f aca="false">'Dish Database'!L271*H953/100</f>
        <v>13</v>
      </c>
      <c r="M953" s="17" t="n">
        <f aca="false">'Dish Database'!M271*H953/100</f>
        <v>16</v>
      </c>
      <c r="N953" s="17" t="n">
        <f aca="false">'Dish Database'!N271*H953/100</f>
        <v>1.6</v>
      </c>
      <c r="O953" s="17" t="n">
        <f aca="false">'Dish Database'!O271*H953/100</f>
        <v>4.5</v>
      </c>
      <c r="P953" s="13" t="n">
        <f aca="false">'Dish Database'!P271*H953/100</f>
        <v>420</v>
      </c>
    </row>
    <row r="954" customFormat="false" ht="15" hidden="false" customHeight="false" outlineLevel="0" collapsed="false">
      <c r="A954" s="6" t="str">
        <f aca="false">'Dish Database'!A271</f>
        <v>D270</v>
      </c>
      <c r="B954" s="6" t="str">
        <f aca="false">'Dish Database'!B271</f>
        <v>Malai kofta</v>
      </c>
      <c r="C954" s="6" t="str">
        <f aca="false">'Dish Database'!D271</f>
        <v>Veg Curries (Gravy)</v>
      </c>
      <c r="D954" s="6" t="str">
        <f aca="false">'Dish Database'!F271</f>
        <v>Veg</v>
      </c>
      <c r="E954" s="6" t="str">
        <f aca="false">'Dish Database'!E271</f>
        <v>North</v>
      </c>
      <c r="F954" s="6" t="s">
        <v>103</v>
      </c>
      <c r="G954" s="6" t="s">
        <v>2501</v>
      </c>
      <c r="H954" s="16" t="n">
        <v>150</v>
      </c>
      <c r="I954" s="6" t="str">
        <f aca="false">'Dish Database'!I271</f>
        <v>g</v>
      </c>
      <c r="J954" s="13" t="n">
        <f aca="false">'Dish Database'!J271*H954/100</f>
        <v>319.2</v>
      </c>
      <c r="K954" s="17" t="n">
        <f aca="false">'Dish Database'!K271*H954/100</f>
        <v>7.5</v>
      </c>
      <c r="L954" s="17" t="n">
        <f aca="false">'Dish Database'!L271*H954/100</f>
        <v>19.5</v>
      </c>
      <c r="M954" s="17" t="n">
        <f aca="false">'Dish Database'!M271*H954/100</f>
        <v>24</v>
      </c>
      <c r="N954" s="17" t="n">
        <f aca="false">'Dish Database'!N271*H954/100</f>
        <v>2.4</v>
      </c>
      <c r="O954" s="17" t="n">
        <f aca="false">'Dish Database'!O271*H954/100</f>
        <v>6.75</v>
      </c>
      <c r="P954" s="13" t="n">
        <f aca="false">'Dish Database'!P271*H954/100</f>
        <v>630</v>
      </c>
    </row>
    <row r="955" customFormat="false" ht="15" hidden="false" customHeight="false" outlineLevel="0" collapsed="false">
      <c r="A955" s="6" t="str">
        <f aca="false">'Dish Database'!A271</f>
        <v>D270</v>
      </c>
      <c r="B955" s="6" t="str">
        <f aca="false">'Dish Database'!B271</f>
        <v>Malai kofta</v>
      </c>
      <c r="C955" s="6" t="str">
        <f aca="false">'Dish Database'!D271</f>
        <v>Veg Curries (Gravy)</v>
      </c>
      <c r="D955" s="6" t="str">
        <f aca="false">'Dish Database'!F271</f>
        <v>Veg</v>
      </c>
      <c r="E955" s="6" t="str">
        <f aca="false">'Dish Database'!E271</f>
        <v>North</v>
      </c>
      <c r="F955" s="6" t="s">
        <v>2246</v>
      </c>
      <c r="G955" s="6" t="s">
        <v>2502</v>
      </c>
      <c r="H955" s="16" t="n">
        <v>200</v>
      </c>
      <c r="I955" s="6" t="str">
        <f aca="false">'Dish Database'!I271</f>
        <v>g</v>
      </c>
      <c r="J955" s="13" t="n">
        <f aca="false">'Dish Database'!J271*H955/100</f>
        <v>425.6</v>
      </c>
      <c r="K955" s="17" t="n">
        <f aca="false">'Dish Database'!K271*H955/100</f>
        <v>10</v>
      </c>
      <c r="L955" s="17" t="n">
        <f aca="false">'Dish Database'!L271*H955/100</f>
        <v>26</v>
      </c>
      <c r="M955" s="17" t="n">
        <f aca="false">'Dish Database'!M271*H955/100</f>
        <v>32</v>
      </c>
      <c r="N955" s="17" t="n">
        <f aca="false">'Dish Database'!N271*H955/100</f>
        <v>3.2</v>
      </c>
      <c r="O955" s="17" t="n">
        <f aca="false">'Dish Database'!O271*H955/100</f>
        <v>9</v>
      </c>
      <c r="P955" s="13" t="n">
        <f aca="false">'Dish Database'!P271*H955/100</f>
        <v>840</v>
      </c>
    </row>
    <row r="956" customFormat="false" ht="15" hidden="false" customHeight="false" outlineLevel="0" collapsed="false">
      <c r="A956" s="6" t="str">
        <f aca="false">'Dish Database'!A271</f>
        <v>D270</v>
      </c>
      <c r="B956" s="6" t="str">
        <f aca="false">'Dish Database'!B271</f>
        <v>Malai kofta</v>
      </c>
      <c r="C956" s="6" t="str">
        <f aca="false">'Dish Database'!D271</f>
        <v>Veg Curries (Gravy)</v>
      </c>
      <c r="D956" s="6" t="str">
        <f aca="false">'Dish Database'!F271</f>
        <v>Veg</v>
      </c>
      <c r="E956" s="6" t="str">
        <f aca="false">'Dish Database'!E271</f>
        <v>North</v>
      </c>
      <c r="F956" s="6" t="s">
        <v>2323</v>
      </c>
      <c r="G956" s="6" t="s">
        <v>2503</v>
      </c>
      <c r="H956" s="16" t="n">
        <v>250</v>
      </c>
      <c r="I956" s="6" t="str">
        <f aca="false">'Dish Database'!I271</f>
        <v>g</v>
      </c>
      <c r="J956" s="13" t="n">
        <f aca="false">'Dish Database'!J271*H956/100</f>
        <v>532</v>
      </c>
      <c r="K956" s="17" t="n">
        <f aca="false">'Dish Database'!K271*H956/100</f>
        <v>12.5</v>
      </c>
      <c r="L956" s="17" t="n">
        <f aca="false">'Dish Database'!L271*H956/100</f>
        <v>32.5</v>
      </c>
      <c r="M956" s="17" t="n">
        <f aca="false">'Dish Database'!M271*H956/100</f>
        <v>40</v>
      </c>
      <c r="N956" s="17" t="n">
        <f aca="false">'Dish Database'!N271*H956/100</f>
        <v>4</v>
      </c>
      <c r="O956" s="17" t="n">
        <f aca="false">'Dish Database'!O271*H956/100</f>
        <v>11.25</v>
      </c>
      <c r="P956" s="13" t="n">
        <f aca="false">'Dish Database'!P271*H956/100</f>
        <v>1050</v>
      </c>
    </row>
    <row r="957" customFormat="false" ht="15" hidden="false" customHeight="false" outlineLevel="0" collapsed="false">
      <c r="A957" s="6" t="str">
        <f aca="false">'Dish Database'!A271</f>
        <v>D270</v>
      </c>
      <c r="B957" s="6" t="str">
        <f aca="false">'Dish Database'!B271</f>
        <v>Malai kofta</v>
      </c>
      <c r="C957" s="6" t="str">
        <f aca="false">'Dish Database'!D271</f>
        <v>Veg Curries (Gravy)</v>
      </c>
      <c r="D957" s="6" t="str">
        <f aca="false">'Dish Database'!F271</f>
        <v>Veg</v>
      </c>
      <c r="E957" s="6" t="str">
        <f aca="false">'Dish Database'!E271</f>
        <v>North</v>
      </c>
      <c r="F957" s="6" t="s">
        <v>2325</v>
      </c>
      <c r="G957" s="6" t="s">
        <v>2504</v>
      </c>
      <c r="H957" s="16" t="n">
        <v>500</v>
      </c>
      <c r="I957" s="6" t="str">
        <f aca="false">'Dish Database'!I271</f>
        <v>g</v>
      </c>
      <c r="J957" s="13" t="n">
        <f aca="false">'Dish Database'!J271*H957/100</f>
        <v>1064</v>
      </c>
      <c r="K957" s="17" t="n">
        <f aca="false">'Dish Database'!K271*H957/100</f>
        <v>25</v>
      </c>
      <c r="L957" s="17" t="n">
        <f aca="false">'Dish Database'!L271*H957/100</f>
        <v>65</v>
      </c>
      <c r="M957" s="17" t="n">
        <f aca="false">'Dish Database'!M271*H957/100</f>
        <v>80</v>
      </c>
      <c r="N957" s="17" t="n">
        <f aca="false">'Dish Database'!N271*H957/100</f>
        <v>8</v>
      </c>
      <c r="O957" s="17" t="n">
        <f aca="false">'Dish Database'!O271*H957/100</f>
        <v>22.5</v>
      </c>
      <c r="P957" s="13" t="n">
        <f aca="false">'Dish Database'!P271*H957/100</f>
        <v>2100</v>
      </c>
    </row>
    <row r="958" customFormat="false" ht="15" hidden="false" customHeight="false" outlineLevel="0" collapsed="false">
      <c r="A958" s="6" t="str">
        <f aca="false">'Dish Database'!A272</f>
        <v>D271</v>
      </c>
      <c r="B958" s="6" t="str">
        <f aca="false">'Dish Database'!B272</f>
        <v>Dum aloo</v>
      </c>
      <c r="C958" s="6" t="str">
        <f aca="false">'Dish Database'!D272</f>
        <v>Veg Curries (Gravy)</v>
      </c>
      <c r="D958" s="6" t="str">
        <f aca="false">'Dish Database'!F272</f>
        <v>Veg</v>
      </c>
      <c r="E958" s="6" t="str">
        <f aca="false">'Dish Database'!E272</f>
        <v>North</v>
      </c>
      <c r="F958" s="6" t="s">
        <v>2243</v>
      </c>
      <c r="G958" s="6" t="s">
        <v>2500</v>
      </c>
      <c r="H958" s="16" t="n">
        <v>100</v>
      </c>
      <c r="I958" s="6" t="str">
        <f aca="false">'Dish Database'!I272</f>
        <v>g</v>
      </c>
      <c r="J958" s="13" t="n">
        <f aca="false">'Dish Database'!J272*H958/100</f>
        <v>136.9</v>
      </c>
      <c r="K958" s="17" t="n">
        <f aca="false">'Dish Database'!K272*H958/100</f>
        <v>2</v>
      </c>
      <c r="L958" s="17" t="n">
        <f aca="false">'Dish Database'!L272*H958/100</f>
        <v>14</v>
      </c>
      <c r="M958" s="17" t="n">
        <f aca="false">'Dish Database'!M272*H958/100</f>
        <v>8.5</v>
      </c>
      <c r="N958" s="17" t="n">
        <f aca="false">'Dish Database'!N272*H958/100</f>
        <v>1.8</v>
      </c>
      <c r="O958" s="17" t="n">
        <f aca="false">'Dish Database'!O272*H958/100</f>
        <v>2.5</v>
      </c>
      <c r="P958" s="13" t="n">
        <f aca="false">'Dish Database'!P272*H958/100</f>
        <v>380</v>
      </c>
    </row>
    <row r="959" customFormat="false" ht="15" hidden="false" customHeight="false" outlineLevel="0" collapsed="false">
      <c r="A959" s="6" t="str">
        <f aca="false">'Dish Database'!A272</f>
        <v>D271</v>
      </c>
      <c r="B959" s="6" t="str">
        <f aca="false">'Dish Database'!B272</f>
        <v>Dum aloo</v>
      </c>
      <c r="C959" s="6" t="str">
        <f aca="false">'Dish Database'!D272</f>
        <v>Veg Curries (Gravy)</v>
      </c>
      <c r="D959" s="6" t="str">
        <f aca="false">'Dish Database'!F272</f>
        <v>Veg</v>
      </c>
      <c r="E959" s="6" t="str">
        <f aca="false">'Dish Database'!E272</f>
        <v>North</v>
      </c>
      <c r="F959" s="6" t="s">
        <v>103</v>
      </c>
      <c r="G959" s="6" t="s">
        <v>2501</v>
      </c>
      <c r="H959" s="16" t="n">
        <v>150</v>
      </c>
      <c r="I959" s="6" t="str">
        <f aca="false">'Dish Database'!I272</f>
        <v>g</v>
      </c>
      <c r="J959" s="13" t="n">
        <f aca="false">'Dish Database'!J272*H959/100</f>
        <v>205.35</v>
      </c>
      <c r="K959" s="17" t="n">
        <f aca="false">'Dish Database'!K272*H959/100</f>
        <v>3</v>
      </c>
      <c r="L959" s="17" t="n">
        <f aca="false">'Dish Database'!L272*H959/100</f>
        <v>21</v>
      </c>
      <c r="M959" s="17" t="n">
        <f aca="false">'Dish Database'!M272*H959/100</f>
        <v>12.75</v>
      </c>
      <c r="N959" s="17" t="n">
        <f aca="false">'Dish Database'!N272*H959/100</f>
        <v>2.7</v>
      </c>
      <c r="O959" s="17" t="n">
        <f aca="false">'Dish Database'!O272*H959/100</f>
        <v>3.75</v>
      </c>
      <c r="P959" s="13" t="n">
        <f aca="false">'Dish Database'!P272*H959/100</f>
        <v>570</v>
      </c>
    </row>
    <row r="960" customFormat="false" ht="15" hidden="false" customHeight="false" outlineLevel="0" collapsed="false">
      <c r="A960" s="6" t="str">
        <f aca="false">'Dish Database'!A272</f>
        <v>D271</v>
      </c>
      <c r="B960" s="6" t="str">
        <f aca="false">'Dish Database'!B272</f>
        <v>Dum aloo</v>
      </c>
      <c r="C960" s="6" t="str">
        <f aca="false">'Dish Database'!D272</f>
        <v>Veg Curries (Gravy)</v>
      </c>
      <c r="D960" s="6" t="str">
        <f aca="false">'Dish Database'!F272</f>
        <v>Veg</v>
      </c>
      <c r="E960" s="6" t="str">
        <f aca="false">'Dish Database'!E272</f>
        <v>North</v>
      </c>
      <c r="F960" s="6" t="s">
        <v>2246</v>
      </c>
      <c r="G960" s="6" t="s">
        <v>2502</v>
      </c>
      <c r="H960" s="16" t="n">
        <v>200</v>
      </c>
      <c r="I960" s="6" t="str">
        <f aca="false">'Dish Database'!I272</f>
        <v>g</v>
      </c>
      <c r="J960" s="13" t="n">
        <f aca="false">'Dish Database'!J272*H960/100</f>
        <v>273.8</v>
      </c>
      <c r="K960" s="17" t="n">
        <f aca="false">'Dish Database'!K272*H960/100</f>
        <v>4</v>
      </c>
      <c r="L960" s="17" t="n">
        <f aca="false">'Dish Database'!L272*H960/100</f>
        <v>28</v>
      </c>
      <c r="M960" s="17" t="n">
        <f aca="false">'Dish Database'!M272*H960/100</f>
        <v>17</v>
      </c>
      <c r="N960" s="17" t="n">
        <f aca="false">'Dish Database'!N272*H960/100</f>
        <v>3.6</v>
      </c>
      <c r="O960" s="17" t="n">
        <f aca="false">'Dish Database'!O272*H960/100</f>
        <v>5</v>
      </c>
      <c r="P960" s="13" t="n">
        <f aca="false">'Dish Database'!P272*H960/100</f>
        <v>760</v>
      </c>
    </row>
    <row r="961" customFormat="false" ht="15" hidden="false" customHeight="false" outlineLevel="0" collapsed="false">
      <c r="A961" s="6" t="str">
        <f aca="false">'Dish Database'!A272</f>
        <v>D271</v>
      </c>
      <c r="B961" s="6" t="str">
        <f aca="false">'Dish Database'!B272</f>
        <v>Dum aloo</v>
      </c>
      <c r="C961" s="6" t="str">
        <f aca="false">'Dish Database'!D272</f>
        <v>Veg Curries (Gravy)</v>
      </c>
      <c r="D961" s="6" t="str">
        <f aca="false">'Dish Database'!F272</f>
        <v>Veg</v>
      </c>
      <c r="E961" s="6" t="str">
        <f aca="false">'Dish Database'!E272</f>
        <v>North</v>
      </c>
      <c r="F961" s="6" t="s">
        <v>2323</v>
      </c>
      <c r="G961" s="6" t="s">
        <v>2503</v>
      </c>
      <c r="H961" s="16" t="n">
        <v>250</v>
      </c>
      <c r="I961" s="6" t="str">
        <f aca="false">'Dish Database'!I272</f>
        <v>g</v>
      </c>
      <c r="J961" s="13" t="n">
        <f aca="false">'Dish Database'!J272*H961/100</f>
        <v>342.25</v>
      </c>
      <c r="K961" s="17" t="n">
        <f aca="false">'Dish Database'!K272*H961/100</f>
        <v>5</v>
      </c>
      <c r="L961" s="17" t="n">
        <f aca="false">'Dish Database'!L272*H961/100</f>
        <v>35</v>
      </c>
      <c r="M961" s="17" t="n">
        <f aca="false">'Dish Database'!M272*H961/100</f>
        <v>21.25</v>
      </c>
      <c r="N961" s="17" t="n">
        <f aca="false">'Dish Database'!N272*H961/100</f>
        <v>4.5</v>
      </c>
      <c r="O961" s="17" t="n">
        <f aca="false">'Dish Database'!O272*H961/100</f>
        <v>6.25</v>
      </c>
      <c r="P961" s="13" t="n">
        <f aca="false">'Dish Database'!P272*H961/100</f>
        <v>950</v>
      </c>
    </row>
    <row r="962" customFormat="false" ht="15" hidden="false" customHeight="false" outlineLevel="0" collapsed="false">
      <c r="A962" s="6" t="str">
        <f aca="false">'Dish Database'!A272</f>
        <v>D271</v>
      </c>
      <c r="B962" s="6" t="str">
        <f aca="false">'Dish Database'!B272</f>
        <v>Dum aloo</v>
      </c>
      <c r="C962" s="6" t="str">
        <f aca="false">'Dish Database'!D272</f>
        <v>Veg Curries (Gravy)</v>
      </c>
      <c r="D962" s="6" t="str">
        <f aca="false">'Dish Database'!F272</f>
        <v>Veg</v>
      </c>
      <c r="E962" s="6" t="str">
        <f aca="false">'Dish Database'!E272</f>
        <v>North</v>
      </c>
      <c r="F962" s="6" t="s">
        <v>2325</v>
      </c>
      <c r="G962" s="6" t="s">
        <v>2504</v>
      </c>
      <c r="H962" s="16" t="n">
        <v>500</v>
      </c>
      <c r="I962" s="6" t="str">
        <f aca="false">'Dish Database'!I272</f>
        <v>g</v>
      </c>
      <c r="J962" s="13" t="n">
        <f aca="false">'Dish Database'!J272*H962/100</f>
        <v>684.5</v>
      </c>
      <c r="K962" s="17" t="n">
        <f aca="false">'Dish Database'!K272*H962/100</f>
        <v>10</v>
      </c>
      <c r="L962" s="17" t="n">
        <f aca="false">'Dish Database'!L272*H962/100</f>
        <v>70</v>
      </c>
      <c r="M962" s="17" t="n">
        <f aca="false">'Dish Database'!M272*H962/100</f>
        <v>42.5</v>
      </c>
      <c r="N962" s="17" t="n">
        <f aca="false">'Dish Database'!N272*H962/100</f>
        <v>9</v>
      </c>
      <c r="O962" s="17" t="n">
        <f aca="false">'Dish Database'!O272*H962/100</f>
        <v>12.5</v>
      </c>
      <c r="P962" s="13" t="n">
        <f aca="false">'Dish Database'!P272*H962/100</f>
        <v>1900</v>
      </c>
    </row>
    <row r="963" customFormat="false" ht="15" hidden="false" customHeight="false" outlineLevel="0" collapsed="false">
      <c r="A963" s="6" t="str">
        <f aca="false">'Dish Database'!A273</f>
        <v>D272</v>
      </c>
      <c r="B963" s="6" t="str">
        <f aca="false">'Dish Database'!B273</f>
        <v>Aloo matar</v>
      </c>
      <c r="C963" s="6" t="str">
        <f aca="false">'Dish Database'!D273</f>
        <v>Veg Curries (Gravy)</v>
      </c>
      <c r="D963" s="6" t="str">
        <f aca="false">'Dish Database'!F273</f>
        <v>Veg</v>
      </c>
      <c r="E963" s="6" t="str">
        <f aca="false">'Dish Database'!E273</f>
        <v>North</v>
      </c>
      <c r="F963" s="6" t="s">
        <v>2243</v>
      </c>
      <c r="G963" s="6" t="s">
        <v>2500</v>
      </c>
      <c r="H963" s="16" t="n">
        <v>100</v>
      </c>
      <c r="I963" s="6" t="str">
        <f aca="false">'Dish Database'!I273</f>
        <v>g</v>
      </c>
      <c r="J963" s="13" t="n">
        <f aca="false">'Dish Database'!J273*H963/100</f>
        <v>102.6</v>
      </c>
      <c r="K963" s="17" t="n">
        <f aca="false">'Dish Database'!K273*H963/100</f>
        <v>2.8</v>
      </c>
      <c r="L963" s="17" t="n">
        <f aca="false">'Dish Database'!L273*H963/100</f>
        <v>13</v>
      </c>
      <c r="M963" s="17" t="n">
        <f aca="false">'Dish Database'!M273*H963/100</f>
        <v>5</v>
      </c>
      <c r="N963" s="17" t="n">
        <f aca="false">'Dish Database'!N273*H963/100</f>
        <v>2.8</v>
      </c>
      <c r="O963" s="17" t="n">
        <f aca="false">'Dish Database'!O273*H963/100</f>
        <v>2.5</v>
      </c>
      <c r="P963" s="13" t="n">
        <f aca="false">'Dish Database'!P273*H963/100</f>
        <v>350</v>
      </c>
    </row>
    <row r="964" customFormat="false" ht="15" hidden="false" customHeight="false" outlineLevel="0" collapsed="false">
      <c r="A964" s="6" t="str">
        <f aca="false">'Dish Database'!A273</f>
        <v>D272</v>
      </c>
      <c r="B964" s="6" t="str">
        <f aca="false">'Dish Database'!B273</f>
        <v>Aloo matar</v>
      </c>
      <c r="C964" s="6" t="str">
        <f aca="false">'Dish Database'!D273</f>
        <v>Veg Curries (Gravy)</v>
      </c>
      <c r="D964" s="6" t="str">
        <f aca="false">'Dish Database'!F273</f>
        <v>Veg</v>
      </c>
      <c r="E964" s="6" t="str">
        <f aca="false">'Dish Database'!E273</f>
        <v>North</v>
      </c>
      <c r="F964" s="6" t="s">
        <v>103</v>
      </c>
      <c r="G964" s="6" t="s">
        <v>2501</v>
      </c>
      <c r="H964" s="16" t="n">
        <v>150</v>
      </c>
      <c r="I964" s="6" t="str">
        <f aca="false">'Dish Database'!I273</f>
        <v>g</v>
      </c>
      <c r="J964" s="13" t="n">
        <f aca="false">'Dish Database'!J273*H964/100</f>
        <v>153.9</v>
      </c>
      <c r="K964" s="17" t="n">
        <f aca="false">'Dish Database'!K273*H964/100</f>
        <v>4.2</v>
      </c>
      <c r="L964" s="17" t="n">
        <f aca="false">'Dish Database'!L273*H964/100</f>
        <v>19.5</v>
      </c>
      <c r="M964" s="17" t="n">
        <f aca="false">'Dish Database'!M273*H964/100</f>
        <v>7.5</v>
      </c>
      <c r="N964" s="17" t="n">
        <f aca="false">'Dish Database'!N273*H964/100</f>
        <v>4.2</v>
      </c>
      <c r="O964" s="17" t="n">
        <f aca="false">'Dish Database'!O273*H964/100</f>
        <v>3.75</v>
      </c>
      <c r="P964" s="13" t="n">
        <f aca="false">'Dish Database'!P273*H964/100</f>
        <v>525</v>
      </c>
    </row>
    <row r="965" customFormat="false" ht="15" hidden="false" customHeight="false" outlineLevel="0" collapsed="false">
      <c r="A965" s="6" t="str">
        <f aca="false">'Dish Database'!A273</f>
        <v>D272</v>
      </c>
      <c r="B965" s="6" t="str">
        <f aca="false">'Dish Database'!B273</f>
        <v>Aloo matar</v>
      </c>
      <c r="C965" s="6" t="str">
        <f aca="false">'Dish Database'!D273</f>
        <v>Veg Curries (Gravy)</v>
      </c>
      <c r="D965" s="6" t="str">
        <f aca="false">'Dish Database'!F273</f>
        <v>Veg</v>
      </c>
      <c r="E965" s="6" t="str">
        <f aca="false">'Dish Database'!E273</f>
        <v>North</v>
      </c>
      <c r="F965" s="6" t="s">
        <v>2246</v>
      </c>
      <c r="G965" s="6" t="s">
        <v>2502</v>
      </c>
      <c r="H965" s="16" t="n">
        <v>200</v>
      </c>
      <c r="I965" s="6" t="str">
        <f aca="false">'Dish Database'!I273</f>
        <v>g</v>
      </c>
      <c r="J965" s="13" t="n">
        <f aca="false">'Dish Database'!J273*H965/100</f>
        <v>205.2</v>
      </c>
      <c r="K965" s="17" t="n">
        <f aca="false">'Dish Database'!K273*H965/100</f>
        <v>5.6</v>
      </c>
      <c r="L965" s="17" t="n">
        <f aca="false">'Dish Database'!L273*H965/100</f>
        <v>26</v>
      </c>
      <c r="M965" s="17" t="n">
        <f aca="false">'Dish Database'!M273*H965/100</f>
        <v>10</v>
      </c>
      <c r="N965" s="17" t="n">
        <f aca="false">'Dish Database'!N273*H965/100</f>
        <v>5.6</v>
      </c>
      <c r="O965" s="17" t="n">
        <f aca="false">'Dish Database'!O273*H965/100</f>
        <v>5</v>
      </c>
      <c r="P965" s="13" t="n">
        <f aca="false">'Dish Database'!P273*H965/100</f>
        <v>700</v>
      </c>
    </row>
    <row r="966" customFormat="false" ht="15" hidden="false" customHeight="false" outlineLevel="0" collapsed="false">
      <c r="A966" s="6" t="str">
        <f aca="false">'Dish Database'!A273</f>
        <v>D272</v>
      </c>
      <c r="B966" s="6" t="str">
        <f aca="false">'Dish Database'!B273</f>
        <v>Aloo matar</v>
      </c>
      <c r="C966" s="6" t="str">
        <f aca="false">'Dish Database'!D273</f>
        <v>Veg Curries (Gravy)</v>
      </c>
      <c r="D966" s="6" t="str">
        <f aca="false">'Dish Database'!F273</f>
        <v>Veg</v>
      </c>
      <c r="E966" s="6" t="str">
        <f aca="false">'Dish Database'!E273</f>
        <v>North</v>
      </c>
      <c r="F966" s="6" t="s">
        <v>2323</v>
      </c>
      <c r="G966" s="6" t="s">
        <v>2503</v>
      </c>
      <c r="H966" s="16" t="n">
        <v>250</v>
      </c>
      <c r="I966" s="6" t="str">
        <f aca="false">'Dish Database'!I273</f>
        <v>g</v>
      </c>
      <c r="J966" s="13" t="n">
        <f aca="false">'Dish Database'!J273*H966/100</f>
        <v>256.5</v>
      </c>
      <c r="K966" s="17" t="n">
        <f aca="false">'Dish Database'!K273*H966/100</f>
        <v>7</v>
      </c>
      <c r="L966" s="17" t="n">
        <f aca="false">'Dish Database'!L273*H966/100</f>
        <v>32.5</v>
      </c>
      <c r="M966" s="17" t="n">
        <f aca="false">'Dish Database'!M273*H966/100</f>
        <v>12.5</v>
      </c>
      <c r="N966" s="17" t="n">
        <f aca="false">'Dish Database'!N273*H966/100</f>
        <v>7</v>
      </c>
      <c r="O966" s="17" t="n">
        <f aca="false">'Dish Database'!O273*H966/100</f>
        <v>6.25</v>
      </c>
      <c r="P966" s="13" t="n">
        <f aca="false">'Dish Database'!P273*H966/100</f>
        <v>875</v>
      </c>
    </row>
    <row r="967" customFormat="false" ht="15" hidden="false" customHeight="false" outlineLevel="0" collapsed="false">
      <c r="A967" s="6" t="str">
        <f aca="false">'Dish Database'!A273</f>
        <v>D272</v>
      </c>
      <c r="B967" s="6" t="str">
        <f aca="false">'Dish Database'!B273</f>
        <v>Aloo matar</v>
      </c>
      <c r="C967" s="6" t="str">
        <f aca="false">'Dish Database'!D273</f>
        <v>Veg Curries (Gravy)</v>
      </c>
      <c r="D967" s="6" t="str">
        <f aca="false">'Dish Database'!F273</f>
        <v>Veg</v>
      </c>
      <c r="E967" s="6" t="str">
        <f aca="false">'Dish Database'!E273</f>
        <v>North</v>
      </c>
      <c r="F967" s="6" t="s">
        <v>2325</v>
      </c>
      <c r="G967" s="6" t="s">
        <v>2504</v>
      </c>
      <c r="H967" s="16" t="n">
        <v>500</v>
      </c>
      <c r="I967" s="6" t="str">
        <f aca="false">'Dish Database'!I273</f>
        <v>g</v>
      </c>
      <c r="J967" s="13" t="n">
        <f aca="false">'Dish Database'!J273*H967/100</f>
        <v>513</v>
      </c>
      <c r="K967" s="17" t="n">
        <f aca="false">'Dish Database'!K273*H967/100</f>
        <v>14</v>
      </c>
      <c r="L967" s="17" t="n">
        <f aca="false">'Dish Database'!L273*H967/100</f>
        <v>65</v>
      </c>
      <c r="M967" s="17" t="n">
        <f aca="false">'Dish Database'!M273*H967/100</f>
        <v>25</v>
      </c>
      <c r="N967" s="17" t="n">
        <f aca="false">'Dish Database'!N273*H967/100</f>
        <v>14</v>
      </c>
      <c r="O967" s="17" t="n">
        <f aca="false">'Dish Database'!O273*H967/100</f>
        <v>12.5</v>
      </c>
      <c r="P967" s="13" t="n">
        <f aca="false">'Dish Database'!P273*H967/100</f>
        <v>1750</v>
      </c>
    </row>
    <row r="968" customFormat="false" ht="15" hidden="false" customHeight="false" outlineLevel="0" collapsed="false">
      <c r="A968" s="6" t="str">
        <f aca="false">'Dish Database'!A274</f>
        <v>D273</v>
      </c>
      <c r="B968" s="6" t="str">
        <f aca="false">'Dish Database'!B274</f>
        <v>Aloo tamatar (rasedar aloo)</v>
      </c>
      <c r="C968" s="6" t="str">
        <f aca="false">'Dish Database'!D274</f>
        <v>Veg Curries (Gravy)</v>
      </c>
      <c r="D968" s="6" t="str">
        <f aca="false">'Dish Database'!F274</f>
        <v>Veg</v>
      </c>
      <c r="E968" s="6" t="str">
        <f aca="false">'Dish Database'!E274</f>
        <v>North</v>
      </c>
      <c r="F968" s="6" t="s">
        <v>2243</v>
      </c>
      <c r="G968" s="6" t="s">
        <v>2500</v>
      </c>
      <c r="H968" s="16" t="n">
        <v>100</v>
      </c>
      <c r="I968" s="6" t="str">
        <f aca="false">'Dish Database'!I274</f>
        <v>g</v>
      </c>
      <c r="J968" s="13" t="n">
        <f aca="false">'Dish Database'!J274*H968/100</f>
        <v>87.6</v>
      </c>
      <c r="K968" s="17" t="n">
        <f aca="false">'Dish Database'!K274*H968/100</f>
        <v>1.8</v>
      </c>
      <c r="L968" s="17" t="n">
        <f aca="false">'Dish Database'!L274*H968/100</f>
        <v>12</v>
      </c>
      <c r="M968" s="17" t="n">
        <f aca="false">'Dish Database'!M274*H968/100</f>
        <v>4</v>
      </c>
      <c r="N968" s="17" t="n">
        <f aca="false">'Dish Database'!N274*H968/100</f>
        <v>1.8</v>
      </c>
      <c r="O968" s="17" t="n">
        <f aca="false">'Dish Database'!O274*H968/100</f>
        <v>2.5</v>
      </c>
      <c r="P968" s="13" t="n">
        <f aca="false">'Dish Database'!P274*H968/100</f>
        <v>350</v>
      </c>
    </row>
    <row r="969" customFormat="false" ht="15" hidden="false" customHeight="false" outlineLevel="0" collapsed="false">
      <c r="A969" s="6" t="str">
        <f aca="false">'Dish Database'!A274</f>
        <v>D273</v>
      </c>
      <c r="B969" s="6" t="str">
        <f aca="false">'Dish Database'!B274</f>
        <v>Aloo tamatar (rasedar aloo)</v>
      </c>
      <c r="C969" s="6" t="str">
        <f aca="false">'Dish Database'!D274</f>
        <v>Veg Curries (Gravy)</v>
      </c>
      <c r="D969" s="6" t="str">
        <f aca="false">'Dish Database'!F274</f>
        <v>Veg</v>
      </c>
      <c r="E969" s="6" t="str">
        <f aca="false">'Dish Database'!E274</f>
        <v>North</v>
      </c>
      <c r="F969" s="6" t="s">
        <v>103</v>
      </c>
      <c r="G969" s="6" t="s">
        <v>2501</v>
      </c>
      <c r="H969" s="16" t="n">
        <v>150</v>
      </c>
      <c r="I969" s="6" t="str">
        <f aca="false">'Dish Database'!I274</f>
        <v>g</v>
      </c>
      <c r="J969" s="13" t="n">
        <f aca="false">'Dish Database'!J274*H969/100</f>
        <v>131.4</v>
      </c>
      <c r="K969" s="17" t="n">
        <f aca="false">'Dish Database'!K274*H969/100</f>
        <v>2.7</v>
      </c>
      <c r="L969" s="17" t="n">
        <f aca="false">'Dish Database'!L274*H969/100</f>
        <v>18</v>
      </c>
      <c r="M969" s="17" t="n">
        <f aca="false">'Dish Database'!M274*H969/100</f>
        <v>6</v>
      </c>
      <c r="N969" s="17" t="n">
        <f aca="false">'Dish Database'!N274*H969/100</f>
        <v>2.7</v>
      </c>
      <c r="O969" s="17" t="n">
        <f aca="false">'Dish Database'!O274*H969/100</f>
        <v>3.75</v>
      </c>
      <c r="P969" s="13" t="n">
        <f aca="false">'Dish Database'!P274*H969/100</f>
        <v>525</v>
      </c>
    </row>
    <row r="970" customFormat="false" ht="15" hidden="false" customHeight="false" outlineLevel="0" collapsed="false">
      <c r="A970" s="6" t="str">
        <f aca="false">'Dish Database'!A274</f>
        <v>D273</v>
      </c>
      <c r="B970" s="6" t="str">
        <f aca="false">'Dish Database'!B274</f>
        <v>Aloo tamatar (rasedar aloo)</v>
      </c>
      <c r="C970" s="6" t="str">
        <f aca="false">'Dish Database'!D274</f>
        <v>Veg Curries (Gravy)</v>
      </c>
      <c r="D970" s="6" t="str">
        <f aca="false">'Dish Database'!F274</f>
        <v>Veg</v>
      </c>
      <c r="E970" s="6" t="str">
        <f aca="false">'Dish Database'!E274</f>
        <v>North</v>
      </c>
      <c r="F970" s="6" t="s">
        <v>2246</v>
      </c>
      <c r="G970" s="6" t="s">
        <v>2502</v>
      </c>
      <c r="H970" s="16" t="n">
        <v>200</v>
      </c>
      <c r="I970" s="6" t="str">
        <f aca="false">'Dish Database'!I274</f>
        <v>g</v>
      </c>
      <c r="J970" s="13" t="n">
        <f aca="false">'Dish Database'!J274*H970/100</f>
        <v>175.2</v>
      </c>
      <c r="K970" s="17" t="n">
        <f aca="false">'Dish Database'!K274*H970/100</f>
        <v>3.6</v>
      </c>
      <c r="L970" s="17" t="n">
        <f aca="false">'Dish Database'!L274*H970/100</f>
        <v>24</v>
      </c>
      <c r="M970" s="17" t="n">
        <f aca="false">'Dish Database'!M274*H970/100</f>
        <v>8</v>
      </c>
      <c r="N970" s="17" t="n">
        <f aca="false">'Dish Database'!N274*H970/100</f>
        <v>3.6</v>
      </c>
      <c r="O970" s="17" t="n">
        <f aca="false">'Dish Database'!O274*H970/100</f>
        <v>5</v>
      </c>
      <c r="P970" s="13" t="n">
        <f aca="false">'Dish Database'!P274*H970/100</f>
        <v>700</v>
      </c>
    </row>
    <row r="971" customFormat="false" ht="15" hidden="false" customHeight="false" outlineLevel="0" collapsed="false">
      <c r="A971" s="6" t="str">
        <f aca="false">'Dish Database'!A274</f>
        <v>D273</v>
      </c>
      <c r="B971" s="6" t="str">
        <f aca="false">'Dish Database'!B274</f>
        <v>Aloo tamatar (rasedar aloo)</v>
      </c>
      <c r="C971" s="6" t="str">
        <f aca="false">'Dish Database'!D274</f>
        <v>Veg Curries (Gravy)</v>
      </c>
      <c r="D971" s="6" t="str">
        <f aca="false">'Dish Database'!F274</f>
        <v>Veg</v>
      </c>
      <c r="E971" s="6" t="str">
        <f aca="false">'Dish Database'!E274</f>
        <v>North</v>
      </c>
      <c r="F971" s="6" t="s">
        <v>2323</v>
      </c>
      <c r="G971" s="6" t="s">
        <v>2503</v>
      </c>
      <c r="H971" s="16" t="n">
        <v>250</v>
      </c>
      <c r="I971" s="6" t="str">
        <f aca="false">'Dish Database'!I274</f>
        <v>g</v>
      </c>
      <c r="J971" s="13" t="n">
        <f aca="false">'Dish Database'!J274*H971/100</f>
        <v>219</v>
      </c>
      <c r="K971" s="17" t="n">
        <f aca="false">'Dish Database'!K274*H971/100</f>
        <v>4.5</v>
      </c>
      <c r="L971" s="17" t="n">
        <f aca="false">'Dish Database'!L274*H971/100</f>
        <v>30</v>
      </c>
      <c r="M971" s="17" t="n">
        <f aca="false">'Dish Database'!M274*H971/100</f>
        <v>10</v>
      </c>
      <c r="N971" s="17" t="n">
        <f aca="false">'Dish Database'!N274*H971/100</f>
        <v>4.5</v>
      </c>
      <c r="O971" s="17" t="n">
        <f aca="false">'Dish Database'!O274*H971/100</f>
        <v>6.25</v>
      </c>
      <c r="P971" s="13" t="n">
        <f aca="false">'Dish Database'!P274*H971/100</f>
        <v>875</v>
      </c>
    </row>
    <row r="972" customFormat="false" ht="15" hidden="false" customHeight="false" outlineLevel="0" collapsed="false">
      <c r="A972" s="6" t="str">
        <f aca="false">'Dish Database'!A274</f>
        <v>D273</v>
      </c>
      <c r="B972" s="6" t="str">
        <f aca="false">'Dish Database'!B274</f>
        <v>Aloo tamatar (rasedar aloo)</v>
      </c>
      <c r="C972" s="6" t="str">
        <f aca="false">'Dish Database'!D274</f>
        <v>Veg Curries (Gravy)</v>
      </c>
      <c r="D972" s="6" t="str">
        <f aca="false">'Dish Database'!F274</f>
        <v>Veg</v>
      </c>
      <c r="E972" s="6" t="str">
        <f aca="false">'Dish Database'!E274</f>
        <v>North</v>
      </c>
      <c r="F972" s="6" t="s">
        <v>2325</v>
      </c>
      <c r="G972" s="6" t="s">
        <v>2504</v>
      </c>
      <c r="H972" s="16" t="n">
        <v>500</v>
      </c>
      <c r="I972" s="6" t="str">
        <f aca="false">'Dish Database'!I274</f>
        <v>g</v>
      </c>
      <c r="J972" s="13" t="n">
        <f aca="false">'Dish Database'!J274*H972/100</f>
        <v>438</v>
      </c>
      <c r="K972" s="17" t="n">
        <f aca="false">'Dish Database'!K274*H972/100</f>
        <v>9</v>
      </c>
      <c r="L972" s="17" t="n">
        <f aca="false">'Dish Database'!L274*H972/100</f>
        <v>60</v>
      </c>
      <c r="M972" s="17" t="n">
        <f aca="false">'Dish Database'!M274*H972/100</f>
        <v>20</v>
      </c>
      <c r="N972" s="17" t="n">
        <f aca="false">'Dish Database'!N274*H972/100</f>
        <v>9</v>
      </c>
      <c r="O972" s="17" t="n">
        <f aca="false">'Dish Database'!O274*H972/100</f>
        <v>12.5</v>
      </c>
      <c r="P972" s="13" t="n">
        <f aca="false">'Dish Database'!P274*H972/100</f>
        <v>1750</v>
      </c>
    </row>
    <row r="973" customFormat="false" ht="15" hidden="false" customHeight="false" outlineLevel="0" collapsed="false">
      <c r="A973" s="6" t="str">
        <f aca="false">'Dish Database'!A275</f>
        <v>D274</v>
      </c>
      <c r="B973" s="6" t="str">
        <f aca="false">'Dish Database'!B275</f>
        <v>Mix veg curry</v>
      </c>
      <c r="C973" s="6" t="str">
        <f aca="false">'Dish Database'!D275</f>
        <v>Veg Curries (Gravy)</v>
      </c>
      <c r="D973" s="6" t="str">
        <f aca="false">'Dish Database'!F275</f>
        <v>Veg</v>
      </c>
      <c r="E973" s="6" t="str">
        <f aca="false">'Dish Database'!E275</f>
        <v>North</v>
      </c>
      <c r="F973" s="6" t="s">
        <v>2243</v>
      </c>
      <c r="G973" s="6" t="s">
        <v>2500</v>
      </c>
      <c r="H973" s="16" t="n">
        <v>100</v>
      </c>
      <c r="I973" s="6" t="str">
        <f aca="false">'Dish Database'!I275</f>
        <v>g</v>
      </c>
      <c r="J973" s="13" t="n">
        <f aca="false">'Dish Database'!J275*H973/100</f>
        <v>104.6</v>
      </c>
      <c r="K973" s="17" t="n">
        <f aca="false">'Dish Database'!K275*H973/100</f>
        <v>2.8</v>
      </c>
      <c r="L973" s="17" t="n">
        <f aca="false">'Dish Database'!L275*H973/100</f>
        <v>9</v>
      </c>
      <c r="M973" s="17" t="n">
        <f aca="false">'Dish Database'!M275*H973/100</f>
        <v>7</v>
      </c>
      <c r="N973" s="17" t="n">
        <f aca="false">'Dish Database'!N275*H973/100</f>
        <v>2.8</v>
      </c>
      <c r="O973" s="17" t="n">
        <f aca="false">'Dish Database'!O275*H973/100</f>
        <v>3</v>
      </c>
      <c r="P973" s="13" t="n">
        <f aca="false">'Dish Database'!P275*H973/100</f>
        <v>380</v>
      </c>
    </row>
    <row r="974" customFormat="false" ht="15" hidden="false" customHeight="false" outlineLevel="0" collapsed="false">
      <c r="A974" s="6" t="str">
        <f aca="false">'Dish Database'!A275</f>
        <v>D274</v>
      </c>
      <c r="B974" s="6" t="str">
        <f aca="false">'Dish Database'!B275</f>
        <v>Mix veg curry</v>
      </c>
      <c r="C974" s="6" t="str">
        <f aca="false">'Dish Database'!D275</f>
        <v>Veg Curries (Gravy)</v>
      </c>
      <c r="D974" s="6" t="str">
        <f aca="false">'Dish Database'!F275</f>
        <v>Veg</v>
      </c>
      <c r="E974" s="6" t="str">
        <f aca="false">'Dish Database'!E275</f>
        <v>North</v>
      </c>
      <c r="F974" s="6" t="s">
        <v>103</v>
      </c>
      <c r="G974" s="6" t="s">
        <v>2501</v>
      </c>
      <c r="H974" s="16" t="n">
        <v>150</v>
      </c>
      <c r="I974" s="6" t="str">
        <f aca="false">'Dish Database'!I275</f>
        <v>g</v>
      </c>
      <c r="J974" s="13" t="n">
        <f aca="false">'Dish Database'!J275*H974/100</f>
        <v>156.9</v>
      </c>
      <c r="K974" s="17" t="n">
        <f aca="false">'Dish Database'!K275*H974/100</f>
        <v>4.2</v>
      </c>
      <c r="L974" s="17" t="n">
        <f aca="false">'Dish Database'!L275*H974/100</f>
        <v>13.5</v>
      </c>
      <c r="M974" s="17" t="n">
        <f aca="false">'Dish Database'!M275*H974/100</f>
        <v>10.5</v>
      </c>
      <c r="N974" s="17" t="n">
        <f aca="false">'Dish Database'!N275*H974/100</f>
        <v>4.2</v>
      </c>
      <c r="O974" s="17" t="n">
        <f aca="false">'Dish Database'!O275*H974/100</f>
        <v>4.5</v>
      </c>
      <c r="P974" s="13" t="n">
        <f aca="false">'Dish Database'!P275*H974/100</f>
        <v>570</v>
      </c>
    </row>
    <row r="975" customFormat="false" ht="15" hidden="false" customHeight="false" outlineLevel="0" collapsed="false">
      <c r="A975" s="6" t="str">
        <f aca="false">'Dish Database'!A275</f>
        <v>D274</v>
      </c>
      <c r="B975" s="6" t="str">
        <f aca="false">'Dish Database'!B275</f>
        <v>Mix veg curry</v>
      </c>
      <c r="C975" s="6" t="str">
        <f aca="false">'Dish Database'!D275</f>
        <v>Veg Curries (Gravy)</v>
      </c>
      <c r="D975" s="6" t="str">
        <f aca="false">'Dish Database'!F275</f>
        <v>Veg</v>
      </c>
      <c r="E975" s="6" t="str">
        <f aca="false">'Dish Database'!E275</f>
        <v>North</v>
      </c>
      <c r="F975" s="6" t="s">
        <v>2246</v>
      </c>
      <c r="G975" s="6" t="s">
        <v>2502</v>
      </c>
      <c r="H975" s="16" t="n">
        <v>200</v>
      </c>
      <c r="I975" s="6" t="str">
        <f aca="false">'Dish Database'!I275</f>
        <v>g</v>
      </c>
      <c r="J975" s="13" t="n">
        <f aca="false">'Dish Database'!J275*H975/100</f>
        <v>209.2</v>
      </c>
      <c r="K975" s="17" t="n">
        <f aca="false">'Dish Database'!K275*H975/100</f>
        <v>5.6</v>
      </c>
      <c r="L975" s="17" t="n">
        <f aca="false">'Dish Database'!L275*H975/100</f>
        <v>18</v>
      </c>
      <c r="M975" s="17" t="n">
        <f aca="false">'Dish Database'!M275*H975/100</f>
        <v>14</v>
      </c>
      <c r="N975" s="17" t="n">
        <f aca="false">'Dish Database'!N275*H975/100</f>
        <v>5.6</v>
      </c>
      <c r="O975" s="17" t="n">
        <f aca="false">'Dish Database'!O275*H975/100</f>
        <v>6</v>
      </c>
      <c r="P975" s="13" t="n">
        <f aca="false">'Dish Database'!P275*H975/100</f>
        <v>760</v>
      </c>
    </row>
    <row r="976" customFormat="false" ht="15" hidden="false" customHeight="false" outlineLevel="0" collapsed="false">
      <c r="A976" s="6" t="str">
        <f aca="false">'Dish Database'!A275</f>
        <v>D274</v>
      </c>
      <c r="B976" s="6" t="str">
        <f aca="false">'Dish Database'!B275</f>
        <v>Mix veg curry</v>
      </c>
      <c r="C976" s="6" t="str">
        <f aca="false">'Dish Database'!D275</f>
        <v>Veg Curries (Gravy)</v>
      </c>
      <c r="D976" s="6" t="str">
        <f aca="false">'Dish Database'!F275</f>
        <v>Veg</v>
      </c>
      <c r="E976" s="6" t="str">
        <f aca="false">'Dish Database'!E275</f>
        <v>North</v>
      </c>
      <c r="F976" s="6" t="s">
        <v>2323</v>
      </c>
      <c r="G976" s="6" t="s">
        <v>2503</v>
      </c>
      <c r="H976" s="16" t="n">
        <v>250</v>
      </c>
      <c r="I976" s="6" t="str">
        <f aca="false">'Dish Database'!I275</f>
        <v>g</v>
      </c>
      <c r="J976" s="13" t="n">
        <f aca="false">'Dish Database'!J275*H976/100</f>
        <v>261.5</v>
      </c>
      <c r="K976" s="17" t="n">
        <f aca="false">'Dish Database'!K275*H976/100</f>
        <v>7</v>
      </c>
      <c r="L976" s="17" t="n">
        <f aca="false">'Dish Database'!L275*H976/100</f>
        <v>22.5</v>
      </c>
      <c r="M976" s="17" t="n">
        <f aca="false">'Dish Database'!M275*H976/100</f>
        <v>17.5</v>
      </c>
      <c r="N976" s="17" t="n">
        <f aca="false">'Dish Database'!N275*H976/100</f>
        <v>7</v>
      </c>
      <c r="O976" s="17" t="n">
        <f aca="false">'Dish Database'!O275*H976/100</f>
        <v>7.5</v>
      </c>
      <c r="P976" s="13" t="n">
        <f aca="false">'Dish Database'!P275*H976/100</f>
        <v>950</v>
      </c>
    </row>
    <row r="977" customFormat="false" ht="15" hidden="false" customHeight="false" outlineLevel="0" collapsed="false">
      <c r="A977" s="6" t="str">
        <f aca="false">'Dish Database'!A275</f>
        <v>D274</v>
      </c>
      <c r="B977" s="6" t="str">
        <f aca="false">'Dish Database'!B275</f>
        <v>Mix veg curry</v>
      </c>
      <c r="C977" s="6" t="str">
        <f aca="false">'Dish Database'!D275</f>
        <v>Veg Curries (Gravy)</v>
      </c>
      <c r="D977" s="6" t="str">
        <f aca="false">'Dish Database'!F275</f>
        <v>Veg</v>
      </c>
      <c r="E977" s="6" t="str">
        <f aca="false">'Dish Database'!E275</f>
        <v>North</v>
      </c>
      <c r="F977" s="6" t="s">
        <v>2325</v>
      </c>
      <c r="G977" s="6" t="s">
        <v>2504</v>
      </c>
      <c r="H977" s="16" t="n">
        <v>500</v>
      </c>
      <c r="I977" s="6" t="str">
        <f aca="false">'Dish Database'!I275</f>
        <v>g</v>
      </c>
      <c r="J977" s="13" t="n">
        <f aca="false">'Dish Database'!J275*H977/100</f>
        <v>523</v>
      </c>
      <c r="K977" s="17" t="n">
        <f aca="false">'Dish Database'!K275*H977/100</f>
        <v>14</v>
      </c>
      <c r="L977" s="17" t="n">
        <f aca="false">'Dish Database'!L275*H977/100</f>
        <v>45</v>
      </c>
      <c r="M977" s="17" t="n">
        <f aca="false">'Dish Database'!M275*H977/100</f>
        <v>35</v>
      </c>
      <c r="N977" s="17" t="n">
        <f aca="false">'Dish Database'!N275*H977/100</f>
        <v>14</v>
      </c>
      <c r="O977" s="17" t="n">
        <f aca="false">'Dish Database'!O275*H977/100</f>
        <v>15</v>
      </c>
      <c r="P977" s="13" t="n">
        <f aca="false">'Dish Database'!P275*H977/100</f>
        <v>1900</v>
      </c>
    </row>
    <row r="978" customFormat="false" ht="15" hidden="false" customHeight="false" outlineLevel="0" collapsed="false">
      <c r="A978" s="6" t="str">
        <f aca="false">'Dish Database'!A276</f>
        <v>D275</v>
      </c>
      <c r="B978" s="6" t="str">
        <f aca="false">'Dish Database'!B276</f>
        <v>Veg kolhapuri</v>
      </c>
      <c r="C978" s="6" t="str">
        <f aca="false">'Dish Database'!D276</f>
        <v>Veg Curries (Gravy)</v>
      </c>
      <c r="D978" s="6" t="str">
        <f aca="false">'Dish Database'!F276</f>
        <v>Veg</v>
      </c>
      <c r="E978" s="6" t="str">
        <f aca="false">'Dish Database'!E276</f>
        <v>West</v>
      </c>
      <c r="F978" s="6" t="s">
        <v>2243</v>
      </c>
      <c r="G978" s="6" t="s">
        <v>2500</v>
      </c>
      <c r="H978" s="16" t="n">
        <v>100</v>
      </c>
      <c r="I978" s="6" t="str">
        <f aca="false">'Dish Database'!I276</f>
        <v>g</v>
      </c>
      <c r="J978" s="13" t="n">
        <f aca="false">'Dish Database'!J276*H978/100</f>
        <v>127</v>
      </c>
      <c r="K978" s="17" t="n">
        <f aca="false">'Dish Database'!K276*H978/100</f>
        <v>3</v>
      </c>
      <c r="L978" s="17" t="n">
        <f aca="false">'Dish Database'!L276*H978/100</f>
        <v>10</v>
      </c>
      <c r="M978" s="17" t="n">
        <f aca="false">'Dish Database'!M276*H978/100</f>
        <v>9</v>
      </c>
      <c r="N978" s="17" t="n">
        <f aca="false">'Dish Database'!N276*H978/100</f>
        <v>3</v>
      </c>
      <c r="O978" s="17" t="n">
        <f aca="false">'Dish Database'!O276*H978/100</f>
        <v>3.5</v>
      </c>
      <c r="P978" s="13" t="n">
        <f aca="false">'Dish Database'!P276*H978/100</f>
        <v>420</v>
      </c>
    </row>
    <row r="979" customFormat="false" ht="15" hidden="false" customHeight="false" outlineLevel="0" collapsed="false">
      <c r="A979" s="6" t="str">
        <f aca="false">'Dish Database'!A276</f>
        <v>D275</v>
      </c>
      <c r="B979" s="6" t="str">
        <f aca="false">'Dish Database'!B276</f>
        <v>Veg kolhapuri</v>
      </c>
      <c r="C979" s="6" t="str">
        <f aca="false">'Dish Database'!D276</f>
        <v>Veg Curries (Gravy)</v>
      </c>
      <c r="D979" s="6" t="str">
        <f aca="false">'Dish Database'!F276</f>
        <v>Veg</v>
      </c>
      <c r="E979" s="6" t="str">
        <f aca="false">'Dish Database'!E276</f>
        <v>West</v>
      </c>
      <c r="F979" s="6" t="s">
        <v>103</v>
      </c>
      <c r="G979" s="6" t="s">
        <v>2501</v>
      </c>
      <c r="H979" s="16" t="n">
        <v>150</v>
      </c>
      <c r="I979" s="6" t="str">
        <f aca="false">'Dish Database'!I276</f>
        <v>g</v>
      </c>
      <c r="J979" s="13" t="n">
        <f aca="false">'Dish Database'!J276*H979/100</f>
        <v>190.5</v>
      </c>
      <c r="K979" s="17" t="n">
        <f aca="false">'Dish Database'!K276*H979/100</f>
        <v>4.5</v>
      </c>
      <c r="L979" s="17" t="n">
        <f aca="false">'Dish Database'!L276*H979/100</f>
        <v>15</v>
      </c>
      <c r="M979" s="17" t="n">
        <f aca="false">'Dish Database'!M276*H979/100</f>
        <v>13.5</v>
      </c>
      <c r="N979" s="17" t="n">
        <f aca="false">'Dish Database'!N276*H979/100</f>
        <v>4.5</v>
      </c>
      <c r="O979" s="17" t="n">
        <f aca="false">'Dish Database'!O276*H979/100</f>
        <v>5.25</v>
      </c>
      <c r="P979" s="13" t="n">
        <f aca="false">'Dish Database'!P276*H979/100</f>
        <v>630</v>
      </c>
    </row>
    <row r="980" customFormat="false" ht="15" hidden="false" customHeight="false" outlineLevel="0" collapsed="false">
      <c r="A980" s="6" t="str">
        <f aca="false">'Dish Database'!A276</f>
        <v>D275</v>
      </c>
      <c r="B980" s="6" t="str">
        <f aca="false">'Dish Database'!B276</f>
        <v>Veg kolhapuri</v>
      </c>
      <c r="C980" s="6" t="str">
        <f aca="false">'Dish Database'!D276</f>
        <v>Veg Curries (Gravy)</v>
      </c>
      <c r="D980" s="6" t="str">
        <f aca="false">'Dish Database'!F276</f>
        <v>Veg</v>
      </c>
      <c r="E980" s="6" t="str">
        <f aca="false">'Dish Database'!E276</f>
        <v>West</v>
      </c>
      <c r="F980" s="6" t="s">
        <v>2246</v>
      </c>
      <c r="G980" s="6" t="s">
        <v>2502</v>
      </c>
      <c r="H980" s="16" t="n">
        <v>200</v>
      </c>
      <c r="I980" s="6" t="str">
        <f aca="false">'Dish Database'!I276</f>
        <v>g</v>
      </c>
      <c r="J980" s="13" t="n">
        <f aca="false">'Dish Database'!J276*H980/100</f>
        <v>254</v>
      </c>
      <c r="K980" s="17" t="n">
        <f aca="false">'Dish Database'!K276*H980/100</f>
        <v>6</v>
      </c>
      <c r="L980" s="17" t="n">
        <f aca="false">'Dish Database'!L276*H980/100</f>
        <v>20</v>
      </c>
      <c r="M980" s="17" t="n">
        <f aca="false">'Dish Database'!M276*H980/100</f>
        <v>18</v>
      </c>
      <c r="N980" s="17" t="n">
        <f aca="false">'Dish Database'!N276*H980/100</f>
        <v>6</v>
      </c>
      <c r="O980" s="17" t="n">
        <f aca="false">'Dish Database'!O276*H980/100</f>
        <v>7</v>
      </c>
      <c r="P980" s="13" t="n">
        <f aca="false">'Dish Database'!P276*H980/100</f>
        <v>840</v>
      </c>
    </row>
    <row r="981" customFormat="false" ht="15" hidden="false" customHeight="false" outlineLevel="0" collapsed="false">
      <c r="A981" s="6" t="str">
        <f aca="false">'Dish Database'!A276</f>
        <v>D275</v>
      </c>
      <c r="B981" s="6" t="str">
        <f aca="false">'Dish Database'!B276</f>
        <v>Veg kolhapuri</v>
      </c>
      <c r="C981" s="6" t="str">
        <f aca="false">'Dish Database'!D276</f>
        <v>Veg Curries (Gravy)</v>
      </c>
      <c r="D981" s="6" t="str">
        <f aca="false">'Dish Database'!F276</f>
        <v>Veg</v>
      </c>
      <c r="E981" s="6" t="str">
        <f aca="false">'Dish Database'!E276</f>
        <v>West</v>
      </c>
      <c r="F981" s="6" t="s">
        <v>2323</v>
      </c>
      <c r="G981" s="6" t="s">
        <v>2503</v>
      </c>
      <c r="H981" s="16" t="n">
        <v>250</v>
      </c>
      <c r="I981" s="6" t="str">
        <f aca="false">'Dish Database'!I276</f>
        <v>g</v>
      </c>
      <c r="J981" s="13" t="n">
        <f aca="false">'Dish Database'!J276*H981/100</f>
        <v>317.5</v>
      </c>
      <c r="K981" s="17" t="n">
        <f aca="false">'Dish Database'!K276*H981/100</f>
        <v>7.5</v>
      </c>
      <c r="L981" s="17" t="n">
        <f aca="false">'Dish Database'!L276*H981/100</f>
        <v>25</v>
      </c>
      <c r="M981" s="17" t="n">
        <f aca="false">'Dish Database'!M276*H981/100</f>
        <v>22.5</v>
      </c>
      <c r="N981" s="17" t="n">
        <f aca="false">'Dish Database'!N276*H981/100</f>
        <v>7.5</v>
      </c>
      <c r="O981" s="17" t="n">
        <f aca="false">'Dish Database'!O276*H981/100</f>
        <v>8.75</v>
      </c>
      <c r="P981" s="13" t="n">
        <f aca="false">'Dish Database'!P276*H981/100</f>
        <v>1050</v>
      </c>
    </row>
    <row r="982" customFormat="false" ht="15" hidden="false" customHeight="false" outlineLevel="0" collapsed="false">
      <c r="A982" s="6" t="str">
        <f aca="false">'Dish Database'!A276</f>
        <v>D275</v>
      </c>
      <c r="B982" s="6" t="str">
        <f aca="false">'Dish Database'!B276</f>
        <v>Veg kolhapuri</v>
      </c>
      <c r="C982" s="6" t="str">
        <f aca="false">'Dish Database'!D276</f>
        <v>Veg Curries (Gravy)</v>
      </c>
      <c r="D982" s="6" t="str">
        <f aca="false">'Dish Database'!F276</f>
        <v>Veg</v>
      </c>
      <c r="E982" s="6" t="str">
        <f aca="false">'Dish Database'!E276</f>
        <v>West</v>
      </c>
      <c r="F982" s="6" t="s">
        <v>2325</v>
      </c>
      <c r="G982" s="6" t="s">
        <v>2504</v>
      </c>
      <c r="H982" s="16" t="n">
        <v>500</v>
      </c>
      <c r="I982" s="6" t="str">
        <f aca="false">'Dish Database'!I276</f>
        <v>g</v>
      </c>
      <c r="J982" s="13" t="n">
        <f aca="false">'Dish Database'!J276*H982/100</f>
        <v>635</v>
      </c>
      <c r="K982" s="17" t="n">
        <f aca="false">'Dish Database'!K276*H982/100</f>
        <v>15</v>
      </c>
      <c r="L982" s="17" t="n">
        <f aca="false">'Dish Database'!L276*H982/100</f>
        <v>50</v>
      </c>
      <c r="M982" s="17" t="n">
        <f aca="false">'Dish Database'!M276*H982/100</f>
        <v>45</v>
      </c>
      <c r="N982" s="17" t="n">
        <f aca="false">'Dish Database'!N276*H982/100</f>
        <v>15</v>
      </c>
      <c r="O982" s="17" t="n">
        <f aca="false">'Dish Database'!O276*H982/100</f>
        <v>17.5</v>
      </c>
      <c r="P982" s="13" t="n">
        <f aca="false">'Dish Database'!P276*H982/100</f>
        <v>2100</v>
      </c>
    </row>
    <row r="983" customFormat="false" ht="15" hidden="false" customHeight="false" outlineLevel="0" collapsed="false">
      <c r="A983" s="6" t="str">
        <f aca="false">'Dish Database'!A277</f>
        <v>D276</v>
      </c>
      <c r="B983" s="6" t="str">
        <f aca="false">'Dish Database'!B277</f>
        <v>Navratan korma</v>
      </c>
      <c r="C983" s="6" t="str">
        <f aca="false">'Dish Database'!D277</f>
        <v>Veg Curries (Gravy)</v>
      </c>
      <c r="D983" s="6" t="str">
        <f aca="false">'Dish Database'!F277</f>
        <v>Veg</v>
      </c>
      <c r="E983" s="6" t="str">
        <f aca="false">'Dish Database'!E277</f>
        <v>North</v>
      </c>
      <c r="F983" s="6" t="s">
        <v>2243</v>
      </c>
      <c r="G983" s="6" t="s">
        <v>2500</v>
      </c>
      <c r="H983" s="16" t="n">
        <v>100</v>
      </c>
      <c r="I983" s="6" t="str">
        <f aca="false">'Dish Database'!I277</f>
        <v>g</v>
      </c>
      <c r="J983" s="13" t="n">
        <f aca="false">'Dish Database'!J277*H983/100</f>
        <v>177</v>
      </c>
      <c r="K983" s="17" t="n">
        <f aca="false">'Dish Database'!K277*H983/100</f>
        <v>4</v>
      </c>
      <c r="L983" s="17" t="n">
        <f aca="false">'Dish Database'!L277*H983/100</f>
        <v>12</v>
      </c>
      <c r="M983" s="17" t="n">
        <f aca="false">'Dish Database'!M277*H983/100</f>
        <v>13</v>
      </c>
      <c r="N983" s="17" t="n">
        <f aca="false">'Dish Database'!N277*H983/100</f>
        <v>2</v>
      </c>
      <c r="O983" s="17" t="n">
        <f aca="false">'Dish Database'!O277*H983/100</f>
        <v>5</v>
      </c>
      <c r="P983" s="13" t="n">
        <f aca="false">'Dish Database'!P277*H983/100</f>
        <v>380</v>
      </c>
    </row>
    <row r="984" customFormat="false" ht="15" hidden="false" customHeight="false" outlineLevel="0" collapsed="false">
      <c r="A984" s="6" t="str">
        <f aca="false">'Dish Database'!A277</f>
        <v>D276</v>
      </c>
      <c r="B984" s="6" t="str">
        <f aca="false">'Dish Database'!B277</f>
        <v>Navratan korma</v>
      </c>
      <c r="C984" s="6" t="str">
        <f aca="false">'Dish Database'!D277</f>
        <v>Veg Curries (Gravy)</v>
      </c>
      <c r="D984" s="6" t="str">
        <f aca="false">'Dish Database'!F277</f>
        <v>Veg</v>
      </c>
      <c r="E984" s="6" t="str">
        <f aca="false">'Dish Database'!E277</f>
        <v>North</v>
      </c>
      <c r="F984" s="6" t="s">
        <v>103</v>
      </c>
      <c r="G984" s="6" t="s">
        <v>2501</v>
      </c>
      <c r="H984" s="16" t="n">
        <v>150</v>
      </c>
      <c r="I984" s="6" t="str">
        <f aca="false">'Dish Database'!I277</f>
        <v>g</v>
      </c>
      <c r="J984" s="13" t="n">
        <f aca="false">'Dish Database'!J277*H984/100</f>
        <v>265.5</v>
      </c>
      <c r="K984" s="17" t="n">
        <f aca="false">'Dish Database'!K277*H984/100</f>
        <v>6</v>
      </c>
      <c r="L984" s="17" t="n">
        <f aca="false">'Dish Database'!L277*H984/100</f>
        <v>18</v>
      </c>
      <c r="M984" s="17" t="n">
        <f aca="false">'Dish Database'!M277*H984/100</f>
        <v>19.5</v>
      </c>
      <c r="N984" s="17" t="n">
        <f aca="false">'Dish Database'!N277*H984/100</f>
        <v>3</v>
      </c>
      <c r="O984" s="17" t="n">
        <f aca="false">'Dish Database'!O277*H984/100</f>
        <v>7.5</v>
      </c>
      <c r="P984" s="13" t="n">
        <f aca="false">'Dish Database'!P277*H984/100</f>
        <v>570</v>
      </c>
    </row>
    <row r="985" customFormat="false" ht="15" hidden="false" customHeight="false" outlineLevel="0" collapsed="false">
      <c r="A985" s="6" t="str">
        <f aca="false">'Dish Database'!A277</f>
        <v>D276</v>
      </c>
      <c r="B985" s="6" t="str">
        <f aca="false">'Dish Database'!B277</f>
        <v>Navratan korma</v>
      </c>
      <c r="C985" s="6" t="str">
        <f aca="false">'Dish Database'!D277</f>
        <v>Veg Curries (Gravy)</v>
      </c>
      <c r="D985" s="6" t="str">
        <f aca="false">'Dish Database'!F277</f>
        <v>Veg</v>
      </c>
      <c r="E985" s="6" t="str">
        <f aca="false">'Dish Database'!E277</f>
        <v>North</v>
      </c>
      <c r="F985" s="6" t="s">
        <v>2246</v>
      </c>
      <c r="G985" s="6" t="s">
        <v>2502</v>
      </c>
      <c r="H985" s="16" t="n">
        <v>200</v>
      </c>
      <c r="I985" s="6" t="str">
        <f aca="false">'Dish Database'!I277</f>
        <v>g</v>
      </c>
      <c r="J985" s="13" t="n">
        <f aca="false">'Dish Database'!J277*H985/100</f>
        <v>354</v>
      </c>
      <c r="K985" s="17" t="n">
        <f aca="false">'Dish Database'!K277*H985/100</f>
        <v>8</v>
      </c>
      <c r="L985" s="17" t="n">
        <f aca="false">'Dish Database'!L277*H985/100</f>
        <v>24</v>
      </c>
      <c r="M985" s="17" t="n">
        <f aca="false">'Dish Database'!M277*H985/100</f>
        <v>26</v>
      </c>
      <c r="N985" s="17" t="n">
        <f aca="false">'Dish Database'!N277*H985/100</f>
        <v>4</v>
      </c>
      <c r="O985" s="17" t="n">
        <f aca="false">'Dish Database'!O277*H985/100</f>
        <v>10</v>
      </c>
      <c r="P985" s="13" t="n">
        <f aca="false">'Dish Database'!P277*H985/100</f>
        <v>760</v>
      </c>
    </row>
    <row r="986" customFormat="false" ht="15" hidden="false" customHeight="false" outlineLevel="0" collapsed="false">
      <c r="A986" s="6" t="str">
        <f aca="false">'Dish Database'!A277</f>
        <v>D276</v>
      </c>
      <c r="B986" s="6" t="str">
        <f aca="false">'Dish Database'!B277</f>
        <v>Navratan korma</v>
      </c>
      <c r="C986" s="6" t="str">
        <f aca="false">'Dish Database'!D277</f>
        <v>Veg Curries (Gravy)</v>
      </c>
      <c r="D986" s="6" t="str">
        <f aca="false">'Dish Database'!F277</f>
        <v>Veg</v>
      </c>
      <c r="E986" s="6" t="str">
        <f aca="false">'Dish Database'!E277</f>
        <v>North</v>
      </c>
      <c r="F986" s="6" t="s">
        <v>2323</v>
      </c>
      <c r="G986" s="6" t="s">
        <v>2503</v>
      </c>
      <c r="H986" s="16" t="n">
        <v>250</v>
      </c>
      <c r="I986" s="6" t="str">
        <f aca="false">'Dish Database'!I277</f>
        <v>g</v>
      </c>
      <c r="J986" s="13" t="n">
        <f aca="false">'Dish Database'!J277*H986/100</f>
        <v>442.5</v>
      </c>
      <c r="K986" s="17" t="n">
        <f aca="false">'Dish Database'!K277*H986/100</f>
        <v>10</v>
      </c>
      <c r="L986" s="17" t="n">
        <f aca="false">'Dish Database'!L277*H986/100</f>
        <v>30</v>
      </c>
      <c r="M986" s="17" t="n">
        <f aca="false">'Dish Database'!M277*H986/100</f>
        <v>32.5</v>
      </c>
      <c r="N986" s="17" t="n">
        <f aca="false">'Dish Database'!N277*H986/100</f>
        <v>5</v>
      </c>
      <c r="O986" s="17" t="n">
        <f aca="false">'Dish Database'!O277*H986/100</f>
        <v>12.5</v>
      </c>
      <c r="P986" s="13" t="n">
        <f aca="false">'Dish Database'!P277*H986/100</f>
        <v>950</v>
      </c>
    </row>
    <row r="987" customFormat="false" ht="15" hidden="false" customHeight="false" outlineLevel="0" collapsed="false">
      <c r="A987" s="6" t="str">
        <f aca="false">'Dish Database'!A277</f>
        <v>D276</v>
      </c>
      <c r="B987" s="6" t="str">
        <f aca="false">'Dish Database'!B277</f>
        <v>Navratan korma</v>
      </c>
      <c r="C987" s="6" t="str">
        <f aca="false">'Dish Database'!D277</f>
        <v>Veg Curries (Gravy)</v>
      </c>
      <c r="D987" s="6" t="str">
        <f aca="false">'Dish Database'!F277</f>
        <v>Veg</v>
      </c>
      <c r="E987" s="6" t="str">
        <f aca="false">'Dish Database'!E277</f>
        <v>North</v>
      </c>
      <c r="F987" s="6" t="s">
        <v>2325</v>
      </c>
      <c r="G987" s="6" t="s">
        <v>2504</v>
      </c>
      <c r="H987" s="16" t="n">
        <v>500</v>
      </c>
      <c r="I987" s="6" t="str">
        <f aca="false">'Dish Database'!I277</f>
        <v>g</v>
      </c>
      <c r="J987" s="13" t="n">
        <f aca="false">'Dish Database'!J277*H987/100</f>
        <v>885</v>
      </c>
      <c r="K987" s="17" t="n">
        <f aca="false">'Dish Database'!K277*H987/100</f>
        <v>20</v>
      </c>
      <c r="L987" s="17" t="n">
        <f aca="false">'Dish Database'!L277*H987/100</f>
        <v>60</v>
      </c>
      <c r="M987" s="17" t="n">
        <f aca="false">'Dish Database'!M277*H987/100</f>
        <v>65</v>
      </c>
      <c r="N987" s="17" t="n">
        <f aca="false">'Dish Database'!N277*H987/100</f>
        <v>10</v>
      </c>
      <c r="O987" s="17" t="n">
        <f aca="false">'Dish Database'!O277*H987/100</f>
        <v>25</v>
      </c>
      <c r="P987" s="13" t="n">
        <f aca="false">'Dish Database'!P277*H987/100</f>
        <v>1900</v>
      </c>
    </row>
    <row r="988" customFormat="false" ht="15" hidden="false" customHeight="false" outlineLevel="0" collapsed="false">
      <c r="A988" s="6" t="str">
        <f aca="false">'Dish Database'!A278</f>
        <v>D277</v>
      </c>
      <c r="B988" s="6" t="str">
        <f aca="false">'Dish Database'!B278</f>
        <v>Mushroom masala</v>
      </c>
      <c r="C988" s="6" t="str">
        <f aca="false">'Dish Database'!D278</f>
        <v>Veg Curries (Gravy)</v>
      </c>
      <c r="D988" s="6" t="str">
        <f aca="false">'Dish Database'!F278</f>
        <v>Veg</v>
      </c>
      <c r="E988" s="6" t="str">
        <f aca="false">'Dish Database'!E278</f>
        <v>North</v>
      </c>
      <c r="F988" s="6" t="s">
        <v>2243</v>
      </c>
      <c r="G988" s="6" t="s">
        <v>2500</v>
      </c>
      <c r="H988" s="16" t="n">
        <v>100</v>
      </c>
      <c r="I988" s="6" t="str">
        <f aca="false">'Dish Database'!I278</f>
        <v>g</v>
      </c>
      <c r="J988" s="13" t="n">
        <f aca="false">'Dish Database'!J278*H988/100</f>
        <v>99</v>
      </c>
      <c r="K988" s="17" t="n">
        <f aca="false">'Dish Database'!K278*H988/100</f>
        <v>3</v>
      </c>
      <c r="L988" s="17" t="n">
        <f aca="false">'Dish Database'!L278*H988/100</f>
        <v>7</v>
      </c>
      <c r="M988" s="17" t="n">
        <f aca="false">'Dish Database'!M278*H988/100</f>
        <v>7</v>
      </c>
      <c r="N988" s="17" t="n">
        <f aca="false">'Dish Database'!N278*H988/100</f>
        <v>2</v>
      </c>
      <c r="O988" s="17" t="n">
        <f aca="false">'Dish Database'!O278*H988/100</f>
        <v>2.5</v>
      </c>
      <c r="P988" s="13" t="n">
        <f aca="false">'Dish Database'!P278*H988/100</f>
        <v>380</v>
      </c>
    </row>
    <row r="989" customFormat="false" ht="15" hidden="false" customHeight="false" outlineLevel="0" collapsed="false">
      <c r="A989" s="6" t="str">
        <f aca="false">'Dish Database'!A278</f>
        <v>D277</v>
      </c>
      <c r="B989" s="6" t="str">
        <f aca="false">'Dish Database'!B278</f>
        <v>Mushroom masala</v>
      </c>
      <c r="C989" s="6" t="str">
        <f aca="false">'Dish Database'!D278</f>
        <v>Veg Curries (Gravy)</v>
      </c>
      <c r="D989" s="6" t="str">
        <f aca="false">'Dish Database'!F278</f>
        <v>Veg</v>
      </c>
      <c r="E989" s="6" t="str">
        <f aca="false">'Dish Database'!E278</f>
        <v>North</v>
      </c>
      <c r="F989" s="6" t="s">
        <v>103</v>
      </c>
      <c r="G989" s="6" t="s">
        <v>2501</v>
      </c>
      <c r="H989" s="16" t="n">
        <v>150</v>
      </c>
      <c r="I989" s="6" t="str">
        <f aca="false">'Dish Database'!I278</f>
        <v>g</v>
      </c>
      <c r="J989" s="13" t="n">
        <f aca="false">'Dish Database'!J278*H989/100</f>
        <v>148.5</v>
      </c>
      <c r="K989" s="17" t="n">
        <f aca="false">'Dish Database'!K278*H989/100</f>
        <v>4.5</v>
      </c>
      <c r="L989" s="17" t="n">
        <f aca="false">'Dish Database'!L278*H989/100</f>
        <v>10.5</v>
      </c>
      <c r="M989" s="17" t="n">
        <f aca="false">'Dish Database'!M278*H989/100</f>
        <v>10.5</v>
      </c>
      <c r="N989" s="17" t="n">
        <f aca="false">'Dish Database'!N278*H989/100</f>
        <v>3</v>
      </c>
      <c r="O989" s="17" t="n">
        <f aca="false">'Dish Database'!O278*H989/100</f>
        <v>3.75</v>
      </c>
      <c r="P989" s="13" t="n">
        <f aca="false">'Dish Database'!P278*H989/100</f>
        <v>570</v>
      </c>
    </row>
    <row r="990" customFormat="false" ht="15" hidden="false" customHeight="false" outlineLevel="0" collapsed="false">
      <c r="A990" s="6" t="str">
        <f aca="false">'Dish Database'!A278</f>
        <v>D277</v>
      </c>
      <c r="B990" s="6" t="str">
        <f aca="false">'Dish Database'!B278</f>
        <v>Mushroom masala</v>
      </c>
      <c r="C990" s="6" t="str">
        <f aca="false">'Dish Database'!D278</f>
        <v>Veg Curries (Gravy)</v>
      </c>
      <c r="D990" s="6" t="str">
        <f aca="false">'Dish Database'!F278</f>
        <v>Veg</v>
      </c>
      <c r="E990" s="6" t="str">
        <f aca="false">'Dish Database'!E278</f>
        <v>North</v>
      </c>
      <c r="F990" s="6" t="s">
        <v>2246</v>
      </c>
      <c r="G990" s="6" t="s">
        <v>2502</v>
      </c>
      <c r="H990" s="16" t="n">
        <v>200</v>
      </c>
      <c r="I990" s="6" t="str">
        <f aca="false">'Dish Database'!I278</f>
        <v>g</v>
      </c>
      <c r="J990" s="13" t="n">
        <f aca="false">'Dish Database'!J278*H990/100</f>
        <v>198</v>
      </c>
      <c r="K990" s="17" t="n">
        <f aca="false">'Dish Database'!K278*H990/100</f>
        <v>6</v>
      </c>
      <c r="L990" s="17" t="n">
        <f aca="false">'Dish Database'!L278*H990/100</f>
        <v>14</v>
      </c>
      <c r="M990" s="17" t="n">
        <f aca="false">'Dish Database'!M278*H990/100</f>
        <v>14</v>
      </c>
      <c r="N990" s="17" t="n">
        <f aca="false">'Dish Database'!N278*H990/100</f>
        <v>4</v>
      </c>
      <c r="O990" s="17" t="n">
        <f aca="false">'Dish Database'!O278*H990/100</f>
        <v>5</v>
      </c>
      <c r="P990" s="13" t="n">
        <f aca="false">'Dish Database'!P278*H990/100</f>
        <v>760</v>
      </c>
    </row>
    <row r="991" customFormat="false" ht="15" hidden="false" customHeight="false" outlineLevel="0" collapsed="false">
      <c r="A991" s="6" t="str">
        <f aca="false">'Dish Database'!A278</f>
        <v>D277</v>
      </c>
      <c r="B991" s="6" t="str">
        <f aca="false">'Dish Database'!B278</f>
        <v>Mushroom masala</v>
      </c>
      <c r="C991" s="6" t="str">
        <f aca="false">'Dish Database'!D278</f>
        <v>Veg Curries (Gravy)</v>
      </c>
      <c r="D991" s="6" t="str">
        <f aca="false">'Dish Database'!F278</f>
        <v>Veg</v>
      </c>
      <c r="E991" s="6" t="str">
        <f aca="false">'Dish Database'!E278</f>
        <v>North</v>
      </c>
      <c r="F991" s="6" t="s">
        <v>2323</v>
      </c>
      <c r="G991" s="6" t="s">
        <v>2503</v>
      </c>
      <c r="H991" s="16" t="n">
        <v>250</v>
      </c>
      <c r="I991" s="6" t="str">
        <f aca="false">'Dish Database'!I278</f>
        <v>g</v>
      </c>
      <c r="J991" s="13" t="n">
        <f aca="false">'Dish Database'!J278*H991/100</f>
        <v>247.5</v>
      </c>
      <c r="K991" s="17" t="n">
        <f aca="false">'Dish Database'!K278*H991/100</f>
        <v>7.5</v>
      </c>
      <c r="L991" s="17" t="n">
        <f aca="false">'Dish Database'!L278*H991/100</f>
        <v>17.5</v>
      </c>
      <c r="M991" s="17" t="n">
        <f aca="false">'Dish Database'!M278*H991/100</f>
        <v>17.5</v>
      </c>
      <c r="N991" s="17" t="n">
        <f aca="false">'Dish Database'!N278*H991/100</f>
        <v>5</v>
      </c>
      <c r="O991" s="17" t="n">
        <f aca="false">'Dish Database'!O278*H991/100</f>
        <v>6.25</v>
      </c>
      <c r="P991" s="13" t="n">
        <f aca="false">'Dish Database'!P278*H991/100</f>
        <v>950</v>
      </c>
    </row>
    <row r="992" customFormat="false" ht="15" hidden="false" customHeight="false" outlineLevel="0" collapsed="false">
      <c r="A992" s="6" t="str">
        <f aca="false">'Dish Database'!A278</f>
        <v>D277</v>
      </c>
      <c r="B992" s="6" t="str">
        <f aca="false">'Dish Database'!B278</f>
        <v>Mushroom masala</v>
      </c>
      <c r="C992" s="6" t="str">
        <f aca="false">'Dish Database'!D278</f>
        <v>Veg Curries (Gravy)</v>
      </c>
      <c r="D992" s="6" t="str">
        <f aca="false">'Dish Database'!F278</f>
        <v>Veg</v>
      </c>
      <c r="E992" s="6" t="str">
        <f aca="false">'Dish Database'!E278</f>
        <v>North</v>
      </c>
      <c r="F992" s="6" t="s">
        <v>2325</v>
      </c>
      <c r="G992" s="6" t="s">
        <v>2504</v>
      </c>
      <c r="H992" s="16" t="n">
        <v>500</v>
      </c>
      <c r="I992" s="6" t="str">
        <f aca="false">'Dish Database'!I278</f>
        <v>g</v>
      </c>
      <c r="J992" s="13" t="n">
        <f aca="false">'Dish Database'!J278*H992/100</f>
        <v>495</v>
      </c>
      <c r="K992" s="17" t="n">
        <f aca="false">'Dish Database'!K278*H992/100</f>
        <v>15</v>
      </c>
      <c r="L992" s="17" t="n">
        <f aca="false">'Dish Database'!L278*H992/100</f>
        <v>35</v>
      </c>
      <c r="M992" s="17" t="n">
        <f aca="false">'Dish Database'!M278*H992/100</f>
        <v>35</v>
      </c>
      <c r="N992" s="17" t="n">
        <f aca="false">'Dish Database'!N278*H992/100</f>
        <v>10</v>
      </c>
      <c r="O992" s="17" t="n">
        <f aca="false">'Dish Database'!O278*H992/100</f>
        <v>12.5</v>
      </c>
      <c r="P992" s="13" t="n">
        <f aca="false">'Dish Database'!P278*H992/100</f>
        <v>1900</v>
      </c>
    </row>
    <row r="993" customFormat="false" ht="15" hidden="false" customHeight="false" outlineLevel="0" collapsed="false">
      <c r="A993" s="6" t="str">
        <f aca="false">'Dish Database'!A279</f>
        <v>D278</v>
      </c>
      <c r="B993" s="6" t="str">
        <f aca="false">'Dish Database'!B279</f>
        <v>Malai kofta - lauki</v>
      </c>
      <c r="C993" s="6" t="str">
        <f aca="false">'Dish Database'!D279</f>
        <v>Veg Curries (Gravy)</v>
      </c>
      <c r="D993" s="6" t="str">
        <f aca="false">'Dish Database'!F279</f>
        <v>Veg</v>
      </c>
      <c r="E993" s="6" t="str">
        <f aca="false">'Dish Database'!E279</f>
        <v>North</v>
      </c>
      <c r="F993" s="6" t="s">
        <v>2243</v>
      </c>
      <c r="G993" s="6" t="s">
        <v>2500</v>
      </c>
      <c r="H993" s="16" t="n">
        <v>100</v>
      </c>
      <c r="I993" s="6" t="str">
        <f aca="false">'Dish Database'!I279</f>
        <v>g</v>
      </c>
      <c r="J993" s="13" t="n">
        <f aca="false">'Dish Database'!J279*H993/100</f>
        <v>138.4</v>
      </c>
      <c r="K993" s="17" t="n">
        <f aca="false">'Dish Database'!K279*H993/100</f>
        <v>3</v>
      </c>
      <c r="L993" s="17" t="n">
        <f aca="false">'Dish Database'!L279*H993/100</f>
        <v>10</v>
      </c>
      <c r="M993" s="17" t="n">
        <f aca="false">'Dish Database'!M279*H993/100</f>
        <v>10</v>
      </c>
      <c r="N993" s="17" t="n">
        <f aca="false">'Dish Database'!N279*H993/100</f>
        <v>1.8</v>
      </c>
      <c r="O993" s="17" t="n">
        <f aca="false">'Dish Database'!O279*H993/100</f>
        <v>3</v>
      </c>
      <c r="P993" s="13" t="n">
        <f aca="false">'Dish Database'!P279*H993/100</f>
        <v>380</v>
      </c>
    </row>
    <row r="994" customFormat="false" ht="15" hidden="false" customHeight="false" outlineLevel="0" collapsed="false">
      <c r="A994" s="6" t="str">
        <f aca="false">'Dish Database'!A279</f>
        <v>D278</v>
      </c>
      <c r="B994" s="6" t="str">
        <f aca="false">'Dish Database'!B279</f>
        <v>Malai kofta - lauki</v>
      </c>
      <c r="C994" s="6" t="str">
        <f aca="false">'Dish Database'!D279</f>
        <v>Veg Curries (Gravy)</v>
      </c>
      <c r="D994" s="6" t="str">
        <f aca="false">'Dish Database'!F279</f>
        <v>Veg</v>
      </c>
      <c r="E994" s="6" t="str">
        <f aca="false">'Dish Database'!E279</f>
        <v>North</v>
      </c>
      <c r="F994" s="6" t="s">
        <v>103</v>
      </c>
      <c r="G994" s="6" t="s">
        <v>2501</v>
      </c>
      <c r="H994" s="16" t="n">
        <v>150</v>
      </c>
      <c r="I994" s="6" t="str">
        <f aca="false">'Dish Database'!I279</f>
        <v>g</v>
      </c>
      <c r="J994" s="13" t="n">
        <f aca="false">'Dish Database'!J279*H994/100</f>
        <v>207.6</v>
      </c>
      <c r="K994" s="17" t="n">
        <f aca="false">'Dish Database'!K279*H994/100</f>
        <v>4.5</v>
      </c>
      <c r="L994" s="17" t="n">
        <f aca="false">'Dish Database'!L279*H994/100</f>
        <v>15</v>
      </c>
      <c r="M994" s="17" t="n">
        <f aca="false">'Dish Database'!M279*H994/100</f>
        <v>15</v>
      </c>
      <c r="N994" s="17" t="n">
        <f aca="false">'Dish Database'!N279*H994/100</f>
        <v>2.7</v>
      </c>
      <c r="O994" s="17" t="n">
        <f aca="false">'Dish Database'!O279*H994/100</f>
        <v>4.5</v>
      </c>
      <c r="P994" s="13" t="n">
        <f aca="false">'Dish Database'!P279*H994/100</f>
        <v>570</v>
      </c>
    </row>
    <row r="995" customFormat="false" ht="15" hidden="false" customHeight="false" outlineLevel="0" collapsed="false">
      <c r="A995" s="6" t="str">
        <f aca="false">'Dish Database'!A279</f>
        <v>D278</v>
      </c>
      <c r="B995" s="6" t="str">
        <f aca="false">'Dish Database'!B279</f>
        <v>Malai kofta - lauki</v>
      </c>
      <c r="C995" s="6" t="str">
        <f aca="false">'Dish Database'!D279</f>
        <v>Veg Curries (Gravy)</v>
      </c>
      <c r="D995" s="6" t="str">
        <f aca="false">'Dish Database'!F279</f>
        <v>Veg</v>
      </c>
      <c r="E995" s="6" t="str">
        <f aca="false">'Dish Database'!E279</f>
        <v>North</v>
      </c>
      <c r="F995" s="6" t="s">
        <v>2246</v>
      </c>
      <c r="G995" s="6" t="s">
        <v>2502</v>
      </c>
      <c r="H995" s="16" t="n">
        <v>200</v>
      </c>
      <c r="I995" s="6" t="str">
        <f aca="false">'Dish Database'!I279</f>
        <v>g</v>
      </c>
      <c r="J995" s="13" t="n">
        <f aca="false">'Dish Database'!J279*H995/100</f>
        <v>276.8</v>
      </c>
      <c r="K995" s="17" t="n">
        <f aca="false">'Dish Database'!K279*H995/100</f>
        <v>6</v>
      </c>
      <c r="L995" s="17" t="n">
        <f aca="false">'Dish Database'!L279*H995/100</f>
        <v>20</v>
      </c>
      <c r="M995" s="17" t="n">
        <f aca="false">'Dish Database'!M279*H995/100</f>
        <v>20</v>
      </c>
      <c r="N995" s="17" t="n">
        <f aca="false">'Dish Database'!N279*H995/100</f>
        <v>3.6</v>
      </c>
      <c r="O995" s="17" t="n">
        <f aca="false">'Dish Database'!O279*H995/100</f>
        <v>6</v>
      </c>
      <c r="P995" s="13" t="n">
        <f aca="false">'Dish Database'!P279*H995/100</f>
        <v>760</v>
      </c>
    </row>
    <row r="996" customFormat="false" ht="15" hidden="false" customHeight="false" outlineLevel="0" collapsed="false">
      <c r="A996" s="6" t="str">
        <f aca="false">'Dish Database'!A279</f>
        <v>D278</v>
      </c>
      <c r="B996" s="6" t="str">
        <f aca="false">'Dish Database'!B279</f>
        <v>Malai kofta - lauki</v>
      </c>
      <c r="C996" s="6" t="str">
        <f aca="false">'Dish Database'!D279</f>
        <v>Veg Curries (Gravy)</v>
      </c>
      <c r="D996" s="6" t="str">
        <f aca="false">'Dish Database'!F279</f>
        <v>Veg</v>
      </c>
      <c r="E996" s="6" t="str">
        <f aca="false">'Dish Database'!E279</f>
        <v>North</v>
      </c>
      <c r="F996" s="6" t="s">
        <v>2323</v>
      </c>
      <c r="G996" s="6" t="s">
        <v>2503</v>
      </c>
      <c r="H996" s="16" t="n">
        <v>250</v>
      </c>
      <c r="I996" s="6" t="str">
        <f aca="false">'Dish Database'!I279</f>
        <v>g</v>
      </c>
      <c r="J996" s="13" t="n">
        <f aca="false">'Dish Database'!J279*H996/100</f>
        <v>346</v>
      </c>
      <c r="K996" s="17" t="n">
        <f aca="false">'Dish Database'!K279*H996/100</f>
        <v>7.5</v>
      </c>
      <c r="L996" s="17" t="n">
        <f aca="false">'Dish Database'!L279*H996/100</f>
        <v>25</v>
      </c>
      <c r="M996" s="17" t="n">
        <f aca="false">'Dish Database'!M279*H996/100</f>
        <v>25</v>
      </c>
      <c r="N996" s="17" t="n">
        <f aca="false">'Dish Database'!N279*H996/100</f>
        <v>4.5</v>
      </c>
      <c r="O996" s="17" t="n">
        <f aca="false">'Dish Database'!O279*H996/100</f>
        <v>7.5</v>
      </c>
      <c r="P996" s="13" t="n">
        <f aca="false">'Dish Database'!P279*H996/100</f>
        <v>950</v>
      </c>
    </row>
    <row r="997" customFormat="false" ht="15" hidden="false" customHeight="false" outlineLevel="0" collapsed="false">
      <c r="A997" s="6" t="str">
        <f aca="false">'Dish Database'!A279</f>
        <v>D278</v>
      </c>
      <c r="B997" s="6" t="str">
        <f aca="false">'Dish Database'!B279</f>
        <v>Malai kofta - lauki</v>
      </c>
      <c r="C997" s="6" t="str">
        <f aca="false">'Dish Database'!D279</f>
        <v>Veg Curries (Gravy)</v>
      </c>
      <c r="D997" s="6" t="str">
        <f aca="false">'Dish Database'!F279</f>
        <v>Veg</v>
      </c>
      <c r="E997" s="6" t="str">
        <f aca="false">'Dish Database'!E279</f>
        <v>North</v>
      </c>
      <c r="F997" s="6" t="s">
        <v>2325</v>
      </c>
      <c r="G997" s="6" t="s">
        <v>2504</v>
      </c>
      <c r="H997" s="16" t="n">
        <v>500</v>
      </c>
      <c r="I997" s="6" t="str">
        <f aca="false">'Dish Database'!I279</f>
        <v>g</v>
      </c>
      <c r="J997" s="13" t="n">
        <f aca="false">'Dish Database'!J279*H997/100</f>
        <v>692</v>
      </c>
      <c r="K997" s="17" t="n">
        <f aca="false">'Dish Database'!K279*H997/100</f>
        <v>15</v>
      </c>
      <c r="L997" s="17" t="n">
        <f aca="false">'Dish Database'!L279*H997/100</f>
        <v>50</v>
      </c>
      <c r="M997" s="17" t="n">
        <f aca="false">'Dish Database'!M279*H997/100</f>
        <v>50</v>
      </c>
      <c r="N997" s="17" t="n">
        <f aca="false">'Dish Database'!N279*H997/100</f>
        <v>9</v>
      </c>
      <c r="O997" s="17" t="n">
        <f aca="false">'Dish Database'!O279*H997/100</f>
        <v>15</v>
      </c>
      <c r="P997" s="13" t="n">
        <f aca="false">'Dish Database'!P279*H997/100</f>
        <v>1900</v>
      </c>
    </row>
    <row r="998" customFormat="false" ht="15" hidden="false" customHeight="false" outlineLevel="0" collapsed="false">
      <c r="A998" s="6" t="str">
        <f aca="false">'Dish Database'!A280</f>
        <v>D279</v>
      </c>
      <c r="B998" s="6" t="str">
        <f aca="false">'Dish Database'!B280</f>
        <v>Sarson ka saag</v>
      </c>
      <c r="C998" s="6" t="str">
        <f aca="false">'Dish Database'!D280</f>
        <v>Veg Curries (Gravy)</v>
      </c>
      <c r="D998" s="6" t="str">
        <f aca="false">'Dish Database'!F280</f>
        <v>Veg</v>
      </c>
      <c r="E998" s="6" t="str">
        <f aca="false">'Dish Database'!E280</f>
        <v>North</v>
      </c>
      <c r="F998" s="6" t="s">
        <v>2243</v>
      </c>
      <c r="G998" s="6" t="s">
        <v>2500</v>
      </c>
      <c r="H998" s="16" t="n">
        <v>100</v>
      </c>
      <c r="I998" s="6" t="str">
        <f aca="false">'Dish Database'!I280</f>
        <v>g</v>
      </c>
      <c r="J998" s="13" t="n">
        <f aca="false">'Dish Database'!J280*H998/100</f>
        <v>88</v>
      </c>
      <c r="K998" s="17" t="n">
        <f aca="false">'Dish Database'!K280*H998/100</f>
        <v>3</v>
      </c>
      <c r="L998" s="17" t="n">
        <f aca="false">'Dish Database'!L280*H998/100</f>
        <v>7</v>
      </c>
      <c r="M998" s="17" t="n">
        <f aca="false">'Dish Database'!M280*H998/100</f>
        <v>6</v>
      </c>
      <c r="N998" s="17" t="n">
        <f aca="false">'Dish Database'!N280*H998/100</f>
        <v>3</v>
      </c>
      <c r="O998" s="17" t="n">
        <f aca="false">'Dish Database'!O280*H998/100</f>
        <v>1.5</v>
      </c>
      <c r="P998" s="13" t="n">
        <f aca="false">'Dish Database'!P280*H998/100</f>
        <v>350</v>
      </c>
    </row>
    <row r="999" customFormat="false" ht="15" hidden="false" customHeight="false" outlineLevel="0" collapsed="false">
      <c r="A999" s="6" t="str">
        <f aca="false">'Dish Database'!A280</f>
        <v>D279</v>
      </c>
      <c r="B999" s="6" t="str">
        <f aca="false">'Dish Database'!B280</f>
        <v>Sarson ka saag</v>
      </c>
      <c r="C999" s="6" t="str">
        <f aca="false">'Dish Database'!D280</f>
        <v>Veg Curries (Gravy)</v>
      </c>
      <c r="D999" s="6" t="str">
        <f aca="false">'Dish Database'!F280</f>
        <v>Veg</v>
      </c>
      <c r="E999" s="6" t="str">
        <f aca="false">'Dish Database'!E280</f>
        <v>North</v>
      </c>
      <c r="F999" s="6" t="s">
        <v>103</v>
      </c>
      <c r="G999" s="6" t="s">
        <v>2501</v>
      </c>
      <c r="H999" s="16" t="n">
        <v>150</v>
      </c>
      <c r="I999" s="6" t="str">
        <f aca="false">'Dish Database'!I280</f>
        <v>g</v>
      </c>
      <c r="J999" s="13" t="n">
        <f aca="false">'Dish Database'!J280*H999/100</f>
        <v>132</v>
      </c>
      <c r="K999" s="17" t="n">
        <f aca="false">'Dish Database'!K280*H999/100</f>
        <v>4.5</v>
      </c>
      <c r="L999" s="17" t="n">
        <f aca="false">'Dish Database'!L280*H999/100</f>
        <v>10.5</v>
      </c>
      <c r="M999" s="17" t="n">
        <f aca="false">'Dish Database'!M280*H999/100</f>
        <v>9</v>
      </c>
      <c r="N999" s="17" t="n">
        <f aca="false">'Dish Database'!N280*H999/100</f>
        <v>4.5</v>
      </c>
      <c r="O999" s="17" t="n">
        <f aca="false">'Dish Database'!O280*H999/100</f>
        <v>2.25</v>
      </c>
      <c r="P999" s="13" t="n">
        <f aca="false">'Dish Database'!P280*H999/100</f>
        <v>525</v>
      </c>
    </row>
    <row r="1000" customFormat="false" ht="15" hidden="false" customHeight="false" outlineLevel="0" collapsed="false">
      <c r="A1000" s="6" t="str">
        <f aca="false">'Dish Database'!A280</f>
        <v>D279</v>
      </c>
      <c r="B1000" s="6" t="str">
        <f aca="false">'Dish Database'!B280</f>
        <v>Sarson ka saag</v>
      </c>
      <c r="C1000" s="6" t="str">
        <f aca="false">'Dish Database'!D280</f>
        <v>Veg Curries (Gravy)</v>
      </c>
      <c r="D1000" s="6" t="str">
        <f aca="false">'Dish Database'!F280</f>
        <v>Veg</v>
      </c>
      <c r="E1000" s="6" t="str">
        <f aca="false">'Dish Database'!E280</f>
        <v>North</v>
      </c>
      <c r="F1000" s="6" t="s">
        <v>2246</v>
      </c>
      <c r="G1000" s="6" t="s">
        <v>2502</v>
      </c>
      <c r="H1000" s="16" t="n">
        <v>200</v>
      </c>
      <c r="I1000" s="6" t="str">
        <f aca="false">'Dish Database'!I280</f>
        <v>g</v>
      </c>
      <c r="J1000" s="13" t="n">
        <f aca="false">'Dish Database'!J280*H1000/100</f>
        <v>176</v>
      </c>
      <c r="K1000" s="17" t="n">
        <f aca="false">'Dish Database'!K280*H1000/100</f>
        <v>6</v>
      </c>
      <c r="L1000" s="17" t="n">
        <f aca="false">'Dish Database'!L280*H1000/100</f>
        <v>14</v>
      </c>
      <c r="M1000" s="17" t="n">
        <f aca="false">'Dish Database'!M280*H1000/100</f>
        <v>12</v>
      </c>
      <c r="N1000" s="17" t="n">
        <f aca="false">'Dish Database'!N280*H1000/100</f>
        <v>6</v>
      </c>
      <c r="O1000" s="17" t="n">
        <f aca="false">'Dish Database'!O280*H1000/100</f>
        <v>3</v>
      </c>
      <c r="P1000" s="13" t="n">
        <f aca="false">'Dish Database'!P280*H1000/100</f>
        <v>700</v>
      </c>
    </row>
    <row r="1001" customFormat="false" ht="15" hidden="false" customHeight="false" outlineLevel="0" collapsed="false">
      <c r="A1001" s="6" t="str">
        <f aca="false">'Dish Database'!A280</f>
        <v>D279</v>
      </c>
      <c r="B1001" s="6" t="str">
        <f aca="false">'Dish Database'!B280</f>
        <v>Sarson ka saag</v>
      </c>
      <c r="C1001" s="6" t="str">
        <f aca="false">'Dish Database'!D280</f>
        <v>Veg Curries (Gravy)</v>
      </c>
      <c r="D1001" s="6" t="str">
        <f aca="false">'Dish Database'!F280</f>
        <v>Veg</v>
      </c>
      <c r="E1001" s="6" t="str">
        <f aca="false">'Dish Database'!E280</f>
        <v>North</v>
      </c>
      <c r="F1001" s="6" t="s">
        <v>2323</v>
      </c>
      <c r="G1001" s="6" t="s">
        <v>2503</v>
      </c>
      <c r="H1001" s="16" t="n">
        <v>250</v>
      </c>
      <c r="I1001" s="6" t="str">
        <f aca="false">'Dish Database'!I280</f>
        <v>g</v>
      </c>
      <c r="J1001" s="13" t="n">
        <f aca="false">'Dish Database'!J280*H1001/100</f>
        <v>220</v>
      </c>
      <c r="K1001" s="17" t="n">
        <f aca="false">'Dish Database'!K280*H1001/100</f>
        <v>7.5</v>
      </c>
      <c r="L1001" s="17" t="n">
        <f aca="false">'Dish Database'!L280*H1001/100</f>
        <v>17.5</v>
      </c>
      <c r="M1001" s="17" t="n">
        <f aca="false">'Dish Database'!M280*H1001/100</f>
        <v>15</v>
      </c>
      <c r="N1001" s="17" t="n">
        <f aca="false">'Dish Database'!N280*H1001/100</f>
        <v>7.5</v>
      </c>
      <c r="O1001" s="17" t="n">
        <f aca="false">'Dish Database'!O280*H1001/100</f>
        <v>3.75</v>
      </c>
      <c r="P1001" s="13" t="n">
        <f aca="false">'Dish Database'!P280*H1001/100</f>
        <v>875</v>
      </c>
    </row>
    <row r="1002" customFormat="false" ht="15" hidden="false" customHeight="false" outlineLevel="0" collapsed="false">
      <c r="A1002" s="6" t="str">
        <f aca="false">'Dish Database'!A280</f>
        <v>D279</v>
      </c>
      <c r="B1002" s="6" t="str">
        <f aca="false">'Dish Database'!B280</f>
        <v>Sarson ka saag</v>
      </c>
      <c r="C1002" s="6" t="str">
        <f aca="false">'Dish Database'!D280</f>
        <v>Veg Curries (Gravy)</v>
      </c>
      <c r="D1002" s="6" t="str">
        <f aca="false">'Dish Database'!F280</f>
        <v>Veg</v>
      </c>
      <c r="E1002" s="6" t="str">
        <f aca="false">'Dish Database'!E280</f>
        <v>North</v>
      </c>
      <c r="F1002" s="6" t="s">
        <v>2325</v>
      </c>
      <c r="G1002" s="6" t="s">
        <v>2504</v>
      </c>
      <c r="H1002" s="16" t="n">
        <v>500</v>
      </c>
      <c r="I1002" s="6" t="str">
        <f aca="false">'Dish Database'!I280</f>
        <v>g</v>
      </c>
      <c r="J1002" s="13" t="n">
        <f aca="false">'Dish Database'!J280*H1002/100</f>
        <v>440</v>
      </c>
      <c r="K1002" s="17" t="n">
        <f aca="false">'Dish Database'!K280*H1002/100</f>
        <v>15</v>
      </c>
      <c r="L1002" s="17" t="n">
        <f aca="false">'Dish Database'!L280*H1002/100</f>
        <v>35</v>
      </c>
      <c r="M1002" s="17" t="n">
        <f aca="false">'Dish Database'!M280*H1002/100</f>
        <v>30</v>
      </c>
      <c r="N1002" s="17" t="n">
        <f aca="false">'Dish Database'!N280*H1002/100</f>
        <v>15</v>
      </c>
      <c r="O1002" s="17" t="n">
        <f aca="false">'Dish Database'!O280*H1002/100</f>
        <v>7.5</v>
      </c>
      <c r="P1002" s="13" t="n">
        <f aca="false">'Dish Database'!P280*H1002/100</f>
        <v>1750</v>
      </c>
    </row>
    <row r="1003" customFormat="false" ht="15" hidden="false" customHeight="false" outlineLevel="0" collapsed="false">
      <c r="A1003" s="6" t="str">
        <f aca="false">'Dish Database'!A281</f>
        <v>D280</v>
      </c>
      <c r="B1003" s="6" t="str">
        <f aca="false">'Dish Database'!B281</f>
        <v>Baingan bharta</v>
      </c>
      <c r="C1003" s="6" t="str">
        <f aca="false">'Dish Database'!D281</f>
        <v>Veg Curries (Gravy)</v>
      </c>
      <c r="D1003" s="6" t="str">
        <f aca="false">'Dish Database'!F281</f>
        <v>Veg</v>
      </c>
      <c r="E1003" s="6" t="str">
        <f aca="false">'Dish Database'!E281</f>
        <v>North</v>
      </c>
      <c r="F1003" s="6" t="s">
        <v>2243</v>
      </c>
      <c r="G1003" s="6" t="s">
        <v>2500</v>
      </c>
      <c r="H1003" s="16" t="n">
        <v>100</v>
      </c>
      <c r="I1003" s="6" t="str">
        <f aca="false">'Dish Database'!I281</f>
        <v>g</v>
      </c>
      <c r="J1003" s="13" t="n">
        <f aca="false">'Dish Database'!J281*H1003/100</f>
        <v>82.7</v>
      </c>
      <c r="K1003" s="17" t="n">
        <f aca="false">'Dish Database'!K281*H1003/100</f>
        <v>1.8</v>
      </c>
      <c r="L1003" s="17" t="n">
        <f aca="false">'Dish Database'!L281*H1003/100</f>
        <v>8</v>
      </c>
      <c r="M1003" s="17" t="n">
        <f aca="false">'Dish Database'!M281*H1003/100</f>
        <v>5.5</v>
      </c>
      <c r="N1003" s="17" t="n">
        <f aca="false">'Dish Database'!N281*H1003/100</f>
        <v>3</v>
      </c>
      <c r="O1003" s="17" t="n">
        <f aca="false">'Dish Database'!O281*H1003/100</f>
        <v>3.5</v>
      </c>
      <c r="P1003" s="13" t="n">
        <f aca="false">'Dish Database'!P281*H1003/100</f>
        <v>330</v>
      </c>
    </row>
    <row r="1004" customFormat="false" ht="15" hidden="false" customHeight="false" outlineLevel="0" collapsed="false">
      <c r="A1004" s="6" t="str">
        <f aca="false">'Dish Database'!A281</f>
        <v>D280</v>
      </c>
      <c r="B1004" s="6" t="str">
        <f aca="false">'Dish Database'!B281</f>
        <v>Baingan bharta</v>
      </c>
      <c r="C1004" s="6" t="str">
        <f aca="false">'Dish Database'!D281</f>
        <v>Veg Curries (Gravy)</v>
      </c>
      <c r="D1004" s="6" t="str">
        <f aca="false">'Dish Database'!F281</f>
        <v>Veg</v>
      </c>
      <c r="E1004" s="6" t="str">
        <f aca="false">'Dish Database'!E281</f>
        <v>North</v>
      </c>
      <c r="F1004" s="6" t="s">
        <v>103</v>
      </c>
      <c r="G1004" s="6" t="s">
        <v>2501</v>
      </c>
      <c r="H1004" s="16" t="n">
        <v>150</v>
      </c>
      <c r="I1004" s="6" t="str">
        <f aca="false">'Dish Database'!I281</f>
        <v>g</v>
      </c>
      <c r="J1004" s="13" t="n">
        <f aca="false">'Dish Database'!J281*H1004/100</f>
        <v>124.05</v>
      </c>
      <c r="K1004" s="17" t="n">
        <f aca="false">'Dish Database'!K281*H1004/100</f>
        <v>2.7</v>
      </c>
      <c r="L1004" s="17" t="n">
        <f aca="false">'Dish Database'!L281*H1004/100</f>
        <v>12</v>
      </c>
      <c r="M1004" s="17" t="n">
        <f aca="false">'Dish Database'!M281*H1004/100</f>
        <v>8.25</v>
      </c>
      <c r="N1004" s="17" t="n">
        <f aca="false">'Dish Database'!N281*H1004/100</f>
        <v>4.5</v>
      </c>
      <c r="O1004" s="17" t="n">
        <f aca="false">'Dish Database'!O281*H1004/100</f>
        <v>5.25</v>
      </c>
      <c r="P1004" s="13" t="n">
        <f aca="false">'Dish Database'!P281*H1004/100</f>
        <v>495</v>
      </c>
    </row>
    <row r="1005" customFormat="false" ht="15" hidden="false" customHeight="false" outlineLevel="0" collapsed="false">
      <c r="A1005" s="6" t="str">
        <f aca="false">'Dish Database'!A281</f>
        <v>D280</v>
      </c>
      <c r="B1005" s="6" t="str">
        <f aca="false">'Dish Database'!B281</f>
        <v>Baingan bharta</v>
      </c>
      <c r="C1005" s="6" t="str">
        <f aca="false">'Dish Database'!D281</f>
        <v>Veg Curries (Gravy)</v>
      </c>
      <c r="D1005" s="6" t="str">
        <f aca="false">'Dish Database'!F281</f>
        <v>Veg</v>
      </c>
      <c r="E1005" s="6" t="str">
        <f aca="false">'Dish Database'!E281</f>
        <v>North</v>
      </c>
      <c r="F1005" s="6" t="s">
        <v>2246</v>
      </c>
      <c r="G1005" s="6" t="s">
        <v>2502</v>
      </c>
      <c r="H1005" s="16" t="n">
        <v>200</v>
      </c>
      <c r="I1005" s="6" t="str">
        <f aca="false">'Dish Database'!I281</f>
        <v>g</v>
      </c>
      <c r="J1005" s="13" t="n">
        <f aca="false">'Dish Database'!J281*H1005/100</f>
        <v>165.4</v>
      </c>
      <c r="K1005" s="17" t="n">
        <f aca="false">'Dish Database'!K281*H1005/100</f>
        <v>3.6</v>
      </c>
      <c r="L1005" s="17" t="n">
        <f aca="false">'Dish Database'!L281*H1005/100</f>
        <v>16</v>
      </c>
      <c r="M1005" s="17" t="n">
        <f aca="false">'Dish Database'!M281*H1005/100</f>
        <v>11</v>
      </c>
      <c r="N1005" s="17" t="n">
        <f aca="false">'Dish Database'!N281*H1005/100</f>
        <v>6</v>
      </c>
      <c r="O1005" s="17" t="n">
        <f aca="false">'Dish Database'!O281*H1005/100</f>
        <v>7</v>
      </c>
      <c r="P1005" s="13" t="n">
        <f aca="false">'Dish Database'!P281*H1005/100</f>
        <v>660</v>
      </c>
    </row>
    <row r="1006" customFormat="false" ht="15" hidden="false" customHeight="false" outlineLevel="0" collapsed="false">
      <c r="A1006" s="6" t="str">
        <f aca="false">'Dish Database'!A281</f>
        <v>D280</v>
      </c>
      <c r="B1006" s="6" t="str">
        <f aca="false">'Dish Database'!B281</f>
        <v>Baingan bharta</v>
      </c>
      <c r="C1006" s="6" t="str">
        <f aca="false">'Dish Database'!D281</f>
        <v>Veg Curries (Gravy)</v>
      </c>
      <c r="D1006" s="6" t="str">
        <f aca="false">'Dish Database'!F281</f>
        <v>Veg</v>
      </c>
      <c r="E1006" s="6" t="str">
        <f aca="false">'Dish Database'!E281</f>
        <v>North</v>
      </c>
      <c r="F1006" s="6" t="s">
        <v>2323</v>
      </c>
      <c r="G1006" s="6" t="s">
        <v>2503</v>
      </c>
      <c r="H1006" s="16" t="n">
        <v>250</v>
      </c>
      <c r="I1006" s="6" t="str">
        <f aca="false">'Dish Database'!I281</f>
        <v>g</v>
      </c>
      <c r="J1006" s="13" t="n">
        <f aca="false">'Dish Database'!J281*H1006/100</f>
        <v>206.75</v>
      </c>
      <c r="K1006" s="17" t="n">
        <f aca="false">'Dish Database'!K281*H1006/100</f>
        <v>4.5</v>
      </c>
      <c r="L1006" s="17" t="n">
        <f aca="false">'Dish Database'!L281*H1006/100</f>
        <v>20</v>
      </c>
      <c r="M1006" s="17" t="n">
        <f aca="false">'Dish Database'!M281*H1006/100</f>
        <v>13.75</v>
      </c>
      <c r="N1006" s="17" t="n">
        <f aca="false">'Dish Database'!N281*H1006/100</f>
        <v>7.5</v>
      </c>
      <c r="O1006" s="17" t="n">
        <f aca="false">'Dish Database'!O281*H1006/100</f>
        <v>8.75</v>
      </c>
      <c r="P1006" s="13" t="n">
        <f aca="false">'Dish Database'!P281*H1006/100</f>
        <v>825</v>
      </c>
    </row>
    <row r="1007" customFormat="false" ht="15" hidden="false" customHeight="false" outlineLevel="0" collapsed="false">
      <c r="A1007" s="6" t="str">
        <f aca="false">'Dish Database'!A281</f>
        <v>D280</v>
      </c>
      <c r="B1007" s="6" t="str">
        <f aca="false">'Dish Database'!B281</f>
        <v>Baingan bharta</v>
      </c>
      <c r="C1007" s="6" t="str">
        <f aca="false">'Dish Database'!D281</f>
        <v>Veg Curries (Gravy)</v>
      </c>
      <c r="D1007" s="6" t="str">
        <f aca="false">'Dish Database'!F281</f>
        <v>Veg</v>
      </c>
      <c r="E1007" s="6" t="str">
        <f aca="false">'Dish Database'!E281</f>
        <v>North</v>
      </c>
      <c r="F1007" s="6" t="s">
        <v>2325</v>
      </c>
      <c r="G1007" s="6" t="s">
        <v>2504</v>
      </c>
      <c r="H1007" s="16" t="n">
        <v>500</v>
      </c>
      <c r="I1007" s="6" t="str">
        <f aca="false">'Dish Database'!I281</f>
        <v>g</v>
      </c>
      <c r="J1007" s="13" t="n">
        <f aca="false">'Dish Database'!J281*H1007/100</f>
        <v>413.5</v>
      </c>
      <c r="K1007" s="17" t="n">
        <f aca="false">'Dish Database'!K281*H1007/100</f>
        <v>9</v>
      </c>
      <c r="L1007" s="17" t="n">
        <f aca="false">'Dish Database'!L281*H1007/100</f>
        <v>40</v>
      </c>
      <c r="M1007" s="17" t="n">
        <f aca="false">'Dish Database'!M281*H1007/100</f>
        <v>27.5</v>
      </c>
      <c r="N1007" s="17" t="n">
        <f aca="false">'Dish Database'!N281*H1007/100</f>
        <v>15</v>
      </c>
      <c r="O1007" s="17" t="n">
        <f aca="false">'Dish Database'!O281*H1007/100</f>
        <v>17.5</v>
      </c>
      <c r="P1007" s="13" t="n">
        <f aca="false">'Dish Database'!P281*H1007/100</f>
        <v>1650</v>
      </c>
    </row>
    <row r="1008" customFormat="false" ht="15" hidden="false" customHeight="false" outlineLevel="0" collapsed="false">
      <c r="A1008" s="6" t="str">
        <f aca="false">'Dish Database'!A282</f>
        <v>D281</v>
      </c>
      <c r="B1008" s="6" t="str">
        <f aca="false">'Dish Database'!B282</f>
        <v>Kathal (jackfruit) curry</v>
      </c>
      <c r="C1008" s="6" t="str">
        <f aca="false">'Dish Database'!D282</f>
        <v>Veg Curries (Gravy)</v>
      </c>
      <c r="D1008" s="6" t="str">
        <f aca="false">'Dish Database'!F282</f>
        <v>Veg</v>
      </c>
      <c r="E1008" s="6" t="str">
        <f aca="false">'Dish Database'!E282</f>
        <v>North</v>
      </c>
      <c r="F1008" s="6" t="s">
        <v>2243</v>
      </c>
      <c r="G1008" s="6" t="s">
        <v>2500</v>
      </c>
      <c r="H1008" s="16" t="n">
        <v>100</v>
      </c>
      <c r="I1008" s="6" t="str">
        <f aca="false">'Dish Database'!I282</f>
        <v>g</v>
      </c>
      <c r="J1008" s="13" t="n">
        <f aca="false">'Dish Database'!J282*H1008/100</f>
        <v>117</v>
      </c>
      <c r="K1008" s="17" t="n">
        <f aca="false">'Dish Database'!K282*H1008/100</f>
        <v>2</v>
      </c>
      <c r="L1008" s="17" t="n">
        <f aca="false">'Dish Database'!L282*H1008/100</f>
        <v>13</v>
      </c>
      <c r="M1008" s="17" t="n">
        <f aca="false">'Dish Database'!M282*H1008/100</f>
        <v>7</v>
      </c>
      <c r="N1008" s="17" t="n">
        <f aca="false">'Dish Database'!N282*H1008/100</f>
        <v>3</v>
      </c>
      <c r="O1008" s="17" t="n">
        <f aca="false">'Dish Database'!O282*H1008/100</f>
        <v>3</v>
      </c>
      <c r="P1008" s="13" t="n">
        <f aca="false">'Dish Database'!P282*H1008/100</f>
        <v>380</v>
      </c>
    </row>
    <row r="1009" customFormat="false" ht="15" hidden="false" customHeight="false" outlineLevel="0" collapsed="false">
      <c r="A1009" s="6" t="str">
        <f aca="false">'Dish Database'!A282</f>
        <v>D281</v>
      </c>
      <c r="B1009" s="6" t="str">
        <f aca="false">'Dish Database'!B282</f>
        <v>Kathal (jackfruit) curry</v>
      </c>
      <c r="C1009" s="6" t="str">
        <f aca="false">'Dish Database'!D282</f>
        <v>Veg Curries (Gravy)</v>
      </c>
      <c r="D1009" s="6" t="str">
        <f aca="false">'Dish Database'!F282</f>
        <v>Veg</v>
      </c>
      <c r="E1009" s="6" t="str">
        <f aca="false">'Dish Database'!E282</f>
        <v>North</v>
      </c>
      <c r="F1009" s="6" t="s">
        <v>103</v>
      </c>
      <c r="G1009" s="6" t="s">
        <v>2501</v>
      </c>
      <c r="H1009" s="16" t="n">
        <v>150</v>
      </c>
      <c r="I1009" s="6" t="str">
        <f aca="false">'Dish Database'!I282</f>
        <v>g</v>
      </c>
      <c r="J1009" s="13" t="n">
        <f aca="false">'Dish Database'!J282*H1009/100</f>
        <v>175.5</v>
      </c>
      <c r="K1009" s="17" t="n">
        <f aca="false">'Dish Database'!K282*H1009/100</f>
        <v>3</v>
      </c>
      <c r="L1009" s="17" t="n">
        <f aca="false">'Dish Database'!L282*H1009/100</f>
        <v>19.5</v>
      </c>
      <c r="M1009" s="17" t="n">
        <f aca="false">'Dish Database'!M282*H1009/100</f>
        <v>10.5</v>
      </c>
      <c r="N1009" s="17" t="n">
        <f aca="false">'Dish Database'!N282*H1009/100</f>
        <v>4.5</v>
      </c>
      <c r="O1009" s="17" t="n">
        <f aca="false">'Dish Database'!O282*H1009/100</f>
        <v>4.5</v>
      </c>
      <c r="P1009" s="13" t="n">
        <f aca="false">'Dish Database'!P282*H1009/100</f>
        <v>570</v>
      </c>
    </row>
    <row r="1010" customFormat="false" ht="15" hidden="false" customHeight="false" outlineLevel="0" collapsed="false">
      <c r="A1010" s="6" t="str">
        <f aca="false">'Dish Database'!A282</f>
        <v>D281</v>
      </c>
      <c r="B1010" s="6" t="str">
        <f aca="false">'Dish Database'!B282</f>
        <v>Kathal (jackfruit) curry</v>
      </c>
      <c r="C1010" s="6" t="str">
        <f aca="false">'Dish Database'!D282</f>
        <v>Veg Curries (Gravy)</v>
      </c>
      <c r="D1010" s="6" t="str">
        <f aca="false">'Dish Database'!F282</f>
        <v>Veg</v>
      </c>
      <c r="E1010" s="6" t="str">
        <f aca="false">'Dish Database'!E282</f>
        <v>North</v>
      </c>
      <c r="F1010" s="6" t="s">
        <v>2246</v>
      </c>
      <c r="G1010" s="6" t="s">
        <v>2502</v>
      </c>
      <c r="H1010" s="16" t="n">
        <v>200</v>
      </c>
      <c r="I1010" s="6" t="str">
        <f aca="false">'Dish Database'!I282</f>
        <v>g</v>
      </c>
      <c r="J1010" s="13" t="n">
        <f aca="false">'Dish Database'!J282*H1010/100</f>
        <v>234</v>
      </c>
      <c r="K1010" s="17" t="n">
        <f aca="false">'Dish Database'!K282*H1010/100</f>
        <v>4</v>
      </c>
      <c r="L1010" s="17" t="n">
        <f aca="false">'Dish Database'!L282*H1010/100</f>
        <v>26</v>
      </c>
      <c r="M1010" s="17" t="n">
        <f aca="false">'Dish Database'!M282*H1010/100</f>
        <v>14</v>
      </c>
      <c r="N1010" s="17" t="n">
        <f aca="false">'Dish Database'!N282*H1010/100</f>
        <v>6</v>
      </c>
      <c r="O1010" s="17" t="n">
        <f aca="false">'Dish Database'!O282*H1010/100</f>
        <v>6</v>
      </c>
      <c r="P1010" s="13" t="n">
        <f aca="false">'Dish Database'!P282*H1010/100</f>
        <v>760</v>
      </c>
    </row>
    <row r="1011" customFormat="false" ht="15" hidden="false" customHeight="false" outlineLevel="0" collapsed="false">
      <c r="A1011" s="6" t="str">
        <f aca="false">'Dish Database'!A282</f>
        <v>D281</v>
      </c>
      <c r="B1011" s="6" t="str">
        <f aca="false">'Dish Database'!B282</f>
        <v>Kathal (jackfruit) curry</v>
      </c>
      <c r="C1011" s="6" t="str">
        <f aca="false">'Dish Database'!D282</f>
        <v>Veg Curries (Gravy)</v>
      </c>
      <c r="D1011" s="6" t="str">
        <f aca="false">'Dish Database'!F282</f>
        <v>Veg</v>
      </c>
      <c r="E1011" s="6" t="str">
        <f aca="false">'Dish Database'!E282</f>
        <v>North</v>
      </c>
      <c r="F1011" s="6" t="s">
        <v>2323</v>
      </c>
      <c r="G1011" s="6" t="s">
        <v>2503</v>
      </c>
      <c r="H1011" s="16" t="n">
        <v>250</v>
      </c>
      <c r="I1011" s="6" t="str">
        <f aca="false">'Dish Database'!I282</f>
        <v>g</v>
      </c>
      <c r="J1011" s="13" t="n">
        <f aca="false">'Dish Database'!J282*H1011/100</f>
        <v>292.5</v>
      </c>
      <c r="K1011" s="17" t="n">
        <f aca="false">'Dish Database'!K282*H1011/100</f>
        <v>5</v>
      </c>
      <c r="L1011" s="17" t="n">
        <f aca="false">'Dish Database'!L282*H1011/100</f>
        <v>32.5</v>
      </c>
      <c r="M1011" s="17" t="n">
        <f aca="false">'Dish Database'!M282*H1011/100</f>
        <v>17.5</v>
      </c>
      <c r="N1011" s="17" t="n">
        <f aca="false">'Dish Database'!N282*H1011/100</f>
        <v>7.5</v>
      </c>
      <c r="O1011" s="17" t="n">
        <f aca="false">'Dish Database'!O282*H1011/100</f>
        <v>7.5</v>
      </c>
      <c r="P1011" s="13" t="n">
        <f aca="false">'Dish Database'!P282*H1011/100</f>
        <v>950</v>
      </c>
    </row>
    <row r="1012" customFormat="false" ht="15" hidden="false" customHeight="false" outlineLevel="0" collapsed="false">
      <c r="A1012" s="6" t="str">
        <f aca="false">'Dish Database'!A282</f>
        <v>D281</v>
      </c>
      <c r="B1012" s="6" t="str">
        <f aca="false">'Dish Database'!B282</f>
        <v>Kathal (jackfruit) curry</v>
      </c>
      <c r="C1012" s="6" t="str">
        <f aca="false">'Dish Database'!D282</f>
        <v>Veg Curries (Gravy)</v>
      </c>
      <c r="D1012" s="6" t="str">
        <f aca="false">'Dish Database'!F282</f>
        <v>Veg</v>
      </c>
      <c r="E1012" s="6" t="str">
        <f aca="false">'Dish Database'!E282</f>
        <v>North</v>
      </c>
      <c r="F1012" s="6" t="s">
        <v>2325</v>
      </c>
      <c r="G1012" s="6" t="s">
        <v>2504</v>
      </c>
      <c r="H1012" s="16" t="n">
        <v>500</v>
      </c>
      <c r="I1012" s="6" t="str">
        <f aca="false">'Dish Database'!I282</f>
        <v>g</v>
      </c>
      <c r="J1012" s="13" t="n">
        <f aca="false">'Dish Database'!J282*H1012/100</f>
        <v>585</v>
      </c>
      <c r="K1012" s="17" t="n">
        <f aca="false">'Dish Database'!K282*H1012/100</f>
        <v>10</v>
      </c>
      <c r="L1012" s="17" t="n">
        <f aca="false">'Dish Database'!L282*H1012/100</f>
        <v>65</v>
      </c>
      <c r="M1012" s="17" t="n">
        <f aca="false">'Dish Database'!M282*H1012/100</f>
        <v>35</v>
      </c>
      <c r="N1012" s="17" t="n">
        <f aca="false">'Dish Database'!N282*H1012/100</f>
        <v>15</v>
      </c>
      <c r="O1012" s="17" t="n">
        <f aca="false">'Dish Database'!O282*H1012/100</f>
        <v>15</v>
      </c>
      <c r="P1012" s="13" t="n">
        <f aca="false">'Dish Database'!P282*H1012/100</f>
        <v>1900</v>
      </c>
    </row>
    <row r="1013" customFormat="false" ht="15" hidden="false" customHeight="false" outlineLevel="0" collapsed="false">
      <c r="A1013" s="6" t="str">
        <f aca="false">'Dish Database'!A283</f>
        <v>D282</v>
      </c>
      <c r="B1013" s="6" t="str">
        <f aca="false">'Dish Database'!B283</f>
        <v>Undhiyu</v>
      </c>
      <c r="C1013" s="6" t="str">
        <f aca="false">'Dish Database'!D283</f>
        <v>Veg Curries (Gravy)</v>
      </c>
      <c r="D1013" s="6" t="str">
        <f aca="false">'Dish Database'!F283</f>
        <v>Veg</v>
      </c>
      <c r="E1013" s="6" t="str">
        <f aca="false">'Dish Database'!E283</f>
        <v>West</v>
      </c>
      <c r="F1013" s="6" t="s">
        <v>2243</v>
      </c>
      <c r="G1013" s="6" t="s">
        <v>2500</v>
      </c>
      <c r="H1013" s="16" t="n">
        <v>100</v>
      </c>
      <c r="I1013" s="6" t="str">
        <f aca="false">'Dish Database'!I283</f>
        <v>g</v>
      </c>
      <c r="J1013" s="13" t="n">
        <f aca="false">'Dish Database'!J283*H1013/100</f>
        <v>170</v>
      </c>
      <c r="K1013" s="17" t="n">
        <f aca="false">'Dish Database'!K283*H1013/100</f>
        <v>4</v>
      </c>
      <c r="L1013" s="17" t="n">
        <f aca="false">'Dish Database'!L283*H1013/100</f>
        <v>16</v>
      </c>
      <c r="M1013" s="17" t="n">
        <f aca="false">'Dish Database'!M283*H1013/100</f>
        <v>11</v>
      </c>
      <c r="N1013" s="17" t="n">
        <f aca="false">'Dish Database'!N283*H1013/100</f>
        <v>4.5</v>
      </c>
      <c r="O1013" s="17" t="n">
        <f aca="false">'Dish Database'!O283*H1013/100</f>
        <v>3</v>
      </c>
      <c r="P1013" s="13" t="n">
        <f aca="false">'Dish Database'!P283*H1013/100</f>
        <v>380</v>
      </c>
    </row>
    <row r="1014" customFormat="false" ht="15" hidden="false" customHeight="false" outlineLevel="0" collapsed="false">
      <c r="A1014" s="6" t="str">
        <f aca="false">'Dish Database'!A283</f>
        <v>D282</v>
      </c>
      <c r="B1014" s="6" t="str">
        <f aca="false">'Dish Database'!B283</f>
        <v>Undhiyu</v>
      </c>
      <c r="C1014" s="6" t="str">
        <f aca="false">'Dish Database'!D283</f>
        <v>Veg Curries (Gravy)</v>
      </c>
      <c r="D1014" s="6" t="str">
        <f aca="false">'Dish Database'!F283</f>
        <v>Veg</v>
      </c>
      <c r="E1014" s="6" t="str">
        <f aca="false">'Dish Database'!E283</f>
        <v>West</v>
      </c>
      <c r="F1014" s="6" t="s">
        <v>103</v>
      </c>
      <c r="G1014" s="6" t="s">
        <v>2501</v>
      </c>
      <c r="H1014" s="16" t="n">
        <v>150</v>
      </c>
      <c r="I1014" s="6" t="str">
        <f aca="false">'Dish Database'!I283</f>
        <v>g</v>
      </c>
      <c r="J1014" s="13" t="n">
        <f aca="false">'Dish Database'!J283*H1014/100</f>
        <v>255</v>
      </c>
      <c r="K1014" s="17" t="n">
        <f aca="false">'Dish Database'!K283*H1014/100</f>
        <v>6</v>
      </c>
      <c r="L1014" s="17" t="n">
        <f aca="false">'Dish Database'!L283*H1014/100</f>
        <v>24</v>
      </c>
      <c r="M1014" s="17" t="n">
        <f aca="false">'Dish Database'!M283*H1014/100</f>
        <v>16.5</v>
      </c>
      <c r="N1014" s="17" t="n">
        <f aca="false">'Dish Database'!N283*H1014/100</f>
        <v>6.75</v>
      </c>
      <c r="O1014" s="17" t="n">
        <f aca="false">'Dish Database'!O283*H1014/100</f>
        <v>4.5</v>
      </c>
      <c r="P1014" s="13" t="n">
        <f aca="false">'Dish Database'!P283*H1014/100</f>
        <v>570</v>
      </c>
    </row>
    <row r="1015" customFormat="false" ht="15" hidden="false" customHeight="false" outlineLevel="0" collapsed="false">
      <c r="A1015" s="6" t="str">
        <f aca="false">'Dish Database'!A283</f>
        <v>D282</v>
      </c>
      <c r="B1015" s="6" t="str">
        <f aca="false">'Dish Database'!B283</f>
        <v>Undhiyu</v>
      </c>
      <c r="C1015" s="6" t="str">
        <f aca="false">'Dish Database'!D283</f>
        <v>Veg Curries (Gravy)</v>
      </c>
      <c r="D1015" s="6" t="str">
        <f aca="false">'Dish Database'!F283</f>
        <v>Veg</v>
      </c>
      <c r="E1015" s="6" t="str">
        <f aca="false">'Dish Database'!E283</f>
        <v>West</v>
      </c>
      <c r="F1015" s="6" t="s">
        <v>2246</v>
      </c>
      <c r="G1015" s="6" t="s">
        <v>2502</v>
      </c>
      <c r="H1015" s="16" t="n">
        <v>200</v>
      </c>
      <c r="I1015" s="6" t="str">
        <f aca="false">'Dish Database'!I283</f>
        <v>g</v>
      </c>
      <c r="J1015" s="13" t="n">
        <f aca="false">'Dish Database'!J283*H1015/100</f>
        <v>340</v>
      </c>
      <c r="K1015" s="17" t="n">
        <f aca="false">'Dish Database'!K283*H1015/100</f>
        <v>8</v>
      </c>
      <c r="L1015" s="17" t="n">
        <f aca="false">'Dish Database'!L283*H1015/100</f>
        <v>32</v>
      </c>
      <c r="M1015" s="17" t="n">
        <f aca="false">'Dish Database'!M283*H1015/100</f>
        <v>22</v>
      </c>
      <c r="N1015" s="17" t="n">
        <f aca="false">'Dish Database'!N283*H1015/100</f>
        <v>9</v>
      </c>
      <c r="O1015" s="17" t="n">
        <f aca="false">'Dish Database'!O283*H1015/100</f>
        <v>6</v>
      </c>
      <c r="P1015" s="13" t="n">
        <f aca="false">'Dish Database'!P283*H1015/100</f>
        <v>760</v>
      </c>
    </row>
    <row r="1016" customFormat="false" ht="15" hidden="false" customHeight="false" outlineLevel="0" collapsed="false">
      <c r="A1016" s="6" t="str">
        <f aca="false">'Dish Database'!A283</f>
        <v>D282</v>
      </c>
      <c r="B1016" s="6" t="str">
        <f aca="false">'Dish Database'!B283</f>
        <v>Undhiyu</v>
      </c>
      <c r="C1016" s="6" t="str">
        <f aca="false">'Dish Database'!D283</f>
        <v>Veg Curries (Gravy)</v>
      </c>
      <c r="D1016" s="6" t="str">
        <f aca="false">'Dish Database'!F283</f>
        <v>Veg</v>
      </c>
      <c r="E1016" s="6" t="str">
        <f aca="false">'Dish Database'!E283</f>
        <v>West</v>
      </c>
      <c r="F1016" s="6" t="s">
        <v>2323</v>
      </c>
      <c r="G1016" s="6" t="s">
        <v>2503</v>
      </c>
      <c r="H1016" s="16" t="n">
        <v>250</v>
      </c>
      <c r="I1016" s="6" t="str">
        <f aca="false">'Dish Database'!I283</f>
        <v>g</v>
      </c>
      <c r="J1016" s="13" t="n">
        <f aca="false">'Dish Database'!J283*H1016/100</f>
        <v>425</v>
      </c>
      <c r="K1016" s="17" t="n">
        <f aca="false">'Dish Database'!K283*H1016/100</f>
        <v>10</v>
      </c>
      <c r="L1016" s="17" t="n">
        <f aca="false">'Dish Database'!L283*H1016/100</f>
        <v>40</v>
      </c>
      <c r="M1016" s="17" t="n">
        <f aca="false">'Dish Database'!M283*H1016/100</f>
        <v>27.5</v>
      </c>
      <c r="N1016" s="17" t="n">
        <f aca="false">'Dish Database'!N283*H1016/100</f>
        <v>11.25</v>
      </c>
      <c r="O1016" s="17" t="n">
        <f aca="false">'Dish Database'!O283*H1016/100</f>
        <v>7.5</v>
      </c>
      <c r="P1016" s="13" t="n">
        <f aca="false">'Dish Database'!P283*H1016/100</f>
        <v>950</v>
      </c>
    </row>
    <row r="1017" customFormat="false" ht="15" hidden="false" customHeight="false" outlineLevel="0" collapsed="false">
      <c r="A1017" s="6" t="str">
        <f aca="false">'Dish Database'!A283</f>
        <v>D282</v>
      </c>
      <c r="B1017" s="6" t="str">
        <f aca="false">'Dish Database'!B283</f>
        <v>Undhiyu</v>
      </c>
      <c r="C1017" s="6" t="str">
        <f aca="false">'Dish Database'!D283</f>
        <v>Veg Curries (Gravy)</v>
      </c>
      <c r="D1017" s="6" t="str">
        <f aca="false">'Dish Database'!F283</f>
        <v>Veg</v>
      </c>
      <c r="E1017" s="6" t="str">
        <f aca="false">'Dish Database'!E283</f>
        <v>West</v>
      </c>
      <c r="F1017" s="6" t="s">
        <v>2325</v>
      </c>
      <c r="G1017" s="6" t="s">
        <v>2504</v>
      </c>
      <c r="H1017" s="16" t="n">
        <v>500</v>
      </c>
      <c r="I1017" s="6" t="str">
        <f aca="false">'Dish Database'!I283</f>
        <v>g</v>
      </c>
      <c r="J1017" s="13" t="n">
        <f aca="false">'Dish Database'!J283*H1017/100</f>
        <v>850</v>
      </c>
      <c r="K1017" s="17" t="n">
        <f aca="false">'Dish Database'!K283*H1017/100</f>
        <v>20</v>
      </c>
      <c r="L1017" s="17" t="n">
        <f aca="false">'Dish Database'!L283*H1017/100</f>
        <v>80</v>
      </c>
      <c r="M1017" s="17" t="n">
        <f aca="false">'Dish Database'!M283*H1017/100</f>
        <v>55</v>
      </c>
      <c r="N1017" s="17" t="n">
        <f aca="false">'Dish Database'!N283*H1017/100</f>
        <v>22.5</v>
      </c>
      <c r="O1017" s="17" t="n">
        <f aca="false">'Dish Database'!O283*H1017/100</f>
        <v>15</v>
      </c>
      <c r="P1017" s="13" t="n">
        <f aca="false">'Dish Database'!P283*H1017/100</f>
        <v>1900</v>
      </c>
    </row>
    <row r="1018" customFormat="false" ht="15" hidden="false" customHeight="false" outlineLevel="0" collapsed="false">
      <c r="A1018" s="6" t="str">
        <f aca="false">'Dish Database'!A284</f>
        <v>D283</v>
      </c>
      <c r="B1018" s="6" t="str">
        <f aca="false">'Dish Database'!B284</f>
        <v>Sev tamatar</v>
      </c>
      <c r="C1018" s="6" t="str">
        <f aca="false">'Dish Database'!D284</f>
        <v>Veg Curries (Gravy)</v>
      </c>
      <c r="D1018" s="6" t="str">
        <f aca="false">'Dish Database'!F284</f>
        <v>Veg</v>
      </c>
      <c r="E1018" s="6" t="str">
        <f aca="false">'Dish Database'!E284</f>
        <v>West</v>
      </c>
      <c r="F1018" s="6" t="s">
        <v>2243</v>
      </c>
      <c r="G1018" s="6" t="s">
        <v>2500</v>
      </c>
      <c r="H1018" s="16" t="n">
        <v>100</v>
      </c>
      <c r="I1018" s="6" t="str">
        <f aca="false">'Dish Database'!I284</f>
        <v>g</v>
      </c>
      <c r="J1018" s="13" t="n">
        <f aca="false">'Dish Database'!J284*H1018/100</f>
        <v>160.6</v>
      </c>
      <c r="K1018" s="17" t="n">
        <f aca="false">'Dish Database'!K284*H1018/100</f>
        <v>4.5</v>
      </c>
      <c r="L1018" s="17" t="n">
        <f aca="false">'Dish Database'!L284*H1018/100</f>
        <v>12</v>
      </c>
      <c r="M1018" s="17" t="n">
        <f aca="false">'Dish Database'!M284*H1018/100</f>
        <v>11</v>
      </c>
      <c r="N1018" s="17" t="n">
        <f aca="false">'Dish Database'!N284*H1018/100</f>
        <v>2.2</v>
      </c>
      <c r="O1018" s="17" t="n">
        <f aca="false">'Dish Database'!O284*H1018/100</f>
        <v>4</v>
      </c>
      <c r="P1018" s="13" t="n">
        <f aca="false">'Dish Database'!P284*H1018/100</f>
        <v>450</v>
      </c>
    </row>
    <row r="1019" customFormat="false" ht="15" hidden="false" customHeight="false" outlineLevel="0" collapsed="false">
      <c r="A1019" s="6" t="str">
        <f aca="false">'Dish Database'!A284</f>
        <v>D283</v>
      </c>
      <c r="B1019" s="6" t="str">
        <f aca="false">'Dish Database'!B284</f>
        <v>Sev tamatar</v>
      </c>
      <c r="C1019" s="6" t="str">
        <f aca="false">'Dish Database'!D284</f>
        <v>Veg Curries (Gravy)</v>
      </c>
      <c r="D1019" s="6" t="str">
        <f aca="false">'Dish Database'!F284</f>
        <v>Veg</v>
      </c>
      <c r="E1019" s="6" t="str">
        <f aca="false">'Dish Database'!E284</f>
        <v>West</v>
      </c>
      <c r="F1019" s="6" t="s">
        <v>103</v>
      </c>
      <c r="G1019" s="6" t="s">
        <v>2501</v>
      </c>
      <c r="H1019" s="16" t="n">
        <v>150</v>
      </c>
      <c r="I1019" s="6" t="str">
        <f aca="false">'Dish Database'!I284</f>
        <v>g</v>
      </c>
      <c r="J1019" s="13" t="n">
        <f aca="false">'Dish Database'!J284*H1019/100</f>
        <v>240.9</v>
      </c>
      <c r="K1019" s="17" t="n">
        <f aca="false">'Dish Database'!K284*H1019/100</f>
        <v>6.75</v>
      </c>
      <c r="L1019" s="17" t="n">
        <f aca="false">'Dish Database'!L284*H1019/100</f>
        <v>18</v>
      </c>
      <c r="M1019" s="17" t="n">
        <f aca="false">'Dish Database'!M284*H1019/100</f>
        <v>16.5</v>
      </c>
      <c r="N1019" s="17" t="n">
        <f aca="false">'Dish Database'!N284*H1019/100</f>
        <v>3.3</v>
      </c>
      <c r="O1019" s="17" t="n">
        <f aca="false">'Dish Database'!O284*H1019/100</f>
        <v>6</v>
      </c>
      <c r="P1019" s="13" t="n">
        <f aca="false">'Dish Database'!P284*H1019/100</f>
        <v>675</v>
      </c>
    </row>
    <row r="1020" customFormat="false" ht="15" hidden="false" customHeight="false" outlineLevel="0" collapsed="false">
      <c r="A1020" s="6" t="str">
        <f aca="false">'Dish Database'!A284</f>
        <v>D283</v>
      </c>
      <c r="B1020" s="6" t="str">
        <f aca="false">'Dish Database'!B284</f>
        <v>Sev tamatar</v>
      </c>
      <c r="C1020" s="6" t="str">
        <f aca="false">'Dish Database'!D284</f>
        <v>Veg Curries (Gravy)</v>
      </c>
      <c r="D1020" s="6" t="str">
        <f aca="false">'Dish Database'!F284</f>
        <v>Veg</v>
      </c>
      <c r="E1020" s="6" t="str">
        <f aca="false">'Dish Database'!E284</f>
        <v>West</v>
      </c>
      <c r="F1020" s="6" t="s">
        <v>2246</v>
      </c>
      <c r="G1020" s="6" t="s">
        <v>2502</v>
      </c>
      <c r="H1020" s="16" t="n">
        <v>200</v>
      </c>
      <c r="I1020" s="6" t="str">
        <f aca="false">'Dish Database'!I284</f>
        <v>g</v>
      </c>
      <c r="J1020" s="13" t="n">
        <f aca="false">'Dish Database'!J284*H1020/100</f>
        <v>321.2</v>
      </c>
      <c r="K1020" s="17" t="n">
        <f aca="false">'Dish Database'!K284*H1020/100</f>
        <v>9</v>
      </c>
      <c r="L1020" s="17" t="n">
        <f aca="false">'Dish Database'!L284*H1020/100</f>
        <v>24</v>
      </c>
      <c r="M1020" s="17" t="n">
        <f aca="false">'Dish Database'!M284*H1020/100</f>
        <v>22</v>
      </c>
      <c r="N1020" s="17" t="n">
        <f aca="false">'Dish Database'!N284*H1020/100</f>
        <v>4.4</v>
      </c>
      <c r="O1020" s="17" t="n">
        <f aca="false">'Dish Database'!O284*H1020/100</f>
        <v>8</v>
      </c>
      <c r="P1020" s="13" t="n">
        <f aca="false">'Dish Database'!P284*H1020/100</f>
        <v>900</v>
      </c>
    </row>
    <row r="1021" customFormat="false" ht="15" hidden="false" customHeight="false" outlineLevel="0" collapsed="false">
      <c r="A1021" s="6" t="str">
        <f aca="false">'Dish Database'!A284</f>
        <v>D283</v>
      </c>
      <c r="B1021" s="6" t="str">
        <f aca="false">'Dish Database'!B284</f>
        <v>Sev tamatar</v>
      </c>
      <c r="C1021" s="6" t="str">
        <f aca="false">'Dish Database'!D284</f>
        <v>Veg Curries (Gravy)</v>
      </c>
      <c r="D1021" s="6" t="str">
        <f aca="false">'Dish Database'!F284</f>
        <v>Veg</v>
      </c>
      <c r="E1021" s="6" t="str">
        <f aca="false">'Dish Database'!E284</f>
        <v>West</v>
      </c>
      <c r="F1021" s="6" t="s">
        <v>2323</v>
      </c>
      <c r="G1021" s="6" t="s">
        <v>2503</v>
      </c>
      <c r="H1021" s="16" t="n">
        <v>250</v>
      </c>
      <c r="I1021" s="6" t="str">
        <f aca="false">'Dish Database'!I284</f>
        <v>g</v>
      </c>
      <c r="J1021" s="13" t="n">
        <f aca="false">'Dish Database'!J284*H1021/100</f>
        <v>401.5</v>
      </c>
      <c r="K1021" s="17" t="n">
        <f aca="false">'Dish Database'!K284*H1021/100</f>
        <v>11.25</v>
      </c>
      <c r="L1021" s="17" t="n">
        <f aca="false">'Dish Database'!L284*H1021/100</f>
        <v>30</v>
      </c>
      <c r="M1021" s="17" t="n">
        <f aca="false">'Dish Database'!M284*H1021/100</f>
        <v>27.5</v>
      </c>
      <c r="N1021" s="17" t="n">
        <f aca="false">'Dish Database'!N284*H1021/100</f>
        <v>5.5</v>
      </c>
      <c r="O1021" s="17" t="n">
        <f aca="false">'Dish Database'!O284*H1021/100</f>
        <v>10</v>
      </c>
      <c r="P1021" s="13" t="n">
        <f aca="false">'Dish Database'!P284*H1021/100</f>
        <v>1125</v>
      </c>
    </row>
    <row r="1022" customFormat="false" ht="15" hidden="false" customHeight="false" outlineLevel="0" collapsed="false">
      <c r="A1022" s="6" t="str">
        <f aca="false">'Dish Database'!A284</f>
        <v>D283</v>
      </c>
      <c r="B1022" s="6" t="str">
        <f aca="false">'Dish Database'!B284</f>
        <v>Sev tamatar</v>
      </c>
      <c r="C1022" s="6" t="str">
        <f aca="false">'Dish Database'!D284</f>
        <v>Veg Curries (Gravy)</v>
      </c>
      <c r="D1022" s="6" t="str">
        <f aca="false">'Dish Database'!F284</f>
        <v>Veg</v>
      </c>
      <c r="E1022" s="6" t="str">
        <f aca="false">'Dish Database'!E284</f>
        <v>West</v>
      </c>
      <c r="F1022" s="6" t="s">
        <v>2325</v>
      </c>
      <c r="G1022" s="6" t="s">
        <v>2504</v>
      </c>
      <c r="H1022" s="16" t="n">
        <v>500</v>
      </c>
      <c r="I1022" s="6" t="str">
        <f aca="false">'Dish Database'!I284</f>
        <v>g</v>
      </c>
      <c r="J1022" s="13" t="n">
        <f aca="false">'Dish Database'!J284*H1022/100</f>
        <v>803</v>
      </c>
      <c r="K1022" s="17" t="n">
        <f aca="false">'Dish Database'!K284*H1022/100</f>
        <v>22.5</v>
      </c>
      <c r="L1022" s="17" t="n">
        <f aca="false">'Dish Database'!L284*H1022/100</f>
        <v>60</v>
      </c>
      <c r="M1022" s="17" t="n">
        <f aca="false">'Dish Database'!M284*H1022/100</f>
        <v>55</v>
      </c>
      <c r="N1022" s="17" t="n">
        <f aca="false">'Dish Database'!N284*H1022/100</f>
        <v>11</v>
      </c>
      <c r="O1022" s="17" t="n">
        <f aca="false">'Dish Database'!O284*H1022/100</f>
        <v>20</v>
      </c>
      <c r="P1022" s="13" t="n">
        <f aca="false">'Dish Database'!P284*H1022/100</f>
        <v>2250</v>
      </c>
    </row>
    <row r="1023" customFormat="false" ht="15" hidden="false" customHeight="false" outlineLevel="0" collapsed="false">
      <c r="A1023" s="6" t="str">
        <f aca="false">'Dish Database'!A285</f>
        <v>D284</v>
      </c>
      <c r="B1023" s="6" t="str">
        <f aca="false">'Dish Database'!B285</f>
        <v>Pav bhaji - bhaji only</v>
      </c>
      <c r="C1023" s="6" t="str">
        <f aca="false">'Dish Database'!D285</f>
        <v>Veg Curries (Gravy)</v>
      </c>
      <c r="D1023" s="6" t="str">
        <f aca="false">'Dish Database'!F285</f>
        <v>Veg</v>
      </c>
      <c r="E1023" s="6" t="str">
        <f aca="false">'Dish Database'!E285</f>
        <v>West</v>
      </c>
      <c r="F1023" s="6" t="s">
        <v>2243</v>
      </c>
      <c r="G1023" s="6" t="s">
        <v>2500</v>
      </c>
      <c r="H1023" s="16" t="n">
        <v>100</v>
      </c>
      <c r="I1023" s="6" t="str">
        <f aca="false">'Dish Database'!I285</f>
        <v>g</v>
      </c>
      <c r="J1023" s="13" t="n">
        <f aca="false">'Dish Database'!J285*H1023/100</f>
        <v>123.5</v>
      </c>
      <c r="K1023" s="17" t="n">
        <f aca="false">'Dish Database'!K285*H1023/100</f>
        <v>2.5</v>
      </c>
      <c r="L1023" s="17" t="n">
        <f aca="false">'Dish Database'!L285*H1023/100</f>
        <v>13</v>
      </c>
      <c r="M1023" s="17" t="n">
        <f aca="false">'Dish Database'!M285*H1023/100</f>
        <v>7.5</v>
      </c>
      <c r="N1023" s="17" t="n">
        <f aca="false">'Dish Database'!N285*H1023/100</f>
        <v>3</v>
      </c>
      <c r="O1023" s="17" t="n">
        <f aca="false">'Dish Database'!O285*H1023/100</f>
        <v>3.5</v>
      </c>
      <c r="P1023" s="13" t="n">
        <f aca="false">'Dish Database'!P285*H1023/100</f>
        <v>450</v>
      </c>
    </row>
    <row r="1024" customFormat="false" ht="15" hidden="false" customHeight="false" outlineLevel="0" collapsed="false">
      <c r="A1024" s="6" t="str">
        <f aca="false">'Dish Database'!A285</f>
        <v>D284</v>
      </c>
      <c r="B1024" s="6" t="str">
        <f aca="false">'Dish Database'!B285</f>
        <v>Pav bhaji - bhaji only</v>
      </c>
      <c r="C1024" s="6" t="str">
        <f aca="false">'Dish Database'!D285</f>
        <v>Veg Curries (Gravy)</v>
      </c>
      <c r="D1024" s="6" t="str">
        <f aca="false">'Dish Database'!F285</f>
        <v>Veg</v>
      </c>
      <c r="E1024" s="6" t="str">
        <f aca="false">'Dish Database'!E285</f>
        <v>West</v>
      </c>
      <c r="F1024" s="6" t="s">
        <v>103</v>
      </c>
      <c r="G1024" s="6" t="s">
        <v>2501</v>
      </c>
      <c r="H1024" s="16" t="n">
        <v>150</v>
      </c>
      <c r="I1024" s="6" t="str">
        <f aca="false">'Dish Database'!I285</f>
        <v>g</v>
      </c>
      <c r="J1024" s="13" t="n">
        <f aca="false">'Dish Database'!J285*H1024/100</f>
        <v>185.25</v>
      </c>
      <c r="K1024" s="17" t="n">
        <f aca="false">'Dish Database'!K285*H1024/100</f>
        <v>3.75</v>
      </c>
      <c r="L1024" s="17" t="n">
        <f aca="false">'Dish Database'!L285*H1024/100</f>
        <v>19.5</v>
      </c>
      <c r="M1024" s="17" t="n">
        <f aca="false">'Dish Database'!M285*H1024/100</f>
        <v>11.25</v>
      </c>
      <c r="N1024" s="17" t="n">
        <f aca="false">'Dish Database'!N285*H1024/100</f>
        <v>4.5</v>
      </c>
      <c r="O1024" s="17" t="n">
        <f aca="false">'Dish Database'!O285*H1024/100</f>
        <v>5.25</v>
      </c>
      <c r="P1024" s="13" t="n">
        <f aca="false">'Dish Database'!P285*H1024/100</f>
        <v>675</v>
      </c>
    </row>
    <row r="1025" customFormat="false" ht="15" hidden="false" customHeight="false" outlineLevel="0" collapsed="false">
      <c r="A1025" s="6" t="str">
        <f aca="false">'Dish Database'!A285</f>
        <v>D284</v>
      </c>
      <c r="B1025" s="6" t="str">
        <f aca="false">'Dish Database'!B285</f>
        <v>Pav bhaji - bhaji only</v>
      </c>
      <c r="C1025" s="6" t="str">
        <f aca="false">'Dish Database'!D285</f>
        <v>Veg Curries (Gravy)</v>
      </c>
      <c r="D1025" s="6" t="str">
        <f aca="false">'Dish Database'!F285</f>
        <v>Veg</v>
      </c>
      <c r="E1025" s="6" t="str">
        <f aca="false">'Dish Database'!E285</f>
        <v>West</v>
      </c>
      <c r="F1025" s="6" t="s">
        <v>2246</v>
      </c>
      <c r="G1025" s="6" t="s">
        <v>2502</v>
      </c>
      <c r="H1025" s="16" t="n">
        <v>200</v>
      </c>
      <c r="I1025" s="6" t="str">
        <f aca="false">'Dish Database'!I285</f>
        <v>g</v>
      </c>
      <c r="J1025" s="13" t="n">
        <f aca="false">'Dish Database'!J285*H1025/100</f>
        <v>247</v>
      </c>
      <c r="K1025" s="17" t="n">
        <f aca="false">'Dish Database'!K285*H1025/100</f>
        <v>5</v>
      </c>
      <c r="L1025" s="17" t="n">
        <f aca="false">'Dish Database'!L285*H1025/100</f>
        <v>26</v>
      </c>
      <c r="M1025" s="17" t="n">
        <f aca="false">'Dish Database'!M285*H1025/100</f>
        <v>15</v>
      </c>
      <c r="N1025" s="17" t="n">
        <f aca="false">'Dish Database'!N285*H1025/100</f>
        <v>6</v>
      </c>
      <c r="O1025" s="17" t="n">
        <f aca="false">'Dish Database'!O285*H1025/100</f>
        <v>7</v>
      </c>
      <c r="P1025" s="13" t="n">
        <f aca="false">'Dish Database'!P285*H1025/100</f>
        <v>900</v>
      </c>
    </row>
    <row r="1026" customFormat="false" ht="15" hidden="false" customHeight="false" outlineLevel="0" collapsed="false">
      <c r="A1026" s="6" t="str">
        <f aca="false">'Dish Database'!A285</f>
        <v>D284</v>
      </c>
      <c r="B1026" s="6" t="str">
        <f aca="false">'Dish Database'!B285</f>
        <v>Pav bhaji - bhaji only</v>
      </c>
      <c r="C1026" s="6" t="str">
        <f aca="false">'Dish Database'!D285</f>
        <v>Veg Curries (Gravy)</v>
      </c>
      <c r="D1026" s="6" t="str">
        <f aca="false">'Dish Database'!F285</f>
        <v>Veg</v>
      </c>
      <c r="E1026" s="6" t="str">
        <f aca="false">'Dish Database'!E285</f>
        <v>West</v>
      </c>
      <c r="F1026" s="6" t="s">
        <v>2323</v>
      </c>
      <c r="G1026" s="6" t="s">
        <v>2503</v>
      </c>
      <c r="H1026" s="16" t="n">
        <v>250</v>
      </c>
      <c r="I1026" s="6" t="str">
        <f aca="false">'Dish Database'!I285</f>
        <v>g</v>
      </c>
      <c r="J1026" s="13" t="n">
        <f aca="false">'Dish Database'!J285*H1026/100</f>
        <v>308.75</v>
      </c>
      <c r="K1026" s="17" t="n">
        <f aca="false">'Dish Database'!K285*H1026/100</f>
        <v>6.25</v>
      </c>
      <c r="L1026" s="17" t="n">
        <f aca="false">'Dish Database'!L285*H1026/100</f>
        <v>32.5</v>
      </c>
      <c r="M1026" s="17" t="n">
        <f aca="false">'Dish Database'!M285*H1026/100</f>
        <v>18.75</v>
      </c>
      <c r="N1026" s="17" t="n">
        <f aca="false">'Dish Database'!N285*H1026/100</f>
        <v>7.5</v>
      </c>
      <c r="O1026" s="17" t="n">
        <f aca="false">'Dish Database'!O285*H1026/100</f>
        <v>8.75</v>
      </c>
      <c r="P1026" s="13" t="n">
        <f aca="false">'Dish Database'!P285*H1026/100</f>
        <v>1125</v>
      </c>
    </row>
    <row r="1027" customFormat="false" ht="15" hidden="false" customHeight="false" outlineLevel="0" collapsed="false">
      <c r="A1027" s="6" t="str">
        <f aca="false">'Dish Database'!A285</f>
        <v>D284</v>
      </c>
      <c r="B1027" s="6" t="str">
        <f aca="false">'Dish Database'!B285</f>
        <v>Pav bhaji - bhaji only</v>
      </c>
      <c r="C1027" s="6" t="str">
        <f aca="false">'Dish Database'!D285</f>
        <v>Veg Curries (Gravy)</v>
      </c>
      <c r="D1027" s="6" t="str">
        <f aca="false">'Dish Database'!F285</f>
        <v>Veg</v>
      </c>
      <c r="E1027" s="6" t="str">
        <f aca="false">'Dish Database'!E285</f>
        <v>West</v>
      </c>
      <c r="F1027" s="6" t="s">
        <v>2325</v>
      </c>
      <c r="G1027" s="6" t="s">
        <v>2504</v>
      </c>
      <c r="H1027" s="16" t="n">
        <v>500</v>
      </c>
      <c r="I1027" s="6" t="str">
        <f aca="false">'Dish Database'!I285</f>
        <v>g</v>
      </c>
      <c r="J1027" s="13" t="n">
        <f aca="false">'Dish Database'!J285*H1027/100</f>
        <v>617.5</v>
      </c>
      <c r="K1027" s="17" t="n">
        <f aca="false">'Dish Database'!K285*H1027/100</f>
        <v>12.5</v>
      </c>
      <c r="L1027" s="17" t="n">
        <f aca="false">'Dish Database'!L285*H1027/100</f>
        <v>65</v>
      </c>
      <c r="M1027" s="17" t="n">
        <f aca="false">'Dish Database'!M285*H1027/100</f>
        <v>37.5</v>
      </c>
      <c r="N1027" s="17" t="n">
        <f aca="false">'Dish Database'!N285*H1027/100</f>
        <v>15</v>
      </c>
      <c r="O1027" s="17" t="n">
        <f aca="false">'Dish Database'!O285*H1027/100</f>
        <v>17.5</v>
      </c>
      <c r="P1027" s="13" t="n">
        <f aca="false">'Dish Database'!P285*H1027/100</f>
        <v>2250</v>
      </c>
    </row>
    <row r="1028" customFormat="false" ht="15" hidden="false" customHeight="false" outlineLevel="0" collapsed="false">
      <c r="A1028" s="6" t="str">
        <f aca="false">'Dish Database'!A286</f>
        <v>D285</v>
      </c>
      <c r="B1028" s="6" t="str">
        <f aca="false">'Dish Database'!B286</f>
        <v>Mirchi ka salan</v>
      </c>
      <c r="C1028" s="6" t="str">
        <f aca="false">'Dish Database'!D286</f>
        <v>Veg Curries (Gravy)</v>
      </c>
      <c r="D1028" s="6" t="str">
        <f aca="false">'Dish Database'!F286</f>
        <v>Veg</v>
      </c>
      <c r="E1028" s="6" t="str">
        <f aca="false">'Dish Database'!E286</f>
        <v>South</v>
      </c>
      <c r="F1028" s="6" t="s">
        <v>2243</v>
      </c>
      <c r="G1028" s="6" t="s">
        <v>2500</v>
      </c>
      <c r="H1028" s="16" t="n">
        <v>100</v>
      </c>
      <c r="I1028" s="6" t="str">
        <f aca="false">'Dish Database'!I286</f>
        <v>g</v>
      </c>
      <c r="J1028" s="13" t="n">
        <f aca="false">'Dish Database'!J286*H1028/100</f>
        <v>161</v>
      </c>
      <c r="K1028" s="17" t="n">
        <f aca="false">'Dish Database'!K286*H1028/100</f>
        <v>3.5</v>
      </c>
      <c r="L1028" s="17" t="n">
        <f aca="false">'Dish Database'!L286*H1028/100</f>
        <v>9</v>
      </c>
      <c r="M1028" s="17" t="n">
        <f aca="false">'Dish Database'!M286*H1028/100</f>
        <v>13</v>
      </c>
      <c r="N1028" s="17" t="n">
        <f aca="false">'Dish Database'!N286*H1028/100</f>
        <v>3</v>
      </c>
      <c r="O1028" s="17" t="n">
        <f aca="false">'Dish Database'!O286*H1028/100</f>
        <v>3</v>
      </c>
      <c r="P1028" s="13" t="n">
        <f aca="false">'Dish Database'!P286*H1028/100</f>
        <v>400</v>
      </c>
    </row>
    <row r="1029" customFormat="false" ht="15" hidden="false" customHeight="false" outlineLevel="0" collapsed="false">
      <c r="A1029" s="6" t="str">
        <f aca="false">'Dish Database'!A286</f>
        <v>D285</v>
      </c>
      <c r="B1029" s="6" t="str">
        <f aca="false">'Dish Database'!B286</f>
        <v>Mirchi ka salan</v>
      </c>
      <c r="C1029" s="6" t="str">
        <f aca="false">'Dish Database'!D286</f>
        <v>Veg Curries (Gravy)</v>
      </c>
      <c r="D1029" s="6" t="str">
        <f aca="false">'Dish Database'!F286</f>
        <v>Veg</v>
      </c>
      <c r="E1029" s="6" t="str">
        <f aca="false">'Dish Database'!E286</f>
        <v>South</v>
      </c>
      <c r="F1029" s="6" t="s">
        <v>103</v>
      </c>
      <c r="G1029" s="6" t="s">
        <v>2501</v>
      </c>
      <c r="H1029" s="16" t="n">
        <v>150</v>
      </c>
      <c r="I1029" s="6" t="str">
        <f aca="false">'Dish Database'!I286</f>
        <v>g</v>
      </c>
      <c r="J1029" s="13" t="n">
        <f aca="false">'Dish Database'!J286*H1029/100</f>
        <v>241.5</v>
      </c>
      <c r="K1029" s="17" t="n">
        <f aca="false">'Dish Database'!K286*H1029/100</f>
        <v>5.25</v>
      </c>
      <c r="L1029" s="17" t="n">
        <f aca="false">'Dish Database'!L286*H1029/100</f>
        <v>13.5</v>
      </c>
      <c r="M1029" s="17" t="n">
        <f aca="false">'Dish Database'!M286*H1029/100</f>
        <v>19.5</v>
      </c>
      <c r="N1029" s="17" t="n">
        <f aca="false">'Dish Database'!N286*H1029/100</f>
        <v>4.5</v>
      </c>
      <c r="O1029" s="17" t="n">
        <f aca="false">'Dish Database'!O286*H1029/100</f>
        <v>4.5</v>
      </c>
      <c r="P1029" s="13" t="n">
        <f aca="false">'Dish Database'!P286*H1029/100</f>
        <v>600</v>
      </c>
    </row>
    <row r="1030" customFormat="false" ht="15" hidden="false" customHeight="false" outlineLevel="0" collapsed="false">
      <c r="A1030" s="6" t="str">
        <f aca="false">'Dish Database'!A286</f>
        <v>D285</v>
      </c>
      <c r="B1030" s="6" t="str">
        <f aca="false">'Dish Database'!B286</f>
        <v>Mirchi ka salan</v>
      </c>
      <c r="C1030" s="6" t="str">
        <f aca="false">'Dish Database'!D286</f>
        <v>Veg Curries (Gravy)</v>
      </c>
      <c r="D1030" s="6" t="str">
        <f aca="false">'Dish Database'!F286</f>
        <v>Veg</v>
      </c>
      <c r="E1030" s="6" t="str">
        <f aca="false">'Dish Database'!E286</f>
        <v>South</v>
      </c>
      <c r="F1030" s="6" t="s">
        <v>2246</v>
      </c>
      <c r="G1030" s="6" t="s">
        <v>2502</v>
      </c>
      <c r="H1030" s="16" t="n">
        <v>200</v>
      </c>
      <c r="I1030" s="6" t="str">
        <f aca="false">'Dish Database'!I286</f>
        <v>g</v>
      </c>
      <c r="J1030" s="13" t="n">
        <f aca="false">'Dish Database'!J286*H1030/100</f>
        <v>322</v>
      </c>
      <c r="K1030" s="17" t="n">
        <f aca="false">'Dish Database'!K286*H1030/100</f>
        <v>7</v>
      </c>
      <c r="L1030" s="17" t="n">
        <f aca="false">'Dish Database'!L286*H1030/100</f>
        <v>18</v>
      </c>
      <c r="M1030" s="17" t="n">
        <f aca="false">'Dish Database'!M286*H1030/100</f>
        <v>26</v>
      </c>
      <c r="N1030" s="17" t="n">
        <f aca="false">'Dish Database'!N286*H1030/100</f>
        <v>6</v>
      </c>
      <c r="O1030" s="17" t="n">
        <f aca="false">'Dish Database'!O286*H1030/100</f>
        <v>6</v>
      </c>
      <c r="P1030" s="13" t="n">
        <f aca="false">'Dish Database'!P286*H1030/100</f>
        <v>800</v>
      </c>
    </row>
    <row r="1031" customFormat="false" ht="15" hidden="false" customHeight="false" outlineLevel="0" collapsed="false">
      <c r="A1031" s="6" t="str">
        <f aca="false">'Dish Database'!A286</f>
        <v>D285</v>
      </c>
      <c r="B1031" s="6" t="str">
        <f aca="false">'Dish Database'!B286</f>
        <v>Mirchi ka salan</v>
      </c>
      <c r="C1031" s="6" t="str">
        <f aca="false">'Dish Database'!D286</f>
        <v>Veg Curries (Gravy)</v>
      </c>
      <c r="D1031" s="6" t="str">
        <f aca="false">'Dish Database'!F286</f>
        <v>Veg</v>
      </c>
      <c r="E1031" s="6" t="str">
        <f aca="false">'Dish Database'!E286</f>
        <v>South</v>
      </c>
      <c r="F1031" s="6" t="s">
        <v>2323</v>
      </c>
      <c r="G1031" s="6" t="s">
        <v>2503</v>
      </c>
      <c r="H1031" s="16" t="n">
        <v>250</v>
      </c>
      <c r="I1031" s="6" t="str">
        <f aca="false">'Dish Database'!I286</f>
        <v>g</v>
      </c>
      <c r="J1031" s="13" t="n">
        <f aca="false">'Dish Database'!J286*H1031/100</f>
        <v>402.5</v>
      </c>
      <c r="K1031" s="17" t="n">
        <f aca="false">'Dish Database'!K286*H1031/100</f>
        <v>8.75</v>
      </c>
      <c r="L1031" s="17" t="n">
        <f aca="false">'Dish Database'!L286*H1031/100</f>
        <v>22.5</v>
      </c>
      <c r="M1031" s="17" t="n">
        <f aca="false">'Dish Database'!M286*H1031/100</f>
        <v>32.5</v>
      </c>
      <c r="N1031" s="17" t="n">
        <f aca="false">'Dish Database'!N286*H1031/100</f>
        <v>7.5</v>
      </c>
      <c r="O1031" s="17" t="n">
        <f aca="false">'Dish Database'!O286*H1031/100</f>
        <v>7.5</v>
      </c>
      <c r="P1031" s="13" t="n">
        <f aca="false">'Dish Database'!P286*H1031/100</f>
        <v>1000</v>
      </c>
    </row>
    <row r="1032" customFormat="false" ht="15" hidden="false" customHeight="false" outlineLevel="0" collapsed="false">
      <c r="A1032" s="6" t="str">
        <f aca="false">'Dish Database'!A286</f>
        <v>D285</v>
      </c>
      <c r="B1032" s="6" t="str">
        <f aca="false">'Dish Database'!B286</f>
        <v>Mirchi ka salan</v>
      </c>
      <c r="C1032" s="6" t="str">
        <f aca="false">'Dish Database'!D286</f>
        <v>Veg Curries (Gravy)</v>
      </c>
      <c r="D1032" s="6" t="str">
        <f aca="false">'Dish Database'!F286</f>
        <v>Veg</v>
      </c>
      <c r="E1032" s="6" t="str">
        <f aca="false">'Dish Database'!E286</f>
        <v>South</v>
      </c>
      <c r="F1032" s="6" t="s">
        <v>2325</v>
      </c>
      <c r="G1032" s="6" t="s">
        <v>2504</v>
      </c>
      <c r="H1032" s="16" t="n">
        <v>500</v>
      </c>
      <c r="I1032" s="6" t="str">
        <f aca="false">'Dish Database'!I286</f>
        <v>g</v>
      </c>
      <c r="J1032" s="13" t="n">
        <f aca="false">'Dish Database'!J286*H1032/100</f>
        <v>805</v>
      </c>
      <c r="K1032" s="17" t="n">
        <f aca="false">'Dish Database'!K286*H1032/100</f>
        <v>17.5</v>
      </c>
      <c r="L1032" s="17" t="n">
        <f aca="false">'Dish Database'!L286*H1032/100</f>
        <v>45</v>
      </c>
      <c r="M1032" s="17" t="n">
        <f aca="false">'Dish Database'!M286*H1032/100</f>
        <v>65</v>
      </c>
      <c r="N1032" s="17" t="n">
        <f aca="false">'Dish Database'!N286*H1032/100</f>
        <v>15</v>
      </c>
      <c r="O1032" s="17" t="n">
        <f aca="false">'Dish Database'!O286*H1032/100</f>
        <v>15</v>
      </c>
      <c r="P1032" s="13" t="n">
        <f aca="false">'Dish Database'!P286*H1032/100</f>
        <v>2000</v>
      </c>
    </row>
    <row r="1033" customFormat="false" ht="15" hidden="false" customHeight="false" outlineLevel="0" collapsed="false">
      <c r="A1033" s="6" t="str">
        <f aca="false">'Dish Database'!A287</f>
        <v>D286</v>
      </c>
      <c r="B1033" s="6" t="str">
        <f aca="false">'Dish Database'!B287</f>
        <v>Bagara baingan</v>
      </c>
      <c r="C1033" s="6" t="str">
        <f aca="false">'Dish Database'!D287</f>
        <v>Veg Curries (Gravy)</v>
      </c>
      <c r="D1033" s="6" t="str">
        <f aca="false">'Dish Database'!F287</f>
        <v>Veg</v>
      </c>
      <c r="E1033" s="6" t="str">
        <f aca="false">'Dish Database'!E287</f>
        <v>South</v>
      </c>
      <c r="F1033" s="6" t="s">
        <v>2243</v>
      </c>
      <c r="G1033" s="6" t="s">
        <v>2500</v>
      </c>
      <c r="H1033" s="16" t="n">
        <v>100</v>
      </c>
      <c r="I1033" s="6" t="str">
        <f aca="false">'Dish Database'!I287</f>
        <v>g</v>
      </c>
      <c r="J1033" s="13" t="n">
        <f aca="false">'Dish Database'!J287*H1033/100</f>
        <v>169</v>
      </c>
      <c r="K1033" s="17" t="n">
        <f aca="false">'Dish Database'!K287*H1033/100</f>
        <v>3.5</v>
      </c>
      <c r="L1033" s="17" t="n">
        <f aca="false">'Dish Database'!L287*H1033/100</f>
        <v>9</v>
      </c>
      <c r="M1033" s="17" t="n">
        <f aca="false">'Dish Database'!M287*H1033/100</f>
        <v>14</v>
      </c>
      <c r="N1033" s="17" t="n">
        <f aca="false">'Dish Database'!N287*H1033/100</f>
        <v>3.5</v>
      </c>
      <c r="O1033" s="17" t="n">
        <f aca="false">'Dish Database'!O287*H1033/100</f>
        <v>3</v>
      </c>
      <c r="P1033" s="13" t="n">
        <f aca="false">'Dish Database'!P287*H1033/100</f>
        <v>400</v>
      </c>
    </row>
    <row r="1034" customFormat="false" ht="15" hidden="false" customHeight="false" outlineLevel="0" collapsed="false">
      <c r="A1034" s="6" t="str">
        <f aca="false">'Dish Database'!A287</f>
        <v>D286</v>
      </c>
      <c r="B1034" s="6" t="str">
        <f aca="false">'Dish Database'!B287</f>
        <v>Bagara baingan</v>
      </c>
      <c r="C1034" s="6" t="str">
        <f aca="false">'Dish Database'!D287</f>
        <v>Veg Curries (Gravy)</v>
      </c>
      <c r="D1034" s="6" t="str">
        <f aca="false">'Dish Database'!F287</f>
        <v>Veg</v>
      </c>
      <c r="E1034" s="6" t="str">
        <f aca="false">'Dish Database'!E287</f>
        <v>South</v>
      </c>
      <c r="F1034" s="6" t="s">
        <v>103</v>
      </c>
      <c r="G1034" s="6" t="s">
        <v>2501</v>
      </c>
      <c r="H1034" s="16" t="n">
        <v>150</v>
      </c>
      <c r="I1034" s="6" t="str">
        <f aca="false">'Dish Database'!I287</f>
        <v>g</v>
      </c>
      <c r="J1034" s="13" t="n">
        <f aca="false">'Dish Database'!J287*H1034/100</f>
        <v>253.5</v>
      </c>
      <c r="K1034" s="17" t="n">
        <f aca="false">'Dish Database'!K287*H1034/100</f>
        <v>5.25</v>
      </c>
      <c r="L1034" s="17" t="n">
        <f aca="false">'Dish Database'!L287*H1034/100</f>
        <v>13.5</v>
      </c>
      <c r="M1034" s="17" t="n">
        <f aca="false">'Dish Database'!M287*H1034/100</f>
        <v>21</v>
      </c>
      <c r="N1034" s="17" t="n">
        <f aca="false">'Dish Database'!N287*H1034/100</f>
        <v>5.25</v>
      </c>
      <c r="O1034" s="17" t="n">
        <f aca="false">'Dish Database'!O287*H1034/100</f>
        <v>4.5</v>
      </c>
      <c r="P1034" s="13" t="n">
        <f aca="false">'Dish Database'!P287*H1034/100</f>
        <v>600</v>
      </c>
    </row>
    <row r="1035" customFormat="false" ht="15" hidden="false" customHeight="false" outlineLevel="0" collapsed="false">
      <c r="A1035" s="6" t="str">
        <f aca="false">'Dish Database'!A287</f>
        <v>D286</v>
      </c>
      <c r="B1035" s="6" t="str">
        <f aca="false">'Dish Database'!B287</f>
        <v>Bagara baingan</v>
      </c>
      <c r="C1035" s="6" t="str">
        <f aca="false">'Dish Database'!D287</f>
        <v>Veg Curries (Gravy)</v>
      </c>
      <c r="D1035" s="6" t="str">
        <f aca="false">'Dish Database'!F287</f>
        <v>Veg</v>
      </c>
      <c r="E1035" s="6" t="str">
        <f aca="false">'Dish Database'!E287</f>
        <v>South</v>
      </c>
      <c r="F1035" s="6" t="s">
        <v>2246</v>
      </c>
      <c r="G1035" s="6" t="s">
        <v>2502</v>
      </c>
      <c r="H1035" s="16" t="n">
        <v>200</v>
      </c>
      <c r="I1035" s="6" t="str">
        <f aca="false">'Dish Database'!I287</f>
        <v>g</v>
      </c>
      <c r="J1035" s="13" t="n">
        <f aca="false">'Dish Database'!J287*H1035/100</f>
        <v>338</v>
      </c>
      <c r="K1035" s="17" t="n">
        <f aca="false">'Dish Database'!K287*H1035/100</f>
        <v>7</v>
      </c>
      <c r="L1035" s="17" t="n">
        <f aca="false">'Dish Database'!L287*H1035/100</f>
        <v>18</v>
      </c>
      <c r="M1035" s="17" t="n">
        <f aca="false">'Dish Database'!M287*H1035/100</f>
        <v>28</v>
      </c>
      <c r="N1035" s="17" t="n">
        <f aca="false">'Dish Database'!N287*H1035/100</f>
        <v>7</v>
      </c>
      <c r="O1035" s="17" t="n">
        <f aca="false">'Dish Database'!O287*H1035/100</f>
        <v>6</v>
      </c>
      <c r="P1035" s="13" t="n">
        <f aca="false">'Dish Database'!P287*H1035/100</f>
        <v>800</v>
      </c>
    </row>
    <row r="1036" customFormat="false" ht="15" hidden="false" customHeight="false" outlineLevel="0" collapsed="false">
      <c r="A1036" s="6" t="str">
        <f aca="false">'Dish Database'!A287</f>
        <v>D286</v>
      </c>
      <c r="B1036" s="6" t="str">
        <f aca="false">'Dish Database'!B287</f>
        <v>Bagara baingan</v>
      </c>
      <c r="C1036" s="6" t="str">
        <f aca="false">'Dish Database'!D287</f>
        <v>Veg Curries (Gravy)</v>
      </c>
      <c r="D1036" s="6" t="str">
        <f aca="false">'Dish Database'!F287</f>
        <v>Veg</v>
      </c>
      <c r="E1036" s="6" t="str">
        <f aca="false">'Dish Database'!E287</f>
        <v>South</v>
      </c>
      <c r="F1036" s="6" t="s">
        <v>2323</v>
      </c>
      <c r="G1036" s="6" t="s">
        <v>2503</v>
      </c>
      <c r="H1036" s="16" t="n">
        <v>250</v>
      </c>
      <c r="I1036" s="6" t="str">
        <f aca="false">'Dish Database'!I287</f>
        <v>g</v>
      </c>
      <c r="J1036" s="13" t="n">
        <f aca="false">'Dish Database'!J287*H1036/100</f>
        <v>422.5</v>
      </c>
      <c r="K1036" s="17" t="n">
        <f aca="false">'Dish Database'!K287*H1036/100</f>
        <v>8.75</v>
      </c>
      <c r="L1036" s="17" t="n">
        <f aca="false">'Dish Database'!L287*H1036/100</f>
        <v>22.5</v>
      </c>
      <c r="M1036" s="17" t="n">
        <f aca="false">'Dish Database'!M287*H1036/100</f>
        <v>35</v>
      </c>
      <c r="N1036" s="17" t="n">
        <f aca="false">'Dish Database'!N287*H1036/100</f>
        <v>8.75</v>
      </c>
      <c r="O1036" s="17" t="n">
        <f aca="false">'Dish Database'!O287*H1036/100</f>
        <v>7.5</v>
      </c>
      <c r="P1036" s="13" t="n">
        <f aca="false">'Dish Database'!P287*H1036/100</f>
        <v>1000</v>
      </c>
    </row>
    <row r="1037" customFormat="false" ht="15" hidden="false" customHeight="false" outlineLevel="0" collapsed="false">
      <c r="A1037" s="6" t="str">
        <f aca="false">'Dish Database'!A287</f>
        <v>D286</v>
      </c>
      <c r="B1037" s="6" t="str">
        <f aca="false">'Dish Database'!B287</f>
        <v>Bagara baingan</v>
      </c>
      <c r="C1037" s="6" t="str">
        <f aca="false">'Dish Database'!D287</f>
        <v>Veg Curries (Gravy)</v>
      </c>
      <c r="D1037" s="6" t="str">
        <f aca="false">'Dish Database'!F287</f>
        <v>Veg</v>
      </c>
      <c r="E1037" s="6" t="str">
        <f aca="false">'Dish Database'!E287</f>
        <v>South</v>
      </c>
      <c r="F1037" s="6" t="s">
        <v>2325</v>
      </c>
      <c r="G1037" s="6" t="s">
        <v>2504</v>
      </c>
      <c r="H1037" s="16" t="n">
        <v>500</v>
      </c>
      <c r="I1037" s="6" t="str">
        <f aca="false">'Dish Database'!I287</f>
        <v>g</v>
      </c>
      <c r="J1037" s="13" t="n">
        <f aca="false">'Dish Database'!J287*H1037/100</f>
        <v>845</v>
      </c>
      <c r="K1037" s="17" t="n">
        <f aca="false">'Dish Database'!K287*H1037/100</f>
        <v>17.5</v>
      </c>
      <c r="L1037" s="17" t="n">
        <f aca="false">'Dish Database'!L287*H1037/100</f>
        <v>45</v>
      </c>
      <c r="M1037" s="17" t="n">
        <f aca="false">'Dish Database'!M287*H1037/100</f>
        <v>70</v>
      </c>
      <c r="N1037" s="17" t="n">
        <f aca="false">'Dish Database'!N287*H1037/100</f>
        <v>17.5</v>
      </c>
      <c r="O1037" s="17" t="n">
        <f aca="false">'Dish Database'!O287*H1037/100</f>
        <v>15</v>
      </c>
      <c r="P1037" s="13" t="n">
        <f aca="false">'Dish Database'!P287*H1037/100</f>
        <v>2000</v>
      </c>
    </row>
    <row r="1038" customFormat="false" ht="15" hidden="false" customHeight="false" outlineLevel="0" collapsed="false">
      <c r="A1038" s="6" t="str">
        <f aca="false">'Dish Database'!A288</f>
        <v>D287</v>
      </c>
      <c r="B1038" s="6" t="str">
        <f aca="false">'Dish Database'!B288</f>
        <v>Gutti vankaya (stuffed brinjal curry)</v>
      </c>
      <c r="C1038" s="6" t="str">
        <f aca="false">'Dish Database'!D288</f>
        <v>Veg Curries (Gravy)</v>
      </c>
      <c r="D1038" s="6" t="str">
        <f aca="false">'Dish Database'!F288</f>
        <v>Veg</v>
      </c>
      <c r="E1038" s="6" t="str">
        <f aca="false">'Dish Database'!E288</f>
        <v>South</v>
      </c>
      <c r="F1038" s="6" t="s">
        <v>2243</v>
      </c>
      <c r="G1038" s="6" t="s">
        <v>2500</v>
      </c>
      <c r="H1038" s="16" t="n">
        <v>100</v>
      </c>
      <c r="I1038" s="6" t="str">
        <f aca="false">'Dish Database'!I288</f>
        <v>g</v>
      </c>
      <c r="J1038" s="13" t="n">
        <f aca="false">'Dish Database'!J288*H1038/100</f>
        <v>140</v>
      </c>
      <c r="K1038" s="17" t="n">
        <f aca="false">'Dish Database'!K288*H1038/100</f>
        <v>3</v>
      </c>
      <c r="L1038" s="17" t="n">
        <f aca="false">'Dish Database'!L288*H1038/100</f>
        <v>9</v>
      </c>
      <c r="M1038" s="17" t="n">
        <f aca="false">'Dish Database'!M288*H1038/100</f>
        <v>11</v>
      </c>
      <c r="N1038" s="17" t="n">
        <f aca="false">'Dish Database'!N288*H1038/100</f>
        <v>3.5</v>
      </c>
      <c r="O1038" s="17" t="n">
        <f aca="false">'Dish Database'!O288*H1038/100</f>
        <v>3</v>
      </c>
      <c r="P1038" s="13" t="n">
        <f aca="false">'Dish Database'!P288*H1038/100</f>
        <v>380</v>
      </c>
    </row>
    <row r="1039" customFormat="false" ht="15" hidden="false" customHeight="false" outlineLevel="0" collapsed="false">
      <c r="A1039" s="6" t="str">
        <f aca="false">'Dish Database'!A288</f>
        <v>D287</v>
      </c>
      <c r="B1039" s="6" t="str">
        <f aca="false">'Dish Database'!B288</f>
        <v>Gutti vankaya (stuffed brinjal curry)</v>
      </c>
      <c r="C1039" s="6" t="str">
        <f aca="false">'Dish Database'!D288</f>
        <v>Veg Curries (Gravy)</v>
      </c>
      <c r="D1039" s="6" t="str">
        <f aca="false">'Dish Database'!F288</f>
        <v>Veg</v>
      </c>
      <c r="E1039" s="6" t="str">
        <f aca="false">'Dish Database'!E288</f>
        <v>South</v>
      </c>
      <c r="F1039" s="6" t="s">
        <v>103</v>
      </c>
      <c r="G1039" s="6" t="s">
        <v>2501</v>
      </c>
      <c r="H1039" s="16" t="n">
        <v>150</v>
      </c>
      <c r="I1039" s="6" t="str">
        <f aca="false">'Dish Database'!I288</f>
        <v>g</v>
      </c>
      <c r="J1039" s="13" t="n">
        <f aca="false">'Dish Database'!J288*H1039/100</f>
        <v>210</v>
      </c>
      <c r="K1039" s="17" t="n">
        <f aca="false">'Dish Database'!K288*H1039/100</f>
        <v>4.5</v>
      </c>
      <c r="L1039" s="17" t="n">
        <f aca="false">'Dish Database'!L288*H1039/100</f>
        <v>13.5</v>
      </c>
      <c r="M1039" s="17" t="n">
        <f aca="false">'Dish Database'!M288*H1039/100</f>
        <v>16.5</v>
      </c>
      <c r="N1039" s="17" t="n">
        <f aca="false">'Dish Database'!N288*H1039/100</f>
        <v>5.25</v>
      </c>
      <c r="O1039" s="17" t="n">
        <f aca="false">'Dish Database'!O288*H1039/100</f>
        <v>4.5</v>
      </c>
      <c r="P1039" s="13" t="n">
        <f aca="false">'Dish Database'!P288*H1039/100</f>
        <v>570</v>
      </c>
    </row>
    <row r="1040" customFormat="false" ht="15" hidden="false" customHeight="false" outlineLevel="0" collapsed="false">
      <c r="A1040" s="6" t="str">
        <f aca="false">'Dish Database'!A288</f>
        <v>D287</v>
      </c>
      <c r="B1040" s="6" t="str">
        <f aca="false">'Dish Database'!B288</f>
        <v>Gutti vankaya (stuffed brinjal curry)</v>
      </c>
      <c r="C1040" s="6" t="str">
        <f aca="false">'Dish Database'!D288</f>
        <v>Veg Curries (Gravy)</v>
      </c>
      <c r="D1040" s="6" t="str">
        <f aca="false">'Dish Database'!F288</f>
        <v>Veg</v>
      </c>
      <c r="E1040" s="6" t="str">
        <f aca="false">'Dish Database'!E288</f>
        <v>South</v>
      </c>
      <c r="F1040" s="6" t="s">
        <v>2246</v>
      </c>
      <c r="G1040" s="6" t="s">
        <v>2502</v>
      </c>
      <c r="H1040" s="16" t="n">
        <v>200</v>
      </c>
      <c r="I1040" s="6" t="str">
        <f aca="false">'Dish Database'!I288</f>
        <v>g</v>
      </c>
      <c r="J1040" s="13" t="n">
        <f aca="false">'Dish Database'!J288*H1040/100</f>
        <v>280</v>
      </c>
      <c r="K1040" s="17" t="n">
        <f aca="false">'Dish Database'!K288*H1040/100</f>
        <v>6</v>
      </c>
      <c r="L1040" s="17" t="n">
        <f aca="false">'Dish Database'!L288*H1040/100</f>
        <v>18</v>
      </c>
      <c r="M1040" s="17" t="n">
        <f aca="false">'Dish Database'!M288*H1040/100</f>
        <v>22</v>
      </c>
      <c r="N1040" s="17" t="n">
        <f aca="false">'Dish Database'!N288*H1040/100</f>
        <v>7</v>
      </c>
      <c r="O1040" s="17" t="n">
        <f aca="false">'Dish Database'!O288*H1040/100</f>
        <v>6</v>
      </c>
      <c r="P1040" s="13" t="n">
        <f aca="false">'Dish Database'!P288*H1040/100</f>
        <v>760</v>
      </c>
    </row>
    <row r="1041" customFormat="false" ht="15" hidden="false" customHeight="false" outlineLevel="0" collapsed="false">
      <c r="A1041" s="6" t="str">
        <f aca="false">'Dish Database'!A288</f>
        <v>D287</v>
      </c>
      <c r="B1041" s="6" t="str">
        <f aca="false">'Dish Database'!B288</f>
        <v>Gutti vankaya (stuffed brinjal curry)</v>
      </c>
      <c r="C1041" s="6" t="str">
        <f aca="false">'Dish Database'!D288</f>
        <v>Veg Curries (Gravy)</v>
      </c>
      <c r="D1041" s="6" t="str">
        <f aca="false">'Dish Database'!F288</f>
        <v>Veg</v>
      </c>
      <c r="E1041" s="6" t="str">
        <f aca="false">'Dish Database'!E288</f>
        <v>South</v>
      </c>
      <c r="F1041" s="6" t="s">
        <v>2323</v>
      </c>
      <c r="G1041" s="6" t="s">
        <v>2503</v>
      </c>
      <c r="H1041" s="16" t="n">
        <v>250</v>
      </c>
      <c r="I1041" s="6" t="str">
        <f aca="false">'Dish Database'!I288</f>
        <v>g</v>
      </c>
      <c r="J1041" s="13" t="n">
        <f aca="false">'Dish Database'!J288*H1041/100</f>
        <v>350</v>
      </c>
      <c r="K1041" s="17" t="n">
        <f aca="false">'Dish Database'!K288*H1041/100</f>
        <v>7.5</v>
      </c>
      <c r="L1041" s="17" t="n">
        <f aca="false">'Dish Database'!L288*H1041/100</f>
        <v>22.5</v>
      </c>
      <c r="M1041" s="17" t="n">
        <f aca="false">'Dish Database'!M288*H1041/100</f>
        <v>27.5</v>
      </c>
      <c r="N1041" s="17" t="n">
        <f aca="false">'Dish Database'!N288*H1041/100</f>
        <v>8.75</v>
      </c>
      <c r="O1041" s="17" t="n">
        <f aca="false">'Dish Database'!O288*H1041/100</f>
        <v>7.5</v>
      </c>
      <c r="P1041" s="13" t="n">
        <f aca="false">'Dish Database'!P288*H1041/100</f>
        <v>950</v>
      </c>
    </row>
    <row r="1042" customFormat="false" ht="15" hidden="false" customHeight="false" outlineLevel="0" collapsed="false">
      <c r="A1042" s="6" t="str">
        <f aca="false">'Dish Database'!A288</f>
        <v>D287</v>
      </c>
      <c r="B1042" s="6" t="str">
        <f aca="false">'Dish Database'!B288</f>
        <v>Gutti vankaya (stuffed brinjal curry)</v>
      </c>
      <c r="C1042" s="6" t="str">
        <f aca="false">'Dish Database'!D288</f>
        <v>Veg Curries (Gravy)</v>
      </c>
      <c r="D1042" s="6" t="str">
        <f aca="false">'Dish Database'!F288</f>
        <v>Veg</v>
      </c>
      <c r="E1042" s="6" t="str">
        <f aca="false">'Dish Database'!E288</f>
        <v>South</v>
      </c>
      <c r="F1042" s="6" t="s">
        <v>2325</v>
      </c>
      <c r="G1042" s="6" t="s">
        <v>2504</v>
      </c>
      <c r="H1042" s="16" t="n">
        <v>500</v>
      </c>
      <c r="I1042" s="6" t="str">
        <f aca="false">'Dish Database'!I288</f>
        <v>g</v>
      </c>
      <c r="J1042" s="13" t="n">
        <f aca="false">'Dish Database'!J288*H1042/100</f>
        <v>700</v>
      </c>
      <c r="K1042" s="17" t="n">
        <f aca="false">'Dish Database'!K288*H1042/100</f>
        <v>15</v>
      </c>
      <c r="L1042" s="17" t="n">
        <f aca="false">'Dish Database'!L288*H1042/100</f>
        <v>45</v>
      </c>
      <c r="M1042" s="17" t="n">
        <f aca="false">'Dish Database'!M288*H1042/100</f>
        <v>55</v>
      </c>
      <c r="N1042" s="17" t="n">
        <f aca="false">'Dish Database'!N288*H1042/100</f>
        <v>17.5</v>
      </c>
      <c r="O1042" s="17" t="n">
        <f aca="false">'Dish Database'!O288*H1042/100</f>
        <v>15</v>
      </c>
      <c r="P1042" s="13" t="n">
        <f aca="false">'Dish Database'!P288*H1042/100</f>
        <v>1900</v>
      </c>
    </row>
    <row r="1043" customFormat="false" ht="15" hidden="false" customHeight="false" outlineLevel="0" collapsed="false">
      <c r="A1043" s="6" t="str">
        <f aca="false">'Dish Database'!A289</f>
        <v>D288</v>
      </c>
      <c r="B1043" s="6" t="str">
        <f aca="false">'Dish Database'!B289</f>
        <v>Avial</v>
      </c>
      <c r="C1043" s="6" t="str">
        <f aca="false">'Dish Database'!D289</f>
        <v>Veg Curries (Gravy)</v>
      </c>
      <c r="D1043" s="6" t="str">
        <f aca="false">'Dish Database'!F289</f>
        <v>Veg</v>
      </c>
      <c r="E1043" s="6" t="str">
        <f aca="false">'Dish Database'!E289</f>
        <v>South</v>
      </c>
      <c r="F1043" s="6" t="s">
        <v>2243</v>
      </c>
      <c r="G1043" s="6" t="s">
        <v>2500</v>
      </c>
      <c r="H1043" s="16" t="n">
        <v>100</v>
      </c>
      <c r="I1043" s="6" t="str">
        <f aca="false">'Dish Database'!I289</f>
        <v>g</v>
      </c>
      <c r="J1043" s="13" t="n">
        <f aca="false">'Dish Database'!J289*H1043/100</f>
        <v>112.9</v>
      </c>
      <c r="K1043" s="17" t="n">
        <f aca="false">'Dish Database'!K289*H1043/100</f>
        <v>2.5</v>
      </c>
      <c r="L1043" s="17" t="n">
        <f aca="false">'Dish Database'!L289*H1043/100</f>
        <v>8</v>
      </c>
      <c r="M1043" s="17" t="n">
        <f aca="false">'Dish Database'!M289*H1043/100</f>
        <v>8.5</v>
      </c>
      <c r="N1043" s="17" t="n">
        <f aca="false">'Dish Database'!N289*H1043/100</f>
        <v>2.8</v>
      </c>
      <c r="O1043" s="17" t="n">
        <f aca="false">'Dish Database'!O289*H1043/100</f>
        <v>2.5</v>
      </c>
      <c r="P1043" s="13" t="n">
        <f aca="false">'Dish Database'!P289*H1043/100</f>
        <v>250</v>
      </c>
    </row>
    <row r="1044" customFormat="false" ht="15" hidden="false" customHeight="false" outlineLevel="0" collapsed="false">
      <c r="A1044" s="6" t="str">
        <f aca="false">'Dish Database'!A289</f>
        <v>D288</v>
      </c>
      <c r="B1044" s="6" t="str">
        <f aca="false">'Dish Database'!B289</f>
        <v>Avial</v>
      </c>
      <c r="C1044" s="6" t="str">
        <f aca="false">'Dish Database'!D289</f>
        <v>Veg Curries (Gravy)</v>
      </c>
      <c r="D1044" s="6" t="str">
        <f aca="false">'Dish Database'!F289</f>
        <v>Veg</v>
      </c>
      <c r="E1044" s="6" t="str">
        <f aca="false">'Dish Database'!E289</f>
        <v>South</v>
      </c>
      <c r="F1044" s="6" t="s">
        <v>103</v>
      </c>
      <c r="G1044" s="6" t="s">
        <v>2501</v>
      </c>
      <c r="H1044" s="16" t="n">
        <v>150</v>
      </c>
      <c r="I1044" s="6" t="str">
        <f aca="false">'Dish Database'!I289</f>
        <v>g</v>
      </c>
      <c r="J1044" s="13" t="n">
        <f aca="false">'Dish Database'!J289*H1044/100</f>
        <v>169.35</v>
      </c>
      <c r="K1044" s="17" t="n">
        <f aca="false">'Dish Database'!K289*H1044/100</f>
        <v>3.75</v>
      </c>
      <c r="L1044" s="17" t="n">
        <f aca="false">'Dish Database'!L289*H1044/100</f>
        <v>12</v>
      </c>
      <c r="M1044" s="17" t="n">
        <f aca="false">'Dish Database'!M289*H1044/100</f>
        <v>12.75</v>
      </c>
      <c r="N1044" s="17" t="n">
        <f aca="false">'Dish Database'!N289*H1044/100</f>
        <v>4.2</v>
      </c>
      <c r="O1044" s="17" t="n">
        <f aca="false">'Dish Database'!O289*H1044/100</f>
        <v>3.75</v>
      </c>
      <c r="P1044" s="13" t="n">
        <f aca="false">'Dish Database'!P289*H1044/100</f>
        <v>375</v>
      </c>
    </row>
    <row r="1045" customFormat="false" ht="15" hidden="false" customHeight="false" outlineLevel="0" collapsed="false">
      <c r="A1045" s="6" t="str">
        <f aca="false">'Dish Database'!A289</f>
        <v>D288</v>
      </c>
      <c r="B1045" s="6" t="str">
        <f aca="false">'Dish Database'!B289</f>
        <v>Avial</v>
      </c>
      <c r="C1045" s="6" t="str">
        <f aca="false">'Dish Database'!D289</f>
        <v>Veg Curries (Gravy)</v>
      </c>
      <c r="D1045" s="6" t="str">
        <f aca="false">'Dish Database'!F289</f>
        <v>Veg</v>
      </c>
      <c r="E1045" s="6" t="str">
        <f aca="false">'Dish Database'!E289</f>
        <v>South</v>
      </c>
      <c r="F1045" s="6" t="s">
        <v>2246</v>
      </c>
      <c r="G1045" s="6" t="s">
        <v>2502</v>
      </c>
      <c r="H1045" s="16" t="n">
        <v>200</v>
      </c>
      <c r="I1045" s="6" t="str">
        <f aca="false">'Dish Database'!I289</f>
        <v>g</v>
      </c>
      <c r="J1045" s="13" t="n">
        <f aca="false">'Dish Database'!J289*H1045/100</f>
        <v>225.8</v>
      </c>
      <c r="K1045" s="17" t="n">
        <f aca="false">'Dish Database'!K289*H1045/100</f>
        <v>5</v>
      </c>
      <c r="L1045" s="17" t="n">
        <f aca="false">'Dish Database'!L289*H1045/100</f>
        <v>16</v>
      </c>
      <c r="M1045" s="17" t="n">
        <f aca="false">'Dish Database'!M289*H1045/100</f>
        <v>17</v>
      </c>
      <c r="N1045" s="17" t="n">
        <f aca="false">'Dish Database'!N289*H1045/100</f>
        <v>5.6</v>
      </c>
      <c r="O1045" s="17" t="n">
        <f aca="false">'Dish Database'!O289*H1045/100</f>
        <v>5</v>
      </c>
      <c r="P1045" s="13" t="n">
        <f aca="false">'Dish Database'!P289*H1045/100</f>
        <v>500</v>
      </c>
    </row>
    <row r="1046" customFormat="false" ht="15" hidden="false" customHeight="false" outlineLevel="0" collapsed="false">
      <c r="A1046" s="6" t="str">
        <f aca="false">'Dish Database'!A289</f>
        <v>D288</v>
      </c>
      <c r="B1046" s="6" t="str">
        <f aca="false">'Dish Database'!B289</f>
        <v>Avial</v>
      </c>
      <c r="C1046" s="6" t="str">
        <f aca="false">'Dish Database'!D289</f>
        <v>Veg Curries (Gravy)</v>
      </c>
      <c r="D1046" s="6" t="str">
        <f aca="false">'Dish Database'!F289</f>
        <v>Veg</v>
      </c>
      <c r="E1046" s="6" t="str">
        <f aca="false">'Dish Database'!E289</f>
        <v>South</v>
      </c>
      <c r="F1046" s="6" t="s">
        <v>2323</v>
      </c>
      <c r="G1046" s="6" t="s">
        <v>2503</v>
      </c>
      <c r="H1046" s="16" t="n">
        <v>250</v>
      </c>
      <c r="I1046" s="6" t="str">
        <f aca="false">'Dish Database'!I289</f>
        <v>g</v>
      </c>
      <c r="J1046" s="13" t="n">
        <f aca="false">'Dish Database'!J289*H1046/100</f>
        <v>282.25</v>
      </c>
      <c r="K1046" s="17" t="n">
        <f aca="false">'Dish Database'!K289*H1046/100</f>
        <v>6.25</v>
      </c>
      <c r="L1046" s="17" t="n">
        <f aca="false">'Dish Database'!L289*H1046/100</f>
        <v>20</v>
      </c>
      <c r="M1046" s="17" t="n">
        <f aca="false">'Dish Database'!M289*H1046/100</f>
        <v>21.25</v>
      </c>
      <c r="N1046" s="17" t="n">
        <f aca="false">'Dish Database'!N289*H1046/100</f>
        <v>7</v>
      </c>
      <c r="O1046" s="17" t="n">
        <f aca="false">'Dish Database'!O289*H1046/100</f>
        <v>6.25</v>
      </c>
      <c r="P1046" s="13" t="n">
        <f aca="false">'Dish Database'!P289*H1046/100</f>
        <v>625</v>
      </c>
    </row>
    <row r="1047" customFormat="false" ht="15" hidden="false" customHeight="false" outlineLevel="0" collapsed="false">
      <c r="A1047" s="6" t="str">
        <f aca="false">'Dish Database'!A289</f>
        <v>D288</v>
      </c>
      <c r="B1047" s="6" t="str">
        <f aca="false">'Dish Database'!B289</f>
        <v>Avial</v>
      </c>
      <c r="C1047" s="6" t="str">
        <f aca="false">'Dish Database'!D289</f>
        <v>Veg Curries (Gravy)</v>
      </c>
      <c r="D1047" s="6" t="str">
        <f aca="false">'Dish Database'!F289</f>
        <v>Veg</v>
      </c>
      <c r="E1047" s="6" t="str">
        <f aca="false">'Dish Database'!E289</f>
        <v>South</v>
      </c>
      <c r="F1047" s="6" t="s">
        <v>2325</v>
      </c>
      <c r="G1047" s="6" t="s">
        <v>2504</v>
      </c>
      <c r="H1047" s="16" t="n">
        <v>500</v>
      </c>
      <c r="I1047" s="6" t="str">
        <f aca="false">'Dish Database'!I289</f>
        <v>g</v>
      </c>
      <c r="J1047" s="13" t="n">
        <f aca="false">'Dish Database'!J289*H1047/100</f>
        <v>564.5</v>
      </c>
      <c r="K1047" s="17" t="n">
        <f aca="false">'Dish Database'!K289*H1047/100</f>
        <v>12.5</v>
      </c>
      <c r="L1047" s="17" t="n">
        <f aca="false">'Dish Database'!L289*H1047/100</f>
        <v>40</v>
      </c>
      <c r="M1047" s="17" t="n">
        <f aca="false">'Dish Database'!M289*H1047/100</f>
        <v>42.5</v>
      </c>
      <c r="N1047" s="17" t="n">
        <f aca="false">'Dish Database'!N289*H1047/100</f>
        <v>14</v>
      </c>
      <c r="O1047" s="17" t="n">
        <f aca="false">'Dish Database'!O289*H1047/100</f>
        <v>12.5</v>
      </c>
      <c r="P1047" s="13" t="n">
        <f aca="false">'Dish Database'!P289*H1047/100</f>
        <v>1250</v>
      </c>
    </row>
    <row r="1048" customFormat="false" ht="15" hidden="false" customHeight="false" outlineLevel="0" collapsed="false">
      <c r="A1048" s="6" t="str">
        <f aca="false">'Dish Database'!A290</f>
        <v>D289</v>
      </c>
      <c r="B1048" s="6" t="str">
        <f aca="false">'Dish Database'!B290</f>
        <v>Kerala vegetable stew</v>
      </c>
      <c r="C1048" s="6" t="str">
        <f aca="false">'Dish Database'!D290</f>
        <v>Veg Curries (Gravy)</v>
      </c>
      <c r="D1048" s="6" t="str">
        <f aca="false">'Dish Database'!F290</f>
        <v>Veg</v>
      </c>
      <c r="E1048" s="6" t="str">
        <f aca="false">'Dish Database'!E290</f>
        <v>South</v>
      </c>
      <c r="F1048" s="6" t="s">
        <v>2243</v>
      </c>
      <c r="G1048" s="6" t="s">
        <v>2500</v>
      </c>
      <c r="H1048" s="16" t="n">
        <v>100</v>
      </c>
      <c r="I1048" s="6" t="str">
        <f aca="false">'Dish Database'!I290</f>
        <v>g</v>
      </c>
      <c r="J1048" s="13" t="n">
        <f aca="false">'Dish Database'!J290*H1048/100</f>
        <v>98.6</v>
      </c>
      <c r="K1048" s="17" t="n">
        <f aca="false">'Dish Database'!K290*H1048/100</f>
        <v>1.8</v>
      </c>
      <c r="L1048" s="17" t="n">
        <f aca="false">'Dish Database'!L290*H1048/100</f>
        <v>8</v>
      </c>
      <c r="M1048" s="17" t="n">
        <f aca="false">'Dish Database'!M290*H1048/100</f>
        <v>7</v>
      </c>
      <c r="N1048" s="17" t="n">
        <f aca="false">'Dish Database'!N290*H1048/100</f>
        <v>1.8</v>
      </c>
      <c r="O1048" s="17" t="n">
        <f aca="false">'Dish Database'!O290*H1048/100</f>
        <v>2.5</v>
      </c>
      <c r="P1048" s="13" t="n">
        <f aca="false">'Dish Database'!P290*H1048/100</f>
        <v>250</v>
      </c>
    </row>
    <row r="1049" customFormat="false" ht="15" hidden="false" customHeight="false" outlineLevel="0" collapsed="false">
      <c r="A1049" s="6" t="str">
        <f aca="false">'Dish Database'!A290</f>
        <v>D289</v>
      </c>
      <c r="B1049" s="6" t="str">
        <f aca="false">'Dish Database'!B290</f>
        <v>Kerala vegetable stew</v>
      </c>
      <c r="C1049" s="6" t="str">
        <f aca="false">'Dish Database'!D290</f>
        <v>Veg Curries (Gravy)</v>
      </c>
      <c r="D1049" s="6" t="str">
        <f aca="false">'Dish Database'!F290</f>
        <v>Veg</v>
      </c>
      <c r="E1049" s="6" t="str">
        <f aca="false">'Dish Database'!E290</f>
        <v>South</v>
      </c>
      <c r="F1049" s="6" t="s">
        <v>103</v>
      </c>
      <c r="G1049" s="6" t="s">
        <v>2501</v>
      </c>
      <c r="H1049" s="16" t="n">
        <v>150</v>
      </c>
      <c r="I1049" s="6" t="str">
        <f aca="false">'Dish Database'!I290</f>
        <v>g</v>
      </c>
      <c r="J1049" s="13" t="n">
        <f aca="false">'Dish Database'!J290*H1049/100</f>
        <v>147.9</v>
      </c>
      <c r="K1049" s="17" t="n">
        <f aca="false">'Dish Database'!K290*H1049/100</f>
        <v>2.7</v>
      </c>
      <c r="L1049" s="17" t="n">
        <f aca="false">'Dish Database'!L290*H1049/100</f>
        <v>12</v>
      </c>
      <c r="M1049" s="17" t="n">
        <f aca="false">'Dish Database'!M290*H1049/100</f>
        <v>10.5</v>
      </c>
      <c r="N1049" s="17" t="n">
        <f aca="false">'Dish Database'!N290*H1049/100</f>
        <v>2.7</v>
      </c>
      <c r="O1049" s="17" t="n">
        <f aca="false">'Dish Database'!O290*H1049/100</f>
        <v>3.75</v>
      </c>
      <c r="P1049" s="13" t="n">
        <f aca="false">'Dish Database'!P290*H1049/100</f>
        <v>375</v>
      </c>
    </row>
    <row r="1050" customFormat="false" ht="15" hidden="false" customHeight="false" outlineLevel="0" collapsed="false">
      <c r="A1050" s="6" t="str">
        <f aca="false">'Dish Database'!A290</f>
        <v>D289</v>
      </c>
      <c r="B1050" s="6" t="str">
        <f aca="false">'Dish Database'!B290</f>
        <v>Kerala vegetable stew</v>
      </c>
      <c r="C1050" s="6" t="str">
        <f aca="false">'Dish Database'!D290</f>
        <v>Veg Curries (Gravy)</v>
      </c>
      <c r="D1050" s="6" t="str">
        <f aca="false">'Dish Database'!F290</f>
        <v>Veg</v>
      </c>
      <c r="E1050" s="6" t="str">
        <f aca="false">'Dish Database'!E290</f>
        <v>South</v>
      </c>
      <c r="F1050" s="6" t="s">
        <v>2246</v>
      </c>
      <c r="G1050" s="6" t="s">
        <v>2502</v>
      </c>
      <c r="H1050" s="16" t="n">
        <v>200</v>
      </c>
      <c r="I1050" s="6" t="str">
        <f aca="false">'Dish Database'!I290</f>
        <v>g</v>
      </c>
      <c r="J1050" s="13" t="n">
        <f aca="false">'Dish Database'!J290*H1050/100</f>
        <v>197.2</v>
      </c>
      <c r="K1050" s="17" t="n">
        <f aca="false">'Dish Database'!K290*H1050/100</f>
        <v>3.6</v>
      </c>
      <c r="L1050" s="17" t="n">
        <f aca="false">'Dish Database'!L290*H1050/100</f>
        <v>16</v>
      </c>
      <c r="M1050" s="17" t="n">
        <f aca="false">'Dish Database'!M290*H1050/100</f>
        <v>14</v>
      </c>
      <c r="N1050" s="17" t="n">
        <f aca="false">'Dish Database'!N290*H1050/100</f>
        <v>3.6</v>
      </c>
      <c r="O1050" s="17" t="n">
        <f aca="false">'Dish Database'!O290*H1050/100</f>
        <v>5</v>
      </c>
      <c r="P1050" s="13" t="n">
        <f aca="false">'Dish Database'!P290*H1050/100</f>
        <v>500</v>
      </c>
    </row>
    <row r="1051" customFormat="false" ht="15" hidden="false" customHeight="false" outlineLevel="0" collapsed="false">
      <c r="A1051" s="6" t="str">
        <f aca="false">'Dish Database'!A290</f>
        <v>D289</v>
      </c>
      <c r="B1051" s="6" t="str">
        <f aca="false">'Dish Database'!B290</f>
        <v>Kerala vegetable stew</v>
      </c>
      <c r="C1051" s="6" t="str">
        <f aca="false">'Dish Database'!D290</f>
        <v>Veg Curries (Gravy)</v>
      </c>
      <c r="D1051" s="6" t="str">
        <f aca="false">'Dish Database'!F290</f>
        <v>Veg</v>
      </c>
      <c r="E1051" s="6" t="str">
        <f aca="false">'Dish Database'!E290</f>
        <v>South</v>
      </c>
      <c r="F1051" s="6" t="s">
        <v>2323</v>
      </c>
      <c r="G1051" s="6" t="s">
        <v>2503</v>
      </c>
      <c r="H1051" s="16" t="n">
        <v>250</v>
      </c>
      <c r="I1051" s="6" t="str">
        <f aca="false">'Dish Database'!I290</f>
        <v>g</v>
      </c>
      <c r="J1051" s="13" t="n">
        <f aca="false">'Dish Database'!J290*H1051/100</f>
        <v>246.5</v>
      </c>
      <c r="K1051" s="17" t="n">
        <f aca="false">'Dish Database'!K290*H1051/100</f>
        <v>4.5</v>
      </c>
      <c r="L1051" s="17" t="n">
        <f aca="false">'Dish Database'!L290*H1051/100</f>
        <v>20</v>
      </c>
      <c r="M1051" s="17" t="n">
        <f aca="false">'Dish Database'!M290*H1051/100</f>
        <v>17.5</v>
      </c>
      <c r="N1051" s="17" t="n">
        <f aca="false">'Dish Database'!N290*H1051/100</f>
        <v>4.5</v>
      </c>
      <c r="O1051" s="17" t="n">
        <f aca="false">'Dish Database'!O290*H1051/100</f>
        <v>6.25</v>
      </c>
      <c r="P1051" s="13" t="n">
        <f aca="false">'Dish Database'!P290*H1051/100</f>
        <v>625</v>
      </c>
    </row>
    <row r="1052" customFormat="false" ht="15" hidden="false" customHeight="false" outlineLevel="0" collapsed="false">
      <c r="A1052" s="6" t="str">
        <f aca="false">'Dish Database'!A290</f>
        <v>D289</v>
      </c>
      <c r="B1052" s="6" t="str">
        <f aca="false">'Dish Database'!B290</f>
        <v>Kerala vegetable stew</v>
      </c>
      <c r="C1052" s="6" t="str">
        <f aca="false">'Dish Database'!D290</f>
        <v>Veg Curries (Gravy)</v>
      </c>
      <c r="D1052" s="6" t="str">
        <f aca="false">'Dish Database'!F290</f>
        <v>Veg</v>
      </c>
      <c r="E1052" s="6" t="str">
        <f aca="false">'Dish Database'!E290</f>
        <v>South</v>
      </c>
      <c r="F1052" s="6" t="s">
        <v>2325</v>
      </c>
      <c r="G1052" s="6" t="s">
        <v>2504</v>
      </c>
      <c r="H1052" s="16" t="n">
        <v>500</v>
      </c>
      <c r="I1052" s="6" t="str">
        <f aca="false">'Dish Database'!I290</f>
        <v>g</v>
      </c>
      <c r="J1052" s="13" t="n">
        <f aca="false">'Dish Database'!J290*H1052/100</f>
        <v>493</v>
      </c>
      <c r="K1052" s="17" t="n">
        <f aca="false">'Dish Database'!K290*H1052/100</f>
        <v>9</v>
      </c>
      <c r="L1052" s="17" t="n">
        <f aca="false">'Dish Database'!L290*H1052/100</f>
        <v>40</v>
      </c>
      <c r="M1052" s="17" t="n">
        <f aca="false">'Dish Database'!M290*H1052/100</f>
        <v>35</v>
      </c>
      <c r="N1052" s="17" t="n">
        <f aca="false">'Dish Database'!N290*H1052/100</f>
        <v>9</v>
      </c>
      <c r="O1052" s="17" t="n">
        <f aca="false">'Dish Database'!O290*H1052/100</f>
        <v>12.5</v>
      </c>
      <c r="P1052" s="13" t="n">
        <f aca="false">'Dish Database'!P290*H1052/100</f>
        <v>1250</v>
      </c>
    </row>
    <row r="1053" customFormat="false" ht="15" hidden="false" customHeight="false" outlineLevel="0" collapsed="false">
      <c r="A1053" s="6" t="str">
        <f aca="false">'Dish Database'!A291</f>
        <v>D290</v>
      </c>
      <c r="B1053" s="6" t="str">
        <f aca="false">'Dish Database'!B291</f>
        <v>Olan</v>
      </c>
      <c r="C1053" s="6" t="str">
        <f aca="false">'Dish Database'!D291</f>
        <v>Veg Curries (Gravy)</v>
      </c>
      <c r="D1053" s="6" t="str">
        <f aca="false">'Dish Database'!F291</f>
        <v>Veg</v>
      </c>
      <c r="E1053" s="6" t="str">
        <f aca="false">'Dish Database'!E291</f>
        <v>South</v>
      </c>
      <c r="F1053" s="6" t="s">
        <v>2243</v>
      </c>
      <c r="G1053" s="6" t="s">
        <v>2500</v>
      </c>
      <c r="H1053" s="16" t="n">
        <v>100</v>
      </c>
      <c r="I1053" s="6" t="str">
        <f aca="false">'Dish Database'!I291</f>
        <v>g</v>
      </c>
      <c r="J1053" s="13" t="n">
        <f aca="false">'Dish Database'!J291*H1053/100</f>
        <v>70</v>
      </c>
      <c r="K1053" s="17" t="n">
        <f aca="false">'Dish Database'!K291*H1053/100</f>
        <v>1.5</v>
      </c>
      <c r="L1053" s="17" t="n">
        <f aca="false">'Dish Database'!L291*H1053/100</f>
        <v>5.5</v>
      </c>
      <c r="M1053" s="17" t="n">
        <f aca="false">'Dish Database'!M291*H1053/100</f>
        <v>5</v>
      </c>
      <c r="N1053" s="17" t="n">
        <f aca="false">'Dish Database'!N291*H1053/100</f>
        <v>1.5</v>
      </c>
      <c r="O1053" s="17" t="n">
        <f aca="false">'Dish Database'!O291*H1053/100</f>
        <v>2</v>
      </c>
      <c r="P1053" s="13" t="n">
        <f aca="false">'Dish Database'!P291*H1053/100</f>
        <v>250</v>
      </c>
    </row>
    <row r="1054" customFormat="false" ht="15" hidden="false" customHeight="false" outlineLevel="0" collapsed="false">
      <c r="A1054" s="6" t="str">
        <f aca="false">'Dish Database'!A291</f>
        <v>D290</v>
      </c>
      <c r="B1054" s="6" t="str">
        <f aca="false">'Dish Database'!B291</f>
        <v>Olan</v>
      </c>
      <c r="C1054" s="6" t="str">
        <f aca="false">'Dish Database'!D291</f>
        <v>Veg Curries (Gravy)</v>
      </c>
      <c r="D1054" s="6" t="str">
        <f aca="false">'Dish Database'!F291</f>
        <v>Veg</v>
      </c>
      <c r="E1054" s="6" t="str">
        <f aca="false">'Dish Database'!E291</f>
        <v>South</v>
      </c>
      <c r="F1054" s="6" t="s">
        <v>103</v>
      </c>
      <c r="G1054" s="6" t="s">
        <v>2501</v>
      </c>
      <c r="H1054" s="16" t="n">
        <v>150</v>
      </c>
      <c r="I1054" s="6" t="str">
        <f aca="false">'Dish Database'!I291</f>
        <v>g</v>
      </c>
      <c r="J1054" s="13" t="n">
        <f aca="false">'Dish Database'!J291*H1054/100</f>
        <v>105</v>
      </c>
      <c r="K1054" s="17" t="n">
        <f aca="false">'Dish Database'!K291*H1054/100</f>
        <v>2.25</v>
      </c>
      <c r="L1054" s="17" t="n">
        <f aca="false">'Dish Database'!L291*H1054/100</f>
        <v>8.25</v>
      </c>
      <c r="M1054" s="17" t="n">
        <f aca="false">'Dish Database'!M291*H1054/100</f>
        <v>7.5</v>
      </c>
      <c r="N1054" s="17" t="n">
        <f aca="false">'Dish Database'!N291*H1054/100</f>
        <v>2.25</v>
      </c>
      <c r="O1054" s="17" t="n">
        <f aca="false">'Dish Database'!O291*H1054/100</f>
        <v>3</v>
      </c>
      <c r="P1054" s="13" t="n">
        <f aca="false">'Dish Database'!P291*H1054/100</f>
        <v>375</v>
      </c>
    </row>
    <row r="1055" customFormat="false" ht="15" hidden="false" customHeight="false" outlineLevel="0" collapsed="false">
      <c r="A1055" s="6" t="str">
        <f aca="false">'Dish Database'!A291</f>
        <v>D290</v>
      </c>
      <c r="B1055" s="6" t="str">
        <f aca="false">'Dish Database'!B291</f>
        <v>Olan</v>
      </c>
      <c r="C1055" s="6" t="str">
        <f aca="false">'Dish Database'!D291</f>
        <v>Veg Curries (Gravy)</v>
      </c>
      <c r="D1055" s="6" t="str">
        <f aca="false">'Dish Database'!F291</f>
        <v>Veg</v>
      </c>
      <c r="E1055" s="6" t="str">
        <f aca="false">'Dish Database'!E291</f>
        <v>South</v>
      </c>
      <c r="F1055" s="6" t="s">
        <v>2246</v>
      </c>
      <c r="G1055" s="6" t="s">
        <v>2502</v>
      </c>
      <c r="H1055" s="16" t="n">
        <v>200</v>
      </c>
      <c r="I1055" s="6" t="str">
        <f aca="false">'Dish Database'!I291</f>
        <v>g</v>
      </c>
      <c r="J1055" s="13" t="n">
        <f aca="false">'Dish Database'!J291*H1055/100</f>
        <v>140</v>
      </c>
      <c r="K1055" s="17" t="n">
        <f aca="false">'Dish Database'!K291*H1055/100</f>
        <v>3</v>
      </c>
      <c r="L1055" s="17" t="n">
        <f aca="false">'Dish Database'!L291*H1055/100</f>
        <v>11</v>
      </c>
      <c r="M1055" s="17" t="n">
        <f aca="false">'Dish Database'!M291*H1055/100</f>
        <v>10</v>
      </c>
      <c r="N1055" s="17" t="n">
        <f aca="false">'Dish Database'!N291*H1055/100</f>
        <v>3</v>
      </c>
      <c r="O1055" s="17" t="n">
        <f aca="false">'Dish Database'!O291*H1055/100</f>
        <v>4</v>
      </c>
      <c r="P1055" s="13" t="n">
        <f aca="false">'Dish Database'!P291*H1055/100</f>
        <v>500</v>
      </c>
    </row>
    <row r="1056" customFormat="false" ht="15" hidden="false" customHeight="false" outlineLevel="0" collapsed="false">
      <c r="A1056" s="6" t="str">
        <f aca="false">'Dish Database'!A291</f>
        <v>D290</v>
      </c>
      <c r="B1056" s="6" t="str">
        <f aca="false">'Dish Database'!B291</f>
        <v>Olan</v>
      </c>
      <c r="C1056" s="6" t="str">
        <f aca="false">'Dish Database'!D291</f>
        <v>Veg Curries (Gravy)</v>
      </c>
      <c r="D1056" s="6" t="str">
        <f aca="false">'Dish Database'!F291</f>
        <v>Veg</v>
      </c>
      <c r="E1056" s="6" t="str">
        <f aca="false">'Dish Database'!E291</f>
        <v>South</v>
      </c>
      <c r="F1056" s="6" t="s">
        <v>2323</v>
      </c>
      <c r="G1056" s="6" t="s">
        <v>2503</v>
      </c>
      <c r="H1056" s="16" t="n">
        <v>250</v>
      </c>
      <c r="I1056" s="6" t="str">
        <f aca="false">'Dish Database'!I291</f>
        <v>g</v>
      </c>
      <c r="J1056" s="13" t="n">
        <f aca="false">'Dish Database'!J291*H1056/100</f>
        <v>175</v>
      </c>
      <c r="K1056" s="17" t="n">
        <f aca="false">'Dish Database'!K291*H1056/100</f>
        <v>3.75</v>
      </c>
      <c r="L1056" s="17" t="n">
        <f aca="false">'Dish Database'!L291*H1056/100</f>
        <v>13.75</v>
      </c>
      <c r="M1056" s="17" t="n">
        <f aca="false">'Dish Database'!M291*H1056/100</f>
        <v>12.5</v>
      </c>
      <c r="N1056" s="17" t="n">
        <f aca="false">'Dish Database'!N291*H1056/100</f>
        <v>3.75</v>
      </c>
      <c r="O1056" s="17" t="n">
        <f aca="false">'Dish Database'!O291*H1056/100</f>
        <v>5</v>
      </c>
      <c r="P1056" s="13" t="n">
        <f aca="false">'Dish Database'!P291*H1056/100</f>
        <v>625</v>
      </c>
    </row>
    <row r="1057" customFormat="false" ht="15" hidden="false" customHeight="false" outlineLevel="0" collapsed="false">
      <c r="A1057" s="6" t="str">
        <f aca="false">'Dish Database'!A291</f>
        <v>D290</v>
      </c>
      <c r="B1057" s="6" t="str">
        <f aca="false">'Dish Database'!B291</f>
        <v>Olan</v>
      </c>
      <c r="C1057" s="6" t="str">
        <f aca="false">'Dish Database'!D291</f>
        <v>Veg Curries (Gravy)</v>
      </c>
      <c r="D1057" s="6" t="str">
        <f aca="false">'Dish Database'!F291</f>
        <v>Veg</v>
      </c>
      <c r="E1057" s="6" t="str">
        <f aca="false">'Dish Database'!E291</f>
        <v>South</v>
      </c>
      <c r="F1057" s="6" t="s">
        <v>2325</v>
      </c>
      <c r="G1057" s="6" t="s">
        <v>2504</v>
      </c>
      <c r="H1057" s="16" t="n">
        <v>500</v>
      </c>
      <c r="I1057" s="6" t="str">
        <f aca="false">'Dish Database'!I291</f>
        <v>g</v>
      </c>
      <c r="J1057" s="13" t="n">
        <f aca="false">'Dish Database'!J291*H1057/100</f>
        <v>350</v>
      </c>
      <c r="K1057" s="17" t="n">
        <f aca="false">'Dish Database'!K291*H1057/100</f>
        <v>7.5</v>
      </c>
      <c r="L1057" s="17" t="n">
        <f aca="false">'Dish Database'!L291*H1057/100</f>
        <v>27.5</v>
      </c>
      <c r="M1057" s="17" t="n">
        <f aca="false">'Dish Database'!M291*H1057/100</f>
        <v>25</v>
      </c>
      <c r="N1057" s="17" t="n">
        <f aca="false">'Dish Database'!N291*H1057/100</f>
        <v>7.5</v>
      </c>
      <c r="O1057" s="17" t="n">
        <f aca="false">'Dish Database'!O291*H1057/100</f>
        <v>10</v>
      </c>
      <c r="P1057" s="13" t="n">
        <f aca="false">'Dish Database'!P291*H1057/100</f>
        <v>1250</v>
      </c>
    </row>
    <row r="1058" customFormat="false" ht="15" hidden="false" customHeight="false" outlineLevel="0" collapsed="false">
      <c r="A1058" s="6" t="str">
        <f aca="false">'Dish Database'!A292</f>
        <v>D291</v>
      </c>
      <c r="B1058" s="6" t="str">
        <f aca="false">'Dish Database'!B292</f>
        <v>Kootu</v>
      </c>
      <c r="C1058" s="6" t="str">
        <f aca="false">'Dish Database'!D292</f>
        <v>Veg Curries (Gravy)</v>
      </c>
      <c r="D1058" s="6" t="str">
        <f aca="false">'Dish Database'!F292</f>
        <v>Veg</v>
      </c>
      <c r="E1058" s="6" t="str">
        <f aca="false">'Dish Database'!E292</f>
        <v>South</v>
      </c>
      <c r="F1058" s="6" t="s">
        <v>2243</v>
      </c>
      <c r="G1058" s="6" t="s">
        <v>2500</v>
      </c>
      <c r="H1058" s="16" t="n">
        <v>100</v>
      </c>
      <c r="I1058" s="6" t="str">
        <f aca="false">'Dish Database'!I292</f>
        <v>g</v>
      </c>
      <c r="J1058" s="13" t="n">
        <f aca="false">'Dish Database'!J292*H1058/100</f>
        <v>88.5</v>
      </c>
      <c r="K1058" s="17" t="n">
        <f aca="false">'Dish Database'!K292*H1058/100</f>
        <v>3.5</v>
      </c>
      <c r="L1058" s="17" t="n">
        <f aca="false">'Dish Database'!L292*H1058/100</f>
        <v>10</v>
      </c>
      <c r="M1058" s="17" t="n">
        <f aca="false">'Dish Database'!M292*H1058/100</f>
        <v>4.5</v>
      </c>
      <c r="N1058" s="17" t="n">
        <f aca="false">'Dish Database'!N292*H1058/100</f>
        <v>3</v>
      </c>
      <c r="O1058" s="17" t="n">
        <f aca="false">'Dish Database'!O292*H1058/100</f>
        <v>2</v>
      </c>
      <c r="P1058" s="13" t="n">
        <f aca="false">'Dish Database'!P292*H1058/100</f>
        <v>280</v>
      </c>
    </row>
    <row r="1059" customFormat="false" ht="15" hidden="false" customHeight="false" outlineLevel="0" collapsed="false">
      <c r="A1059" s="6" t="str">
        <f aca="false">'Dish Database'!A292</f>
        <v>D291</v>
      </c>
      <c r="B1059" s="6" t="str">
        <f aca="false">'Dish Database'!B292</f>
        <v>Kootu</v>
      </c>
      <c r="C1059" s="6" t="str">
        <f aca="false">'Dish Database'!D292</f>
        <v>Veg Curries (Gravy)</v>
      </c>
      <c r="D1059" s="6" t="str">
        <f aca="false">'Dish Database'!F292</f>
        <v>Veg</v>
      </c>
      <c r="E1059" s="6" t="str">
        <f aca="false">'Dish Database'!E292</f>
        <v>South</v>
      </c>
      <c r="F1059" s="6" t="s">
        <v>103</v>
      </c>
      <c r="G1059" s="6" t="s">
        <v>2501</v>
      </c>
      <c r="H1059" s="16" t="n">
        <v>150</v>
      </c>
      <c r="I1059" s="6" t="str">
        <f aca="false">'Dish Database'!I292</f>
        <v>g</v>
      </c>
      <c r="J1059" s="13" t="n">
        <f aca="false">'Dish Database'!J292*H1059/100</f>
        <v>132.75</v>
      </c>
      <c r="K1059" s="17" t="n">
        <f aca="false">'Dish Database'!K292*H1059/100</f>
        <v>5.25</v>
      </c>
      <c r="L1059" s="17" t="n">
        <f aca="false">'Dish Database'!L292*H1059/100</f>
        <v>15</v>
      </c>
      <c r="M1059" s="17" t="n">
        <f aca="false">'Dish Database'!M292*H1059/100</f>
        <v>6.75</v>
      </c>
      <c r="N1059" s="17" t="n">
        <f aca="false">'Dish Database'!N292*H1059/100</f>
        <v>4.5</v>
      </c>
      <c r="O1059" s="17" t="n">
        <f aca="false">'Dish Database'!O292*H1059/100</f>
        <v>3</v>
      </c>
      <c r="P1059" s="13" t="n">
        <f aca="false">'Dish Database'!P292*H1059/100</f>
        <v>420</v>
      </c>
    </row>
    <row r="1060" customFormat="false" ht="15" hidden="false" customHeight="false" outlineLevel="0" collapsed="false">
      <c r="A1060" s="6" t="str">
        <f aca="false">'Dish Database'!A292</f>
        <v>D291</v>
      </c>
      <c r="B1060" s="6" t="str">
        <f aca="false">'Dish Database'!B292</f>
        <v>Kootu</v>
      </c>
      <c r="C1060" s="6" t="str">
        <f aca="false">'Dish Database'!D292</f>
        <v>Veg Curries (Gravy)</v>
      </c>
      <c r="D1060" s="6" t="str">
        <f aca="false">'Dish Database'!F292</f>
        <v>Veg</v>
      </c>
      <c r="E1060" s="6" t="str">
        <f aca="false">'Dish Database'!E292</f>
        <v>South</v>
      </c>
      <c r="F1060" s="6" t="s">
        <v>2246</v>
      </c>
      <c r="G1060" s="6" t="s">
        <v>2502</v>
      </c>
      <c r="H1060" s="16" t="n">
        <v>200</v>
      </c>
      <c r="I1060" s="6" t="str">
        <f aca="false">'Dish Database'!I292</f>
        <v>g</v>
      </c>
      <c r="J1060" s="13" t="n">
        <f aca="false">'Dish Database'!J292*H1060/100</f>
        <v>177</v>
      </c>
      <c r="K1060" s="17" t="n">
        <f aca="false">'Dish Database'!K292*H1060/100</f>
        <v>7</v>
      </c>
      <c r="L1060" s="17" t="n">
        <f aca="false">'Dish Database'!L292*H1060/100</f>
        <v>20</v>
      </c>
      <c r="M1060" s="17" t="n">
        <f aca="false">'Dish Database'!M292*H1060/100</f>
        <v>9</v>
      </c>
      <c r="N1060" s="17" t="n">
        <f aca="false">'Dish Database'!N292*H1060/100</f>
        <v>6</v>
      </c>
      <c r="O1060" s="17" t="n">
        <f aca="false">'Dish Database'!O292*H1060/100</f>
        <v>4</v>
      </c>
      <c r="P1060" s="13" t="n">
        <f aca="false">'Dish Database'!P292*H1060/100</f>
        <v>560</v>
      </c>
    </row>
    <row r="1061" customFormat="false" ht="15" hidden="false" customHeight="false" outlineLevel="0" collapsed="false">
      <c r="A1061" s="6" t="str">
        <f aca="false">'Dish Database'!A292</f>
        <v>D291</v>
      </c>
      <c r="B1061" s="6" t="str">
        <f aca="false">'Dish Database'!B292</f>
        <v>Kootu</v>
      </c>
      <c r="C1061" s="6" t="str">
        <f aca="false">'Dish Database'!D292</f>
        <v>Veg Curries (Gravy)</v>
      </c>
      <c r="D1061" s="6" t="str">
        <f aca="false">'Dish Database'!F292</f>
        <v>Veg</v>
      </c>
      <c r="E1061" s="6" t="str">
        <f aca="false">'Dish Database'!E292</f>
        <v>South</v>
      </c>
      <c r="F1061" s="6" t="s">
        <v>2323</v>
      </c>
      <c r="G1061" s="6" t="s">
        <v>2503</v>
      </c>
      <c r="H1061" s="16" t="n">
        <v>250</v>
      </c>
      <c r="I1061" s="6" t="str">
        <f aca="false">'Dish Database'!I292</f>
        <v>g</v>
      </c>
      <c r="J1061" s="13" t="n">
        <f aca="false">'Dish Database'!J292*H1061/100</f>
        <v>221.25</v>
      </c>
      <c r="K1061" s="17" t="n">
        <f aca="false">'Dish Database'!K292*H1061/100</f>
        <v>8.75</v>
      </c>
      <c r="L1061" s="17" t="n">
        <f aca="false">'Dish Database'!L292*H1061/100</f>
        <v>25</v>
      </c>
      <c r="M1061" s="17" t="n">
        <f aca="false">'Dish Database'!M292*H1061/100</f>
        <v>11.25</v>
      </c>
      <c r="N1061" s="17" t="n">
        <f aca="false">'Dish Database'!N292*H1061/100</f>
        <v>7.5</v>
      </c>
      <c r="O1061" s="17" t="n">
        <f aca="false">'Dish Database'!O292*H1061/100</f>
        <v>5</v>
      </c>
      <c r="P1061" s="13" t="n">
        <f aca="false">'Dish Database'!P292*H1061/100</f>
        <v>700</v>
      </c>
    </row>
    <row r="1062" customFormat="false" ht="15" hidden="false" customHeight="false" outlineLevel="0" collapsed="false">
      <c r="A1062" s="6" t="str">
        <f aca="false">'Dish Database'!A292</f>
        <v>D291</v>
      </c>
      <c r="B1062" s="6" t="str">
        <f aca="false">'Dish Database'!B292</f>
        <v>Kootu</v>
      </c>
      <c r="C1062" s="6" t="str">
        <f aca="false">'Dish Database'!D292</f>
        <v>Veg Curries (Gravy)</v>
      </c>
      <c r="D1062" s="6" t="str">
        <f aca="false">'Dish Database'!F292</f>
        <v>Veg</v>
      </c>
      <c r="E1062" s="6" t="str">
        <f aca="false">'Dish Database'!E292</f>
        <v>South</v>
      </c>
      <c r="F1062" s="6" t="s">
        <v>2325</v>
      </c>
      <c r="G1062" s="6" t="s">
        <v>2504</v>
      </c>
      <c r="H1062" s="16" t="n">
        <v>500</v>
      </c>
      <c r="I1062" s="6" t="str">
        <f aca="false">'Dish Database'!I292</f>
        <v>g</v>
      </c>
      <c r="J1062" s="13" t="n">
        <f aca="false">'Dish Database'!J292*H1062/100</f>
        <v>442.5</v>
      </c>
      <c r="K1062" s="17" t="n">
        <f aca="false">'Dish Database'!K292*H1062/100</f>
        <v>17.5</v>
      </c>
      <c r="L1062" s="17" t="n">
        <f aca="false">'Dish Database'!L292*H1062/100</f>
        <v>50</v>
      </c>
      <c r="M1062" s="17" t="n">
        <f aca="false">'Dish Database'!M292*H1062/100</f>
        <v>22.5</v>
      </c>
      <c r="N1062" s="17" t="n">
        <f aca="false">'Dish Database'!N292*H1062/100</f>
        <v>15</v>
      </c>
      <c r="O1062" s="17" t="n">
        <f aca="false">'Dish Database'!O292*H1062/100</f>
        <v>10</v>
      </c>
      <c r="P1062" s="13" t="n">
        <f aca="false">'Dish Database'!P292*H1062/100</f>
        <v>1400</v>
      </c>
    </row>
    <row r="1063" customFormat="false" ht="15" hidden="false" customHeight="false" outlineLevel="0" collapsed="false">
      <c r="A1063" s="6" t="str">
        <f aca="false">'Dish Database'!A293</f>
        <v>D292</v>
      </c>
      <c r="B1063" s="6" t="str">
        <f aca="false">'Dish Database'!B293</f>
        <v>Shukto</v>
      </c>
      <c r="C1063" s="6" t="str">
        <f aca="false">'Dish Database'!D293</f>
        <v>Veg Curries (Gravy)</v>
      </c>
      <c r="D1063" s="6" t="str">
        <f aca="false">'Dish Database'!F293</f>
        <v>Veg</v>
      </c>
      <c r="E1063" s="6" t="str">
        <f aca="false">'Dish Database'!E293</f>
        <v>East</v>
      </c>
      <c r="F1063" s="6" t="s">
        <v>2243</v>
      </c>
      <c r="G1063" s="6" t="s">
        <v>2500</v>
      </c>
      <c r="H1063" s="16" t="n">
        <v>100</v>
      </c>
      <c r="I1063" s="6" t="str">
        <f aca="false">'Dish Database'!I293</f>
        <v>g</v>
      </c>
      <c r="J1063" s="13" t="n">
        <f aca="false">'Dish Database'!J293*H1063/100</f>
        <v>85</v>
      </c>
      <c r="K1063" s="17" t="n">
        <f aca="false">'Dish Database'!K293*H1063/100</f>
        <v>2.5</v>
      </c>
      <c r="L1063" s="17" t="n">
        <f aca="false">'Dish Database'!L293*H1063/100</f>
        <v>9</v>
      </c>
      <c r="M1063" s="17" t="n">
        <f aca="false">'Dish Database'!M293*H1063/100</f>
        <v>5</v>
      </c>
      <c r="N1063" s="17" t="n">
        <f aca="false">'Dish Database'!N293*H1063/100</f>
        <v>3</v>
      </c>
      <c r="O1063" s="17" t="n">
        <f aca="false">'Dish Database'!O293*H1063/100</f>
        <v>3</v>
      </c>
      <c r="P1063" s="13" t="n">
        <f aca="false">'Dish Database'!P293*H1063/100</f>
        <v>300</v>
      </c>
    </row>
    <row r="1064" customFormat="false" ht="15" hidden="false" customHeight="false" outlineLevel="0" collapsed="false">
      <c r="A1064" s="6" t="str">
        <f aca="false">'Dish Database'!A293</f>
        <v>D292</v>
      </c>
      <c r="B1064" s="6" t="str">
        <f aca="false">'Dish Database'!B293</f>
        <v>Shukto</v>
      </c>
      <c r="C1064" s="6" t="str">
        <f aca="false">'Dish Database'!D293</f>
        <v>Veg Curries (Gravy)</v>
      </c>
      <c r="D1064" s="6" t="str">
        <f aca="false">'Dish Database'!F293</f>
        <v>Veg</v>
      </c>
      <c r="E1064" s="6" t="str">
        <f aca="false">'Dish Database'!E293</f>
        <v>East</v>
      </c>
      <c r="F1064" s="6" t="s">
        <v>103</v>
      </c>
      <c r="G1064" s="6" t="s">
        <v>2501</v>
      </c>
      <c r="H1064" s="16" t="n">
        <v>150</v>
      </c>
      <c r="I1064" s="6" t="str">
        <f aca="false">'Dish Database'!I293</f>
        <v>g</v>
      </c>
      <c r="J1064" s="13" t="n">
        <f aca="false">'Dish Database'!J293*H1064/100</f>
        <v>127.5</v>
      </c>
      <c r="K1064" s="17" t="n">
        <f aca="false">'Dish Database'!K293*H1064/100</f>
        <v>3.75</v>
      </c>
      <c r="L1064" s="17" t="n">
        <f aca="false">'Dish Database'!L293*H1064/100</f>
        <v>13.5</v>
      </c>
      <c r="M1064" s="17" t="n">
        <f aca="false">'Dish Database'!M293*H1064/100</f>
        <v>7.5</v>
      </c>
      <c r="N1064" s="17" t="n">
        <f aca="false">'Dish Database'!N293*H1064/100</f>
        <v>4.5</v>
      </c>
      <c r="O1064" s="17" t="n">
        <f aca="false">'Dish Database'!O293*H1064/100</f>
        <v>4.5</v>
      </c>
      <c r="P1064" s="13" t="n">
        <f aca="false">'Dish Database'!P293*H1064/100</f>
        <v>450</v>
      </c>
    </row>
    <row r="1065" customFormat="false" ht="15" hidden="false" customHeight="false" outlineLevel="0" collapsed="false">
      <c r="A1065" s="6" t="str">
        <f aca="false">'Dish Database'!A293</f>
        <v>D292</v>
      </c>
      <c r="B1065" s="6" t="str">
        <f aca="false">'Dish Database'!B293</f>
        <v>Shukto</v>
      </c>
      <c r="C1065" s="6" t="str">
        <f aca="false">'Dish Database'!D293</f>
        <v>Veg Curries (Gravy)</v>
      </c>
      <c r="D1065" s="6" t="str">
        <f aca="false">'Dish Database'!F293</f>
        <v>Veg</v>
      </c>
      <c r="E1065" s="6" t="str">
        <f aca="false">'Dish Database'!E293</f>
        <v>East</v>
      </c>
      <c r="F1065" s="6" t="s">
        <v>2246</v>
      </c>
      <c r="G1065" s="6" t="s">
        <v>2502</v>
      </c>
      <c r="H1065" s="16" t="n">
        <v>200</v>
      </c>
      <c r="I1065" s="6" t="str">
        <f aca="false">'Dish Database'!I293</f>
        <v>g</v>
      </c>
      <c r="J1065" s="13" t="n">
        <f aca="false">'Dish Database'!J293*H1065/100</f>
        <v>170</v>
      </c>
      <c r="K1065" s="17" t="n">
        <f aca="false">'Dish Database'!K293*H1065/100</f>
        <v>5</v>
      </c>
      <c r="L1065" s="17" t="n">
        <f aca="false">'Dish Database'!L293*H1065/100</f>
        <v>18</v>
      </c>
      <c r="M1065" s="17" t="n">
        <f aca="false">'Dish Database'!M293*H1065/100</f>
        <v>10</v>
      </c>
      <c r="N1065" s="17" t="n">
        <f aca="false">'Dish Database'!N293*H1065/100</f>
        <v>6</v>
      </c>
      <c r="O1065" s="17" t="n">
        <f aca="false">'Dish Database'!O293*H1065/100</f>
        <v>6</v>
      </c>
      <c r="P1065" s="13" t="n">
        <f aca="false">'Dish Database'!P293*H1065/100</f>
        <v>600</v>
      </c>
    </row>
    <row r="1066" customFormat="false" ht="15" hidden="false" customHeight="false" outlineLevel="0" collapsed="false">
      <c r="A1066" s="6" t="str">
        <f aca="false">'Dish Database'!A293</f>
        <v>D292</v>
      </c>
      <c r="B1066" s="6" t="str">
        <f aca="false">'Dish Database'!B293</f>
        <v>Shukto</v>
      </c>
      <c r="C1066" s="6" t="str">
        <f aca="false">'Dish Database'!D293</f>
        <v>Veg Curries (Gravy)</v>
      </c>
      <c r="D1066" s="6" t="str">
        <f aca="false">'Dish Database'!F293</f>
        <v>Veg</v>
      </c>
      <c r="E1066" s="6" t="str">
        <f aca="false">'Dish Database'!E293</f>
        <v>East</v>
      </c>
      <c r="F1066" s="6" t="s">
        <v>2323</v>
      </c>
      <c r="G1066" s="6" t="s">
        <v>2503</v>
      </c>
      <c r="H1066" s="16" t="n">
        <v>250</v>
      </c>
      <c r="I1066" s="6" t="str">
        <f aca="false">'Dish Database'!I293</f>
        <v>g</v>
      </c>
      <c r="J1066" s="13" t="n">
        <f aca="false">'Dish Database'!J293*H1066/100</f>
        <v>212.5</v>
      </c>
      <c r="K1066" s="17" t="n">
        <f aca="false">'Dish Database'!K293*H1066/100</f>
        <v>6.25</v>
      </c>
      <c r="L1066" s="17" t="n">
        <f aca="false">'Dish Database'!L293*H1066/100</f>
        <v>22.5</v>
      </c>
      <c r="M1066" s="17" t="n">
        <f aca="false">'Dish Database'!M293*H1066/100</f>
        <v>12.5</v>
      </c>
      <c r="N1066" s="17" t="n">
        <f aca="false">'Dish Database'!N293*H1066/100</f>
        <v>7.5</v>
      </c>
      <c r="O1066" s="17" t="n">
        <f aca="false">'Dish Database'!O293*H1066/100</f>
        <v>7.5</v>
      </c>
      <c r="P1066" s="13" t="n">
        <f aca="false">'Dish Database'!P293*H1066/100</f>
        <v>750</v>
      </c>
    </row>
    <row r="1067" customFormat="false" ht="15" hidden="false" customHeight="false" outlineLevel="0" collapsed="false">
      <c r="A1067" s="6" t="str">
        <f aca="false">'Dish Database'!A293</f>
        <v>D292</v>
      </c>
      <c r="B1067" s="6" t="str">
        <f aca="false">'Dish Database'!B293</f>
        <v>Shukto</v>
      </c>
      <c r="C1067" s="6" t="str">
        <f aca="false">'Dish Database'!D293</f>
        <v>Veg Curries (Gravy)</v>
      </c>
      <c r="D1067" s="6" t="str">
        <f aca="false">'Dish Database'!F293</f>
        <v>Veg</v>
      </c>
      <c r="E1067" s="6" t="str">
        <f aca="false">'Dish Database'!E293</f>
        <v>East</v>
      </c>
      <c r="F1067" s="6" t="s">
        <v>2325</v>
      </c>
      <c r="G1067" s="6" t="s">
        <v>2504</v>
      </c>
      <c r="H1067" s="16" t="n">
        <v>500</v>
      </c>
      <c r="I1067" s="6" t="str">
        <f aca="false">'Dish Database'!I293</f>
        <v>g</v>
      </c>
      <c r="J1067" s="13" t="n">
        <f aca="false">'Dish Database'!J293*H1067/100</f>
        <v>425</v>
      </c>
      <c r="K1067" s="17" t="n">
        <f aca="false">'Dish Database'!K293*H1067/100</f>
        <v>12.5</v>
      </c>
      <c r="L1067" s="17" t="n">
        <f aca="false">'Dish Database'!L293*H1067/100</f>
        <v>45</v>
      </c>
      <c r="M1067" s="17" t="n">
        <f aca="false">'Dish Database'!M293*H1067/100</f>
        <v>25</v>
      </c>
      <c r="N1067" s="17" t="n">
        <f aca="false">'Dish Database'!N293*H1067/100</f>
        <v>15</v>
      </c>
      <c r="O1067" s="17" t="n">
        <f aca="false">'Dish Database'!O293*H1067/100</f>
        <v>15</v>
      </c>
      <c r="P1067" s="13" t="n">
        <f aca="false">'Dish Database'!P293*H1067/100</f>
        <v>1500</v>
      </c>
    </row>
    <row r="1068" customFormat="false" ht="15" hidden="false" customHeight="false" outlineLevel="0" collapsed="false">
      <c r="A1068" s="6" t="str">
        <f aca="false">'Dish Database'!A294</f>
        <v>D293</v>
      </c>
      <c r="B1068" s="6" t="str">
        <f aca="false">'Dish Database'!B294</f>
        <v>Dahi aloo</v>
      </c>
      <c r="C1068" s="6" t="str">
        <f aca="false">'Dish Database'!D294</f>
        <v>Veg Curries (Gravy)</v>
      </c>
      <c r="D1068" s="6" t="str">
        <f aca="false">'Dish Database'!F294</f>
        <v>Veg</v>
      </c>
      <c r="E1068" s="6" t="str">
        <f aca="false">'Dish Database'!E294</f>
        <v>North</v>
      </c>
      <c r="F1068" s="6" t="s">
        <v>2243</v>
      </c>
      <c r="G1068" s="6" t="s">
        <v>2500</v>
      </c>
      <c r="H1068" s="16" t="n">
        <v>100</v>
      </c>
      <c r="I1068" s="6" t="str">
        <f aca="false">'Dish Database'!I294</f>
        <v>g</v>
      </c>
      <c r="J1068" s="13" t="n">
        <f aca="false">'Dish Database'!J294*H1068/100</f>
        <v>82.4</v>
      </c>
      <c r="K1068" s="17" t="n">
        <f aca="false">'Dish Database'!K294*H1068/100</f>
        <v>2.2</v>
      </c>
      <c r="L1068" s="17" t="n">
        <f aca="false">'Dish Database'!L294*H1068/100</f>
        <v>10</v>
      </c>
      <c r="M1068" s="17" t="n">
        <f aca="false">'Dish Database'!M294*H1068/100</f>
        <v>4</v>
      </c>
      <c r="N1068" s="17" t="n">
        <f aca="false">'Dish Database'!N294*H1068/100</f>
        <v>1.2</v>
      </c>
      <c r="O1068" s="17" t="n">
        <f aca="false">'Dish Database'!O294*H1068/100</f>
        <v>2</v>
      </c>
      <c r="P1068" s="13" t="n">
        <f aca="false">'Dish Database'!P294*H1068/100</f>
        <v>330</v>
      </c>
    </row>
    <row r="1069" customFormat="false" ht="15" hidden="false" customHeight="false" outlineLevel="0" collapsed="false">
      <c r="A1069" s="6" t="str">
        <f aca="false">'Dish Database'!A294</f>
        <v>D293</v>
      </c>
      <c r="B1069" s="6" t="str">
        <f aca="false">'Dish Database'!B294</f>
        <v>Dahi aloo</v>
      </c>
      <c r="C1069" s="6" t="str">
        <f aca="false">'Dish Database'!D294</f>
        <v>Veg Curries (Gravy)</v>
      </c>
      <c r="D1069" s="6" t="str">
        <f aca="false">'Dish Database'!F294</f>
        <v>Veg</v>
      </c>
      <c r="E1069" s="6" t="str">
        <f aca="false">'Dish Database'!E294</f>
        <v>North</v>
      </c>
      <c r="F1069" s="6" t="s">
        <v>103</v>
      </c>
      <c r="G1069" s="6" t="s">
        <v>2501</v>
      </c>
      <c r="H1069" s="16" t="n">
        <v>150</v>
      </c>
      <c r="I1069" s="6" t="str">
        <f aca="false">'Dish Database'!I294</f>
        <v>g</v>
      </c>
      <c r="J1069" s="13" t="n">
        <f aca="false">'Dish Database'!J294*H1069/100</f>
        <v>123.6</v>
      </c>
      <c r="K1069" s="17" t="n">
        <f aca="false">'Dish Database'!K294*H1069/100</f>
        <v>3.3</v>
      </c>
      <c r="L1069" s="17" t="n">
        <f aca="false">'Dish Database'!L294*H1069/100</f>
        <v>15</v>
      </c>
      <c r="M1069" s="17" t="n">
        <f aca="false">'Dish Database'!M294*H1069/100</f>
        <v>6</v>
      </c>
      <c r="N1069" s="17" t="n">
        <f aca="false">'Dish Database'!N294*H1069/100</f>
        <v>1.8</v>
      </c>
      <c r="O1069" s="17" t="n">
        <f aca="false">'Dish Database'!O294*H1069/100</f>
        <v>3</v>
      </c>
      <c r="P1069" s="13" t="n">
        <f aca="false">'Dish Database'!P294*H1069/100</f>
        <v>495</v>
      </c>
    </row>
    <row r="1070" customFormat="false" ht="15" hidden="false" customHeight="false" outlineLevel="0" collapsed="false">
      <c r="A1070" s="6" t="str">
        <f aca="false">'Dish Database'!A294</f>
        <v>D293</v>
      </c>
      <c r="B1070" s="6" t="str">
        <f aca="false">'Dish Database'!B294</f>
        <v>Dahi aloo</v>
      </c>
      <c r="C1070" s="6" t="str">
        <f aca="false">'Dish Database'!D294</f>
        <v>Veg Curries (Gravy)</v>
      </c>
      <c r="D1070" s="6" t="str">
        <f aca="false">'Dish Database'!F294</f>
        <v>Veg</v>
      </c>
      <c r="E1070" s="6" t="str">
        <f aca="false">'Dish Database'!E294</f>
        <v>North</v>
      </c>
      <c r="F1070" s="6" t="s">
        <v>2246</v>
      </c>
      <c r="G1070" s="6" t="s">
        <v>2502</v>
      </c>
      <c r="H1070" s="16" t="n">
        <v>200</v>
      </c>
      <c r="I1070" s="6" t="str">
        <f aca="false">'Dish Database'!I294</f>
        <v>g</v>
      </c>
      <c r="J1070" s="13" t="n">
        <f aca="false">'Dish Database'!J294*H1070/100</f>
        <v>164.8</v>
      </c>
      <c r="K1070" s="17" t="n">
        <f aca="false">'Dish Database'!K294*H1070/100</f>
        <v>4.4</v>
      </c>
      <c r="L1070" s="17" t="n">
        <f aca="false">'Dish Database'!L294*H1070/100</f>
        <v>20</v>
      </c>
      <c r="M1070" s="17" t="n">
        <f aca="false">'Dish Database'!M294*H1070/100</f>
        <v>8</v>
      </c>
      <c r="N1070" s="17" t="n">
        <f aca="false">'Dish Database'!N294*H1070/100</f>
        <v>2.4</v>
      </c>
      <c r="O1070" s="17" t="n">
        <f aca="false">'Dish Database'!O294*H1070/100</f>
        <v>4</v>
      </c>
      <c r="P1070" s="13" t="n">
        <f aca="false">'Dish Database'!P294*H1070/100</f>
        <v>660</v>
      </c>
    </row>
    <row r="1071" customFormat="false" ht="15" hidden="false" customHeight="false" outlineLevel="0" collapsed="false">
      <c r="A1071" s="6" t="str">
        <f aca="false">'Dish Database'!A294</f>
        <v>D293</v>
      </c>
      <c r="B1071" s="6" t="str">
        <f aca="false">'Dish Database'!B294</f>
        <v>Dahi aloo</v>
      </c>
      <c r="C1071" s="6" t="str">
        <f aca="false">'Dish Database'!D294</f>
        <v>Veg Curries (Gravy)</v>
      </c>
      <c r="D1071" s="6" t="str">
        <f aca="false">'Dish Database'!F294</f>
        <v>Veg</v>
      </c>
      <c r="E1071" s="6" t="str">
        <f aca="false">'Dish Database'!E294</f>
        <v>North</v>
      </c>
      <c r="F1071" s="6" t="s">
        <v>2323</v>
      </c>
      <c r="G1071" s="6" t="s">
        <v>2503</v>
      </c>
      <c r="H1071" s="16" t="n">
        <v>250</v>
      </c>
      <c r="I1071" s="6" t="str">
        <f aca="false">'Dish Database'!I294</f>
        <v>g</v>
      </c>
      <c r="J1071" s="13" t="n">
        <f aca="false">'Dish Database'!J294*H1071/100</f>
        <v>206</v>
      </c>
      <c r="K1071" s="17" t="n">
        <f aca="false">'Dish Database'!K294*H1071/100</f>
        <v>5.5</v>
      </c>
      <c r="L1071" s="17" t="n">
        <f aca="false">'Dish Database'!L294*H1071/100</f>
        <v>25</v>
      </c>
      <c r="M1071" s="17" t="n">
        <f aca="false">'Dish Database'!M294*H1071/100</f>
        <v>10</v>
      </c>
      <c r="N1071" s="17" t="n">
        <f aca="false">'Dish Database'!N294*H1071/100</f>
        <v>3</v>
      </c>
      <c r="O1071" s="17" t="n">
        <f aca="false">'Dish Database'!O294*H1071/100</f>
        <v>5</v>
      </c>
      <c r="P1071" s="13" t="n">
        <f aca="false">'Dish Database'!P294*H1071/100</f>
        <v>825</v>
      </c>
    </row>
    <row r="1072" customFormat="false" ht="15" hidden="false" customHeight="false" outlineLevel="0" collapsed="false">
      <c r="A1072" s="6" t="str">
        <f aca="false">'Dish Database'!A294</f>
        <v>D293</v>
      </c>
      <c r="B1072" s="6" t="str">
        <f aca="false">'Dish Database'!B294</f>
        <v>Dahi aloo</v>
      </c>
      <c r="C1072" s="6" t="str">
        <f aca="false">'Dish Database'!D294</f>
        <v>Veg Curries (Gravy)</v>
      </c>
      <c r="D1072" s="6" t="str">
        <f aca="false">'Dish Database'!F294</f>
        <v>Veg</v>
      </c>
      <c r="E1072" s="6" t="str">
        <f aca="false">'Dish Database'!E294</f>
        <v>North</v>
      </c>
      <c r="F1072" s="6" t="s">
        <v>2325</v>
      </c>
      <c r="G1072" s="6" t="s">
        <v>2504</v>
      </c>
      <c r="H1072" s="16" t="n">
        <v>500</v>
      </c>
      <c r="I1072" s="6" t="str">
        <f aca="false">'Dish Database'!I294</f>
        <v>g</v>
      </c>
      <c r="J1072" s="13" t="n">
        <f aca="false">'Dish Database'!J294*H1072/100</f>
        <v>412</v>
      </c>
      <c r="K1072" s="17" t="n">
        <f aca="false">'Dish Database'!K294*H1072/100</f>
        <v>11</v>
      </c>
      <c r="L1072" s="17" t="n">
        <f aca="false">'Dish Database'!L294*H1072/100</f>
        <v>50</v>
      </c>
      <c r="M1072" s="17" t="n">
        <f aca="false">'Dish Database'!M294*H1072/100</f>
        <v>20</v>
      </c>
      <c r="N1072" s="17" t="n">
        <f aca="false">'Dish Database'!N294*H1072/100</f>
        <v>6</v>
      </c>
      <c r="O1072" s="17" t="n">
        <f aca="false">'Dish Database'!O294*H1072/100</f>
        <v>10</v>
      </c>
      <c r="P1072" s="13" t="n">
        <f aca="false">'Dish Database'!P294*H1072/100</f>
        <v>1650</v>
      </c>
    </row>
    <row r="1073" customFormat="false" ht="15" hidden="false" customHeight="false" outlineLevel="0" collapsed="false">
      <c r="A1073" s="6" t="str">
        <f aca="false">'Dish Database'!A295</f>
        <v>D294</v>
      </c>
      <c r="B1073" s="6" t="str">
        <f aca="false">'Dish Database'!B295</f>
        <v>Aloo gobi</v>
      </c>
      <c r="C1073" s="6" t="str">
        <f aca="false">'Dish Database'!D295</f>
        <v>Veg Dry Sabzi</v>
      </c>
      <c r="D1073" s="6" t="str">
        <f aca="false">'Dish Database'!F295</f>
        <v>Veg</v>
      </c>
      <c r="E1073" s="6" t="str">
        <f aca="false">'Dish Database'!E295</f>
        <v>North</v>
      </c>
      <c r="F1073" s="6" t="s">
        <v>2243</v>
      </c>
      <c r="G1073" s="6" t="s">
        <v>2320</v>
      </c>
      <c r="H1073" s="16" t="n">
        <v>75</v>
      </c>
      <c r="I1073" s="6" t="str">
        <f aca="false">'Dish Database'!I295</f>
        <v>g</v>
      </c>
      <c r="J1073" s="13" t="n">
        <f aca="false">'Dish Database'!J295*H1073/100</f>
        <v>77.25</v>
      </c>
      <c r="K1073" s="17" t="n">
        <f aca="false">'Dish Database'!K295*H1073/100</f>
        <v>1.875</v>
      </c>
      <c r="L1073" s="17" t="n">
        <f aca="false">'Dish Database'!L295*H1073/100</f>
        <v>8.25</v>
      </c>
      <c r="M1073" s="17" t="n">
        <f aca="false">'Dish Database'!M295*H1073/100</f>
        <v>4.5</v>
      </c>
      <c r="N1073" s="17" t="n">
        <f aca="false">'Dish Database'!N295*H1073/100</f>
        <v>1.875</v>
      </c>
      <c r="O1073" s="17" t="n">
        <f aca="false">'Dish Database'!O295*H1073/100</f>
        <v>1.5</v>
      </c>
      <c r="P1073" s="13" t="n">
        <f aca="false">'Dish Database'!P295*H1073/100</f>
        <v>247.5</v>
      </c>
    </row>
    <row r="1074" customFormat="false" ht="15" hidden="false" customHeight="false" outlineLevel="0" collapsed="false">
      <c r="A1074" s="6" t="str">
        <f aca="false">'Dish Database'!A295</f>
        <v>D294</v>
      </c>
      <c r="B1074" s="6" t="str">
        <f aca="false">'Dish Database'!B295</f>
        <v>Aloo gobi</v>
      </c>
      <c r="C1074" s="6" t="str">
        <f aca="false">'Dish Database'!D295</f>
        <v>Veg Dry Sabzi</v>
      </c>
      <c r="D1074" s="6" t="str">
        <f aca="false">'Dish Database'!F295</f>
        <v>Veg</v>
      </c>
      <c r="E1074" s="6" t="str">
        <f aca="false">'Dish Database'!E295</f>
        <v>North</v>
      </c>
      <c r="F1074" s="6" t="s">
        <v>103</v>
      </c>
      <c r="G1074" s="6" t="s">
        <v>2321</v>
      </c>
      <c r="H1074" s="16" t="n">
        <v>100</v>
      </c>
      <c r="I1074" s="6" t="str">
        <f aca="false">'Dish Database'!I295</f>
        <v>g</v>
      </c>
      <c r="J1074" s="13" t="n">
        <f aca="false">'Dish Database'!J295*H1074/100</f>
        <v>103</v>
      </c>
      <c r="K1074" s="17" t="n">
        <f aca="false">'Dish Database'!K295*H1074/100</f>
        <v>2.5</v>
      </c>
      <c r="L1074" s="17" t="n">
        <f aca="false">'Dish Database'!L295*H1074/100</f>
        <v>11</v>
      </c>
      <c r="M1074" s="17" t="n">
        <f aca="false">'Dish Database'!M295*H1074/100</f>
        <v>6</v>
      </c>
      <c r="N1074" s="17" t="n">
        <f aca="false">'Dish Database'!N295*H1074/100</f>
        <v>2.5</v>
      </c>
      <c r="O1074" s="17" t="n">
        <f aca="false">'Dish Database'!O295*H1074/100</f>
        <v>2</v>
      </c>
      <c r="P1074" s="13" t="n">
        <f aca="false">'Dish Database'!P295*H1074/100</f>
        <v>330</v>
      </c>
    </row>
    <row r="1075" customFormat="false" ht="15" hidden="false" customHeight="false" outlineLevel="0" collapsed="false">
      <c r="A1075" s="6" t="str">
        <f aca="false">'Dish Database'!A295</f>
        <v>D294</v>
      </c>
      <c r="B1075" s="6" t="str">
        <f aca="false">'Dish Database'!B295</f>
        <v>Aloo gobi</v>
      </c>
      <c r="C1075" s="6" t="str">
        <f aca="false">'Dish Database'!D295</f>
        <v>Veg Dry Sabzi</v>
      </c>
      <c r="D1075" s="6" t="str">
        <f aca="false">'Dish Database'!F295</f>
        <v>Veg</v>
      </c>
      <c r="E1075" s="6" t="str">
        <f aca="false">'Dish Database'!E295</f>
        <v>North</v>
      </c>
      <c r="F1075" s="6" t="s">
        <v>2246</v>
      </c>
      <c r="G1075" s="6" t="s">
        <v>2322</v>
      </c>
      <c r="H1075" s="16" t="n">
        <v>150</v>
      </c>
      <c r="I1075" s="6" t="str">
        <f aca="false">'Dish Database'!I295</f>
        <v>g</v>
      </c>
      <c r="J1075" s="13" t="n">
        <f aca="false">'Dish Database'!J295*H1075/100</f>
        <v>154.5</v>
      </c>
      <c r="K1075" s="17" t="n">
        <f aca="false">'Dish Database'!K295*H1075/100</f>
        <v>3.75</v>
      </c>
      <c r="L1075" s="17" t="n">
        <f aca="false">'Dish Database'!L295*H1075/100</f>
        <v>16.5</v>
      </c>
      <c r="M1075" s="17" t="n">
        <f aca="false">'Dish Database'!M295*H1075/100</f>
        <v>9</v>
      </c>
      <c r="N1075" s="17" t="n">
        <f aca="false">'Dish Database'!N295*H1075/100</f>
        <v>3.75</v>
      </c>
      <c r="O1075" s="17" t="n">
        <f aca="false">'Dish Database'!O295*H1075/100</f>
        <v>3</v>
      </c>
      <c r="P1075" s="13" t="n">
        <f aca="false">'Dish Database'!P295*H1075/100</f>
        <v>495</v>
      </c>
    </row>
    <row r="1076" customFormat="false" ht="15" hidden="false" customHeight="false" outlineLevel="0" collapsed="false">
      <c r="A1076" s="6" t="str">
        <f aca="false">'Dish Database'!A295</f>
        <v>D294</v>
      </c>
      <c r="B1076" s="6" t="str">
        <f aca="false">'Dish Database'!B295</f>
        <v>Aloo gobi</v>
      </c>
      <c r="C1076" s="6" t="str">
        <f aca="false">'Dish Database'!D295</f>
        <v>Veg Dry Sabzi</v>
      </c>
      <c r="D1076" s="6" t="str">
        <f aca="false">'Dish Database'!F295</f>
        <v>Veg</v>
      </c>
      <c r="E1076" s="6" t="str">
        <f aca="false">'Dish Database'!E295</f>
        <v>North</v>
      </c>
      <c r="F1076" s="6" t="s">
        <v>2323</v>
      </c>
      <c r="G1076" s="6" t="s">
        <v>2324</v>
      </c>
      <c r="H1076" s="16" t="n">
        <v>200</v>
      </c>
      <c r="I1076" s="6" t="str">
        <f aca="false">'Dish Database'!I295</f>
        <v>g</v>
      </c>
      <c r="J1076" s="13" t="n">
        <f aca="false">'Dish Database'!J295*H1076/100</f>
        <v>206</v>
      </c>
      <c r="K1076" s="17" t="n">
        <f aca="false">'Dish Database'!K295*H1076/100</f>
        <v>5</v>
      </c>
      <c r="L1076" s="17" t="n">
        <f aca="false">'Dish Database'!L295*H1076/100</f>
        <v>22</v>
      </c>
      <c r="M1076" s="17" t="n">
        <f aca="false">'Dish Database'!M295*H1076/100</f>
        <v>12</v>
      </c>
      <c r="N1076" s="17" t="n">
        <f aca="false">'Dish Database'!N295*H1076/100</f>
        <v>5</v>
      </c>
      <c r="O1076" s="17" t="n">
        <f aca="false">'Dish Database'!O295*H1076/100</f>
        <v>4</v>
      </c>
      <c r="P1076" s="13" t="n">
        <f aca="false">'Dish Database'!P295*H1076/100</f>
        <v>660</v>
      </c>
    </row>
    <row r="1077" customFormat="false" ht="15" hidden="false" customHeight="false" outlineLevel="0" collapsed="false">
      <c r="A1077" s="6" t="str">
        <f aca="false">'Dish Database'!A295</f>
        <v>D294</v>
      </c>
      <c r="B1077" s="6" t="str">
        <f aca="false">'Dish Database'!B295</f>
        <v>Aloo gobi</v>
      </c>
      <c r="C1077" s="6" t="str">
        <f aca="false">'Dish Database'!D295</f>
        <v>Veg Dry Sabzi</v>
      </c>
      <c r="D1077" s="6" t="str">
        <f aca="false">'Dish Database'!F295</f>
        <v>Veg</v>
      </c>
      <c r="E1077" s="6" t="str">
        <f aca="false">'Dish Database'!E295</f>
        <v>North</v>
      </c>
      <c r="F1077" s="6" t="s">
        <v>2325</v>
      </c>
      <c r="G1077" s="6" t="s">
        <v>2326</v>
      </c>
      <c r="H1077" s="16" t="n">
        <v>400</v>
      </c>
      <c r="I1077" s="6" t="str">
        <f aca="false">'Dish Database'!I295</f>
        <v>g</v>
      </c>
      <c r="J1077" s="13" t="n">
        <f aca="false">'Dish Database'!J295*H1077/100</f>
        <v>412</v>
      </c>
      <c r="K1077" s="17" t="n">
        <f aca="false">'Dish Database'!K295*H1077/100</f>
        <v>10</v>
      </c>
      <c r="L1077" s="17" t="n">
        <f aca="false">'Dish Database'!L295*H1077/100</f>
        <v>44</v>
      </c>
      <c r="M1077" s="17" t="n">
        <f aca="false">'Dish Database'!M295*H1077/100</f>
        <v>24</v>
      </c>
      <c r="N1077" s="17" t="n">
        <f aca="false">'Dish Database'!N295*H1077/100</f>
        <v>10</v>
      </c>
      <c r="O1077" s="17" t="n">
        <f aca="false">'Dish Database'!O295*H1077/100</f>
        <v>8</v>
      </c>
      <c r="P1077" s="13" t="n">
        <f aca="false">'Dish Database'!P295*H1077/100</f>
        <v>1320</v>
      </c>
    </row>
    <row r="1078" customFormat="false" ht="15" hidden="false" customHeight="false" outlineLevel="0" collapsed="false">
      <c r="A1078" s="6" t="str">
        <f aca="false">'Dish Database'!A296</f>
        <v>D295</v>
      </c>
      <c r="B1078" s="6" t="str">
        <f aca="false">'Dish Database'!B296</f>
        <v>Jeera aloo</v>
      </c>
      <c r="C1078" s="6" t="str">
        <f aca="false">'Dish Database'!D296</f>
        <v>Veg Dry Sabzi</v>
      </c>
      <c r="D1078" s="6" t="str">
        <f aca="false">'Dish Database'!F296</f>
        <v>Veg</v>
      </c>
      <c r="E1078" s="6" t="str">
        <f aca="false">'Dish Database'!E296</f>
        <v>North</v>
      </c>
      <c r="F1078" s="6" t="s">
        <v>2243</v>
      </c>
      <c r="G1078" s="6" t="s">
        <v>2320</v>
      </c>
      <c r="H1078" s="16" t="n">
        <v>75</v>
      </c>
      <c r="I1078" s="6" t="str">
        <f aca="false">'Dish Database'!I296</f>
        <v>g</v>
      </c>
      <c r="J1078" s="13" t="n">
        <f aca="false">'Dish Database'!J296*H1078/100</f>
        <v>94.5</v>
      </c>
      <c r="K1078" s="17" t="n">
        <f aca="false">'Dish Database'!K296*H1078/100</f>
        <v>1.5</v>
      </c>
      <c r="L1078" s="17" t="n">
        <f aca="false">'Dish Database'!L296*H1078/100</f>
        <v>12.75</v>
      </c>
      <c r="M1078" s="17" t="n">
        <f aca="false">'Dish Database'!M296*H1078/100</f>
        <v>4.5</v>
      </c>
      <c r="N1078" s="17" t="n">
        <f aca="false">'Dish Database'!N296*H1078/100</f>
        <v>1.5</v>
      </c>
      <c r="O1078" s="17" t="n">
        <f aca="false">'Dish Database'!O296*H1078/100</f>
        <v>0.6</v>
      </c>
      <c r="P1078" s="13" t="n">
        <f aca="false">'Dish Database'!P296*H1078/100</f>
        <v>247.5</v>
      </c>
    </row>
    <row r="1079" customFormat="false" ht="15" hidden="false" customHeight="false" outlineLevel="0" collapsed="false">
      <c r="A1079" s="6" t="str">
        <f aca="false">'Dish Database'!A296</f>
        <v>D295</v>
      </c>
      <c r="B1079" s="6" t="str">
        <f aca="false">'Dish Database'!B296</f>
        <v>Jeera aloo</v>
      </c>
      <c r="C1079" s="6" t="str">
        <f aca="false">'Dish Database'!D296</f>
        <v>Veg Dry Sabzi</v>
      </c>
      <c r="D1079" s="6" t="str">
        <f aca="false">'Dish Database'!F296</f>
        <v>Veg</v>
      </c>
      <c r="E1079" s="6" t="str">
        <f aca="false">'Dish Database'!E296</f>
        <v>North</v>
      </c>
      <c r="F1079" s="6" t="s">
        <v>103</v>
      </c>
      <c r="G1079" s="6" t="s">
        <v>2321</v>
      </c>
      <c r="H1079" s="16" t="n">
        <v>100</v>
      </c>
      <c r="I1079" s="6" t="str">
        <f aca="false">'Dish Database'!I296</f>
        <v>g</v>
      </c>
      <c r="J1079" s="13" t="n">
        <f aca="false">'Dish Database'!J296*H1079/100</f>
        <v>126</v>
      </c>
      <c r="K1079" s="17" t="n">
        <f aca="false">'Dish Database'!K296*H1079/100</f>
        <v>2</v>
      </c>
      <c r="L1079" s="17" t="n">
        <f aca="false">'Dish Database'!L296*H1079/100</f>
        <v>17</v>
      </c>
      <c r="M1079" s="17" t="n">
        <f aca="false">'Dish Database'!M296*H1079/100</f>
        <v>6</v>
      </c>
      <c r="N1079" s="17" t="n">
        <f aca="false">'Dish Database'!N296*H1079/100</f>
        <v>2</v>
      </c>
      <c r="O1079" s="17" t="n">
        <f aca="false">'Dish Database'!O296*H1079/100</f>
        <v>0.8</v>
      </c>
      <c r="P1079" s="13" t="n">
        <f aca="false">'Dish Database'!P296*H1079/100</f>
        <v>330</v>
      </c>
    </row>
    <row r="1080" customFormat="false" ht="15" hidden="false" customHeight="false" outlineLevel="0" collapsed="false">
      <c r="A1080" s="6" t="str">
        <f aca="false">'Dish Database'!A296</f>
        <v>D295</v>
      </c>
      <c r="B1080" s="6" t="str">
        <f aca="false">'Dish Database'!B296</f>
        <v>Jeera aloo</v>
      </c>
      <c r="C1080" s="6" t="str">
        <f aca="false">'Dish Database'!D296</f>
        <v>Veg Dry Sabzi</v>
      </c>
      <c r="D1080" s="6" t="str">
        <f aca="false">'Dish Database'!F296</f>
        <v>Veg</v>
      </c>
      <c r="E1080" s="6" t="str">
        <f aca="false">'Dish Database'!E296</f>
        <v>North</v>
      </c>
      <c r="F1080" s="6" t="s">
        <v>2246</v>
      </c>
      <c r="G1080" s="6" t="s">
        <v>2322</v>
      </c>
      <c r="H1080" s="16" t="n">
        <v>150</v>
      </c>
      <c r="I1080" s="6" t="str">
        <f aca="false">'Dish Database'!I296</f>
        <v>g</v>
      </c>
      <c r="J1080" s="13" t="n">
        <f aca="false">'Dish Database'!J296*H1080/100</f>
        <v>189</v>
      </c>
      <c r="K1080" s="17" t="n">
        <f aca="false">'Dish Database'!K296*H1080/100</f>
        <v>3</v>
      </c>
      <c r="L1080" s="17" t="n">
        <f aca="false">'Dish Database'!L296*H1080/100</f>
        <v>25.5</v>
      </c>
      <c r="M1080" s="17" t="n">
        <f aca="false">'Dish Database'!M296*H1080/100</f>
        <v>9</v>
      </c>
      <c r="N1080" s="17" t="n">
        <f aca="false">'Dish Database'!N296*H1080/100</f>
        <v>3</v>
      </c>
      <c r="O1080" s="17" t="n">
        <f aca="false">'Dish Database'!O296*H1080/100</f>
        <v>1.2</v>
      </c>
      <c r="P1080" s="13" t="n">
        <f aca="false">'Dish Database'!P296*H1080/100</f>
        <v>495</v>
      </c>
    </row>
    <row r="1081" customFormat="false" ht="15" hidden="false" customHeight="false" outlineLevel="0" collapsed="false">
      <c r="A1081" s="6" t="str">
        <f aca="false">'Dish Database'!A296</f>
        <v>D295</v>
      </c>
      <c r="B1081" s="6" t="str">
        <f aca="false">'Dish Database'!B296</f>
        <v>Jeera aloo</v>
      </c>
      <c r="C1081" s="6" t="str">
        <f aca="false">'Dish Database'!D296</f>
        <v>Veg Dry Sabzi</v>
      </c>
      <c r="D1081" s="6" t="str">
        <f aca="false">'Dish Database'!F296</f>
        <v>Veg</v>
      </c>
      <c r="E1081" s="6" t="str">
        <f aca="false">'Dish Database'!E296</f>
        <v>North</v>
      </c>
      <c r="F1081" s="6" t="s">
        <v>2323</v>
      </c>
      <c r="G1081" s="6" t="s">
        <v>2324</v>
      </c>
      <c r="H1081" s="16" t="n">
        <v>200</v>
      </c>
      <c r="I1081" s="6" t="str">
        <f aca="false">'Dish Database'!I296</f>
        <v>g</v>
      </c>
      <c r="J1081" s="13" t="n">
        <f aca="false">'Dish Database'!J296*H1081/100</f>
        <v>252</v>
      </c>
      <c r="K1081" s="17" t="n">
        <f aca="false">'Dish Database'!K296*H1081/100</f>
        <v>4</v>
      </c>
      <c r="L1081" s="17" t="n">
        <f aca="false">'Dish Database'!L296*H1081/100</f>
        <v>34</v>
      </c>
      <c r="M1081" s="17" t="n">
        <f aca="false">'Dish Database'!M296*H1081/100</f>
        <v>12</v>
      </c>
      <c r="N1081" s="17" t="n">
        <f aca="false">'Dish Database'!N296*H1081/100</f>
        <v>4</v>
      </c>
      <c r="O1081" s="17" t="n">
        <f aca="false">'Dish Database'!O296*H1081/100</f>
        <v>1.6</v>
      </c>
      <c r="P1081" s="13" t="n">
        <f aca="false">'Dish Database'!P296*H1081/100</f>
        <v>660</v>
      </c>
    </row>
    <row r="1082" customFormat="false" ht="15" hidden="false" customHeight="false" outlineLevel="0" collapsed="false">
      <c r="A1082" s="6" t="str">
        <f aca="false">'Dish Database'!A296</f>
        <v>D295</v>
      </c>
      <c r="B1082" s="6" t="str">
        <f aca="false">'Dish Database'!B296</f>
        <v>Jeera aloo</v>
      </c>
      <c r="C1082" s="6" t="str">
        <f aca="false">'Dish Database'!D296</f>
        <v>Veg Dry Sabzi</v>
      </c>
      <c r="D1082" s="6" t="str">
        <f aca="false">'Dish Database'!F296</f>
        <v>Veg</v>
      </c>
      <c r="E1082" s="6" t="str">
        <f aca="false">'Dish Database'!E296</f>
        <v>North</v>
      </c>
      <c r="F1082" s="6" t="s">
        <v>2325</v>
      </c>
      <c r="G1082" s="6" t="s">
        <v>2326</v>
      </c>
      <c r="H1082" s="16" t="n">
        <v>400</v>
      </c>
      <c r="I1082" s="6" t="str">
        <f aca="false">'Dish Database'!I296</f>
        <v>g</v>
      </c>
      <c r="J1082" s="13" t="n">
        <f aca="false">'Dish Database'!J296*H1082/100</f>
        <v>504</v>
      </c>
      <c r="K1082" s="17" t="n">
        <f aca="false">'Dish Database'!K296*H1082/100</f>
        <v>8</v>
      </c>
      <c r="L1082" s="17" t="n">
        <f aca="false">'Dish Database'!L296*H1082/100</f>
        <v>68</v>
      </c>
      <c r="M1082" s="17" t="n">
        <f aca="false">'Dish Database'!M296*H1082/100</f>
        <v>24</v>
      </c>
      <c r="N1082" s="17" t="n">
        <f aca="false">'Dish Database'!N296*H1082/100</f>
        <v>8</v>
      </c>
      <c r="O1082" s="17" t="n">
        <f aca="false">'Dish Database'!O296*H1082/100</f>
        <v>3.2</v>
      </c>
      <c r="P1082" s="13" t="n">
        <f aca="false">'Dish Database'!P296*H1082/100</f>
        <v>1320</v>
      </c>
    </row>
    <row r="1083" customFormat="false" ht="15" hidden="false" customHeight="false" outlineLevel="0" collapsed="false">
      <c r="A1083" s="6" t="str">
        <f aca="false">'Dish Database'!A297</f>
        <v>D296</v>
      </c>
      <c r="B1083" s="6" t="str">
        <f aca="false">'Dish Database'!B297</f>
        <v>Aloo methi</v>
      </c>
      <c r="C1083" s="6" t="str">
        <f aca="false">'Dish Database'!D297</f>
        <v>Veg Dry Sabzi</v>
      </c>
      <c r="D1083" s="6" t="str">
        <f aca="false">'Dish Database'!F297</f>
        <v>Veg</v>
      </c>
      <c r="E1083" s="6" t="str">
        <f aca="false">'Dish Database'!E297</f>
        <v>North</v>
      </c>
      <c r="F1083" s="6" t="s">
        <v>2243</v>
      </c>
      <c r="G1083" s="6" t="s">
        <v>2320</v>
      </c>
      <c r="H1083" s="16" t="n">
        <v>75</v>
      </c>
      <c r="I1083" s="6" t="str">
        <f aca="false">'Dish Database'!I297</f>
        <v>g</v>
      </c>
      <c r="J1083" s="13" t="n">
        <f aca="false">'Dish Database'!J297*H1083/100</f>
        <v>92.175</v>
      </c>
      <c r="K1083" s="17" t="n">
        <f aca="false">'Dish Database'!K297*H1083/100</f>
        <v>1.875</v>
      </c>
      <c r="L1083" s="17" t="n">
        <f aca="false">'Dish Database'!L297*H1083/100</f>
        <v>11.25</v>
      </c>
      <c r="M1083" s="17" t="n">
        <f aca="false">'Dish Database'!M297*H1083/100</f>
        <v>4.875</v>
      </c>
      <c r="N1083" s="17" t="n">
        <f aca="false">'Dish Database'!N297*H1083/100</f>
        <v>2.1</v>
      </c>
      <c r="O1083" s="17" t="n">
        <f aca="false">'Dish Database'!O297*H1083/100</f>
        <v>0.75</v>
      </c>
      <c r="P1083" s="13" t="n">
        <f aca="false">'Dish Database'!P297*H1083/100</f>
        <v>247.5</v>
      </c>
    </row>
    <row r="1084" customFormat="false" ht="15" hidden="false" customHeight="false" outlineLevel="0" collapsed="false">
      <c r="A1084" s="6" t="str">
        <f aca="false">'Dish Database'!A297</f>
        <v>D296</v>
      </c>
      <c r="B1084" s="6" t="str">
        <f aca="false">'Dish Database'!B297</f>
        <v>Aloo methi</v>
      </c>
      <c r="C1084" s="6" t="str">
        <f aca="false">'Dish Database'!D297</f>
        <v>Veg Dry Sabzi</v>
      </c>
      <c r="D1084" s="6" t="str">
        <f aca="false">'Dish Database'!F297</f>
        <v>Veg</v>
      </c>
      <c r="E1084" s="6" t="str">
        <f aca="false">'Dish Database'!E297</f>
        <v>North</v>
      </c>
      <c r="F1084" s="6" t="s">
        <v>103</v>
      </c>
      <c r="G1084" s="6" t="s">
        <v>2321</v>
      </c>
      <c r="H1084" s="16" t="n">
        <v>100</v>
      </c>
      <c r="I1084" s="6" t="str">
        <f aca="false">'Dish Database'!I297</f>
        <v>g</v>
      </c>
      <c r="J1084" s="13" t="n">
        <f aca="false">'Dish Database'!J297*H1084/100</f>
        <v>122.9</v>
      </c>
      <c r="K1084" s="17" t="n">
        <f aca="false">'Dish Database'!K297*H1084/100</f>
        <v>2.5</v>
      </c>
      <c r="L1084" s="17" t="n">
        <f aca="false">'Dish Database'!L297*H1084/100</f>
        <v>15</v>
      </c>
      <c r="M1084" s="17" t="n">
        <f aca="false">'Dish Database'!M297*H1084/100</f>
        <v>6.5</v>
      </c>
      <c r="N1084" s="17" t="n">
        <f aca="false">'Dish Database'!N297*H1084/100</f>
        <v>2.8</v>
      </c>
      <c r="O1084" s="17" t="n">
        <f aca="false">'Dish Database'!O297*H1084/100</f>
        <v>1</v>
      </c>
      <c r="P1084" s="13" t="n">
        <f aca="false">'Dish Database'!P297*H1084/100</f>
        <v>330</v>
      </c>
    </row>
    <row r="1085" customFormat="false" ht="15" hidden="false" customHeight="false" outlineLevel="0" collapsed="false">
      <c r="A1085" s="6" t="str">
        <f aca="false">'Dish Database'!A297</f>
        <v>D296</v>
      </c>
      <c r="B1085" s="6" t="str">
        <f aca="false">'Dish Database'!B297</f>
        <v>Aloo methi</v>
      </c>
      <c r="C1085" s="6" t="str">
        <f aca="false">'Dish Database'!D297</f>
        <v>Veg Dry Sabzi</v>
      </c>
      <c r="D1085" s="6" t="str">
        <f aca="false">'Dish Database'!F297</f>
        <v>Veg</v>
      </c>
      <c r="E1085" s="6" t="str">
        <f aca="false">'Dish Database'!E297</f>
        <v>North</v>
      </c>
      <c r="F1085" s="6" t="s">
        <v>2246</v>
      </c>
      <c r="G1085" s="6" t="s">
        <v>2322</v>
      </c>
      <c r="H1085" s="16" t="n">
        <v>150</v>
      </c>
      <c r="I1085" s="6" t="str">
        <f aca="false">'Dish Database'!I297</f>
        <v>g</v>
      </c>
      <c r="J1085" s="13" t="n">
        <f aca="false">'Dish Database'!J297*H1085/100</f>
        <v>184.35</v>
      </c>
      <c r="K1085" s="17" t="n">
        <f aca="false">'Dish Database'!K297*H1085/100</f>
        <v>3.75</v>
      </c>
      <c r="L1085" s="17" t="n">
        <f aca="false">'Dish Database'!L297*H1085/100</f>
        <v>22.5</v>
      </c>
      <c r="M1085" s="17" t="n">
        <f aca="false">'Dish Database'!M297*H1085/100</f>
        <v>9.75</v>
      </c>
      <c r="N1085" s="17" t="n">
        <f aca="false">'Dish Database'!N297*H1085/100</f>
        <v>4.2</v>
      </c>
      <c r="O1085" s="17" t="n">
        <f aca="false">'Dish Database'!O297*H1085/100</f>
        <v>1.5</v>
      </c>
      <c r="P1085" s="13" t="n">
        <f aca="false">'Dish Database'!P297*H1085/100</f>
        <v>495</v>
      </c>
    </row>
    <row r="1086" customFormat="false" ht="15" hidden="false" customHeight="false" outlineLevel="0" collapsed="false">
      <c r="A1086" s="6" t="str">
        <f aca="false">'Dish Database'!A297</f>
        <v>D296</v>
      </c>
      <c r="B1086" s="6" t="str">
        <f aca="false">'Dish Database'!B297</f>
        <v>Aloo methi</v>
      </c>
      <c r="C1086" s="6" t="str">
        <f aca="false">'Dish Database'!D297</f>
        <v>Veg Dry Sabzi</v>
      </c>
      <c r="D1086" s="6" t="str">
        <f aca="false">'Dish Database'!F297</f>
        <v>Veg</v>
      </c>
      <c r="E1086" s="6" t="str">
        <f aca="false">'Dish Database'!E297</f>
        <v>North</v>
      </c>
      <c r="F1086" s="6" t="s">
        <v>2323</v>
      </c>
      <c r="G1086" s="6" t="s">
        <v>2324</v>
      </c>
      <c r="H1086" s="16" t="n">
        <v>200</v>
      </c>
      <c r="I1086" s="6" t="str">
        <f aca="false">'Dish Database'!I297</f>
        <v>g</v>
      </c>
      <c r="J1086" s="13" t="n">
        <f aca="false">'Dish Database'!J297*H1086/100</f>
        <v>245.8</v>
      </c>
      <c r="K1086" s="17" t="n">
        <f aca="false">'Dish Database'!K297*H1086/100</f>
        <v>5</v>
      </c>
      <c r="L1086" s="17" t="n">
        <f aca="false">'Dish Database'!L297*H1086/100</f>
        <v>30</v>
      </c>
      <c r="M1086" s="17" t="n">
        <f aca="false">'Dish Database'!M297*H1086/100</f>
        <v>13</v>
      </c>
      <c r="N1086" s="17" t="n">
        <f aca="false">'Dish Database'!N297*H1086/100</f>
        <v>5.6</v>
      </c>
      <c r="O1086" s="17" t="n">
        <f aca="false">'Dish Database'!O297*H1086/100</f>
        <v>2</v>
      </c>
      <c r="P1086" s="13" t="n">
        <f aca="false">'Dish Database'!P297*H1086/100</f>
        <v>660</v>
      </c>
    </row>
    <row r="1087" customFormat="false" ht="15" hidden="false" customHeight="false" outlineLevel="0" collapsed="false">
      <c r="A1087" s="6" t="str">
        <f aca="false">'Dish Database'!A297</f>
        <v>D296</v>
      </c>
      <c r="B1087" s="6" t="str">
        <f aca="false">'Dish Database'!B297</f>
        <v>Aloo methi</v>
      </c>
      <c r="C1087" s="6" t="str">
        <f aca="false">'Dish Database'!D297</f>
        <v>Veg Dry Sabzi</v>
      </c>
      <c r="D1087" s="6" t="str">
        <f aca="false">'Dish Database'!F297</f>
        <v>Veg</v>
      </c>
      <c r="E1087" s="6" t="str">
        <f aca="false">'Dish Database'!E297</f>
        <v>North</v>
      </c>
      <c r="F1087" s="6" t="s">
        <v>2325</v>
      </c>
      <c r="G1087" s="6" t="s">
        <v>2326</v>
      </c>
      <c r="H1087" s="16" t="n">
        <v>400</v>
      </c>
      <c r="I1087" s="6" t="str">
        <f aca="false">'Dish Database'!I297</f>
        <v>g</v>
      </c>
      <c r="J1087" s="13" t="n">
        <f aca="false">'Dish Database'!J297*H1087/100</f>
        <v>491.6</v>
      </c>
      <c r="K1087" s="17" t="n">
        <f aca="false">'Dish Database'!K297*H1087/100</f>
        <v>10</v>
      </c>
      <c r="L1087" s="17" t="n">
        <f aca="false">'Dish Database'!L297*H1087/100</f>
        <v>60</v>
      </c>
      <c r="M1087" s="17" t="n">
        <f aca="false">'Dish Database'!M297*H1087/100</f>
        <v>26</v>
      </c>
      <c r="N1087" s="17" t="n">
        <f aca="false">'Dish Database'!N297*H1087/100</f>
        <v>11.2</v>
      </c>
      <c r="O1087" s="17" t="n">
        <f aca="false">'Dish Database'!O297*H1087/100</f>
        <v>4</v>
      </c>
      <c r="P1087" s="13" t="n">
        <f aca="false">'Dish Database'!P297*H1087/100</f>
        <v>1320</v>
      </c>
    </row>
    <row r="1088" customFormat="false" ht="15" hidden="false" customHeight="false" outlineLevel="0" collapsed="false">
      <c r="A1088" s="6" t="str">
        <f aca="false">'Dish Database'!A298</f>
        <v>D297</v>
      </c>
      <c r="B1088" s="6" t="str">
        <f aca="false">'Dish Database'!B298</f>
        <v>Bhindi masala / bhindi fry</v>
      </c>
      <c r="C1088" s="6" t="str">
        <f aca="false">'Dish Database'!D298</f>
        <v>Veg Dry Sabzi</v>
      </c>
      <c r="D1088" s="6" t="str">
        <f aca="false">'Dish Database'!F298</f>
        <v>Veg</v>
      </c>
      <c r="E1088" s="6" t="str">
        <f aca="false">'Dish Database'!E298</f>
        <v>North</v>
      </c>
      <c r="F1088" s="6" t="s">
        <v>2243</v>
      </c>
      <c r="G1088" s="6" t="s">
        <v>2320</v>
      </c>
      <c r="H1088" s="16" t="n">
        <v>75</v>
      </c>
      <c r="I1088" s="6" t="str">
        <f aca="false">'Dish Database'!I298</f>
        <v>g</v>
      </c>
      <c r="J1088" s="13" t="n">
        <f aca="false">'Dish Database'!J298*H1088/100</f>
        <v>79.8</v>
      </c>
      <c r="K1088" s="17" t="n">
        <f aca="false">'Dish Database'!K298*H1088/100</f>
        <v>1.65</v>
      </c>
      <c r="L1088" s="17" t="n">
        <f aca="false">'Dish Database'!L298*H1088/100</f>
        <v>6</v>
      </c>
      <c r="M1088" s="17" t="n">
        <f aca="false">'Dish Database'!M298*H1088/100</f>
        <v>6</v>
      </c>
      <c r="N1088" s="17" t="n">
        <f aca="false">'Dish Database'!N298*H1088/100</f>
        <v>2.4</v>
      </c>
      <c r="O1088" s="17" t="n">
        <f aca="false">'Dish Database'!O298*H1088/100</f>
        <v>1.5</v>
      </c>
      <c r="P1088" s="13" t="n">
        <f aca="false">'Dish Database'!P298*H1088/100</f>
        <v>225</v>
      </c>
    </row>
    <row r="1089" customFormat="false" ht="15" hidden="false" customHeight="false" outlineLevel="0" collapsed="false">
      <c r="A1089" s="6" t="str">
        <f aca="false">'Dish Database'!A298</f>
        <v>D297</v>
      </c>
      <c r="B1089" s="6" t="str">
        <f aca="false">'Dish Database'!B298</f>
        <v>Bhindi masala / bhindi fry</v>
      </c>
      <c r="C1089" s="6" t="str">
        <f aca="false">'Dish Database'!D298</f>
        <v>Veg Dry Sabzi</v>
      </c>
      <c r="D1089" s="6" t="str">
        <f aca="false">'Dish Database'!F298</f>
        <v>Veg</v>
      </c>
      <c r="E1089" s="6" t="str">
        <f aca="false">'Dish Database'!E298</f>
        <v>North</v>
      </c>
      <c r="F1089" s="6" t="s">
        <v>103</v>
      </c>
      <c r="G1089" s="6" t="s">
        <v>2321</v>
      </c>
      <c r="H1089" s="16" t="n">
        <v>100</v>
      </c>
      <c r="I1089" s="6" t="str">
        <f aca="false">'Dish Database'!I298</f>
        <v>g</v>
      </c>
      <c r="J1089" s="13" t="n">
        <f aca="false">'Dish Database'!J298*H1089/100</f>
        <v>106.4</v>
      </c>
      <c r="K1089" s="17" t="n">
        <f aca="false">'Dish Database'!K298*H1089/100</f>
        <v>2.2</v>
      </c>
      <c r="L1089" s="17" t="n">
        <f aca="false">'Dish Database'!L298*H1089/100</f>
        <v>8</v>
      </c>
      <c r="M1089" s="17" t="n">
        <f aca="false">'Dish Database'!M298*H1089/100</f>
        <v>8</v>
      </c>
      <c r="N1089" s="17" t="n">
        <f aca="false">'Dish Database'!N298*H1089/100</f>
        <v>3.2</v>
      </c>
      <c r="O1089" s="17" t="n">
        <f aca="false">'Dish Database'!O298*H1089/100</f>
        <v>2</v>
      </c>
      <c r="P1089" s="13" t="n">
        <f aca="false">'Dish Database'!P298*H1089/100</f>
        <v>300</v>
      </c>
    </row>
    <row r="1090" customFormat="false" ht="15" hidden="false" customHeight="false" outlineLevel="0" collapsed="false">
      <c r="A1090" s="6" t="str">
        <f aca="false">'Dish Database'!A298</f>
        <v>D297</v>
      </c>
      <c r="B1090" s="6" t="str">
        <f aca="false">'Dish Database'!B298</f>
        <v>Bhindi masala / bhindi fry</v>
      </c>
      <c r="C1090" s="6" t="str">
        <f aca="false">'Dish Database'!D298</f>
        <v>Veg Dry Sabzi</v>
      </c>
      <c r="D1090" s="6" t="str">
        <f aca="false">'Dish Database'!F298</f>
        <v>Veg</v>
      </c>
      <c r="E1090" s="6" t="str">
        <f aca="false">'Dish Database'!E298</f>
        <v>North</v>
      </c>
      <c r="F1090" s="6" t="s">
        <v>2246</v>
      </c>
      <c r="G1090" s="6" t="s">
        <v>2322</v>
      </c>
      <c r="H1090" s="16" t="n">
        <v>150</v>
      </c>
      <c r="I1090" s="6" t="str">
        <f aca="false">'Dish Database'!I298</f>
        <v>g</v>
      </c>
      <c r="J1090" s="13" t="n">
        <f aca="false">'Dish Database'!J298*H1090/100</f>
        <v>159.6</v>
      </c>
      <c r="K1090" s="17" t="n">
        <f aca="false">'Dish Database'!K298*H1090/100</f>
        <v>3.3</v>
      </c>
      <c r="L1090" s="17" t="n">
        <f aca="false">'Dish Database'!L298*H1090/100</f>
        <v>12</v>
      </c>
      <c r="M1090" s="17" t="n">
        <f aca="false">'Dish Database'!M298*H1090/100</f>
        <v>12</v>
      </c>
      <c r="N1090" s="17" t="n">
        <f aca="false">'Dish Database'!N298*H1090/100</f>
        <v>4.8</v>
      </c>
      <c r="O1090" s="17" t="n">
        <f aca="false">'Dish Database'!O298*H1090/100</f>
        <v>3</v>
      </c>
      <c r="P1090" s="13" t="n">
        <f aca="false">'Dish Database'!P298*H1090/100</f>
        <v>450</v>
      </c>
    </row>
    <row r="1091" customFormat="false" ht="15" hidden="false" customHeight="false" outlineLevel="0" collapsed="false">
      <c r="A1091" s="6" t="str">
        <f aca="false">'Dish Database'!A298</f>
        <v>D297</v>
      </c>
      <c r="B1091" s="6" t="str">
        <f aca="false">'Dish Database'!B298</f>
        <v>Bhindi masala / bhindi fry</v>
      </c>
      <c r="C1091" s="6" t="str">
        <f aca="false">'Dish Database'!D298</f>
        <v>Veg Dry Sabzi</v>
      </c>
      <c r="D1091" s="6" t="str">
        <f aca="false">'Dish Database'!F298</f>
        <v>Veg</v>
      </c>
      <c r="E1091" s="6" t="str">
        <f aca="false">'Dish Database'!E298</f>
        <v>North</v>
      </c>
      <c r="F1091" s="6" t="s">
        <v>2323</v>
      </c>
      <c r="G1091" s="6" t="s">
        <v>2324</v>
      </c>
      <c r="H1091" s="16" t="n">
        <v>200</v>
      </c>
      <c r="I1091" s="6" t="str">
        <f aca="false">'Dish Database'!I298</f>
        <v>g</v>
      </c>
      <c r="J1091" s="13" t="n">
        <f aca="false">'Dish Database'!J298*H1091/100</f>
        <v>212.8</v>
      </c>
      <c r="K1091" s="17" t="n">
        <f aca="false">'Dish Database'!K298*H1091/100</f>
        <v>4.4</v>
      </c>
      <c r="L1091" s="17" t="n">
        <f aca="false">'Dish Database'!L298*H1091/100</f>
        <v>16</v>
      </c>
      <c r="M1091" s="17" t="n">
        <f aca="false">'Dish Database'!M298*H1091/100</f>
        <v>16</v>
      </c>
      <c r="N1091" s="17" t="n">
        <f aca="false">'Dish Database'!N298*H1091/100</f>
        <v>6.4</v>
      </c>
      <c r="O1091" s="17" t="n">
        <f aca="false">'Dish Database'!O298*H1091/100</f>
        <v>4</v>
      </c>
      <c r="P1091" s="13" t="n">
        <f aca="false">'Dish Database'!P298*H1091/100</f>
        <v>600</v>
      </c>
    </row>
    <row r="1092" customFormat="false" ht="15" hidden="false" customHeight="false" outlineLevel="0" collapsed="false">
      <c r="A1092" s="6" t="str">
        <f aca="false">'Dish Database'!A298</f>
        <v>D297</v>
      </c>
      <c r="B1092" s="6" t="str">
        <f aca="false">'Dish Database'!B298</f>
        <v>Bhindi masala / bhindi fry</v>
      </c>
      <c r="C1092" s="6" t="str">
        <f aca="false">'Dish Database'!D298</f>
        <v>Veg Dry Sabzi</v>
      </c>
      <c r="D1092" s="6" t="str">
        <f aca="false">'Dish Database'!F298</f>
        <v>Veg</v>
      </c>
      <c r="E1092" s="6" t="str">
        <f aca="false">'Dish Database'!E298</f>
        <v>North</v>
      </c>
      <c r="F1092" s="6" t="s">
        <v>2325</v>
      </c>
      <c r="G1092" s="6" t="s">
        <v>2326</v>
      </c>
      <c r="H1092" s="16" t="n">
        <v>400</v>
      </c>
      <c r="I1092" s="6" t="str">
        <f aca="false">'Dish Database'!I298</f>
        <v>g</v>
      </c>
      <c r="J1092" s="13" t="n">
        <f aca="false">'Dish Database'!J298*H1092/100</f>
        <v>425.6</v>
      </c>
      <c r="K1092" s="17" t="n">
        <f aca="false">'Dish Database'!K298*H1092/100</f>
        <v>8.8</v>
      </c>
      <c r="L1092" s="17" t="n">
        <f aca="false">'Dish Database'!L298*H1092/100</f>
        <v>32</v>
      </c>
      <c r="M1092" s="17" t="n">
        <f aca="false">'Dish Database'!M298*H1092/100</f>
        <v>32</v>
      </c>
      <c r="N1092" s="17" t="n">
        <f aca="false">'Dish Database'!N298*H1092/100</f>
        <v>12.8</v>
      </c>
      <c r="O1092" s="17" t="n">
        <f aca="false">'Dish Database'!O298*H1092/100</f>
        <v>8</v>
      </c>
      <c r="P1092" s="13" t="n">
        <f aca="false">'Dish Database'!P298*H1092/100</f>
        <v>1200</v>
      </c>
    </row>
    <row r="1093" customFormat="false" ht="15" hidden="false" customHeight="false" outlineLevel="0" collapsed="false">
      <c r="A1093" s="6" t="str">
        <f aca="false">'Dish Database'!A299</f>
        <v>D298</v>
      </c>
      <c r="B1093" s="6" t="str">
        <f aca="false">'Dish Database'!B299</f>
        <v>Kurkuri bhindi</v>
      </c>
      <c r="C1093" s="6" t="str">
        <f aca="false">'Dish Database'!D299</f>
        <v>Veg Dry Sabzi</v>
      </c>
      <c r="D1093" s="6" t="str">
        <f aca="false">'Dish Database'!F299</f>
        <v>Veg</v>
      </c>
      <c r="E1093" s="6" t="str">
        <f aca="false">'Dish Database'!E299</f>
        <v>North</v>
      </c>
      <c r="F1093" s="6" t="s">
        <v>2243</v>
      </c>
      <c r="G1093" s="6" t="s">
        <v>2320</v>
      </c>
      <c r="H1093" s="16" t="n">
        <v>75</v>
      </c>
      <c r="I1093" s="6" t="str">
        <f aca="false">'Dish Database'!I299</f>
        <v>g</v>
      </c>
      <c r="J1093" s="13" t="n">
        <f aca="false">'Dish Database'!J299*H1093/100</f>
        <v>194.25</v>
      </c>
      <c r="K1093" s="17" t="n">
        <f aca="false">'Dish Database'!K299*H1093/100</f>
        <v>3</v>
      </c>
      <c r="L1093" s="17" t="n">
        <f aca="false">'Dish Database'!L299*H1093/100</f>
        <v>13.5</v>
      </c>
      <c r="M1093" s="17" t="n">
        <f aca="false">'Dish Database'!M299*H1093/100</f>
        <v>15</v>
      </c>
      <c r="N1093" s="17" t="n">
        <f aca="false">'Dish Database'!N299*H1093/100</f>
        <v>3.375</v>
      </c>
      <c r="O1093" s="17" t="n">
        <f aca="false">'Dish Database'!O299*H1093/100</f>
        <v>1.875</v>
      </c>
      <c r="P1093" s="13" t="n">
        <f aca="false">'Dish Database'!P299*H1093/100</f>
        <v>300</v>
      </c>
    </row>
    <row r="1094" customFormat="false" ht="15" hidden="false" customHeight="false" outlineLevel="0" collapsed="false">
      <c r="A1094" s="6" t="str">
        <f aca="false">'Dish Database'!A299</f>
        <v>D298</v>
      </c>
      <c r="B1094" s="6" t="str">
        <f aca="false">'Dish Database'!B299</f>
        <v>Kurkuri bhindi</v>
      </c>
      <c r="C1094" s="6" t="str">
        <f aca="false">'Dish Database'!D299</f>
        <v>Veg Dry Sabzi</v>
      </c>
      <c r="D1094" s="6" t="str">
        <f aca="false">'Dish Database'!F299</f>
        <v>Veg</v>
      </c>
      <c r="E1094" s="6" t="str">
        <f aca="false">'Dish Database'!E299</f>
        <v>North</v>
      </c>
      <c r="F1094" s="6" t="s">
        <v>103</v>
      </c>
      <c r="G1094" s="6" t="s">
        <v>2321</v>
      </c>
      <c r="H1094" s="16" t="n">
        <v>100</v>
      </c>
      <c r="I1094" s="6" t="str">
        <f aca="false">'Dish Database'!I299</f>
        <v>g</v>
      </c>
      <c r="J1094" s="13" t="n">
        <f aca="false">'Dish Database'!J299*H1094/100</f>
        <v>259</v>
      </c>
      <c r="K1094" s="17" t="n">
        <f aca="false">'Dish Database'!K299*H1094/100</f>
        <v>4</v>
      </c>
      <c r="L1094" s="17" t="n">
        <f aca="false">'Dish Database'!L299*H1094/100</f>
        <v>18</v>
      </c>
      <c r="M1094" s="17" t="n">
        <f aca="false">'Dish Database'!M299*H1094/100</f>
        <v>20</v>
      </c>
      <c r="N1094" s="17" t="n">
        <f aca="false">'Dish Database'!N299*H1094/100</f>
        <v>4.5</v>
      </c>
      <c r="O1094" s="17" t="n">
        <f aca="false">'Dish Database'!O299*H1094/100</f>
        <v>2.5</v>
      </c>
      <c r="P1094" s="13" t="n">
        <f aca="false">'Dish Database'!P299*H1094/100</f>
        <v>400</v>
      </c>
    </row>
    <row r="1095" customFormat="false" ht="15" hidden="false" customHeight="false" outlineLevel="0" collapsed="false">
      <c r="A1095" s="6" t="str">
        <f aca="false">'Dish Database'!A299</f>
        <v>D298</v>
      </c>
      <c r="B1095" s="6" t="str">
        <f aca="false">'Dish Database'!B299</f>
        <v>Kurkuri bhindi</v>
      </c>
      <c r="C1095" s="6" t="str">
        <f aca="false">'Dish Database'!D299</f>
        <v>Veg Dry Sabzi</v>
      </c>
      <c r="D1095" s="6" t="str">
        <f aca="false">'Dish Database'!F299</f>
        <v>Veg</v>
      </c>
      <c r="E1095" s="6" t="str">
        <f aca="false">'Dish Database'!E299</f>
        <v>North</v>
      </c>
      <c r="F1095" s="6" t="s">
        <v>2246</v>
      </c>
      <c r="G1095" s="6" t="s">
        <v>2322</v>
      </c>
      <c r="H1095" s="16" t="n">
        <v>150</v>
      </c>
      <c r="I1095" s="6" t="str">
        <f aca="false">'Dish Database'!I299</f>
        <v>g</v>
      </c>
      <c r="J1095" s="13" t="n">
        <f aca="false">'Dish Database'!J299*H1095/100</f>
        <v>388.5</v>
      </c>
      <c r="K1095" s="17" t="n">
        <f aca="false">'Dish Database'!K299*H1095/100</f>
        <v>6</v>
      </c>
      <c r="L1095" s="17" t="n">
        <f aca="false">'Dish Database'!L299*H1095/100</f>
        <v>27</v>
      </c>
      <c r="M1095" s="17" t="n">
        <f aca="false">'Dish Database'!M299*H1095/100</f>
        <v>30</v>
      </c>
      <c r="N1095" s="17" t="n">
        <f aca="false">'Dish Database'!N299*H1095/100</f>
        <v>6.75</v>
      </c>
      <c r="O1095" s="17" t="n">
        <f aca="false">'Dish Database'!O299*H1095/100</f>
        <v>3.75</v>
      </c>
      <c r="P1095" s="13" t="n">
        <f aca="false">'Dish Database'!P299*H1095/100</f>
        <v>600</v>
      </c>
    </row>
    <row r="1096" customFormat="false" ht="15" hidden="false" customHeight="false" outlineLevel="0" collapsed="false">
      <c r="A1096" s="6" t="str">
        <f aca="false">'Dish Database'!A299</f>
        <v>D298</v>
      </c>
      <c r="B1096" s="6" t="str">
        <f aca="false">'Dish Database'!B299</f>
        <v>Kurkuri bhindi</v>
      </c>
      <c r="C1096" s="6" t="str">
        <f aca="false">'Dish Database'!D299</f>
        <v>Veg Dry Sabzi</v>
      </c>
      <c r="D1096" s="6" t="str">
        <f aca="false">'Dish Database'!F299</f>
        <v>Veg</v>
      </c>
      <c r="E1096" s="6" t="str">
        <f aca="false">'Dish Database'!E299</f>
        <v>North</v>
      </c>
      <c r="F1096" s="6" t="s">
        <v>2323</v>
      </c>
      <c r="G1096" s="6" t="s">
        <v>2324</v>
      </c>
      <c r="H1096" s="16" t="n">
        <v>200</v>
      </c>
      <c r="I1096" s="6" t="str">
        <f aca="false">'Dish Database'!I299</f>
        <v>g</v>
      </c>
      <c r="J1096" s="13" t="n">
        <f aca="false">'Dish Database'!J299*H1096/100</f>
        <v>518</v>
      </c>
      <c r="K1096" s="17" t="n">
        <f aca="false">'Dish Database'!K299*H1096/100</f>
        <v>8</v>
      </c>
      <c r="L1096" s="17" t="n">
        <f aca="false">'Dish Database'!L299*H1096/100</f>
        <v>36</v>
      </c>
      <c r="M1096" s="17" t="n">
        <f aca="false">'Dish Database'!M299*H1096/100</f>
        <v>40</v>
      </c>
      <c r="N1096" s="17" t="n">
        <f aca="false">'Dish Database'!N299*H1096/100</f>
        <v>9</v>
      </c>
      <c r="O1096" s="17" t="n">
        <f aca="false">'Dish Database'!O299*H1096/100</f>
        <v>5</v>
      </c>
      <c r="P1096" s="13" t="n">
        <f aca="false">'Dish Database'!P299*H1096/100</f>
        <v>800</v>
      </c>
    </row>
    <row r="1097" customFormat="false" ht="15" hidden="false" customHeight="false" outlineLevel="0" collapsed="false">
      <c r="A1097" s="6" t="str">
        <f aca="false">'Dish Database'!A299</f>
        <v>D298</v>
      </c>
      <c r="B1097" s="6" t="str">
        <f aca="false">'Dish Database'!B299</f>
        <v>Kurkuri bhindi</v>
      </c>
      <c r="C1097" s="6" t="str">
        <f aca="false">'Dish Database'!D299</f>
        <v>Veg Dry Sabzi</v>
      </c>
      <c r="D1097" s="6" t="str">
        <f aca="false">'Dish Database'!F299</f>
        <v>Veg</v>
      </c>
      <c r="E1097" s="6" t="str">
        <f aca="false">'Dish Database'!E299</f>
        <v>North</v>
      </c>
      <c r="F1097" s="6" t="s">
        <v>2325</v>
      </c>
      <c r="G1097" s="6" t="s">
        <v>2326</v>
      </c>
      <c r="H1097" s="16" t="n">
        <v>400</v>
      </c>
      <c r="I1097" s="6" t="str">
        <f aca="false">'Dish Database'!I299</f>
        <v>g</v>
      </c>
      <c r="J1097" s="13" t="n">
        <f aca="false">'Dish Database'!J299*H1097/100</f>
        <v>1036</v>
      </c>
      <c r="K1097" s="17" t="n">
        <f aca="false">'Dish Database'!K299*H1097/100</f>
        <v>16</v>
      </c>
      <c r="L1097" s="17" t="n">
        <f aca="false">'Dish Database'!L299*H1097/100</f>
        <v>72</v>
      </c>
      <c r="M1097" s="17" t="n">
        <f aca="false">'Dish Database'!M299*H1097/100</f>
        <v>80</v>
      </c>
      <c r="N1097" s="17" t="n">
        <f aca="false">'Dish Database'!N299*H1097/100</f>
        <v>18</v>
      </c>
      <c r="O1097" s="17" t="n">
        <f aca="false">'Dish Database'!O299*H1097/100</f>
        <v>10</v>
      </c>
      <c r="P1097" s="13" t="n">
        <f aca="false">'Dish Database'!P299*H1097/100</f>
        <v>1600</v>
      </c>
    </row>
    <row r="1098" customFormat="false" ht="15" hidden="false" customHeight="false" outlineLevel="0" collapsed="false">
      <c r="A1098" s="6" t="str">
        <f aca="false">'Dish Database'!A300</f>
        <v>D299</v>
      </c>
      <c r="B1098" s="6" t="str">
        <f aca="false">'Dish Database'!B300</f>
        <v>Cabbage matar sabzi</v>
      </c>
      <c r="C1098" s="6" t="str">
        <f aca="false">'Dish Database'!D300</f>
        <v>Veg Dry Sabzi</v>
      </c>
      <c r="D1098" s="6" t="str">
        <f aca="false">'Dish Database'!F300</f>
        <v>Veg</v>
      </c>
      <c r="E1098" s="6" t="str">
        <f aca="false">'Dish Database'!E300</f>
        <v>Pan-India</v>
      </c>
      <c r="F1098" s="6" t="s">
        <v>2243</v>
      </c>
      <c r="G1098" s="6" t="s">
        <v>2320</v>
      </c>
      <c r="H1098" s="16" t="n">
        <v>75</v>
      </c>
      <c r="I1098" s="6" t="str">
        <f aca="false">'Dish Database'!I300</f>
        <v>g</v>
      </c>
      <c r="J1098" s="13" t="n">
        <f aca="false">'Dish Database'!J300*H1098/100</f>
        <v>49.725</v>
      </c>
      <c r="K1098" s="17" t="n">
        <f aca="false">'Dish Database'!K300*H1098/100</f>
        <v>1.65</v>
      </c>
      <c r="L1098" s="17" t="n">
        <f aca="false">'Dish Database'!L300*H1098/100</f>
        <v>6</v>
      </c>
      <c r="M1098" s="17" t="n">
        <f aca="false">'Dish Database'!M300*H1098/100</f>
        <v>2.625</v>
      </c>
      <c r="N1098" s="17" t="n">
        <f aca="false">'Dish Database'!N300*H1098/100</f>
        <v>2.25</v>
      </c>
      <c r="O1098" s="17" t="n">
        <f aca="false">'Dish Database'!O300*H1098/100</f>
        <v>2.625</v>
      </c>
      <c r="P1098" s="13" t="n">
        <f aca="false">'Dish Database'!P300*H1098/100</f>
        <v>225</v>
      </c>
    </row>
    <row r="1099" customFormat="false" ht="15" hidden="false" customHeight="false" outlineLevel="0" collapsed="false">
      <c r="A1099" s="6" t="str">
        <f aca="false">'Dish Database'!A300</f>
        <v>D299</v>
      </c>
      <c r="B1099" s="6" t="str">
        <f aca="false">'Dish Database'!B300</f>
        <v>Cabbage matar sabzi</v>
      </c>
      <c r="C1099" s="6" t="str">
        <f aca="false">'Dish Database'!D300</f>
        <v>Veg Dry Sabzi</v>
      </c>
      <c r="D1099" s="6" t="str">
        <f aca="false">'Dish Database'!F300</f>
        <v>Veg</v>
      </c>
      <c r="E1099" s="6" t="str">
        <f aca="false">'Dish Database'!E300</f>
        <v>Pan-India</v>
      </c>
      <c r="F1099" s="6" t="s">
        <v>103</v>
      </c>
      <c r="G1099" s="6" t="s">
        <v>2321</v>
      </c>
      <c r="H1099" s="16" t="n">
        <v>100</v>
      </c>
      <c r="I1099" s="6" t="str">
        <f aca="false">'Dish Database'!I300</f>
        <v>g</v>
      </c>
      <c r="J1099" s="13" t="n">
        <f aca="false">'Dish Database'!J300*H1099/100</f>
        <v>66.3</v>
      </c>
      <c r="K1099" s="17" t="n">
        <f aca="false">'Dish Database'!K300*H1099/100</f>
        <v>2.2</v>
      </c>
      <c r="L1099" s="17" t="n">
        <f aca="false">'Dish Database'!L300*H1099/100</f>
        <v>8</v>
      </c>
      <c r="M1099" s="17" t="n">
        <f aca="false">'Dish Database'!M300*H1099/100</f>
        <v>3.5</v>
      </c>
      <c r="N1099" s="17" t="n">
        <f aca="false">'Dish Database'!N300*H1099/100</f>
        <v>3</v>
      </c>
      <c r="O1099" s="17" t="n">
        <f aca="false">'Dish Database'!O300*H1099/100</f>
        <v>3.5</v>
      </c>
      <c r="P1099" s="13" t="n">
        <f aca="false">'Dish Database'!P300*H1099/100</f>
        <v>300</v>
      </c>
    </row>
    <row r="1100" customFormat="false" ht="15" hidden="false" customHeight="false" outlineLevel="0" collapsed="false">
      <c r="A1100" s="6" t="str">
        <f aca="false">'Dish Database'!A300</f>
        <v>D299</v>
      </c>
      <c r="B1100" s="6" t="str">
        <f aca="false">'Dish Database'!B300</f>
        <v>Cabbage matar sabzi</v>
      </c>
      <c r="C1100" s="6" t="str">
        <f aca="false">'Dish Database'!D300</f>
        <v>Veg Dry Sabzi</v>
      </c>
      <c r="D1100" s="6" t="str">
        <f aca="false">'Dish Database'!F300</f>
        <v>Veg</v>
      </c>
      <c r="E1100" s="6" t="str">
        <f aca="false">'Dish Database'!E300</f>
        <v>Pan-India</v>
      </c>
      <c r="F1100" s="6" t="s">
        <v>2246</v>
      </c>
      <c r="G1100" s="6" t="s">
        <v>2322</v>
      </c>
      <c r="H1100" s="16" t="n">
        <v>150</v>
      </c>
      <c r="I1100" s="6" t="str">
        <f aca="false">'Dish Database'!I300</f>
        <v>g</v>
      </c>
      <c r="J1100" s="13" t="n">
        <f aca="false">'Dish Database'!J300*H1100/100</f>
        <v>99.45</v>
      </c>
      <c r="K1100" s="17" t="n">
        <f aca="false">'Dish Database'!K300*H1100/100</f>
        <v>3.3</v>
      </c>
      <c r="L1100" s="17" t="n">
        <f aca="false">'Dish Database'!L300*H1100/100</f>
        <v>12</v>
      </c>
      <c r="M1100" s="17" t="n">
        <f aca="false">'Dish Database'!M300*H1100/100</f>
        <v>5.25</v>
      </c>
      <c r="N1100" s="17" t="n">
        <f aca="false">'Dish Database'!N300*H1100/100</f>
        <v>4.5</v>
      </c>
      <c r="O1100" s="17" t="n">
        <f aca="false">'Dish Database'!O300*H1100/100</f>
        <v>5.25</v>
      </c>
      <c r="P1100" s="13" t="n">
        <f aca="false">'Dish Database'!P300*H1100/100</f>
        <v>450</v>
      </c>
    </row>
    <row r="1101" customFormat="false" ht="15" hidden="false" customHeight="false" outlineLevel="0" collapsed="false">
      <c r="A1101" s="6" t="str">
        <f aca="false">'Dish Database'!A300</f>
        <v>D299</v>
      </c>
      <c r="B1101" s="6" t="str">
        <f aca="false">'Dish Database'!B300</f>
        <v>Cabbage matar sabzi</v>
      </c>
      <c r="C1101" s="6" t="str">
        <f aca="false">'Dish Database'!D300</f>
        <v>Veg Dry Sabzi</v>
      </c>
      <c r="D1101" s="6" t="str">
        <f aca="false">'Dish Database'!F300</f>
        <v>Veg</v>
      </c>
      <c r="E1101" s="6" t="str">
        <f aca="false">'Dish Database'!E300</f>
        <v>Pan-India</v>
      </c>
      <c r="F1101" s="6" t="s">
        <v>2323</v>
      </c>
      <c r="G1101" s="6" t="s">
        <v>2324</v>
      </c>
      <c r="H1101" s="16" t="n">
        <v>200</v>
      </c>
      <c r="I1101" s="6" t="str">
        <f aca="false">'Dish Database'!I300</f>
        <v>g</v>
      </c>
      <c r="J1101" s="13" t="n">
        <f aca="false">'Dish Database'!J300*H1101/100</f>
        <v>132.6</v>
      </c>
      <c r="K1101" s="17" t="n">
        <f aca="false">'Dish Database'!K300*H1101/100</f>
        <v>4.4</v>
      </c>
      <c r="L1101" s="17" t="n">
        <f aca="false">'Dish Database'!L300*H1101/100</f>
        <v>16</v>
      </c>
      <c r="M1101" s="17" t="n">
        <f aca="false">'Dish Database'!M300*H1101/100</f>
        <v>7</v>
      </c>
      <c r="N1101" s="17" t="n">
        <f aca="false">'Dish Database'!N300*H1101/100</f>
        <v>6</v>
      </c>
      <c r="O1101" s="17" t="n">
        <f aca="false">'Dish Database'!O300*H1101/100</f>
        <v>7</v>
      </c>
      <c r="P1101" s="13" t="n">
        <f aca="false">'Dish Database'!P300*H1101/100</f>
        <v>600</v>
      </c>
    </row>
    <row r="1102" customFormat="false" ht="15" hidden="false" customHeight="false" outlineLevel="0" collapsed="false">
      <c r="A1102" s="6" t="str">
        <f aca="false">'Dish Database'!A300</f>
        <v>D299</v>
      </c>
      <c r="B1102" s="6" t="str">
        <f aca="false">'Dish Database'!B300</f>
        <v>Cabbage matar sabzi</v>
      </c>
      <c r="C1102" s="6" t="str">
        <f aca="false">'Dish Database'!D300</f>
        <v>Veg Dry Sabzi</v>
      </c>
      <c r="D1102" s="6" t="str">
        <f aca="false">'Dish Database'!F300</f>
        <v>Veg</v>
      </c>
      <c r="E1102" s="6" t="str">
        <f aca="false">'Dish Database'!E300</f>
        <v>Pan-India</v>
      </c>
      <c r="F1102" s="6" t="s">
        <v>2325</v>
      </c>
      <c r="G1102" s="6" t="s">
        <v>2326</v>
      </c>
      <c r="H1102" s="16" t="n">
        <v>400</v>
      </c>
      <c r="I1102" s="6" t="str">
        <f aca="false">'Dish Database'!I300</f>
        <v>g</v>
      </c>
      <c r="J1102" s="13" t="n">
        <f aca="false">'Dish Database'!J300*H1102/100</f>
        <v>265.2</v>
      </c>
      <c r="K1102" s="17" t="n">
        <f aca="false">'Dish Database'!K300*H1102/100</f>
        <v>8.8</v>
      </c>
      <c r="L1102" s="17" t="n">
        <f aca="false">'Dish Database'!L300*H1102/100</f>
        <v>32</v>
      </c>
      <c r="M1102" s="17" t="n">
        <f aca="false">'Dish Database'!M300*H1102/100</f>
        <v>14</v>
      </c>
      <c r="N1102" s="17" t="n">
        <f aca="false">'Dish Database'!N300*H1102/100</f>
        <v>12</v>
      </c>
      <c r="O1102" s="17" t="n">
        <f aca="false">'Dish Database'!O300*H1102/100</f>
        <v>14</v>
      </c>
      <c r="P1102" s="13" t="n">
        <f aca="false">'Dish Database'!P300*H1102/100</f>
        <v>1200</v>
      </c>
    </row>
    <row r="1103" customFormat="false" ht="15" hidden="false" customHeight="false" outlineLevel="0" collapsed="false">
      <c r="A1103" s="6" t="str">
        <f aca="false">'Dish Database'!A301</f>
        <v>D300</v>
      </c>
      <c r="B1103" s="6" t="str">
        <f aca="false">'Dish Database'!B301</f>
        <v>Gajar matar</v>
      </c>
      <c r="C1103" s="6" t="str">
        <f aca="false">'Dish Database'!D301</f>
        <v>Veg Dry Sabzi</v>
      </c>
      <c r="D1103" s="6" t="str">
        <f aca="false">'Dish Database'!F301</f>
        <v>Veg</v>
      </c>
      <c r="E1103" s="6" t="str">
        <f aca="false">'Dish Database'!E301</f>
        <v>North</v>
      </c>
      <c r="F1103" s="6" t="s">
        <v>2243</v>
      </c>
      <c r="G1103" s="6" t="s">
        <v>2320</v>
      </c>
      <c r="H1103" s="16" t="n">
        <v>75</v>
      </c>
      <c r="I1103" s="6" t="str">
        <f aca="false">'Dish Database'!I301</f>
        <v>g</v>
      </c>
      <c r="J1103" s="13" t="n">
        <f aca="false">'Dish Database'!J301*H1103/100</f>
        <v>55.875</v>
      </c>
      <c r="K1103" s="17" t="n">
        <f aca="false">'Dish Database'!K301*H1103/100</f>
        <v>1.875</v>
      </c>
      <c r="L1103" s="17" t="n">
        <f aca="false">'Dish Database'!L301*H1103/100</f>
        <v>7.5</v>
      </c>
      <c r="M1103" s="17" t="n">
        <f aca="false">'Dish Database'!M301*H1103/100</f>
        <v>2.625</v>
      </c>
      <c r="N1103" s="17" t="n">
        <f aca="false">'Dish Database'!N301*H1103/100</f>
        <v>2.625</v>
      </c>
      <c r="O1103" s="17" t="n">
        <f aca="false">'Dish Database'!O301*H1103/100</f>
        <v>3</v>
      </c>
      <c r="P1103" s="13" t="n">
        <f aca="false">'Dish Database'!P301*H1103/100</f>
        <v>225</v>
      </c>
    </row>
    <row r="1104" customFormat="false" ht="15" hidden="false" customHeight="false" outlineLevel="0" collapsed="false">
      <c r="A1104" s="6" t="str">
        <f aca="false">'Dish Database'!A301</f>
        <v>D300</v>
      </c>
      <c r="B1104" s="6" t="str">
        <f aca="false">'Dish Database'!B301</f>
        <v>Gajar matar</v>
      </c>
      <c r="C1104" s="6" t="str">
        <f aca="false">'Dish Database'!D301</f>
        <v>Veg Dry Sabzi</v>
      </c>
      <c r="D1104" s="6" t="str">
        <f aca="false">'Dish Database'!F301</f>
        <v>Veg</v>
      </c>
      <c r="E1104" s="6" t="str">
        <f aca="false">'Dish Database'!E301</f>
        <v>North</v>
      </c>
      <c r="F1104" s="6" t="s">
        <v>103</v>
      </c>
      <c r="G1104" s="6" t="s">
        <v>2321</v>
      </c>
      <c r="H1104" s="16" t="n">
        <v>100</v>
      </c>
      <c r="I1104" s="6" t="str">
        <f aca="false">'Dish Database'!I301</f>
        <v>g</v>
      </c>
      <c r="J1104" s="13" t="n">
        <f aca="false">'Dish Database'!J301*H1104/100</f>
        <v>74.5</v>
      </c>
      <c r="K1104" s="17" t="n">
        <f aca="false">'Dish Database'!K301*H1104/100</f>
        <v>2.5</v>
      </c>
      <c r="L1104" s="17" t="n">
        <f aca="false">'Dish Database'!L301*H1104/100</f>
        <v>10</v>
      </c>
      <c r="M1104" s="17" t="n">
        <f aca="false">'Dish Database'!M301*H1104/100</f>
        <v>3.5</v>
      </c>
      <c r="N1104" s="17" t="n">
        <f aca="false">'Dish Database'!N301*H1104/100</f>
        <v>3.5</v>
      </c>
      <c r="O1104" s="17" t="n">
        <f aca="false">'Dish Database'!O301*H1104/100</f>
        <v>4</v>
      </c>
      <c r="P1104" s="13" t="n">
        <f aca="false">'Dish Database'!P301*H1104/100</f>
        <v>300</v>
      </c>
    </row>
    <row r="1105" customFormat="false" ht="15" hidden="false" customHeight="false" outlineLevel="0" collapsed="false">
      <c r="A1105" s="6" t="str">
        <f aca="false">'Dish Database'!A301</f>
        <v>D300</v>
      </c>
      <c r="B1105" s="6" t="str">
        <f aca="false">'Dish Database'!B301</f>
        <v>Gajar matar</v>
      </c>
      <c r="C1105" s="6" t="str">
        <f aca="false">'Dish Database'!D301</f>
        <v>Veg Dry Sabzi</v>
      </c>
      <c r="D1105" s="6" t="str">
        <f aca="false">'Dish Database'!F301</f>
        <v>Veg</v>
      </c>
      <c r="E1105" s="6" t="str">
        <f aca="false">'Dish Database'!E301</f>
        <v>North</v>
      </c>
      <c r="F1105" s="6" t="s">
        <v>2246</v>
      </c>
      <c r="G1105" s="6" t="s">
        <v>2322</v>
      </c>
      <c r="H1105" s="16" t="n">
        <v>150</v>
      </c>
      <c r="I1105" s="6" t="str">
        <f aca="false">'Dish Database'!I301</f>
        <v>g</v>
      </c>
      <c r="J1105" s="13" t="n">
        <f aca="false">'Dish Database'!J301*H1105/100</f>
        <v>111.75</v>
      </c>
      <c r="K1105" s="17" t="n">
        <f aca="false">'Dish Database'!K301*H1105/100</f>
        <v>3.75</v>
      </c>
      <c r="L1105" s="17" t="n">
        <f aca="false">'Dish Database'!L301*H1105/100</f>
        <v>15</v>
      </c>
      <c r="M1105" s="17" t="n">
        <f aca="false">'Dish Database'!M301*H1105/100</f>
        <v>5.25</v>
      </c>
      <c r="N1105" s="17" t="n">
        <f aca="false">'Dish Database'!N301*H1105/100</f>
        <v>5.25</v>
      </c>
      <c r="O1105" s="17" t="n">
        <f aca="false">'Dish Database'!O301*H1105/100</f>
        <v>6</v>
      </c>
      <c r="P1105" s="13" t="n">
        <f aca="false">'Dish Database'!P301*H1105/100</f>
        <v>450</v>
      </c>
    </row>
    <row r="1106" customFormat="false" ht="15" hidden="false" customHeight="false" outlineLevel="0" collapsed="false">
      <c r="A1106" s="6" t="str">
        <f aca="false">'Dish Database'!A301</f>
        <v>D300</v>
      </c>
      <c r="B1106" s="6" t="str">
        <f aca="false">'Dish Database'!B301</f>
        <v>Gajar matar</v>
      </c>
      <c r="C1106" s="6" t="str">
        <f aca="false">'Dish Database'!D301</f>
        <v>Veg Dry Sabzi</v>
      </c>
      <c r="D1106" s="6" t="str">
        <f aca="false">'Dish Database'!F301</f>
        <v>Veg</v>
      </c>
      <c r="E1106" s="6" t="str">
        <f aca="false">'Dish Database'!E301</f>
        <v>North</v>
      </c>
      <c r="F1106" s="6" t="s">
        <v>2323</v>
      </c>
      <c r="G1106" s="6" t="s">
        <v>2324</v>
      </c>
      <c r="H1106" s="16" t="n">
        <v>200</v>
      </c>
      <c r="I1106" s="6" t="str">
        <f aca="false">'Dish Database'!I301</f>
        <v>g</v>
      </c>
      <c r="J1106" s="13" t="n">
        <f aca="false">'Dish Database'!J301*H1106/100</f>
        <v>149</v>
      </c>
      <c r="K1106" s="17" t="n">
        <f aca="false">'Dish Database'!K301*H1106/100</f>
        <v>5</v>
      </c>
      <c r="L1106" s="17" t="n">
        <f aca="false">'Dish Database'!L301*H1106/100</f>
        <v>20</v>
      </c>
      <c r="M1106" s="17" t="n">
        <f aca="false">'Dish Database'!M301*H1106/100</f>
        <v>7</v>
      </c>
      <c r="N1106" s="17" t="n">
        <f aca="false">'Dish Database'!N301*H1106/100</f>
        <v>7</v>
      </c>
      <c r="O1106" s="17" t="n">
        <f aca="false">'Dish Database'!O301*H1106/100</f>
        <v>8</v>
      </c>
      <c r="P1106" s="13" t="n">
        <f aca="false">'Dish Database'!P301*H1106/100</f>
        <v>600</v>
      </c>
    </row>
    <row r="1107" customFormat="false" ht="15" hidden="false" customHeight="false" outlineLevel="0" collapsed="false">
      <c r="A1107" s="6" t="str">
        <f aca="false">'Dish Database'!A301</f>
        <v>D300</v>
      </c>
      <c r="B1107" s="6" t="str">
        <f aca="false">'Dish Database'!B301</f>
        <v>Gajar matar</v>
      </c>
      <c r="C1107" s="6" t="str">
        <f aca="false">'Dish Database'!D301</f>
        <v>Veg Dry Sabzi</v>
      </c>
      <c r="D1107" s="6" t="str">
        <f aca="false">'Dish Database'!F301</f>
        <v>Veg</v>
      </c>
      <c r="E1107" s="6" t="str">
        <f aca="false">'Dish Database'!E301</f>
        <v>North</v>
      </c>
      <c r="F1107" s="6" t="s">
        <v>2325</v>
      </c>
      <c r="G1107" s="6" t="s">
        <v>2326</v>
      </c>
      <c r="H1107" s="16" t="n">
        <v>400</v>
      </c>
      <c r="I1107" s="6" t="str">
        <f aca="false">'Dish Database'!I301</f>
        <v>g</v>
      </c>
      <c r="J1107" s="13" t="n">
        <f aca="false">'Dish Database'!J301*H1107/100</f>
        <v>298</v>
      </c>
      <c r="K1107" s="17" t="n">
        <f aca="false">'Dish Database'!K301*H1107/100</f>
        <v>10</v>
      </c>
      <c r="L1107" s="17" t="n">
        <f aca="false">'Dish Database'!L301*H1107/100</f>
        <v>40</v>
      </c>
      <c r="M1107" s="17" t="n">
        <f aca="false">'Dish Database'!M301*H1107/100</f>
        <v>14</v>
      </c>
      <c r="N1107" s="17" t="n">
        <f aca="false">'Dish Database'!N301*H1107/100</f>
        <v>14</v>
      </c>
      <c r="O1107" s="17" t="n">
        <f aca="false">'Dish Database'!O301*H1107/100</f>
        <v>16</v>
      </c>
      <c r="P1107" s="13" t="n">
        <f aca="false">'Dish Database'!P301*H1107/100</f>
        <v>1200</v>
      </c>
    </row>
    <row r="1108" customFormat="false" ht="15" hidden="false" customHeight="false" outlineLevel="0" collapsed="false">
      <c r="A1108" s="6" t="str">
        <f aca="false">'Dish Database'!A302</f>
        <v>D301</v>
      </c>
      <c r="B1108" s="6" t="str">
        <f aca="false">'Dish Database'!B302</f>
        <v>Lauki sabzi</v>
      </c>
      <c r="C1108" s="6" t="str">
        <f aca="false">'Dish Database'!D302</f>
        <v>Veg Dry Sabzi</v>
      </c>
      <c r="D1108" s="6" t="str">
        <f aca="false">'Dish Database'!F302</f>
        <v>Veg</v>
      </c>
      <c r="E1108" s="6" t="str">
        <f aca="false">'Dish Database'!E302</f>
        <v>North</v>
      </c>
      <c r="F1108" s="6" t="s">
        <v>2243</v>
      </c>
      <c r="G1108" s="6" t="s">
        <v>2320</v>
      </c>
      <c r="H1108" s="16" t="n">
        <v>75</v>
      </c>
      <c r="I1108" s="6" t="str">
        <f aca="false">'Dish Database'!I302</f>
        <v>g</v>
      </c>
      <c r="J1108" s="13" t="n">
        <f aca="false">'Dish Database'!J302*H1108/100</f>
        <v>36.45</v>
      </c>
      <c r="K1108" s="17" t="n">
        <f aca="false">'Dish Database'!K302*H1108/100</f>
        <v>0.75</v>
      </c>
      <c r="L1108" s="17" t="n">
        <f aca="false">'Dish Database'!L302*H1108/100</f>
        <v>3.75</v>
      </c>
      <c r="M1108" s="17" t="n">
        <f aca="false">'Dish Database'!M302*H1108/100</f>
        <v>2.25</v>
      </c>
      <c r="N1108" s="17" t="n">
        <f aca="false">'Dish Database'!N302*H1108/100</f>
        <v>0.9</v>
      </c>
      <c r="O1108" s="17" t="n">
        <f aca="false">'Dish Database'!O302*H1108/100</f>
        <v>1.875</v>
      </c>
      <c r="P1108" s="13" t="n">
        <f aca="false">'Dish Database'!P302*H1108/100</f>
        <v>210</v>
      </c>
    </row>
    <row r="1109" customFormat="false" ht="15" hidden="false" customHeight="false" outlineLevel="0" collapsed="false">
      <c r="A1109" s="6" t="str">
        <f aca="false">'Dish Database'!A302</f>
        <v>D301</v>
      </c>
      <c r="B1109" s="6" t="str">
        <f aca="false">'Dish Database'!B302</f>
        <v>Lauki sabzi</v>
      </c>
      <c r="C1109" s="6" t="str">
        <f aca="false">'Dish Database'!D302</f>
        <v>Veg Dry Sabzi</v>
      </c>
      <c r="D1109" s="6" t="str">
        <f aca="false">'Dish Database'!F302</f>
        <v>Veg</v>
      </c>
      <c r="E1109" s="6" t="str">
        <f aca="false">'Dish Database'!E302</f>
        <v>North</v>
      </c>
      <c r="F1109" s="6" t="s">
        <v>103</v>
      </c>
      <c r="G1109" s="6" t="s">
        <v>2321</v>
      </c>
      <c r="H1109" s="16" t="n">
        <v>100</v>
      </c>
      <c r="I1109" s="6" t="str">
        <f aca="false">'Dish Database'!I302</f>
        <v>g</v>
      </c>
      <c r="J1109" s="13" t="n">
        <f aca="false">'Dish Database'!J302*H1109/100</f>
        <v>48.6</v>
      </c>
      <c r="K1109" s="17" t="n">
        <f aca="false">'Dish Database'!K302*H1109/100</f>
        <v>1</v>
      </c>
      <c r="L1109" s="17" t="n">
        <f aca="false">'Dish Database'!L302*H1109/100</f>
        <v>5</v>
      </c>
      <c r="M1109" s="17" t="n">
        <f aca="false">'Dish Database'!M302*H1109/100</f>
        <v>3</v>
      </c>
      <c r="N1109" s="17" t="n">
        <f aca="false">'Dish Database'!N302*H1109/100</f>
        <v>1.2</v>
      </c>
      <c r="O1109" s="17" t="n">
        <f aca="false">'Dish Database'!O302*H1109/100</f>
        <v>2.5</v>
      </c>
      <c r="P1109" s="13" t="n">
        <f aca="false">'Dish Database'!P302*H1109/100</f>
        <v>280</v>
      </c>
    </row>
    <row r="1110" customFormat="false" ht="15" hidden="false" customHeight="false" outlineLevel="0" collapsed="false">
      <c r="A1110" s="6" t="str">
        <f aca="false">'Dish Database'!A302</f>
        <v>D301</v>
      </c>
      <c r="B1110" s="6" t="str">
        <f aca="false">'Dish Database'!B302</f>
        <v>Lauki sabzi</v>
      </c>
      <c r="C1110" s="6" t="str">
        <f aca="false">'Dish Database'!D302</f>
        <v>Veg Dry Sabzi</v>
      </c>
      <c r="D1110" s="6" t="str">
        <f aca="false">'Dish Database'!F302</f>
        <v>Veg</v>
      </c>
      <c r="E1110" s="6" t="str">
        <f aca="false">'Dish Database'!E302</f>
        <v>North</v>
      </c>
      <c r="F1110" s="6" t="s">
        <v>2246</v>
      </c>
      <c r="G1110" s="6" t="s">
        <v>2322</v>
      </c>
      <c r="H1110" s="16" t="n">
        <v>150</v>
      </c>
      <c r="I1110" s="6" t="str">
        <f aca="false">'Dish Database'!I302</f>
        <v>g</v>
      </c>
      <c r="J1110" s="13" t="n">
        <f aca="false">'Dish Database'!J302*H1110/100</f>
        <v>72.9</v>
      </c>
      <c r="K1110" s="17" t="n">
        <f aca="false">'Dish Database'!K302*H1110/100</f>
        <v>1.5</v>
      </c>
      <c r="L1110" s="17" t="n">
        <f aca="false">'Dish Database'!L302*H1110/100</f>
        <v>7.5</v>
      </c>
      <c r="M1110" s="17" t="n">
        <f aca="false">'Dish Database'!M302*H1110/100</f>
        <v>4.5</v>
      </c>
      <c r="N1110" s="17" t="n">
        <f aca="false">'Dish Database'!N302*H1110/100</f>
        <v>1.8</v>
      </c>
      <c r="O1110" s="17" t="n">
        <f aca="false">'Dish Database'!O302*H1110/100</f>
        <v>3.75</v>
      </c>
      <c r="P1110" s="13" t="n">
        <f aca="false">'Dish Database'!P302*H1110/100</f>
        <v>420</v>
      </c>
    </row>
    <row r="1111" customFormat="false" ht="15" hidden="false" customHeight="false" outlineLevel="0" collapsed="false">
      <c r="A1111" s="6" t="str">
        <f aca="false">'Dish Database'!A302</f>
        <v>D301</v>
      </c>
      <c r="B1111" s="6" t="str">
        <f aca="false">'Dish Database'!B302</f>
        <v>Lauki sabzi</v>
      </c>
      <c r="C1111" s="6" t="str">
        <f aca="false">'Dish Database'!D302</f>
        <v>Veg Dry Sabzi</v>
      </c>
      <c r="D1111" s="6" t="str">
        <f aca="false">'Dish Database'!F302</f>
        <v>Veg</v>
      </c>
      <c r="E1111" s="6" t="str">
        <f aca="false">'Dish Database'!E302</f>
        <v>North</v>
      </c>
      <c r="F1111" s="6" t="s">
        <v>2323</v>
      </c>
      <c r="G1111" s="6" t="s">
        <v>2324</v>
      </c>
      <c r="H1111" s="16" t="n">
        <v>200</v>
      </c>
      <c r="I1111" s="6" t="str">
        <f aca="false">'Dish Database'!I302</f>
        <v>g</v>
      </c>
      <c r="J1111" s="13" t="n">
        <f aca="false">'Dish Database'!J302*H1111/100</f>
        <v>97.2</v>
      </c>
      <c r="K1111" s="17" t="n">
        <f aca="false">'Dish Database'!K302*H1111/100</f>
        <v>2</v>
      </c>
      <c r="L1111" s="17" t="n">
        <f aca="false">'Dish Database'!L302*H1111/100</f>
        <v>10</v>
      </c>
      <c r="M1111" s="17" t="n">
        <f aca="false">'Dish Database'!M302*H1111/100</f>
        <v>6</v>
      </c>
      <c r="N1111" s="17" t="n">
        <f aca="false">'Dish Database'!N302*H1111/100</f>
        <v>2.4</v>
      </c>
      <c r="O1111" s="17" t="n">
        <f aca="false">'Dish Database'!O302*H1111/100</f>
        <v>5</v>
      </c>
      <c r="P1111" s="13" t="n">
        <f aca="false">'Dish Database'!P302*H1111/100</f>
        <v>560</v>
      </c>
    </row>
    <row r="1112" customFormat="false" ht="15" hidden="false" customHeight="false" outlineLevel="0" collapsed="false">
      <c r="A1112" s="6" t="str">
        <f aca="false">'Dish Database'!A302</f>
        <v>D301</v>
      </c>
      <c r="B1112" s="6" t="str">
        <f aca="false">'Dish Database'!B302</f>
        <v>Lauki sabzi</v>
      </c>
      <c r="C1112" s="6" t="str">
        <f aca="false">'Dish Database'!D302</f>
        <v>Veg Dry Sabzi</v>
      </c>
      <c r="D1112" s="6" t="str">
        <f aca="false">'Dish Database'!F302</f>
        <v>Veg</v>
      </c>
      <c r="E1112" s="6" t="str">
        <f aca="false">'Dish Database'!E302</f>
        <v>North</v>
      </c>
      <c r="F1112" s="6" t="s">
        <v>2325</v>
      </c>
      <c r="G1112" s="6" t="s">
        <v>2326</v>
      </c>
      <c r="H1112" s="16" t="n">
        <v>400</v>
      </c>
      <c r="I1112" s="6" t="str">
        <f aca="false">'Dish Database'!I302</f>
        <v>g</v>
      </c>
      <c r="J1112" s="13" t="n">
        <f aca="false">'Dish Database'!J302*H1112/100</f>
        <v>194.4</v>
      </c>
      <c r="K1112" s="17" t="n">
        <f aca="false">'Dish Database'!K302*H1112/100</f>
        <v>4</v>
      </c>
      <c r="L1112" s="17" t="n">
        <f aca="false">'Dish Database'!L302*H1112/100</f>
        <v>20</v>
      </c>
      <c r="M1112" s="17" t="n">
        <f aca="false">'Dish Database'!M302*H1112/100</f>
        <v>12</v>
      </c>
      <c r="N1112" s="17" t="n">
        <f aca="false">'Dish Database'!N302*H1112/100</f>
        <v>4.8</v>
      </c>
      <c r="O1112" s="17" t="n">
        <f aca="false">'Dish Database'!O302*H1112/100</f>
        <v>10</v>
      </c>
      <c r="P1112" s="13" t="n">
        <f aca="false">'Dish Database'!P302*H1112/100</f>
        <v>1120</v>
      </c>
    </row>
    <row r="1113" customFormat="false" ht="15" hidden="false" customHeight="false" outlineLevel="0" collapsed="false">
      <c r="A1113" s="6" t="str">
        <f aca="false">'Dish Database'!A303</f>
        <v>D302</v>
      </c>
      <c r="B1113" s="6" t="str">
        <f aca="false">'Dish Database'!B303</f>
        <v>Tinda masala</v>
      </c>
      <c r="C1113" s="6" t="str">
        <f aca="false">'Dish Database'!D303</f>
        <v>Veg Dry Sabzi</v>
      </c>
      <c r="D1113" s="6" t="str">
        <f aca="false">'Dish Database'!F303</f>
        <v>Veg</v>
      </c>
      <c r="E1113" s="6" t="str">
        <f aca="false">'Dish Database'!E303</f>
        <v>North</v>
      </c>
      <c r="F1113" s="6" t="s">
        <v>2243</v>
      </c>
      <c r="G1113" s="6" t="s">
        <v>2320</v>
      </c>
      <c r="H1113" s="16" t="n">
        <v>75</v>
      </c>
      <c r="I1113" s="6" t="str">
        <f aca="false">'Dish Database'!I303</f>
        <v>g</v>
      </c>
      <c r="J1113" s="13" t="n">
        <f aca="false">'Dish Database'!J303*H1113/100</f>
        <v>42.825</v>
      </c>
      <c r="K1113" s="17" t="n">
        <f aca="false">'Dish Database'!K303*H1113/100</f>
        <v>0.975</v>
      </c>
      <c r="L1113" s="17" t="n">
        <f aca="false">'Dish Database'!L303*H1113/100</f>
        <v>4.5</v>
      </c>
      <c r="M1113" s="17" t="n">
        <f aca="false">'Dish Database'!M303*H1113/100</f>
        <v>2.625</v>
      </c>
      <c r="N1113" s="17" t="n">
        <f aca="false">'Dish Database'!N303*H1113/100</f>
        <v>1.35</v>
      </c>
      <c r="O1113" s="17" t="n">
        <f aca="false">'Dish Database'!O303*H1113/100</f>
        <v>1.875</v>
      </c>
      <c r="P1113" s="13" t="n">
        <f aca="false">'Dish Database'!P303*H1113/100</f>
        <v>210</v>
      </c>
    </row>
    <row r="1114" customFormat="false" ht="15" hidden="false" customHeight="false" outlineLevel="0" collapsed="false">
      <c r="A1114" s="6" t="str">
        <f aca="false">'Dish Database'!A303</f>
        <v>D302</v>
      </c>
      <c r="B1114" s="6" t="str">
        <f aca="false">'Dish Database'!B303</f>
        <v>Tinda masala</v>
      </c>
      <c r="C1114" s="6" t="str">
        <f aca="false">'Dish Database'!D303</f>
        <v>Veg Dry Sabzi</v>
      </c>
      <c r="D1114" s="6" t="str">
        <f aca="false">'Dish Database'!F303</f>
        <v>Veg</v>
      </c>
      <c r="E1114" s="6" t="str">
        <f aca="false">'Dish Database'!E303</f>
        <v>North</v>
      </c>
      <c r="F1114" s="6" t="s">
        <v>103</v>
      </c>
      <c r="G1114" s="6" t="s">
        <v>2321</v>
      </c>
      <c r="H1114" s="16" t="n">
        <v>100</v>
      </c>
      <c r="I1114" s="6" t="str">
        <f aca="false">'Dish Database'!I303</f>
        <v>g</v>
      </c>
      <c r="J1114" s="13" t="n">
        <f aca="false">'Dish Database'!J303*H1114/100</f>
        <v>57.1</v>
      </c>
      <c r="K1114" s="17" t="n">
        <f aca="false">'Dish Database'!K303*H1114/100</f>
        <v>1.3</v>
      </c>
      <c r="L1114" s="17" t="n">
        <f aca="false">'Dish Database'!L303*H1114/100</f>
        <v>6</v>
      </c>
      <c r="M1114" s="17" t="n">
        <f aca="false">'Dish Database'!M303*H1114/100</f>
        <v>3.5</v>
      </c>
      <c r="N1114" s="17" t="n">
        <f aca="false">'Dish Database'!N303*H1114/100</f>
        <v>1.8</v>
      </c>
      <c r="O1114" s="17" t="n">
        <f aca="false">'Dish Database'!O303*H1114/100</f>
        <v>2.5</v>
      </c>
      <c r="P1114" s="13" t="n">
        <f aca="false">'Dish Database'!P303*H1114/100</f>
        <v>280</v>
      </c>
    </row>
    <row r="1115" customFormat="false" ht="15" hidden="false" customHeight="false" outlineLevel="0" collapsed="false">
      <c r="A1115" s="6" t="str">
        <f aca="false">'Dish Database'!A303</f>
        <v>D302</v>
      </c>
      <c r="B1115" s="6" t="str">
        <f aca="false">'Dish Database'!B303</f>
        <v>Tinda masala</v>
      </c>
      <c r="C1115" s="6" t="str">
        <f aca="false">'Dish Database'!D303</f>
        <v>Veg Dry Sabzi</v>
      </c>
      <c r="D1115" s="6" t="str">
        <f aca="false">'Dish Database'!F303</f>
        <v>Veg</v>
      </c>
      <c r="E1115" s="6" t="str">
        <f aca="false">'Dish Database'!E303</f>
        <v>North</v>
      </c>
      <c r="F1115" s="6" t="s">
        <v>2246</v>
      </c>
      <c r="G1115" s="6" t="s">
        <v>2322</v>
      </c>
      <c r="H1115" s="16" t="n">
        <v>150</v>
      </c>
      <c r="I1115" s="6" t="str">
        <f aca="false">'Dish Database'!I303</f>
        <v>g</v>
      </c>
      <c r="J1115" s="13" t="n">
        <f aca="false">'Dish Database'!J303*H1115/100</f>
        <v>85.65</v>
      </c>
      <c r="K1115" s="17" t="n">
        <f aca="false">'Dish Database'!K303*H1115/100</f>
        <v>1.95</v>
      </c>
      <c r="L1115" s="17" t="n">
        <f aca="false">'Dish Database'!L303*H1115/100</f>
        <v>9</v>
      </c>
      <c r="M1115" s="17" t="n">
        <f aca="false">'Dish Database'!M303*H1115/100</f>
        <v>5.25</v>
      </c>
      <c r="N1115" s="17" t="n">
        <f aca="false">'Dish Database'!N303*H1115/100</f>
        <v>2.7</v>
      </c>
      <c r="O1115" s="17" t="n">
        <f aca="false">'Dish Database'!O303*H1115/100</f>
        <v>3.75</v>
      </c>
      <c r="P1115" s="13" t="n">
        <f aca="false">'Dish Database'!P303*H1115/100</f>
        <v>420</v>
      </c>
    </row>
    <row r="1116" customFormat="false" ht="15" hidden="false" customHeight="false" outlineLevel="0" collapsed="false">
      <c r="A1116" s="6" t="str">
        <f aca="false">'Dish Database'!A303</f>
        <v>D302</v>
      </c>
      <c r="B1116" s="6" t="str">
        <f aca="false">'Dish Database'!B303</f>
        <v>Tinda masala</v>
      </c>
      <c r="C1116" s="6" t="str">
        <f aca="false">'Dish Database'!D303</f>
        <v>Veg Dry Sabzi</v>
      </c>
      <c r="D1116" s="6" t="str">
        <f aca="false">'Dish Database'!F303</f>
        <v>Veg</v>
      </c>
      <c r="E1116" s="6" t="str">
        <f aca="false">'Dish Database'!E303</f>
        <v>North</v>
      </c>
      <c r="F1116" s="6" t="s">
        <v>2323</v>
      </c>
      <c r="G1116" s="6" t="s">
        <v>2324</v>
      </c>
      <c r="H1116" s="16" t="n">
        <v>200</v>
      </c>
      <c r="I1116" s="6" t="str">
        <f aca="false">'Dish Database'!I303</f>
        <v>g</v>
      </c>
      <c r="J1116" s="13" t="n">
        <f aca="false">'Dish Database'!J303*H1116/100</f>
        <v>114.2</v>
      </c>
      <c r="K1116" s="17" t="n">
        <f aca="false">'Dish Database'!K303*H1116/100</f>
        <v>2.6</v>
      </c>
      <c r="L1116" s="17" t="n">
        <f aca="false">'Dish Database'!L303*H1116/100</f>
        <v>12</v>
      </c>
      <c r="M1116" s="17" t="n">
        <f aca="false">'Dish Database'!M303*H1116/100</f>
        <v>7</v>
      </c>
      <c r="N1116" s="17" t="n">
        <f aca="false">'Dish Database'!N303*H1116/100</f>
        <v>3.6</v>
      </c>
      <c r="O1116" s="17" t="n">
        <f aca="false">'Dish Database'!O303*H1116/100</f>
        <v>5</v>
      </c>
      <c r="P1116" s="13" t="n">
        <f aca="false">'Dish Database'!P303*H1116/100</f>
        <v>560</v>
      </c>
    </row>
    <row r="1117" customFormat="false" ht="15" hidden="false" customHeight="false" outlineLevel="0" collapsed="false">
      <c r="A1117" s="6" t="str">
        <f aca="false">'Dish Database'!A303</f>
        <v>D302</v>
      </c>
      <c r="B1117" s="6" t="str">
        <f aca="false">'Dish Database'!B303</f>
        <v>Tinda masala</v>
      </c>
      <c r="C1117" s="6" t="str">
        <f aca="false">'Dish Database'!D303</f>
        <v>Veg Dry Sabzi</v>
      </c>
      <c r="D1117" s="6" t="str">
        <f aca="false">'Dish Database'!F303</f>
        <v>Veg</v>
      </c>
      <c r="E1117" s="6" t="str">
        <f aca="false">'Dish Database'!E303</f>
        <v>North</v>
      </c>
      <c r="F1117" s="6" t="s">
        <v>2325</v>
      </c>
      <c r="G1117" s="6" t="s">
        <v>2326</v>
      </c>
      <c r="H1117" s="16" t="n">
        <v>400</v>
      </c>
      <c r="I1117" s="6" t="str">
        <f aca="false">'Dish Database'!I303</f>
        <v>g</v>
      </c>
      <c r="J1117" s="13" t="n">
        <f aca="false">'Dish Database'!J303*H1117/100</f>
        <v>228.4</v>
      </c>
      <c r="K1117" s="17" t="n">
        <f aca="false">'Dish Database'!K303*H1117/100</f>
        <v>5.2</v>
      </c>
      <c r="L1117" s="17" t="n">
        <f aca="false">'Dish Database'!L303*H1117/100</f>
        <v>24</v>
      </c>
      <c r="M1117" s="17" t="n">
        <f aca="false">'Dish Database'!M303*H1117/100</f>
        <v>14</v>
      </c>
      <c r="N1117" s="17" t="n">
        <f aca="false">'Dish Database'!N303*H1117/100</f>
        <v>7.2</v>
      </c>
      <c r="O1117" s="17" t="n">
        <f aca="false">'Dish Database'!O303*H1117/100</f>
        <v>10</v>
      </c>
      <c r="P1117" s="13" t="n">
        <f aca="false">'Dish Database'!P303*H1117/100</f>
        <v>1120</v>
      </c>
    </row>
    <row r="1118" customFormat="false" ht="15" hidden="false" customHeight="false" outlineLevel="0" collapsed="false">
      <c r="A1118" s="6" t="str">
        <f aca="false">'Dish Database'!A304</f>
        <v>D303</v>
      </c>
      <c r="B1118" s="6" t="str">
        <f aca="false">'Dish Database'!B304</f>
        <v>Karela sabzi (fry / bharwa)</v>
      </c>
      <c r="C1118" s="6" t="str">
        <f aca="false">'Dish Database'!D304</f>
        <v>Veg Dry Sabzi</v>
      </c>
      <c r="D1118" s="6" t="str">
        <f aca="false">'Dish Database'!F304</f>
        <v>Veg</v>
      </c>
      <c r="E1118" s="6" t="str">
        <f aca="false">'Dish Database'!E304</f>
        <v>North</v>
      </c>
      <c r="F1118" s="6" t="s">
        <v>2243</v>
      </c>
      <c r="G1118" s="6" t="s">
        <v>2320</v>
      </c>
      <c r="H1118" s="16" t="n">
        <v>75</v>
      </c>
      <c r="I1118" s="6" t="str">
        <f aca="false">'Dish Database'!I304</f>
        <v>g</v>
      </c>
      <c r="J1118" s="13" t="n">
        <f aca="false">'Dish Database'!J304*H1118/100</f>
        <v>96</v>
      </c>
      <c r="K1118" s="17" t="n">
        <f aca="false">'Dish Database'!K304*H1118/100</f>
        <v>1.875</v>
      </c>
      <c r="L1118" s="17" t="n">
        <f aca="false">'Dish Database'!L304*H1118/100</f>
        <v>8.25</v>
      </c>
      <c r="M1118" s="17" t="n">
        <f aca="false">'Dish Database'!M304*H1118/100</f>
        <v>6.75</v>
      </c>
      <c r="N1118" s="17" t="n">
        <f aca="false">'Dish Database'!N304*H1118/100</f>
        <v>2.625</v>
      </c>
      <c r="O1118" s="17" t="n">
        <f aca="false">'Dish Database'!O304*H1118/100</f>
        <v>1.875</v>
      </c>
      <c r="P1118" s="13" t="n">
        <f aca="false">'Dish Database'!P304*H1118/100</f>
        <v>247.5</v>
      </c>
    </row>
    <row r="1119" customFormat="false" ht="15" hidden="false" customHeight="false" outlineLevel="0" collapsed="false">
      <c r="A1119" s="6" t="str">
        <f aca="false">'Dish Database'!A304</f>
        <v>D303</v>
      </c>
      <c r="B1119" s="6" t="str">
        <f aca="false">'Dish Database'!B304</f>
        <v>Karela sabzi (fry / bharwa)</v>
      </c>
      <c r="C1119" s="6" t="str">
        <f aca="false">'Dish Database'!D304</f>
        <v>Veg Dry Sabzi</v>
      </c>
      <c r="D1119" s="6" t="str">
        <f aca="false">'Dish Database'!F304</f>
        <v>Veg</v>
      </c>
      <c r="E1119" s="6" t="str">
        <f aca="false">'Dish Database'!E304</f>
        <v>North</v>
      </c>
      <c r="F1119" s="6" t="s">
        <v>103</v>
      </c>
      <c r="G1119" s="6" t="s">
        <v>2321</v>
      </c>
      <c r="H1119" s="16" t="n">
        <v>100</v>
      </c>
      <c r="I1119" s="6" t="str">
        <f aca="false">'Dish Database'!I304</f>
        <v>g</v>
      </c>
      <c r="J1119" s="13" t="n">
        <f aca="false">'Dish Database'!J304*H1119/100</f>
        <v>128</v>
      </c>
      <c r="K1119" s="17" t="n">
        <f aca="false">'Dish Database'!K304*H1119/100</f>
        <v>2.5</v>
      </c>
      <c r="L1119" s="17" t="n">
        <f aca="false">'Dish Database'!L304*H1119/100</f>
        <v>11</v>
      </c>
      <c r="M1119" s="17" t="n">
        <f aca="false">'Dish Database'!M304*H1119/100</f>
        <v>9</v>
      </c>
      <c r="N1119" s="17" t="n">
        <f aca="false">'Dish Database'!N304*H1119/100</f>
        <v>3.5</v>
      </c>
      <c r="O1119" s="17" t="n">
        <f aca="false">'Dish Database'!O304*H1119/100</f>
        <v>2.5</v>
      </c>
      <c r="P1119" s="13" t="n">
        <f aca="false">'Dish Database'!P304*H1119/100</f>
        <v>330</v>
      </c>
    </row>
    <row r="1120" customFormat="false" ht="15" hidden="false" customHeight="false" outlineLevel="0" collapsed="false">
      <c r="A1120" s="6" t="str">
        <f aca="false">'Dish Database'!A304</f>
        <v>D303</v>
      </c>
      <c r="B1120" s="6" t="str">
        <f aca="false">'Dish Database'!B304</f>
        <v>Karela sabzi (fry / bharwa)</v>
      </c>
      <c r="C1120" s="6" t="str">
        <f aca="false">'Dish Database'!D304</f>
        <v>Veg Dry Sabzi</v>
      </c>
      <c r="D1120" s="6" t="str">
        <f aca="false">'Dish Database'!F304</f>
        <v>Veg</v>
      </c>
      <c r="E1120" s="6" t="str">
        <f aca="false">'Dish Database'!E304</f>
        <v>North</v>
      </c>
      <c r="F1120" s="6" t="s">
        <v>2246</v>
      </c>
      <c r="G1120" s="6" t="s">
        <v>2322</v>
      </c>
      <c r="H1120" s="16" t="n">
        <v>150</v>
      </c>
      <c r="I1120" s="6" t="str">
        <f aca="false">'Dish Database'!I304</f>
        <v>g</v>
      </c>
      <c r="J1120" s="13" t="n">
        <f aca="false">'Dish Database'!J304*H1120/100</f>
        <v>192</v>
      </c>
      <c r="K1120" s="17" t="n">
        <f aca="false">'Dish Database'!K304*H1120/100</f>
        <v>3.75</v>
      </c>
      <c r="L1120" s="17" t="n">
        <f aca="false">'Dish Database'!L304*H1120/100</f>
        <v>16.5</v>
      </c>
      <c r="M1120" s="17" t="n">
        <f aca="false">'Dish Database'!M304*H1120/100</f>
        <v>13.5</v>
      </c>
      <c r="N1120" s="17" t="n">
        <f aca="false">'Dish Database'!N304*H1120/100</f>
        <v>5.25</v>
      </c>
      <c r="O1120" s="17" t="n">
        <f aca="false">'Dish Database'!O304*H1120/100</f>
        <v>3.75</v>
      </c>
      <c r="P1120" s="13" t="n">
        <f aca="false">'Dish Database'!P304*H1120/100</f>
        <v>495</v>
      </c>
    </row>
    <row r="1121" customFormat="false" ht="15" hidden="false" customHeight="false" outlineLevel="0" collapsed="false">
      <c r="A1121" s="6" t="str">
        <f aca="false">'Dish Database'!A304</f>
        <v>D303</v>
      </c>
      <c r="B1121" s="6" t="str">
        <f aca="false">'Dish Database'!B304</f>
        <v>Karela sabzi (fry / bharwa)</v>
      </c>
      <c r="C1121" s="6" t="str">
        <f aca="false">'Dish Database'!D304</f>
        <v>Veg Dry Sabzi</v>
      </c>
      <c r="D1121" s="6" t="str">
        <f aca="false">'Dish Database'!F304</f>
        <v>Veg</v>
      </c>
      <c r="E1121" s="6" t="str">
        <f aca="false">'Dish Database'!E304</f>
        <v>North</v>
      </c>
      <c r="F1121" s="6" t="s">
        <v>2323</v>
      </c>
      <c r="G1121" s="6" t="s">
        <v>2324</v>
      </c>
      <c r="H1121" s="16" t="n">
        <v>200</v>
      </c>
      <c r="I1121" s="6" t="str">
        <f aca="false">'Dish Database'!I304</f>
        <v>g</v>
      </c>
      <c r="J1121" s="13" t="n">
        <f aca="false">'Dish Database'!J304*H1121/100</f>
        <v>256</v>
      </c>
      <c r="K1121" s="17" t="n">
        <f aca="false">'Dish Database'!K304*H1121/100</f>
        <v>5</v>
      </c>
      <c r="L1121" s="17" t="n">
        <f aca="false">'Dish Database'!L304*H1121/100</f>
        <v>22</v>
      </c>
      <c r="M1121" s="17" t="n">
        <f aca="false">'Dish Database'!M304*H1121/100</f>
        <v>18</v>
      </c>
      <c r="N1121" s="17" t="n">
        <f aca="false">'Dish Database'!N304*H1121/100</f>
        <v>7</v>
      </c>
      <c r="O1121" s="17" t="n">
        <f aca="false">'Dish Database'!O304*H1121/100</f>
        <v>5</v>
      </c>
      <c r="P1121" s="13" t="n">
        <f aca="false">'Dish Database'!P304*H1121/100</f>
        <v>660</v>
      </c>
    </row>
    <row r="1122" customFormat="false" ht="15" hidden="false" customHeight="false" outlineLevel="0" collapsed="false">
      <c r="A1122" s="6" t="str">
        <f aca="false">'Dish Database'!A304</f>
        <v>D303</v>
      </c>
      <c r="B1122" s="6" t="str">
        <f aca="false">'Dish Database'!B304</f>
        <v>Karela sabzi (fry / bharwa)</v>
      </c>
      <c r="C1122" s="6" t="str">
        <f aca="false">'Dish Database'!D304</f>
        <v>Veg Dry Sabzi</v>
      </c>
      <c r="D1122" s="6" t="str">
        <f aca="false">'Dish Database'!F304</f>
        <v>Veg</v>
      </c>
      <c r="E1122" s="6" t="str">
        <f aca="false">'Dish Database'!E304</f>
        <v>North</v>
      </c>
      <c r="F1122" s="6" t="s">
        <v>2325</v>
      </c>
      <c r="G1122" s="6" t="s">
        <v>2326</v>
      </c>
      <c r="H1122" s="16" t="n">
        <v>400</v>
      </c>
      <c r="I1122" s="6" t="str">
        <f aca="false">'Dish Database'!I304</f>
        <v>g</v>
      </c>
      <c r="J1122" s="13" t="n">
        <f aca="false">'Dish Database'!J304*H1122/100</f>
        <v>512</v>
      </c>
      <c r="K1122" s="17" t="n">
        <f aca="false">'Dish Database'!K304*H1122/100</f>
        <v>10</v>
      </c>
      <c r="L1122" s="17" t="n">
        <f aca="false">'Dish Database'!L304*H1122/100</f>
        <v>44</v>
      </c>
      <c r="M1122" s="17" t="n">
        <f aca="false">'Dish Database'!M304*H1122/100</f>
        <v>36</v>
      </c>
      <c r="N1122" s="17" t="n">
        <f aca="false">'Dish Database'!N304*H1122/100</f>
        <v>14</v>
      </c>
      <c r="O1122" s="17" t="n">
        <f aca="false">'Dish Database'!O304*H1122/100</f>
        <v>10</v>
      </c>
      <c r="P1122" s="13" t="n">
        <f aca="false">'Dish Database'!P304*H1122/100</f>
        <v>1320</v>
      </c>
    </row>
    <row r="1123" customFormat="false" ht="15" hidden="false" customHeight="false" outlineLevel="0" collapsed="false">
      <c r="A1123" s="6" t="str">
        <f aca="false">'Dish Database'!A305</f>
        <v>D304</v>
      </c>
      <c r="B1123" s="6" t="str">
        <f aca="false">'Dish Database'!B305</f>
        <v>Arbi masala</v>
      </c>
      <c r="C1123" s="6" t="str">
        <f aca="false">'Dish Database'!D305</f>
        <v>Veg Dry Sabzi</v>
      </c>
      <c r="D1123" s="6" t="str">
        <f aca="false">'Dish Database'!F305</f>
        <v>Veg</v>
      </c>
      <c r="E1123" s="6" t="str">
        <f aca="false">'Dish Database'!E305</f>
        <v>North</v>
      </c>
      <c r="F1123" s="6" t="s">
        <v>2243</v>
      </c>
      <c r="G1123" s="6" t="s">
        <v>2320</v>
      </c>
      <c r="H1123" s="16" t="n">
        <v>75</v>
      </c>
      <c r="I1123" s="6" t="str">
        <f aca="false">'Dish Database'!I305</f>
        <v>g</v>
      </c>
      <c r="J1123" s="13" t="n">
        <f aca="false">'Dish Database'!J305*H1123/100</f>
        <v>102.75</v>
      </c>
      <c r="K1123" s="17" t="n">
        <f aca="false">'Dish Database'!K305*H1123/100</f>
        <v>1.5</v>
      </c>
      <c r="L1123" s="17" t="n">
        <f aca="false">'Dish Database'!L305*H1123/100</f>
        <v>13.5</v>
      </c>
      <c r="M1123" s="17" t="n">
        <f aca="false">'Dish Database'!M305*H1123/100</f>
        <v>5.25</v>
      </c>
      <c r="N1123" s="17" t="n">
        <f aca="false">'Dish Database'!N305*H1123/100</f>
        <v>2.25</v>
      </c>
      <c r="O1123" s="17" t="n">
        <f aca="false">'Dish Database'!O305*H1123/100</f>
        <v>0.375</v>
      </c>
      <c r="P1123" s="13" t="n">
        <f aca="false">'Dish Database'!P305*H1123/100</f>
        <v>247.5</v>
      </c>
    </row>
    <row r="1124" customFormat="false" ht="15" hidden="false" customHeight="false" outlineLevel="0" collapsed="false">
      <c r="A1124" s="6" t="str">
        <f aca="false">'Dish Database'!A305</f>
        <v>D304</v>
      </c>
      <c r="B1124" s="6" t="str">
        <f aca="false">'Dish Database'!B305</f>
        <v>Arbi masala</v>
      </c>
      <c r="C1124" s="6" t="str">
        <f aca="false">'Dish Database'!D305</f>
        <v>Veg Dry Sabzi</v>
      </c>
      <c r="D1124" s="6" t="str">
        <f aca="false">'Dish Database'!F305</f>
        <v>Veg</v>
      </c>
      <c r="E1124" s="6" t="str">
        <f aca="false">'Dish Database'!E305</f>
        <v>North</v>
      </c>
      <c r="F1124" s="6" t="s">
        <v>103</v>
      </c>
      <c r="G1124" s="6" t="s">
        <v>2321</v>
      </c>
      <c r="H1124" s="16" t="n">
        <v>100</v>
      </c>
      <c r="I1124" s="6" t="str">
        <f aca="false">'Dish Database'!I305</f>
        <v>g</v>
      </c>
      <c r="J1124" s="13" t="n">
        <f aca="false">'Dish Database'!J305*H1124/100</f>
        <v>137</v>
      </c>
      <c r="K1124" s="17" t="n">
        <f aca="false">'Dish Database'!K305*H1124/100</f>
        <v>2</v>
      </c>
      <c r="L1124" s="17" t="n">
        <f aca="false">'Dish Database'!L305*H1124/100</f>
        <v>18</v>
      </c>
      <c r="M1124" s="17" t="n">
        <f aca="false">'Dish Database'!M305*H1124/100</f>
        <v>7</v>
      </c>
      <c r="N1124" s="17" t="n">
        <f aca="false">'Dish Database'!N305*H1124/100</f>
        <v>3</v>
      </c>
      <c r="O1124" s="17" t="n">
        <f aca="false">'Dish Database'!O305*H1124/100</f>
        <v>0.5</v>
      </c>
      <c r="P1124" s="13" t="n">
        <f aca="false">'Dish Database'!P305*H1124/100</f>
        <v>330</v>
      </c>
    </row>
    <row r="1125" customFormat="false" ht="15" hidden="false" customHeight="false" outlineLevel="0" collapsed="false">
      <c r="A1125" s="6" t="str">
        <f aca="false">'Dish Database'!A305</f>
        <v>D304</v>
      </c>
      <c r="B1125" s="6" t="str">
        <f aca="false">'Dish Database'!B305</f>
        <v>Arbi masala</v>
      </c>
      <c r="C1125" s="6" t="str">
        <f aca="false">'Dish Database'!D305</f>
        <v>Veg Dry Sabzi</v>
      </c>
      <c r="D1125" s="6" t="str">
        <f aca="false">'Dish Database'!F305</f>
        <v>Veg</v>
      </c>
      <c r="E1125" s="6" t="str">
        <f aca="false">'Dish Database'!E305</f>
        <v>North</v>
      </c>
      <c r="F1125" s="6" t="s">
        <v>2246</v>
      </c>
      <c r="G1125" s="6" t="s">
        <v>2322</v>
      </c>
      <c r="H1125" s="16" t="n">
        <v>150</v>
      </c>
      <c r="I1125" s="6" t="str">
        <f aca="false">'Dish Database'!I305</f>
        <v>g</v>
      </c>
      <c r="J1125" s="13" t="n">
        <f aca="false">'Dish Database'!J305*H1125/100</f>
        <v>205.5</v>
      </c>
      <c r="K1125" s="17" t="n">
        <f aca="false">'Dish Database'!K305*H1125/100</f>
        <v>3</v>
      </c>
      <c r="L1125" s="17" t="n">
        <f aca="false">'Dish Database'!L305*H1125/100</f>
        <v>27</v>
      </c>
      <c r="M1125" s="17" t="n">
        <f aca="false">'Dish Database'!M305*H1125/100</f>
        <v>10.5</v>
      </c>
      <c r="N1125" s="17" t="n">
        <f aca="false">'Dish Database'!N305*H1125/100</f>
        <v>4.5</v>
      </c>
      <c r="O1125" s="17" t="n">
        <f aca="false">'Dish Database'!O305*H1125/100</f>
        <v>0.75</v>
      </c>
      <c r="P1125" s="13" t="n">
        <f aca="false">'Dish Database'!P305*H1125/100</f>
        <v>495</v>
      </c>
    </row>
    <row r="1126" customFormat="false" ht="15" hidden="false" customHeight="false" outlineLevel="0" collapsed="false">
      <c r="A1126" s="6" t="str">
        <f aca="false">'Dish Database'!A305</f>
        <v>D304</v>
      </c>
      <c r="B1126" s="6" t="str">
        <f aca="false">'Dish Database'!B305</f>
        <v>Arbi masala</v>
      </c>
      <c r="C1126" s="6" t="str">
        <f aca="false">'Dish Database'!D305</f>
        <v>Veg Dry Sabzi</v>
      </c>
      <c r="D1126" s="6" t="str">
        <f aca="false">'Dish Database'!F305</f>
        <v>Veg</v>
      </c>
      <c r="E1126" s="6" t="str">
        <f aca="false">'Dish Database'!E305</f>
        <v>North</v>
      </c>
      <c r="F1126" s="6" t="s">
        <v>2323</v>
      </c>
      <c r="G1126" s="6" t="s">
        <v>2324</v>
      </c>
      <c r="H1126" s="16" t="n">
        <v>200</v>
      </c>
      <c r="I1126" s="6" t="str">
        <f aca="false">'Dish Database'!I305</f>
        <v>g</v>
      </c>
      <c r="J1126" s="13" t="n">
        <f aca="false">'Dish Database'!J305*H1126/100</f>
        <v>274</v>
      </c>
      <c r="K1126" s="17" t="n">
        <f aca="false">'Dish Database'!K305*H1126/100</f>
        <v>4</v>
      </c>
      <c r="L1126" s="17" t="n">
        <f aca="false">'Dish Database'!L305*H1126/100</f>
        <v>36</v>
      </c>
      <c r="M1126" s="17" t="n">
        <f aca="false">'Dish Database'!M305*H1126/100</f>
        <v>14</v>
      </c>
      <c r="N1126" s="17" t="n">
        <f aca="false">'Dish Database'!N305*H1126/100</f>
        <v>6</v>
      </c>
      <c r="O1126" s="17" t="n">
        <f aca="false">'Dish Database'!O305*H1126/100</f>
        <v>1</v>
      </c>
      <c r="P1126" s="13" t="n">
        <f aca="false">'Dish Database'!P305*H1126/100</f>
        <v>660</v>
      </c>
    </row>
    <row r="1127" customFormat="false" ht="15" hidden="false" customHeight="false" outlineLevel="0" collapsed="false">
      <c r="A1127" s="6" t="str">
        <f aca="false">'Dish Database'!A305</f>
        <v>D304</v>
      </c>
      <c r="B1127" s="6" t="str">
        <f aca="false">'Dish Database'!B305</f>
        <v>Arbi masala</v>
      </c>
      <c r="C1127" s="6" t="str">
        <f aca="false">'Dish Database'!D305</f>
        <v>Veg Dry Sabzi</v>
      </c>
      <c r="D1127" s="6" t="str">
        <f aca="false">'Dish Database'!F305</f>
        <v>Veg</v>
      </c>
      <c r="E1127" s="6" t="str">
        <f aca="false">'Dish Database'!E305</f>
        <v>North</v>
      </c>
      <c r="F1127" s="6" t="s">
        <v>2325</v>
      </c>
      <c r="G1127" s="6" t="s">
        <v>2326</v>
      </c>
      <c r="H1127" s="16" t="n">
        <v>400</v>
      </c>
      <c r="I1127" s="6" t="str">
        <f aca="false">'Dish Database'!I305</f>
        <v>g</v>
      </c>
      <c r="J1127" s="13" t="n">
        <f aca="false">'Dish Database'!J305*H1127/100</f>
        <v>548</v>
      </c>
      <c r="K1127" s="17" t="n">
        <f aca="false">'Dish Database'!K305*H1127/100</f>
        <v>8</v>
      </c>
      <c r="L1127" s="17" t="n">
        <f aca="false">'Dish Database'!L305*H1127/100</f>
        <v>72</v>
      </c>
      <c r="M1127" s="17" t="n">
        <f aca="false">'Dish Database'!M305*H1127/100</f>
        <v>28</v>
      </c>
      <c r="N1127" s="17" t="n">
        <f aca="false">'Dish Database'!N305*H1127/100</f>
        <v>12</v>
      </c>
      <c r="O1127" s="17" t="n">
        <f aca="false">'Dish Database'!O305*H1127/100</f>
        <v>2</v>
      </c>
      <c r="P1127" s="13" t="n">
        <f aca="false">'Dish Database'!P305*H1127/100</f>
        <v>1320</v>
      </c>
    </row>
    <row r="1128" customFormat="false" ht="15" hidden="false" customHeight="false" outlineLevel="0" collapsed="false">
      <c r="A1128" s="6" t="str">
        <f aca="false">'Dish Database'!A306</f>
        <v>D305</v>
      </c>
      <c r="B1128" s="6" t="str">
        <f aca="false">'Dish Database'!B306</f>
        <v>Palak aloo</v>
      </c>
      <c r="C1128" s="6" t="str">
        <f aca="false">'Dish Database'!D306</f>
        <v>Veg Dry Sabzi</v>
      </c>
      <c r="D1128" s="6" t="str">
        <f aca="false">'Dish Database'!F306</f>
        <v>Veg</v>
      </c>
      <c r="E1128" s="6" t="str">
        <f aca="false">'Dish Database'!E306</f>
        <v>North</v>
      </c>
      <c r="F1128" s="6" t="s">
        <v>2243</v>
      </c>
      <c r="G1128" s="6" t="s">
        <v>2320</v>
      </c>
      <c r="H1128" s="16" t="n">
        <v>75</v>
      </c>
      <c r="I1128" s="6" t="str">
        <f aca="false">'Dish Database'!I306</f>
        <v>g</v>
      </c>
      <c r="J1128" s="13" t="n">
        <f aca="false">'Dish Database'!J306*H1128/100</f>
        <v>63.975</v>
      </c>
      <c r="K1128" s="17" t="n">
        <f aca="false">'Dish Database'!K306*H1128/100</f>
        <v>1.725</v>
      </c>
      <c r="L1128" s="17" t="n">
        <f aca="false">'Dish Database'!L306*H1128/100</f>
        <v>7.5</v>
      </c>
      <c r="M1128" s="17" t="n">
        <f aca="false">'Dish Database'!M306*H1128/100</f>
        <v>3.375</v>
      </c>
      <c r="N1128" s="17" t="n">
        <f aca="false">'Dish Database'!N306*H1128/100</f>
        <v>1.65</v>
      </c>
      <c r="O1128" s="17" t="n">
        <f aca="false">'Dish Database'!O306*H1128/100</f>
        <v>0.75</v>
      </c>
      <c r="P1128" s="13" t="n">
        <f aca="false">'Dish Database'!P306*H1128/100</f>
        <v>247.5</v>
      </c>
    </row>
    <row r="1129" customFormat="false" ht="15" hidden="false" customHeight="false" outlineLevel="0" collapsed="false">
      <c r="A1129" s="6" t="str">
        <f aca="false">'Dish Database'!A306</f>
        <v>D305</v>
      </c>
      <c r="B1129" s="6" t="str">
        <f aca="false">'Dish Database'!B306</f>
        <v>Palak aloo</v>
      </c>
      <c r="C1129" s="6" t="str">
        <f aca="false">'Dish Database'!D306</f>
        <v>Veg Dry Sabzi</v>
      </c>
      <c r="D1129" s="6" t="str">
        <f aca="false">'Dish Database'!F306</f>
        <v>Veg</v>
      </c>
      <c r="E1129" s="6" t="str">
        <f aca="false">'Dish Database'!E306</f>
        <v>North</v>
      </c>
      <c r="F1129" s="6" t="s">
        <v>103</v>
      </c>
      <c r="G1129" s="6" t="s">
        <v>2321</v>
      </c>
      <c r="H1129" s="16" t="n">
        <v>100</v>
      </c>
      <c r="I1129" s="6" t="str">
        <f aca="false">'Dish Database'!I306</f>
        <v>g</v>
      </c>
      <c r="J1129" s="13" t="n">
        <f aca="false">'Dish Database'!J306*H1129/100</f>
        <v>85.3</v>
      </c>
      <c r="K1129" s="17" t="n">
        <f aca="false">'Dish Database'!K306*H1129/100</f>
        <v>2.3</v>
      </c>
      <c r="L1129" s="17" t="n">
        <f aca="false">'Dish Database'!L306*H1129/100</f>
        <v>10</v>
      </c>
      <c r="M1129" s="17" t="n">
        <f aca="false">'Dish Database'!M306*H1129/100</f>
        <v>4.5</v>
      </c>
      <c r="N1129" s="17" t="n">
        <f aca="false">'Dish Database'!N306*H1129/100</f>
        <v>2.2</v>
      </c>
      <c r="O1129" s="17" t="n">
        <f aca="false">'Dish Database'!O306*H1129/100</f>
        <v>1</v>
      </c>
      <c r="P1129" s="13" t="n">
        <f aca="false">'Dish Database'!P306*H1129/100</f>
        <v>330</v>
      </c>
    </row>
    <row r="1130" customFormat="false" ht="15" hidden="false" customHeight="false" outlineLevel="0" collapsed="false">
      <c r="A1130" s="6" t="str">
        <f aca="false">'Dish Database'!A306</f>
        <v>D305</v>
      </c>
      <c r="B1130" s="6" t="str">
        <f aca="false">'Dish Database'!B306</f>
        <v>Palak aloo</v>
      </c>
      <c r="C1130" s="6" t="str">
        <f aca="false">'Dish Database'!D306</f>
        <v>Veg Dry Sabzi</v>
      </c>
      <c r="D1130" s="6" t="str">
        <f aca="false">'Dish Database'!F306</f>
        <v>Veg</v>
      </c>
      <c r="E1130" s="6" t="str">
        <f aca="false">'Dish Database'!E306</f>
        <v>North</v>
      </c>
      <c r="F1130" s="6" t="s">
        <v>2246</v>
      </c>
      <c r="G1130" s="6" t="s">
        <v>2322</v>
      </c>
      <c r="H1130" s="16" t="n">
        <v>150</v>
      </c>
      <c r="I1130" s="6" t="str">
        <f aca="false">'Dish Database'!I306</f>
        <v>g</v>
      </c>
      <c r="J1130" s="13" t="n">
        <f aca="false">'Dish Database'!J306*H1130/100</f>
        <v>127.95</v>
      </c>
      <c r="K1130" s="17" t="n">
        <f aca="false">'Dish Database'!K306*H1130/100</f>
        <v>3.45</v>
      </c>
      <c r="L1130" s="17" t="n">
        <f aca="false">'Dish Database'!L306*H1130/100</f>
        <v>15</v>
      </c>
      <c r="M1130" s="17" t="n">
        <f aca="false">'Dish Database'!M306*H1130/100</f>
        <v>6.75</v>
      </c>
      <c r="N1130" s="17" t="n">
        <f aca="false">'Dish Database'!N306*H1130/100</f>
        <v>3.3</v>
      </c>
      <c r="O1130" s="17" t="n">
        <f aca="false">'Dish Database'!O306*H1130/100</f>
        <v>1.5</v>
      </c>
      <c r="P1130" s="13" t="n">
        <f aca="false">'Dish Database'!P306*H1130/100</f>
        <v>495</v>
      </c>
    </row>
    <row r="1131" customFormat="false" ht="15" hidden="false" customHeight="false" outlineLevel="0" collapsed="false">
      <c r="A1131" s="6" t="str">
        <f aca="false">'Dish Database'!A306</f>
        <v>D305</v>
      </c>
      <c r="B1131" s="6" t="str">
        <f aca="false">'Dish Database'!B306</f>
        <v>Palak aloo</v>
      </c>
      <c r="C1131" s="6" t="str">
        <f aca="false">'Dish Database'!D306</f>
        <v>Veg Dry Sabzi</v>
      </c>
      <c r="D1131" s="6" t="str">
        <f aca="false">'Dish Database'!F306</f>
        <v>Veg</v>
      </c>
      <c r="E1131" s="6" t="str">
        <f aca="false">'Dish Database'!E306</f>
        <v>North</v>
      </c>
      <c r="F1131" s="6" t="s">
        <v>2323</v>
      </c>
      <c r="G1131" s="6" t="s">
        <v>2324</v>
      </c>
      <c r="H1131" s="16" t="n">
        <v>200</v>
      </c>
      <c r="I1131" s="6" t="str">
        <f aca="false">'Dish Database'!I306</f>
        <v>g</v>
      </c>
      <c r="J1131" s="13" t="n">
        <f aca="false">'Dish Database'!J306*H1131/100</f>
        <v>170.6</v>
      </c>
      <c r="K1131" s="17" t="n">
        <f aca="false">'Dish Database'!K306*H1131/100</f>
        <v>4.6</v>
      </c>
      <c r="L1131" s="17" t="n">
        <f aca="false">'Dish Database'!L306*H1131/100</f>
        <v>20</v>
      </c>
      <c r="M1131" s="17" t="n">
        <f aca="false">'Dish Database'!M306*H1131/100</f>
        <v>9</v>
      </c>
      <c r="N1131" s="17" t="n">
        <f aca="false">'Dish Database'!N306*H1131/100</f>
        <v>4.4</v>
      </c>
      <c r="O1131" s="17" t="n">
        <f aca="false">'Dish Database'!O306*H1131/100</f>
        <v>2</v>
      </c>
      <c r="P1131" s="13" t="n">
        <f aca="false">'Dish Database'!P306*H1131/100</f>
        <v>660</v>
      </c>
    </row>
    <row r="1132" customFormat="false" ht="15" hidden="false" customHeight="false" outlineLevel="0" collapsed="false">
      <c r="A1132" s="6" t="str">
        <f aca="false">'Dish Database'!A306</f>
        <v>D305</v>
      </c>
      <c r="B1132" s="6" t="str">
        <f aca="false">'Dish Database'!B306</f>
        <v>Palak aloo</v>
      </c>
      <c r="C1132" s="6" t="str">
        <f aca="false">'Dish Database'!D306</f>
        <v>Veg Dry Sabzi</v>
      </c>
      <c r="D1132" s="6" t="str">
        <f aca="false">'Dish Database'!F306</f>
        <v>Veg</v>
      </c>
      <c r="E1132" s="6" t="str">
        <f aca="false">'Dish Database'!E306</f>
        <v>North</v>
      </c>
      <c r="F1132" s="6" t="s">
        <v>2325</v>
      </c>
      <c r="G1132" s="6" t="s">
        <v>2326</v>
      </c>
      <c r="H1132" s="16" t="n">
        <v>400</v>
      </c>
      <c r="I1132" s="6" t="str">
        <f aca="false">'Dish Database'!I306</f>
        <v>g</v>
      </c>
      <c r="J1132" s="13" t="n">
        <f aca="false">'Dish Database'!J306*H1132/100</f>
        <v>341.2</v>
      </c>
      <c r="K1132" s="17" t="n">
        <f aca="false">'Dish Database'!K306*H1132/100</f>
        <v>9.2</v>
      </c>
      <c r="L1132" s="17" t="n">
        <f aca="false">'Dish Database'!L306*H1132/100</f>
        <v>40</v>
      </c>
      <c r="M1132" s="17" t="n">
        <f aca="false">'Dish Database'!M306*H1132/100</f>
        <v>18</v>
      </c>
      <c r="N1132" s="17" t="n">
        <f aca="false">'Dish Database'!N306*H1132/100</f>
        <v>8.8</v>
      </c>
      <c r="O1132" s="17" t="n">
        <f aca="false">'Dish Database'!O306*H1132/100</f>
        <v>4</v>
      </c>
      <c r="P1132" s="13" t="n">
        <f aca="false">'Dish Database'!P306*H1132/100</f>
        <v>1320</v>
      </c>
    </row>
    <row r="1133" customFormat="false" ht="15" hidden="false" customHeight="false" outlineLevel="0" collapsed="false">
      <c r="A1133" s="6" t="str">
        <f aca="false">'Dish Database'!A307</f>
        <v>D306</v>
      </c>
      <c r="B1133" s="6" t="str">
        <f aca="false">'Dish Database'!B307</f>
        <v>Mix veg dry</v>
      </c>
      <c r="C1133" s="6" t="str">
        <f aca="false">'Dish Database'!D307</f>
        <v>Veg Dry Sabzi</v>
      </c>
      <c r="D1133" s="6" t="str">
        <f aca="false">'Dish Database'!F307</f>
        <v>Veg</v>
      </c>
      <c r="E1133" s="6" t="str">
        <f aca="false">'Dish Database'!E307</f>
        <v>Pan-India</v>
      </c>
      <c r="F1133" s="6" t="s">
        <v>2243</v>
      </c>
      <c r="G1133" s="6" t="s">
        <v>2320</v>
      </c>
      <c r="H1133" s="16" t="n">
        <v>75</v>
      </c>
      <c r="I1133" s="6" t="str">
        <f aca="false">'Dish Database'!I307</f>
        <v>g</v>
      </c>
      <c r="J1133" s="13" t="n">
        <f aca="false">'Dish Database'!J307*H1133/100</f>
        <v>63.75</v>
      </c>
      <c r="K1133" s="17" t="n">
        <f aca="false">'Dish Database'!K307*H1133/100</f>
        <v>1.875</v>
      </c>
      <c r="L1133" s="17" t="n">
        <f aca="false">'Dish Database'!L307*H1133/100</f>
        <v>6.75</v>
      </c>
      <c r="M1133" s="17" t="n">
        <f aca="false">'Dish Database'!M307*H1133/100</f>
        <v>3.75</v>
      </c>
      <c r="N1133" s="17" t="n">
        <f aca="false">'Dish Database'!N307*H1133/100</f>
        <v>2.25</v>
      </c>
      <c r="O1133" s="17" t="n">
        <f aca="false">'Dish Database'!O307*H1133/100</f>
        <v>2.25</v>
      </c>
      <c r="P1133" s="13" t="n">
        <f aca="false">'Dish Database'!P307*H1133/100</f>
        <v>247.5</v>
      </c>
    </row>
    <row r="1134" customFormat="false" ht="15" hidden="false" customHeight="false" outlineLevel="0" collapsed="false">
      <c r="A1134" s="6" t="str">
        <f aca="false">'Dish Database'!A307</f>
        <v>D306</v>
      </c>
      <c r="B1134" s="6" t="str">
        <f aca="false">'Dish Database'!B307</f>
        <v>Mix veg dry</v>
      </c>
      <c r="C1134" s="6" t="str">
        <f aca="false">'Dish Database'!D307</f>
        <v>Veg Dry Sabzi</v>
      </c>
      <c r="D1134" s="6" t="str">
        <f aca="false">'Dish Database'!F307</f>
        <v>Veg</v>
      </c>
      <c r="E1134" s="6" t="str">
        <f aca="false">'Dish Database'!E307</f>
        <v>Pan-India</v>
      </c>
      <c r="F1134" s="6" t="s">
        <v>103</v>
      </c>
      <c r="G1134" s="6" t="s">
        <v>2321</v>
      </c>
      <c r="H1134" s="16" t="n">
        <v>100</v>
      </c>
      <c r="I1134" s="6" t="str">
        <f aca="false">'Dish Database'!I307</f>
        <v>g</v>
      </c>
      <c r="J1134" s="13" t="n">
        <f aca="false">'Dish Database'!J307*H1134/100</f>
        <v>85</v>
      </c>
      <c r="K1134" s="17" t="n">
        <f aca="false">'Dish Database'!K307*H1134/100</f>
        <v>2.5</v>
      </c>
      <c r="L1134" s="17" t="n">
        <f aca="false">'Dish Database'!L307*H1134/100</f>
        <v>9</v>
      </c>
      <c r="M1134" s="17" t="n">
        <f aca="false">'Dish Database'!M307*H1134/100</f>
        <v>5</v>
      </c>
      <c r="N1134" s="17" t="n">
        <f aca="false">'Dish Database'!N307*H1134/100</f>
        <v>3</v>
      </c>
      <c r="O1134" s="17" t="n">
        <f aca="false">'Dish Database'!O307*H1134/100</f>
        <v>3</v>
      </c>
      <c r="P1134" s="13" t="n">
        <f aca="false">'Dish Database'!P307*H1134/100</f>
        <v>330</v>
      </c>
    </row>
    <row r="1135" customFormat="false" ht="15" hidden="false" customHeight="false" outlineLevel="0" collapsed="false">
      <c r="A1135" s="6" t="str">
        <f aca="false">'Dish Database'!A307</f>
        <v>D306</v>
      </c>
      <c r="B1135" s="6" t="str">
        <f aca="false">'Dish Database'!B307</f>
        <v>Mix veg dry</v>
      </c>
      <c r="C1135" s="6" t="str">
        <f aca="false">'Dish Database'!D307</f>
        <v>Veg Dry Sabzi</v>
      </c>
      <c r="D1135" s="6" t="str">
        <f aca="false">'Dish Database'!F307</f>
        <v>Veg</v>
      </c>
      <c r="E1135" s="6" t="str">
        <f aca="false">'Dish Database'!E307</f>
        <v>Pan-India</v>
      </c>
      <c r="F1135" s="6" t="s">
        <v>2246</v>
      </c>
      <c r="G1135" s="6" t="s">
        <v>2322</v>
      </c>
      <c r="H1135" s="16" t="n">
        <v>150</v>
      </c>
      <c r="I1135" s="6" t="str">
        <f aca="false">'Dish Database'!I307</f>
        <v>g</v>
      </c>
      <c r="J1135" s="13" t="n">
        <f aca="false">'Dish Database'!J307*H1135/100</f>
        <v>127.5</v>
      </c>
      <c r="K1135" s="17" t="n">
        <f aca="false">'Dish Database'!K307*H1135/100</f>
        <v>3.75</v>
      </c>
      <c r="L1135" s="17" t="n">
        <f aca="false">'Dish Database'!L307*H1135/100</f>
        <v>13.5</v>
      </c>
      <c r="M1135" s="17" t="n">
        <f aca="false">'Dish Database'!M307*H1135/100</f>
        <v>7.5</v>
      </c>
      <c r="N1135" s="17" t="n">
        <f aca="false">'Dish Database'!N307*H1135/100</f>
        <v>4.5</v>
      </c>
      <c r="O1135" s="17" t="n">
        <f aca="false">'Dish Database'!O307*H1135/100</f>
        <v>4.5</v>
      </c>
      <c r="P1135" s="13" t="n">
        <f aca="false">'Dish Database'!P307*H1135/100</f>
        <v>495</v>
      </c>
    </row>
    <row r="1136" customFormat="false" ht="15" hidden="false" customHeight="false" outlineLevel="0" collapsed="false">
      <c r="A1136" s="6" t="str">
        <f aca="false">'Dish Database'!A307</f>
        <v>D306</v>
      </c>
      <c r="B1136" s="6" t="str">
        <f aca="false">'Dish Database'!B307</f>
        <v>Mix veg dry</v>
      </c>
      <c r="C1136" s="6" t="str">
        <f aca="false">'Dish Database'!D307</f>
        <v>Veg Dry Sabzi</v>
      </c>
      <c r="D1136" s="6" t="str">
        <f aca="false">'Dish Database'!F307</f>
        <v>Veg</v>
      </c>
      <c r="E1136" s="6" t="str">
        <f aca="false">'Dish Database'!E307</f>
        <v>Pan-India</v>
      </c>
      <c r="F1136" s="6" t="s">
        <v>2323</v>
      </c>
      <c r="G1136" s="6" t="s">
        <v>2324</v>
      </c>
      <c r="H1136" s="16" t="n">
        <v>200</v>
      </c>
      <c r="I1136" s="6" t="str">
        <f aca="false">'Dish Database'!I307</f>
        <v>g</v>
      </c>
      <c r="J1136" s="13" t="n">
        <f aca="false">'Dish Database'!J307*H1136/100</f>
        <v>170</v>
      </c>
      <c r="K1136" s="17" t="n">
        <f aca="false">'Dish Database'!K307*H1136/100</f>
        <v>5</v>
      </c>
      <c r="L1136" s="17" t="n">
        <f aca="false">'Dish Database'!L307*H1136/100</f>
        <v>18</v>
      </c>
      <c r="M1136" s="17" t="n">
        <f aca="false">'Dish Database'!M307*H1136/100</f>
        <v>10</v>
      </c>
      <c r="N1136" s="17" t="n">
        <f aca="false">'Dish Database'!N307*H1136/100</f>
        <v>6</v>
      </c>
      <c r="O1136" s="17" t="n">
        <f aca="false">'Dish Database'!O307*H1136/100</f>
        <v>6</v>
      </c>
      <c r="P1136" s="13" t="n">
        <f aca="false">'Dish Database'!P307*H1136/100</f>
        <v>660</v>
      </c>
    </row>
    <row r="1137" customFormat="false" ht="15" hidden="false" customHeight="false" outlineLevel="0" collapsed="false">
      <c r="A1137" s="6" t="str">
        <f aca="false">'Dish Database'!A307</f>
        <v>D306</v>
      </c>
      <c r="B1137" s="6" t="str">
        <f aca="false">'Dish Database'!B307</f>
        <v>Mix veg dry</v>
      </c>
      <c r="C1137" s="6" t="str">
        <f aca="false">'Dish Database'!D307</f>
        <v>Veg Dry Sabzi</v>
      </c>
      <c r="D1137" s="6" t="str">
        <f aca="false">'Dish Database'!F307</f>
        <v>Veg</v>
      </c>
      <c r="E1137" s="6" t="str">
        <f aca="false">'Dish Database'!E307</f>
        <v>Pan-India</v>
      </c>
      <c r="F1137" s="6" t="s">
        <v>2325</v>
      </c>
      <c r="G1137" s="6" t="s">
        <v>2326</v>
      </c>
      <c r="H1137" s="16" t="n">
        <v>400</v>
      </c>
      <c r="I1137" s="6" t="str">
        <f aca="false">'Dish Database'!I307</f>
        <v>g</v>
      </c>
      <c r="J1137" s="13" t="n">
        <f aca="false">'Dish Database'!J307*H1137/100</f>
        <v>340</v>
      </c>
      <c r="K1137" s="17" t="n">
        <f aca="false">'Dish Database'!K307*H1137/100</f>
        <v>10</v>
      </c>
      <c r="L1137" s="17" t="n">
        <f aca="false">'Dish Database'!L307*H1137/100</f>
        <v>36</v>
      </c>
      <c r="M1137" s="17" t="n">
        <f aca="false">'Dish Database'!M307*H1137/100</f>
        <v>20</v>
      </c>
      <c r="N1137" s="17" t="n">
        <f aca="false">'Dish Database'!N307*H1137/100</f>
        <v>12</v>
      </c>
      <c r="O1137" s="17" t="n">
        <f aca="false">'Dish Database'!O307*H1137/100</f>
        <v>12</v>
      </c>
      <c r="P1137" s="13" t="n">
        <f aca="false">'Dish Database'!P307*H1137/100</f>
        <v>1320</v>
      </c>
    </row>
    <row r="1138" customFormat="false" ht="15" hidden="false" customHeight="false" outlineLevel="0" collapsed="false">
      <c r="A1138" s="6" t="str">
        <f aca="false">'Dish Database'!A308</f>
        <v>D307</v>
      </c>
      <c r="B1138" s="6" t="str">
        <f aca="false">'Dish Database'!B308</f>
        <v>Beans / carrot poriyal</v>
      </c>
      <c r="C1138" s="6" t="str">
        <f aca="false">'Dish Database'!D308</f>
        <v>Veg Dry Sabzi</v>
      </c>
      <c r="D1138" s="6" t="str">
        <f aca="false">'Dish Database'!F308</f>
        <v>Veg</v>
      </c>
      <c r="E1138" s="6" t="str">
        <f aca="false">'Dish Database'!E308</f>
        <v>South</v>
      </c>
      <c r="F1138" s="6" t="s">
        <v>2243</v>
      </c>
      <c r="G1138" s="6" t="s">
        <v>2320</v>
      </c>
      <c r="H1138" s="16" t="n">
        <v>75</v>
      </c>
      <c r="I1138" s="6" t="str">
        <f aca="false">'Dish Database'!I308</f>
        <v>g</v>
      </c>
      <c r="J1138" s="13" t="n">
        <f aca="false">'Dish Database'!J308*H1138/100</f>
        <v>62.85</v>
      </c>
      <c r="K1138" s="17" t="n">
        <f aca="false">'Dish Database'!K308*H1138/100</f>
        <v>1.65</v>
      </c>
      <c r="L1138" s="17" t="n">
        <f aca="false">'Dish Database'!L308*H1138/100</f>
        <v>6.75</v>
      </c>
      <c r="M1138" s="17" t="n">
        <f aca="false">'Dish Database'!M308*H1138/100</f>
        <v>3.75</v>
      </c>
      <c r="N1138" s="17" t="n">
        <f aca="false">'Dish Database'!N308*H1138/100</f>
        <v>2.25</v>
      </c>
      <c r="O1138" s="17" t="n">
        <f aca="false">'Dish Database'!O308*H1138/100</f>
        <v>2.25</v>
      </c>
      <c r="P1138" s="13" t="n">
        <f aca="false">'Dish Database'!P308*H1138/100</f>
        <v>187.5</v>
      </c>
    </row>
    <row r="1139" customFormat="false" ht="15" hidden="false" customHeight="false" outlineLevel="0" collapsed="false">
      <c r="A1139" s="6" t="str">
        <f aca="false">'Dish Database'!A308</f>
        <v>D307</v>
      </c>
      <c r="B1139" s="6" t="str">
        <f aca="false">'Dish Database'!B308</f>
        <v>Beans / carrot poriyal</v>
      </c>
      <c r="C1139" s="6" t="str">
        <f aca="false">'Dish Database'!D308</f>
        <v>Veg Dry Sabzi</v>
      </c>
      <c r="D1139" s="6" t="str">
        <f aca="false">'Dish Database'!F308</f>
        <v>Veg</v>
      </c>
      <c r="E1139" s="6" t="str">
        <f aca="false">'Dish Database'!E308</f>
        <v>South</v>
      </c>
      <c r="F1139" s="6" t="s">
        <v>103</v>
      </c>
      <c r="G1139" s="6" t="s">
        <v>2321</v>
      </c>
      <c r="H1139" s="16" t="n">
        <v>100</v>
      </c>
      <c r="I1139" s="6" t="str">
        <f aca="false">'Dish Database'!I308</f>
        <v>g</v>
      </c>
      <c r="J1139" s="13" t="n">
        <f aca="false">'Dish Database'!J308*H1139/100</f>
        <v>83.8</v>
      </c>
      <c r="K1139" s="17" t="n">
        <f aca="false">'Dish Database'!K308*H1139/100</f>
        <v>2.2</v>
      </c>
      <c r="L1139" s="17" t="n">
        <f aca="false">'Dish Database'!L308*H1139/100</f>
        <v>9</v>
      </c>
      <c r="M1139" s="17" t="n">
        <f aca="false">'Dish Database'!M308*H1139/100</f>
        <v>5</v>
      </c>
      <c r="N1139" s="17" t="n">
        <f aca="false">'Dish Database'!N308*H1139/100</f>
        <v>3</v>
      </c>
      <c r="O1139" s="17" t="n">
        <f aca="false">'Dish Database'!O308*H1139/100</f>
        <v>3</v>
      </c>
      <c r="P1139" s="13" t="n">
        <f aca="false">'Dish Database'!P308*H1139/100</f>
        <v>250</v>
      </c>
    </row>
    <row r="1140" customFormat="false" ht="15" hidden="false" customHeight="false" outlineLevel="0" collapsed="false">
      <c r="A1140" s="6" t="str">
        <f aca="false">'Dish Database'!A308</f>
        <v>D307</v>
      </c>
      <c r="B1140" s="6" t="str">
        <f aca="false">'Dish Database'!B308</f>
        <v>Beans / carrot poriyal</v>
      </c>
      <c r="C1140" s="6" t="str">
        <f aca="false">'Dish Database'!D308</f>
        <v>Veg Dry Sabzi</v>
      </c>
      <c r="D1140" s="6" t="str">
        <f aca="false">'Dish Database'!F308</f>
        <v>Veg</v>
      </c>
      <c r="E1140" s="6" t="str">
        <f aca="false">'Dish Database'!E308</f>
        <v>South</v>
      </c>
      <c r="F1140" s="6" t="s">
        <v>2246</v>
      </c>
      <c r="G1140" s="6" t="s">
        <v>2322</v>
      </c>
      <c r="H1140" s="16" t="n">
        <v>150</v>
      </c>
      <c r="I1140" s="6" t="str">
        <f aca="false">'Dish Database'!I308</f>
        <v>g</v>
      </c>
      <c r="J1140" s="13" t="n">
        <f aca="false">'Dish Database'!J308*H1140/100</f>
        <v>125.7</v>
      </c>
      <c r="K1140" s="17" t="n">
        <f aca="false">'Dish Database'!K308*H1140/100</f>
        <v>3.3</v>
      </c>
      <c r="L1140" s="17" t="n">
        <f aca="false">'Dish Database'!L308*H1140/100</f>
        <v>13.5</v>
      </c>
      <c r="M1140" s="17" t="n">
        <f aca="false">'Dish Database'!M308*H1140/100</f>
        <v>7.5</v>
      </c>
      <c r="N1140" s="17" t="n">
        <f aca="false">'Dish Database'!N308*H1140/100</f>
        <v>4.5</v>
      </c>
      <c r="O1140" s="17" t="n">
        <f aca="false">'Dish Database'!O308*H1140/100</f>
        <v>4.5</v>
      </c>
      <c r="P1140" s="13" t="n">
        <f aca="false">'Dish Database'!P308*H1140/100</f>
        <v>375</v>
      </c>
    </row>
    <row r="1141" customFormat="false" ht="15" hidden="false" customHeight="false" outlineLevel="0" collapsed="false">
      <c r="A1141" s="6" t="str">
        <f aca="false">'Dish Database'!A308</f>
        <v>D307</v>
      </c>
      <c r="B1141" s="6" t="str">
        <f aca="false">'Dish Database'!B308</f>
        <v>Beans / carrot poriyal</v>
      </c>
      <c r="C1141" s="6" t="str">
        <f aca="false">'Dish Database'!D308</f>
        <v>Veg Dry Sabzi</v>
      </c>
      <c r="D1141" s="6" t="str">
        <f aca="false">'Dish Database'!F308</f>
        <v>Veg</v>
      </c>
      <c r="E1141" s="6" t="str">
        <f aca="false">'Dish Database'!E308</f>
        <v>South</v>
      </c>
      <c r="F1141" s="6" t="s">
        <v>2323</v>
      </c>
      <c r="G1141" s="6" t="s">
        <v>2324</v>
      </c>
      <c r="H1141" s="16" t="n">
        <v>200</v>
      </c>
      <c r="I1141" s="6" t="str">
        <f aca="false">'Dish Database'!I308</f>
        <v>g</v>
      </c>
      <c r="J1141" s="13" t="n">
        <f aca="false">'Dish Database'!J308*H1141/100</f>
        <v>167.6</v>
      </c>
      <c r="K1141" s="17" t="n">
        <f aca="false">'Dish Database'!K308*H1141/100</f>
        <v>4.4</v>
      </c>
      <c r="L1141" s="17" t="n">
        <f aca="false">'Dish Database'!L308*H1141/100</f>
        <v>18</v>
      </c>
      <c r="M1141" s="17" t="n">
        <f aca="false">'Dish Database'!M308*H1141/100</f>
        <v>10</v>
      </c>
      <c r="N1141" s="17" t="n">
        <f aca="false">'Dish Database'!N308*H1141/100</f>
        <v>6</v>
      </c>
      <c r="O1141" s="17" t="n">
        <f aca="false">'Dish Database'!O308*H1141/100</f>
        <v>6</v>
      </c>
      <c r="P1141" s="13" t="n">
        <f aca="false">'Dish Database'!P308*H1141/100</f>
        <v>500</v>
      </c>
    </row>
    <row r="1142" customFormat="false" ht="15" hidden="false" customHeight="false" outlineLevel="0" collapsed="false">
      <c r="A1142" s="6" t="str">
        <f aca="false">'Dish Database'!A308</f>
        <v>D307</v>
      </c>
      <c r="B1142" s="6" t="str">
        <f aca="false">'Dish Database'!B308</f>
        <v>Beans / carrot poriyal</v>
      </c>
      <c r="C1142" s="6" t="str">
        <f aca="false">'Dish Database'!D308</f>
        <v>Veg Dry Sabzi</v>
      </c>
      <c r="D1142" s="6" t="str">
        <f aca="false">'Dish Database'!F308</f>
        <v>Veg</v>
      </c>
      <c r="E1142" s="6" t="str">
        <f aca="false">'Dish Database'!E308</f>
        <v>South</v>
      </c>
      <c r="F1142" s="6" t="s">
        <v>2325</v>
      </c>
      <c r="G1142" s="6" t="s">
        <v>2326</v>
      </c>
      <c r="H1142" s="16" t="n">
        <v>400</v>
      </c>
      <c r="I1142" s="6" t="str">
        <f aca="false">'Dish Database'!I308</f>
        <v>g</v>
      </c>
      <c r="J1142" s="13" t="n">
        <f aca="false">'Dish Database'!J308*H1142/100</f>
        <v>335.2</v>
      </c>
      <c r="K1142" s="17" t="n">
        <f aca="false">'Dish Database'!K308*H1142/100</f>
        <v>8.8</v>
      </c>
      <c r="L1142" s="17" t="n">
        <f aca="false">'Dish Database'!L308*H1142/100</f>
        <v>36</v>
      </c>
      <c r="M1142" s="17" t="n">
        <f aca="false">'Dish Database'!M308*H1142/100</f>
        <v>20</v>
      </c>
      <c r="N1142" s="17" t="n">
        <f aca="false">'Dish Database'!N308*H1142/100</f>
        <v>12</v>
      </c>
      <c r="O1142" s="17" t="n">
        <f aca="false">'Dish Database'!O308*H1142/100</f>
        <v>12</v>
      </c>
      <c r="P1142" s="13" t="n">
        <f aca="false">'Dish Database'!P308*H1142/100</f>
        <v>1000</v>
      </c>
    </row>
    <row r="1143" customFormat="false" ht="15" hidden="false" customHeight="false" outlineLevel="0" collapsed="false">
      <c r="A1143" s="6" t="str">
        <f aca="false">'Dish Database'!A309</f>
        <v>D308</v>
      </c>
      <c r="B1143" s="6" t="str">
        <f aca="false">'Dish Database'!B309</f>
        <v>Cabbage thoran</v>
      </c>
      <c r="C1143" s="6" t="str">
        <f aca="false">'Dish Database'!D309</f>
        <v>Veg Dry Sabzi</v>
      </c>
      <c r="D1143" s="6" t="str">
        <f aca="false">'Dish Database'!F309</f>
        <v>Veg</v>
      </c>
      <c r="E1143" s="6" t="str">
        <f aca="false">'Dish Database'!E309</f>
        <v>South</v>
      </c>
      <c r="F1143" s="6" t="s">
        <v>2243</v>
      </c>
      <c r="G1143" s="6" t="s">
        <v>2320</v>
      </c>
      <c r="H1143" s="16" t="n">
        <v>75</v>
      </c>
      <c r="I1143" s="6" t="str">
        <f aca="false">'Dish Database'!I309</f>
        <v>g</v>
      </c>
      <c r="J1143" s="13" t="n">
        <f aca="false">'Dish Database'!J309*H1143/100</f>
        <v>79.425</v>
      </c>
      <c r="K1143" s="17" t="n">
        <f aca="false">'Dish Database'!K309*H1143/100</f>
        <v>1.65</v>
      </c>
      <c r="L1143" s="17" t="n">
        <f aca="false">'Dish Database'!L309*H1143/100</f>
        <v>6.75</v>
      </c>
      <c r="M1143" s="17" t="n">
        <f aca="false">'Dish Database'!M309*H1143/100</f>
        <v>5.625</v>
      </c>
      <c r="N1143" s="17" t="n">
        <f aca="false">'Dish Database'!N309*H1143/100</f>
        <v>2.4</v>
      </c>
      <c r="O1143" s="17" t="n">
        <f aca="false">'Dish Database'!O309*H1143/100</f>
        <v>2.25</v>
      </c>
      <c r="P1143" s="13" t="n">
        <f aca="false">'Dish Database'!P309*H1143/100</f>
        <v>187.5</v>
      </c>
    </row>
    <row r="1144" customFormat="false" ht="15" hidden="false" customHeight="false" outlineLevel="0" collapsed="false">
      <c r="A1144" s="6" t="str">
        <f aca="false">'Dish Database'!A309</f>
        <v>D308</v>
      </c>
      <c r="B1144" s="6" t="str">
        <f aca="false">'Dish Database'!B309</f>
        <v>Cabbage thoran</v>
      </c>
      <c r="C1144" s="6" t="str">
        <f aca="false">'Dish Database'!D309</f>
        <v>Veg Dry Sabzi</v>
      </c>
      <c r="D1144" s="6" t="str">
        <f aca="false">'Dish Database'!F309</f>
        <v>Veg</v>
      </c>
      <c r="E1144" s="6" t="str">
        <f aca="false">'Dish Database'!E309</f>
        <v>South</v>
      </c>
      <c r="F1144" s="6" t="s">
        <v>103</v>
      </c>
      <c r="G1144" s="6" t="s">
        <v>2321</v>
      </c>
      <c r="H1144" s="16" t="n">
        <v>100</v>
      </c>
      <c r="I1144" s="6" t="str">
        <f aca="false">'Dish Database'!I309</f>
        <v>g</v>
      </c>
      <c r="J1144" s="13" t="n">
        <f aca="false">'Dish Database'!J309*H1144/100</f>
        <v>105.9</v>
      </c>
      <c r="K1144" s="17" t="n">
        <f aca="false">'Dish Database'!K309*H1144/100</f>
        <v>2.2</v>
      </c>
      <c r="L1144" s="17" t="n">
        <f aca="false">'Dish Database'!L309*H1144/100</f>
        <v>9</v>
      </c>
      <c r="M1144" s="17" t="n">
        <f aca="false">'Dish Database'!M309*H1144/100</f>
        <v>7.5</v>
      </c>
      <c r="N1144" s="17" t="n">
        <f aca="false">'Dish Database'!N309*H1144/100</f>
        <v>3.2</v>
      </c>
      <c r="O1144" s="17" t="n">
        <f aca="false">'Dish Database'!O309*H1144/100</f>
        <v>3</v>
      </c>
      <c r="P1144" s="13" t="n">
        <f aca="false">'Dish Database'!P309*H1144/100</f>
        <v>250</v>
      </c>
    </row>
    <row r="1145" customFormat="false" ht="15" hidden="false" customHeight="false" outlineLevel="0" collapsed="false">
      <c r="A1145" s="6" t="str">
        <f aca="false">'Dish Database'!A309</f>
        <v>D308</v>
      </c>
      <c r="B1145" s="6" t="str">
        <f aca="false">'Dish Database'!B309</f>
        <v>Cabbage thoran</v>
      </c>
      <c r="C1145" s="6" t="str">
        <f aca="false">'Dish Database'!D309</f>
        <v>Veg Dry Sabzi</v>
      </c>
      <c r="D1145" s="6" t="str">
        <f aca="false">'Dish Database'!F309</f>
        <v>Veg</v>
      </c>
      <c r="E1145" s="6" t="str">
        <f aca="false">'Dish Database'!E309</f>
        <v>South</v>
      </c>
      <c r="F1145" s="6" t="s">
        <v>2246</v>
      </c>
      <c r="G1145" s="6" t="s">
        <v>2322</v>
      </c>
      <c r="H1145" s="16" t="n">
        <v>150</v>
      </c>
      <c r="I1145" s="6" t="str">
        <f aca="false">'Dish Database'!I309</f>
        <v>g</v>
      </c>
      <c r="J1145" s="13" t="n">
        <f aca="false">'Dish Database'!J309*H1145/100</f>
        <v>158.85</v>
      </c>
      <c r="K1145" s="17" t="n">
        <f aca="false">'Dish Database'!K309*H1145/100</f>
        <v>3.3</v>
      </c>
      <c r="L1145" s="17" t="n">
        <f aca="false">'Dish Database'!L309*H1145/100</f>
        <v>13.5</v>
      </c>
      <c r="M1145" s="17" t="n">
        <f aca="false">'Dish Database'!M309*H1145/100</f>
        <v>11.25</v>
      </c>
      <c r="N1145" s="17" t="n">
        <f aca="false">'Dish Database'!N309*H1145/100</f>
        <v>4.8</v>
      </c>
      <c r="O1145" s="17" t="n">
        <f aca="false">'Dish Database'!O309*H1145/100</f>
        <v>4.5</v>
      </c>
      <c r="P1145" s="13" t="n">
        <f aca="false">'Dish Database'!P309*H1145/100</f>
        <v>375</v>
      </c>
    </row>
    <row r="1146" customFormat="false" ht="15" hidden="false" customHeight="false" outlineLevel="0" collapsed="false">
      <c r="A1146" s="6" t="str">
        <f aca="false">'Dish Database'!A309</f>
        <v>D308</v>
      </c>
      <c r="B1146" s="6" t="str">
        <f aca="false">'Dish Database'!B309</f>
        <v>Cabbage thoran</v>
      </c>
      <c r="C1146" s="6" t="str">
        <f aca="false">'Dish Database'!D309</f>
        <v>Veg Dry Sabzi</v>
      </c>
      <c r="D1146" s="6" t="str">
        <f aca="false">'Dish Database'!F309</f>
        <v>Veg</v>
      </c>
      <c r="E1146" s="6" t="str">
        <f aca="false">'Dish Database'!E309</f>
        <v>South</v>
      </c>
      <c r="F1146" s="6" t="s">
        <v>2323</v>
      </c>
      <c r="G1146" s="6" t="s">
        <v>2324</v>
      </c>
      <c r="H1146" s="16" t="n">
        <v>200</v>
      </c>
      <c r="I1146" s="6" t="str">
        <f aca="false">'Dish Database'!I309</f>
        <v>g</v>
      </c>
      <c r="J1146" s="13" t="n">
        <f aca="false">'Dish Database'!J309*H1146/100</f>
        <v>211.8</v>
      </c>
      <c r="K1146" s="17" t="n">
        <f aca="false">'Dish Database'!K309*H1146/100</f>
        <v>4.4</v>
      </c>
      <c r="L1146" s="17" t="n">
        <f aca="false">'Dish Database'!L309*H1146/100</f>
        <v>18</v>
      </c>
      <c r="M1146" s="17" t="n">
        <f aca="false">'Dish Database'!M309*H1146/100</f>
        <v>15</v>
      </c>
      <c r="N1146" s="17" t="n">
        <f aca="false">'Dish Database'!N309*H1146/100</f>
        <v>6.4</v>
      </c>
      <c r="O1146" s="17" t="n">
        <f aca="false">'Dish Database'!O309*H1146/100</f>
        <v>6</v>
      </c>
      <c r="P1146" s="13" t="n">
        <f aca="false">'Dish Database'!P309*H1146/100</f>
        <v>500</v>
      </c>
    </row>
    <row r="1147" customFormat="false" ht="15" hidden="false" customHeight="false" outlineLevel="0" collapsed="false">
      <c r="A1147" s="6" t="str">
        <f aca="false">'Dish Database'!A309</f>
        <v>D308</v>
      </c>
      <c r="B1147" s="6" t="str">
        <f aca="false">'Dish Database'!B309</f>
        <v>Cabbage thoran</v>
      </c>
      <c r="C1147" s="6" t="str">
        <f aca="false">'Dish Database'!D309</f>
        <v>Veg Dry Sabzi</v>
      </c>
      <c r="D1147" s="6" t="str">
        <f aca="false">'Dish Database'!F309</f>
        <v>Veg</v>
      </c>
      <c r="E1147" s="6" t="str">
        <f aca="false">'Dish Database'!E309</f>
        <v>South</v>
      </c>
      <c r="F1147" s="6" t="s">
        <v>2325</v>
      </c>
      <c r="G1147" s="6" t="s">
        <v>2326</v>
      </c>
      <c r="H1147" s="16" t="n">
        <v>400</v>
      </c>
      <c r="I1147" s="6" t="str">
        <f aca="false">'Dish Database'!I309</f>
        <v>g</v>
      </c>
      <c r="J1147" s="13" t="n">
        <f aca="false">'Dish Database'!J309*H1147/100</f>
        <v>423.6</v>
      </c>
      <c r="K1147" s="17" t="n">
        <f aca="false">'Dish Database'!K309*H1147/100</f>
        <v>8.8</v>
      </c>
      <c r="L1147" s="17" t="n">
        <f aca="false">'Dish Database'!L309*H1147/100</f>
        <v>36</v>
      </c>
      <c r="M1147" s="17" t="n">
        <f aca="false">'Dish Database'!M309*H1147/100</f>
        <v>30</v>
      </c>
      <c r="N1147" s="17" t="n">
        <f aca="false">'Dish Database'!N309*H1147/100</f>
        <v>12.8</v>
      </c>
      <c r="O1147" s="17" t="n">
        <f aca="false">'Dish Database'!O309*H1147/100</f>
        <v>12</v>
      </c>
      <c r="P1147" s="13" t="n">
        <f aca="false">'Dish Database'!P309*H1147/100</f>
        <v>1000</v>
      </c>
    </row>
    <row r="1148" customFormat="false" ht="15" hidden="false" customHeight="false" outlineLevel="0" collapsed="false">
      <c r="A1148" s="6" t="str">
        <f aca="false">'Dish Database'!A310</f>
        <v>D309</v>
      </c>
      <c r="B1148" s="6" t="str">
        <f aca="false">'Dish Database'!B310</f>
        <v>Aloo posto</v>
      </c>
      <c r="C1148" s="6" t="str">
        <f aca="false">'Dish Database'!D310</f>
        <v>Veg Dry Sabzi</v>
      </c>
      <c r="D1148" s="6" t="str">
        <f aca="false">'Dish Database'!F310</f>
        <v>Veg</v>
      </c>
      <c r="E1148" s="6" t="str">
        <f aca="false">'Dish Database'!E310</f>
        <v>East</v>
      </c>
      <c r="F1148" s="6" t="s">
        <v>2243</v>
      </c>
      <c r="G1148" s="6" t="s">
        <v>2320</v>
      </c>
      <c r="H1148" s="16" t="n">
        <v>75</v>
      </c>
      <c r="I1148" s="6" t="str">
        <f aca="false">'Dish Database'!I310</f>
        <v>g</v>
      </c>
      <c r="J1148" s="13" t="n">
        <f aca="false">'Dish Database'!J310*H1148/100</f>
        <v>119.25</v>
      </c>
      <c r="K1148" s="17" t="n">
        <f aca="false">'Dish Database'!K310*H1148/100</f>
        <v>2.625</v>
      </c>
      <c r="L1148" s="17" t="n">
        <f aca="false">'Dish Database'!L310*H1148/100</f>
        <v>11.25</v>
      </c>
      <c r="M1148" s="17" t="n">
        <f aca="false">'Dish Database'!M310*H1148/100</f>
        <v>7.5</v>
      </c>
      <c r="N1148" s="17" t="n">
        <f aca="false">'Dish Database'!N310*H1148/100</f>
        <v>1.875</v>
      </c>
      <c r="O1148" s="17" t="n">
        <f aca="false">'Dish Database'!O310*H1148/100</f>
        <v>0.6</v>
      </c>
      <c r="P1148" s="13" t="n">
        <f aca="false">'Dish Database'!P310*H1148/100</f>
        <v>225</v>
      </c>
    </row>
    <row r="1149" customFormat="false" ht="15" hidden="false" customHeight="false" outlineLevel="0" collapsed="false">
      <c r="A1149" s="6" t="str">
        <f aca="false">'Dish Database'!A310</f>
        <v>D309</v>
      </c>
      <c r="B1149" s="6" t="str">
        <f aca="false">'Dish Database'!B310</f>
        <v>Aloo posto</v>
      </c>
      <c r="C1149" s="6" t="str">
        <f aca="false">'Dish Database'!D310</f>
        <v>Veg Dry Sabzi</v>
      </c>
      <c r="D1149" s="6" t="str">
        <f aca="false">'Dish Database'!F310</f>
        <v>Veg</v>
      </c>
      <c r="E1149" s="6" t="str">
        <f aca="false">'Dish Database'!E310</f>
        <v>East</v>
      </c>
      <c r="F1149" s="6" t="s">
        <v>103</v>
      </c>
      <c r="G1149" s="6" t="s">
        <v>2321</v>
      </c>
      <c r="H1149" s="16" t="n">
        <v>100</v>
      </c>
      <c r="I1149" s="6" t="str">
        <f aca="false">'Dish Database'!I310</f>
        <v>g</v>
      </c>
      <c r="J1149" s="13" t="n">
        <f aca="false">'Dish Database'!J310*H1149/100</f>
        <v>159</v>
      </c>
      <c r="K1149" s="17" t="n">
        <f aca="false">'Dish Database'!K310*H1149/100</f>
        <v>3.5</v>
      </c>
      <c r="L1149" s="17" t="n">
        <f aca="false">'Dish Database'!L310*H1149/100</f>
        <v>15</v>
      </c>
      <c r="M1149" s="17" t="n">
        <f aca="false">'Dish Database'!M310*H1149/100</f>
        <v>10</v>
      </c>
      <c r="N1149" s="17" t="n">
        <f aca="false">'Dish Database'!N310*H1149/100</f>
        <v>2.5</v>
      </c>
      <c r="O1149" s="17" t="n">
        <f aca="false">'Dish Database'!O310*H1149/100</f>
        <v>0.8</v>
      </c>
      <c r="P1149" s="13" t="n">
        <f aca="false">'Dish Database'!P310*H1149/100</f>
        <v>300</v>
      </c>
    </row>
    <row r="1150" customFormat="false" ht="15" hidden="false" customHeight="false" outlineLevel="0" collapsed="false">
      <c r="A1150" s="6" t="str">
        <f aca="false">'Dish Database'!A310</f>
        <v>D309</v>
      </c>
      <c r="B1150" s="6" t="str">
        <f aca="false">'Dish Database'!B310</f>
        <v>Aloo posto</v>
      </c>
      <c r="C1150" s="6" t="str">
        <f aca="false">'Dish Database'!D310</f>
        <v>Veg Dry Sabzi</v>
      </c>
      <c r="D1150" s="6" t="str">
        <f aca="false">'Dish Database'!F310</f>
        <v>Veg</v>
      </c>
      <c r="E1150" s="6" t="str">
        <f aca="false">'Dish Database'!E310</f>
        <v>East</v>
      </c>
      <c r="F1150" s="6" t="s">
        <v>2246</v>
      </c>
      <c r="G1150" s="6" t="s">
        <v>2322</v>
      </c>
      <c r="H1150" s="16" t="n">
        <v>150</v>
      </c>
      <c r="I1150" s="6" t="str">
        <f aca="false">'Dish Database'!I310</f>
        <v>g</v>
      </c>
      <c r="J1150" s="13" t="n">
        <f aca="false">'Dish Database'!J310*H1150/100</f>
        <v>238.5</v>
      </c>
      <c r="K1150" s="17" t="n">
        <f aca="false">'Dish Database'!K310*H1150/100</f>
        <v>5.25</v>
      </c>
      <c r="L1150" s="17" t="n">
        <f aca="false">'Dish Database'!L310*H1150/100</f>
        <v>22.5</v>
      </c>
      <c r="M1150" s="17" t="n">
        <f aca="false">'Dish Database'!M310*H1150/100</f>
        <v>15</v>
      </c>
      <c r="N1150" s="17" t="n">
        <f aca="false">'Dish Database'!N310*H1150/100</f>
        <v>3.75</v>
      </c>
      <c r="O1150" s="17" t="n">
        <f aca="false">'Dish Database'!O310*H1150/100</f>
        <v>1.2</v>
      </c>
      <c r="P1150" s="13" t="n">
        <f aca="false">'Dish Database'!P310*H1150/100</f>
        <v>450</v>
      </c>
    </row>
    <row r="1151" customFormat="false" ht="15" hidden="false" customHeight="false" outlineLevel="0" collapsed="false">
      <c r="A1151" s="6" t="str">
        <f aca="false">'Dish Database'!A310</f>
        <v>D309</v>
      </c>
      <c r="B1151" s="6" t="str">
        <f aca="false">'Dish Database'!B310</f>
        <v>Aloo posto</v>
      </c>
      <c r="C1151" s="6" t="str">
        <f aca="false">'Dish Database'!D310</f>
        <v>Veg Dry Sabzi</v>
      </c>
      <c r="D1151" s="6" t="str">
        <f aca="false">'Dish Database'!F310</f>
        <v>Veg</v>
      </c>
      <c r="E1151" s="6" t="str">
        <f aca="false">'Dish Database'!E310</f>
        <v>East</v>
      </c>
      <c r="F1151" s="6" t="s">
        <v>2323</v>
      </c>
      <c r="G1151" s="6" t="s">
        <v>2324</v>
      </c>
      <c r="H1151" s="16" t="n">
        <v>200</v>
      </c>
      <c r="I1151" s="6" t="str">
        <f aca="false">'Dish Database'!I310</f>
        <v>g</v>
      </c>
      <c r="J1151" s="13" t="n">
        <f aca="false">'Dish Database'!J310*H1151/100</f>
        <v>318</v>
      </c>
      <c r="K1151" s="17" t="n">
        <f aca="false">'Dish Database'!K310*H1151/100</f>
        <v>7</v>
      </c>
      <c r="L1151" s="17" t="n">
        <f aca="false">'Dish Database'!L310*H1151/100</f>
        <v>30</v>
      </c>
      <c r="M1151" s="17" t="n">
        <f aca="false">'Dish Database'!M310*H1151/100</f>
        <v>20</v>
      </c>
      <c r="N1151" s="17" t="n">
        <f aca="false">'Dish Database'!N310*H1151/100</f>
        <v>5</v>
      </c>
      <c r="O1151" s="17" t="n">
        <f aca="false">'Dish Database'!O310*H1151/100</f>
        <v>1.6</v>
      </c>
      <c r="P1151" s="13" t="n">
        <f aca="false">'Dish Database'!P310*H1151/100</f>
        <v>600</v>
      </c>
    </row>
    <row r="1152" customFormat="false" ht="15" hidden="false" customHeight="false" outlineLevel="0" collapsed="false">
      <c r="A1152" s="6" t="str">
        <f aca="false">'Dish Database'!A310</f>
        <v>D309</v>
      </c>
      <c r="B1152" s="6" t="str">
        <f aca="false">'Dish Database'!B310</f>
        <v>Aloo posto</v>
      </c>
      <c r="C1152" s="6" t="str">
        <f aca="false">'Dish Database'!D310</f>
        <v>Veg Dry Sabzi</v>
      </c>
      <c r="D1152" s="6" t="str">
        <f aca="false">'Dish Database'!F310</f>
        <v>Veg</v>
      </c>
      <c r="E1152" s="6" t="str">
        <f aca="false">'Dish Database'!E310</f>
        <v>East</v>
      </c>
      <c r="F1152" s="6" t="s">
        <v>2325</v>
      </c>
      <c r="G1152" s="6" t="s">
        <v>2326</v>
      </c>
      <c r="H1152" s="16" t="n">
        <v>400</v>
      </c>
      <c r="I1152" s="6" t="str">
        <f aca="false">'Dish Database'!I310</f>
        <v>g</v>
      </c>
      <c r="J1152" s="13" t="n">
        <f aca="false">'Dish Database'!J310*H1152/100</f>
        <v>636</v>
      </c>
      <c r="K1152" s="17" t="n">
        <f aca="false">'Dish Database'!K310*H1152/100</f>
        <v>14</v>
      </c>
      <c r="L1152" s="17" t="n">
        <f aca="false">'Dish Database'!L310*H1152/100</f>
        <v>60</v>
      </c>
      <c r="M1152" s="17" t="n">
        <f aca="false">'Dish Database'!M310*H1152/100</f>
        <v>40</v>
      </c>
      <c r="N1152" s="17" t="n">
        <f aca="false">'Dish Database'!N310*H1152/100</f>
        <v>10</v>
      </c>
      <c r="O1152" s="17" t="n">
        <f aca="false">'Dish Database'!O310*H1152/100</f>
        <v>3.2</v>
      </c>
      <c r="P1152" s="13" t="n">
        <f aca="false">'Dish Database'!P310*H1152/100</f>
        <v>1200</v>
      </c>
    </row>
    <row r="1153" customFormat="false" ht="15" hidden="false" customHeight="false" outlineLevel="0" collapsed="false">
      <c r="A1153" s="6" t="str">
        <f aca="false">'Dish Database'!A311</f>
        <v>D310</v>
      </c>
      <c r="B1153" s="6" t="str">
        <f aca="false">'Dish Database'!B311</f>
        <v>Begun bhaja</v>
      </c>
      <c r="C1153" s="6" t="str">
        <f aca="false">'Dish Database'!D311</f>
        <v>Veg Dry Sabzi</v>
      </c>
      <c r="D1153" s="6" t="str">
        <f aca="false">'Dish Database'!F311</f>
        <v>Veg</v>
      </c>
      <c r="E1153" s="6" t="str">
        <f aca="false">'Dish Database'!E311</f>
        <v>East</v>
      </c>
      <c r="F1153" s="6" t="s">
        <v>2243</v>
      </c>
      <c r="G1153" s="6" t="s">
        <v>2320</v>
      </c>
      <c r="H1153" s="16" t="n">
        <v>75</v>
      </c>
      <c r="I1153" s="6" t="str">
        <f aca="false">'Dish Database'!I311</f>
        <v>g</v>
      </c>
      <c r="J1153" s="13" t="n">
        <f aca="false">'Dish Database'!J311*H1153/100</f>
        <v>105</v>
      </c>
      <c r="K1153" s="17" t="n">
        <f aca="false">'Dish Database'!K311*H1153/100</f>
        <v>1.125</v>
      </c>
      <c r="L1153" s="17" t="n">
        <f aca="false">'Dish Database'!L311*H1153/100</f>
        <v>6</v>
      </c>
      <c r="M1153" s="17" t="n">
        <f aca="false">'Dish Database'!M311*H1153/100</f>
        <v>9</v>
      </c>
      <c r="N1153" s="17" t="n">
        <f aca="false">'Dish Database'!N311*H1153/100</f>
        <v>2.25</v>
      </c>
      <c r="O1153" s="17" t="n">
        <f aca="false">'Dish Database'!O311*H1153/100</f>
        <v>2.25</v>
      </c>
      <c r="P1153" s="13" t="n">
        <f aca="false">'Dish Database'!P311*H1153/100</f>
        <v>225</v>
      </c>
    </row>
    <row r="1154" customFormat="false" ht="15" hidden="false" customHeight="false" outlineLevel="0" collapsed="false">
      <c r="A1154" s="6" t="str">
        <f aca="false">'Dish Database'!A311</f>
        <v>D310</v>
      </c>
      <c r="B1154" s="6" t="str">
        <f aca="false">'Dish Database'!B311</f>
        <v>Begun bhaja</v>
      </c>
      <c r="C1154" s="6" t="str">
        <f aca="false">'Dish Database'!D311</f>
        <v>Veg Dry Sabzi</v>
      </c>
      <c r="D1154" s="6" t="str">
        <f aca="false">'Dish Database'!F311</f>
        <v>Veg</v>
      </c>
      <c r="E1154" s="6" t="str">
        <f aca="false">'Dish Database'!E311</f>
        <v>East</v>
      </c>
      <c r="F1154" s="6" t="s">
        <v>103</v>
      </c>
      <c r="G1154" s="6" t="s">
        <v>2321</v>
      </c>
      <c r="H1154" s="16" t="n">
        <v>100</v>
      </c>
      <c r="I1154" s="6" t="str">
        <f aca="false">'Dish Database'!I311</f>
        <v>g</v>
      </c>
      <c r="J1154" s="13" t="n">
        <f aca="false">'Dish Database'!J311*H1154/100</f>
        <v>140</v>
      </c>
      <c r="K1154" s="17" t="n">
        <f aca="false">'Dish Database'!K311*H1154/100</f>
        <v>1.5</v>
      </c>
      <c r="L1154" s="17" t="n">
        <f aca="false">'Dish Database'!L311*H1154/100</f>
        <v>8</v>
      </c>
      <c r="M1154" s="17" t="n">
        <f aca="false">'Dish Database'!M311*H1154/100</f>
        <v>12</v>
      </c>
      <c r="N1154" s="17" t="n">
        <f aca="false">'Dish Database'!N311*H1154/100</f>
        <v>3</v>
      </c>
      <c r="O1154" s="17" t="n">
        <f aca="false">'Dish Database'!O311*H1154/100</f>
        <v>3</v>
      </c>
      <c r="P1154" s="13" t="n">
        <f aca="false">'Dish Database'!P311*H1154/100</f>
        <v>300</v>
      </c>
    </row>
    <row r="1155" customFormat="false" ht="15" hidden="false" customHeight="false" outlineLevel="0" collapsed="false">
      <c r="A1155" s="6" t="str">
        <f aca="false">'Dish Database'!A311</f>
        <v>D310</v>
      </c>
      <c r="B1155" s="6" t="str">
        <f aca="false">'Dish Database'!B311</f>
        <v>Begun bhaja</v>
      </c>
      <c r="C1155" s="6" t="str">
        <f aca="false">'Dish Database'!D311</f>
        <v>Veg Dry Sabzi</v>
      </c>
      <c r="D1155" s="6" t="str">
        <f aca="false">'Dish Database'!F311</f>
        <v>Veg</v>
      </c>
      <c r="E1155" s="6" t="str">
        <f aca="false">'Dish Database'!E311</f>
        <v>East</v>
      </c>
      <c r="F1155" s="6" t="s">
        <v>2246</v>
      </c>
      <c r="G1155" s="6" t="s">
        <v>2322</v>
      </c>
      <c r="H1155" s="16" t="n">
        <v>150</v>
      </c>
      <c r="I1155" s="6" t="str">
        <f aca="false">'Dish Database'!I311</f>
        <v>g</v>
      </c>
      <c r="J1155" s="13" t="n">
        <f aca="false">'Dish Database'!J311*H1155/100</f>
        <v>210</v>
      </c>
      <c r="K1155" s="17" t="n">
        <f aca="false">'Dish Database'!K311*H1155/100</f>
        <v>2.25</v>
      </c>
      <c r="L1155" s="17" t="n">
        <f aca="false">'Dish Database'!L311*H1155/100</f>
        <v>12</v>
      </c>
      <c r="M1155" s="17" t="n">
        <f aca="false">'Dish Database'!M311*H1155/100</f>
        <v>18</v>
      </c>
      <c r="N1155" s="17" t="n">
        <f aca="false">'Dish Database'!N311*H1155/100</f>
        <v>4.5</v>
      </c>
      <c r="O1155" s="17" t="n">
        <f aca="false">'Dish Database'!O311*H1155/100</f>
        <v>4.5</v>
      </c>
      <c r="P1155" s="13" t="n">
        <f aca="false">'Dish Database'!P311*H1155/100</f>
        <v>450</v>
      </c>
    </row>
    <row r="1156" customFormat="false" ht="15" hidden="false" customHeight="false" outlineLevel="0" collapsed="false">
      <c r="A1156" s="6" t="str">
        <f aca="false">'Dish Database'!A311</f>
        <v>D310</v>
      </c>
      <c r="B1156" s="6" t="str">
        <f aca="false">'Dish Database'!B311</f>
        <v>Begun bhaja</v>
      </c>
      <c r="C1156" s="6" t="str">
        <f aca="false">'Dish Database'!D311</f>
        <v>Veg Dry Sabzi</v>
      </c>
      <c r="D1156" s="6" t="str">
        <f aca="false">'Dish Database'!F311</f>
        <v>Veg</v>
      </c>
      <c r="E1156" s="6" t="str">
        <f aca="false">'Dish Database'!E311</f>
        <v>East</v>
      </c>
      <c r="F1156" s="6" t="s">
        <v>2323</v>
      </c>
      <c r="G1156" s="6" t="s">
        <v>2324</v>
      </c>
      <c r="H1156" s="16" t="n">
        <v>200</v>
      </c>
      <c r="I1156" s="6" t="str">
        <f aca="false">'Dish Database'!I311</f>
        <v>g</v>
      </c>
      <c r="J1156" s="13" t="n">
        <f aca="false">'Dish Database'!J311*H1156/100</f>
        <v>280</v>
      </c>
      <c r="K1156" s="17" t="n">
        <f aca="false">'Dish Database'!K311*H1156/100</f>
        <v>3</v>
      </c>
      <c r="L1156" s="17" t="n">
        <f aca="false">'Dish Database'!L311*H1156/100</f>
        <v>16</v>
      </c>
      <c r="M1156" s="17" t="n">
        <f aca="false">'Dish Database'!M311*H1156/100</f>
        <v>24</v>
      </c>
      <c r="N1156" s="17" t="n">
        <f aca="false">'Dish Database'!N311*H1156/100</f>
        <v>6</v>
      </c>
      <c r="O1156" s="17" t="n">
        <f aca="false">'Dish Database'!O311*H1156/100</f>
        <v>6</v>
      </c>
      <c r="P1156" s="13" t="n">
        <f aca="false">'Dish Database'!P311*H1156/100</f>
        <v>600</v>
      </c>
    </row>
    <row r="1157" customFormat="false" ht="15" hidden="false" customHeight="false" outlineLevel="0" collapsed="false">
      <c r="A1157" s="6" t="str">
        <f aca="false">'Dish Database'!A311</f>
        <v>D310</v>
      </c>
      <c r="B1157" s="6" t="str">
        <f aca="false">'Dish Database'!B311</f>
        <v>Begun bhaja</v>
      </c>
      <c r="C1157" s="6" t="str">
        <f aca="false">'Dish Database'!D311</f>
        <v>Veg Dry Sabzi</v>
      </c>
      <c r="D1157" s="6" t="str">
        <f aca="false">'Dish Database'!F311</f>
        <v>Veg</v>
      </c>
      <c r="E1157" s="6" t="str">
        <f aca="false">'Dish Database'!E311</f>
        <v>East</v>
      </c>
      <c r="F1157" s="6" t="s">
        <v>2325</v>
      </c>
      <c r="G1157" s="6" t="s">
        <v>2326</v>
      </c>
      <c r="H1157" s="16" t="n">
        <v>400</v>
      </c>
      <c r="I1157" s="6" t="str">
        <f aca="false">'Dish Database'!I311</f>
        <v>g</v>
      </c>
      <c r="J1157" s="13" t="n">
        <f aca="false">'Dish Database'!J311*H1157/100</f>
        <v>560</v>
      </c>
      <c r="K1157" s="17" t="n">
        <f aca="false">'Dish Database'!K311*H1157/100</f>
        <v>6</v>
      </c>
      <c r="L1157" s="17" t="n">
        <f aca="false">'Dish Database'!L311*H1157/100</f>
        <v>32</v>
      </c>
      <c r="M1157" s="17" t="n">
        <f aca="false">'Dish Database'!M311*H1157/100</f>
        <v>48</v>
      </c>
      <c r="N1157" s="17" t="n">
        <f aca="false">'Dish Database'!N311*H1157/100</f>
        <v>12</v>
      </c>
      <c r="O1157" s="17" t="n">
        <f aca="false">'Dish Database'!O311*H1157/100</f>
        <v>12</v>
      </c>
      <c r="P1157" s="13" t="n">
        <f aca="false">'Dish Database'!P311*H1157/100</f>
        <v>1200</v>
      </c>
    </row>
    <row r="1158" customFormat="false" ht="15" hidden="false" customHeight="false" outlineLevel="0" collapsed="false">
      <c r="A1158" s="6" t="str">
        <f aca="false">'Dish Database'!A312</f>
        <v>D311</v>
      </c>
      <c r="B1158" s="6" t="str">
        <f aca="false">'Dish Database'!B312</f>
        <v>Zunka / pithla</v>
      </c>
      <c r="C1158" s="6" t="str">
        <f aca="false">'Dish Database'!D312</f>
        <v>Veg Dry Sabzi</v>
      </c>
      <c r="D1158" s="6" t="str">
        <f aca="false">'Dish Database'!F312</f>
        <v>Veg</v>
      </c>
      <c r="E1158" s="6" t="str">
        <f aca="false">'Dish Database'!E312</f>
        <v>West</v>
      </c>
      <c r="F1158" s="6" t="s">
        <v>2243</v>
      </c>
      <c r="G1158" s="6" t="s">
        <v>2320</v>
      </c>
      <c r="H1158" s="16" t="n">
        <v>75</v>
      </c>
      <c r="I1158" s="6" t="str">
        <f aca="false">'Dish Database'!I312</f>
        <v>g</v>
      </c>
      <c r="J1158" s="13" t="n">
        <f aca="false">'Dish Database'!J312*H1158/100</f>
        <v>114</v>
      </c>
      <c r="K1158" s="17" t="n">
        <f aca="false">'Dish Database'!K312*H1158/100</f>
        <v>5.25</v>
      </c>
      <c r="L1158" s="17" t="n">
        <f aca="false">'Dish Database'!L312*H1158/100</f>
        <v>11.25</v>
      </c>
      <c r="M1158" s="17" t="n">
        <f aca="false">'Dish Database'!M312*H1158/100</f>
        <v>6</v>
      </c>
      <c r="N1158" s="17" t="n">
        <f aca="false">'Dish Database'!N312*H1158/100</f>
        <v>3</v>
      </c>
      <c r="O1158" s="17" t="n">
        <f aca="false">'Dish Database'!O312*H1158/100</f>
        <v>1.5</v>
      </c>
      <c r="P1158" s="13" t="n">
        <f aca="false">'Dish Database'!P312*H1158/100</f>
        <v>300</v>
      </c>
    </row>
    <row r="1159" customFormat="false" ht="15" hidden="false" customHeight="false" outlineLevel="0" collapsed="false">
      <c r="A1159" s="6" t="str">
        <f aca="false">'Dish Database'!A312</f>
        <v>D311</v>
      </c>
      <c r="B1159" s="6" t="str">
        <f aca="false">'Dish Database'!B312</f>
        <v>Zunka / pithla</v>
      </c>
      <c r="C1159" s="6" t="str">
        <f aca="false">'Dish Database'!D312</f>
        <v>Veg Dry Sabzi</v>
      </c>
      <c r="D1159" s="6" t="str">
        <f aca="false">'Dish Database'!F312</f>
        <v>Veg</v>
      </c>
      <c r="E1159" s="6" t="str">
        <f aca="false">'Dish Database'!E312</f>
        <v>West</v>
      </c>
      <c r="F1159" s="6" t="s">
        <v>103</v>
      </c>
      <c r="G1159" s="6" t="s">
        <v>2321</v>
      </c>
      <c r="H1159" s="16" t="n">
        <v>100</v>
      </c>
      <c r="I1159" s="6" t="str">
        <f aca="false">'Dish Database'!I312</f>
        <v>g</v>
      </c>
      <c r="J1159" s="13" t="n">
        <f aca="false">'Dish Database'!J312*H1159/100</f>
        <v>152</v>
      </c>
      <c r="K1159" s="17" t="n">
        <f aca="false">'Dish Database'!K312*H1159/100</f>
        <v>7</v>
      </c>
      <c r="L1159" s="17" t="n">
        <f aca="false">'Dish Database'!L312*H1159/100</f>
        <v>15</v>
      </c>
      <c r="M1159" s="17" t="n">
        <f aca="false">'Dish Database'!M312*H1159/100</f>
        <v>8</v>
      </c>
      <c r="N1159" s="17" t="n">
        <f aca="false">'Dish Database'!N312*H1159/100</f>
        <v>4</v>
      </c>
      <c r="O1159" s="17" t="n">
        <f aca="false">'Dish Database'!O312*H1159/100</f>
        <v>2</v>
      </c>
      <c r="P1159" s="13" t="n">
        <f aca="false">'Dish Database'!P312*H1159/100</f>
        <v>400</v>
      </c>
    </row>
    <row r="1160" customFormat="false" ht="15" hidden="false" customHeight="false" outlineLevel="0" collapsed="false">
      <c r="A1160" s="6" t="str">
        <f aca="false">'Dish Database'!A312</f>
        <v>D311</v>
      </c>
      <c r="B1160" s="6" t="str">
        <f aca="false">'Dish Database'!B312</f>
        <v>Zunka / pithla</v>
      </c>
      <c r="C1160" s="6" t="str">
        <f aca="false">'Dish Database'!D312</f>
        <v>Veg Dry Sabzi</v>
      </c>
      <c r="D1160" s="6" t="str">
        <f aca="false">'Dish Database'!F312</f>
        <v>Veg</v>
      </c>
      <c r="E1160" s="6" t="str">
        <f aca="false">'Dish Database'!E312</f>
        <v>West</v>
      </c>
      <c r="F1160" s="6" t="s">
        <v>2246</v>
      </c>
      <c r="G1160" s="6" t="s">
        <v>2322</v>
      </c>
      <c r="H1160" s="16" t="n">
        <v>150</v>
      </c>
      <c r="I1160" s="6" t="str">
        <f aca="false">'Dish Database'!I312</f>
        <v>g</v>
      </c>
      <c r="J1160" s="13" t="n">
        <f aca="false">'Dish Database'!J312*H1160/100</f>
        <v>228</v>
      </c>
      <c r="K1160" s="17" t="n">
        <f aca="false">'Dish Database'!K312*H1160/100</f>
        <v>10.5</v>
      </c>
      <c r="L1160" s="17" t="n">
        <f aca="false">'Dish Database'!L312*H1160/100</f>
        <v>22.5</v>
      </c>
      <c r="M1160" s="17" t="n">
        <f aca="false">'Dish Database'!M312*H1160/100</f>
        <v>12</v>
      </c>
      <c r="N1160" s="17" t="n">
        <f aca="false">'Dish Database'!N312*H1160/100</f>
        <v>6</v>
      </c>
      <c r="O1160" s="17" t="n">
        <f aca="false">'Dish Database'!O312*H1160/100</f>
        <v>3</v>
      </c>
      <c r="P1160" s="13" t="n">
        <f aca="false">'Dish Database'!P312*H1160/100</f>
        <v>600</v>
      </c>
    </row>
    <row r="1161" customFormat="false" ht="15" hidden="false" customHeight="false" outlineLevel="0" collapsed="false">
      <c r="A1161" s="6" t="str">
        <f aca="false">'Dish Database'!A312</f>
        <v>D311</v>
      </c>
      <c r="B1161" s="6" t="str">
        <f aca="false">'Dish Database'!B312</f>
        <v>Zunka / pithla</v>
      </c>
      <c r="C1161" s="6" t="str">
        <f aca="false">'Dish Database'!D312</f>
        <v>Veg Dry Sabzi</v>
      </c>
      <c r="D1161" s="6" t="str">
        <f aca="false">'Dish Database'!F312</f>
        <v>Veg</v>
      </c>
      <c r="E1161" s="6" t="str">
        <f aca="false">'Dish Database'!E312</f>
        <v>West</v>
      </c>
      <c r="F1161" s="6" t="s">
        <v>2323</v>
      </c>
      <c r="G1161" s="6" t="s">
        <v>2324</v>
      </c>
      <c r="H1161" s="16" t="n">
        <v>200</v>
      </c>
      <c r="I1161" s="6" t="str">
        <f aca="false">'Dish Database'!I312</f>
        <v>g</v>
      </c>
      <c r="J1161" s="13" t="n">
        <f aca="false">'Dish Database'!J312*H1161/100</f>
        <v>304</v>
      </c>
      <c r="K1161" s="17" t="n">
        <f aca="false">'Dish Database'!K312*H1161/100</f>
        <v>14</v>
      </c>
      <c r="L1161" s="17" t="n">
        <f aca="false">'Dish Database'!L312*H1161/100</f>
        <v>30</v>
      </c>
      <c r="M1161" s="17" t="n">
        <f aca="false">'Dish Database'!M312*H1161/100</f>
        <v>16</v>
      </c>
      <c r="N1161" s="17" t="n">
        <f aca="false">'Dish Database'!N312*H1161/100</f>
        <v>8</v>
      </c>
      <c r="O1161" s="17" t="n">
        <f aca="false">'Dish Database'!O312*H1161/100</f>
        <v>4</v>
      </c>
      <c r="P1161" s="13" t="n">
        <f aca="false">'Dish Database'!P312*H1161/100</f>
        <v>800</v>
      </c>
    </row>
    <row r="1162" customFormat="false" ht="15" hidden="false" customHeight="false" outlineLevel="0" collapsed="false">
      <c r="A1162" s="6" t="str">
        <f aca="false">'Dish Database'!A312</f>
        <v>D311</v>
      </c>
      <c r="B1162" s="6" t="str">
        <f aca="false">'Dish Database'!B312</f>
        <v>Zunka / pithla</v>
      </c>
      <c r="C1162" s="6" t="str">
        <f aca="false">'Dish Database'!D312</f>
        <v>Veg Dry Sabzi</v>
      </c>
      <c r="D1162" s="6" t="str">
        <f aca="false">'Dish Database'!F312</f>
        <v>Veg</v>
      </c>
      <c r="E1162" s="6" t="str">
        <f aca="false">'Dish Database'!E312</f>
        <v>West</v>
      </c>
      <c r="F1162" s="6" t="s">
        <v>2325</v>
      </c>
      <c r="G1162" s="6" t="s">
        <v>2326</v>
      </c>
      <c r="H1162" s="16" t="n">
        <v>400</v>
      </c>
      <c r="I1162" s="6" t="str">
        <f aca="false">'Dish Database'!I312</f>
        <v>g</v>
      </c>
      <c r="J1162" s="13" t="n">
        <f aca="false">'Dish Database'!J312*H1162/100</f>
        <v>608</v>
      </c>
      <c r="K1162" s="17" t="n">
        <f aca="false">'Dish Database'!K312*H1162/100</f>
        <v>28</v>
      </c>
      <c r="L1162" s="17" t="n">
        <f aca="false">'Dish Database'!L312*H1162/100</f>
        <v>60</v>
      </c>
      <c r="M1162" s="17" t="n">
        <f aca="false">'Dish Database'!M312*H1162/100</f>
        <v>32</v>
      </c>
      <c r="N1162" s="17" t="n">
        <f aca="false">'Dish Database'!N312*H1162/100</f>
        <v>16</v>
      </c>
      <c r="O1162" s="17" t="n">
        <f aca="false">'Dish Database'!O312*H1162/100</f>
        <v>8</v>
      </c>
      <c r="P1162" s="13" t="n">
        <f aca="false">'Dish Database'!P312*H1162/100</f>
        <v>1600</v>
      </c>
    </row>
    <row r="1163" customFormat="false" ht="15" hidden="false" customHeight="false" outlineLevel="0" collapsed="false">
      <c r="A1163" s="6" t="str">
        <f aca="false">'Dish Database'!A313</f>
        <v>D312</v>
      </c>
      <c r="B1163" s="6" t="str">
        <f aca="false">'Dish Database'!B313</f>
        <v>Ker sangri</v>
      </c>
      <c r="C1163" s="6" t="str">
        <f aca="false">'Dish Database'!D313</f>
        <v>Veg Dry Sabzi</v>
      </c>
      <c r="D1163" s="6" t="str">
        <f aca="false">'Dish Database'!F313</f>
        <v>Veg</v>
      </c>
      <c r="E1163" s="6" t="str">
        <f aca="false">'Dish Database'!E313</f>
        <v>West</v>
      </c>
      <c r="F1163" s="6" t="s">
        <v>2243</v>
      </c>
      <c r="G1163" s="6" t="s">
        <v>2320</v>
      </c>
      <c r="H1163" s="16" t="n">
        <v>75</v>
      </c>
      <c r="I1163" s="6" t="str">
        <f aca="false">'Dish Database'!I313</f>
        <v>g</v>
      </c>
      <c r="J1163" s="13" t="n">
        <f aca="false">'Dish Database'!J313*H1163/100</f>
        <v>99.75</v>
      </c>
      <c r="K1163" s="17" t="n">
        <f aca="false">'Dish Database'!K313*H1163/100</f>
        <v>3</v>
      </c>
      <c r="L1163" s="17" t="n">
        <f aca="false">'Dish Database'!L313*H1163/100</f>
        <v>9</v>
      </c>
      <c r="M1163" s="17" t="n">
        <f aca="false">'Dish Database'!M313*H1163/100</f>
        <v>6.75</v>
      </c>
      <c r="N1163" s="17" t="n">
        <f aca="false">'Dish Database'!N313*H1163/100</f>
        <v>4.5</v>
      </c>
      <c r="O1163" s="17" t="n">
        <f aca="false">'Dish Database'!O313*H1163/100</f>
        <v>1.125</v>
      </c>
      <c r="P1163" s="13" t="n">
        <f aca="false">'Dish Database'!P313*H1163/100</f>
        <v>337.5</v>
      </c>
    </row>
    <row r="1164" customFormat="false" ht="15" hidden="false" customHeight="false" outlineLevel="0" collapsed="false">
      <c r="A1164" s="6" t="str">
        <f aca="false">'Dish Database'!A313</f>
        <v>D312</v>
      </c>
      <c r="B1164" s="6" t="str">
        <f aca="false">'Dish Database'!B313</f>
        <v>Ker sangri</v>
      </c>
      <c r="C1164" s="6" t="str">
        <f aca="false">'Dish Database'!D313</f>
        <v>Veg Dry Sabzi</v>
      </c>
      <c r="D1164" s="6" t="str">
        <f aca="false">'Dish Database'!F313</f>
        <v>Veg</v>
      </c>
      <c r="E1164" s="6" t="str">
        <f aca="false">'Dish Database'!E313</f>
        <v>West</v>
      </c>
      <c r="F1164" s="6" t="s">
        <v>103</v>
      </c>
      <c r="G1164" s="6" t="s">
        <v>2321</v>
      </c>
      <c r="H1164" s="16" t="n">
        <v>100</v>
      </c>
      <c r="I1164" s="6" t="str">
        <f aca="false">'Dish Database'!I313</f>
        <v>g</v>
      </c>
      <c r="J1164" s="13" t="n">
        <f aca="false">'Dish Database'!J313*H1164/100</f>
        <v>133</v>
      </c>
      <c r="K1164" s="17" t="n">
        <f aca="false">'Dish Database'!K313*H1164/100</f>
        <v>4</v>
      </c>
      <c r="L1164" s="17" t="n">
        <f aca="false">'Dish Database'!L313*H1164/100</f>
        <v>12</v>
      </c>
      <c r="M1164" s="17" t="n">
        <f aca="false">'Dish Database'!M313*H1164/100</f>
        <v>9</v>
      </c>
      <c r="N1164" s="17" t="n">
        <f aca="false">'Dish Database'!N313*H1164/100</f>
        <v>6</v>
      </c>
      <c r="O1164" s="17" t="n">
        <f aca="false">'Dish Database'!O313*H1164/100</f>
        <v>1.5</v>
      </c>
      <c r="P1164" s="13" t="n">
        <f aca="false">'Dish Database'!P313*H1164/100</f>
        <v>450</v>
      </c>
    </row>
    <row r="1165" customFormat="false" ht="15" hidden="false" customHeight="false" outlineLevel="0" collapsed="false">
      <c r="A1165" s="6" t="str">
        <f aca="false">'Dish Database'!A313</f>
        <v>D312</v>
      </c>
      <c r="B1165" s="6" t="str">
        <f aca="false">'Dish Database'!B313</f>
        <v>Ker sangri</v>
      </c>
      <c r="C1165" s="6" t="str">
        <f aca="false">'Dish Database'!D313</f>
        <v>Veg Dry Sabzi</v>
      </c>
      <c r="D1165" s="6" t="str">
        <f aca="false">'Dish Database'!F313</f>
        <v>Veg</v>
      </c>
      <c r="E1165" s="6" t="str">
        <f aca="false">'Dish Database'!E313</f>
        <v>West</v>
      </c>
      <c r="F1165" s="6" t="s">
        <v>2246</v>
      </c>
      <c r="G1165" s="6" t="s">
        <v>2322</v>
      </c>
      <c r="H1165" s="16" t="n">
        <v>150</v>
      </c>
      <c r="I1165" s="6" t="str">
        <f aca="false">'Dish Database'!I313</f>
        <v>g</v>
      </c>
      <c r="J1165" s="13" t="n">
        <f aca="false">'Dish Database'!J313*H1165/100</f>
        <v>199.5</v>
      </c>
      <c r="K1165" s="17" t="n">
        <f aca="false">'Dish Database'!K313*H1165/100</f>
        <v>6</v>
      </c>
      <c r="L1165" s="17" t="n">
        <f aca="false">'Dish Database'!L313*H1165/100</f>
        <v>18</v>
      </c>
      <c r="M1165" s="17" t="n">
        <f aca="false">'Dish Database'!M313*H1165/100</f>
        <v>13.5</v>
      </c>
      <c r="N1165" s="17" t="n">
        <f aca="false">'Dish Database'!N313*H1165/100</f>
        <v>9</v>
      </c>
      <c r="O1165" s="17" t="n">
        <f aca="false">'Dish Database'!O313*H1165/100</f>
        <v>2.25</v>
      </c>
      <c r="P1165" s="13" t="n">
        <f aca="false">'Dish Database'!P313*H1165/100</f>
        <v>675</v>
      </c>
    </row>
    <row r="1166" customFormat="false" ht="15" hidden="false" customHeight="false" outlineLevel="0" collapsed="false">
      <c r="A1166" s="6" t="str">
        <f aca="false">'Dish Database'!A313</f>
        <v>D312</v>
      </c>
      <c r="B1166" s="6" t="str">
        <f aca="false">'Dish Database'!B313</f>
        <v>Ker sangri</v>
      </c>
      <c r="C1166" s="6" t="str">
        <f aca="false">'Dish Database'!D313</f>
        <v>Veg Dry Sabzi</v>
      </c>
      <c r="D1166" s="6" t="str">
        <f aca="false">'Dish Database'!F313</f>
        <v>Veg</v>
      </c>
      <c r="E1166" s="6" t="str">
        <f aca="false">'Dish Database'!E313</f>
        <v>West</v>
      </c>
      <c r="F1166" s="6" t="s">
        <v>2323</v>
      </c>
      <c r="G1166" s="6" t="s">
        <v>2324</v>
      </c>
      <c r="H1166" s="16" t="n">
        <v>200</v>
      </c>
      <c r="I1166" s="6" t="str">
        <f aca="false">'Dish Database'!I313</f>
        <v>g</v>
      </c>
      <c r="J1166" s="13" t="n">
        <f aca="false">'Dish Database'!J313*H1166/100</f>
        <v>266</v>
      </c>
      <c r="K1166" s="17" t="n">
        <f aca="false">'Dish Database'!K313*H1166/100</f>
        <v>8</v>
      </c>
      <c r="L1166" s="17" t="n">
        <f aca="false">'Dish Database'!L313*H1166/100</f>
        <v>24</v>
      </c>
      <c r="M1166" s="17" t="n">
        <f aca="false">'Dish Database'!M313*H1166/100</f>
        <v>18</v>
      </c>
      <c r="N1166" s="17" t="n">
        <f aca="false">'Dish Database'!N313*H1166/100</f>
        <v>12</v>
      </c>
      <c r="O1166" s="17" t="n">
        <f aca="false">'Dish Database'!O313*H1166/100</f>
        <v>3</v>
      </c>
      <c r="P1166" s="13" t="n">
        <f aca="false">'Dish Database'!P313*H1166/100</f>
        <v>900</v>
      </c>
    </row>
    <row r="1167" customFormat="false" ht="15" hidden="false" customHeight="false" outlineLevel="0" collapsed="false">
      <c r="A1167" s="6" t="str">
        <f aca="false">'Dish Database'!A313</f>
        <v>D312</v>
      </c>
      <c r="B1167" s="6" t="str">
        <f aca="false">'Dish Database'!B313</f>
        <v>Ker sangri</v>
      </c>
      <c r="C1167" s="6" t="str">
        <f aca="false">'Dish Database'!D313</f>
        <v>Veg Dry Sabzi</v>
      </c>
      <c r="D1167" s="6" t="str">
        <f aca="false">'Dish Database'!F313</f>
        <v>Veg</v>
      </c>
      <c r="E1167" s="6" t="str">
        <f aca="false">'Dish Database'!E313</f>
        <v>West</v>
      </c>
      <c r="F1167" s="6" t="s">
        <v>2325</v>
      </c>
      <c r="G1167" s="6" t="s">
        <v>2326</v>
      </c>
      <c r="H1167" s="16" t="n">
        <v>400</v>
      </c>
      <c r="I1167" s="6" t="str">
        <f aca="false">'Dish Database'!I313</f>
        <v>g</v>
      </c>
      <c r="J1167" s="13" t="n">
        <f aca="false">'Dish Database'!J313*H1167/100</f>
        <v>532</v>
      </c>
      <c r="K1167" s="17" t="n">
        <f aca="false">'Dish Database'!K313*H1167/100</f>
        <v>16</v>
      </c>
      <c r="L1167" s="17" t="n">
        <f aca="false">'Dish Database'!L313*H1167/100</f>
        <v>48</v>
      </c>
      <c r="M1167" s="17" t="n">
        <f aca="false">'Dish Database'!M313*H1167/100</f>
        <v>36</v>
      </c>
      <c r="N1167" s="17" t="n">
        <f aca="false">'Dish Database'!N313*H1167/100</f>
        <v>24</v>
      </c>
      <c r="O1167" s="17" t="n">
        <f aca="false">'Dish Database'!O313*H1167/100</f>
        <v>6</v>
      </c>
      <c r="P1167" s="13" t="n">
        <f aca="false">'Dish Database'!P313*H1167/100</f>
        <v>1800</v>
      </c>
    </row>
    <row r="1168" customFormat="false" ht="15" hidden="false" customHeight="false" outlineLevel="0" collapsed="false">
      <c r="A1168" s="6" t="str">
        <f aca="false">'Dish Database'!A314</f>
        <v>D313</v>
      </c>
      <c r="B1168" s="6" t="str">
        <f aca="false">'Dish Database'!B314</f>
        <v>Soya chunks dry / chilli soya</v>
      </c>
      <c r="C1168" s="6" t="str">
        <f aca="false">'Dish Database'!D314</f>
        <v>Veg Dry Sabzi</v>
      </c>
      <c r="D1168" s="6" t="str">
        <f aca="false">'Dish Database'!F314</f>
        <v>Veg</v>
      </c>
      <c r="E1168" s="6" t="str">
        <f aca="false">'Dish Database'!E314</f>
        <v>Pan-India</v>
      </c>
      <c r="F1168" s="6" t="s">
        <v>2243</v>
      </c>
      <c r="G1168" s="6" t="s">
        <v>2320</v>
      </c>
      <c r="H1168" s="16" t="n">
        <v>75</v>
      </c>
      <c r="I1168" s="6" t="str">
        <f aca="false">'Dish Database'!I314</f>
        <v>g</v>
      </c>
      <c r="J1168" s="13" t="n">
        <f aca="false">'Dish Database'!J314*H1168/100</f>
        <v>119.25</v>
      </c>
      <c r="K1168" s="17" t="n">
        <f aca="false">'Dish Database'!K314*H1168/100</f>
        <v>10.5</v>
      </c>
      <c r="L1168" s="17" t="n">
        <f aca="false">'Dish Database'!L314*H1168/100</f>
        <v>9</v>
      </c>
      <c r="M1168" s="17" t="n">
        <f aca="false">'Dish Database'!M314*H1168/100</f>
        <v>5.25</v>
      </c>
      <c r="N1168" s="17" t="n">
        <f aca="false">'Dish Database'!N314*H1168/100</f>
        <v>3</v>
      </c>
      <c r="O1168" s="17" t="n">
        <f aca="false">'Dish Database'!O314*H1168/100</f>
        <v>2.25</v>
      </c>
      <c r="P1168" s="13" t="n">
        <f aca="false">'Dish Database'!P314*H1168/100</f>
        <v>337.5</v>
      </c>
    </row>
    <row r="1169" customFormat="false" ht="15" hidden="false" customHeight="false" outlineLevel="0" collapsed="false">
      <c r="A1169" s="6" t="str">
        <f aca="false">'Dish Database'!A314</f>
        <v>D313</v>
      </c>
      <c r="B1169" s="6" t="str">
        <f aca="false">'Dish Database'!B314</f>
        <v>Soya chunks dry / chilli soya</v>
      </c>
      <c r="C1169" s="6" t="str">
        <f aca="false">'Dish Database'!D314</f>
        <v>Veg Dry Sabzi</v>
      </c>
      <c r="D1169" s="6" t="str">
        <f aca="false">'Dish Database'!F314</f>
        <v>Veg</v>
      </c>
      <c r="E1169" s="6" t="str">
        <f aca="false">'Dish Database'!E314</f>
        <v>Pan-India</v>
      </c>
      <c r="F1169" s="6" t="s">
        <v>103</v>
      </c>
      <c r="G1169" s="6" t="s">
        <v>2321</v>
      </c>
      <c r="H1169" s="16" t="n">
        <v>100</v>
      </c>
      <c r="I1169" s="6" t="str">
        <f aca="false">'Dish Database'!I314</f>
        <v>g</v>
      </c>
      <c r="J1169" s="13" t="n">
        <f aca="false">'Dish Database'!J314*H1169/100</f>
        <v>159</v>
      </c>
      <c r="K1169" s="17" t="n">
        <f aca="false">'Dish Database'!K314*H1169/100</f>
        <v>14</v>
      </c>
      <c r="L1169" s="17" t="n">
        <f aca="false">'Dish Database'!L314*H1169/100</f>
        <v>12</v>
      </c>
      <c r="M1169" s="17" t="n">
        <f aca="false">'Dish Database'!M314*H1169/100</f>
        <v>7</v>
      </c>
      <c r="N1169" s="17" t="n">
        <f aca="false">'Dish Database'!N314*H1169/100</f>
        <v>4</v>
      </c>
      <c r="O1169" s="17" t="n">
        <f aca="false">'Dish Database'!O314*H1169/100</f>
        <v>3</v>
      </c>
      <c r="P1169" s="13" t="n">
        <f aca="false">'Dish Database'!P314*H1169/100</f>
        <v>450</v>
      </c>
    </row>
    <row r="1170" customFormat="false" ht="15" hidden="false" customHeight="false" outlineLevel="0" collapsed="false">
      <c r="A1170" s="6" t="str">
        <f aca="false">'Dish Database'!A314</f>
        <v>D313</v>
      </c>
      <c r="B1170" s="6" t="str">
        <f aca="false">'Dish Database'!B314</f>
        <v>Soya chunks dry / chilli soya</v>
      </c>
      <c r="C1170" s="6" t="str">
        <f aca="false">'Dish Database'!D314</f>
        <v>Veg Dry Sabzi</v>
      </c>
      <c r="D1170" s="6" t="str">
        <f aca="false">'Dish Database'!F314</f>
        <v>Veg</v>
      </c>
      <c r="E1170" s="6" t="str">
        <f aca="false">'Dish Database'!E314</f>
        <v>Pan-India</v>
      </c>
      <c r="F1170" s="6" t="s">
        <v>2246</v>
      </c>
      <c r="G1170" s="6" t="s">
        <v>2322</v>
      </c>
      <c r="H1170" s="16" t="n">
        <v>150</v>
      </c>
      <c r="I1170" s="6" t="str">
        <f aca="false">'Dish Database'!I314</f>
        <v>g</v>
      </c>
      <c r="J1170" s="13" t="n">
        <f aca="false">'Dish Database'!J314*H1170/100</f>
        <v>238.5</v>
      </c>
      <c r="K1170" s="17" t="n">
        <f aca="false">'Dish Database'!K314*H1170/100</f>
        <v>21</v>
      </c>
      <c r="L1170" s="17" t="n">
        <f aca="false">'Dish Database'!L314*H1170/100</f>
        <v>18</v>
      </c>
      <c r="M1170" s="17" t="n">
        <f aca="false">'Dish Database'!M314*H1170/100</f>
        <v>10.5</v>
      </c>
      <c r="N1170" s="17" t="n">
        <f aca="false">'Dish Database'!N314*H1170/100</f>
        <v>6</v>
      </c>
      <c r="O1170" s="17" t="n">
        <f aca="false">'Dish Database'!O314*H1170/100</f>
        <v>4.5</v>
      </c>
      <c r="P1170" s="13" t="n">
        <f aca="false">'Dish Database'!P314*H1170/100</f>
        <v>675</v>
      </c>
    </row>
    <row r="1171" customFormat="false" ht="15" hidden="false" customHeight="false" outlineLevel="0" collapsed="false">
      <c r="A1171" s="6" t="str">
        <f aca="false">'Dish Database'!A314</f>
        <v>D313</v>
      </c>
      <c r="B1171" s="6" t="str">
        <f aca="false">'Dish Database'!B314</f>
        <v>Soya chunks dry / chilli soya</v>
      </c>
      <c r="C1171" s="6" t="str">
        <f aca="false">'Dish Database'!D314</f>
        <v>Veg Dry Sabzi</v>
      </c>
      <c r="D1171" s="6" t="str">
        <f aca="false">'Dish Database'!F314</f>
        <v>Veg</v>
      </c>
      <c r="E1171" s="6" t="str">
        <f aca="false">'Dish Database'!E314</f>
        <v>Pan-India</v>
      </c>
      <c r="F1171" s="6" t="s">
        <v>2323</v>
      </c>
      <c r="G1171" s="6" t="s">
        <v>2324</v>
      </c>
      <c r="H1171" s="16" t="n">
        <v>200</v>
      </c>
      <c r="I1171" s="6" t="str">
        <f aca="false">'Dish Database'!I314</f>
        <v>g</v>
      </c>
      <c r="J1171" s="13" t="n">
        <f aca="false">'Dish Database'!J314*H1171/100</f>
        <v>318</v>
      </c>
      <c r="K1171" s="17" t="n">
        <f aca="false">'Dish Database'!K314*H1171/100</f>
        <v>28</v>
      </c>
      <c r="L1171" s="17" t="n">
        <f aca="false">'Dish Database'!L314*H1171/100</f>
        <v>24</v>
      </c>
      <c r="M1171" s="17" t="n">
        <f aca="false">'Dish Database'!M314*H1171/100</f>
        <v>14</v>
      </c>
      <c r="N1171" s="17" t="n">
        <f aca="false">'Dish Database'!N314*H1171/100</f>
        <v>8</v>
      </c>
      <c r="O1171" s="17" t="n">
        <f aca="false">'Dish Database'!O314*H1171/100</f>
        <v>6</v>
      </c>
      <c r="P1171" s="13" t="n">
        <f aca="false">'Dish Database'!P314*H1171/100</f>
        <v>900</v>
      </c>
    </row>
    <row r="1172" customFormat="false" ht="15" hidden="false" customHeight="false" outlineLevel="0" collapsed="false">
      <c r="A1172" s="6" t="str">
        <f aca="false">'Dish Database'!A314</f>
        <v>D313</v>
      </c>
      <c r="B1172" s="6" t="str">
        <f aca="false">'Dish Database'!B314</f>
        <v>Soya chunks dry / chilli soya</v>
      </c>
      <c r="C1172" s="6" t="str">
        <f aca="false">'Dish Database'!D314</f>
        <v>Veg Dry Sabzi</v>
      </c>
      <c r="D1172" s="6" t="str">
        <f aca="false">'Dish Database'!F314</f>
        <v>Veg</v>
      </c>
      <c r="E1172" s="6" t="str">
        <f aca="false">'Dish Database'!E314</f>
        <v>Pan-India</v>
      </c>
      <c r="F1172" s="6" t="s">
        <v>2325</v>
      </c>
      <c r="G1172" s="6" t="s">
        <v>2326</v>
      </c>
      <c r="H1172" s="16" t="n">
        <v>400</v>
      </c>
      <c r="I1172" s="6" t="str">
        <f aca="false">'Dish Database'!I314</f>
        <v>g</v>
      </c>
      <c r="J1172" s="13" t="n">
        <f aca="false">'Dish Database'!J314*H1172/100</f>
        <v>636</v>
      </c>
      <c r="K1172" s="17" t="n">
        <f aca="false">'Dish Database'!K314*H1172/100</f>
        <v>56</v>
      </c>
      <c r="L1172" s="17" t="n">
        <f aca="false">'Dish Database'!L314*H1172/100</f>
        <v>48</v>
      </c>
      <c r="M1172" s="17" t="n">
        <f aca="false">'Dish Database'!M314*H1172/100</f>
        <v>28</v>
      </c>
      <c r="N1172" s="17" t="n">
        <f aca="false">'Dish Database'!N314*H1172/100</f>
        <v>16</v>
      </c>
      <c r="O1172" s="17" t="n">
        <f aca="false">'Dish Database'!O314*H1172/100</f>
        <v>12</v>
      </c>
      <c r="P1172" s="13" t="n">
        <f aca="false">'Dish Database'!P314*H1172/100</f>
        <v>1800</v>
      </c>
    </row>
    <row r="1173" customFormat="false" ht="15" hidden="false" customHeight="false" outlineLevel="0" collapsed="false">
      <c r="A1173" s="6" t="str">
        <f aca="false">'Dish Database'!A315</f>
        <v>D314</v>
      </c>
      <c r="B1173" s="6" t="str">
        <f aca="false">'Dish Database'!B315</f>
        <v>Paneer bhurji</v>
      </c>
      <c r="C1173" s="6" t="str">
        <f aca="false">'Dish Database'!D315</f>
        <v>Veg Dry Sabzi</v>
      </c>
      <c r="D1173" s="6" t="str">
        <f aca="false">'Dish Database'!F315</f>
        <v>Veg</v>
      </c>
      <c r="E1173" s="6" t="str">
        <f aca="false">'Dish Database'!E315</f>
        <v>North</v>
      </c>
      <c r="F1173" s="6" t="s">
        <v>2243</v>
      </c>
      <c r="G1173" s="6" t="s">
        <v>2320</v>
      </c>
      <c r="H1173" s="16" t="n">
        <v>75</v>
      </c>
      <c r="I1173" s="6" t="str">
        <f aca="false">'Dish Database'!I315</f>
        <v>g</v>
      </c>
      <c r="J1173" s="13" t="n">
        <f aca="false">'Dish Database'!J315*H1173/100</f>
        <v>160.2</v>
      </c>
      <c r="K1173" s="17" t="n">
        <f aca="false">'Dish Database'!K315*H1173/100</f>
        <v>9</v>
      </c>
      <c r="L1173" s="17" t="n">
        <f aca="false">'Dish Database'!L315*H1173/100</f>
        <v>4.5</v>
      </c>
      <c r="M1173" s="17" t="n">
        <f aca="false">'Dish Database'!M315*H1173/100</f>
        <v>12</v>
      </c>
      <c r="N1173" s="17" t="n">
        <f aca="false">'Dish Database'!N315*H1173/100</f>
        <v>0.9</v>
      </c>
      <c r="O1173" s="17" t="n">
        <f aca="false">'Dish Database'!O315*H1173/100</f>
        <v>1.875</v>
      </c>
      <c r="P1173" s="13" t="n">
        <f aca="false">'Dish Database'!P315*H1173/100</f>
        <v>300</v>
      </c>
    </row>
    <row r="1174" customFormat="false" ht="15" hidden="false" customHeight="false" outlineLevel="0" collapsed="false">
      <c r="A1174" s="6" t="str">
        <f aca="false">'Dish Database'!A315</f>
        <v>D314</v>
      </c>
      <c r="B1174" s="6" t="str">
        <f aca="false">'Dish Database'!B315</f>
        <v>Paneer bhurji</v>
      </c>
      <c r="C1174" s="6" t="str">
        <f aca="false">'Dish Database'!D315</f>
        <v>Veg Dry Sabzi</v>
      </c>
      <c r="D1174" s="6" t="str">
        <f aca="false">'Dish Database'!F315</f>
        <v>Veg</v>
      </c>
      <c r="E1174" s="6" t="str">
        <f aca="false">'Dish Database'!E315</f>
        <v>North</v>
      </c>
      <c r="F1174" s="6" t="s">
        <v>103</v>
      </c>
      <c r="G1174" s="6" t="s">
        <v>2321</v>
      </c>
      <c r="H1174" s="16" t="n">
        <v>100</v>
      </c>
      <c r="I1174" s="6" t="str">
        <f aca="false">'Dish Database'!I315</f>
        <v>g</v>
      </c>
      <c r="J1174" s="13" t="n">
        <f aca="false">'Dish Database'!J315*H1174/100</f>
        <v>213.6</v>
      </c>
      <c r="K1174" s="17" t="n">
        <f aca="false">'Dish Database'!K315*H1174/100</f>
        <v>12</v>
      </c>
      <c r="L1174" s="17" t="n">
        <f aca="false">'Dish Database'!L315*H1174/100</f>
        <v>6</v>
      </c>
      <c r="M1174" s="17" t="n">
        <f aca="false">'Dish Database'!M315*H1174/100</f>
        <v>16</v>
      </c>
      <c r="N1174" s="17" t="n">
        <f aca="false">'Dish Database'!N315*H1174/100</f>
        <v>1.2</v>
      </c>
      <c r="O1174" s="17" t="n">
        <f aca="false">'Dish Database'!O315*H1174/100</f>
        <v>2.5</v>
      </c>
      <c r="P1174" s="13" t="n">
        <f aca="false">'Dish Database'!P315*H1174/100</f>
        <v>400</v>
      </c>
    </row>
    <row r="1175" customFormat="false" ht="15" hidden="false" customHeight="false" outlineLevel="0" collapsed="false">
      <c r="A1175" s="6" t="str">
        <f aca="false">'Dish Database'!A315</f>
        <v>D314</v>
      </c>
      <c r="B1175" s="6" t="str">
        <f aca="false">'Dish Database'!B315</f>
        <v>Paneer bhurji</v>
      </c>
      <c r="C1175" s="6" t="str">
        <f aca="false">'Dish Database'!D315</f>
        <v>Veg Dry Sabzi</v>
      </c>
      <c r="D1175" s="6" t="str">
        <f aca="false">'Dish Database'!F315</f>
        <v>Veg</v>
      </c>
      <c r="E1175" s="6" t="str">
        <f aca="false">'Dish Database'!E315</f>
        <v>North</v>
      </c>
      <c r="F1175" s="6" t="s">
        <v>2246</v>
      </c>
      <c r="G1175" s="6" t="s">
        <v>2322</v>
      </c>
      <c r="H1175" s="16" t="n">
        <v>150</v>
      </c>
      <c r="I1175" s="6" t="str">
        <f aca="false">'Dish Database'!I315</f>
        <v>g</v>
      </c>
      <c r="J1175" s="13" t="n">
        <f aca="false">'Dish Database'!J315*H1175/100</f>
        <v>320.4</v>
      </c>
      <c r="K1175" s="17" t="n">
        <f aca="false">'Dish Database'!K315*H1175/100</f>
        <v>18</v>
      </c>
      <c r="L1175" s="17" t="n">
        <f aca="false">'Dish Database'!L315*H1175/100</f>
        <v>9</v>
      </c>
      <c r="M1175" s="17" t="n">
        <f aca="false">'Dish Database'!M315*H1175/100</f>
        <v>24</v>
      </c>
      <c r="N1175" s="17" t="n">
        <f aca="false">'Dish Database'!N315*H1175/100</f>
        <v>1.8</v>
      </c>
      <c r="O1175" s="17" t="n">
        <f aca="false">'Dish Database'!O315*H1175/100</f>
        <v>3.75</v>
      </c>
      <c r="P1175" s="13" t="n">
        <f aca="false">'Dish Database'!P315*H1175/100</f>
        <v>600</v>
      </c>
    </row>
    <row r="1176" customFormat="false" ht="15" hidden="false" customHeight="false" outlineLevel="0" collapsed="false">
      <c r="A1176" s="6" t="str">
        <f aca="false">'Dish Database'!A315</f>
        <v>D314</v>
      </c>
      <c r="B1176" s="6" t="str">
        <f aca="false">'Dish Database'!B315</f>
        <v>Paneer bhurji</v>
      </c>
      <c r="C1176" s="6" t="str">
        <f aca="false">'Dish Database'!D315</f>
        <v>Veg Dry Sabzi</v>
      </c>
      <c r="D1176" s="6" t="str">
        <f aca="false">'Dish Database'!F315</f>
        <v>Veg</v>
      </c>
      <c r="E1176" s="6" t="str">
        <f aca="false">'Dish Database'!E315</f>
        <v>North</v>
      </c>
      <c r="F1176" s="6" t="s">
        <v>2323</v>
      </c>
      <c r="G1176" s="6" t="s">
        <v>2324</v>
      </c>
      <c r="H1176" s="16" t="n">
        <v>200</v>
      </c>
      <c r="I1176" s="6" t="str">
        <f aca="false">'Dish Database'!I315</f>
        <v>g</v>
      </c>
      <c r="J1176" s="13" t="n">
        <f aca="false">'Dish Database'!J315*H1176/100</f>
        <v>427.2</v>
      </c>
      <c r="K1176" s="17" t="n">
        <f aca="false">'Dish Database'!K315*H1176/100</f>
        <v>24</v>
      </c>
      <c r="L1176" s="17" t="n">
        <f aca="false">'Dish Database'!L315*H1176/100</f>
        <v>12</v>
      </c>
      <c r="M1176" s="17" t="n">
        <f aca="false">'Dish Database'!M315*H1176/100</f>
        <v>32</v>
      </c>
      <c r="N1176" s="17" t="n">
        <f aca="false">'Dish Database'!N315*H1176/100</f>
        <v>2.4</v>
      </c>
      <c r="O1176" s="17" t="n">
        <f aca="false">'Dish Database'!O315*H1176/100</f>
        <v>5</v>
      </c>
      <c r="P1176" s="13" t="n">
        <f aca="false">'Dish Database'!P315*H1176/100</f>
        <v>800</v>
      </c>
    </row>
    <row r="1177" customFormat="false" ht="15" hidden="false" customHeight="false" outlineLevel="0" collapsed="false">
      <c r="A1177" s="6" t="str">
        <f aca="false">'Dish Database'!A315</f>
        <v>D314</v>
      </c>
      <c r="B1177" s="6" t="str">
        <f aca="false">'Dish Database'!B315</f>
        <v>Paneer bhurji</v>
      </c>
      <c r="C1177" s="6" t="str">
        <f aca="false">'Dish Database'!D315</f>
        <v>Veg Dry Sabzi</v>
      </c>
      <c r="D1177" s="6" t="str">
        <f aca="false">'Dish Database'!F315</f>
        <v>Veg</v>
      </c>
      <c r="E1177" s="6" t="str">
        <f aca="false">'Dish Database'!E315</f>
        <v>North</v>
      </c>
      <c r="F1177" s="6" t="s">
        <v>2325</v>
      </c>
      <c r="G1177" s="6" t="s">
        <v>2326</v>
      </c>
      <c r="H1177" s="16" t="n">
        <v>400</v>
      </c>
      <c r="I1177" s="6" t="str">
        <f aca="false">'Dish Database'!I315</f>
        <v>g</v>
      </c>
      <c r="J1177" s="13" t="n">
        <f aca="false">'Dish Database'!J315*H1177/100</f>
        <v>854.4</v>
      </c>
      <c r="K1177" s="17" t="n">
        <f aca="false">'Dish Database'!K315*H1177/100</f>
        <v>48</v>
      </c>
      <c r="L1177" s="17" t="n">
        <f aca="false">'Dish Database'!L315*H1177/100</f>
        <v>24</v>
      </c>
      <c r="M1177" s="17" t="n">
        <f aca="false">'Dish Database'!M315*H1177/100</f>
        <v>64</v>
      </c>
      <c r="N1177" s="17" t="n">
        <f aca="false">'Dish Database'!N315*H1177/100</f>
        <v>4.8</v>
      </c>
      <c r="O1177" s="17" t="n">
        <f aca="false">'Dish Database'!O315*H1177/100</f>
        <v>10</v>
      </c>
      <c r="P1177" s="13" t="n">
        <f aca="false">'Dish Database'!P315*H1177/100</f>
        <v>1600</v>
      </c>
    </row>
    <row r="1178" customFormat="false" ht="15" hidden="false" customHeight="false" outlineLevel="0" collapsed="false">
      <c r="A1178" s="6" t="str">
        <f aca="false">'Dish Database'!A316</f>
        <v>D315</v>
      </c>
      <c r="B1178" s="6" t="str">
        <f aca="false">'Dish Database'!B316</f>
        <v>Butter chicken</v>
      </c>
      <c r="C1178" s="6" t="str">
        <f aca="false">'Dish Database'!D316</f>
        <v>Non-Veg Curries</v>
      </c>
      <c r="D1178" s="6" t="str">
        <f aca="false">'Dish Database'!F316</f>
        <v>Non-Veg</v>
      </c>
      <c r="E1178" s="6" t="str">
        <f aca="false">'Dish Database'!E316</f>
        <v>North</v>
      </c>
      <c r="F1178" s="6" t="s">
        <v>2243</v>
      </c>
      <c r="G1178" s="6" t="s">
        <v>2500</v>
      </c>
      <c r="H1178" s="16" t="n">
        <v>100</v>
      </c>
      <c r="I1178" s="6" t="str">
        <f aca="false">'Dish Database'!I316</f>
        <v>g</v>
      </c>
      <c r="J1178" s="13" t="n">
        <f aca="false">'Dish Database'!J316*H1178/100</f>
        <v>178.4</v>
      </c>
      <c r="K1178" s="17" t="n">
        <f aca="false">'Dish Database'!K316*H1178/100</f>
        <v>12</v>
      </c>
      <c r="L1178" s="17" t="n">
        <f aca="false">'Dish Database'!L316*H1178/100</f>
        <v>6</v>
      </c>
      <c r="M1178" s="17" t="n">
        <f aca="false">'Dish Database'!M316*H1178/100</f>
        <v>12</v>
      </c>
      <c r="N1178" s="17" t="n">
        <f aca="false">'Dish Database'!N316*H1178/100</f>
        <v>0.8</v>
      </c>
      <c r="O1178" s="17" t="n">
        <f aca="false">'Dish Database'!O316*H1178/100</f>
        <v>3.5</v>
      </c>
      <c r="P1178" s="13" t="n">
        <f aca="false">'Dish Database'!P316*H1178/100</f>
        <v>480</v>
      </c>
    </row>
    <row r="1179" customFormat="false" ht="15" hidden="false" customHeight="false" outlineLevel="0" collapsed="false">
      <c r="A1179" s="6" t="str">
        <f aca="false">'Dish Database'!A316</f>
        <v>D315</v>
      </c>
      <c r="B1179" s="6" t="str">
        <f aca="false">'Dish Database'!B316</f>
        <v>Butter chicken</v>
      </c>
      <c r="C1179" s="6" t="str">
        <f aca="false">'Dish Database'!D316</f>
        <v>Non-Veg Curries</v>
      </c>
      <c r="D1179" s="6" t="str">
        <f aca="false">'Dish Database'!F316</f>
        <v>Non-Veg</v>
      </c>
      <c r="E1179" s="6" t="str">
        <f aca="false">'Dish Database'!E316</f>
        <v>North</v>
      </c>
      <c r="F1179" s="6" t="s">
        <v>103</v>
      </c>
      <c r="G1179" s="6" t="s">
        <v>2501</v>
      </c>
      <c r="H1179" s="16" t="n">
        <v>150</v>
      </c>
      <c r="I1179" s="6" t="str">
        <f aca="false">'Dish Database'!I316</f>
        <v>g</v>
      </c>
      <c r="J1179" s="13" t="n">
        <f aca="false">'Dish Database'!J316*H1179/100</f>
        <v>267.6</v>
      </c>
      <c r="K1179" s="17" t="n">
        <f aca="false">'Dish Database'!K316*H1179/100</f>
        <v>18</v>
      </c>
      <c r="L1179" s="17" t="n">
        <f aca="false">'Dish Database'!L316*H1179/100</f>
        <v>9</v>
      </c>
      <c r="M1179" s="17" t="n">
        <f aca="false">'Dish Database'!M316*H1179/100</f>
        <v>18</v>
      </c>
      <c r="N1179" s="17" t="n">
        <f aca="false">'Dish Database'!N316*H1179/100</f>
        <v>1.2</v>
      </c>
      <c r="O1179" s="17" t="n">
        <f aca="false">'Dish Database'!O316*H1179/100</f>
        <v>5.25</v>
      </c>
      <c r="P1179" s="13" t="n">
        <f aca="false">'Dish Database'!P316*H1179/100</f>
        <v>720</v>
      </c>
    </row>
    <row r="1180" customFormat="false" ht="15" hidden="false" customHeight="false" outlineLevel="0" collapsed="false">
      <c r="A1180" s="6" t="str">
        <f aca="false">'Dish Database'!A316</f>
        <v>D315</v>
      </c>
      <c r="B1180" s="6" t="str">
        <f aca="false">'Dish Database'!B316</f>
        <v>Butter chicken</v>
      </c>
      <c r="C1180" s="6" t="str">
        <f aca="false">'Dish Database'!D316</f>
        <v>Non-Veg Curries</v>
      </c>
      <c r="D1180" s="6" t="str">
        <f aca="false">'Dish Database'!F316</f>
        <v>Non-Veg</v>
      </c>
      <c r="E1180" s="6" t="str">
        <f aca="false">'Dish Database'!E316</f>
        <v>North</v>
      </c>
      <c r="F1180" s="6" t="s">
        <v>2246</v>
      </c>
      <c r="G1180" s="6" t="s">
        <v>2502</v>
      </c>
      <c r="H1180" s="16" t="n">
        <v>200</v>
      </c>
      <c r="I1180" s="6" t="str">
        <f aca="false">'Dish Database'!I316</f>
        <v>g</v>
      </c>
      <c r="J1180" s="13" t="n">
        <f aca="false">'Dish Database'!J316*H1180/100</f>
        <v>356.8</v>
      </c>
      <c r="K1180" s="17" t="n">
        <f aca="false">'Dish Database'!K316*H1180/100</f>
        <v>24</v>
      </c>
      <c r="L1180" s="17" t="n">
        <f aca="false">'Dish Database'!L316*H1180/100</f>
        <v>12</v>
      </c>
      <c r="M1180" s="17" t="n">
        <f aca="false">'Dish Database'!M316*H1180/100</f>
        <v>24</v>
      </c>
      <c r="N1180" s="17" t="n">
        <f aca="false">'Dish Database'!N316*H1180/100</f>
        <v>1.6</v>
      </c>
      <c r="O1180" s="17" t="n">
        <f aca="false">'Dish Database'!O316*H1180/100</f>
        <v>7</v>
      </c>
      <c r="P1180" s="13" t="n">
        <f aca="false">'Dish Database'!P316*H1180/100</f>
        <v>960</v>
      </c>
    </row>
    <row r="1181" customFormat="false" ht="15" hidden="false" customHeight="false" outlineLevel="0" collapsed="false">
      <c r="A1181" s="6" t="str">
        <f aca="false">'Dish Database'!A316</f>
        <v>D315</v>
      </c>
      <c r="B1181" s="6" t="str">
        <f aca="false">'Dish Database'!B316</f>
        <v>Butter chicken</v>
      </c>
      <c r="C1181" s="6" t="str">
        <f aca="false">'Dish Database'!D316</f>
        <v>Non-Veg Curries</v>
      </c>
      <c r="D1181" s="6" t="str">
        <f aca="false">'Dish Database'!F316</f>
        <v>Non-Veg</v>
      </c>
      <c r="E1181" s="6" t="str">
        <f aca="false">'Dish Database'!E316</f>
        <v>North</v>
      </c>
      <c r="F1181" s="6" t="s">
        <v>2323</v>
      </c>
      <c r="G1181" s="6" t="s">
        <v>2503</v>
      </c>
      <c r="H1181" s="16" t="n">
        <v>250</v>
      </c>
      <c r="I1181" s="6" t="str">
        <f aca="false">'Dish Database'!I316</f>
        <v>g</v>
      </c>
      <c r="J1181" s="13" t="n">
        <f aca="false">'Dish Database'!J316*H1181/100</f>
        <v>446</v>
      </c>
      <c r="K1181" s="17" t="n">
        <f aca="false">'Dish Database'!K316*H1181/100</f>
        <v>30</v>
      </c>
      <c r="L1181" s="17" t="n">
        <f aca="false">'Dish Database'!L316*H1181/100</f>
        <v>15</v>
      </c>
      <c r="M1181" s="17" t="n">
        <f aca="false">'Dish Database'!M316*H1181/100</f>
        <v>30</v>
      </c>
      <c r="N1181" s="17" t="n">
        <f aca="false">'Dish Database'!N316*H1181/100</f>
        <v>2</v>
      </c>
      <c r="O1181" s="17" t="n">
        <f aca="false">'Dish Database'!O316*H1181/100</f>
        <v>8.75</v>
      </c>
      <c r="P1181" s="13" t="n">
        <f aca="false">'Dish Database'!P316*H1181/100</f>
        <v>1200</v>
      </c>
    </row>
    <row r="1182" customFormat="false" ht="15" hidden="false" customHeight="false" outlineLevel="0" collapsed="false">
      <c r="A1182" s="6" t="str">
        <f aca="false">'Dish Database'!A316</f>
        <v>D315</v>
      </c>
      <c r="B1182" s="6" t="str">
        <f aca="false">'Dish Database'!B316</f>
        <v>Butter chicken</v>
      </c>
      <c r="C1182" s="6" t="str">
        <f aca="false">'Dish Database'!D316</f>
        <v>Non-Veg Curries</v>
      </c>
      <c r="D1182" s="6" t="str">
        <f aca="false">'Dish Database'!F316</f>
        <v>Non-Veg</v>
      </c>
      <c r="E1182" s="6" t="str">
        <f aca="false">'Dish Database'!E316</f>
        <v>North</v>
      </c>
      <c r="F1182" s="6" t="s">
        <v>2325</v>
      </c>
      <c r="G1182" s="6" t="s">
        <v>2504</v>
      </c>
      <c r="H1182" s="16" t="n">
        <v>500</v>
      </c>
      <c r="I1182" s="6" t="str">
        <f aca="false">'Dish Database'!I316</f>
        <v>g</v>
      </c>
      <c r="J1182" s="13" t="n">
        <f aca="false">'Dish Database'!J316*H1182/100</f>
        <v>892</v>
      </c>
      <c r="K1182" s="17" t="n">
        <f aca="false">'Dish Database'!K316*H1182/100</f>
        <v>60</v>
      </c>
      <c r="L1182" s="17" t="n">
        <f aca="false">'Dish Database'!L316*H1182/100</f>
        <v>30</v>
      </c>
      <c r="M1182" s="17" t="n">
        <f aca="false">'Dish Database'!M316*H1182/100</f>
        <v>60</v>
      </c>
      <c r="N1182" s="17" t="n">
        <f aca="false">'Dish Database'!N316*H1182/100</f>
        <v>4</v>
      </c>
      <c r="O1182" s="17" t="n">
        <f aca="false">'Dish Database'!O316*H1182/100</f>
        <v>17.5</v>
      </c>
      <c r="P1182" s="13" t="n">
        <f aca="false">'Dish Database'!P316*H1182/100</f>
        <v>2400</v>
      </c>
    </row>
    <row r="1183" customFormat="false" ht="15" hidden="false" customHeight="false" outlineLevel="0" collapsed="false">
      <c r="A1183" s="6" t="str">
        <f aca="false">'Dish Database'!A317</f>
        <v>D316</v>
      </c>
      <c r="B1183" s="6" t="str">
        <f aca="false">'Dish Database'!B317</f>
        <v>Chicken tikka masala</v>
      </c>
      <c r="C1183" s="6" t="str">
        <f aca="false">'Dish Database'!D317</f>
        <v>Non-Veg Curries</v>
      </c>
      <c r="D1183" s="6" t="str">
        <f aca="false">'Dish Database'!F317</f>
        <v>Non-Veg</v>
      </c>
      <c r="E1183" s="6" t="str">
        <f aca="false">'Dish Database'!E317</f>
        <v>North</v>
      </c>
      <c r="F1183" s="6" t="s">
        <v>2243</v>
      </c>
      <c r="G1183" s="6" t="s">
        <v>2500</v>
      </c>
      <c r="H1183" s="16" t="n">
        <v>100</v>
      </c>
      <c r="I1183" s="6" t="str">
        <f aca="false">'Dish Database'!I317</f>
        <v>g</v>
      </c>
      <c r="J1183" s="13" t="n">
        <f aca="false">'Dish Database'!J317*H1183/100</f>
        <v>166.5</v>
      </c>
      <c r="K1183" s="17" t="n">
        <f aca="false">'Dish Database'!K317*H1183/100</f>
        <v>12.5</v>
      </c>
      <c r="L1183" s="17" t="n">
        <f aca="false">'Dish Database'!L317*H1183/100</f>
        <v>6</v>
      </c>
      <c r="M1183" s="17" t="n">
        <f aca="false">'Dish Database'!M317*H1183/100</f>
        <v>10.5</v>
      </c>
      <c r="N1183" s="17" t="n">
        <f aca="false">'Dish Database'!N317*H1183/100</f>
        <v>1</v>
      </c>
      <c r="O1183" s="17" t="n">
        <f aca="false">'Dish Database'!O317*H1183/100</f>
        <v>3</v>
      </c>
      <c r="P1183" s="13" t="n">
        <f aca="false">'Dish Database'!P317*H1183/100</f>
        <v>480</v>
      </c>
    </row>
    <row r="1184" customFormat="false" ht="15" hidden="false" customHeight="false" outlineLevel="0" collapsed="false">
      <c r="A1184" s="6" t="str">
        <f aca="false">'Dish Database'!A317</f>
        <v>D316</v>
      </c>
      <c r="B1184" s="6" t="str">
        <f aca="false">'Dish Database'!B317</f>
        <v>Chicken tikka masala</v>
      </c>
      <c r="C1184" s="6" t="str">
        <f aca="false">'Dish Database'!D317</f>
        <v>Non-Veg Curries</v>
      </c>
      <c r="D1184" s="6" t="str">
        <f aca="false">'Dish Database'!F317</f>
        <v>Non-Veg</v>
      </c>
      <c r="E1184" s="6" t="str">
        <f aca="false">'Dish Database'!E317</f>
        <v>North</v>
      </c>
      <c r="F1184" s="6" t="s">
        <v>103</v>
      </c>
      <c r="G1184" s="6" t="s">
        <v>2501</v>
      </c>
      <c r="H1184" s="16" t="n">
        <v>150</v>
      </c>
      <c r="I1184" s="6" t="str">
        <f aca="false">'Dish Database'!I317</f>
        <v>g</v>
      </c>
      <c r="J1184" s="13" t="n">
        <f aca="false">'Dish Database'!J317*H1184/100</f>
        <v>249.75</v>
      </c>
      <c r="K1184" s="17" t="n">
        <f aca="false">'Dish Database'!K317*H1184/100</f>
        <v>18.75</v>
      </c>
      <c r="L1184" s="17" t="n">
        <f aca="false">'Dish Database'!L317*H1184/100</f>
        <v>9</v>
      </c>
      <c r="M1184" s="17" t="n">
        <f aca="false">'Dish Database'!M317*H1184/100</f>
        <v>15.75</v>
      </c>
      <c r="N1184" s="17" t="n">
        <f aca="false">'Dish Database'!N317*H1184/100</f>
        <v>1.5</v>
      </c>
      <c r="O1184" s="17" t="n">
        <f aca="false">'Dish Database'!O317*H1184/100</f>
        <v>4.5</v>
      </c>
      <c r="P1184" s="13" t="n">
        <f aca="false">'Dish Database'!P317*H1184/100</f>
        <v>720</v>
      </c>
    </row>
    <row r="1185" customFormat="false" ht="15" hidden="false" customHeight="false" outlineLevel="0" collapsed="false">
      <c r="A1185" s="6" t="str">
        <f aca="false">'Dish Database'!A317</f>
        <v>D316</v>
      </c>
      <c r="B1185" s="6" t="str">
        <f aca="false">'Dish Database'!B317</f>
        <v>Chicken tikka masala</v>
      </c>
      <c r="C1185" s="6" t="str">
        <f aca="false">'Dish Database'!D317</f>
        <v>Non-Veg Curries</v>
      </c>
      <c r="D1185" s="6" t="str">
        <f aca="false">'Dish Database'!F317</f>
        <v>Non-Veg</v>
      </c>
      <c r="E1185" s="6" t="str">
        <f aca="false">'Dish Database'!E317</f>
        <v>North</v>
      </c>
      <c r="F1185" s="6" t="s">
        <v>2246</v>
      </c>
      <c r="G1185" s="6" t="s">
        <v>2502</v>
      </c>
      <c r="H1185" s="16" t="n">
        <v>200</v>
      </c>
      <c r="I1185" s="6" t="str">
        <f aca="false">'Dish Database'!I317</f>
        <v>g</v>
      </c>
      <c r="J1185" s="13" t="n">
        <f aca="false">'Dish Database'!J317*H1185/100</f>
        <v>333</v>
      </c>
      <c r="K1185" s="17" t="n">
        <f aca="false">'Dish Database'!K317*H1185/100</f>
        <v>25</v>
      </c>
      <c r="L1185" s="17" t="n">
        <f aca="false">'Dish Database'!L317*H1185/100</f>
        <v>12</v>
      </c>
      <c r="M1185" s="17" t="n">
        <f aca="false">'Dish Database'!M317*H1185/100</f>
        <v>21</v>
      </c>
      <c r="N1185" s="17" t="n">
        <f aca="false">'Dish Database'!N317*H1185/100</f>
        <v>2</v>
      </c>
      <c r="O1185" s="17" t="n">
        <f aca="false">'Dish Database'!O317*H1185/100</f>
        <v>6</v>
      </c>
      <c r="P1185" s="13" t="n">
        <f aca="false">'Dish Database'!P317*H1185/100</f>
        <v>960</v>
      </c>
    </row>
    <row r="1186" customFormat="false" ht="15" hidden="false" customHeight="false" outlineLevel="0" collapsed="false">
      <c r="A1186" s="6" t="str">
        <f aca="false">'Dish Database'!A317</f>
        <v>D316</v>
      </c>
      <c r="B1186" s="6" t="str">
        <f aca="false">'Dish Database'!B317</f>
        <v>Chicken tikka masala</v>
      </c>
      <c r="C1186" s="6" t="str">
        <f aca="false">'Dish Database'!D317</f>
        <v>Non-Veg Curries</v>
      </c>
      <c r="D1186" s="6" t="str">
        <f aca="false">'Dish Database'!F317</f>
        <v>Non-Veg</v>
      </c>
      <c r="E1186" s="6" t="str">
        <f aca="false">'Dish Database'!E317</f>
        <v>North</v>
      </c>
      <c r="F1186" s="6" t="s">
        <v>2323</v>
      </c>
      <c r="G1186" s="6" t="s">
        <v>2503</v>
      </c>
      <c r="H1186" s="16" t="n">
        <v>250</v>
      </c>
      <c r="I1186" s="6" t="str">
        <f aca="false">'Dish Database'!I317</f>
        <v>g</v>
      </c>
      <c r="J1186" s="13" t="n">
        <f aca="false">'Dish Database'!J317*H1186/100</f>
        <v>416.25</v>
      </c>
      <c r="K1186" s="17" t="n">
        <f aca="false">'Dish Database'!K317*H1186/100</f>
        <v>31.25</v>
      </c>
      <c r="L1186" s="17" t="n">
        <f aca="false">'Dish Database'!L317*H1186/100</f>
        <v>15</v>
      </c>
      <c r="M1186" s="17" t="n">
        <f aca="false">'Dish Database'!M317*H1186/100</f>
        <v>26.25</v>
      </c>
      <c r="N1186" s="17" t="n">
        <f aca="false">'Dish Database'!N317*H1186/100</f>
        <v>2.5</v>
      </c>
      <c r="O1186" s="17" t="n">
        <f aca="false">'Dish Database'!O317*H1186/100</f>
        <v>7.5</v>
      </c>
      <c r="P1186" s="13" t="n">
        <f aca="false">'Dish Database'!P317*H1186/100</f>
        <v>1200</v>
      </c>
    </row>
    <row r="1187" customFormat="false" ht="15" hidden="false" customHeight="false" outlineLevel="0" collapsed="false">
      <c r="A1187" s="6" t="str">
        <f aca="false">'Dish Database'!A317</f>
        <v>D316</v>
      </c>
      <c r="B1187" s="6" t="str">
        <f aca="false">'Dish Database'!B317</f>
        <v>Chicken tikka masala</v>
      </c>
      <c r="C1187" s="6" t="str">
        <f aca="false">'Dish Database'!D317</f>
        <v>Non-Veg Curries</v>
      </c>
      <c r="D1187" s="6" t="str">
        <f aca="false">'Dish Database'!F317</f>
        <v>Non-Veg</v>
      </c>
      <c r="E1187" s="6" t="str">
        <f aca="false">'Dish Database'!E317</f>
        <v>North</v>
      </c>
      <c r="F1187" s="6" t="s">
        <v>2325</v>
      </c>
      <c r="G1187" s="6" t="s">
        <v>2504</v>
      </c>
      <c r="H1187" s="16" t="n">
        <v>500</v>
      </c>
      <c r="I1187" s="6" t="str">
        <f aca="false">'Dish Database'!I317</f>
        <v>g</v>
      </c>
      <c r="J1187" s="13" t="n">
        <f aca="false">'Dish Database'!J317*H1187/100</f>
        <v>832.5</v>
      </c>
      <c r="K1187" s="17" t="n">
        <f aca="false">'Dish Database'!K317*H1187/100</f>
        <v>62.5</v>
      </c>
      <c r="L1187" s="17" t="n">
        <f aca="false">'Dish Database'!L317*H1187/100</f>
        <v>30</v>
      </c>
      <c r="M1187" s="17" t="n">
        <f aca="false">'Dish Database'!M317*H1187/100</f>
        <v>52.5</v>
      </c>
      <c r="N1187" s="17" t="n">
        <f aca="false">'Dish Database'!N317*H1187/100</f>
        <v>5</v>
      </c>
      <c r="O1187" s="17" t="n">
        <f aca="false">'Dish Database'!O317*H1187/100</f>
        <v>15</v>
      </c>
      <c r="P1187" s="13" t="n">
        <f aca="false">'Dish Database'!P317*H1187/100</f>
        <v>2400</v>
      </c>
    </row>
    <row r="1188" customFormat="false" ht="15" hidden="false" customHeight="false" outlineLevel="0" collapsed="false">
      <c r="A1188" s="6" t="str">
        <f aca="false">'Dish Database'!A318</f>
        <v>D317</v>
      </c>
      <c r="B1188" s="6" t="str">
        <f aca="false">'Dish Database'!B318</f>
        <v>Kadai chicken</v>
      </c>
      <c r="C1188" s="6" t="str">
        <f aca="false">'Dish Database'!D318</f>
        <v>Non-Veg Curries</v>
      </c>
      <c r="D1188" s="6" t="str">
        <f aca="false">'Dish Database'!F318</f>
        <v>Non-Veg</v>
      </c>
      <c r="E1188" s="6" t="str">
        <f aca="false">'Dish Database'!E318</f>
        <v>North</v>
      </c>
      <c r="F1188" s="6" t="s">
        <v>2243</v>
      </c>
      <c r="G1188" s="6" t="s">
        <v>2500</v>
      </c>
      <c r="H1188" s="16" t="n">
        <v>100</v>
      </c>
      <c r="I1188" s="6" t="str">
        <f aca="false">'Dish Database'!I318</f>
        <v>g</v>
      </c>
      <c r="J1188" s="13" t="n">
        <f aca="false">'Dish Database'!J318*H1188/100</f>
        <v>159.6</v>
      </c>
      <c r="K1188" s="17" t="n">
        <f aca="false">'Dish Database'!K318*H1188/100</f>
        <v>13</v>
      </c>
      <c r="L1188" s="17" t="n">
        <f aca="false">'Dish Database'!L318*H1188/100</f>
        <v>5</v>
      </c>
      <c r="M1188" s="17" t="n">
        <f aca="false">'Dish Database'!M318*H1188/100</f>
        <v>10</v>
      </c>
      <c r="N1188" s="17" t="n">
        <f aca="false">'Dish Database'!N318*H1188/100</f>
        <v>1.2</v>
      </c>
      <c r="O1188" s="17" t="n">
        <f aca="false">'Dish Database'!O318*H1188/100</f>
        <v>2.5</v>
      </c>
      <c r="P1188" s="13" t="n">
        <f aca="false">'Dish Database'!P318*H1188/100</f>
        <v>450</v>
      </c>
    </row>
    <row r="1189" customFormat="false" ht="15" hidden="false" customHeight="false" outlineLevel="0" collapsed="false">
      <c r="A1189" s="6" t="str">
        <f aca="false">'Dish Database'!A318</f>
        <v>D317</v>
      </c>
      <c r="B1189" s="6" t="str">
        <f aca="false">'Dish Database'!B318</f>
        <v>Kadai chicken</v>
      </c>
      <c r="C1189" s="6" t="str">
        <f aca="false">'Dish Database'!D318</f>
        <v>Non-Veg Curries</v>
      </c>
      <c r="D1189" s="6" t="str">
        <f aca="false">'Dish Database'!F318</f>
        <v>Non-Veg</v>
      </c>
      <c r="E1189" s="6" t="str">
        <f aca="false">'Dish Database'!E318</f>
        <v>North</v>
      </c>
      <c r="F1189" s="6" t="s">
        <v>103</v>
      </c>
      <c r="G1189" s="6" t="s">
        <v>2501</v>
      </c>
      <c r="H1189" s="16" t="n">
        <v>150</v>
      </c>
      <c r="I1189" s="6" t="str">
        <f aca="false">'Dish Database'!I318</f>
        <v>g</v>
      </c>
      <c r="J1189" s="13" t="n">
        <f aca="false">'Dish Database'!J318*H1189/100</f>
        <v>239.4</v>
      </c>
      <c r="K1189" s="17" t="n">
        <f aca="false">'Dish Database'!K318*H1189/100</f>
        <v>19.5</v>
      </c>
      <c r="L1189" s="17" t="n">
        <f aca="false">'Dish Database'!L318*H1189/100</f>
        <v>7.5</v>
      </c>
      <c r="M1189" s="17" t="n">
        <f aca="false">'Dish Database'!M318*H1189/100</f>
        <v>15</v>
      </c>
      <c r="N1189" s="17" t="n">
        <f aca="false">'Dish Database'!N318*H1189/100</f>
        <v>1.8</v>
      </c>
      <c r="O1189" s="17" t="n">
        <f aca="false">'Dish Database'!O318*H1189/100</f>
        <v>3.75</v>
      </c>
      <c r="P1189" s="13" t="n">
        <f aca="false">'Dish Database'!P318*H1189/100</f>
        <v>675</v>
      </c>
    </row>
    <row r="1190" customFormat="false" ht="15" hidden="false" customHeight="false" outlineLevel="0" collapsed="false">
      <c r="A1190" s="6" t="str">
        <f aca="false">'Dish Database'!A318</f>
        <v>D317</v>
      </c>
      <c r="B1190" s="6" t="str">
        <f aca="false">'Dish Database'!B318</f>
        <v>Kadai chicken</v>
      </c>
      <c r="C1190" s="6" t="str">
        <f aca="false">'Dish Database'!D318</f>
        <v>Non-Veg Curries</v>
      </c>
      <c r="D1190" s="6" t="str">
        <f aca="false">'Dish Database'!F318</f>
        <v>Non-Veg</v>
      </c>
      <c r="E1190" s="6" t="str">
        <f aca="false">'Dish Database'!E318</f>
        <v>North</v>
      </c>
      <c r="F1190" s="6" t="s">
        <v>2246</v>
      </c>
      <c r="G1190" s="6" t="s">
        <v>2502</v>
      </c>
      <c r="H1190" s="16" t="n">
        <v>200</v>
      </c>
      <c r="I1190" s="6" t="str">
        <f aca="false">'Dish Database'!I318</f>
        <v>g</v>
      </c>
      <c r="J1190" s="13" t="n">
        <f aca="false">'Dish Database'!J318*H1190/100</f>
        <v>319.2</v>
      </c>
      <c r="K1190" s="17" t="n">
        <f aca="false">'Dish Database'!K318*H1190/100</f>
        <v>26</v>
      </c>
      <c r="L1190" s="17" t="n">
        <f aca="false">'Dish Database'!L318*H1190/100</f>
        <v>10</v>
      </c>
      <c r="M1190" s="17" t="n">
        <f aca="false">'Dish Database'!M318*H1190/100</f>
        <v>20</v>
      </c>
      <c r="N1190" s="17" t="n">
        <f aca="false">'Dish Database'!N318*H1190/100</f>
        <v>2.4</v>
      </c>
      <c r="O1190" s="17" t="n">
        <f aca="false">'Dish Database'!O318*H1190/100</f>
        <v>5</v>
      </c>
      <c r="P1190" s="13" t="n">
        <f aca="false">'Dish Database'!P318*H1190/100</f>
        <v>900</v>
      </c>
    </row>
    <row r="1191" customFormat="false" ht="15" hidden="false" customHeight="false" outlineLevel="0" collapsed="false">
      <c r="A1191" s="6" t="str">
        <f aca="false">'Dish Database'!A318</f>
        <v>D317</v>
      </c>
      <c r="B1191" s="6" t="str">
        <f aca="false">'Dish Database'!B318</f>
        <v>Kadai chicken</v>
      </c>
      <c r="C1191" s="6" t="str">
        <f aca="false">'Dish Database'!D318</f>
        <v>Non-Veg Curries</v>
      </c>
      <c r="D1191" s="6" t="str">
        <f aca="false">'Dish Database'!F318</f>
        <v>Non-Veg</v>
      </c>
      <c r="E1191" s="6" t="str">
        <f aca="false">'Dish Database'!E318</f>
        <v>North</v>
      </c>
      <c r="F1191" s="6" t="s">
        <v>2323</v>
      </c>
      <c r="G1191" s="6" t="s">
        <v>2503</v>
      </c>
      <c r="H1191" s="16" t="n">
        <v>250</v>
      </c>
      <c r="I1191" s="6" t="str">
        <f aca="false">'Dish Database'!I318</f>
        <v>g</v>
      </c>
      <c r="J1191" s="13" t="n">
        <f aca="false">'Dish Database'!J318*H1191/100</f>
        <v>399</v>
      </c>
      <c r="K1191" s="17" t="n">
        <f aca="false">'Dish Database'!K318*H1191/100</f>
        <v>32.5</v>
      </c>
      <c r="L1191" s="17" t="n">
        <f aca="false">'Dish Database'!L318*H1191/100</f>
        <v>12.5</v>
      </c>
      <c r="M1191" s="17" t="n">
        <f aca="false">'Dish Database'!M318*H1191/100</f>
        <v>25</v>
      </c>
      <c r="N1191" s="17" t="n">
        <f aca="false">'Dish Database'!N318*H1191/100</f>
        <v>3</v>
      </c>
      <c r="O1191" s="17" t="n">
        <f aca="false">'Dish Database'!O318*H1191/100</f>
        <v>6.25</v>
      </c>
      <c r="P1191" s="13" t="n">
        <f aca="false">'Dish Database'!P318*H1191/100</f>
        <v>1125</v>
      </c>
    </row>
    <row r="1192" customFormat="false" ht="15" hidden="false" customHeight="false" outlineLevel="0" collapsed="false">
      <c r="A1192" s="6" t="str">
        <f aca="false">'Dish Database'!A318</f>
        <v>D317</v>
      </c>
      <c r="B1192" s="6" t="str">
        <f aca="false">'Dish Database'!B318</f>
        <v>Kadai chicken</v>
      </c>
      <c r="C1192" s="6" t="str">
        <f aca="false">'Dish Database'!D318</f>
        <v>Non-Veg Curries</v>
      </c>
      <c r="D1192" s="6" t="str">
        <f aca="false">'Dish Database'!F318</f>
        <v>Non-Veg</v>
      </c>
      <c r="E1192" s="6" t="str">
        <f aca="false">'Dish Database'!E318</f>
        <v>North</v>
      </c>
      <c r="F1192" s="6" t="s">
        <v>2325</v>
      </c>
      <c r="G1192" s="6" t="s">
        <v>2504</v>
      </c>
      <c r="H1192" s="16" t="n">
        <v>500</v>
      </c>
      <c r="I1192" s="6" t="str">
        <f aca="false">'Dish Database'!I318</f>
        <v>g</v>
      </c>
      <c r="J1192" s="13" t="n">
        <f aca="false">'Dish Database'!J318*H1192/100</f>
        <v>798</v>
      </c>
      <c r="K1192" s="17" t="n">
        <f aca="false">'Dish Database'!K318*H1192/100</f>
        <v>65</v>
      </c>
      <c r="L1192" s="17" t="n">
        <f aca="false">'Dish Database'!L318*H1192/100</f>
        <v>25</v>
      </c>
      <c r="M1192" s="17" t="n">
        <f aca="false">'Dish Database'!M318*H1192/100</f>
        <v>50</v>
      </c>
      <c r="N1192" s="17" t="n">
        <f aca="false">'Dish Database'!N318*H1192/100</f>
        <v>6</v>
      </c>
      <c r="O1192" s="17" t="n">
        <f aca="false">'Dish Database'!O318*H1192/100</f>
        <v>12.5</v>
      </c>
      <c r="P1192" s="13" t="n">
        <f aca="false">'Dish Database'!P318*H1192/100</f>
        <v>2250</v>
      </c>
    </row>
    <row r="1193" customFormat="false" ht="15" hidden="false" customHeight="false" outlineLevel="0" collapsed="false">
      <c r="A1193" s="6" t="str">
        <f aca="false">'Dish Database'!A319</f>
        <v>D318</v>
      </c>
      <c r="B1193" s="6" t="str">
        <f aca="false">'Dish Database'!B319</f>
        <v>Chicken curry (home style)</v>
      </c>
      <c r="C1193" s="6" t="str">
        <f aca="false">'Dish Database'!D319</f>
        <v>Non-Veg Curries</v>
      </c>
      <c r="D1193" s="6" t="str">
        <f aca="false">'Dish Database'!F319</f>
        <v>Non-Veg</v>
      </c>
      <c r="E1193" s="6" t="str">
        <f aca="false">'Dish Database'!E319</f>
        <v>Pan-India</v>
      </c>
      <c r="F1193" s="6" t="s">
        <v>2243</v>
      </c>
      <c r="G1193" s="6" t="s">
        <v>2500</v>
      </c>
      <c r="H1193" s="16" t="n">
        <v>100</v>
      </c>
      <c r="I1193" s="6" t="str">
        <f aca="false">'Dish Database'!I319</f>
        <v>g</v>
      </c>
      <c r="J1193" s="13" t="n">
        <f aca="false">'Dish Database'!J319*H1193/100</f>
        <v>138</v>
      </c>
      <c r="K1193" s="17" t="n">
        <f aca="false">'Dish Database'!K319*H1193/100</f>
        <v>12.5</v>
      </c>
      <c r="L1193" s="17" t="n">
        <f aca="false">'Dish Database'!L319*H1193/100</f>
        <v>4.5</v>
      </c>
      <c r="M1193" s="17" t="n">
        <f aca="false">'Dish Database'!M319*H1193/100</f>
        <v>8</v>
      </c>
      <c r="N1193" s="17" t="n">
        <f aca="false">'Dish Database'!N319*H1193/100</f>
        <v>1</v>
      </c>
      <c r="O1193" s="17" t="n">
        <f aca="false">'Dish Database'!O319*H1193/100</f>
        <v>2</v>
      </c>
      <c r="P1193" s="13" t="n">
        <f aca="false">'Dish Database'!P319*H1193/100</f>
        <v>400</v>
      </c>
    </row>
    <row r="1194" customFormat="false" ht="15" hidden="false" customHeight="false" outlineLevel="0" collapsed="false">
      <c r="A1194" s="6" t="str">
        <f aca="false">'Dish Database'!A319</f>
        <v>D318</v>
      </c>
      <c r="B1194" s="6" t="str">
        <f aca="false">'Dish Database'!B319</f>
        <v>Chicken curry (home style)</v>
      </c>
      <c r="C1194" s="6" t="str">
        <f aca="false">'Dish Database'!D319</f>
        <v>Non-Veg Curries</v>
      </c>
      <c r="D1194" s="6" t="str">
        <f aca="false">'Dish Database'!F319</f>
        <v>Non-Veg</v>
      </c>
      <c r="E1194" s="6" t="str">
        <f aca="false">'Dish Database'!E319</f>
        <v>Pan-India</v>
      </c>
      <c r="F1194" s="6" t="s">
        <v>103</v>
      </c>
      <c r="G1194" s="6" t="s">
        <v>2501</v>
      </c>
      <c r="H1194" s="16" t="n">
        <v>150</v>
      </c>
      <c r="I1194" s="6" t="str">
        <f aca="false">'Dish Database'!I319</f>
        <v>g</v>
      </c>
      <c r="J1194" s="13" t="n">
        <f aca="false">'Dish Database'!J319*H1194/100</f>
        <v>207</v>
      </c>
      <c r="K1194" s="17" t="n">
        <f aca="false">'Dish Database'!K319*H1194/100</f>
        <v>18.75</v>
      </c>
      <c r="L1194" s="17" t="n">
        <f aca="false">'Dish Database'!L319*H1194/100</f>
        <v>6.75</v>
      </c>
      <c r="M1194" s="17" t="n">
        <f aca="false">'Dish Database'!M319*H1194/100</f>
        <v>12</v>
      </c>
      <c r="N1194" s="17" t="n">
        <f aca="false">'Dish Database'!N319*H1194/100</f>
        <v>1.5</v>
      </c>
      <c r="O1194" s="17" t="n">
        <f aca="false">'Dish Database'!O319*H1194/100</f>
        <v>3</v>
      </c>
      <c r="P1194" s="13" t="n">
        <f aca="false">'Dish Database'!P319*H1194/100</f>
        <v>600</v>
      </c>
    </row>
    <row r="1195" customFormat="false" ht="15" hidden="false" customHeight="false" outlineLevel="0" collapsed="false">
      <c r="A1195" s="6" t="str">
        <f aca="false">'Dish Database'!A319</f>
        <v>D318</v>
      </c>
      <c r="B1195" s="6" t="str">
        <f aca="false">'Dish Database'!B319</f>
        <v>Chicken curry (home style)</v>
      </c>
      <c r="C1195" s="6" t="str">
        <f aca="false">'Dish Database'!D319</f>
        <v>Non-Veg Curries</v>
      </c>
      <c r="D1195" s="6" t="str">
        <f aca="false">'Dish Database'!F319</f>
        <v>Non-Veg</v>
      </c>
      <c r="E1195" s="6" t="str">
        <f aca="false">'Dish Database'!E319</f>
        <v>Pan-India</v>
      </c>
      <c r="F1195" s="6" t="s">
        <v>2246</v>
      </c>
      <c r="G1195" s="6" t="s">
        <v>2502</v>
      </c>
      <c r="H1195" s="16" t="n">
        <v>200</v>
      </c>
      <c r="I1195" s="6" t="str">
        <f aca="false">'Dish Database'!I319</f>
        <v>g</v>
      </c>
      <c r="J1195" s="13" t="n">
        <f aca="false">'Dish Database'!J319*H1195/100</f>
        <v>276</v>
      </c>
      <c r="K1195" s="17" t="n">
        <f aca="false">'Dish Database'!K319*H1195/100</f>
        <v>25</v>
      </c>
      <c r="L1195" s="17" t="n">
        <f aca="false">'Dish Database'!L319*H1195/100</f>
        <v>9</v>
      </c>
      <c r="M1195" s="17" t="n">
        <f aca="false">'Dish Database'!M319*H1195/100</f>
        <v>16</v>
      </c>
      <c r="N1195" s="17" t="n">
        <f aca="false">'Dish Database'!N319*H1195/100</f>
        <v>2</v>
      </c>
      <c r="O1195" s="17" t="n">
        <f aca="false">'Dish Database'!O319*H1195/100</f>
        <v>4</v>
      </c>
      <c r="P1195" s="13" t="n">
        <f aca="false">'Dish Database'!P319*H1195/100</f>
        <v>800</v>
      </c>
    </row>
    <row r="1196" customFormat="false" ht="15" hidden="false" customHeight="false" outlineLevel="0" collapsed="false">
      <c r="A1196" s="6" t="str">
        <f aca="false">'Dish Database'!A319</f>
        <v>D318</v>
      </c>
      <c r="B1196" s="6" t="str">
        <f aca="false">'Dish Database'!B319</f>
        <v>Chicken curry (home style)</v>
      </c>
      <c r="C1196" s="6" t="str">
        <f aca="false">'Dish Database'!D319</f>
        <v>Non-Veg Curries</v>
      </c>
      <c r="D1196" s="6" t="str">
        <f aca="false">'Dish Database'!F319</f>
        <v>Non-Veg</v>
      </c>
      <c r="E1196" s="6" t="str">
        <f aca="false">'Dish Database'!E319</f>
        <v>Pan-India</v>
      </c>
      <c r="F1196" s="6" t="s">
        <v>2323</v>
      </c>
      <c r="G1196" s="6" t="s">
        <v>2503</v>
      </c>
      <c r="H1196" s="16" t="n">
        <v>250</v>
      </c>
      <c r="I1196" s="6" t="str">
        <f aca="false">'Dish Database'!I319</f>
        <v>g</v>
      </c>
      <c r="J1196" s="13" t="n">
        <f aca="false">'Dish Database'!J319*H1196/100</f>
        <v>345</v>
      </c>
      <c r="K1196" s="17" t="n">
        <f aca="false">'Dish Database'!K319*H1196/100</f>
        <v>31.25</v>
      </c>
      <c r="L1196" s="17" t="n">
        <f aca="false">'Dish Database'!L319*H1196/100</f>
        <v>11.25</v>
      </c>
      <c r="M1196" s="17" t="n">
        <f aca="false">'Dish Database'!M319*H1196/100</f>
        <v>20</v>
      </c>
      <c r="N1196" s="17" t="n">
        <f aca="false">'Dish Database'!N319*H1196/100</f>
        <v>2.5</v>
      </c>
      <c r="O1196" s="17" t="n">
        <f aca="false">'Dish Database'!O319*H1196/100</f>
        <v>5</v>
      </c>
      <c r="P1196" s="13" t="n">
        <f aca="false">'Dish Database'!P319*H1196/100</f>
        <v>1000</v>
      </c>
    </row>
    <row r="1197" customFormat="false" ht="15" hidden="false" customHeight="false" outlineLevel="0" collapsed="false">
      <c r="A1197" s="6" t="str">
        <f aca="false">'Dish Database'!A319</f>
        <v>D318</v>
      </c>
      <c r="B1197" s="6" t="str">
        <f aca="false">'Dish Database'!B319</f>
        <v>Chicken curry (home style)</v>
      </c>
      <c r="C1197" s="6" t="str">
        <f aca="false">'Dish Database'!D319</f>
        <v>Non-Veg Curries</v>
      </c>
      <c r="D1197" s="6" t="str">
        <f aca="false">'Dish Database'!F319</f>
        <v>Non-Veg</v>
      </c>
      <c r="E1197" s="6" t="str">
        <f aca="false">'Dish Database'!E319</f>
        <v>Pan-India</v>
      </c>
      <c r="F1197" s="6" t="s">
        <v>2325</v>
      </c>
      <c r="G1197" s="6" t="s">
        <v>2504</v>
      </c>
      <c r="H1197" s="16" t="n">
        <v>500</v>
      </c>
      <c r="I1197" s="6" t="str">
        <f aca="false">'Dish Database'!I319</f>
        <v>g</v>
      </c>
      <c r="J1197" s="13" t="n">
        <f aca="false">'Dish Database'!J319*H1197/100</f>
        <v>690</v>
      </c>
      <c r="K1197" s="17" t="n">
        <f aca="false">'Dish Database'!K319*H1197/100</f>
        <v>62.5</v>
      </c>
      <c r="L1197" s="17" t="n">
        <f aca="false">'Dish Database'!L319*H1197/100</f>
        <v>22.5</v>
      </c>
      <c r="M1197" s="17" t="n">
        <f aca="false">'Dish Database'!M319*H1197/100</f>
        <v>40</v>
      </c>
      <c r="N1197" s="17" t="n">
        <f aca="false">'Dish Database'!N319*H1197/100</f>
        <v>5</v>
      </c>
      <c r="O1197" s="17" t="n">
        <f aca="false">'Dish Database'!O319*H1197/100</f>
        <v>10</v>
      </c>
      <c r="P1197" s="13" t="n">
        <f aca="false">'Dish Database'!P319*H1197/100</f>
        <v>2000</v>
      </c>
    </row>
    <row r="1198" customFormat="false" ht="15" hidden="false" customHeight="false" outlineLevel="0" collapsed="false">
      <c r="A1198" s="6" t="str">
        <f aca="false">'Dish Database'!A320</f>
        <v>D319</v>
      </c>
      <c r="B1198" s="6" t="str">
        <f aca="false">'Dish Database'!B320</f>
        <v>Chicken curry (restaurant / dhaba)</v>
      </c>
      <c r="C1198" s="6" t="str">
        <f aca="false">'Dish Database'!D320</f>
        <v>Non-Veg Curries</v>
      </c>
      <c r="D1198" s="6" t="str">
        <f aca="false">'Dish Database'!F320</f>
        <v>Non-Veg</v>
      </c>
      <c r="E1198" s="6" t="str">
        <f aca="false">'Dish Database'!E320</f>
        <v>North</v>
      </c>
      <c r="F1198" s="6" t="s">
        <v>2243</v>
      </c>
      <c r="G1198" s="6" t="s">
        <v>2500</v>
      </c>
      <c r="H1198" s="16" t="n">
        <v>100</v>
      </c>
      <c r="I1198" s="6" t="str">
        <f aca="false">'Dish Database'!I320</f>
        <v>g</v>
      </c>
      <c r="J1198" s="13" t="n">
        <f aca="false">'Dish Database'!J320*H1198/100</f>
        <v>165</v>
      </c>
      <c r="K1198" s="17" t="n">
        <f aca="false">'Dish Database'!K320*H1198/100</f>
        <v>12</v>
      </c>
      <c r="L1198" s="17" t="n">
        <f aca="false">'Dish Database'!L320*H1198/100</f>
        <v>5</v>
      </c>
      <c r="M1198" s="17" t="n">
        <f aca="false">'Dish Database'!M320*H1198/100</f>
        <v>11</v>
      </c>
      <c r="N1198" s="17" t="n">
        <f aca="false">'Dish Database'!N320*H1198/100</f>
        <v>1</v>
      </c>
      <c r="O1198" s="17" t="n">
        <f aca="false">'Dish Database'!O320*H1198/100</f>
        <v>2</v>
      </c>
      <c r="P1198" s="13" t="n">
        <f aca="false">'Dish Database'!P320*H1198/100</f>
        <v>450</v>
      </c>
    </row>
    <row r="1199" customFormat="false" ht="15" hidden="false" customHeight="false" outlineLevel="0" collapsed="false">
      <c r="A1199" s="6" t="str">
        <f aca="false">'Dish Database'!A320</f>
        <v>D319</v>
      </c>
      <c r="B1199" s="6" t="str">
        <f aca="false">'Dish Database'!B320</f>
        <v>Chicken curry (restaurant / dhaba)</v>
      </c>
      <c r="C1199" s="6" t="str">
        <f aca="false">'Dish Database'!D320</f>
        <v>Non-Veg Curries</v>
      </c>
      <c r="D1199" s="6" t="str">
        <f aca="false">'Dish Database'!F320</f>
        <v>Non-Veg</v>
      </c>
      <c r="E1199" s="6" t="str">
        <f aca="false">'Dish Database'!E320</f>
        <v>North</v>
      </c>
      <c r="F1199" s="6" t="s">
        <v>103</v>
      </c>
      <c r="G1199" s="6" t="s">
        <v>2501</v>
      </c>
      <c r="H1199" s="16" t="n">
        <v>150</v>
      </c>
      <c r="I1199" s="6" t="str">
        <f aca="false">'Dish Database'!I320</f>
        <v>g</v>
      </c>
      <c r="J1199" s="13" t="n">
        <f aca="false">'Dish Database'!J320*H1199/100</f>
        <v>247.5</v>
      </c>
      <c r="K1199" s="17" t="n">
        <f aca="false">'Dish Database'!K320*H1199/100</f>
        <v>18</v>
      </c>
      <c r="L1199" s="17" t="n">
        <f aca="false">'Dish Database'!L320*H1199/100</f>
        <v>7.5</v>
      </c>
      <c r="M1199" s="17" t="n">
        <f aca="false">'Dish Database'!M320*H1199/100</f>
        <v>16.5</v>
      </c>
      <c r="N1199" s="17" t="n">
        <f aca="false">'Dish Database'!N320*H1199/100</f>
        <v>1.5</v>
      </c>
      <c r="O1199" s="17" t="n">
        <f aca="false">'Dish Database'!O320*H1199/100</f>
        <v>3</v>
      </c>
      <c r="P1199" s="13" t="n">
        <f aca="false">'Dish Database'!P320*H1199/100</f>
        <v>675</v>
      </c>
    </row>
    <row r="1200" customFormat="false" ht="15" hidden="false" customHeight="false" outlineLevel="0" collapsed="false">
      <c r="A1200" s="6" t="str">
        <f aca="false">'Dish Database'!A320</f>
        <v>D319</v>
      </c>
      <c r="B1200" s="6" t="str">
        <f aca="false">'Dish Database'!B320</f>
        <v>Chicken curry (restaurant / dhaba)</v>
      </c>
      <c r="C1200" s="6" t="str">
        <f aca="false">'Dish Database'!D320</f>
        <v>Non-Veg Curries</v>
      </c>
      <c r="D1200" s="6" t="str">
        <f aca="false">'Dish Database'!F320</f>
        <v>Non-Veg</v>
      </c>
      <c r="E1200" s="6" t="str">
        <f aca="false">'Dish Database'!E320</f>
        <v>North</v>
      </c>
      <c r="F1200" s="6" t="s">
        <v>2246</v>
      </c>
      <c r="G1200" s="6" t="s">
        <v>2502</v>
      </c>
      <c r="H1200" s="16" t="n">
        <v>200</v>
      </c>
      <c r="I1200" s="6" t="str">
        <f aca="false">'Dish Database'!I320</f>
        <v>g</v>
      </c>
      <c r="J1200" s="13" t="n">
        <f aca="false">'Dish Database'!J320*H1200/100</f>
        <v>330</v>
      </c>
      <c r="K1200" s="17" t="n">
        <f aca="false">'Dish Database'!K320*H1200/100</f>
        <v>24</v>
      </c>
      <c r="L1200" s="17" t="n">
        <f aca="false">'Dish Database'!L320*H1200/100</f>
        <v>10</v>
      </c>
      <c r="M1200" s="17" t="n">
        <f aca="false">'Dish Database'!M320*H1200/100</f>
        <v>22</v>
      </c>
      <c r="N1200" s="17" t="n">
        <f aca="false">'Dish Database'!N320*H1200/100</f>
        <v>2</v>
      </c>
      <c r="O1200" s="17" t="n">
        <f aca="false">'Dish Database'!O320*H1200/100</f>
        <v>4</v>
      </c>
      <c r="P1200" s="13" t="n">
        <f aca="false">'Dish Database'!P320*H1200/100</f>
        <v>900</v>
      </c>
    </row>
    <row r="1201" customFormat="false" ht="15" hidden="false" customHeight="false" outlineLevel="0" collapsed="false">
      <c r="A1201" s="6" t="str">
        <f aca="false">'Dish Database'!A320</f>
        <v>D319</v>
      </c>
      <c r="B1201" s="6" t="str">
        <f aca="false">'Dish Database'!B320</f>
        <v>Chicken curry (restaurant / dhaba)</v>
      </c>
      <c r="C1201" s="6" t="str">
        <f aca="false">'Dish Database'!D320</f>
        <v>Non-Veg Curries</v>
      </c>
      <c r="D1201" s="6" t="str">
        <f aca="false">'Dish Database'!F320</f>
        <v>Non-Veg</v>
      </c>
      <c r="E1201" s="6" t="str">
        <f aca="false">'Dish Database'!E320</f>
        <v>North</v>
      </c>
      <c r="F1201" s="6" t="s">
        <v>2323</v>
      </c>
      <c r="G1201" s="6" t="s">
        <v>2503</v>
      </c>
      <c r="H1201" s="16" t="n">
        <v>250</v>
      </c>
      <c r="I1201" s="6" t="str">
        <f aca="false">'Dish Database'!I320</f>
        <v>g</v>
      </c>
      <c r="J1201" s="13" t="n">
        <f aca="false">'Dish Database'!J320*H1201/100</f>
        <v>412.5</v>
      </c>
      <c r="K1201" s="17" t="n">
        <f aca="false">'Dish Database'!K320*H1201/100</f>
        <v>30</v>
      </c>
      <c r="L1201" s="17" t="n">
        <f aca="false">'Dish Database'!L320*H1201/100</f>
        <v>12.5</v>
      </c>
      <c r="M1201" s="17" t="n">
        <f aca="false">'Dish Database'!M320*H1201/100</f>
        <v>27.5</v>
      </c>
      <c r="N1201" s="17" t="n">
        <f aca="false">'Dish Database'!N320*H1201/100</f>
        <v>2.5</v>
      </c>
      <c r="O1201" s="17" t="n">
        <f aca="false">'Dish Database'!O320*H1201/100</f>
        <v>5</v>
      </c>
      <c r="P1201" s="13" t="n">
        <f aca="false">'Dish Database'!P320*H1201/100</f>
        <v>1125</v>
      </c>
    </row>
    <row r="1202" customFormat="false" ht="15" hidden="false" customHeight="false" outlineLevel="0" collapsed="false">
      <c r="A1202" s="6" t="str">
        <f aca="false">'Dish Database'!A320</f>
        <v>D319</v>
      </c>
      <c r="B1202" s="6" t="str">
        <f aca="false">'Dish Database'!B320</f>
        <v>Chicken curry (restaurant / dhaba)</v>
      </c>
      <c r="C1202" s="6" t="str">
        <f aca="false">'Dish Database'!D320</f>
        <v>Non-Veg Curries</v>
      </c>
      <c r="D1202" s="6" t="str">
        <f aca="false">'Dish Database'!F320</f>
        <v>Non-Veg</v>
      </c>
      <c r="E1202" s="6" t="str">
        <f aca="false">'Dish Database'!E320</f>
        <v>North</v>
      </c>
      <c r="F1202" s="6" t="s">
        <v>2325</v>
      </c>
      <c r="G1202" s="6" t="s">
        <v>2504</v>
      </c>
      <c r="H1202" s="16" t="n">
        <v>500</v>
      </c>
      <c r="I1202" s="6" t="str">
        <f aca="false">'Dish Database'!I320</f>
        <v>g</v>
      </c>
      <c r="J1202" s="13" t="n">
        <f aca="false">'Dish Database'!J320*H1202/100</f>
        <v>825</v>
      </c>
      <c r="K1202" s="17" t="n">
        <f aca="false">'Dish Database'!K320*H1202/100</f>
        <v>60</v>
      </c>
      <c r="L1202" s="17" t="n">
        <f aca="false">'Dish Database'!L320*H1202/100</f>
        <v>25</v>
      </c>
      <c r="M1202" s="17" t="n">
        <f aca="false">'Dish Database'!M320*H1202/100</f>
        <v>55</v>
      </c>
      <c r="N1202" s="17" t="n">
        <f aca="false">'Dish Database'!N320*H1202/100</f>
        <v>5</v>
      </c>
      <c r="O1202" s="17" t="n">
        <f aca="false">'Dish Database'!O320*H1202/100</f>
        <v>10</v>
      </c>
      <c r="P1202" s="13" t="n">
        <f aca="false">'Dish Database'!P320*H1202/100</f>
        <v>2250</v>
      </c>
    </row>
    <row r="1203" customFormat="false" ht="15" hidden="false" customHeight="false" outlineLevel="0" collapsed="false">
      <c r="A1203" s="6" t="str">
        <f aca="false">'Dish Database'!A321</f>
        <v>D320</v>
      </c>
      <c r="B1203" s="6" t="str">
        <f aca="false">'Dish Database'!B321</f>
        <v>Chicken korma</v>
      </c>
      <c r="C1203" s="6" t="str">
        <f aca="false">'Dish Database'!D321</f>
        <v>Non-Veg Curries</v>
      </c>
      <c r="D1203" s="6" t="str">
        <f aca="false">'Dish Database'!F321</f>
        <v>Non-Veg</v>
      </c>
      <c r="E1203" s="6" t="str">
        <f aca="false">'Dish Database'!E321</f>
        <v>North</v>
      </c>
      <c r="F1203" s="6" t="s">
        <v>2243</v>
      </c>
      <c r="G1203" s="6" t="s">
        <v>2500</v>
      </c>
      <c r="H1203" s="16" t="n">
        <v>100</v>
      </c>
      <c r="I1203" s="6" t="str">
        <f aca="false">'Dish Database'!I321</f>
        <v>g</v>
      </c>
      <c r="J1203" s="13" t="n">
        <f aca="false">'Dish Database'!J321*H1203/100</f>
        <v>182.5</v>
      </c>
      <c r="K1203" s="17" t="n">
        <f aca="false">'Dish Database'!K321*H1203/100</f>
        <v>12</v>
      </c>
      <c r="L1203" s="17" t="n">
        <f aca="false">'Dish Database'!L321*H1203/100</f>
        <v>6</v>
      </c>
      <c r="M1203" s="17" t="n">
        <f aca="false">'Dish Database'!M321*H1203/100</f>
        <v>12.5</v>
      </c>
      <c r="N1203" s="17" t="n">
        <f aca="false">'Dish Database'!N321*H1203/100</f>
        <v>1</v>
      </c>
      <c r="O1203" s="17" t="n">
        <f aca="false">'Dish Database'!O321*H1203/100</f>
        <v>3</v>
      </c>
      <c r="P1203" s="13" t="n">
        <f aca="false">'Dish Database'!P321*H1203/100</f>
        <v>420</v>
      </c>
    </row>
    <row r="1204" customFormat="false" ht="15" hidden="false" customHeight="false" outlineLevel="0" collapsed="false">
      <c r="A1204" s="6" t="str">
        <f aca="false">'Dish Database'!A321</f>
        <v>D320</v>
      </c>
      <c r="B1204" s="6" t="str">
        <f aca="false">'Dish Database'!B321</f>
        <v>Chicken korma</v>
      </c>
      <c r="C1204" s="6" t="str">
        <f aca="false">'Dish Database'!D321</f>
        <v>Non-Veg Curries</v>
      </c>
      <c r="D1204" s="6" t="str">
        <f aca="false">'Dish Database'!F321</f>
        <v>Non-Veg</v>
      </c>
      <c r="E1204" s="6" t="str">
        <f aca="false">'Dish Database'!E321</f>
        <v>North</v>
      </c>
      <c r="F1204" s="6" t="s">
        <v>103</v>
      </c>
      <c r="G1204" s="6" t="s">
        <v>2501</v>
      </c>
      <c r="H1204" s="16" t="n">
        <v>150</v>
      </c>
      <c r="I1204" s="6" t="str">
        <f aca="false">'Dish Database'!I321</f>
        <v>g</v>
      </c>
      <c r="J1204" s="13" t="n">
        <f aca="false">'Dish Database'!J321*H1204/100</f>
        <v>273.75</v>
      </c>
      <c r="K1204" s="17" t="n">
        <f aca="false">'Dish Database'!K321*H1204/100</f>
        <v>18</v>
      </c>
      <c r="L1204" s="17" t="n">
        <f aca="false">'Dish Database'!L321*H1204/100</f>
        <v>9</v>
      </c>
      <c r="M1204" s="17" t="n">
        <f aca="false">'Dish Database'!M321*H1204/100</f>
        <v>18.75</v>
      </c>
      <c r="N1204" s="17" t="n">
        <f aca="false">'Dish Database'!N321*H1204/100</f>
        <v>1.5</v>
      </c>
      <c r="O1204" s="17" t="n">
        <f aca="false">'Dish Database'!O321*H1204/100</f>
        <v>4.5</v>
      </c>
      <c r="P1204" s="13" t="n">
        <f aca="false">'Dish Database'!P321*H1204/100</f>
        <v>630</v>
      </c>
    </row>
    <row r="1205" customFormat="false" ht="15" hidden="false" customHeight="false" outlineLevel="0" collapsed="false">
      <c r="A1205" s="6" t="str">
        <f aca="false">'Dish Database'!A321</f>
        <v>D320</v>
      </c>
      <c r="B1205" s="6" t="str">
        <f aca="false">'Dish Database'!B321</f>
        <v>Chicken korma</v>
      </c>
      <c r="C1205" s="6" t="str">
        <f aca="false">'Dish Database'!D321</f>
        <v>Non-Veg Curries</v>
      </c>
      <c r="D1205" s="6" t="str">
        <f aca="false">'Dish Database'!F321</f>
        <v>Non-Veg</v>
      </c>
      <c r="E1205" s="6" t="str">
        <f aca="false">'Dish Database'!E321</f>
        <v>North</v>
      </c>
      <c r="F1205" s="6" t="s">
        <v>2246</v>
      </c>
      <c r="G1205" s="6" t="s">
        <v>2502</v>
      </c>
      <c r="H1205" s="16" t="n">
        <v>200</v>
      </c>
      <c r="I1205" s="6" t="str">
        <f aca="false">'Dish Database'!I321</f>
        <v>g</v>
      </c>
      <c r="J1205" s="13" t="n">
        <f aca="false">'Dish Database'!J321*H1205/100</f>
        <v>365</v>
      </c>
      <c r="K1205" s="17" t="n">
        <f aca="false">'Dish Database'!K321*H1205/100</f>
        <v>24</v>
      </c>
      <c r="L1205" s="17" t="n">
        <f aca="false">'Dish Database'!L321*H1205/100</f>
        <v>12</v>
      </c>
      <c r="M1205" s="17" t="n">
        <f aca="false">'Dish Database'!M321*H1205/100</f>
        <v>25</v>
      </c>
      <c r="N1205" s="17" t="n">
        <f aca="false">'Dish Database'!N321*H1205/100</f>
        <v>2</v>
      </c>
      <c r="O1205" s="17" t="n">
        <f aca="false">'Dish Database'!O321*H1205/100</f>
        <v>6</v>
      </c>
      <c r="P1205" s="13" t="n">
        <f aca="false">'Dish Database'!P321*H1205/100</f>
        <v>840</v>
      </c>
    </row>
    <row r="1206" customFormat="false" ht="15" hidden="false" customHeight="false" outlineLevel="0" collapsed="false">
      <c r="A1206" s="6" t="str">
        <f aca="false">'Dish Database'!A321</f>
        <v>D320</v>
      </c>
      <c r="B1206" s="6" t="str">
        <f aca="false">'Dish Database'!B321</f>
        <v>Chicken korma</v>
      </c>
      <c r="C1206" s="6" t="str">
        <f aca="false">'Dish Database'!D321</f>
        <v>Non-Veg Curries</v>
      </c>
      <c r="D1206" s="6" t="str">
        <f aca="false">'Dish Database'!F321</f>
        <v>Non-Veg</v>
      </c>
      <c r="E1206" s="6" t="str">
        <f aca="false">'Dish Database'!E321</f>
        <v>North</v>
      </c>
      <c r="F1206" s="6" t="s">
        <v>2323</v>
      </c>
      <c r="G1206" s="6" t="s">
        <v>2503</v>
      </c>
      <c r="H1206" s="16" t="n">
        <v>250</v>
      </c>
      <c r="I1206" s="6" t="str">
        <f aca="false">'Dish Database'!I321</f>
        <v>g</v>
      </c>
      <c r="J1206" s="13" t="n">
        <f aca="false">'Dish Database'!J321*H1206/100</f>
        <v>456.25</v>
      </c>
      <c r="K1206" s="17" t="n">
        <f aca="false">'Dish Database'!K321*H1206/100</f>
        <v>30</v>
      </c>
      <c r="L1206" s="17" t="n">
        <f aca="false">'Dish Database'!L321*H1206/100</f>
        <v>15</v>
      </c>
      <c r="M1206" s="17" t="n">
        <f aca="false">'Dish Database'!M321*H1206/100</f>
        <v>31.25</v>
      </c>
      <c r="N1206" s="17" t="n">
        <f aca="false">'Dish Database'!N321*H1206/100</f>
        <v>2.5</v>
      </c>
      <c r="O1206" s="17" t="n">
        <f aca="false">'Dish Database'!O321*H1206/100</f>
        <v>7.5</v>
      </c>
      <c r="P1206" s="13" t="n">
        <f aca="false">'Dish Database'!P321*H1206/100</f>
        <v>1050</v>
      </c>
    </row>
    <row r="1207" customFormat="false" ht="15" hidden="false" customHeight="false" outlineLevel="0" collapsed="false">
      <c r="A1207" s="6" t="str">
        <f aca="false">'Dish Database'!A321</f>
        <v>D320</v>
      </c>
      <c r="B1207" s="6" t="str">
        <f aca="false">'Dish Database'!B321</f>
        <v>Chicken korma</v>
      </c>
      <c r="C1207" s="6" t="str">
        <f aca="false">'Dish Database'!D321</f>
        <v>Non-Veg Curries</v>
      </c>
      <c r="D1207" s="6" t="str">
        <f aca="false">'Dish Database'!F321</f>
        <v>Non-Veg</v>
      </c>
      <c r="E1207" s="6" t="str">
        <f aca="false">'Dish Database'!E321</f>
        <v>North</v>
      </c>
      <c r="F1207" s="6" t="s">
        <v>2325</v>
      </c>
      <c r="G1207" s="6" t="s">
        <v>2504</v>
      </c>
      <c r="H1207" s="16" t="n">
        <v>500</v>
      </c>
      <c r="I1207" s="6" t="str">
        <f aca="false">'Dish Database'!I321</f>
        <v>g</v>
      </c>
      <c r="J1207" s="13" t="n">
        <f aca="false">'Dish Database'!J321*H1207/100</f>
        <v>912.5</v>
      </c>
      <c r="K1207" s="17" t="n">
        <f aca="false">'Dish Database'!K321*H1207/100</f>
        <v>60</v>
      </c>
      <c r="L1207" s="17" t="n">
        <f aca="false">'Dish Database'!L321*H1207/100</f>
        <v>30</v>
      </c>
      <c r="M1207" s="17" t="n">
        <f aca="false">'Dish Database'!M321*H1207/100</f>
        <v>62.5</v>
      </c>
      <c r="N1207" s="17" t="n">
        <f aca="false">'Dish Database'!N321*H1207/100</f>
        <v>5</v>
      </c>
      <c r="O1207" s="17" t="n">
        <f aca="false">'Dish Database'!O321*H1207/100</f>
        <v>15</v>
      </c>
      <c r="P1207" s="13" t="n">
        <f aca="false">'Dish Database'!P321*H1207/100</f>
        <v>2100</v>
      </c>
    </row>
    <row r="1208" customFormat="false" ht="15" hidden="false" customHeight="false" outlineLevel="0" collapsed="false">
      <c r="A1208" s="6" t="str">
        <f aca="false">'Dish Database'!A322</f>
        <v>D321</v>
      </c>
      <c r="B1208" s="6" t="str">
        <f aca="false">'Dish Database'!B322</f>
        <v>Chicken do pyaza</v>
      </c>
      <c r="C1208" s="6" t="str">
        <f aca="false">'Dish Database'!D322</f>
        <v>Non-Veg Curries</v>
      </c>
      <c r="D1208" s="6" t="str">
        <f aca="false">'Dish Database'!F322</f>
        <v>Non-Veg</v>
      </c>
      <c r="E1208" s="6" t="str">
        <f aca="false">'Dish Database'!E322</f>
        <v>North</v>
      </c>
      <c r="F1208" s="6" t="s">
        <v>2243</v>
      </c>
      <c r="G1208" s="6" t="s">
        <v>2500</v>
      </c>
      <c r="H1208" s="16" t="n">
        <v>100</v>
      </c>
      <c r="I1208" s="6" t="str">
        <f aca="false">'Dish Database'!I322</f>
        <v>g</v>
      </c>
      <c r="J1208" s="13" t="n">
        <f aca="false">'Dish Database'!J322*H1208/100</f>
        <v>156.9</v>
      </c>
      <c r="K1208" s="17" t="n">
        <f aca="false">'Dish Database'!K322*H1208/100</f>
        <v>12.5</v>
      </c>
      <c r="L1208" s="17" t="n">
        <f aca="false">'Dish Database'!L322*H1208/100</f>
        <v>6</v>
      </c>
      <c r="M1208" s="17" t="n">
        <f aca="false">'Dish Database'!M322*H1208/100</f>
        <v>9.5</v>
      </c>
      <c r="N1208" s="17" t="n">
        <f aca="false">'Dish Database'!N322*H1208/100</f>
        <v>1.3</v>
      </c>
      <c r="O1208" s="17" t="n">
        <f aca="false">'Dish Database'!O322*H1208/100</f>
        <v>3</v>
      </c>
      <c r="P1208" s="13" t="n">
        <f aca="false">'Dish Database'!P322*H1208/100</f>
        <v>420</v>
      </c>
    </row>
    <row r="1209" customFormat="false" ht="15" hidden="false" customHeight="false" outlineLevel="0" collapsed="false">
      <c r="A1209" s="6" t="str">
        <f aca="false">'Dish Database'!A322</f>
        <v>D321</v>
      </c>
      <c r="B1209" s="6" t="str">
        <f aca="false">'Dish Database'!B322</f>
        <v>Chicken do pyaza</v>
      </c>
      <c r="C1209" s="6" t="str">
        <f aca="false">'Dish Database'!D322</f>
        <v>Non-Veg Curries</v>
      </c>
      <c r="D1209" s="6" t="str">
        <f aca="false">'Dish Database'!F322</f>
        <v>Non-Veg</v>
      </c>
      <c r="E1209" s="6" t="str">
        <f aca="false">'Dish Database'!E322</f>
        <v>North</v>
      </c>
      <c r="F1209" s="6" t="s">
        <v>103</v>
      </c>
      <c r="G1209" s="6" t="s">
        <v>2501</v>
      </c>
      <c r="H1209" s="16" t="n">
        <v>150</v>
      </c>
      <c r="I1209" s="6" t="str">
        <f aca="false">'Dish Database'!I322</f>
        <v>g</v>
      </c>
      <c r="J1209" s="13" t="n">
        <f aca="false">'Dish Database'!J322*H1209/100</f>
        <v>235.35</v>
      </c>
      <c r="K1209" s="17" t="n">
        <f aca="false">'Dish Database'!K322*H1209/100</f>
        <v>18.75</v>
      </c>
      <c r="L1209" s="17" t="n">
        <f aca="false">'Dish Database'!L322*H1209/100</f>
        <v>9</v>
      </c>
      <c r="M1209" s="17" t="n">
        <f aca="false">'Dish Database'!M322*H1209/100</f>
        <v>14.25</v>
      </c>
      <c r="N1209" s="17" t="n">
        <f aca="false">'Dish Database'!N322*H1209/100</f>
        <v>1.95</v>
      </c>
      <c r="O1209" s="17" t="n">
        <f aca="false">'Dish Database'!O322*H1209/100</f>
        <v>4.5</v>
      </c>
      <c r="P1209" s="13" t="n">
        <f aca="false">'Dish Database'!P322*H1209/100</f>
        <v>630</v>
      </c>
    </row>
    <row r="1210" customFormat="false" ht="15" hidden="false" customHeight="false" outlineLevel="0" collapsed="false">
      <c r="A1210" s="6" t="str">
        <f aca="false">'Dish Database'!A322</f>
        <v>D321</v>
      </c>
      <c r="B1210" s="6" t="str">
        <f aca="false">'Dish Database'!B322</f>
        <v>Chicken do pyaza</v>
      </c>
      <c r="C1210" s="6" t="str">
        <f aca="false">'Dish Database'!D322</f>
        <v>Non-Veg Curries</v>
      </c>
      <c r="D1210" s="6" t="str">
        <f aca="false">'Dish Database'!F322</f>
        <v>Non-Veg</v>
      </c>
      <c r="E1210" s="6" t="str">
        <f aca="false">'Dish Database'!E322</f>
        <v>North</v>
      </c>
      <c r="F1210" s="6" t="s">
        <v>2246</v>
      </c>
      <c r="G1210" s="6" t="s">
        <v>2502</v>
      </c>
      <c r="H1210" s="16" t="n">
        <v>200</v>
      </c>
      <c r="I1210" s="6" t="str">
        <f aca="false">'Dish Database'!I322</f>
        <v>g</v>
      </c>
      <c r="J1210" s="13" t="n">
        <f aca="false">'Dish Database'!J322*H1210/100</f>
        <v>313.8</v>
      </c>
      <c r="K1210" s="17" t="n">
        <f aca="false">'Dish Database'!K322*H1210/100</f>
        <v>25</v>
      </c>
      <c r="L1210" s="17" t="n">
        <f aca="false">'Dish Database'!L322*H1210/100</f>
        <v>12</v>
      </c>
      <c r="M1210" s="17" t="n">
        <f aca="false">'Dish Database'!M322*H1210/100</f>
        <v>19</v>
      </c>
      <c r="N1210" s="17" t="n">
        <f aca="false">'Dish Database'!N322*H1210/100</f>
        <v>2.6</v>
      </c>
      <c r="O1210" s="17" t="n">
        <f aca="false">'Dish Database'!O322*H1210/100</f>
        <v>6</v>
      </c>
      <c r="P1210" s="13" t="n">
        <f aca="false">'Dish Database'!P322*H1210/100</f>
        <v>840</v>
      </c>
    </row>
    <row r="1211" customFormat="false" ht="15" hidden="false" customHeight="false" outlineLevel="0" collapsed="false">
      <c r="A1211" s="6" t="str">
        <f aca="false">'Dish Database'!A322</f>
        <v>D321</v>
      </c>
      <c r="B1211" s="6" t="str">
        <f aca="false">'Dish Database'!B322</f>
        <v>Chicken do pyaza</v>
      </c>
      <c r="C1211" s="6" t="str">
        <f aca="false">'Dish Database'!D322</f>
        <v>Non-Veg Curries</v>
      </c>
      <c r="D1211" s="6" t="str">
        <f aca="false">'Dish Database'!F322</f>
        <v>Non-Veg</v>
      </c>
      <c r="E1211" s="6" t="str">
        <f aca="false">'Dish Database'!E322</f>
        <v>North</v>
      </c>
      <c r="F1211" s="6" t="s">
        <v>2323</v>
      </c>
      <c r="G1211" s="6" t="s">
        <v>2503</v>
      </c>
      <c r="H1211" s="16" t="n">
        <v>250</v>
      </c>
      <c r="I1211" s="6" t="str">
        <f aca="false">'Dish Database'!I322</f>
        <v>g</v>
      </c>
      <c r="J1211" s="13" t="n">
        <f aca="false">'Dish Database'!J322*H1211/100</f>
        <v>392.25</v>
      </c>
      <c r="K1211" s="17" t="n">
        <f aca="false">'Dish Database'!K322*H1211/100</f>
        <v>31.25</v>
      </c>
      <c r="L1211" s="17" t="n">
        <f aca="false">'Dish Database'!L322*H1211/100</f>
        <v>15</v>
      </c>
      <c r="M1211" s="17" t="n">
        <f aca="false">'Dish Database'!M322*H1211/100</f>
        <v>23.75</v>
      </c>
      <c r="N1211" s="17" t="n">
        <f aca="false">'Dish Database'!N322*H1211/100</f>
        <v>3.25</v>
      </c>
      <c r="O1211" s="17" t="n">
        <f aca="false">'Dish Database'!O322*H1211/100</f>
        <v>7.5</v>
      </c>
      <c r="P1211" s="13" t="n">
        <f aca="false">'Dish Database'!P322*H1211/100</f>
        <v>1050</v>
      </c>
    </row>
    <row r="1212" customFormat="false" ht="15" hidden="false" customHeight="false" outlineLevel="0" collapsed="false">
      <c r="A1212" s="6" t="str">
        <f aca="false">'Dish Database'!A322</f>
        <v>D321</v>
      </c>
      <c r="B1212" s="6" t="str">
        <f aca="false">'Dish Database'!B322</f>
        <v>Chicken do pyaza</v>
      </c>
      <c r="C1212" s="6" t="str">
        <f aca="false">'Dish Database'!D322</f>
        <v>Non-Veg Curries</v>
      </c>
      <c r="D1212" s="6" t="str">
        <f aca="false">'Dish Database'!F322</f>
        <v>Non-Veg</v>
      </c>
      <c r="E1212" s="6" t="str">
        <f aca="false">'Dish Database'!E322</f>
        <v>North</v>
      </c>
      <c r="F1212" s="6" t="s">
        <v>2325</v>
      </c>
      <c r="G1212" s="6" t="s">
        <v>2504</v>
      </c>
      <c r="H1212" s="16" t="n">
        <v>500</v>
      </c>
      <c r="I1212" s="6" t="str">
        <f aca="false">'Dish Database'!I322</f>
        <v>g</v>
      </c>
      <c r="J1212" s="13" t="n">
        <f aca="false">'Dish Database'!J322*H1212/100</f>
        <v>784.5</v>
      </c>
      <c r="K1212" s="17" t="n">
        <f aca="false">'Dish Database'!K322*H1212/100</f>
        <v>62.5</v>
      </c>
      <c r="L1212" s="17" t="n">
        <f aca="false">'Dish Database'!L322*H1212/100</f>
        <v>30</v>
      </c>
      <c r="M1212" s="17" t="n">
        <f aca="false">'Dish Database'!M322*H1212/100</f>
        <v>47.5</v>
      </c>
      <c r="N1212" s="17" t="n">
        <f aca="false">'Dish Database'!N322*H1212/100</f>
        <v>6.5</v>
      </c>
      <c r="O1212" s="17" t="n">
        <f aca="false">'Dish Database'!O322*H1212/100</f>
        <v>15</v>
      </c>
      <c r="P1212" s="13" t="n">
        <f aca="false">'Dish Database'!P322*H1212/100</f>
        <v>2100</v>
      </c>
    </row>
    <row r="1213" customFormat="false" ht="15" hidden="false" customHeight="false" outlineLevel="0" collapsed="false">
      <c r="A1213" s="6" t="str">
        <f aca="false">'Dish Database'!A323</f>
        <v>D322</v>
      </c>
      <c r="B1213" s="6" t="str">
        <f aca="false">'Dish Database'!B323</f>
        <v>Chicken handi</v>
      </c>
      <c r="C1213" s="6" t="str">
        <f aca="false">'Dish Database'!D323</f>
        <v>Non-Veg Curries</v>
      </c>
      <c r="D1213" s="6" t="str">
        <f aca="false">'Dish Database'!F323</f>
        <v>Non-Veg</v>
      </c>
      <c r="E1213" s="6" t="str">
        <f aca="false">'Dish Database'!E323</f>
        <v>North</v>
      </c>
      <c r="F1213" s="6" t="s">
        <v>2243</v>
      </c>
      <c r="G1213" s="6" t="s">
        <v>2500</v>
      </c>
      <c r="H1213" s="16" t="n">
        <v>100</v>
      </c>
      <c r="I1213" s="6" t="str">
        <f aca="false">'Dish Database'!I323</f>
        <v>g</v>
      </c>
      <c r="J1213" s="13" t="n">
        <f aca="false">'Dish Database'!J323*H1213/100</f>
        <v>169.5</v>
      </c>
      <c r="K1213" s="17" t="n">
        <f aca="false">'Dish Database'!K323*H1213/100</f>
        <v>12</v>
      </c>
      <c r="L1213" s="17" t="n">
        <f aca="false">'Dish Database'!L323*H1213/100</f>
        <v>5</v>
      </c>
      <c r="M1213" s="17" t="n">
        <f aca="false">'Dish Database'!M323*H1213/100</f>
        <v>11.5</v>
      </c>
      <c r="N1213" s="17" t="n">
        <f aca="false">'Dish Database'!N323*H1213/100</f>
        <v>1</v>
      </c>
      <c r="O1213" s="17" t="n">
        <f aca="false">'Dish Database'!O323*H1213/100</f>
        <v>2.5</v>
      </c>
      <c r="P1213" s="13" t="n">
        <f aca="false">'Dish Database'!P323*H1213/100</f>
        <v>450</v>
      </c>
    </row>
    <row r="1214" customFormat="false" ht="15" hidden="false" customHeight="false" outlineLevel="0" collapsed="false">
      <c r="A1214" s="6" t="str">
        <f aca="false">'Dish Database'!A323</f>
        <v>D322</v>
      </c>
      <c r="B1214" s="6" t="str">
        <f aca="false">'Dish Database'!B323</f>
        <v>Chicken handi</v>
      </c>
      <c r="C1214" s="6" t="str">
        <f aca="false">'Dish Database'!D323</f>
        <v>Non-Veg Curries</v>
      </c>
      <c r="D1214" s="6" t="str">
        <f aca="false">'Dish Database'!F323</f>
        <v>Non-Veg</v>
      </c>
      <c r="E1214" s="6" t="str">
        <f aca="false">'Dish Database'!E323</f>
        <v>North</v>
      </c>
      <c r="F1214" s="6" t="s">
        <v>103</v>
      </c>
      <c r="G1214" s="6" t="s">
        <v>2501</v>
      </c>
      <c r="H1214" s="16" t="n">
        <v>150</v>
      </c>
      <c r="I1214" s="6" t="str">
        <f aca="false">'Dish Database'!I323</f>
        <v>g</v>
      </c>
      <c r="J1214" s="13" t="n">
        <f aca="false">'Dish Database'!J323*H1214/100</f>
        <v>254.25</v>
      </c>
      <c r="K1214" s="17" t="n">
        <f aca="false">'Dish Database'!K323*H1214/100</f>
        <v>18</v>
      </c>
      <c r="L1214" s="17" t="n">
        <f aca="false">'Dish Database'!L323*H1214/100</f>
        <v>7.5</v>
      </c>
      <c r="M1214" s="17" t="n">
        <f aca="false">'Dish Database'!M323*H1214/100</f>
        <v>17.25</v>
      </c>
      <c r="N1214" s="17" t="n">
        <f aca="false">'Dish Database'!N323*H1214/100</f>
        <v>1.5</v>
      </c>
      <c r="O1214" s="17" t="n">
        <f aca="false">'Dish Database'!O323*H1214/100</f>
        <v>3.75</v>
      </c>
      <c r="P1214" s="13" t="n">
        <f aca="false">'Dish Database'!P323*H1214/100</f>
        <v>675</v>
      </c>
    </row>
    <row r="1215" customFormat="false" ht="15" hidden="false" customHeight="false" outlineLevel="0" collapsed="false">
      <c r="A1215" s="6" t="str">
        <f aca="false">'Dish Database'!A323</f>
        <v>D322</v>
      </c>
      <c r="B1215" s="6" t="str">
        <f aca="false">'Dish Database'!B323</f>
        <v>Chicken handi</v>
      </c>
      <c r="C1215" s="6" t="str">
        <f aca="false">'Dish Database'!D323</f>
        <v>Non-Veg Curries</v>
      </c>
      <c r="D1215" s="6" t="str">
        <f aca="false">'Dish Database'!F323</f>
        <v>Non-Veg</v>
      </c>
      <c r="E1215" s="6" t="str">
        <f aca="false">'Dish Database'!E323</f>
        <v>North</v>
      </c>
      <c r="F1215" s="6" t="s">
        <v>2246</v>
      </c>
      <c r="G1215" s="6" t="s">
        <v>2502</v>
      </c>
      <c r="H1215" s="16" t="n">
        <v>200</v>
      </c>
      <c r="I1215" s="6" t="str">
        <f aca="false">'Dish Database'!I323</f>
        <v>g</v>
      </c>
      <c r="J1215" s="13" t="n">
        <f aca="false">'Dish Database'!J323*H1215/100</f>
        <v>339</v>
      </c>
      <c r="K1215" s="17" t="n">
        <f aca="false">'Dish Database'!K323*H1215/100</f>
        <v>24</v>
      </c>
      <c r="L1215" s="17" t="n">
        <f aca="false">'Dish Database'!L323*H1215/100</f>
        <v>10</v>
      </c>
      <c r="M1215" s="17" t="n">
        <f aca="false">'Dish Database'!M323*H1215/100</f>
        <v>23</v>
      </c>
      <c r="N1215" s="17" t="n">
        <f aca="false">'Dish Database'!N323*H1215/100</f>
        <v>2</v>
      </c>
      <c r="O1215" s="17" t="n">
        <f aca="false">'Dish Database'!O323*H1215/100</f>
        <v>5</v>
      </c>
      <c r="P1215" s="13" t="n">
        <f aca="false">'Dish Database'!P323*H1215/100</f>
        <v>900</v>
      </c>
    </row>
    <row r="1216" customFormat="false" ht="15" hidden="false" customHeight="false" outlineLevel="0" collapsed="false">
      <c r="A1216" s="6" t="str">
        <f aca="false">'Dish Database'!A323</f>
        <v>D322</v>
      </c>
      <c r="B1216" s="6" t="str">
        <f aca="false">'Dish Database'!B323</f>
        <v>Chicken handi</v>
      </c>
      <c r="C1216" s="6" t="str">
        <f aca="false">'Dish Database'!D323</f>
        <v>Non-Veg Curries</v>
      </c>
      <c r="D1216" s="6" t="str">
        <f aca="false">'Dish Database'!F323</f>
        <v>Non-Veg</v>
      </c>
      <c r="E1216" s="6" t="str">
        <f aca="false">'Dish Database'!E323</f>
        <v>North</v>
      </c>
      <c r="F1216" s="6" t="s">
        <v>2323</v>
      </c>
      <c r="G1216" s="6" t="s">
        <v>2503</v>
      </c>
      <c r="H1216" s="16" t="n">
        <v>250</v>
      </c>
      <c r="I1216" s="6" t="str">
        <f aca="false">'Dish Database'!I323</f>
        <v>g</v>
      </c>
      <c r="J1216" s="13" t="n">
        <f aca="false">'Dish Database'!J323*H1216/100</f>
        <v>423.75</v>
      </c>
      <c r="K1216" s="17" t="n">
        <f aca="false">'Dish Database'!K323*H1216/100</f>
        <v>30</v>
      </c>
      <c r="L1216" s="17" t="n">
        <f aca="false">'Dish Database'!L323*H1216/100</f>
        <v>12.5</v>
      </c>
      <c r="M1216" s="17" t="n">
        <f aca="false">'Dish Database'!M323*H1216/100</f>
        <v>28.75</v>
      </c>
      <c r="N1216" s="17" t="n">
        <f aca="false">'Dish Database'!N323*H1216/100</f>
        <v>2.5</v>
      </c>
      <c r="O1216" s="17" t="n">
        <f aca="false">'Dish Database'!O323*H1216/100</f>
        <v>6.25</v>
      </c>
      <c r="P1216" s="13" t="n">
        <f aca="false">'Dish Database'!P323*H1216/100</f>
        <v>1125</v>
      </c>
    </row>
    <row r="1217" customFormat="false" ht="15" hidden="false" customHeight="false" outlineLevel="0" collapsed="false">
      <c r="A1217" s="6" t="str">
        <f aca="false">'Dish Database'!A323</f>
        <v>D322</v>
      </c>
      <c r="B1217" s="6" t="str">
        <f aca="false">'Dish Database'!B323</f>
        <v>Chicken handi</v>
      </c>
      <c r="C1217" s="6" t="str">
        <f aca="false">'Dish Database'!D323</f>
        <v>Non-Veg Curries</v>
      </c>
      <c r="D1217" s="6" t="str">
        <f aca="false">'Dish Database'!F323</f>
        <v>Non-Veg</v>
      </c>
      <c r="E1217" s="6" t="str">
        <f aca="false">'Dish Database'!E323</f>
        <v>North</v>
      </c>
      <c r="F1217" s="6" t="s">
        <v>2325</v>
      </c>
      <c r="G1217" s="6" t="s">
        <v>2504</v>
      </c>
      <c r="H1217" s="16" t="n">
        <v>500</v>
      </c>
      <c r="I1217" s="6" t="str">
        <f aca="false">'Dish Database'!I323</f>
        <v>g</v>
      </c>
      <c r="J1217" s="13" t="n">
        <f aca="false">'Dish Database'!J323*H1217/100</f>
        <v>847.5</v>
      </c>
      <c r="K1217" s="17" t="n">
        <f aca="false">'Dish Database'!K323*H1217/100</f>
        <v>60</v>
      </c>
      <c r="L1217" s="17" t="n">
        <f aca="false">'Dish Database'!L323*H1217/100</f>
        <v>25</v>
      </c>
      <c r="M1217" s="17" t="n">
        <f aca="false">'Dish Database'!M323*H1217/100</f>
        <v>57.5</v>
      </c>
      <c r="N1217" s="17" t="n">
        <f aca="false">'Dish Database'!N323*H1217/100</f>
        <v>5</v>
      </c>
      <c r="O1217" s="17" t="n">
        <f aca="false">'Dish Database'!O323*H1217/100</f>
        <v>12.5</v>
      </c>
      <c r="P1217" s="13" t="n">
        <f aca="false">'Dish Database'!P323*H1217/100</f>
        <v>2250</v>
      </c>
    </row>
    <row r="1218" customFormat="false" ht="15" hidden="false" customHeight="false" outlineLevel="0" collapsed="false">
      <c r="A1218" s="6" t="str">
        <f aca="false">'Dish Database'!A324</f>
        <v>D323</v>
      </c>
      <c r="B1218" s="6" t="str">
        <f aca="false">'Dish Database'!B324</f>
        <v>Palak chicken / chicken saagwala</v>
      </c>
      <c r="C1218" s="6" t="str">
        <f aca="false">'Dish Database'!D324</f>
        <v>Non-Veg Curries</v>
      </c>
      <c r="D1218" s="6" t="str">
        <f aca="false">'Dish Database'!F324</f>
        <v>Non-Veg</v>
      </c>
      <c r="E1218" s="6" t="str">
        <f aca="false">'Dish Database'!E324</f>
        <v>North</v>
      </c>
      <c r="F1218" s="6" t="s">
        <v>2243</v>
      </c>
      <c r="G1218" s="6" t="s">
        <v>2500</v>
      </c>
      <c r="H1218" s="16" t="n">
        <v>100</v>
      </c>
      <c r="I1218" s="6" t="str">
        <f aca="false">'Dish Database'!I324</f>
        <v>g</v>
      </c>
      <c r="J1218" s="13" t="n">
        <f aca="false">'Dish Database'!J324*H1218/100</f>
        <v>142</v>
      </c>
      <c r="K1218" s="17" t="n">
        <f aca="false">'Dish Database'!K324*H1218/100</f>
        <v>12</v>
      </c>
      <c r="L1218" s="17" t="n">
        <f aca="false">'Dish Database'!L324*H1218/100</f>
        <v>4</v>
      </c>
      <c r="M1218" s="17" t="n">
        <f aca="false">'Dish Database'!M324*H1218/100</f>
        <v>9</v>
      </c>
      <c r="N1218" s="17" t="n">
        <f aca="false">'Dish Database'!N324*H1218/100</f>
        <v>1.5</v>
      </c>
      <c r="O1218" s="17" t="n">
        <f aca="false">'Dish Database'!O324*H1218/100</f>
        <v>1</v>
      </c>
      <c r="P1218" s="13" t="n">
        <f aca="false">'Dish Database'!P324*H1218/100</f>
        <v>400</v>
      </c>
    </row>
    <row r="1219" customFormat="false" ht="15" hidden="false" customHeight="false" outlineLevel="0" collapsed="false">
      <c r="A1219" s="6" t="str">
        <f aca="false">'Dish Database'!A324</f>
        <v>D323</v>
      </c>
      <c r="B1219" s="6" t="str">
        <f aca="false">'Dish Database'!B324</f>
        <v>Palak chicken / chicken saagwala</v>
      </c>
      <c r="C1219" s="6" t="str">
        <f aca="false">'Dish Database'!D324</f>
        <v>Non-Veg Curries</v>
      </c>
      <c r="D1219" s="6" t="str">
        <f aca="false">'Dish Database'!F324</f>
        <v>Non-Veg</v>
      </c>
      <c r="E1219" s="6" t="str">
        <f aca="false">'Dish Database'!E324</f>
        <v>North</v>
      </c>
      <c r="F1219" s="6" t="s">
        <v>103</v>
      </c>
      <c r="G1219" s="6" t="s">
        <v>2501</v>
      </c>
      <c r="H1219" s="16" t="n">
        <v>150</v>
      </c>
      <c r="I1219" s="6" t="str">
        <f aca="false">'Dish Database'!I324</f>
        <v>g</v>
      </c>
      <c r="J1219" s="13" t="n">
        <f aca="false">'Dish Database'!J324*H1219/100</f>
        <v>213</v>
      </c>
      <c r="K1219" s="17" t="n">
        <f aca="false">'Dish Database'!K324*H1219/100</f>
        <v>18</v>
      </c>
      <c r="L1219" s="17" t="n">
        <f aca="false">'Dish Database'!L324*H1219/100</f>
        <v>6</v>
      </c>
      <c r="M1219" s="17" t="n">
        <f aca="false">'Dish Database'!M324*H1219/100</f>
        <v>13.5</v>
      </c>
      <c r="N1219" s="17" t="n">
        <f aca="false">'Dish Database'!N324*H1219/100</f>
        <v>2.25</v>
      </c>
      <c r="O1219" s="17" t="n">
        <f aca="false">'Dish Database'!O324*H1219/100</f>
        <v>1.5</v>
      </c>
      <c r="P1219" s="13" t="n">
        <f aca="false">'Dish Database'!P324*H1219/100</f>
        <v>600</v>
      </c>
    </row>
    <row r="1220" customFormat="false" ht="15" hidden="false" customHeight="false" outlineLevel="0" collapsed="false">
      <c r="A1220" s="6" t="str">
        <f aca="false">'Dish Database'!A324</f>
        <v>D323</v>
      </c>
      <c r="B1220" s="6" t="str">
        <f aca="false">'Dish Database'!B324</f>
        <v>Palak chicken / chicken saagwala</v>
      </c>
      <c r="C1220" s="6" t="str">
        <f aca="false">'Dish Database'!D324</f>
        <v>Non-Veg Curries</v>
      </c>
      <c r="D1220" s="6" t="str">
        <f aca="false">'Dish Database'!F324</f>
        <v>Non-Veg</v>
      </c>
      <c r="E1220" s="6" t="str">
        <f aca="false">'Dish Database'!E324</f>
        <v>North</v>
      </c>
      <c r="F1220" s="6" t="s">
        <v>2246</v>
      </c>
      <c r="G1220" s="6" t="s">
        <v>2502</v>
      </c>
      <c r="H1220" s="16" t="n">
        <v>200</v>
      </c>
      <c r="I1220" s="6" t="str">
        <f aca="false">'Dish Database'!I324</f>
        <v>g</v>
      </c>
      <c r="J1220" s="13" t="n">
        <f aca="false">'Dish Database'!J324*H1220/100</f>
        <v>284</v>
      </c>
      <c r="K1220" s="17" t="n">
        <f aca="false">'Dish Database'!K324*H1220/100</f>
        <v>24</v>
      </c>
      <c r="L1220" s="17" t="n">
        <f aca="false">'Dish Database'!L324*H1220/100</f>
        <v>8</v>
      </c>
      <c r="M1220" s="17" t="n">
        <f aca="false">'Dish Database'!M324*H1220/100</f>
        <v>18</v>
      </c>
      <c r="N1220" s="17" t="n">
        <f aca="false">'Dish Database'!N324*H1220/100</f>
        <v>3</v>
      </c>
      <c r="O1220" s="17" t="n">
        <f aca="false">'Dish Database'!O324*H1220/100</f>
        <v>2</v>
      </c>
      <c r="P1220" s="13" t="n">
        <f aca="false">'Dish Database'!P324*H1220/100</f>
        <v>800</v>
      </c>
    </row>
    <row r="1221" customFormat="false" ht="15" hidden="false" customHeight="false" outlineLevel="0" collapsed="false">
      <c r="A1221" s="6" t="str">
        <f aca="false">'Dish Database'!A324</f>
        <v>D323</v>
      </c>
      <c r="B1221" s="6" t="str">
        <f aca="false">'Dish Database'!B324</f>
        <v>Palak chicken / chicken saagwala</v>
      </c>
      <c r="C1221" s="6" t="str">
        <f aca="false">'Dish Database'!D324</f>
        <v>Non-Veg Curries</v>
      </c>
      <c r="D1221" s="6" t="str">
        <f aca="false">'Dish Database'!F324</f>
        <v>Non-Veg</v>
      </c>
      <c r="E1221" s="6" t="str">
        <f aca="false">'Dish Database'!E324</f>
        <v>North</v>
      </c>
      <c r="F1221" s="6" t="s">
        <v>2323</v>
      </c>
      <c r="G1221" s="6" t="s">
        <v>2503</v>
      </c>
      <c r="H1221" s="16" t="n">
        <v>250</v>
      </c>
      <c r="I1221" s="6" t="str">
        <f aca="false">'Dish Database'!I324</f>
        <v>g</v>
      </c>
      <c r="J1221" s="13" t="n">
        <f aca="false">'Dish Database'!J324*H1221/100</f>
        <v>355</v>
      </c>
      <c r="K1221" s="17" t="n">
        <f aca="false">'Dish Database'!K324*H1221/100</f>
        <v>30</v>
      </c>
      <c r="L1221" s="17" t="n">
        <f aca="false">'Dish Database'!L324*H1221/100</f>
        <v>10</v>
      </c>
      <c r="M1221" s="17" t="n">
        <f aca="false">'Dish Database'!M324*H1221/100</f>
        <v>22.5</v>
      </c>
      <c r="N1221" s="17" t="n">
        <f aca="false">'Dish Database'!N324*H1221/100</f>
        <v>3.75</v>
      </c>
      <c r="O1221" s="17" t="n">
        <f aca="false">'Dish Database'!O324*H1221/100</f>
        <v>2.5</v>
      </c>
      <c r="P1221" s="13" t="n">
        <f aca="false">'Dish Database'!P324*H1221/100</f>
        <v>1000</v>
      </c>
    </row>
    <row r="1222" customFormat="false" ht="15" hidden="false" customHeight="false" outlineLevel="0" collapsed="false">
      <c r="A1222" s="6" t="str">
        <f aca="false">'Dish Database'!A324</f>
        <v>D323</v>
      </c>
      <c r="B1222" s="6" t="str">
        <f aca="false">'Dish Database'!B324</f>
        <v>Palak chicken / chicken saagwala</v>
      </c>
      <c r="C1222" s="6" t="str">
        <f aca="false">'Dish Database'!D324</f>
        <v>Non-Veg Curries</v>
      </c>
      <c r="D1222" s="6" t="str">
        <f aca="false">'Dish Database'!F324</f>
        <v>Non-Veg</v>
      </c>
      <c r="E1222" s="6" t="str">
        <f aca="false">'Dish Database'!E324</f>
        <v>North</v>
      </c>
      <c r="F1222" s="6" t="s">
        <v>2325</v>
      </c>
      <c r="G1222" s="6" t="s">
        <v>2504</v>
      </c>
      <c r="H1222" s="16" t="n">
        <v>500</v>
      </c>
      <c r="I1222" s="6" t="str">
        <f aca="false">'Dish Database'!I324</f>
        <v>g</v>
      </c>
      <c r="J1222" s="13" t="n">
        <f aca="false">'Dish Database'!J324*H1222/100</f>
        <v>710</v>
      </c>
      <c r="K1222" s="17" t="n">
        <f aca="false">'Dish Database'!K324*H1222/100</f>
        <v>60</v>
      </c>
      <c r="L1222" s="17" t="n">
        <f aca="false">'Dish Database'!L324*H1222/100</f>
        <v>20</v>
      </c>
      <c r="M1222" s="17" t="n">
        <f aca="false">'Dish Database'!M324*H1222/100</f>
        <v>45</v>
      </c>
      <c r="N1222" s="17" t="n">
        <f aca="false">'Dish Database'!N324*H1222/100</f>
        <v>7.5</v>
      </c>
      <c r="O1222" s="17" t="n">
        <f aca="false">'Dish Database'!O324*H1222/100</f>
        <v>5</v>
      </c>
      <c r="P1222" s="13" t="n">
        <f aca="false">'Dish Database'!P324*H1222/100</f>
        <v>2000</v>
      </c>
    </row>
    <row r="1223" customFormat="false" ht="15" hidden="false" customHeight="false" outlineLevel="0" collapsed="false">
      <c r="A1223" s="6" t="str">
        <f aca="false">'Dish Database'!A325</f>
        <v>D324</v>
      </c>
      <c r="B1223" s="6" t="str">
        <f aca="false">'Dish Database'!B325</f>
        <v>Chicken chettinad</v>
      </c>
      <c r="C1223" s="6" t="str">
        <f aca="false">'Dish Database'!D325</f>
        <v>Non-Veg Curries</v>
      </c>
      <c r="D1223" s="6" t="str">
        <f aca="false">'Dish Database'!F325</f>
        <v>Non-Veg</v>
      </c>
      <c r="E1223" s="6" t="str">
        <f aca="false">'Dish Database'!E325</f>
        <v>South</v>
      </c>
      <c r="F1223" s="6" t="s">
        <v>2243</v>
      </c>
      <c r="G1223" s="6" t="s">
        <v>2500</v>
      </c>
      <c r="H1223" s="16" t="n">
        <v>100</v>
      </c>
      <c r="I1223" s="6" t="str">
        <f aca="false">'Dish Database'!I325</f>
        <v>g</v>
      </c>
      <c r="J1223" s="13" t="n">
        <f aca="false">'Dish Database'!J325*H1223/100</f>
        <v>168</v>
      </c>
      <c r="K1223" s="17" t="n">
        <f aca="false">'Dish Database'!K325*H1223/100</f>
        <v>13</v>
      </c>
      <c r="L1223" s="17" t="n">
        <f aca="false">'Dish Database'!L325*H1223/100</f>
        <v>5</v>
      </c>
      <c r="M1223" s="17" t="n">
        <f aca="false">'Dish Database'!M325*H1223/100</f>
        <v>11</v>
      </c>
      <c r="N1223" s="17" t="n">
        <f aca="false">'Dish Database'!N325*H1223/100</f>
        <v>1.5</v>
      </c>
      <c r="O1223" s="17" t="n">
        <f aca="false">'Dish Database'!O325*H1223/100</f>
        <v>2</v>
      </c>
      <c r="P1223" s="13" t="n">
        <f aca="false">'Dish Database'!P325*H1223/100</f>
        <v>450</v>
      </c>
    </row>
    <row r="1224" customFormat="false" ht="15" hidden="false" customHeight="false" outlineLevel="0" collapsed="false">
      <c r="A1224" s="6" t="str">
        <f aca="false">'Dish Database'!A325</f>
        <v>D324</v>
      </c>
      <c r="B1224" s="6" t="str">
        <f aca="false">'Dish Database'!B325</f>
        <v>Chicken chettinad</v>
      </c>
      <c r="C1224" s="6" t="str">
        <f aca="false">'Dish Database'!D325</f>
        <v>Non-Veg Curries</v>
      </c>
      <c r="D1224" s="6" t="str">
        <f aca="false">'Dish Database'!F325</f>
        <v>Non-Veg</v>
      </c>
      <c r="E1224" s="6" t="str">
        <f aca="false">'Dish Database'!E325</f>
        <v>South</v>
      </c>
      <c r="F1224" s="6" t="s">
        <v>103</v>
      </c>
      <c r="G1224" s="6" t="s">
        <v>2501</v>
      </c>
      <c r="H1224" s="16" t="n">
        <v>150</v>
      </c>
      <c r="I1224" s="6" t="str">
        <f aca="false">'Dish Database'!I325</f>
        <v>g</v>
      </c>
      <c r="J1224" s="13" t="n">
        <f aca="false">'Dish Database'!J325*H1224/100</f>
        <v>252</v>
      </c>
      <c r="K1224" s="17" t="n">
        <f aca="false">'Dish Database'!K325*H1224/100</f>
        <v>19.5</v>
      </c>
      <c r="L1224" s="17" t="n">
        <f aca="false">'Dish Database'!L325*H1224/100</f>
        <v>7.5</v>
      </c>
      <c r="M1224" s="17" t="n">
        <f aca="false">'Dish Database'!M325*H1224/100</f>
        <v>16.5</v>
      </c>
      <c r="N1224" s="17" t="n">
        <f aca="false">'Dish Database'!N325*H1224/100</f>
        <v>2.25</v>
      </c>
      <c r="O1224" s="17" t="n">
        <f aca="false">'Dish Database'!O325*H1224/100</f>
        <v>3</v>
      </c>
      <c r="P1224" s="13" t="n">
        <f aca="false">'Dish Database'!P325*H1224/100</f>
        <v>675</v>
      </c>
    </row>
    <row r="1225" customFormat="false" ht="15" hidden="false" customHeight="false" outlineLevel="0" collapsed="false">
      <c r="A1225" s="6" t="str">
        <f aca="false">'Dish Database'!A325</f>
        <v>D324</v>
      </c>
      <c r="B1225" s="6" t="str">
        <f aca="false">'Dish Database'!B325</f>
        <v>Chicken chettinad</v>
      </c>
      <c r="C1225" s="6" t="str">
        <f aca="false">'Dish Database'!D325</f>
        <v>Non-Veg Curries</v>
      </c>
      <c r="D1225" s="6" t="str">
        <f aca="false">'Dish Database'!F325</f>
        <v>Non-Veg</v>
      </c>
      <c r="E1225" s="6" t="str">
        <f aca="false">'Dish Database'!E325</f>
        <v>South</v>
      </c>
      <c r="F1225" s="6" t="s">
        <v>2246</v>
      </c>
      <c r="G1225" s="6" t="s">
        <v>2502</v>
      </c>
      <c r="H1225" s="16" t="n">
        <v>200</v>
      </c>
      <c r="I1225" s="6" t="str">
        <f aca="false">'Dish Database'!I325</f>
        <v>g</v>
      </c>
      <c r="J1225" s="13" t="n">
        <f aca="false">'Dish Database'!J325*H1225/100</f>
        <v>336</v>
      </c>
      <c r="K1225" s="17" t="n">
        <f aca="false">'Dish Database'!K325*H1225/100</f>
        <v>26</v>
      </c>
      <c r="L1225" s="17" t="n">
        <f aca="false">'Dish Database'!L325*H1225/100</f>
        <v>10</v>
      </c>
      <c r="M1225" s="17" t="n">
        <f aca="false">'Dish Database'!M325*H1225/100</f>
        <v>22</v>
      </c>
      <c r="N1225" s="17" t="n">
        <f aca="false">'Dish Database'!N325*H1225/100</f>
        <v>3</v>
      </c>
      <c r="O1225" s="17" t="n">
        <f aca="false">'Dish Database'!O325*H1225/100</f>
        <v>4</v>
      </c>
      <c r="P1225" s="13" t="n">
        <f aca="false">'Dish Database'!P325*H1225/100</f>
        <v>900</v>
      </c>
    </row>
    <row r="1226" customFormat="false" ht="15" hidden="false" customHeight="false" outlineLevel="0" collapsed="false">
      <c r="A1226" s="6" t="str">
        <f aca="false">'Dish Database'!A325</f>
        <v>D324</v>
      </c>
      <c r="B1226" s="6" t="str">
        <f aca="false">'Dish Database'!B325</f>
        <v>Chicken chettinad</v>
      </c>
      <c r="C1226" s="6" t="str">
        <f aca="false">'Dish Database'!D325</f>
        <v>Non-Veg Curries</v>
      </c>
      <c r="D1226" s="6" t="str">
        <f aca="false">'Dish Database'!F325</f>
        <v>Non-Veg</v>
      </c>
      <c r="E1226" s="6" t="str">
        <f aca="false">'Dish Database'!E325</f>
        <v>South</v>
      </c>
      <c r="F1226" s="6" t="s">
        <v>2323</v>
      </c>
      <c r="G1226" s="6" t="s">
        <v>2503</v>
      </c>
      <c r="H1226" s="16" t="n">
        <v>250</v>
      </c>
      <c r="I1226" s="6" t="str">
        <f aca="false">'Dish Database'!I325</f>
        <v>g</v>
      </c>
      <c r="J1226" s="13" t="n">
        <f aca="false">'Dish Database'!J325*H1226/100</f>
        <v>420</v>
      </c>
      <c r="K1226" s="17" t="n">
        <f aca="false">'Dish Database'!K325*H1226/100</f>
        <v>32.5</v>
      </c>
      <c r="L1226" s="17" t="n">
        <f aca="false">'Dish Database'!L325*H1226/100</f>
        <v>12.5</v>
      </c>
      <c r="M1226" s="17" t="n">
        <f aca="false">'Dish Database'!M325*H1226/100</f>
        <v>27.5</v>
      </c>
      <c r="N1226" s="17" t="n">
        <f aca="false">'Dish Database'!N325*H1226/100</f>
        <v>3.75</v>
      </c>
      <c r="O1226" s="17" t="n">
        <f aca="false">'Dish Database'!O325*H1226/100</f>
        <v>5</v>
      </c>
      <c r="P1226" s="13" t="n">
        <f aca="false">'Dish Database'!P325*H1226/100</f>
        <v>1125</v>
      </c>
    </row>
    <row r="1227" customFormat="false" ht="15" hidden="false" customHeight="false" outlineLevel="0" collapsed="false">
      <c r="A1227" s="6" t="str">
        <f aca="false">'Dish Database'!A325</f>
        <v>D324</v>
      </c>
      <c r="B1227" s="6" t="str">
        <f aca="false">'Dish Database'!B325</f>
        <v>Chicken chettinad</v>
      </c>
      <c r="C1227" s="6" t="str">
        <f aca="false">'Dish Database'!D325</f>
        <v>Non-Veg Curries</v>
      </c>
      <c r="D1227" s="6" t="str">
        <f aca="false">'Dish Database'!F325</f>
        <v>Non-Veg</v>
      </c>
      <c r="E1227" s="6" t="str">
        <f aca="false">'Dish Database'!E325</f>
        <v>South</v>
      </c>
      <c r="F1227" s="6" t="s">
        <v>2325</v>
      </c>
      <c r="G1227" s="6" t="s">
        <v>2504</v>
      </c>
      <c r="H1227" s="16" t="n">
        <v>500</v>
      </c>
      <c r="I1227" s="6" t="str">
        <f aca="false">'Dish Database'!I325</f>
        <v>g</v>
      </c>
      <c r="J1227" s="13" t="n">
        <f aca="false">'Dish Database'!J325*H1227/100</f>
        <v>840</v>
      </c>
      <c r="K1227" s="17" t="n">
        <f aca="false">'Dish Database'!K325*H1227/100</f>
        <v>65</v>
      </c>
      <c r="L1227" s="17" t="n">
        <f aca="false">'Dish Database'!L325*H1227/100</f>
        <v>25</v>
      </c>
      <c r="M1227" s="17" t="n">
        <f aca="false">'Dish Database'!M325*H1227/100</f>
        <v>55</v>
      </c>
      <c r="N1227" s="17" t="n">
        <f aca="false">'Dish Database'!N325*H1227/100</f>
        <v>7.5</v>
      </c>
      <c r="O1227" s="17" t="n">
        <f aca="false">'Dish Database'!O325*H1227/100</f>
        <v>10</v>
      </c>
      <c r="P1227" s="13" t="n">
        <f aca="false">'Dish Database'!P325*H1227/100</f>
        <v>2250</v>
      </c>
    </row>
    <row r="1228" customFormat="false" ht="15" hidden="false" customHeight="false" outlineLevel="0" collapsed="false">
      <c r="A1228" s="6" t="str">
        <f aca="false">'Dish Database'!A326</f>
        <v>D325</v>
      </c>
      <c r="B1228" s="6" t="str">
        <f aca="false">'Dish Database'!B326</f>
        <v>Andhra chicken curry</v>
      </c>
      <c r="C1228" s="6" t="str">
        <f aca="false">'Dish Database'!D326</f>
        <v>Non-Veg Curries</v>
      </c>
      <c r="D1228" s="6" t="str">
        <f aca="false">'Dish Database'!F326</f>
        <v>Non-Veg</v>
      </c>
      <c r="E1228" s="6" t="str">
        <f aca="false">'Dish Database'!E326</f>
        <v>South</v>
      </c>
      <c r="F1228" s="6" t="s">
        <v>2243</v>
      </c>
      <c r="G1228" s="6" t="s">
        <v>2500</v>
      </c>
      <c r="H1228" s="16" t="n">
        <v>100</v>
      </c>
      <c r="I1228" s="6" t="str">
        <f aca="false">'Dish Database'!I326</f>
        <v>g</v>
      </c>
      <c r="J1228" s="13" t="n">
        <f aca="false">'Dish Database'!J326*H1228/100</f>
        <v>162.1</v>
      </c>
      <c r="K1228" s="17" t="n">
        <f aca="false">'Dish Database'!K326*H1228/100</f>
        <v>13</v>
      </c>
      <c r="L1228" s="17" t="n">
        <f aca="false">'Dish Database'!L326*H1228/100</f>
        <v>4.5</v>
      </c>
      <c r="M1228" s="17" t="n">
        <f aca="false">'Dish Database'!M326*H1228/100</f>
        <v>10.5</v>
      </c>
      <c r="N1228" s="17" t="n">
        <f aca="false">'Dish Database'!N326*H1228/100</f>
        <v>1.2</v>
      </c>
      <c r="O1228" s="17" t="n">
        <f aca="false">'Dish Database'!O326*H1228/100</f>
        <v>1.5</v>
      </c>
      <c r="P1228" s="13" t="n">
        <f aca="false">'Dish Database'!P326*H1228/100</f>
        <v>450</v>
      </c>
    </row>
    <row r="1229" customFormat="false" ht="15" hidden="false" customHeight="false" outlineLevel="0" collapsed="false">
      <c r="A1229" s="6" t="str">
        <f aca="false">'Dish Database'!A326</f>
        <v>D325</v>
      </c>
      <c r="B1229" s="6" t="str">
        <f aca="false">'Dish Database'!B326</f>
        <v>Andhra chicken curry</v>
      </c>
      <c r="C1229" s="6" t="str">
        <f aca="false">'Dish Database'!D326</f>
        <v>Non-Veg Curries</v>
      </c>
      <c r="D1229" s="6" t="str">
        <f aca="false">'Dish Database'!F326</f>
        <v>Non-Veg</v>
      </c>
      <c r="E1229" s="6" t="str">
        <f aca="false">'Dish Database'!E326</f>
        <v>South</v>
      </c>
      <c r="F1229" s="6" t="s">
        <v>103</v>
      </c>
      <c r="G1229" s="6" t="s">
        <v>2501</v>
      </c>
      <c r="H1229" s="16" t="n">
        <v>150</v>
      </c>
      <c r="I1229" s="6" t="str">
        <f aca="false">'Dish Database'!I326</f>
        <v>g</v>
      </c>
      <c r="J1229" s="13" t="n">
        <f aca="false">'Dish Database'!J326*H1229/100</f>
        <v>243.15</v>
      </c>
      <c r="K1229" s="17" t="n">
        <f aca="false">'Dish Database'!K326*H1229/100</f>
        <v>19.5</v>
      </c>
      <c r="L1229" s="17" t="n">
        <f aca="false">'Dish Database'!L326*H1229/100</f>
        <v>6.75</v>
      </c>
      <c r="M1229" s="17" t="n">
        <f aca="false">'Dish Database'!M326*H1229/100</f>
        <v>15.75</v>
      </c>
      <c r="N1229" s="17" t="n">
        <f aca="false">'Dish Database'!N326*H1229/100</f>
        <v>1.8</v>
      </c>
      <c r="O1229" s="17" t="n">
        <f aca="false">'Dish Database'!O326*H1229/100</f>
        <v>2.25</v>
      </c>
      <c r="P1229" s="13" t="n">
        <f aca="false">'Dish Database'!P326*H1229/100</f>
        <v>675</v>
      </c>
    </row>
    <row r="1230" customFormat="false" ht="15" hidden="false" customHeight="false" outlineLevel="0" collapsed="false">
      <c r="A1230" s="6" t="str">
        <f aca="false">'Dish Database'!A326</f>
        <v>D325</v>
      </c>
      <c r="B1230" s="6" t="str">
        <f aca="false">'Dish Database'!B326</f>
        <v>Andhra chicken curry</v>
      </c>
      <c r="C1230" s="6" t="str">
        <f aca="false">'Dish Database'!D326</f>
        <v>Non-Veg Curries</v>
      </c>
      <c r="D1230" s="6" t="str">
        <f aca="false">'Dish Database'!F326</f>
        <v>Non-Veg</v>
      </c>
      <c r="E1230" s="6" t="str">
        <f aca="false">'Dish Database'!E326</f>
        <v>South</v>
      </c>
      <c r="F1230" s="6" t="s">
        <v>2246</v>
      </c>
      <c r="G1230" s="6" t="s">
        <v>2502</v>
      </c>
      <c r="H1230" s="16" t="n">
        <v>200</v>
      </c>
      <c r="I1230" s="6" t="str">
        <f aca="false">'Dish Database'!I326</f>
        <v>g</v>
      </c>
      <c r="J1230" s="13" t="n">
        <f aca="false">'Dish Database'!J326*H1230/100</f>
        <v>324.2</v>
      </c>
      <c r="K1230" s="17" t="n">
        <f aca="false">'Dish Database'!K326*H1230/100</f>
        <v>26</v>
      </c>
      <c r="L1230" s="17" t="n">
        <f aca="false">'Dish Database'!L326*H1230/100</f>
        <v>9</v>
      </c>
      <c r="M1230" s="17" t="n">
        <f aca="false">'Dish Database'!M326*H1230/100</f>
        <v>21</v>
      </c>
      <c r="N1230" s="17" t="n">
        <f aca="false">'Dish Database'!N326*H1230/100</f>
        <v>2.4</v>
      </c>
      <c r="O1230" s="17" t="n">
        <f aca="false">'Dish Database'!O326*H1230/100</f>
        <v>3</v>
      </c>
      <c r="P1230" s="13" t="n">
        <f aca="false">'Dish Database'!P326*H1230/100</f>
        <v>900</v>
      </c>
    </row>
    <row r="1231" customFormat="false" ht="15" hidden="false" customHeight="false" outlineLevel="0" collapsed="false">
      <c r="A1231" s="6" t="str">
        <f aca="false">'Dish Database'!A326</f>
        <v>D325</v>
      </c>
      <c r="B1231" s="6" t="str">
        <f aca="false">'Dish Database'!B326</f>
        <v>Andhra chicken curry</v>
      </c>
      <c r="C1231" s="6" t="str">
        <f aca="false">'Dish Database'!D326</f>
        <v>Non-Veg Curries</v>
      </c>
      <c r="D1231" s="6" t="str">
        <f aca="false">'Dish Database'!F326</f>
        <v>Non-Veg</v>
      </c>
      <c r="E1231" s="6" t="str">
        <f aca="false">'Dish Database'!E326</f>
        <v>South</v>
      </c>
      <c r="F1231" s="6" t="s">
        <v>2323</v>
      </c>
      <c r="G1231" s="6" t="s">
        <v>2503</v>
      </c>
      <c r="H1231" s="16" t="n">
        <v>250</v>
      </c>
      <c r="I1231" s="6" t="str">
        <f aca="false">'Dish Database'!I326</f>
        <v>g</v>
      </c>
      <c r="J1231" s="13" t="n">
        <f aca="false">'Dish Database'!J326*H1231/100</f>
        <v>405.25</v>
      </c>
      <c r="K1231" s="17" t="n">
        <f aca="false">'Dish Database'!K326*H1231/100</f>
        <v>32.5</v>
      </c>
      <c r="L1231" s="17" t="n">
        <f aca="false">'Dish Database'!L326*H1231/100</f>
        <v>11.25</v>
      </c>
      <c r="M1231" s="17" t="n">
        <f aca="false">'Dish Database'!M326*H1231/100</f>
        <v>26.25</v>
      </c>
      <c r="N1231" s="17" t="n">
        <f aca="false">'Dish Database'!N326*H1231/100</f>
        <v>3</v>
      </c>
      <c r="O1231" s="17" t="n">
        <f aca="false">'Dish Database'!O326*H1231/100</f>
        <v>3.75</v>
      </c>
      <c r="P1231" s="13" t="n">
        <f aca="false">'Dish Database'!P326*H1231/100</f>
        <v>1125</v>
      </c>
    </row>
    <row r="1232" customFormat="false" ht="15" hidden="false" customHeight="false" outlineLevel="0" collapsed="false">
      <c r="A1232" s="6" t="str">
        <f aca="false">'Dish Database'!A326</f>
        <v>D325</v>
      </c>
      <c r="B1232" s="6" t="str">
        <f aca="false">'Dish Database'!B326</f>
        <v>Andhra chicken curry</v>
      </c>
      <c r="C1232" s="6" t="str">
        <f aca="false">'Dish Database'!D326</f>
        <v>Non-Veg Curries</v>
      </c>
      <c r="D1232" s="6" t="str">
        <f aca="false">'Dish Database'!F326</f>
        <v>Non-Veg</v>
      </c>
      <c r="E1232" s="6" t="str">
        <f aca="false">'Dish Database'!E326</f>
        <v>South</v>
      </c>
      <c r="F1232" s="6" t="s">
        <v>2325</v>
      </c>
      <c r="G1232" s="6" t="s">
        <v>2504</v>
      </c>
      <c r="H1232" s="16" t="n">
        <v>500</v>
      </c>
      <c r="I1232" s="6" t="str">
        <f aca="false">'Dish Database'!I326</f>
        <v>g</v>
      </c>
      <c r="J1232" s="13" t="n">
        <f aca="false">'Dish Database'!J326*H1232/100</f>
        <v>810.5</v>
      </c>
      <c r="K1232" s="17" t="n">
        <f aca="false">'Dish Database'!K326*H1232/100</f>
        <v>65</v>
      </c>
      <c r="L1232" s="17" t="n">
        <f aca="false">'Dish Database'!L326*H1232/100</f>
        <v>22.5</v>
      </c>
      <c r="M1232" s="17" t="n">
        <f aca="false">'Dish Database'!M326*H1232/100</f>
        <v>52.5</v>
      </c>
      <c r="N1232" s="17" t="n">
        <f aca="false">'Dish Database'!N326*H1232/100</f>
        <v>6</v>
      </c>
      <c r="O1232" s="17" t="n">
        <f aca="false">'Dish Database'!O326*H1232/100</f>
        <v>7.5</v>
      </c>
      <c r="P1232" s="13" t="n">
        <f aca="false">'Dish Database'!P326*H1232/100</f>
        <v>2250</v>
      </c>
    </row>
    <row r="1233" customFormat="false" ht="15" hidden="false" customHeight="false" outlineLevel="0" collapsed="false">
      <c r="A1233" s="6" t="str">
        <f aca="false">'Dish Database'!A327</f>
        <v>D326</v>
      </c>
      <c r="B1233" s="6" t="str">
        <f aca="false">'Dish Database'!B327</f>
        <v>Gongura chicken / mutton</v>
      </c>
      <c r="C1233" s="6" t="str">
        <f aca="false">'Dish Database'!D327</f>
        <v>Non-Veg Curries</v>
      </c>
      <c r="D1233" s="6" t="str">
        <f aca="false">'Dish Database'!F327</f>
        <v>Non-Veg</v>
      </c>
      <c r="E1233" s="6" t="str">
        <f aca="false">'Dish Database'!E327</f>
        <v>South</v>
      </c>
      <c r="F1233" s="6" t="s">
        <v>2243</v>
      </c>
      <c r="G1233" s="6" t="s">
        <v>2500</v>
      </c>
      <c r="H1233" s="16" t="n">
        <v>100</v>
      </c>
      <c r="I1233" s="6" t="str">
        <f aca="false">'Dish Database'!I327</f>
        <v>g</v>
      </c>
      <c r="J1233" s="13" t="n">
        <f aca="false">'Dish Database'!J327*H1233/100</f>
        <v>173</v>
      </c>
      <c r="K1233" s="17" t="n">
        <f aca="false">'Dish Database'!K327*H1233/100</f>
        <v>13</v>
      </c>
      <c r="L1233" s="17" t="n">
        <f aca="false">'Dish Database'!L327*H1233/100</f>
        <v>4</v>
      </c>
      <c r="M1233" s="17" t="n">
        <f aca="false">'Dish Database'!M327*H1233/100</f>
        <v>12</v>
      </c>
      <c r="N1233" s="17" t="n">
        <f aca="false">'Dish Database'!N327*H1233/100</f>
        <v>1.5</v>
      </c>
      <c r="O1233" s="17" t="n">
        <f aca="false">'Dish Database'!O327*H1233/100</f>
        <v>1</v>
      </c>
      <c r="P1233" s="13" t="n">
        <f aca="false">'Dish Database'!P327*H1233/100</f>
        <v>450</v>
      </c>
    </row>
    <row r="1234" customFormat="false" ht="15" hidden="false" customHeight="false" outlineLevel="0" collapsed="false">
      <c r="A1234" s="6" t="str">
        <f aca="false">'Dish Database'!A327</f>
        <v>D326</v>
      </c>
      <c r="B1234" s="6" t="str">
        <f aca="false">'Dish Database'!B327</f>
        <v>Gongura chicken / mutton</v>
      </c>
      <c r="C1234" s="6" t="str">
        <f aca="false">'Dish Database'!D327</f>
        <v>Non-Veg Curries</v>
      </c>
      <c r="D1234" s="6" t="str">
        <f aca="false">'Dish Database'!F327</f>
        <v>Non-Veg</v>
      </c>
      <c r="E1234" s="6" t="str">
        <f aca="false">'Dish Database'!E327</f>
        <v>South</v>
      </c>
      <c r="F1234" s="6" t="s">
        <v>103</v>
      </c>
      <c r="G1234" s="6" t="s">
        <v>2501</v>
      </c>
      <c r="H1234" s="16" t="n">
        <v>150</v>
      </c>
      <c r="I1234" s="6" t="str">
        <f aca="false">'Dish Database'!I327</f>
        <v>g</v>
      </c>
      <c r="J1234" s="13" t="n">
        <f aca="false">'Dish Database'!J327*H1234/100</f>
        <v>259.5</v>
      </c>
      <c r="K1234" s="17" t="n">
        <f aca="false">'Dish Database'!K327*H1234/100</f>
        <v>19.5</v>
      </c>
      <c r="L1234" s="17" t="n">
        <f aca="false">'Dish Database'!L327*H1234/100</f>
        <v>6</v>
      </c>
      <c r="M1234" s="17" t="n">
        <f aca="false">'Dish Database'!M327*H1234/100</f>
        <v>18</v>
      </c>
      <c r="N1234" s="17" t="n">
        <f aca="false">'Dish Database'!N327*H1234/100</f>
        <v>2.25</v>
      </c>
      <c r="O1234" s="17" t="n">
        <f aca="false">'Dish Database'!O327*H1234/100</f>
        <v>1.5</v>
      </c>
      <c r="P1234" s="13" t="n">
        <f aca="false">'Dish Database'!P327*H1234/100</f>
        <v>675</v>
      </c>
    </row>
    <row r="1235" customFormat="false" ht="15" hidden="false" customHeight="false" outlineLevel="0" collapsed="false">
      <c r="A1235" s="6" t="str">
        <f aca="false">'Dish Database'!A327</f>
        <v>D326</v>
      </c>
      <c r="B1235" s="6" t="str">
        <f aca="false">'Dish Database'!B327</f>
        <v>Gongura chicken / mutton</v>
      </c>
      <c r="C1235" s="6" t="str">
        <f aca="false">'Dish Database'!D327</f>
        <v>Non-Veg Curries</v>
      </c>
      <c r="D1235" s="6" t="str">
        <f aca="false">'Dish Database'!F327</f>
        <v>Non-Veg</v>
      </c>
      <c r="E1235" s="6" t="str">
        <f aca="false">'Dish Database'!E327</f>
        <v>South</v>
      </c>
      <c r="F1235" s="6" t="s">
        <v>2246</v>
      </c>
      <c r="G1235" s="6" t="s">
        <v>2502</v>
      </c>
      <c r="H1235" s="16" t="n">
        <v>200</v>
      </c>
      <c r="I1235" s="6" t="str">
        <f aca="false">'Dish Database'!I327</f>
        <v>g</v>
      </c>
      <c r="J1235" s="13" t="n">
        <f aca="false">'Dish Database'!J327*H1235/100</f>
        <v>346</v>
      </c>
      <c r="K1235" s="17" t="n">
        <f aca="false">'Dish Database'!K327*H1235/100</f>
        <v>26</v>
      </c>
      <c r="L1235" s="17" t="n">
        <f aca="false">'Dish Database'!L327*H1235/100</f>
        <v>8</v>
      </c>
      <c r="M1235" s="17" t="n">
        <f aca="false">'Dish Database'!M327*H1235/100</f>
        <v>24</v>
      </c>
      <c r="N1235" s="17" t="n">
        <f aca="false">'Dish Database'!N327*H1235/100</f>
        <v>3</v>
      </c>
      <c r="O1235" s="17" t="n">
        <f aca="false">'Dish Database'!O327*H1235/100</f>
        <v>2</v>
      </c>
      <c r="P1235" s="13" t="n">
        <f aca="false">'Dish Database'!P327*H1235/100</f>
        <v>900</v>
      </c>
    </row>
    <row r="1236" customFormat="false" ht="15" hidden="false" customHeight="false" outlineLevel="0" collapsed="false">
      <c r="A1236" s="6" t="str">
        <f aca="false">'Dish Database'!A327</f>
        <v>D326</v>
      </c>
      <c r="B1236" s="6" t="str">
        <f aca="false">'Dish Database'!B327</f>
        <v>Gongura chicken / mutton</v>
      </c>
      <c r="C1236" s="6" t="str">
        <f aca="false">'Dish Database'!D327</f>
        <v>Non-Veg Curries</v>
      </c>
      <c r="D1236" s="6" t="str">
        <f aca="false">'Dish Database'!F327</f>
        <v>Non-Veg</v>
      </c>
      <c r="E1236" s="6" t="str">
        <f aca="false">'Dish Database'!E327</f>
        <v>South</v>
      </c>
      <c r="F1236" s="6" t="s">
        <v>2323</v>
      </c>
      <c r="G1236" s="6" t="s">
        <v>2503</v>
      </c>
      <c r="H1236" s="16" t="n">
        <v>250</v>
      </c>
      <c r="I1236" s="6" t="str">
        <f aca="false">'Dish Database'!I327</f>
        <v>g</v>
      </c>
      <c r="J1236" s="13" t="n">
        <f aca="false">'Dish Database'!J327*H1236/100</f>
        <v>432.5</v>
      </c>
      <c r="K1236" s="17" t="n">
        <f aca="false">'Dish Database'!K327*H1236/100</f>
        <v>32.5</v>
      </c>
      <c r="L1236" s="17" t="n">
        <f aca="false">'Dish Database'!L327*H1236/100</f>
        <v>10</v>
      </c>
      <c r="M1236" s="17" t="n">
        <f aca="false">'Dish Database'!M327*H1236/100</f>
        <v>30</v>
      </c>
      <c r="N1236" s="17" t="n">
        <f aca="false">'Dish Database'!N327*H1236/100</f>
        <v>3.75</v>
      </c>
      <c r="O1236" s="17" t="n">
        <f aca="false">'Dish Database'!O327*H1236/100</f>
        <v>2.5</v>
      </c>
      <c r="P1236" s="13" t="n">
        <f aca="false">'Dish Database'!P327*H1236/100</f>
        <v>1125</v>
      </c>
    </row>
    <row r="1237" customFormat="false" ht="15" hidden="false" customHeight="false" outlineLevel="0" collapsed="false">
      <c r="A1237" s="6" t="str">
        <f aca="false">'Dish Database'!A327</f>
        <v>D326</v>
      </c>
      <c r="B1237" s="6" t="str">
        <f aca="false">'Dish Database'!B327</f>
        <v>Gongura chicken / mutton</v>
      </c>
      <c r="C1237" s="6" t="str">
        <f aca="false">'Dish Database'!D327</f>
        <v>Non-Veg Curries</v>
      </c>
      <c r="D1237" s="6" t="str">
        <f aca="false">'Dish Database'!F327</f>
        <v>Non-Veg</v>
      </c>
      <c r="E1237" s="6" t="str">
        <f aca="false">'Dish Database'!E327</f>
        <v>South</v>
      </c>
      <c r="F1237" s="6" t="s">
        <v>2325</v>
      </c>
      <c r="G1237" s="6" t="s">
        <v>2504</v>
      </c>
      <c r="H1237" s="16" t="n">
        <v>500</v>
      </c>
      <c r="I1237" s="6" t="str">
        <f aca="false">'Dish Database'!I327</f>
        <v>g</v>
      </c>
      <c r="J1237" s="13" t="n">
        <f aca="false">'Dish Database'!J327*H1237/100</f>
        <v>865</v>
      </c>
      <c r="K1237" s="17" t="n">
        <f aca="false">'Dish Database'!K327*H1237/100</f>
        <v>65</v>
      </c>
      <c r="L1237" s="17" t="n">
        <f aca="false">'Dish Database'!L327*H1237/100</f>
        <v>20</v>
      </c>
      <c r="M1237" s="17" t="n">
        <f aca="false">'Dish Database'!M327*H1237/100</f>
        <v>60</v>
      </c>
      <c r="N1237" s="17" t="n">
        <f aca="false">'Dish Database'!N327*H1237/100</f>
        <v>7.5</v>
      </c>
      <c r="O1237" s="17" t="n">
        <f aca="false">'Dish Database'!O327*H1237/100</f>
        <v>5</v>
      </c>
      <c r="P1237" s="13" t="n">
        <f aca="false">'Dish Database'!P327*H1237/100</f>
        <v>2250</v>
      </c>
    </row>
    <row r="1238" customFormat="false" ht="15" hidden="false" customHeight="false" outlineLevel="0" collapsed="false">
      <c r="A1238" s="6" t="str">
        <f aca="false">'Dish Database'!A328</f>
        <v>D327</v>
      </c>
      <c r="B1238" s="6" t="str">
        <f aca="false">'Dish Database'!B328</f>
        <v>Chicken stew (Kerala)</v>
      </c>
      <c r="C1238" s="6" t="str">
        <f aca="false">'Dish Database'!D328</f>
        <v>Non-Veg Curries</v>
      </c>
      <c r="D1238" s="6" t="str">
        <f aca="false">'Dish Database'!F328</f>
        <v>Non-Veg</v>
      </c>
      <c r="E1238" s="6" t="str">
        <f aca="false">'Dish Database'!E328</f>
        <v>South</v>
      </c>
      <c r="F1238" s="6" t="s">
        <v>2243</v>
      </c>
      <c r="G1238" s="6" t="s">
        <v>2500</v>
      </c>
      <c r="H1238" s="16" t="n">
        <v>100</v>
      </c>
      <c r="I1238" s="6" t="str">
        <f aca="false">'Dish Database'!I328</f>
        <v>g</v>
      </c>
      <c r="J1238" s="13" t="n">
        <f aca="false">'Dish Database'!J328*H1238/100</f>
        <v>139</v>
      </c>
      <c r="K1238" s="17" t="n">
        <f aca="false">'Dish Database'!K328*H1238/100</f>
        <v>9</v>
      </c>
      <c r="L1238" s="17" t="n">
        <f aca="false">'Dish Database'!L328*H1238/100</f>
        <v>6</v>
      </c>
      <c r="M1238" s="17" t="n">
        <f aca="false">'Dish Database'!M328*H1238/100</f>
        <v>9</v>
      </c>
      <c r="N1238" s="17" t="n">
        <f aca="false">'Dish Database'!N328*H1238/100</f>
        <v>1</v>
      </c>
      <c r="O1238" s="17" t="n">
        <f aca="false">'Dish Database'!O328*H1238/100</f>
        <v>2</v>
      </c>
      <c r="P1238" s="13" t="n">
        <f aca="false">'Dish Database'!P328*H1238/100</f>
        <v>350</v>
      </c>
    </row>
    <row r="1239" customFormat="false" ht="15" hidden="false" customHeight="false" outlineLevel="0" collapsed="false">
      <c r="A1239" s="6" t="str">
        <f aca="false">'Dish Database'!A328</f>
        <v>D327</v>
      </c>
      <c r="B1239" s="6" t="str">
        <f aca="false">'Dish Database'!B328</f>
        <v>Chicken stew (Kerala)</v>
      </c>
      <c r="C1239" s="6" t="str">
        <f aca="false">'Dish Database'!D328</f>
        <v>Non-Veg Curries</v>
      </c>
      <c r="D1239" s="6" t="str">
        <f aca="false">'Dish Database'!F328</f>
        <v>Non-Veg</v>
      </c>
      <c r="E1239" s="6" t="str">
        <f aca="false">'Dish Database'!E328</f>
        <v>South</v>
      </c>
      <c r="F1239" s="6" t="s">
        <v>103</v>
      </c>
      <c r="G1239" s="6" t="s">
        <v>2501</v>
      </c>
      <c r="H1239" s="16" t="n">
        <v>150</v>
      </c>
      <c r="I1239" s="6" t="str">
        <f aca="false">'Dish Database'!I328</f>
        <v>g</v>
      </c>
      <c r="J1239" s="13" t="n">
        <f aca="false">'Dish Database'!J328*H1239/100</f>
        <v>208.5</v>
      </c>
      <c r="K1239" s="17" t="n">
        <f aca="false">'Dish Database'!K328*H1239/100</f>
        <v>13.5</v>
      </c>
      <c r="L1239" s="17" t="n">
        <f aca="false">'Dish Database'!L328*H1239/100</f>
        <v>9</v>
      </c>
      <c r="M1239" s="17" t="n">
        <f aca="false">'Dish Database'!M328*H1239/100</f>
        <v>13.5</v>
      </c>
      <c r="N1239" s="17" t="n">
        <f aca="false">'Dish Database'!N328*H1239/100</f>
        <v>1.5</v>
      </c>
      <c r="O1239" s="17" t="n">
        <f aca="false">'Dish Database'!O328*H1239/100</f>
        <v>3</v>
      </c>
      <c r="P1239" s="13" t="n">
        <f aca="false">'Dish Database'!P328*H1239/100</f>
        <v>525</v>
      </c>
    </row>
    <row r="1240" customFormat="false" ht="15" hidden="false" customHeight="false" outlineLevel="0" collapsed="false">
      <c r="A1240" s="6" t="str">
        <f aca="false">'Dish Database'!A328</f>
        <v>D327</v>
      </c>
      <c r="B1240" s="6" t="str">
        <f aca="false">'Dish Database'!B328</f>
        <v>Chicken stew (Kerala)</v>
      </c>
      <c r="C1240" s="6" t="str">
        <f aca="false">'Dish Database'!D328</f>
        <v>Non-Veg Curries</v>
      </c>
      <c r="D1240" s="6" t="str">
        <f aca="false">'Dish Database'!F328</f>
        <v>Non-Veg</v>
      </c>
      <c r="E1240" s="6" t="str">
        <f aca="false">'Dish Database'!E328</f>
        <v>South</v>
      </c>
      <c r="F1240" s="6" t="s">
        <v>2246</v>
      </c>
      <c r="G1240" s="6" t="s">
        <v>2502</v>
      </c>
      <c r="H1240" s="16" t="n">
        <v>200</v>
      </c>
      <c r="I1240" s="6" t="str">
        <f aca="false">'Dish Database'!I328</f>
        <v>g</v>
      </c>
      <c r="J1240" s="13" t="n">
        <f aca="false">'Dish Database'!J328*H1240/100</f>
        <v>278</v>
      </c>
      <c r="K1240" s="17" t="n">
        <f aca="false">'Dish Database'!K328*H1240/100</f>
        <v>18</v>
      </c>
      <c r="L1240" s="17" t="n">
        <f aca="false">'Dish Database'!L328*H1240/100</f>
        <v>12</v>
      </c>
      <c r="M1240" s="17" t="n">
        <f aca="false">'Dish Database'!M328*H1240/100</f>
        <v>18</v>
      </c>
      <c r="N1240" s="17" t="n">
        <f aca="false">'Dish Database'!N328*H1240/100</f>
        <v>2</v>
      </c>
      <c r="O1240" s="17" t="n">
        <f aca="false">'Dish Database'!O328*H1240/100</f>
        <v>4</v>
      </c>
      <c r="P1240" s="13" t="n">
        <f aca="false">'Dish Database'!P328*H1240/100</f>
        <v>700</v>
      </c>
    </row>
    <row r="1241" customFormat="false" ht="15" hidden="false" customHeight="false" outlineLevel="0" collapsed="false">
      <c r="A1241" s="6" t="str">
        <f aca="false">'Dish Database'!A328</f>
        <v>D327</v>
      </c>
      <c r="B1241" s="6" t="str">
        <f aca="false">'Dish Database'!B328</f>
        <v>Chicken stew (Kerala)</v>
      </c>
      <c r="C1241" s="6" t="str">
        <f aca="false">'Dish Database'!D328</f>
        <v>Non-Veg Curries</v>
      </c>
      <c r="D1241" s="6" t="str">
        <f aca="false">'Dish Database'!F328</f>
        <v>Non-Veg</v>
      </c>
      <c r="E1241" s="6" t="str">
        <f aca="false">'Dish Database'!E328</f>
        <v>South</v>
      </c>
      <c r="F1241" s="6" t="s">
        <v>2323</v>
      </c>
      <c r="G1241" s="6" t="s">
        <v>2503</v>
      </c>
      <c r="H1241" s="16" t="n">
        <v>250</v>
      </c>
      <c r="I1241" s="6" t="str">
        <f aca="false">'Dish Database'!I328</f>
        <v>g</v>
      </c>
      <c r="J1241" s="13" t="n">
        <f aca="false">'Dish Database'!J328*H1241/100</f>
        <v>347.5</v>
      </c>
      <c r="K1241" s="17" t="n">
        <f aca="false">'Dish Database'!K328*H1241/100</f>
        <v>22.5</v>
      </c>
      <c r="L1241" s="17" t="n">
        <f aca="false">'Dish Database'!L328*H1241/100</f>
        <v>15</v>
      </c>
      <c r="M1241" s="17" t="n">
        <f aca="false">'Dish Database'!M328*H1241/100</f>
        <v>22.5</v>
      </c>
      <c r="N1241" s="17" t="n">
        <f aca="false">'Dish Database'!N328*H1241/100</f>
        <v>2.5</v>
      </c>
      <c r="O1241" s="17" t="n">
        <f aca="false">'Dish Database'!O328*H1241/100</f>
        <v>5</v>
      </c>
      <c r="P1241" s="13" t="n">
        <f aca="false">'Dish Database'!P328*H1241/100</f>
        <v>875</v>
      </c>
    </row>
    <row r="1242" customFormat="false" ht="15" hidden="false" customHeight="false" outlineLevel="0" collapsed="false">
      <c r="A1242" s="6" t="str">
        <f aca="false">'Dish Database'!A328</f>
        <v>D327</v>
      </c>
      <c r="B1242" s="6" t="str">
        <f aca="false">'Dish Database'!B328</f>
        <v>Chicken stew (Kerala)</v>
      </c>
      <c r="C1242" s="6" t="str">
        <f aca="false">'Dish Database'!D328</f>
        <v>Non-Veg Curries</v>
      </c>
      <c r="D1242" s="6" t="str">
        <f aca="false">'Dish Database'!F328</f>
        <v>Non-Veg</v>
      </c>
      <c r="E1242" s="6" t="str">
        <f aca="false">'Dish Database'!E328</f>
        <v>South</v>
      </c>
      <c r="F1242" s="6" t="s">
        <v>2325</v>
      </c>
      <c r="G1242" s="6" t="s">
        <v>2504</v>
      </c>
      <c r="H1242" s="16" t="n">
        <v>500</v>
      </c>
      <c r="I1242" s="6" t="str">
        <f aca="false">'Dish Database'!I328</f>
        <v>g</v>
      </c>
      <c r="J1242" s="13" t="n">
        <f aca="false">'Dish Database'!J328*H1242/100</f>
        <v>695</v>
      </c>
      <c r="K1242" s="17" t="n">
        <f aca="false">'Dish Database'!K328*H1242/100</f>
        <v>45</v>
      </c>
      <c r="L1242" s="17" t="n">
        <f aca="false">'Dish Database'!L328*H1242/100</f>
        <v>30</v>
      </c>
      <c r="M1242" s="17" t="n">
        <f aca="false">'Dish Database'!M328*H1242/100</f>
        <v>45</v>
      </c>
      <c r="N1242" s="17" t="n">
        <f aca="false">'Dish Database'!N328*H1242/100</f>
        <v>5</v>
      </c>
      <c r="O1242" s="17" t="n">
        <f aca="false">'Dish Database'!O328*H1242/100</f>
        <v>10</v>
      </c>
      <c r="P1242" s="13" t="n">
        <f aca="false">'Dish Database'!P328*H1242/100</f>
        <v>1750</v>
      </c>
    </row>
    <row r="1243" customFormat="false" ht="15" hidden="false" customHeight="false" outlineLevel="0" collapsed="false">
      <c r="A1243" s="6" t="str">
        <f aca="false">'Dish Database'!A329</f>
        <v>D328</v>
      </c>
      <c r="B1243" s="6" t="str">
        <f aca="false">'Dish Database'!B329</f>
        <v>Chicken keema</v>
      </c>
      <c r="C1243" s="6" t="str">
        <f aca="false">'Dish Database'!D329</f>
        <v>Non-Veg Curries</v>
      </c>
      <c r="D1243" s="6" t="str">
        <f aca="false">'Dish Database'!F329</f>
        <v>Non-Veg</v>
      </c>
      <c r="E1243" s="6" t="str">
        <f aca="false">'Dish Database'!E329</f>
        <v>North</v>
      </c>
      <c r="F1243" s="6" t="s">
        <v>2243</v>
      </c>
      <c r="G1243" s="6" t="s">
        <v>2500</v>
      </c>
      <c r="H1243" s="16" t="n">
        <v>100</v>
      </c>
      <c r="I1243" s="6" t="str">
        <f aca="false">'Dish Database'!I329</f>
        <v>g</v>
      </c>
      <c r="J1243" s="13" t="n">
        <f aca="false">'Dish Database'!J329*H1243/100</f>
        <v>163</v>
      </c>
      <c r="K1243" s="17" t="n">
        <f aca="false">'Dish Database'!K329*H1243/100</f>
        <v>14</v>
      </c>
      <c r="L1243" s="17" t="n">
        <f aca="false">'Dish Database'!L329*H1243/100</f>
        <v>5</v>
      </c>
      <c r="M1243" s="17" t="n">
        <f aca="false">'Dish Database'!M329*H1243/100</f>
        <v>10</v>
      </c>
      <c r="N1243" s="17" t="n">
        <f aca="false">'Dish Database'!N329*H1243/100</f>
        <v>1.5</v>
      </c>
      <c r="O1243" s="17" t="n">
        <f aca="false">'Dish Database'!O329*H1243/100</f>
        <v>2</v>
      </c>
      <c r="P1243" s="13" t="n">
        <f aca="false">'Dish Database'!P329*H1243/100</f>
        <v>420</v>
      </c>
    </row>
    <row r="1244" customFormat="false" ht="15" hidden="false" customHeight="false" outlineLevel="0" collapsed="false">
      <c r="A1244" s="6" t="str">
        <f aca="false">'Dish Database'!A329</f>
        <v>D328</v>
      </c>
      <c r="B1244" s="6" t="str">
        <f aca="false">'Dish Database'!B329</f>
        <v>Chicken keema</v>
      </c>
      <c r="C1244" s="6" t="str">
        <f aca="false">'Dish Database'!D329</f>
        <v>Non-Veg Curries</v>
      </c>
      <c r="D1244" s="6" t="str">
        <f aca="false">'Dish Database'!F329</f>
        <v>Non-Veg</v>
      </c>
      <c r="E1244" s="6" t="str">
        <f aca="false">'Dish Database'!E329</f>
        <v>North</v>
      </c>
      <c r="F1244" s="6" t="s">
        <v>103</v>
      </c>
      <c r="G1244" s="6" t="s">
        <v>2501</v>
      </c>
      <c r="H1244" s="16" t="n">
        <v>150</v>
      </c>
      <c r="I1244" s="6" t="str">
        <f aca="false">'Dish Database'!I329</f>
        <v>g</v>
      </c>
      <c r="J1244" s="13" t="n">
        <f aca="false">'Dish Database'!J329*H1244/100</f>
        <v>244.5</v>
      </c>
      <c r="K1244" s="17" t="n">
        <f aca="false">'Dish Database'!K329*H1244/100</f>
        <v>21</v>
      </c>
      <c r="L1244" s="17" t="n">
        <f aca="false">'Dish Database'!L329*H1244/100</f>
        <v>7.5</v>
      </c>
      <c r="M1244" s="17" t="n">
        <f aca="false">'Dish Database'!M329*H1244/100</f>
        <v>15</v>
      </c>
      <c r="N1244" s="17" t="n">
        <f aca="false">'Dish Database'!N329*H1244/100</f>
        <v>2.25</v>
      </c>
      <c r="O1244" s="17" t="n">
        <f aca="false">'Dish Database'!O329*H1244/100</f>
        <v>3</v>
      </c>
      <c r="P1244" s="13" t="n">
        <f aca="false">'Dish Database'!P329*H1244/100</f>
        <v>630</v>
      </c>
    </row>
    <row r="1245" customFormat="false" ht="15" hidden="false" customHeight="false" outlineLevel="0" collapsed="false">
      <c r="A1245" s="6" t="str">
        <f aca="false">'Dish Database'!A329</f>
        <v>D328</v>
      </c>
      <c r="B1245" s="6" t="str">
        <f aca="false">'Dish Database'!B329</f>
        <v>Chicken keema</v>
      </c>
      <c r="C1245" s="6" t="str">
        <f aca="false">'Dish Database'!D329</f>
        <v>Non-Veg Curries</v>
      </c>
      <c r="D1245" s="6" t="str">
        <f aca="false">'Dish Database'!F329</f>
        <v>Non-Veg</v>
      </c>
      <c r="E1245" s="6" t="str">
        <f aca="false">'Dish Database'!E329</f>
        <v>North</v>
      </c>
      <c r="F1245" s="6" t="s">
        <v>2246</v>
      </c>
      <c r="G1245" s="6" t="s">
        <v>2502</v>
      </c>
      <c r="H1245" s="16" t="n">
        <v>200</v>
      </c>
      <c r="I1245" s="6" t="str">
        <f aca="false">'Dish Database'!I329</f>
        <v>g</v>
      </c>
      <c r="J1245" s="13" t="n">
        <f aca="false">'Dish Database'!J329*H1245/100</f>
        <v>326</v>
      </c>
      <c r="K1245" s="17" t="n">
        <f aca="false">'Dish Database'!K329*H1245/100</f>
        <v>28</v>
      </c>
      <c r="L1245" s="17" t="n">
        <f aca="false">'Dish Database'!L329*H1245/100</f>
        <v>10</v>
      </c>
      <c r="M1245" s="17" t="n">
        <f aca="false">'Dish Database'!M329*H1245/100</f>
        <v>20</v>
      </c>
      <c r="N1245" s="17" t="n">
        <f aca="false">'Dish Database'!N329*H1245/100</f>
        <v>3</v>
      </c>
      <c r="O1245" s="17" t="n">
        <f aca="false">'Dish Database'!O329*H1245/100</f>
        <v>4</v>
      </c>
      <c r="P1245" s="13" t="n">
        <f aca="false">'Dish Database'!P329*H1245/100</f>
        <v>840</v>
      </c>
    </row>
    <row r="1246" customFormat="false" ht="15" hidden="false" customHeight="false" outlineLevel="0" collapsed="false">
      <c r="A1246" s="6" t="str">
        <f aca="false">'Dish Database'!A329</f>
        <v>D328</v>
      </c>
      <c r="B1246" s="6" t="str">
        <f aca="false">'Dish Database'!B329</f>
        <v>Chicken keema</v>
      </c>
      <c r="C1246" s="6" t="str">
        <f aca="false">'Dish Database'!D329</f>
        <v>Non-Veg Curries</v>
      </c>
      <c r="D1246" s="6" t="str">
        <f aca="false">'Dish Database'!F329</f>
        <v>Non-Veg</v>
      </c>
      <c r="E1246" s="6" t="str">
        <f aca="false">'Dish Database'!E329</f>
        <v>North</v>
      </c>
      <c r="F1246" s="6" t="s">
        <v>2323</v>
      </c>
      <c r="G1246" s="6" t="s">
        <v>2503</v>
      </c>
      <c r="H1246" s="16" t="n">
        <v>250</v>
      </c>
      <c r="I1246" s="6" t="str">
        <f aca="false">'Dish Database'!I329</f>
        <v>g</v>
      </c>
      <c r="J1246" s="13" t="n">
        <f aca="false">'Dish Database'!J329*H1246/100</f>
        <v>407.5</v>
      </c>
      <c r="K1246" s="17" t="n">
        <f aca="false">'Dish Database'!K329*H1246/100</f>
        <v>35</v>
      </c>
      <c r="L1246" s="17" t="n">
        <f aca="false">'Dish Database'!L329*H1246/100</f>
        <v>12.5</v>
      </c>
      <c r="M1246" s="17" t="n">
        <f aca="false">'Dish Database'!M329*H1246/100</f>
        <v>25</v>
      </c>
      <c r="N1246" s="17" t="n">
        <f aca="false">'Dish Database'!N329*H1246/100</f>
        <v>3.75</v>
      </c>
      <c r="O1246" s="17" t="n">
        <f aca="false">'Dish Database'!O329*H1246/100</f>
        <v>5</v>
      </c>
      <c r="P1246" s="13" t="n">
        <f aca="false">'Dish Database'!P329*H1246/100</f>
        <v>1050</v>
      </c>
    </row>
    <row r="1247" customFormat="false" ht="15" hidden="false" customHeight="false" outlineLevel="0" collapsed="false">
      <c r="A1247" s="6" t="str">
        <f aca="false">'Dish Database'!A329</f>
        <v>D328</v>
      </c>
      <c r="B1247" s="6" t="str">
        <f aca="false">'Dish Database'!B329</f>
        <v>Chicken keema</v>
      </c>
      <c r="C1247" s="6" t="str">
        <f aca="false">'Dish Database'!D329</f>
        <v>Non-Veg Curries</v>
      </c>
      <c r="D1247" s="6" t="str">
        <f aca="false">'Dish Database'!F329</f>
        <v>Non-Veg</v>
      </c>
      <c r="E1247" s="6" t="str">
        <f aca="false">'Dish Database'!E329</f>
        <v>North</v>
      </c>
      <c r="F1247" s="6" t="s">
        <v>2325</v>
      </c>
      <c r="G1247" s="6" t="s">
        <v>2504</v>
      </c>
      <c r="H1247" s="16" t="n">
        <v>500</v>
      </c>
      <c r="I1247" s="6" t="str">
        <f aca="false">'Dish Database'!I329</f>
        <v>g</v>
      </c>
      <c r="J1247" s="13" t="n">
        <f aca="false">'Dish Database'!J329*H1247/100</f>
        <v>815</v>
      </c>
      <c r="K1247" s="17" t="n">
        <f aca="false">'Dish Database'!K329*H1247/100</f>
        <v>70</v>
      </c>
      <c r="L1247" s="17" t="n">
        <f aca="false">'Dish Database'!L329*H1247/100</f>
        <v>25</v>
      </c>
      <c r="M1247" s="17" t="n">
        <f aca="false">'Dish Database'!M329*H1247/100</f>
        <v>50</v>
      </c>
      <c r="N1247" s="17" t="n">
        <f aca="false">'Dish Database'!N329*H1247/100</f>
        <v>7.5</v>
      </c>
      <c r="O1247" s="17" t="n">
        <f aca="false">'Dish Database'!O329*H1247/100</f>
        <v>10</v>
      </c>
      <c r="P1247" s="13" t="n">
        <f aca="false">'Dish Database'!P329*H1247/100</f>
        <v>2100</v>
      </c>
    </row>
    <row r="1248" customFormat="false" ht="15" hidden="false" customHeight="false" outlineLevel="0" collapsed="false">
      <c r="A1248" s="6" t="str">
        <f aca="false">'Dish Database'!A330</f>
        <v>D329</v>
      </c>
      <c r="B1248" s="6" t="str">
        <f aca="false">'Dish Database'!B330</f>
        <v>Chicken vindaloo</v>
      </c>
      <c r="C1248" s="6" t="str">
        <f aca="false">'Dish Database'!D330</f>
        <v>Non-Veg Curries</v>
      </c>
      <c r="D1248" s="6" t="str">
        <f aca="false">'Dish Database'!F330</f>
        <v>Non-Veg</v>
      </c>
      <c r="E1248" s="6" t="str">
        <f aca="false">'Dish Database'!E330</f>
        <v>West</v>
      </c>
      <c r="F1248" s="6" t="s">
        <v>2243</v>
      </c>
      <c r="G1248" s="6" t="s">
        <v>2500</v>
      </c>
      <c r="H1248" s="16" t="n">
        <v>100</v>
      </c>
      <c r="I1248" s="6" t="str">
        <f aca="false">'Dish Database'!I330</f>
        <v>g</v>
      </c>
      <c r="J1248" s="13" t="n">
        <f aca="false">'Dish Database'!J330*H1248/100</f>
        <v>160</v>
      </c>
      <c r="K1248" s="17" t="n">
        <f aca="false">'Dish Database'!K330*H1248/100</f>
        <v>13</v>
      </c>
      <c r="L1248" s="17" t="n">
        <f aca="false">'Dish Database'!L330*H1248/100</f>
        <v>5</v>
      </c>
      <c r="M1248" s="17" t="n">
        <f aca="false">'Dish Database'!M330*H1248/100</f>
        <v>10</v>
      </c>
      <c r="N1248" s="17" t="n">
        <f aca="false">'Dish Database'!N330*H1248/100</f>
        <v>1</v>
      </c>
      <c r="O1248" s="17" t="n">
        <f aca="false">'Dish Database'!O330*H1248/100</f>
        <v>2.5</v>
      </c>
      <c r="P1248" s="13" t="n">
        <f aca="false">'Dish Database'!P330*H1248/100</f>
        <v>450</v>
      </c>
    </row>
    <row r="1249" customFormat="false" ht="15" hidden="false" customHeight="false" outlineLevel="0" collapsed="false">
      <c r="A1249" s="6" t="str">
        <f aca="false">'Dish Database'!A330</f>
        <v>D329</v>
      </c>
      <c r="B1249" s="6" t="str">
        <f aca="false">'Dish Database'!B330</f>
        <v>Chicken vindaloo</v>
      </c>
      <c r="C1249" s="6" t="str">
        <f aca="false">'Dish Database'!D330</f>
        <v>Non-Veg Curries</v>
      </c>
      <c r="D1249" s="6" t="str">
        <f aca="false">'Dish Database'!F330</f>
        <v>Non-Veg</v>
      </c>
      <c r="E1249" s="6" t="str">
        <f aca="false">'Dish Database'!E330</f>
        <v>West</v>
      </c>
      <c r="F1249" s="6" t="s">
        <v>103</v>
      </c>
      <c r="G1249" s="6" t="s">
        <v>2501</v>
      </c>
      <c r="H1249" s="16" t="n">
        <v>150</v>
      </c>
      <c r="I1249" s="6" t="str">
        <f aca="false">'Dish Database'!I330</f>
        <v>g</v>
      </c>
      <c r="J1249" s="13" t="n">
        <f aca="false">'Dish Database'!J330*H1249/100</f>
        <v>240</v>
      </c>
      <c r="K1249" s="17" t="n">
        <f aca="false">'Dish Database'!K330*H1249/100</f>
        <v>19.5</v>
      </c>
      <c r="L1249" s="17" t="n">
        <f aca="false">'Dish Database'!L330*H1249/100</f>
        <v>7.5</v>
      </c>
      <c r="M1249" s="17" t="n">
        <f aca="false">'Dish Database'!M330*H1249/100</f>
        <v>15</v>
      </c>
      <c r="N1249" s="17" t="n">
        <f aca="false">'Dish Database'!N330*H1249/100</f>
        <v>1.5</v>
      </c>
      <c r="O1249" s="17" t="n">
        <f aca="false">'Dish Database'!O330*H1249/100</f>
        <v>3.75</v>
      </c>
      <c r="P1249" s="13" t="n">
        <f aca="false">'Dish Database'!P330*H1249/100</f>
        <v>675</v>
      </c>
    </row>
    <row r="1250" customFormat="false" ht="15" hidden="false" customHeight="false" outlineLevel="0" collapsed="false">
      <c r="A1250" s="6" t="str">
        <f aca="false">'Dish Database'!A330</f>
        <v>D329</v>
      </c>
      <c r="B1250" s="6" t="str">
        <f aca="false">'Dish Database'!B330</f>
        <v>Chicken vindaloo</v>
      </c>
      <c r="C1250" s="6" t="str">
        <f aca="false">'Dish Database'!D330</f>
        <v>Non-Veg Curries</v>
      </c>
      <c r="D1250" s="6" t="str">
        <f aca="false">'Dish Database'!F330</f>
        <v>Non-Veg</v>
      </c>
      <c r="E1250" s="6" t="str">
        <f aca="false">'Dish Database'!E330</f>
        <v>West</v>
      </c>
      <c r="F1250" s="6" t="s">
        <v>2246</v>
      </c>
      <c r="G1250" s="6" t="s">
        <v>2502</v>
      </c>
      <c r="H1250" s="16" t="n">
        <v>200</v>
      </c>
      <c r="I1250" s="6" t="str">
        <f aca="false">'Dish Database'!I330</f>
        <v>g</v>
      </c>
      <c r="J1250" s="13" t="n">
        <f aca="false">'Dish Database'!J330*H1250/100</f>
        <v>320</v>
      </c>
      <c r="K1250" s="17" t="n">
        <f aca="false">'Dish Database'!K330*H1250/100</f>
        <v>26</v>
      </c>
      <c r="L1250" s="17" t="n">
        <f aca="false">'Dish Database'!L330*H1250/100</f>
        <v>10</v>
      </c>
      <c r="M1250" s="17" t="n">
        <f aca="false">'Dish Database'!M330*H1250/100</f>
        <v>20</v>
      </c>
      <c r="N1250" s="17" t="n">
        <f aca="false">'Dish Database'!N330*H1250/100</f>
        <v>2</v>
      </c>
      <c r="O1250" s="17" t="n">
        <f aca="false">'Dish Database'!O330*H1250/100</f>
        <v>5</v>
      </c>
      <c r="P1250" s="13" t="n">
        <f aca="false">'Dish Database'!P330*H1250/100</f>
        <v>900</v>
      </c>
    </row>
    <row r="1251" customFormat="false" ht="15" hidden="false" customHeight="false" outlineLevel="0" collapsed="false">
      <c r="A1251" s="6" t="str">
        <f aca="false">'Dish Database'!A330</f>
        <v>D329</v>
      </c>
      <c r="B1251" s="6" t="str">
        <f aca="false">'Dish Database'!B330</f>
        <v>Chicken vindaloo</v>
      </c>
      <c r="C1251" s="6" t="str">
        <f aca="false">'Dish Database'!D330</f>
        <v>Non-Veg Curries</v>
      </c>
      <c r="D1251" s="6" t="str">
        <f aca="false">'Dish Database'!F330</f>
        <v>Non-Veg</v>
      </c>
      <c r="E1251" s="6" t="str">
        <f aca="false">'Dish Database'!E330</f>
        <v>West</v>
      </c>
      <c r="F1251" s="6" t="s">
        <v>2323</v>
      </c>
      <c r="G1251" s="6" t="s">
        <v>2503</v>
      </c>
      <c r="H1251" s="16" t="n">
        <v>250</v>
      </c>
      <c r="I1251" s="6" t="str">
        <f aca="false">'Dish Database'!I330</f>
        <v>g</v>
      </c>
      <c r="J1251" s="13" t="n">
        <f aca="false">'Dish Database'!J330*H1251/100</f>
        <v>400</v>
      </c>
      <c r="K1251" s="17" t="n">
        <f aca="false">'Dish Database'!K330*H1251/100</f>
        <v>32.5</v>
      </c>
      <c r="L1251" s="17" t="n">
        <f aca="false">'Dish Database'!L330*H1251/100</f>
        <v>12.5</v>
      </c>
      <c r="M1251" s="17" t="n">
        <f aca="false">'Dish Database'!M330*H1251/100</f>
        <v>25</v>
      </c>
      <c r="N1251" s="17" t="n">
        <f aca="false">'Dish Database'!N330*H1251/100</f>
        <v>2.5</v>
      </c>
      <c r="O1251" s="17" t="n">
        <f aca="false">'Dish Database'!O330*H1251/100</f>
        <v>6.25</v>
      </c>
      <c r="P1251" s="13" t="n">
        <f aca="false">'Dish Database'!P330*H1251/100</f>
        <v>1125</v>
      </c>
    </row>
    <row r="1252" customFormat="false" ht="15" hidden="false" customHeight="false" outlineLevel="0" collapsed="false">
      <c r="A1252" s="6" t="str">
        <f aca="false">'Dish Database'!A330</f>
        <v>D329</v>
      </c>
      <c r="B1252" s="6" t="str">
        <f aca="false">'Dish Database'!B330</f>
        <v>Chicken vindaloo</v>
      </c>
      <c r="C1252" s="6" t="str">
        <f aca="false">'Dish Database'!D330</f>
        <v>Non-Veg Curries</v>
      </c>
      <c r="D1252" s="6" t="str">
        <f aca="false">'Dish Database'!F330</f>
        <v>Non-Veg</v>
      </c>
      <c r="E1252" s="6" t="str">
        <f aca="false">'Dish Database'!E330</f>
        <v>West</v>
      </c>
      <c r="F1252" s="6" t="s">
        <v>2325</v>
      </c>
      <c r="G1252" s="6" t="s">
        <v>2504</v>
      </c>
      <c r="H1252" s="16" t="n">
        <v>500</v>
      </c>
      <c r="I1252" s="6" t="str">
        <f aca="false">'Dish Database'!I330</f>
        <v>g</v>
      </c>
      <c r="J1252" s="13" t="n">
        <f aca="false">'Dish Database'!J330*H1252/100</f>
        <v>800</v>
      </c>
      <c r="K1252" s="17" t="n">
        <f aca="false">'Dish Database'!K330*H1252/100</f>
        <v>65</v>
      </c>
      <c r="L1252" s="17" t="n">
        <f aca="false">'Dish Database'!L330*H1252/100</f>
        <v>25</v>
      </c>
      <c r="M1252" s="17" t="n">
        <f aca="false">'Dish Database'!M330*H1252/100</f>
        <v>50</v>
      </c>
      <c r="N1252" s="17" t="n">
        <f aca="false">'Dish Database'!N330*H1252/100</f>
        <v>5</v>
      </c>
      <c r="O1252" s="17" t="n">
        <f aca="false">'Dish Database'!O330*H1252/100</f>
        <v>12.5</v>
      </c>
      <c r="P1252" s="13" t="n">
        <f aca="false">'Dish Database'!P330*H1252/100</f>
        <v>2250</v>
      </c>
    </row>
    <row r="1253" customFormat="false" ht="15" hidden="false" customHeight="false" outlineLevel="0" collapsed="false">
      <c r="A1253" s="6" t="str">
        <f aca="false">'Dish Database'!A331</f>
        <v>D330</v>
      </c>
      <c r="B1253" s="6" t="str">
        <f aca="false">'Dish Database'!B331</f>
        <v>Chicken xacuti</v>
      </c>
      <c r="C1253" s="6" t="str">
        <f aca="false">'Dish Database'!D331</f>
        <v>Non-Veg Curries</v>
      </c>
      <c r="D1253" s="6" t="str">
        <f aca="false">'Dish Database'!F331</f>
        <v>Non-Veg</v>
      </c>
      <c r="E1253" s="6" t="str">
        <f aca="false">'Dish Database'!E331</f>
        <v>West</v>
      </c>
      <c r="F1253" s="6" t="s">
        <v>2243</v>
      </c>
      <c r="G1253" s="6" t="s">
        <v>2500</v>
      </c>
      <c r="H1253" s="16" t="n">
        <v>100</v>
      </c>
      <c r="I1253" s="6" t="str">
        <f aca="false">'Dish Database'!I331</f>
        <v>g</v>
      </c>
      <c r="J1253" s="13" t="n">
        <f aca="false">'Dish Database'!J331*H1253/100</f>
        <v>176</v>
      </c>
      <c r="K1253" s="17" t="n">
        <f aca="false">'Dish Database'!K331*H1253/100</f>
        <v>12</v>
      </c>
      <c r="L1253" s="17" t="n">
        <f aca="false">'Dish Database'!L331*H1253/100</f>
        <v>6</v>
      </c>
      <c r="M1253" s="17" t="n">
        <f aca="false">'Dish Database'!M331*H1253/100</f>
        <v>12</v>
      </c>
      <c r="N1253" s="17" t="n">
        <f aca="false">'Dish Database'!N331*H1253/100</f>
        <v>2</v>
      </c>
      <c r="O1253" s="17" t="n">
        <f aca="false">'Dish Database'!O331*H1253/100</f>
        <v>2</v>
      </c>
      <c r="P1253" s="13" t="n">
        <f aca="false">'Dish Database'!P331*H1253/100</f>
        <v>450</v>
      </c>
    </row>
    <row r="1254" customFormat="false" ht="15" hidden="false" customHeight="false" outlineLevel="0" collapsed="false">
      <c r="A1254" s="6" t="str">
        <f aca="false">'Dish Database'!A331</f>
        <v>D330</v>
      </c>
      <c r="B1254" s="6" t="str">
        <f aca="false">'Dish Database'!B331</f>
        <v>Chicken xacuti</v>
      </c>
      <c r="C1254" s="6" t="str">
        <f aca="false">'Dish Database'!D331</f>
        <v>Non-Veg Curries</v>
      </c>
      <c r="D1254" s="6" t="str">
        <f aca="false">'Dish Database'!F331</f>
        <v>Non-Veg</v>
      </c>
      <c r="E1254" s="6" t="str">
        <f aca="false">'Dish Database'!E331</f>
        <v>West</v>
      </c>
      <c r="F1254" s="6" t="s">
        <v>103</v>
      </c>
      <c r="G1254" s="6" t="s">
        <v>2501</v>
      </c>
      <c r="H1254" s="16" t="n">
        <v>150</v>
      </c>
      <c r="I1254" s="6" t="str">
        <f aca="false">'Dish Database'!I331</f>
        <v>g</v>
      </c>
      <c r="J1254" s="13" t="n">
        <f aca="false">'Dish Database'!J331*H1254/100</f>
        <v>264</v>
      </c>
      <c r="K1254" s="17" t="n">
        <f aca="false">'Dish Database'!K331*H1254/100</f>
        <v>18</v>
      </c>
      <c r="L1254" s="17" t="n">
        <f aca="false">'Dish Database'!L331*H1254/100</f>
        <v>9</v>
      </c>
      <c r="M1254" s="17" t="n">
        <f aca="false">'Dish Database'!M331*H1254/100</f>
        <v>18</v>
      </c>
      <c r="N1254" s="17" t="n">
        <f aca="false">'Dish Database'!N331*H1254/100</f>
        <v>3</v>
      </c>
      <c r="O1254" s="17" t="n">
        <f aca="false">'Dish Database'!O331*H1254/100</f>
        <v>3</v>
      </c>
      <c r="P1254" s="13" t="n">
        <f aca="false">'Dish Database'!P331*H1254/100</f>
        <v>675</v>
      </c>
    </row>
    <row r="1255" customFormat="false" ht="15" hidden="false" customHeight="false" outlineLevel="0" collapsed="false">
      <c r="A1255" s="6" t="str">
        <f aca="false">'Dish Database'!A331</f>
        <v>D330</v>
      </c>
      <c r="B1255" s="6" t="str">
        <f aca="false">'Dish Database'!B331</f>
        <v>Chicken xacuti</v>
      </c>
      <c r="C1255" s="6" t="str">
        <f aca="false">'Dish Database'!D331</f>
        <v>Non-Veg Curries</v>
      </c>
      <c r="D1255" s="6" t="str">
        <f aca="false">'Dish Database'!F331</f>
        <v>Non-Veg</v>
      </c>
      <c r="E1255" s="6" t="str">
        <f aca="false">'Dish Database'!E331</f>
        <v>West</v>
      </c>
      <c r="F1255" s="6" t="s">
        <v>2246</v>
      </c>
      <c r="G1255" s="6" t="s">
        <v>2502</v>
      </c>
      <c r="H1255" s="16" t="n">
        <v>200</v>
      </c>
      <c r="I1255" s="6" t="str">
        <f aca="false">'Dish Database'!I331</f>
        <v>g</v>
      </c>
      <c r="J1255" s="13" t="n">
        <f aca="false">'Dish Database'!J331*H1255/100</f>
        <v>352</v>
      </c>
      <c r="K1255" s="17" t="n">
        <f aca="false">'Dish Database'!K331*H1255/100</f>
        <v>24</v>
      </c>
      <c r="L1255" s="17" t="n">
        <f aca="false">'Dish Database'!L331*H1255/100</f>
        <v>12</v>
      </c>
      <c r="M1255" s="17" t="n">
        <f aca="false">'Dish Database'!M331*H1255/100</f>
        <v>24</v>
      </c>
      <c r="N1255" s="17" t="n">
        <f aca="false">'Dish Database'!N331*H1255/100</f>
        <v>4</v>
      </c>
      <c r="O1255" s="17" t="n">
        <f aca="false">'Dish Database'!O331*H1255/100</f>
        <v>4</v>
      </c>
      <c r="P1255" s="13" t="n">
        <f aca="false">'Dish Database'!P331*H1255/100</f>
        <v>900</v>
      </c>
    </row>
    <row r="1256" customFormat="false" ht="15" hidden="false" customHeight="false" outlineLevel="0" collapsed="false">
      <c r="A1256" s="6" t="str">
        <f aca="false">'Dish Database'!A331</f>
        <v>D330</v>
      </c>
      <c r="B1256" s="6" t="str">
        <f aca="false">'Dish Database'!B331</f>
        <v>Chicken xacuti</v>
      </c>
      <c r="C1256" s="6" t="str">
        <f aca="false">'Dish Database'!D331</f>
        <v>Non-Veg Curries</v>
      </c>
      <c r="D1256" s="6" t="str">
        <f aca="false">'Dish Database'!F331</f>
        <v>Non-Veg</v>
      </c>
      <c r="E1256" s="6" t="str">
        <f aca="false">'Dish Database'!E331</f>
        <v>West</v>
      </c>
      <c r="F1256" s="6" t="s">
        <v>2323</v>
      </c>
      <c r="G1256" s="6" t="s">
        <v>2503</v>
      </c>
      <c r="H1256" s="16" t="n">
        <v>250</v>
      </c>
      <c r="I1256" s="6" t="str">
        <f aca="false">'Dish Database'!I331</f>
        <v>g</v>
      </c>
      <c r="J1256" s="13" t="n">
        <f aca="false">'Dish Database'!J331*H1256/100</f>
        <v>440</v>
      </c>
      <c r="K1256" s="17" t="n">
        <f aca="false">'Dish Database'!K331*H1256/100</f>
        <v>30</v>
      </c>
      <c r="L1256" s="17" t="n">
        <f aca="false">'Dish Database'!L331*H1256/100</f>
        <v>15</v>
      </c>
      <c r="M1256" s="17" t="n">
        <f aca="false">'Dish Database'!M331*H1256/100</f>
        <v>30</v>
      </c>
      <c r="N1256" s="17" t="n">
        <f aca="false">'Dish Database'!N331*H1256/100</f>
        <v>5</v>
      </c>
      <c r="O1256" s="17" t="n">
        <f aca="false">'Dish Database'!O331*H1256/100</f>
        <v>5</v>
      </c>
      <c r="P1256" s="13" t="n">
        <f aca="false">'Dish Database'!P331*H1256/100</f>
        <v>1125</v>
      </c>
    </row>
    <row r="1257" customFormat="false" ht="15" hidden="false" customHeight="false" outlineLevel="0" collapsed="false">
      <c r="A1257" s="6" t="str">
        <f aca="false">'Dish Database'!A331</f>
        <v>D330</v>
      </c>
      <c r="B1257" s="6" t="str">
        <f aca="false">'Dish Database'!B331</f>
        <v>Chicken xacuti</v>
      </c>
      <c r="C1257" s="6" t="str">
        <f aca="false">'Dish Database'!D331</f>
        <v>Non-Veg Curries</v>
      </c>
      <c r="D1257" s="6" t="str">
        <f aca="false">'Dish Database'!F331</f>
        <v>Non-Veg</v>
      </c>
      <c r="E1257" s="6" t="str">
        <f aca="false">'Dish Database'!E331</f>
        <v>West</v>
      </c>
      <c r="F1257" s="6" t="s">
        <v>2325</v>
      </c>
      <c r="G1257" s="6" t="s">
        <v>2504</v>
      </c>
      <c r="H1257" s="16" t="n">
        <v>500</v>
      </c>
      <c r="I1257" s="6" t="str">
        <f aca="false">'Dish Database'!I331</f>
        <v>g</v>
      </c>
      <c r="J1257" s="13" t="n">
        <f aca="false">'Dish Database'!J331*H1257/100</f>
        <v>880</v>
      </c>
      <c r="K1257" s="17" t="n">
        <f aca="false">'Dish Database'!K331*H1257/100</f>
        <v>60</v>
      </c>
      <c r="L1257" s="17" t="n">
        <f aca="false">'Dish Database'!L331*H1257/100</f>
        <v>30</v>
      </c>
      <c r="M1257" s="17" t="n">
        <f aca="false">'Dish Database'!M331*H1257/100</f>
        <v>60</v>
      </c>
      <c r="N1257" s="17" t="n">
        <f aca="false">'Dish Database'!N331*H1257/100</f>
        <v>10</v>
      </c>
      <c r="O1257" s="17" t="n">
        <f aca="false">'Dish Database'!O331*H1257/100</f>
        <v>10</v>
      </c>
      <c r="P1257" s="13" t="n">
        <f aca="false">'Dish Database'!P331*H1257/100</f>
        <v>2250</v>
      </c>
    </row>
    <row r="1258" customFormat="false" ht="15" hidden="false" customHeight="false" outlineLevel="0" collapsed="false">
      <c r="A1258" s="6" t="str">
        <f aca="false">'Dish Database'!A332</f>
        <v>D331</v>
      </c>
      <c r="B1258" s="6" t="str">
        <f aca="false">'Dish Database'!B332</f>
        <v>Chicken kolhapuri</v>
      </c>
      <c r="C1258" s="6" t="str">
        <f aca="false">'Dish Database'!D332</f>
        <v>Non-Veg Curries</v>
      </c>
      <c r="D1258" s="6" t="str">
        <f aca="false">'Dish Database'!F332</f>
        <v>Non-Veg</v>
      </c>
      <c r="E1258" s="6" t="str">
        <f aca="false">'Dish Database'!E332</f>
        <v>West</v>
      </c>
      <c r="F1258" s="6" t="s">
        <v>2243</v>
      </c>
      <c r="G1258" s="6" t="s">
        <v>2500</v>
      </c>
      <c r="H1258" s="16" t="n">
        <v>100</v>
      </c>
      <c r="I1258" s="6" t="str">
        <f aca="false">'Dish Database'!I332</f>
        <v>g</v>
      </c>
      <c r="J1258" s="13" t="n">
        <f aca="false">'Dish Database'!J332*H1258/100</f>
        <v>178</v>
      </c>
      <c r="K1258" s="17" t="n">
        <f aca="false">'Dish Database'!K332*H1258/100</f>
        <v>13</v>
      </c>
      <c r="L1258" s="17" t="n">
        <f aca="false">'Dish Database'!L332*H1258/100</f>
        <v>5</v>
      </c>
      <c r="M1258" s="17" t="n">
        <f aca="false">'Dish Database'!M332*H1258/100</f>
        <v>12</v>
      </c>
      <c r="N1258" s="17" t="n">
        <f aca="false">'Dish Database'!N332*H1258/100</f>
        <v>1</v>
      </c>
      <c r="O1258" s="17" t="n">
        <f aca="false">'Dish Database'!O332*H1258/100</f>
        <v>2</v>
      </c>
      <c r="P1258" s="13" t="n">
        <f aca="false">'Dish Database'!P332*H1258/100</f>
        <v>450</v>
      </c>
    </row>
    <row r="1259" customFormat="false" ht="15" hidden="false" customHeight="false" outlineLevel="0" collapsed="false">
      <c r="A1259" s="6" t="str">
        <f aca="false">'Dish Database'!A332</f>
        <v>D331</v>
      </c>
      <c r="B1259" s="6" t="str">
        <f aca="false">'Dish Database'!B332</f>
        <v>Chicken kolhapuri</v>
      </c>
      <c r="C1259" s="6" t="str">
        <f aca="false">'Dish Database'!D332</f>
        <v>Non-Veg Curries</v>
      </c>
      <c r="D1259" s="6" t="str">
        <f aca="false">'Dish Database'!F332</f>
        <v>Non-Veg</v>
      </c>
      <c r="E1259" s="6" t="str">
        <f aca="false">'Dish Database'!E332</f>
        <v>West</v>
      </c>
      <c r="F1259" s="6" t="s">
        <v>103</v>
      </c>
      <c r="G1259" s="6" t="s">
        <v>2501</v>
      </c>
      <c r="H1259" s="16" t="n">
        <v>150</v>
      </c>
      <c r="I1259" s="6" t="str">
        <f aca="false">'Dish Database'!I332</f>
        <v>g</v>
      </c>
      <c r="J1259" s="13" t="n">
        <f aca="false">'Dish Database'!J332*H1259/100</f>
        <v>267</v>
      </c>
      <c r="K1259" s="17" t="n">
        <f aca="false">'Dish Database'!K332*H1259/100</f>
        <v>19.5</v>
      </c>
      <c r="L1259" s="17" t="n">
        <f aca="false">'Dish Database'!L332*H1259/100</f>
        <v>7.5</v>
      </c>
      <c r="M1259" s="17" t="n">
        <f aca="false">'Dish Database'!M332*H1259/100</f>
        <v>18</v>
      </c>
      <c r="N1259" s="17" t="n">
        <f aca="false">'Dish Database'!N332*H1259/100</f>
        <v>1.5</v>
      </c>
      <c r="O1259" s="17" t="n">
        <f aca="false">'Dish Database'!O332*H1259/100</f>
        <v>3</v>
      </c>
      <c r="P1259" s="13" t="n">
        <f aca="false">'Dish Database'!P332*H1259/100</f>
        <v>675</v>
      </c>
    </row>
    <row r="1260" customFormat="false" ht="15" hidden="false" customHeight="false" outlineLevel="0" collapsed="false">
      <c r="A1260" s="6" t="str">
        <f aca="false">'Dish Database'!A332</f>
        <v>D331</v>
      </c>
      <c r="B1260" s="6" t="str">
        <f aca="false">'Dish Database'!B332</f>
        <v>Chicken kolhapuri</v>
      </c>
      <c r="C1260" s="6" t="str">
        <f aca="false">'Dish Database'!D332</f>
        <v>Non-Veg Curries</v>
      </c>
      <c r="D1260" s="6" t="str">
        <f aca="false">'Dish Database'!F332</f>
        <v>Non-Veg</v>
      </c>
      <c r="E1260" s="6" t="str">
        <f aca="false">'Dish Database'!E332</f>
        <v>West</v>
      </c>
      <c r="F1260" s="6" t="s">
        <v>2246</v>
      </c>
      <c r="G1260" s="6" t="s">
        <v>2502</v>
      </c>
      <c r="H1260" s="16" t="n">
        <v>200</v>
      </c>
      <c r="I1260" s="6" t="str">
        <f aca="false">'Dish Database'!I332</f>
        <v>g</v>
      </c>
      <c r="J1260" s="13" t="n">
        <f aca="false">'Dish Database'!J332*H1260/100</f>
        <v>356</v>
      </c>
      <c r="K1260" s="17" t="n">
        <f aca="false">'Dish Database'!K332*H1260/100</f>
        <v>26</v>
      </c>
      <c r="L1260" s="17" t="n">
        <f aca="false">'Dish Database'!L332*H1260/100</f>
        <v>10</v>
      </c>
      <c r="M1260" s="17" t="n">
        <f aca="false">'Dish Database'!M332*H1260/100</f>
        <v>24</v>
      </c>
      <c r="N1260" s="17" t="n">
        <f aca="false">'Dish Database'!N332*H1260/100</f>
        <v>2</v>
      </c>
      <c r="O1260" s="17" t="n">
        <f aca="false">'Dish Database'!O332*H1260/100</f>
        <v>4</v>
      </c>
      <c r="P1260" s="13" t="n">
        <f aca="false">'Dish Database'!P332*H1260/100</f>
        <v>900</v>
      </c>
    </row>
    <row r="1261" customFormat="false" ht="15" hidden="false" customHeight="false" outlineLevel="0" collapsed="false">
      <c r="A1261" s="6" t="str">
        <f aca="false">'Dish Database'!A332</f>
        <v>D331</v>
      </c>
      <c r="B1261" s="6" t="str">
        <f aca="false">'Dish Database'!B332</f>
        <v>Chicken kolhapuri</v>
      </c>
      <c r="C1261" s="6" t="str">
        <f aca="false">'Dish Database'!D332</f>
        <v>Non-Veg Curries</v>
      </c>
      <c r="D1261" s="6" t="str">
        <f aca="false">'Dish Database'!F332</f>
        <v>Non-Veg</v>
      </c>
      <c r="E1261" s="6" t="str">
        <f aca="false">'Dish Database'!E332</f>
        <v>West</v>
      </c>
      <c r="F1261" s="6" t="s">
        <v>2323</v>
      </c>
      <c r="G1261" s="6" t="s">
        <v>2503</v>
      </c>
      <c r="H1261" s="16" t="n">
        <v>250</v>
      </c>
      <c r="I1261" s="6" t="str">
        <f aca="false">'Dish Database'!I332</f>
        <v>g</v>
      </c>
      <c r="J1261" s="13" t="n">
        <f aca="false">'Dish Database'!J332*H1261/100</f>
        <v>445</v>
      </c>
      <c r="K1261" s="17" t="n">
        <f aca="false">'Dish Database'!K332*H1261/100</f>
        <v>32.5</v>
      </c>
      <c r="L1261" s="17" t="n">
        <f aca="false">'Dish Database'!L332*H1261/100</f>
        <v>12.5</v>
      </c>
      <c r="M1261" s="17" t="n">
        <f aca="false">'Dish Database'!M332*H1261/100</f>
        <v>30</v>
      </c>
      <c r="N1261" s="17" t="n">
        <f aca="false">'Dish Database'!N332*H1261/100</f>
        <v>2.5</v>
      </c>
      <c r="O1261" s="17" t="n">
        <f aca="false">'Dish Database'!O332*H1261/100</f>
        <v>5</v>
      </c>
      <c r="P1261" s="13" t="n">
        <f aca="false">'Dish Database'!P332*H1261/100</f>
        <v>1125</v>
      </c>
    </row>
    <row r="1262" customFormat="false" ht="15" hidden="false" customHeight="false" outlineLevel="0" collapsed="false">
      <c r="A1262" s="6" t="str">
        <f aca="false">'Dish Database'!A332</f>
        <v>D331</v>
      </c>
      <c r="B1262" s="6" t="str">
        <f aca="false">'Dish Database'!B332</f>
        <v>Chicken kolhapuri</v>
      </c>
      <c r="C1262" s="6" t="str">
        <f aca="false">'Dish Database'!D332</f>
        <v>Non-Veg Curries</v>
      </c>
      <c r="D1262" s="6" t="str">
        <f aca="false">'Dish Database'!F332</f>
        <v>Non-Veg</v>
      </c>
      <c r="E1262" s="6" t="str">
        <f aca="false">'Dish Database'!E332</f>
        <v>West</v>
      </c>
      <c r="F1262" s="6" t="s">
        <v>2325</v>
      </c>
      <c r="G1262" s="6" t="s">
        <v>2504</v>
      </c>
      <c r="H1262" s="16" t="n">
        <v>500</v>
      </c>
      <c r="I1262" s="6" t="str">
        <f aca="false">'Dish Database'!I332</f>
        <v>g</v>
      </c>
      <c r="J1262" s="13" t="n">
        <f aca="false">'Dish Database'!J332*H1262/100</f>
        <v>890</v>
      </c>
      <c r="K1262" s="17" t="n">
        <f aca="false">'Dish Database'!K332*H1262/100</f>
        <v>65</v>
      </c>
      <c r="L1262" s="17" t="n">
        <f aca="false">'Dish Database'!L332*H1262/100</f>
        <v>25</v>
      </c>
      <c r="M1262" s="17" t="n">
        <f aca="false">'Dish Database'!M332*H1262/100</f>
        <v>60</v>
      </c>
      <c r="N1262" s="17" t="n">
        <f aca="false">'Dish Database'!N332*H1262/100</f>
        <v>5</v>
      </c>
      <c r="O1262" s="17" t="n">
        <f aca="false">'Dish Database'!O332*H1262/100</f>
        <v>10</v>
      </c>
      <c r="P1262" s="13" t="n">
        <f aca="false">'Dish Database'!P332*H1262/100</f>
        <v>2250</v>
      </c>
    </row>
    <row r="1263" customFormat="false" ht="15" hidden="false" customHeight="false" outlineLevel="0" collapsed="false">
      <c r="A1263" s="6" t="str">
        <f aca="false">'Dish Database'!A333</f>
        <v>D332</v>
      </c>
      <c r="B1263" s="6" t="str">
        <f aca="false">'Dish Database'!B333</f>
        <v>Kosha chicken / kosha mangsho (mutton)</v>
      </c>
      <c r="C1263" s="6" t="str">
        <f aca="false">'Dish Database'!D333</f>
        <v>Non-Veg Curries</v>
      </c>
      <c r="D1263" s="6" t="str">
        <f aca="false">'Dish Database'!F333</f>
        <v>Non-Veg</v>
      </c>
      <c r="E1263" s="6" t="str">
        <f aca="false">'Dish Database'!E333</f>
        <v>East</v>
      </c>
      <c r="F1263" s="6" t="s">
        <v>2243</v>
      </c>
      <c r="G1263" s="6" t="s">
        <v>2500</v>
      </c>
      <c r="H1263" s="16" t="n">
        <v>100</v>
      </c>
      <c r="I1263" s="6" t="str">
        <f aca="false">'Dish Database'!I333</f>
        <v>g</v>
      </c>
      <c r="J1263" s="13" t="n">
        <f aca="false">'Dish Database'!J333*H1263/100</f>
        <v>205</v>
      </c>
      <c r="K1263" s="17" t="n">
        <f aca="false">'Dish Database'!K333*H1263/100</f>
        <v>14</v>
      </c>
      <c r="L1263" s="17" t="n">
        <f aca="false">'Dish Database'!L333*H1263/100</f>
        <v>4</v>
      </c>
      <c r="M1263" s="17" t="n">
        <f aca="false">'Dish Database'!M333*H1263/100</f>
        <v>15</v>
      </c>
      <c r="N1263" s="17" t="n">
        <f aca="false">'Dish Database'!N333*H1263/100</f>
        <v>1</v>
      </c>
      <c r="O1263" s="17" t="n">
        <f aca="false">'Dish Database'!O333*H1263/100</f>
        <v>2</v>
      </c>
      <c r="P1263" s="13" t="n">
        <f aca="false">'Dish Database'!P333*H1263/100</f>
        <v>450</v>
      </c>
    </row>
    <row r="1264" customFormat="false" ht="15" hidden="false" customHeight="false" outlineLevel="0" collapsed="false">
      <c r="A1264" s="6" t="str">
        <f aca="false">'Dish Database'!A333</f>
        <v>D332</v>
      </c>
      <c r="B1264" s="6" t="str">
        <f aca="false">'Dish Database'!B333</f>
        <v>Kosha chicken / kosha mangsho (mutton)</v>
      </c>
      <c r="C1264" s="6" t="str">
        <f aca="false">'Dish Database'!D333</f>
        <v>Non-Veg Curries</v>
      </c>
      <c r="D1264" s="6" t="str">
        <f aca="false">'Dish Database'!F333</f>
        <v>Non-Veg</v>
      </c>
      <c r="E1264" s="6" t="str">
        <f aca="false">'Dish Database'!E333</f>
        <v>East</v>
      </c>
      <c r="F1264" s="6" t="s">
        <v>103</v>
      </c>
      <c r="G1264" s="6" t="s">
        <v>2501</v>
      </c>
      <c r="H1264" s="16" t="n">
        <v>150</v>
      </c>
      <c r="I1264" s="6" t="str">
        <f aca="false">'Dish Database'!I333</f>
        <v>g</v>
      </c>
      <c r="J1264" s="13" t="n">
        <f aca="false">'Dish Database'!J333*H1264/100</f>
        <v>307.5</v>
      </c>
      <c r="K1264" s="17" t="n">
        <f aca="false">'Dish Database'!K333*H1264/100</f>
        <v>21</v>
      </c>
      <c r="L1264" s="17" t="n">
        <f aca="false">'Dish Database'!L333*H1264/100</f>
        <v>6</v>
      </c>
      <c r="M1264" s="17" t="n">
        <f aca="false">'Dish Database'!M333*H1264/100</f>
        <v>22.5</v>
      </c>
      <c r="N1264" s="17" t="n">
        <f aca="false">'Dish Database'!N333*H1264/100</f>
        <v>1.5</v>
      </c>
      <c r="O1264" s="17" t="n">
        <f aca="false">'Dish Database'!O333*H1264/100</f>
        <v>3</v>
      </c>
      <c r="P1264" s="13" t="n">
        <f aca="false">'Dish Database'!P333*H1264/100</f>
        <v>675</v>
      </c>
    </row>
    <row r="1265" customFormat="false" ht="15" hidden="false" customHeight="false" outlineLevel="0" collapsed="false">
      <c r="A1265" s="6" t="str">
        <f aca="false">'Dish Database'!A333</f>
        <v>D332</v>
      </c>
      <c r="B1265" s="6" t="str">
        <f aca="false">'Dish Database'!B333</f>
        <v>Kosha chicken / kosha mangsho (mutton)</v>
      </c>
      <c r="C1265" s="6" t="str">
        <f aca="false">'Dish Database'!D333</f>
        <v>Non-Veg Curries</v>
      </c>
      <c r="D1265" s="6" t="str">
        <f aca="false">'Dish Database'!F333</f>
        <v>Non-Veg</v>
      </c>
      <c r="E1265" s="6" t="str">
        <f aca="false">'Dish Database'!E333</f>
        <v>East</v>
      </c>
      <c r="F1265" s="6" t="s">
        <v>2246</v>
      </c>
      <c r="G1265" s="6" t="s">
        <v>2502</v>
      </c>
      <c r="H1265" s="16" t="n">
        <v>200</v>
      </c>
      <c r="I1265" s="6" t="str">
        <f aca="false">'Dish Database'!I333</f>
        <v>g</v>
      </c>
      <c r="J1265" s="13" t="n">
        <f aca="false">'Dish Database'!J333*H1265/100</f>
        <v>410</v>
      </c>
      <c r="K1265" s="17" t="n">
        <f aca="false">'Dish Database'!K333*H1265/100</f>
        <v>28</v>
      </c>
      <c r="L1265" s="17" t="n">
        <f aca="false">'Dish Database'!L333*H1265/100</f>
        <v>8</v>
      </c>
      <c r="M1265" s="17" t="n">
        <f aca="false">'Dish Database'!M333*H1265/100</f>
        <v>30</v>
      </c>
      <c r="N1265" s="17" t="n">
        <f aca="false">'Dish Database'!N333*H1265/100</f>
        <v>2</v>
      </c>
      <c r="O1265" s="17" t="n">
        <f aca="false">'Dish Database'!O333*H1265/100</f>
        <v>4</v>
      </c>
      <c r="P1265" s="13" t="n">
        <f aca="false">'Dish Database'!P333*H1265/100</f>
        <v>900</v>
      </c>
    </row>
    <row r="1266" customFormat="false" ht="15" hidden="false" customHeight="false" outlineLevel="0" collapsed="false">
      <c r="A1266" s="6" t="str">
        <f aca="false">'Dish Database'!A333</f>
        <v>D332</v>
      </c>
      <c r="B1266" s="6" t="str">
        <f aca="false">'Dish Database'!B333</f>
        <v>Kosha chicken / kosha mangsho (mutton)</v>
      </c>
      <c r="C1266" s="6" t="str">
        <f aca="false">'Dish Database'!D333</f>
        <v>Non-Veg Curries</v>
      </c>
      <c r="D1266" s="6" t="str">
        <f aca="false">'Dish Database'!F333</f>
        <v>Non-Veg</v>
      </c>
      <c r="E1266" s="6" t="str">
        <f aca="false">'Dish Database'!E333</f>
        <v>East</v>
      </c>
      <c r="F1266" s="6" t="s">
        <v>2323</v>
      </c>
      <c r="G1266" s="6" t="s">
        <v>2503</v>
      </c>
      <c r="H1266" s="16" t="n">
        <v>250</v>
      </c>
      <c r="I1266" s="6" t="str">
        <f aca="false">'Dish Database'!I333</f>
        <v>g</v>
      </c>
      <c r="J1266" s="13" t="n">
        <f aca="false">'Dish Database'!J333*H1266/100</f>
        <v>512.5</v>
      </c>
      <c r="K1266" s="17" t="n">
        <f aca="false">'Dish Database'!K333*H1266/100</f>
        <v>35</v>
      </c>
      <c r="L1266" s="17" t="n">
        <f aca="false">'Dish Database'!L333*H1266/100</f>
        <v>10</v>
      </c>
      <c r="M1266" s="17" t="n">
        <f aca="false">'Dish Database'!M333*H1266/100</f>
        <v>37.5</v>
      </c>
      <c r="N1266" s="17" t="n">
        <f aca="false">'Dish Database'!N333*H1266/100</f>
        <v>2.5</v>
      </c>
      <c r="O1266" s="17" t="n">
        <f aca="false">'Dish Database'!O333*H1266/100</f>
        <v>5</v>
      </c>
      <c r="P1266" s="13" t="n">
        <f aca="false">'Dish Database'!P333*H1266/100</f>
        <v>1125</v>
      </c>
    </row>
    <row r="1267" customFormat="false" ht="15" hidden="false" customHeight="false" outlineLevel="0" collapsed="false">
      <c r="A1267" s="6" t="str">
        <f aca="false">'Dish Database'!A333</f>
        <v>D332</v>
      </c>
      <c r="B1267" s="6" t="str">
        <f aca="false">'Dish Database'!B333</f>
        <v>Kosha chicken / kosha mangsho (mutton)</v>
      </c>
      <c r="C1267" s="6" t="str">
        <f aca="false">'Dish Database'!D333</f>
        <v>Non-Veg Curries</v>
      </c>
      <c r="D1267" s="6" t="str">
        <f aca="false">'Dish Database'!F333</f>
        <v>Non-Veg</v>
      </c>
      <c r="E1267" s="6" t="str">
        <f aca="false">'Dish Database'!E333</f>
        <v>East</v>
      </c>
      <c r="F1267" s="6" t="s">
        <v>2325</v>
      </c>
      <c r="G1267" s="6" t="s">
        <v>2504</v>
      </c>
      <c r="H1267" s="16" t="n">
        <v>500</v>
      </c>
      <c r="I1267" s="6" t="str">
        <f aca="false">'Dish Database'!I333</f>
        <v>g</v>
      </c>
      <c r="J1267" s="13" t="n">
        <f aca="false">'Dish Database'!J333*H1267/100</f>
        <v>1025</v>
      </c>
      <c r="K1267" s="17" t="n">
        <f aca="false">'Dish Database'!K333*H1267/100</f>
        <v>70</v>
      </c>
      <c r="L1267" s="17" t="n">
        <f aca="false">'Dish Database'!L333*H1267/100</f>
        <v>20</v>
      </c>
      <c r="M1267" s="17" t="n">
        <f aca="false">'Dish Database'!M333*H1267/100</f>
        <v>75</v>
      </c>
      <c r="N1267" s="17" t="n">
        <f aca="false">'Dish Database'!N333*H1267/100</f>
        <v>5</v>
      </c>
      <c r="O1267" s="17" t="n">
        <f aca="false">'Dish Database'!O333*H1267/100</f>
        <v>10</v>
      </c>
      <c r="P1267" s="13" t="n">
        <f aca="false">'Dish Database'!P333*H1267/100</f>
        <v>2250</v>
      </c>
    </row>
    <row r="1268" customFormat="false" ht="15" hidden="false" customHeight="false" outlineLevel="0" collapsed="false">
      <c r="A1268" s="6" t="str">
        <f aca="false">'Dish Database'!A334</f>
        <v>D333</v>
      </c>
      <c r="B1268" s="6" t="str">
        <f aca="false">'Dish Database'!B334</f>
        <v>Afghani chicken (creamy)</v>
      </c>
      <c r="C1268" s="6" t="str">
        <f aca="false">'Dish Database'!D334</f>
        <v>Non-Veg Curries</v>
      </c>
      <c r="D1268" s="6" t="str">
        <f aca="false">'Dish Database'!F334</f>
        <v>Non-Veg</v>
      </c>
      <c r="E1268" s="6" t="str">
        <f aca="false">'Dish Database'!E334</f>
        <v>North</v>
      </c>
      <c r="F1268" s="6" t="s">
        <v>2243</v>
      </c>
      <c r="G1268" s="6" t="s">
        <v>2500</v>
      </c>
      <c r="H1268" s="16" t="n">
        <v>100</v>
      </c>
      <c r="I1268" s="6" t="str">
        <f aca="false">'Dish Database'!I334</f>
        <v>g</v>
      </c>
      <c r="J1268" s="13" t="n">
        <f aca="false">'Dish Database'!J334*H1268/100</f>
        <v>170</v>
      </c>
      <c r="K1268" s="17" t="n">
        <f aca="false">'Dish Database'!K334*H1268/100</f>
        <v>14</v>
      </c>
      <c r="L1268" s="17" t="n">
        <f aca="false">'Dish Database'!L334*H1268/100</f>
        <v>4</v>
      </c>
      <c r="M1268" s="17" t="n">
        <f aca="false">'Dish Database'!M334*H1268/100</f>
        <v>11</v>
      </c>
      <c r="N1268" s="17" t="n">
        <f aca="false">'Dish Database'!N334*H1268/100</f>
        <v>0.5</v>
      </c>
      <c r="O1268" s="17" t="n">
        <f aca="false">'Dish Database'!O334*H1268/100</f>
        <v>2</v>
      </c>
      <c r="P1268" s="13" t="n">
        <f aca="false">'Dish Database'!P334*H1268/100</f>
        <v>450</v>
      </c>
    </row>
    <row r="1269" customFormat="false" ht="15" hidden="false" customHeight="false" outlineLevel="0" collapsed="false">
      <c r="A1269" s="6" t="str">
        <f aca="false">'Dish Database'!A334</f>
        <v>D333</v>
      </c>
      <c r="B1269" s="6" t="str">
        <f aca="false">'Dish Database'!B334</f>
        <v>Afghani chicken (creamy)</v>
      </c>
      <c r="C1269" s="6" t="str">
        <f aca="false">'Dish Database'!D334</f>
        <v>Non-Veg Curries</v>
      </c>
      <c r="D1269" s="6" t="str">
        <f aca="false">'Dish Database'!F334</f>
        <v>Non-Veg</v>
      </c>
      <c r="E1269" s="6" t="str">
        <f aca="false">'Dish Database'!E334</f>
        <v>North</v>
      </c>
      <c r="F1269" s="6" t="s">
        <v>103</v>
      </c>
      <c r="G1269" s="6" t="s">
        <v>2501</v>
      </c>
      <c r="H1269" s="16" t="n">
        <v>150</v>
      </c>
      <c r="I1269" s="6" t="str">
        <f aca="false">'Dish Database'!I334</f>
        <v>g</v>
      </c>
      <c r="J1269" s="13" t="n">
        <f aca="false">'Dish Database'!J334*H1269/100</f>
        <v>255</v>
      </c>
      <c r="K1269" s="17" t="n">
        <f aca="false">'Dish Database'!K334*H1269/100</f>
        <v>21</v>
      </c>
      <c r="L1269" s="17" t="n">
        <f aca="false">'Dish Database'!L334*H1269/100</f>
        <v>6</v>
      </c>
      <c r="M1269" s="17" t="n">
        <f aca="false">'Dish Database'!M334*H1269/100</f>
        <v>16.5</v>
      </c>
      <c r="N1269" s="17" t="n">
        <f aca="false">'Dish Database'!N334*H1269/100</f>
        <v>0.75</v>
      </c>
      <c r="O1269" s="17" t="n">
        <f aca="false">'Dish Database'!O334*H1269/100</f>
        <v>3</v>
      </c>
      <c r="P1269" s="13" t="n">
        <f aca="false">'Dish Database'!P334*H1269/100</f>
        <v>675</v>
      </c>
    </row>
    <row r="1270" customFormat="false" ht="15" hidden="false" customHeight="false" outlineLevel="0" collapsed="false">
      <c r="A1270" s="6" t="str">
        <f aca="false">'Dish Database'!A334</f>
        <v>D333</v>
      </c>
      <c r="B1270" s="6" t="str">
        <f aca="false">'Dish Database'!B334</f>
        <v>Afghani chicken (creamy)</v>
      </c>
      <c r="C1270" s="6" t="str">
        <f aca="false">'Dish Database'!D334</f>
        <v>Non-Veg Curries</v>
      </c>
      <c r="D1270" s="6" t="str">
        <f aca="false">'Dish Database'!F334</f>
        <v>Non-Veg</v>
      </c>
      <c r="E1270" s="6" t="str">
        <f aca="false">'Dish Database'!E334</f>
        <v>North</v>
      </c>
      <c r="F1270" s="6" t="s">
        <v>2246</v>
      </c>
      <c r="G1270" s="6" t="s">
        <v>2502</v>
      </c>
      <c r="H1270" s="16" t="n">
        <v>200</v>
      </c>
      <c r="I1270" s="6" t="str">
        <f aca="false">'Dish Database'!I334</f>
        <v>g</v>
      </c>
      <c r="J1270" s="13" t="n">
        <f aca="false">'Dish Database'!J334*H1270/100</f>
        <v>340</v>
      </c>
      <c r="K1270" s="17" t="n">
        <f aca="false">'Dish Database'!K334*H1270/100</f>
        <v>28</v>
      </c>
      <c r="L1270" s="17" t="n">
        <f aca="false">'Dish Database'!L334*H1270/100</f>
        <v>8</v>
      </c>
      <c r="M1270" s="17" t="n">
        <f aca="false">'Dish Database'!M334*H1270/100</f>
        <v>22</v>
      </c>
      <c r="N1270" s="17" t="n">
        <f aca="false">'Dish Database'!N334*H1270/100</f>
        <v>1</v>
      </c>
      <c r="O1270" s="17" t="n">
        <f aca="false">'Dish Database'!O334*H1270/100</f>
        <v>4</v>
      </c>
      <c r="P1270" s="13" t="n">
        <f aca="false">'Dish Database'!P334*H1270/100</f>
        <v>900</v>
      </c>
    </row>
    <row r="1271" customFormat="false" ht="15" hidden="false" customHeight="false" outlineLevel="0" collapsed="false">
      <c r="A1271" s="6" t="str">
        <f aca="false">'Dish Database'!A334</f>
        <v>D333</v>
      </c>
      <c r="B1271" s="6" t="str">
        <f aca="false">'Dish Database'!B334</f>
        <v>Afghani chicken (creamy)</v>
      </c>
      <c r="C1271" s="6" t="str">
        <f aca="false">'Dish Database'!D334</f>
        <v>Non-Veg Curries</v>
      </c>
      <c r="D1271" s="6" t="str">
        <f aca="false">'Dish Database'!F334</f>
        <v>Non-Veg</v>
      </c>
      <c r="E1271" s="6" t="str">
        <f aca="false">'Dish Database'!E334</f>
        <v>North</v>
      </c>
      <c r="F1271" s="6" t="s">
        <v>2323</v>
      </c>
      <c r="G1271" s="6" t="s">
        <v>2503</v>
      </c>
      <c r="H1271" s="16" t="n">
        <v>250</v>
      </c>
      <c r="I1271" s="6" t="str">
        <f aca="false">'Dish Database'!I334</f>
        <v>g</v>
      </c>
      <c r="J1271" s="13" t="n">
        <f aca="false">'Dish Database'!J334*H1271/100</f>
        <v>425</v>
      </c>
      <c r="K1271" s="17" t="n">
        <f aca="false">'Dish Database'!K334*H1271/100</f>
        <v>35</v>
      </c>
      <c r="L1271" s="17" t="n">
        <f aca="false">'Dish Database'!L334*H1271/100</f>
        <v>10</v>
      </c>
      <c r="M1271" s="17" t="n">
        <f aca="false">'Dish Database'!M334*H1271/100</f>
        <v>27.5</v>
      </c>
      <c r="N1271" s="17" t="n">
        <f aca="false">'Dish Database'!N334*H1271/100</f>
        <v>1.25</v>
      </c>
      <c r="O1271" s="17" t="n">
        <f aca="false">'Dish Database'!O334*H1271/100</f>
        <v>5</v>
      </c>
      <c r="P1271" s="13" t="n">
        <f aca="false">'Dish Database'!P334*H1271/100</f>
        <v>1125</v>
      </c>
    </row>
    <row r="1272" customFormat="false" ht="15" hidden="false" customHeight="false" outlineLevel="0" collapsed="false">
      <c r="A1272" s="6" t="str">
        <f aca="false">'Dish Database'!A334</f>
        <v>D333</v>
      </c>
      <c r="B1272" s="6" t="str">
        <f aca="false">'Dish Database'!B334</f>
        <v>Afghani chicken (creamy)</v>
      </c>
      <c r="C1272" s="6" t="str">
        <f aca="false">'Dish Database'!D334</f>
        <v>Non-Veg Curries</v>
      </c>
      <c r="D1272" s="6" t="str">
        <f aca="false">'Dish Database'!F334</f>
        <v>Non-Veg</v>
      </c>
      <c r="E1272" s="6" t="str">
        <f aca="false">'Dish Database'!E334</f>
        <v>North</v>
      </c>
      <c r="F1272" s="6" t="s">
        <v>2325</v>
      </c>
      <c r="G1272" s="6" t="s">
        <v>2504</v>
      </c>
      <c r="H1272" s="16" t="n">
        <v>500</v>
      </c>
      <c r="I1272" s="6" t="str">
        <f aca="false">'Dish Database'!I334</f>
        <v>g</v>
      </c>
      <c r="J1272" s="13" t="n">
        <f aca="false">'Dish Database'!J334*H1272/100</f>
        <v>850</v>
      </c>
      <c r="K1272" s="17" t="n">
        <f aca="false">'Dish Database'!K334*H1272/100</f>
        <v>70</v>
      </c>
      <c r="L1272" s="17" t="n">
        <f aca="false">'Dish Database'!L334*H1272/100</f>
        <v>20</v>
      </c>
      <c r="M1272" s="17" t="n">
        <f aca="false">'Dish Database'!M334*H1272/100</f>
        <v>55</v>
      </c>
      <c r="N1272" s="17" t="n">
        <f aca="false">'Dish Database'!N334*H1272/100</f>
        <v>2.5</v>
      </c>
      <c r="O1272" s="17" t="n">
        <f aca="false">'Dish Database'!O334*H1272/100</f>
        <v>10</v>
      </c>
      <c r="P1272" s="13" t="n">
        <f aca="false">'Dish Database'!P334*H1272/100</f>
        <v>2250</v>
      </c>
    </row>
    <row r="1273" customFormat="false" ht="15" hidden="false" customHeight="false" outlineLevel="0" collapsed="false">
      <c r="A1273" s="6" t="str">
        <f aca="false">'Dish Database'!A335</f>
        <v>D334</v>
      </c>
      <c r="B1273" s="6" t="str">
        <f aca="false">'Dish Database'!B335</f>
        <v>Mutton curry (home style)</v>
      </c>
      <c r="C1273" s="6" t="str">
        <f aca="false">'Dish Database'!D335</f>
        <v>Non-Veg Curries</v>
      </c>
      <c r="D1273" s="6" t="str">
        <f aca="false">'Dish Database'!F335</f>
        <v>Non-Veg</v>
      </c>
      <c r="E1273" s="6" t="str">
        <f aca="false">'Dish Database'!E335</f>
        <v>Pan-India</v>
      </c>
      <c r="F1273" s="6" t="s">
        <v>2243</v>
      </c>
      <c r="G1273" s="6" t="s">
        <v>2500</v>
      </c>
      <c r="H1273" s="16" t="n">
        <v>100</v>
      </c>
      <c r="I1273" s="6" t="str">
        <f aca="false">'Dish Database'!I335</f>
        <v>g</v>
      </c>
      <c r="J1273" s="13" t="n">
        <f aca="false">'Dish Database'!J335*H1273/100</f>
        <v>165.4</v>
      </c>
      <c r="K1273" s="17" t="n">
        <f aca="false">'Dish Database'!K335*H1273/100</f>
        <v>13</v>
      </c>
      <c r="L1273" s="17" t="n">
        <f aca="false">'Dish Database'!L335*H1273/100</f>
        <v>4</v>
      </c>
      <c r="M1273" s="17" t="n">
        <f aca="false">'Dish Database'!M335*H1273/100</f>
        <v>11</v>
      </c>
      <c r="N1273" s="17" t="n">
        <f aca="false">'Dish Database'!N335*H1273/100</f>
        <v>0.8</v>
      </c>
      <c r="O1273" s="17" t="n">
        <f aca="false">'Dish Database'!O335*H1273/100</f>
        <v>1.5</v>
      </c>
      <c r="P1273" s="13" t="n">
        <f aca="false">'Dish Database'!P335*H1273/100</f>
        <v>400</v>
      </c>
    </row>
    <row r="1274" customFormat="false" ht="15" hidden="false" customHeight="false" outlineLevel="0" collapsed="false">
      <c r="A1274" s="6" t="str">
        <f aca="false">'Dish Database'!A335</f>
        <v>D334</v>
      </c>
      <c r="B1274" s="6" t="str">
        <f aca="false">'Dish Database'!B335</f>
        <v>Mutton curry (home style)</v>
      </c>
      <c r="C1274" s="6" t="str">
        <f aca="false">'Dish Database'!D335</f>
        <v>Non-Veg Curries</v>
      </c>
      <c r="D1274" s="6" t="str">
        <f aca="false">'Dish Database'!F335</f>
        <v>Non-Veg</v>
      </c>
      <c r="E1274" s="6" t="str">
        <f aca="false">'Dish Database'!E335</f>
        <v>Pan-India</v>
      </c>
      <c r="F1274" s="6" t="s">
        <v>103</v>
      </c>
      <c r="G1274" s="6" t="s">
        <v>2501</v>
      </c>
      <c r="H1274" s="16" t="n">
        <v>150</v>
      </c>
      <c r="I1274" s="6" t="str">
        <f aca="false">'Dish Database'!I335</f>
        <v>g</v>
      </c>
      <c r="J1274" s="13" t="n">
        <f aca="false">'Dish Database'!J335*H1274/100</f>
        <v>248.1</v>
      </c>
      <c r="K1274" s="17" t="n">
        <f aca="false">'Dish Database'!K335*H1274/100</f>
        <v>19.5</v>
      </c>
      <c r="L1274" s="17" t="n">
        <f aca="false">'Dish Database'!L335*H1274/100</f>
        <v>6</v>
      </c>
      <c r="M1274" s="17" t="n">
        <f aca="false">'Dish Database'!M335*H1274/100</f>
        <v>16.5</v>
      </c>
      <c r="N1274" s="17" t="n">
        <f aca="false">'Dish Database'!N335*H1274/100</f>
        <v>1.2</v>
      </c>
      <c r="O1274" s="17" t="n">
        <f aca="false">'Dish Database'!O335*H1274/100</f>
        <v>2.25</v>
      </c>
      <c r="P1274" s="13" t="n">
        <f aca="false">'Dish Database'!P335*H1274/100</f>
        <v>600</v>
      </c>
    </row>
    <row r="1275" customFormat="false" ht="15" hidden="false" customHeight="false" outlineLevel="0" collapsed="false">
      <c r="A1275" s="6" t="str">
        <f aca="false">'Dish Database'!A335</f>
        <v>D334</v>
      </c>
      <c r="B1275" s="6" t="str">
        <f aca="false">'Dish Database'!B335</f>
        <v>Mutton curry (home style)</v>
      </c>
      <c r="C1275" s="6" t="str">
        <f aca="false">'Dish Database'!D335</f>
        <v>Non-Veg Curries</v>
      </c>
      <c r="D1275" s="6" t="str">
        <f aca="false">'Dish Database'!F335</f>
        <v>Non-Veg</v>
      </c>
      <c r="E1275" s="6" t="str">
        <f aca="false">'Dish Database'!E335</f>
        <v>Pan-India</v>
      </c>
      <c r="F1275" s="6" t="s">
        <v>2246</v>
      </c>
      <c r="G1275" s="6" t="s">
        <v>2502</v>
      </c>
      <c r="H1275" s="16" t="n">
        <v>200</v>
      </c>
      <c r="I1275" s="6" t="str">
        <f aca="false">'Dish Database'!I335</f>
        <v>g</v>
      </c>
      <c r="J1275" s="13" t="n">
        <f aca="false">'Dish Database'!J335*H1275/100</f>
        <v>330.8</v>
      </c>
      <c r="K1275" s="17" t="n">
        <f aca="false">'Dish Database'!K335*H1275/100</f>
        <v>26</v>
      </c>
      <c r="L1275" s="17" t="n">
        <f aca="false">'Dish Database'!L335*H1275/100</f>
        <v>8</v>
      </c>
      <c r="M1275" s="17" t="n">
        <f aca="false">'Dish Database'!M335*H1275/100</f>
        <v>22</v>
      </c>
      <c r="N1275" s="17" t="n">
        <f aca="false">'Dish Database'!N335*H1275/100</f>
        <v>1.6</v>
      </c>
      <c r="O1275" s="17" t="n">
        <f aca="false">'Dish Database'!O335*H1275/100</f>
        <v>3</v>
      </c>
      <c r="P1275" s="13" t="n">
        <f aca="false">'Dish Database'!P335*H1275/100</f>
        <v>800</v>
      </c>
    </row>
    <row r="1276" customFormat="false" ht="15" hidden="false" customHeight="false" outlineLevel="0" collapsed="false">
      <c r="A1276" s="6" t="str">
        <f aca="false">'Dish Database'!A335</f>
        <v>D334</v>
      </c>
      <c r="B1276" s="6" t="str">
        <f aca="false">'Dish Database'!B335</f>
        <v>Mutton curry (home style)</v>
      </c>
      <c r="C1276" s="6" t="str">
        <f aca="false">'Dish Database'!D335</f>
        <v>Non-Veg Curries</v>
      </c>
      <c r="D1276" s="6" t="str">
        <f aca="false">'Dish Database'!F335</f>
        <v>Non-Veg</v>
      </c>
      <c r="E1276" s="6" t="str">
        <f aca="false">'Dish Database'!E335</f>
        <v>Pan-India</v>
      </c>
      <c r="F1276" s="6" t="s">
        <v>2323</v>
      </c>
      <c r="G1276" s="6" t="s">
        <v>2503</v>
      </c>
      <c r="H1276" s="16" t="n">
        <v>250</v>
      </c>
      <c r="I1276" s="6" t="str">
        <f aca="false">'Dish Database'!I335</f>
        <v>g</v>
      </c>
      <c r="J1276" s="13" t="n">
        <f aca="false">'Dish Database'!J335*H1276/100</f>
        <v>413.5</v>
      </c>
      <c r="K1276" s="17" t="n">
        <f aca="false">'Dish Database'!K335*H1276/100</f>
        <v>32.5</v>
      </c>
      <c r="L1276" s="17" t="n">
        <f aca="false">'Dish Database'!L335*H1276/100</f>
        <v>10</v>
      </c>
      <c r="M1276" s="17" t="n">
        <f aca="false">'Dish Database'!M335*H1276/100</f>
        <v>27.5</v>
      </c>
      <c r="N1276" s="17" t="n">
        <f aca="false">'Dish Database'!N335*H1276/100</f>
        <v>2</v>
      </c>
      <c r="O1276" s="17" t="n">
        <f aca="false">'Dish Database'!O335*H1276/100</f>
        <v>3.75</v>
      </c>
      <c r="P1276" s="13" t="n">
        <f aca="false">'Dish Database'!P335*H1276/100</f>
        <v>1000</v>
      </c>
    </row>
    <row r="1277" customFormat="false" ht="15" hidden="false" customHeight="false" outlineLevel="0" collapsed="false">
      <c r="A1277" s="6" t="str">
        <f aca="false">'Dish Database'!A335</f>
        <v>D334</v>
      </c>
      <c r="B1277" s="6" t="str">
        <f aca="false">'Dish Database'!B335</f>
        <v>Mutton curry (home style)</v>
      </c>
      <c r="C1277" s="6" t="str">
        <f aca="false">'Dish Database'!D335</f>
        <v>Non-Veg Curries</v>
      </c>
      <c r="D1277" s="6" t="str">
        <f aca="false">'Dish Database'!F335</f>
        <v>Non-Veg</v>
      </c>
      <c r="E1277" s="6" t="str">
        <f aca="false">'Dish Database'!E335</f>
        <v>Pan-India</v>
      </c>
      <c r="F1277" s="6" t="s">
        <v>2325</v>
      </c>
      <c r="G1277" s="6" t="s">
        <v>2504</v>
      </c>
      <c r="H1277" s="16" t="n">
        <v>500</v>
      </c>
      <c r="I1277" s="6" t="str">
        <f aca="false">'Dish Database'!I335</f>
        <v>g</v>
      </c>
      <c r="J1277" s="13" t="n">
        <f aca="false">'Dish Database'!J335*H1277/100</f>
        <v>827</v>
      </c>
      <c r="K1277" s="17" t="n">
        <f aca="false">'Dish Database'!K335*H1277/100</f>
        <v>65</v>
      </c>
      <c r="L1277" s="17" t="n">
        <f aca="false">'Dish Database'!L335*H1277/100</f>
        <v>20</v>
      </c>
      <c r="M1277" s="17" t="n">
        <f aca="false">'Dish Database'!M335*H1277/100</f>
        <v>55</v>
      </c>
      <c r="N1277" s="17" t="n">
        <f aca="false">'Dish Database'!N335*H1277/100</f>
        <v>4</v>
      </c>
      <c r="O1277" s="17" t="n">
        <f aca="false">'Dish Database'!O335*H1277/100</f>
        <v>7.5</v>
      </c>
      <c r="P1277" s="13" t="n">
        <f aca="false">'Dish Database'!P335*H1277/100</f>
        <v>2000</v>
      </c>
    </row>
    <row r="1278" customFormat="false" ht="15" hidden="false" customHeight="false" outlineLevel="0" collapsed="false">
      <c r="A1278" s="6" t="str">
        <f aca="false">'Dish Database'!A336</f>
        <v>D335</v>
      </c>
      <c r="B1278" s="6" t="str">
        <f aca="false">'Dish Database'!B336</f>
        <v>Mutton rogan josh</v>
      </c>
      <c r="C1278" s="6" t="str">
        <f aca="false">'Dish Database'!D336</f>
        <v>Non-Veg Curries</v>
      </c>
      <c r="D1278" s="6" t="str">
        <f aca="false">'Dish Database'!F336</f>
        <v>Non-Veg</v>
      </c>
      <c r="E1278" s="6" t="str">
        <f aca="false">'Dish Database'!E336</f>
        <v>North</v>
      </c>
      <c r="F1278" s="6" t="s">
        <v>2243</v>
      </c>
      <c r="G1278" s="6" t="s">
        <v>2500</v>
      </c>
      <c r="H1278" s="16" t="n">
        <v>100</v>
      </c>
      <c r="I1278" s="6" t="str">
        <f aca="false">'Dish Database'!I336</f>
        <v>g</v>
      </c>
      <c r="J1278" s="13" t="n">
        <f aca="false">'Dish Database'!J336*H1278/100</f>
        <v>180.5</v>
      </c>
      <c r="K1278" s="17" t="n">
        <f aca="false">'Dish Database'!K336*H1278/100</f>
        <v>13</v>
      </c>
      <c r="L1278" s="17" t="n">
        <f aca="false">'Dish Database'!L336*H1278/100</f>
        <v>4.5</v>
      </c>
      <c r="M1278" s="17" t="n">
        <f aca="false">'Dish Database'!M336*H1278/100</f>
        <v>12.5</v>
      </c>
      <c r="N1278" s="17" t="n">
        <f aca="false">'Dish Database'!N336*H1278/100</f>
        <v>1</v>
      </c>
      <c r="O1278" s="17" t="n">
        <f aca="false">'Dish Database'!O336*H1278/100</f>
        <v>2</v>
      </c>
      <c r="P1278" s="13" t="n">
        <f aca="false">'Dish Database'!P336*H1278/100</f>
        <v>420</v>
      </c>
    </row>
    <row r="1279" customFormat="false" ht="15" hidden="false" customHeight="false" outlineLevel="0" collapsed="false">
      <c r="A1279" s="6" t="str">
        <f aca="false">'Dish Database'!A336</f>
        <v>D335</v>
      </c>
      <c r="B1279" s="6" t="str">
        <f aca="false">'Dish Database'!B336</f>
        <v>Mutton rogan josh</v>
      </c>
      <c r="C1279" s="6" t="str">
        <f aca="false">'Dish Database'!D336</f>
        <v>Non-Veg Curries</v>
      </c>
      <c r="D1279" s="6" t="str">
        <f aca="false">'Dish Database'!F336</f>
        <v>Non-Veg</v>
      </c>
      <c r="E1279" s="6" t="str">
        <f aca="false">'Dish Database'!E336</f>
        <v>North</v>
      </c>
      <c r="F1279" s="6" t="s">
        <v>103</v>
      </c>
      <c r="G1279" s="6" t="s">
        <v>2501</v>
      </c>
      <c r="H1279" s="16" t="n">
        <v>150</v>
      </c>
      <c r="I1279" s="6" t="str">
        <f aca="false">'Dish Database'!I336</f>
        <v>g</v>
      </c>
      <c r="J1279" s="13" t="n">
        <f aca="false">'Dish Database'!J336*H1279/100</f>
        <v>270.75</v>
      </c>
      <c r="K1279" s="17" t="n">
        <f aca="false">'Dish Database'!K336*H1279/100</f>
        <v>19.5</v>
      </c>
      <c r="L1279" s="17" t="n">
        <f aca="false">'Dish Database'!L336*H1279/100</f>
        <v>6.75</v>
      </c>
      <c r="M1279" s="17" t="n">
        <f aca="false">'Dish Database'!M336*H1279/100</f>
        <v>18.75</v>
      </c>
      <c r="N1279" s="17" t="n">
        <f aca="false">'Dish Database'!N336*H1279/100</f>
        <v>1.5</v>
      </c>
      <c r="O1279" s="17" t="n">
        <f aca="false">'Dish Database'!O336*H1279/100</f>
        <v>3</v>
      </c>
      <c r="P1279" s="13" t="n">
        <f aca="false">'Dish Database'!P336*H1279/100</f>
        <v>630</v>
      </c>
    </row>
    <row r="1280" customFormat="false" ht="15" hidden="false" customHeight="false" outlineLevel="0" collapsed="false">
      <c r="A1280" s="6" t="str">
        <f aca="false">'Dish Database'!A336</f>
        <v>D335</v>
      </c>
      <c r="B1280" s="6" t="str">
        <f aca="false">'Dish Database'!B336</f>
        <v>Mutton rogan josh</v>
      </c>
      <c r="C1280" s="6" t="str">
        <f aca="false">'Dish Database'!D336</f>
        <v>Non-Veg Curries</v>
      </c>
      <c r="D1280" s="6" t="str">
        <f aca="false">'Dish Database'!F336</f>
        <v>Non-Veg</v>
      </c>
      <c r="E1280" s="6" t="str">
        <f aca="false">'Dish Database'!E336</f>
        <v>North</v>
      </c>
      <c r="F1280" s="6" t="s">
        <v>2246</v>
      </c>
      <c r="G1280" s="6" t="s">
        <v>2502</v>
      </c>
      <c r="H1280" s="16" t="n">
        <v>200</v>
      </c>
      <c r="I1280" s="6" t="str">
        <f aca="false">'Dish Database'!I336</f>
        <v>g</v>
      </c>
      <c r="J1280" s="13" t="n">
        <f aca="false">'Dish Database'!J336*H1280/100</f>
        <v>361</v>
      </c>
      <c r="K1280" s="17" t="n">
        <f aca="false">'Dish Database'!K336*H1280/100</f>
        <v>26</v>
      </c>
      <c r="L1280" s="17" t="n">
        <f aca="false">'Dish Database'!L336*H1280/100</f>
        <v>9</v>
      </c>
      <c r="M1280" s="17" t="n">
        <f aca="false">'Dish Database'!M336*H1280/100</f>
        <v>25</v>
      </c>
      <c r="N1280" s="17" t="n">
        <f aca="false">'Dish Database'!N336*H1280/100</f>
        <v>2</v>
      </c>
      <c r="O1280" s="17" t="n">
        <f aca="false">'Dish Database'!O336*H1280/100</f>
        <v>4</v>
      </c>
      <c r="P1280" s="13" t="n">
        <f aca="false">'Dish Database'!P336*H1280/100</f>
        <v>840</v>
      </c>
    </row>
    <row r="1281" customFormat="false" ht="15" hidden="false" customHeight="false" outlineLevel="0" collapsed="false">
      <c r="A1281" s="6" t="str">
        <f aca="false">'Dish Database'!A336</f>
        <v>D335</v>
      </c>
      <c r="B1281" s="6" t="str">
        <f aca="false">'Dish Database'!B336</f>
        <v>Mutton rogan josh</v>
      </c>
      <c r="C1281" s="6" t="str">
        <f aca="false">'Dish Database'!D336</f>
        <v>Non-Veg Curries</v>
      </c>
      <c r="D1281" s="6" t="str">
        <f aca="false">'Dish Database'!F336</f>
        <v>Non-Veg</v>
      </c>
      <c r="E1281" s="6" t="str">
        <f aca="false">'Dish Database'!E336</f>
        <v>North</v>
      </c>
      <c r="F1281" s="6" t="s">
        <v>2323</v>
      </c>
      <c r="G1281" s="6" t="s">
        <v>2503</v>
      </c>
      <c r="H1281" s="16" t="n">
        <v>250</v>
      </c>
      <c r="I1281" s="6" t="str">
        <f aca="false">'Dish Database'!I336</f>
        <v>g</v>
      </c>
      <c r="J1281" s="13" t="n">
        <f aca="false">'Dish Database'!J336*H1281/100</f>
        <v>451.25</v>
      </c>
      <c r="K1281" s="17" t="n">
        <f aca="false">'Dish Database'!K336*H1281/100</f>
        <v>32.5</v>
      </c>
      <c r="L1281" s="17" t="n">
        <f aca="false">'Dish Database'!L336*H1281/100</f>
        <v>11.25</v>
      </c>
      <c r="M1281" s="17" t="n">
        <f aca="false">'Dish Database'!M336*H1281/100</f>
        <v>31.25</v>
      </c>
      <c r="N1281" s="17" t="n">
        <f aca="false">'Dish Database'!N336*H1281/100</f>
        <v>2.5</v>
      </c>
      <c r="O1281" s="17" t="n">
        <f aca="false">'Dish Database'!O336*H1281/100</f>
        <v>5</v>
      </c>
      <c r="P1281" s="13" t="n">
        <f aca="false">'Dish Database'!P336*H1281/100</f>
        <v>1050</v>
      </c>
    </row>
    <row r="1282" customFormat="false" ht="15" hidden="false" customHeight="false" outlineLevel="0" collapsed="false">
      <c r="A1282" s="6" t="str">
        <f aca="false">'Dish Database'!A336</f>
        <v>D335</v>
      </c>
      <c r="B1282" s="6" t="str">
        <f aca="false">'Dish Database'!B336</f>
        <v>Mutton rogan josh</v>
      </c>
      <c r="C1282" s="6" t="str">
        <f aca="false">'Dish Database'!D336</f>
        <v>Non-Veg Curries</v>
      </c>
      <c r="D1282" s="6" t="str">
        <f aca="false">'Dish Database'!F336</f>
        <v>Non-Veg</v>
      </c>
      <c r="E1282" s="6" t="str">
        <f aca="false">'Dish Database'!E336</f>
        <v>North</v>
      </c>
      <c r="F1282" s="6" t="s">
        <v>2325</v>
      </c>
      <c r="G1282" s="6" t="s">
        <v>2504</v>
      </c>
      <c r="H1282" s="16" t="n">
        <v>500</v>
      </c>
      <c r="I1282" s="6" t="str">
        <f aca="false">'Dish Database'!I336</f>
        <v>g</v>
      </c>
      <c r="J1282" s="13" t="n">
        <f aca="false">'Dish Database'!J336*H1282/100</f>
        <v>902.5</v>
      </c>
      <c r="K1282" s="17" t="n">
        <f aca="false">'Dish Database'!K336*H1282/100</f>
        <v>65</v>
      </c>
      <c r="L1282" s="17" t="n">
        <f aca="false">'Dish Database'!L336*H1282/100</f>
        <v>22.5</v>
      </c>
      <c r="M1282" s="17" t="n">
        <f aca="false">'Dish Database'!M336*H1282/100</f>
        <v>62.5</v>
      </c>
      <c r="N1282" s="17" t="n">
        <f aca="false">'Dish Database'!N336*H1282/100</f>
        <v>5</v>
      </c>
      <c r="O1282" s="17" t="n">
        <f aca="false">'Dish Database'!O336*H1282/100</f>
        <v>10</v>
      </c>
      <c r="P1282" s="13" t="n">
        <f aca="false">'Dish Database'!P336*H1282/100</f>
        <v>2100</v>
      </c>
    </row>
    <row r="1283" customFormat="false" ht="15" hidden="false" customHeight="false" outlineLevel="0" collapsed="false">
      <c r="A1283" s="6" t="str">
        <f aca="false">'Dish Database'!A337</f>
        <v>D336</v>
      </c>
      <c r="B1283" s="6" t="str">
        <f aca="false">'Dish Database'!B337</f>
        <v>Mutton korma</v>
      </c>
      <c r="C1283" s="6" t="str">
        <f aca="false">'Dish Database'!D337</f>
        <v>Non-Veg Curries</v>
      </c>
      <c r="D1283" s="6" t="str">
        <f aca="false">'Dish Database'!F337</f>
        <v>Non-Veg</v>
      </c>
      <c r="E1283" s="6" t="str">
        <f aca="false">'Dish Database'!E337</f>
        <v>North</v>
      </c>
      <c r="F1283" s="6" t="s">
        <v>2243</v>
      </c>
      <c r="G1283" s="6" t="s">
        <v>2500</v>
      </c>
      <c r="H1283" s="16" t="n">
        <v>100</v>
      </c>
      <c r="I1283" s="6" t="str">
        <f aca="false">'Dish Database'!I337</f>
        <v>g</v>
      </c>
      <c r="J1283" s="13" t="n">
        <f aca="false">'Dish Database'!J337*H1283/100</f>
        <v>198</v>
      </c>
      <c r="K1283" s="17" t="n">
        <f aca="false">'Dish Database'!K337*H1283/100</f>
        <v>12.5</v>
      </c>
      <c r="L1283" s="17" t="n">
        <f aca="false">'Dish Database'!L337*H1283/100</f>
        <v>6</v>
      </c>
      <c r="M1283" s="17" t="n">
        <f aca="false">'Dish Database'!M337*H1283/100</f>
        <v>14</v>
      </c>
      <c r="N1283" s="17" t="n">
        <f aca="false">'Dish Database'!N337*H1283/100</f>
        <v>1</v>
      </c>
      <c r="O1283" s="17" t="n">
        <f aca="false">'Dish Database'!O337*H1283/100</f>
        <v>2.5</v>
      </c>
      <c r="P1283" s="13" t="n">
        <f aca="false">'Dish Database'!P337*H1283/100</f>
        <v>420</v>
      </c>
    </row>
    <row r="1284" customFormat="false" ht="15" hidden="false" customHeight="false" outlineLevel="0" collapsed="false">
      <c r="A1284" s="6" t="str">
        <f aca="false">'Dish Database'!A337</f>
        <v>D336</v>
      </c>
      <c r="B1284" s="6" t="str">
        <f aca="false">'Dish Database'!B337</f>
        <v>Mutton korma</v>
      </c>
      <c r="C1284" s="6" t="str">
        <f aca="false">'Dish Database'!D337</f>
        <v>Non-Veg Curries</v>
      </c>
      <c r="D1284" s="6" t="str">
        <f aca="false">'Dish Database'!F337</f>
        <v>Non-Veg</v>
      </c>
      <c r="E1284" s="6" t="str">
        <f aca="false">'Dish Database'!E337</f>
        <v>North</v>
      </c>
      <c r="F1284" s="6" t="s">
        <v>103</v>
      </c>
      <c r="G1284" s="6" t="s">
        <v>2501</v>
      </c>
      <c r="H1284" s="16" t="n">
        <v>150</v>
      </c>
      <c r="I1284" s="6" t="str">
        <f aca="false">'Dish Database'!I337</f>
        <v>g</v>
      </c>
      <c r="J1284" s="13" t="n">
        <f aca="false">'Dish Database'!J337*H1284/100</f>
        <v>297</v>
      </c>
      <c r="K1284" s="17" t="n">
        <f aca="false">'Dish Database'!K337*H1284/100</f>
        <v>18.75</v>
      </c>
      <c r="L1284" s="17" t="n">
        <f aca="false">'Dish Database'!L337*H1284/100</f>
        <v>9</v>
      </c>
      <c r="M1284" s="17" t="n">
        <f aca="false">'Dish Database'!M337*H1284/100</f>
        <v>21</v>
      </c>
      <c r="N1284" s="17" t="n">
        <f aca="false">'Dish Database'!N337*H1284/100</f>
        <v>1.5</v>
      </c>
      <c r="O1284" s="17" t="n">
        <f aca="false">'Dish Database'!O337*H1284/100</f>
        <v>3.75</v>
      </c>
      <c r="P1284" s="13" t="n">
        <f aca="false">'Dish Database'!P337*H1284/100</f>
        <v>630</v>
      </c>
    </row>
    <row r="1285" customFormat="false" ht="15" hidden="false" customHeight="false" outlineLevel="0" collapsed="false">
      <c r="A1285" s="6" t="str">
        <f aca="false">'Dish Database'!A337</f>
        <v>D336</v>
      </c>
      <c r="B1285" s="6" t="str">
        <f aca="false">'Dish Database'!B337</f>
        <v>Mutton korma</v>
      </c>
      <c r="C1285" s="6" t="str">
        <f aca="false">'Dish Database'!D337</f>
        <v>Non-Veg Curries</v>
      </c>
      <c r="D1285" s="6" t="str">
        <f aca="false">'Dish Database'!F337</f>
        <v>Non-Veg</v>
      </c>
      <c r="E1285" s="6" t="str">
        <f aca="false">'Dish Database'!E337</f>
        <v>North</v>
      </c>
      <c r="F1285" s="6" t="s">
        <v>2246</v>
      </c>
      <c r="G1285" s="6" t="s">
        <v>2502</v>
      </c>
      <c r="H1285" s="16" t="n">
        <v>200</v>
      </c>
      <c r="I1285" s="6" t="str">
        <f aca="false">'Dish Database'!I337</f>
        <v>g</v>
      </c>
      <c r="J1285" s="13" t="n">
        <f aca="false">'Dish Database'!J337*H1285/100</f>
        <v>396</v>
      </c>
      <c r="K1285" s="17" t="n">
        <f aca="false">'Dish Database'!K337*H1285/100</f>
        <v>25</v>
      </c>
      <c r="L1285" s="17" t="n">
        <f aca="false">'Dish Database'!L337*H1285/100</f>
        <v>12</v>
      </c>
      <c r="M1285" s="17" t="n">
        <f aca="false">'Dish Database'!M337*H1285/100</f>
        <v>28</v>
      </c>
      <c r="N1285" s="17" t="n">
        <f aca="false">'Dish Database'!N337*H1285/100</f>
        <v>2</v>
      </c>
      <c r="O1285" s="17" t="n">
        <f aca="false">'Dish Database'!O337*H1285/100</f>
        <v>5</v>
      </c>
      <c r="P1285" s="13" t="n">
        <f aca="false">'Dish Database'!P337*H1285/100</f>
        <v>840</v>
      </c>
    </row>
    <row r="1286" customFormat="false" ht="15" hidden="false" customHeight="false" outlineLevel="0" collapsed="false">
      <c r="A1286" s="6" t="str">
        <f aca="false">'Dish Database'!A337</f>
        <v>D336</v>
      </c>
      <c r="B1286" s="6" t="str">
        <f aca="false">'Dish Database'!B337</f>
        <v>Mutton korma</v>
      </c>
      <c r="C1286" s="6" t="str">
        <f aca="false">'Dish Database'!D337</f>
        <v>Non-Veg Curries</v>
      </c>
      <c r="D1286" s="6" t="str">
        <f aca="false">'Dish Database'!F337</f>
        <v>Non-Veg</v>
      </c>
      <c r="E1286" s="6" t="str">
        <f aca="false">'Dish Database'!E337</f>
        <v>North</v>
      </c>
      <c r="F1286" s="6" t="s">
        <v>2323</v>
      </c>
      <c r="G1286" s="6" t="s">
        <v>2503</v>
      </c>
      <c r="H1286" s="16" t="n">
        <v>250</v>
      </c>
      <c r="I1286" s="6" t="str">
        <f aca="false">'Dish Database'!I337</f>
        <v>g</v>
      </c>
      <c r="J1286" s="13" t="n">
        <f aca="false">'Dish Database'!J337*H1286/100</f>
        <v>495</v>
      </c>
      <c r="K1286" s="17" t="n">
        <f aca="false">'Dish Database'!K337*H1286/100</f>
        <v>31.25</v>
      </c>
      <c r="L1286" s="17" t="n">
        <f aca="false">'Dish Database'!L337*H1286/100</f>
        <v>15</v>
      </c>
      <c r="M1286" s="17" t="n">
        <f aca="false">'Dish Database'!M337*H1286/100</f>
        <v>35</v>
      </c>
      <c r="N1286" s="17" t="n">
        <f aca="false">'Dish Database'!N337*H1286/100</f>
        <v>2.5</v>
      </c>
      <c r="O1286" s="17" t="n">
        <f aca="false">'Dish Database'!O337*H1286/100</f>
        <v>6.25</v>
      </c>
      <c r="P1286" s="13" t="n">
        <f aca="false">'Dish Database'!P337*H1286/100</f>
        <v>1050</v>
      </c>
    </row>
    <row r="1287" customFormat="false" ht="15" hidden="false" customHeight="false" outlineLevel="0" collapsed="false">
      <c r="A1287" s="6" t="str">
        <f aca="false">'Dish Database'!A337</f>
        <v>D336</v>
      </c>
      <c r="B1287" s="6" t="str">
        <f aca="false">'Dish Database'!B337</f>
        <v>Mutton korma</v>
      </c>
      <c r="C1287" s="6" t="str">
        <f aca="false">'Dish Database'!D337</f>
        <v>Non-Veg Curries</v>
      </c>
      <c r="D1287" s="6" t="str">
        <f aca="false">'Dish Database'!F337</f>
        <v>Non-Veg</v>
      </c>
      <c r="E1287" s="6" t="str">
        <f aca="false">'Dish Database'!E337</f>
        <v>North</v>
      </c>
      <c r="F1287" s="6" t="s">
        <v>2325</v>
      </c>
      <c r="G1287" s="6" t="s">
        <v>2504</v>
      </c>
      <c r="H1287" s="16" t="n">
        <v>500</v>
      </c>
      <c r="I1287" s="6" t="str">
        <f aca="false">'Dish Database'!I337</f>
        <v>g</v>
      </c>
      <c r="J1287" s="13" t="n">
        <f aca="false">'Dish Database'!J337*H1287/100</f>
        <v>990</v>
      </c>
      <c r="K1287" s="17" t="n">
        <f aca="false">'Dish Database'!K337*H1287/100</f>
        <v>62.5</v>
      </c>
      <c r="L1287" s="17" t="n">
        <f aca="false">'Dish Database'!L337*H1287/100</f>
        <v>30</v>
      </c>
      <c r="M1287" s="17" t="n">
        <f aca="false">'Dish Database'!M337*H1287/100</f>
        <v>70</v>
      </c>
      <c r="N1287" s="17" t="n">
        <f aca="false">'Dish Database'!N337*H1287/100</f>
        <v>5</v>
      </c>
      <c r="O1287" s="17" t="n">
        <f aca="false">'Dish Database'!O337*H1287/100</f>
        <v>12.5</v>
      </c>
      <c r="P1287" s="13" t="n">
        <f aca="false">'Dish Database'!P337*H1287/100</f>
        <v>2100</v>
      </c>
    </row>
    <row r="1288" customFormat="false" ht="15" hidden="false" customHeight="false" outlineLevel="0" collapsed="false">
      <c r="A1288" s="6" t="str">
        <f aca="false">'Dish Database'!A338</f>
        <v>D337</v>
      </c>
      <c r="B1288" s="6" t="str">
        <f aca="false">'Dish Database'!B338</f>
        <v>Bhuna gosht</v>
      </c>
      <c r="C1288" s="6" t="str">
        <f aca="false">'Dish Database'!D338</f>
        <v>Non-Veg Curries</v>
      </c>
      <c r="D1288" s="6" t="str">
        <f aca="false">'Dish Database'!F338</f>
        <v>Non-Veg</v>
      </c>
      <c r="E1288" s="6" t="str">
        <f aca="false">'Dish Database'!E338</f>
        <v>North</v>
      </c>
      <c r="F1288" s="6" t="s">
        <v>2243</v>
      </c>
      <c r="G1288" s="6" t="s">
        <v>2500</v>
      </c>
      <c r="H1288" s="16" t="n">
        <v>100</v>
      </c>
      <c r="I1288" s="6" t="str">
        <f aca="false">'Dish Database'!I338</f>
        <v>g</v>
      </c>
      <c r="J1288" s="13" t="n">
        <f aca="false">'Dish Database'!J338*H1288/100</f>
        <v>203.6</v>
      </c>
      <c r="K1288" s="17" t="n">
        <f aca="false">'Dish Database'!K338*H1288/100</f>
        <v>15</v>
      </c>
      <c r="L1288" s="17" t="n">
        <f aca="false">'Dish Database'!L338*H1288/100</f>
        <v>5</v>
      </c>
      <c r="M1288" s="17" t="n">
        <f aca="false">'Dish Database'!M338*H1288/100</f>
        <v>14</v>
      </c>
      <c r="N1288" s="17" t="n">
        <f aca="false">'Dish Database'!N338*H1288/100</f>
        <v>1.2</v>
      </c>
      <c r="O1288" s="17" t="n">
        <f aca="false">'Dish Database'!O338*H1288/100</f>
        <v>2</v>
      </c>
      <c r="P1288" s="13" t="n">
        <f aca="false">'Dish Database'!P338*H1288/100</f>
        <v>450</v>
      </c>
    </row>
    <row r="1289" customFormat="false" ht="15" hidden="false" customHeight="false" outlineLevel="0" collapsed="false">
      <c r="A1289" s="6" t="str">
        <f aca="false">'Dish Database'!A338</f>
        <v>D337</v>
      </c>
      <c r="B1289" s="6" t="str">
        <f aca="false">'Dish Database'!B338</f>
        <v>Bhuna gosht</v>
      </c>
      <c r="C1289" s="6" t="str">
        <f aca="false">'Dish Database'!D338</f>
        <v>Non-Veg Curries</v>
      </c>
      <c r="D1289" s="6" t="str">
        <f aca="false">'Dish Database'!F338</f>
        <v>Non-Veg</v>
      </c>
      <c r="E1289" s="6" t="str">
        <f aca="false">'Dish Database'!E338</f>
        <v>North</v>
      </c>
      <c r="F1289" s="6" t="s">
        <v>103</v>
      </c>
      <c r="G1289" s="6" t="s">
        <v>2501</v>
      </c>
      <c r="H1289" s="16" t="n">
        <v>150</v>
      </c>
      <c r="I1289" s="6" t="str">
        <f aca="false">'Dish Database'!I338</f>
        <v>g</v>
      </c>
      <c r="J1289" s="13" t="n">
        <f aca="false">'Dish Database'!J338*H1289/100</f>
        <v>305.4</v>
      </c>
      <c r="K1289" s="17" t="n">
        <f aca="false">'Dish Database'!K338*H1289/100</f>
        <v>22.5</v>
      </c>
      <c r="L1289" s="17" t="n">
        <f aca="false">'Dish Database'!L338*H1289/100</f>
        <v>7.5</v>
      </c>
      <c r="M1289" s="17" t="n">
        <f aca="false">'Dish Database'!M338*H1289/100</f>
        <v>21</v>
      </c>
      <c r="N1289" s="17" t="n">
        <f aca="false">'Dish Database'!N338*H1289/100</f>
        <v>1.8</v>
      </c>
      <c r="O1289" s="17" t="n">
        <f aca="false">'Dish Database'!O338*H1289/100</f>
        <v>3</v>
      </c>
      <c r="P1289" s="13" t="n">
        <f aca="false">'Dish Database'!P338*H1289/100</f>
        <v>675</v>
      </c>
    </row>
    <row r="1290" customFormat="false" ht="15" hidden="false" customHeight="false" outlineLevel="0" collapsed="false">
      <c r="A1290" s="6" t="str">
        <f aca="false">'Dish Database'!A338</f>
        <v>D337</v>
      </c>
      <c r="B1290" s="6" t="str">
        <f aca="false">'Dish Database'!B338</f>
        <v>Bhuna gosht</v>
      </c>
      <c r="C1290" s="6" t="str">
        <f aca="false">'Dish Database'!D338</f>
        <v>Non-Veg Curries</v>
      </c>
      <c r="D1290" s="6" t="str">
        <f aca="false">'Dish Database'!F338</f>
        <v>Non-Veg</v>
      </c>
      <c r="E1290" s="6" t="str">
        <f aca="false">'Dish Database'!E338</f>
        <v>North</v>
      </c>
      <c r="F1290" s="6" t="s">
        <v>2246</v>
      </c>
      <c r="G1290" s="6" t="s">
        <v>2502</v>
      </c>
      <c r="H1290" s="16" t="n">
        <v>200</v>
      </c>
      <c r="I1290" s="6" t="str">
        <f aca="false">'Dish Database'!I338</f>
        <v>g</v>
      </c>
      <c r="J1290" s="13" t="n">
        <f aca="false">'Dish Database'!J338*H1290/100</f>
        <v>407.2</v>
      </c>
      <c r="K1290" s="17" t="n">
        <f aca="false">'Dish Database'!K338*H1290/100</f>
        <v>30</v>
      </c>
      <c r="L1290" s="17" t="n">
        <f aca="false">'Dish Database'!L338*H1290/100</f>
        <v>10</v>
      </c>
      <c r="M1290" s="17" t="n">
        <f aca="false">'Dish Database'!M338*H1290/100</f>
        <v>28</v>
      </c>
      <c r="N1290" s="17" t="n">
        <f aca="false">'Dish Database'!N338*H1290/100</f>
        <v>2.4</v>
      </c>
      <c r="O1290" s="17" t="n">
        <f aca="false">'Dish Database'!O338*H1290/100</f>
        <v>4</v>
      </c>
      <c r="P1290" s="13" t="n">
        <f aca="false">'Dish Database'!P338*H1290/100</f>
        <v>900</v>
      </c>
    </row>
    <row r="1291" customFormat="false" ht="15" hidden="false" customHeight="false" outlineLevel="0" collapsed="false">
      <c r="A1291" s="6" t="str">
        <f aca="false">'Dish Database'!A338</f>
        <v>D337</v>
      </c>
      <c r="B1291" s="6" t="str">
        <f aca="false">'Dish Database'!B338</f>
        <v>Bhuna gosht</v>
      </c>
      <c r="C1291" s="6" t="str">
        <f aca="false">'Dish Database'!D338</f>
        <v>Non-Veg Curries</v>
      </c>
      <c r="D1291" s="6" t="str">
        <f aca="false">'Dish Database'!F338</f>
        <v>Non-Veg</v>
      </c>
      <c r="E1291" s="6" t="str">
        <f aca="false">'Dish Database'!E338</f>
        <v>North</v>
      </c>
      <c r="F1291" s="6" t="s">
        <v>2323</v>
      </c>
      <c r="G1291" s="6" t="s">
        <v>2503</v>
      </c>
      <c r="H1291" s="16" t="n">
        <v>250</v>
      </c>
      <c r="I1291" s="6" t="str">
        <f aca="false">'Dish Database'!I338</f>
        <v>g</v>
      </c>
      <c r="J1291" s="13" t="n">
        <f aca="false">'Dish Database'!J338*H1291/100</f>
        <v>509</v>
      </c>
      <c r="K1291" s="17" t="n">
        <f aca="false">'Dish Database'!K338*H1291/100</f>
        <v>37.5</v>
      </c>
      <c r="L1291" s="17" t="n">
        <f aca="false">'Dish Database'!L338*H1291/100</f>
        <v>12.5</v>
      </c>
      <c r="M1291" s="17" t="n">
        <f aca="false">'Dish Database'!M338*H1291/100</f>
        <v>35</v>
      </c>
      <c r="N1291" s="17" t="n">
        <f aca="false">'Dish Database'!N338*H1291/100</f>
        <v>3</v>
      </c>
      <c r="O1291" s="17" t="n">
        <f aca="false">'Dish Database'!O338*H1291/100</f>
        <v>5</v>
      </c>
      <c r="P1291" s="13" t="n">
        <f aca="false">'Dish Database'!P338*H1291/100</f>
        <v>1125</v>
      </c>
    </row>
    <row r="1292" customFormat="false" ht="15" hidden="false" customHeight="false" outlineLevel="0" collapsed="false">
      <c r="A1292" s="6" t="str">
        <f aca="false">'Dish Database'!A338</f>
        <v>D337</v>
      </c>
      <c r="B1292" s="6" t="str">
        <f aca="false">'Dish Database'!B338</f>
        <v>Bhuna gosht</v>
      </c>
      <c r="C1292" s="6" t="str">
        <f aca="false">'Dish Database'!D338</f>
        <v>Non-Veg Curries</v>
      </c>
      <c r="D1292" s="6" t="str">
        <f aca="false">'Dish Database'!F338</f>
        <v>Non-Veg</v>
      </c>
      <c r="E1292" s="6" t="str">
        <f aca="false">'Dish Database'!E338</f>
        <v>North</v>
      </c>
      <c r="F1292" s="6" t="s">
        <v>2325</v>
      </c>
      <c r="G1292" s="6" t="s">
        <v>2504</v>
      </c>
      <c r="H1292" s="16" t="n">
        <v>500</v>
      </c>
      <c r="I1292" s="6" t="str">
        <f aca="false">'Dish Database'!I338</f>
        <v>g</v>
      </c>
      <c r="J1292" s="13" t="n">
        <f aca="false">'Dish Database'!J338*H1292/100</f>
        <v>1018</v>
      </c>
      <c r="K1292" s="17" t="n">
        <f aca="false">'Dish Database'!K338*H1292/100</f>
        <v>75</v>
      </c>
      <c r="L1292" s="17" t="n">
        <f aca="false">'Dish Database'!L338*H1292/100</f>
        <v>25</v>
      </c>
      <c r="M1292" s="17" t="n">
        <f aca="false">'Dish Database'!M338*H1292/100</f>
        <v>70</v>
      </c>
      <c r="N1292" s="17" t="n">
        <f aca="false">'Dish Database'!N338*H1292/100</f>
        <v>6</v>
      </c>
      <c r="O1292" s="17" t="n">
        <f aca="false">'Dish Database'!O338*H1292/100</f>
        <v>10</v>
      </c>
      <c r="P1292" s="13" t="n">
        <f aca="false">'Dish Database'!P338*H1292/100</f>
        <v>2250</v>
      </c>
    </row>
    <row r="1293" customFormat="false" ht="15" hidden="false" customHeight="false" outlineLevel="0" collapsed="false">
      <c r="A1293" s="6" t="str">
        <f aca="false">'Dish Database'!A339</f>
        <v>D338</v>
      </c>
      <c r="B1293" s="6" t="str">
        <f aca="false">'Dish Database'!B339</f>
        <v>Keema matar (mutton)</v>
      </c>
      <c r="C1293" s="6" t="str">
        <f aca="false">'Dish Database'!D339</f>
        <v>Non-Veg Curries</v>
      </c>
      <c r="D1293" s="6" t="str">
        <f aca="false">'Dish Database'!F339</f>
        <v>Non-Veg</v>
      </c>
      <c r="E1293" s="6" t="str">
        <f aca="false">'Dish Database'!E339</f>
        <v>North</v>
      </c>
      <c r="F1293" s="6" t="s">
        <v>2243</v>
      </c>
      <c r="G1293" s="6" t="s">
        <v>2500</v>
      </c>
      <c r="H1293" s="16" t="n">
        <v>100</v>
      </c>
      <c r="I1293" s="6" t="str">
        <f aca="false">'Dish Database'!I339</f>
        <v>g</v>
      </c>
      <c r="J1293" s="13" t="n">
        <f aca="false">'Dish Database'!J339*H1293/100</f>
        <v>189</v>
      </c>
      <c r="K1293" s="17" t="n">
        <f aca="false">'Dish Database'!K339*H1293/100</f>
        <v>13</v>
      </c>
      <c r="L1293" s="17" t="n">
        <f aca="false">'Dish Database'!L339*H1293/100</f>
        <v>6</v>
      </c>
      <c r="M1293" s="17" t="n">
        <f aca="false">'Dish Database'!M339*H1293/100</f>
        <v>13</v>
      </c>
      <c r="N1293" s="17" t="n">
        <f aca="false">'Dish Database'!N339*H1293/100</f>
        <v>2</v>
      </c>
      <c r="O1293" s="17" t="n">
        <f aca="false">'Dish Database'!O339*H1293/100</f>
        <v>2</v>
      </c>
      <c r="P1293" s="13" t="n">
        <f aca="false">'Dish Database'!P339*H1293/100</f>
        <v>420</v>
      </c>
    </row>
    <row r="1294" customFormat="false" ht="15" hidden="false" customHeight="false" outlineLevel="0" collapsed="false">
      <c r="A1294" s="6" t="str">
        <f aca="false">'Dish Database'!A339</f>
        <v>D338</v>
      </c>
      <c r="B1294" s="6" t="str">
        <f aca="false">'Dish Database'!B339</f>
        <v>Keema matar (mutton)</v>
      </c>
      <c r="C1294" s="6" t="str">
        <f aca="false">'Dish Database'!D339</f>
        <v>Non-Veg Curries</v>
      </c>
      <c r="D1294" s="6" t="str">
        <f aca="false">'Dish Database'!F339</f>
        <v>Non-Veg</v>
      </c>
      <c r="E1294" s="6" t="str">
        <f aca="false">'Dish Database'!E339</f>
        <v>North</v>
      </c>
      <c r="F1294" s="6" t="s">
        <v>103</v>
      </c>
      <c r="G1294" s="6" t="s">
        <v>2501</v>
      </c>
      <c r="H1294" s="16" t="n">
        <v>150</v>
      </c>
      <c r="I1294" s="6" t="str">
        <f aca="false">'Dish Database'!I339</f>
        <v>g</v>
      </c>
      <c r="J1294" s="13" t="n">
        <f aca="false">'Dish Database'!J339*H1294/100</f>
        <v>283.5</v>
      </c>
      <c r="K1294" s="17" t="n">
        <f aca="false">'Dish Database'!K339*H1294/100</f>
        <v>19.5</v>
      </c>
      <c r="L1294" s="17" t="n">
        <f aca="false">'Dish Database'!L339*H1294/100</f>
        <v>9</v>
      </c>
      <c r="M1294" s="17" t="n">
        <f aca="false">'Dish Database'!M339*H1294/100</f>
        <v>19.5</v>
      </c>
      <c r="N1294" s="17" t="n">
        <f aca="false">'Dish Database'!N339*H1294/100</f>
        <v>3</v>
      </c>
      <c r="O1294" s="17" t="n">
        <f aca="false">'Dish Database'!O339*H1294/100</f>
        <v>3</v>
      </c>
      <c r="P1294" s="13" t="n">
        <f aca="false">'Dish Database'!P339*H1294/100</f>
        <v>630</v>
      </c>
    </row>
    <row r="1295" customFormat="false" ht="15" hidden="false" customHeight="false" outlineLevel="0" collapsed="false">
      <c r="A1295" s="6" t="str">
        <f aca="false">'Dish Database'!A339</f>
        <v>D338</v>
      </c>
      <c r="B1295" s="6" t="str">
        <f aca="false">'Dish Database'!B339</f>
        <v>Keema matar (mutton)</v>
      </c>
      <c r="C1295" s="6" t="str">
        <f aca="false">'Dish Database'!D339</f>
        <v>Non-Veg Curries</v>
      </c>
      <c r="D1295" s="6" t="str">
        <f aca="false">'Dish Database'!F339</f>
        <v>Non-Veg</v>
      </c>
      <c r="E1295" s="6" t="str">
        <f aca="false">'Dish Database'!E339</f>
        <v>North</v>
      </c>
      <c r="F1295" s="6" t="s">
        <v>2246</v>
      </c>
      <c r="G1295" s="6" t="s">
        <v>2502</v>
      </c>
      <c r="H1295" s="16" t="n">
        <v>200</v>
      </c>
      <c r="I1295" s="6" t="str">
        <f aca="false">'Dish Database'!I339</f>
        <v>g</v>
      </c>
      <c r="J1295" s="13" t="n">
        <f aca="false">'Dish Database'!J339*H1295/100</f>
        <v>378</v>
      </c>
      <c r="K1295" s="17" t="n">
        <f aca="false">'Dish Database'!K339*H1295/100</f>
        <v>26</v>
      </c>
      <c r="L1295" s="17" t="n">
        <f aca="false">'Dish Database'!L339*H1295/100</f>
        <v>12</v>
      </c>
      <c r="M1295" s="17" t="n">
        <f aca="false">'Dish Database'!M339*H1295/100</f>
        <v>26</v>
      </c>
      <c r="N1295" s="17" t="n">
        <f aca="false">'Dish Database'!N339*H1295/100</f>
        <v>4</v>
      </c>
      <c r="O1295" s="17" t="n">
        <f aca="false">'Dish Database'!O339*H1295/100</f>
        <v>4</v>
      </c>
      <c r="P1295" s="13" t="n">
        <f aca="false">'Dish Database'!P339*H1295/100</f>
        <v>840</v>
      </c>
    </row>
    <row r="1296" customFormat="false" ht="15" hidden="false" customHeight="false" outlineLevel="0" collapsed="false">
      <c r="A1296" s="6" t="str">
        <f aca="false">'Dish Database'!A339</f>
        <v>D338</v>
      </c>
      <c r="B1296" s="6" t="str">
        <f aca="false">'Dish Database'!B339</f>
        <v>Keema matar (mutton)</v>
      </c>
      <c r="C1296" s="6" t="str">
        <f aca="false">'Dish Database'!D339</f>
        <v>Non-Veg Curries</v>
      </c>
      <c r="D1296" s="6" t="str">
        <f aca="false">'Dish Database'!F339</f>
        <v>Non-Veg</v>
      </c>
      <c r="E1296" s="6" t="str">
        <f aca="false">'Dish Database'!E339</f>
        <v>North</v>
      </c>
      <c r="F1296" s="6" t="s">
        <v>2323</v>
      </c>
      <c r="G1296" s="6" t="s">
        <v>2503</v>
      </c>
      <c r="H1296" s="16" t="n">
        <v>250</v>
      </c>
      <c r="I1296" s="6" t="str">
        <f aca="false">'Dish Database'!I339</f>
        <v>g</v>
      </c>
      <c r="J1296" s="13" t="n">
        <f aca="false">'Dish Database'!J339*H1296/100</f>
        <v>472.5</v>
      </c>
      <c r="K1296" s="17" t="n">
        <f aca="false">'Dish Database'!K339*H1296/100</f>
        <v>32.5</v>
      </c>
      <c r="L1296" s="17" t="n">
        <f aca="false">'Dish Database'!L339*H1296/100</f>
        <v>15</v>
      </c>
      <c r="M1296" s="17" t="n">
        <f aca="false">'Dish Database'!M339*H1296/100</f>
        <v>32.5</v>
      </c>
      <c r="N1296" s="17" t="n">
        <f aca="false">'Dish Database'!N339*H1296/100</f>
        <v>5</v>
      </c>
      <c r="O1296" s="17" t="n">
        <f aca="false">'Dish Database'!O339*H1296/100</f>
        <v>5</v>
      </c>
      <c r="P1296" s="13" t="n">
        <f aca="false">'Dish Database'!P339*H1296/100</f>
        <v>1050</v>
      </c>
    </row>
    <row r="1297" customFormat="false" ht="15" hidden="false" customHeight="false" outlineLevel="0" collapsed="false">
      <c r="A1297" s="6" t="str">
        <f aca="false">'Dish Database'!A339</f>
        <v>D338</v>
      </c>
      <c r="B1297" s="6" t="str">
        <f aca="false">'Dish Database'!B339</f>
        <v>Keema matar (mutton)</v>
      </c>
      <c r="C1297" s="6" t="str">
        <f aca="false">'Dish Database'!D339</f>
        <v>Non-Veg Curries</v>
      </c>
      <c r="D1297" s="6" t="str">
        <f aca="false">'Dish Database'!F339</f>
        <v>Non-Veg</v>
      </c>
      <c r="E1297" s="6" t="str">
        <f aca="false">'Dish Database'!E339</f>
        <v>North</v>
      </c>
      <c r="F1297" s="6" t="s">
        <v>2325</v>
      </c>
      <c r="G1297" s="6" t="s">
        <v>2504</v>
      </c>
      <c r="H1297" s="16" t="n">
        <v>500</v>
      </c>
      <c r="I1297" s="6" t="str">
        <f aca="false">'Dish Database'!I339</f>
        <v>g</v>
      </c>
      <c r="J1297" s="13" t="n">
        <f aca="false">'Dish Database'!J339*H1297/100</f>
        <v>945</v>
      </c>
      <c r="K1297" s="17" t="n">
        <f aca="false">'Dish Database'!K339*H1297/100</f>
        <v>65</v>
      </c>
      <c r="L1297" s="17" t="n">
        <f aca="false">'Dish Database'!L339*H1297/100</f>
        <v>30</v>
      </c>
      <c r="M1297" s="17" t="n">
        <f aca="false">'Dish Database'!M339*H1297/100</f>
        <v>65</v>
      </c>
      <c r="N1297" s="17" t="n">
        <f aca="false">'Dish Database'!N339*H1297/100</f>
        <v>10</v>
      </c>
      <c r="O1297" s="17" t="n">
        <f aca="false">'Dish Database'!O339*H1297/100</f>
        <v>10</v>
      </c>
      <c r="P1297" s="13" t="n">
        <f aca="false">'Dish Database'!P339*H1297/100</f>
        <v>2100</v>
      </c>
    </row>
    <row r="1298" customFormat="false" ht="15" hidden="false" customHeight="false" outlineLevel="0" collapsed="false">
      <c r="A1298" s="6" t="str">
        <f aca="false">'Dish Database'!A340</f>
        <v>D339</v>
      </c>
      <c r="B1298" s="6" t="str">
        <f aca="false">'Dish Database'!B340</f>
        <v>Laal maas</v>
      </c>
      <c r="C1298" s="6" t="str">
        <f aca="false">'Dish Database'!D340</f>
        <v>Non-Veg Curries</v>
      </c>
      <c r="D1298" s="6" t="str">
        <f aca="false">'Dish Database'!F340</f>
        <v>Non-Veg</v>
      </c>
      <c r="E1298" s="6" t="str">
        <f aca="false">'Dish Database'!E340</f>
        <v>West</v>
      </c>
      <c r="F1298" s="6" t="s">
        <v>2243</v>
      </c>
      <c r="G1298" s="6" t="s">
        <v>2500</v>
      </c>
      <c r="H1298" s="16" t="n">
        <v>100</v>
      </c>
      <c r="I1298" s="6" t="str">
        <f aca="false">'Dish Database'!I340</f>
        <v>g</v>
      </c>
      <c r="J1298" s="13" t="n">
        <f aca="false">'Dish Database'!J340*H1298/100</f>
        <v>204.6</v>
      </c>
      <c r="K1298" s="17" t="n">
        <f aca="false">'Dish Database'!K340*H1298/100</f>
        <v>14</v>
      </c>
      <c r="L1298" s="17" t="n">
        <f aca="false">'Dish Database'!L340*H1298/100</f>
        <v>4</v>
      </c>
      <c r="M1298" s="17" t="n">
        <f aca="false">'Dish Database'!M340*H1298/100</f>
        <v>15</v>
      </c>
      <c r="N1298" s="17" t="n">
        <f aca="false">'Dish Database'!N340*H1298/100</f>
        <v>1.2</v>
      </c>
      <c r="O1298" s="17" t="n">
        <f aca="false">'Dish Database'!O340*H1298/100</f>
        <v>1.5</v>
      </c>
      <c r="P1298" s="13" t="n">
        <f aca="false">'Dish Database'!P340*H1298/100</f>
        <v>450</v>
      </c>
    </row>
    <row r="1299" customFormat="false" ht="15" hidden="false" customHeight="false" outlineLevel="0" collapsed="false">
      <c r="A1299" s="6" t="str">
        <f aca="false">'Dish Database'!A340</f>
        <v>D339</v>
      </c>
      <c r="B1299" s="6" t="str">
        <f aca="false">'Dish Database'!B340</f>
        <v>Laal maas</v>
      </c>
      <c r="C1299" s="6" t="str">
        <f aca="false">'Dish Database'!D340</f>
        <v>Non-Veg Curries</v>
      </c>
      <c r="D1299" s="6" t="str">
        <f aca="false">'Dish Database'!F340</f>
        <v>Non-Veg</v>
      </c>
      <c r="E1299" s="6" t="str">
        <f aca="false">'Dish Database'!E340</f>
        <v>West</v>
      </c>
      <c r="F1299" s="6" t="s">
        <v>103</v>
      </c>
      <c r="G1299" s="6" t="s">
        <v>2501</v>
      </c>
      <c r="H1299" s="16" t="n">
        <v>150</v>
      </c>
      <c r="I1299" s="6" t="str">
        <f aca="false">'Dish Database'!I340</f>
        <v>g</v>
      </c>
      <c r="J1299" s="13" t="n">
        <f aca="false">'Dish Database'!J340*H1299/100</f>
        <v>306.9</v>
      </c>
      <c r="K1299" s="17" t="n">
        <f aca="false">'Dish Database'!K340*H1299/100</f>
        <v>21</v>
      </c>
      <c r="L1299" s="17" t="n">
        <f aca="false">'Dish Database'!L340*H1299/100</f>
        <v>6</v>
      </c>
      <c r="M1299" s="17" t="n">
        <f aca="false">'Dish Database'!M340*H1299/100</f>
        <v>22.5</v>
      </c>
      <c r="N1299" s="17" t="n">
        <f aca="false">'Dish Database'!N340*H1299/100</f>
        <v>1.8</v>
      </c>
      <c r="O1299" s="17" t="n">
        <f aca="false">'Dish Database'!O340*H1299/100</f>
        <v>2.25</v>
      </c>
      <c r="P1299" s="13" t="n">
        <f aca="false">'Dish Database'!P340*H1299/100</f>
        <v>675</v>
      </c>
    </row>
    <row r="1300" customFormat="false" ht="15" hidden="false" customHeight="false" outlineLevel="0" collapsed="false">
      <c r="A1300" s="6" t="str">
        <f aca="false">'Dish Database'!A340</f>
        <v>D339</v>
      </c>
      <c r="B1300" s="6" t="str">
        <f aca="false">'Dish Database'!B340</f>
        <v>Laal maas</v>
      </c>
      <c r="C1300" s="6" t="str">
        <f aca="false">'Dish Database'!D340</f>
        <v>Non-Veg Curries</v>
      </c>
      <c r="D1300" s="6" t="str">
        <f aca="false">'Dish Database'!F340</f>
        <v>Non-Veg</v>
      </c>
      <c r="E1300" s="6" t="str">
        <f aca="false">'Dish Database'!E340</f>
        <v>West</v>
      </c>
      <c r="F1300" s="6" t="s">
        <v>2246</v>
      </c>
      <c r="G1300" s="6" t="s">
        <v>2502</v>
      </c>
      <c r="H1300" s="16" t="n">
        <v>200</v>
      </c>
      <c r="I1300" s="6" t="str">
        <f aca="false">'Dish Database'!I340</f>
        <v>g</v>
      </c>
      <c r="J1300" s="13" t="n">
        <f aca="false">'Dish Database'!J340*H1300/100</f>
        <v>409.2</v>
      </c>
      <c r="K1300" s="17" t="n">
        <f aca="false">'Dish Database'!K340*H1300/100</f>
        <v>28</v>
      </c>
      <c r="L1300" s="17" t="n">
        <f aca="false">'Dish Database'!L340*H1300/100</f>
        <v>8</v>
      </c>
      <c r="M1300" s="17" t="n">
        <f aca="false">'Dish Database'!M340*H1300/100</f>
        <v>30</v>
      </c>
      <c r="N1300" s="17" t="n">
        <f aca="false">'Dish Database'!N340*H1300/100</f>
        <v>2.4</v>
      </c>
      <c r="O1300" s="17" t="n">
        <f aca="false">'Dish Database'!O340*H1300/100</f>
        <v>3</v>
      </c>
      <c r="P1300" s="13" t="n">
        <f aca="false">'Dish Database'!P340*H1300/100</f>
        <v>900</v>
      </c>
    </row>
    <row r="1301" customFormat="false" ht="15" hidden="false" customHeight="false" outlineLevel="0" collapsed="false">
      <c r="A1301" s="6" t="str">
        <f aca="false">'Dish Database'!A340</f>
        <v>D339</v>
      </c>
      <c r="B1301" s="6" t="str">
        <f aca="false">'Dish Database'!B340</f>
        <v>Laal maas</v>
      </c>
      <c r="C1301" s="6" t="str">
        <f aca="false">'Dish Database'!D340</f>
        <v>Non-Veg Curries</v>
      </c>
      <c r="D1301" s="6" t="str">
        <f aca="false">'Dish Database'!F340</f>
        <v>Non-Veg</v>
      </c>
      <c r="E1301" s="6" t="str">
        <f aca="false">'Dish Database'!E340</f>
        <v>West</v>
      </c>
      <c r="F1301" s="6" t="s">
        <v>2323</v>
      </c>
      <c r="G1301" s="6" t="s">
        <v>2503</v>
      </c>
      <c r="H1301" s="16" t="n">
        <v>250</v>
      </c>
      <c r="I1301" s="6" t="str">
        <f aca="false">'Dish Database'!I340</f>
        <v>g</v>
      </c>
      <c r="J1301" s="13" t="n">
        <f aca="false">'Dish Database'!J340*H1301/100</f>
        <v>511.5</v>
      </c>
      <c r="K1301" s="17" t="n">
        <f aca="false">'Dish Database'!K340*H1301/100</f>
        <v>35</v>
      </c>
      <c r="L1301" s="17" t="n">
        <f aca="false">'Dish Database'!L340*H1301/100</f>
        <v>10</v>
      </c>
      <c r="M1301" s="17" t="n">
        <f aca="false">'Dish Database'!M340*H1301/100</f>
        <v>37.5</v>
      </c>
      <c r="N1301" s="17" t="n">
        <f aca="false">'Dish Database'!N340*H1301/100</f>
        <v>3</v>
      </c>
      <c r="O1301" s="17" t="n">
        <f aca="false">'Dish Database'!O340*H1301/100</f>
        <v>3.75</v>
      </c>
      <c r="P1301" s="13" t="n">
        <f aca="false">'Dish Database'!P340*H1301/100</f>
        <v>1125</v>
      </c>
    </row>
    <row r="1302" customFormat="false" ht="15" hidden="false" customHeight="false" outlineLevel="0" collapsed="false">
      <c r="A1302" s="6" t="str">
        <f aca="false">'Dish Database'!A340</f>
        <v>D339</v>
      </c>
      <c r="B1302" s="6" t="str">
        <f aca="false">'Dish Database'!B340</f>
        <v>Laal maas</v>
      </c>
      <c r="C1302" s="6" t="str">
        <f aca="false">'Dish Database'!D340</f>
        <v>Non-Veg Curries</v>
      </c>
      <c r="D1302" s="6" t="str">
        <f aca="false">'Dish Database'!F340</f>
        <v>Non-Veg</v>
      </c>
      <c r="E1302" s="6" t="str">
        <f aca="false">'Dish Database'!E340</f>
        <v>West</v>
      </c>
      <c r="F1302" s="6" t="s">
        <v>2325</v>
      </c>
      <c r="G1302" s="6" t="s">
        <v>2504</v>
      </c>
      <c r="H1302" s="16" t="n">
        <v>500</v>
      </c>
      <c r="I1302" s="6" t="str">
        <f aca="false">'Dish Database'!I340</f>
        <v>g</v>
      </c>
      <c r="J1302" s="13" t="n">
        <f aca="false">'Dish Database'!J340*H1302/100</f>
        <v>1023</v>
      </c>
      <c r="K1302" s="17" t="n">
        <f aca="false">'Dish Database'!K340*H1302/100</f>
        <v>70</v>
      </c>
      <c r="L1302" s="17" t="n">
        <f aca="false">'Dish Database'!L340*H1302/100</f>
        <v>20</v>
      </c>
      <c r="M1302" s="17" t="n">
        <f aca="false">'Dish Database'!M340*H1302/100</f>
        <v>75</v>
      </c>
      <c r="N1302" s="17" t="n">
        <f aca="false">'Dish Database'!N340*H1302/100</f>
        <v>6</v>
      </c>
      <c r="O1302" s="17" t="n">
        <f aca="false">'Dish Database'!O340*H1302/100</f>
        <v>7.5</v>
      </c>
      <c r="P1302" s="13" t="n">
        <f aca="false">'Dish Database'!P340*H1302/100</f>
        <v>2250</v>
      </c>
    </row>
    <row r="1303" customFormat="false" ht="15" hidden="false" customHeight="false" outlineLevel="0" collapsed="false">
      <c r="A1303" s="6" t="str">
        <f aca="false">'Dish Database'!A341</f>
        <v>D340</v>
      </c>
      <c r="B1303" s="6" t="str">
        <f aca="false">'Dish Database'!B341</f>
        <v>Mutton yakhni</v>
      </c>
      <c r="C1303" s="6" t="str">
        <f aca="false">'Dish Database'!D341</f>
        <v>Non-Veg Curries</v>
      </c>
      <c r="D1303" s="6" t="str">
        <f aca="false">'Dish Database'!F341</f>
        <v>Non-Veg</v>
      </c>
      <c r="E1303" s="6" t="str">
        <f aca="false">'Dish Database'!E341</f>
        <v>North</v>
      </c>
      <c r="F1303" s="6" t="s">
        <v>2243</v>
      </c>
      <c r="G1303" s="6" t="s">
        <v>2500</v>
      </c>
      <c r="H1303" s="16" t="n">
        <v>100</v>
      </c>
      <c r="I1303" s="6" t="str">
        <f aca="false">'Dish Database'!I341</f>
        <v>g</v>
      </c>
      <c r="J1303" s="13" t="n">
        <f aca="false">'Dish Database'!J341*H1303/100</f>
        <v>144.4</v>
      </c>
      <c r="K1303" s="17" t="n">
        <f aca="false">'Dish Database'!K341*H1303/100</f>
        <v>12</v>
      </c>
      <c r="L1303" s="17" t="n">
        <f aca="false">'Dish Database'!L341*H1303/100</f>
        <v>4</v>
      </c>
      <c r="M1303" s="17" t="n">
        <f aca="false">'Dish Database'!M341*H1303/100</f>
        <v>9</v>
      </c>
      <c r="N1303" s="17" t="n">
        <f aca="false">'Dish Database'!N341*H1303/100</f>
        <v>0.3</v>
      </c>
      <c r="O1303" s="17" t="n">
        <f aca="false">'Dish Database'!O341*H1303/100</f>
        <v>1.5</v>
      </c>
      <c r="P1303" s="13" t="n">
        <f aca="false">'Dish Database'!P341*H1303/100</f>
        <v>380</v>
      </c>
    </row>
    <row r="1304" customFormat="false" ht="15" hidden="false" customHeight="false" outlineLevel="0" collapsed="false">
      <c r="A1304" s="6" t="str">
        <f aca="false">'Dish Database'!A341</f>
        <v>D340</v>
      </c>
      <c r="B1304" s="6" t="str">
        <f aca="false">'Dish Database'!B341</f>
        <v>Mutton yakhni</v>
      </c>
      <c r="C1304" s="6" t="str">
        <f aca="false">'Dish Database'!D341</f>
        <v>Non-Veg Curries</v>
      </c>
      <c r="D1304" s="6" t="str">
        <f aca="false">'Dish Database'!F341</f>
        <v>Non-Veg</v>
      </c>
      <c r="E1304" s="6" t="str">
        <f aca="false">'Dish Database'!E341</f>
        <v>North</v>
      </c>
      <c r="F1304" s="6" t="s">
        <v>103</v>
      </c>
      <c r="G1304" s="6" t="s">
        <v>2501</v>
      </c>
      <c r="H1304" s="16" t="n">
        <v>150</v>
      </c>
      <c r="I1304" s="6" t="str">
        <f aca="false">'Dish Database'!I341</f>
        <v>g</v>
      </c>
      <c r="J1304" s="13" t="n">
        <f aca="false">'Dish Database'!J341*H1304/100</f>
        <v>216.6</v>
      </c>
      <c r="K1304" s="17" t="n">
        <f aca="false">'Dish Database'!K341*H1304/100</f>
        <v>18</v>
      </c>
      <c r="L1304" s="17" t="n">
        <f aca="false">'Dish Database'!L341*H1304/100</f>
        <v>6</v>
      </c>
      <c r="M1304" s="17" t="n">
        <f aca="false">'Dish Database'!M341*H1304/100</f>
        <v>13.5</v>
      </c>
      <c r="N1304" s="17" t="n">
        <f aca="false">'Dish Database'!N341*H1304/100</f>
        <v>0.45</v>
      </c>
      <c r="O1304" s="17" t="n">
        <f aca="false">'Dish Database'!O341*H1304/100</f>
        <v>2.25</v>
      </c>
      <c r="P1304" s="13" t="n">
        <f aca="false">'Dish Database'!P341*H1304/100</f>
        <v>570</v>
      </c>
    </row>
    <row r="1305" customFormat="false" ht="15" hidden="false" customHeight="false" outlineLevel="0" collapsed="false">
      <c r="A1305" s="6" t="str">
        <f aca="false">'Dish Database'!A341</f>
        <v>D340</v>
      </c>
      <c r="B1305" s="6" t="str">
        <f aca="false">'Dish Database'!B341</f>
        <v>Mutton yakhni</v>
      </c>
      <c r="C1305" s="6" t="str">
        <f aca="false">'Dish Database'!D341</f>
        <v>Non-Veg Curries</v>
      </c>
      <c r="D1305" s="6" t="str">
        <f aca="false">'Dish Database'!F341</f>
        <v>Non-Veg</v>
      </c>
      <c r="E1305" s="6" t="str">
        <f aca="false">'Dish Database'!E341</f>
        <v>North</v>
      </c>
      <c r="F1305" s="6" t="s">
        <v>2246</v>
      </c>
      <c r="G1305" s="6" t="s">
        <v>2502</v>
      </c>
      <c r="H1305" s="16" t="n">
        <v>200</v>
      </c>
      <c r="I1305" s="6" t="str">
        <f aca="false">'Dish Database'!I341</f>
        <v>g</v>
      </c>
      <c r="J1305" s="13" t="n">
        <f aca="false">'Dish Database'!J341*H1305/100</f>
        <v>288.8</v>
      </c>
      <c r="K1305" s="17" t="n">
        <f aca="false">'Dish Database'!K341*H1305/100</f>
        <v>24</v>
      </c>
      <c r="L1305" s="17" t="n">
        <f aca="false">'Dish Database'!L341*H1305/100</f>
        <v>8</v>
      </c>
      <c r="M1305" s="17" t="n">
        <f aca="false">'Dish Database'!M341*H1305/100</f>
        <v>18</v>
      </c>
      <c r="N1305" s="17" t="n">
        <f aca="false">'Dish Database'!N341*H1305/100</f>
        <v>0.6</v>
      </c>
      <c r="O1305" s="17" t="n">
        <f aca="false">'Dish Database'!O341*H1305/100</f>
        <v>3</v>
      </c>
      <c r="P1305" s="13" t="n">
        <f aca="false">'Dish Database'!P341*H1305/100</f>
        <v>760</v>
      </c>
    </row>
    <row r="1306" customFormat="false" ht="15" hidden="false" customHeight="false" outlineLevel="0" collapsed="false">
      <c r="A1306" s="6" t="str">
        <f aca="false">'Dish Database'!A341</f>
        <v>D340</v>
      </c>
      <c r="B1306" s="6" t="str">
        <f aca="false">'Dish Database'!B341</f>
        <v>Mutton yakhni</v>
      </c>
      <c r="C1306" s="6" t="str">
        <f aca="false">'Dish Database'!D341</f>
        <v>Non-Veg Curries</v>
      </c>
      <c r="D1306" s="6" t="str">
        <f aca="false">'Dish Database'!F341</f>
        <v>Non-Veg</v>
      </c>
      <c r="E1306" s="6" t="str">
        <f aca="false">'Dish Database'!E341</f>
        <v>North</v>
      </c>
      <c r="F1306" s="6" t="s">
        <v>2323</v>
      </c>
      <c r="G1306" s="6" t="s">
        <v>2503</v>
      </c>
      <c r="H1306" s="16" t="n">
        <v>250</v>
      </c>
      <c r="I1306" s="6" t="str">
        <f aca="false">'Dish Database'!I341</f>
        <v>g</v>
      </c>
      <c r="J1306" s="13" t="n">
        <f aca="false">'Dish Database'!J341*H1306/100</f>
        <v>361</v>
      </c>
      <c r="K1306" s="17" t="n">
        <f aca="false">'Dish Database'!K341*H1306/100</f>
        <v>30</v>
      </c>
      <c r="L1306" s="17" t="n">
        <f aca="false">'Dish Database'!L341*H1306/100</f>
        <v>10</v>
      </c>
      <c r="M1306" s="17" t="n">
        <f aca="false">'Dish Database'!M341*H1306/100</f>
        <v>22.5</v>
      </c>
      <c r="N1306" s="17" t="n">
        <f aca="false">'Dish Database'!N341*H1306/100</f>
        <v>0.75</v>
      </c>
      <c r="O1306" s="17" t="n">
        <f aca="false">'Dish Database'!O341*H1306/100</f>
        <v>3.75</v>
      </c>
      <c r="P1306" s="13" t="n">
        <f aca="false">'Dish Database'!P341*H1306/100</f>
        <v>950</v>
      </c>
    </row>
    <row r="1307" customFormat="false" ht="15" hidden="false" customHeight="false" outlineLevel="0" collapsed="false">
      <c r="A1307" s="6" t="str">
        <f aca="false">'Dish Database'!A341</f>
        <v>D340</v>
      </c>
      <c r="B1307" s="6" t="str">
        <f aca="false">'Dish Database'!B341</f>
        <v>Mutton yakhni</v>
      </c>
      <c r="C1307" s="6" t="str">
        <f aca="false">'Dish Database'!D341</f>
        <v>Non-Veg Curries</v>
      </c>
      <c r="D1307" s="6" t="str">
        <f aca="false">'Dish Database'!F341</f>
        <v>Non-Veg</v>
      </c>
      <c r="E1307" s="6" t="str">
        <f aca="false">'Dish Database'!E341</f>
        <v>North</v>
      </c>
      <c r="F1307" s="6" t="s">
        <v>2325</v>
      </c>
      <c r="G1307" s="6" t="s">
        <v>2504</v>
      </c>
      <c r="H1307" s="16" t="n">
        <v>500</v>
      </c>
      <c r="I1307" s="6" t="str">
        <f aca="false">'Dish Database'!I341</f>
        <v>g</v>
      </c>
      <c r="J1307" s="13" t="n">
        <f aca="false">'Dish Database'!J341*H1307/100</f>
        <v>722</v>
      </c>
      <c r="K1307" s="17" t="n">
        <f aca="false">'Dish Database'!K341*H1307/100</f>
        <v>60</v>
      </c>
      <c r="L1307" s="17" t="n">
        <f aca="false">'Dish Database'!L341*H1307/100</f>
        <v>20</v>
      </c>
      <c r="M1307" s="17" t="n">
        <f aca="false">'Dish Database'!M341*H1307/100</f>
        <v>45</v>
      </c>
      <c r="N1307" s="17" t="n">
        <f aca="false">'Dish Database'!N341*H1307/100</f>
        <v>1.5</v>
      </c>
      <c r="O1307" s="17" t="n">
        <f aca="false">'Dish Database'!O341*H1307/100</f>
        <v>7.5</v>
      </c>
      <c r="P1307" s="13" t="n">
        <f aca="false">'Dish Database'!P341*H1307/100</f>
        <v>1900</v>
      </c>
    </row>
    <row r="1308" customFormat="false" ht="15" hidden="false" customHeight="false" outlineLevel="0" collapsed="false">
      <c r="A1308" s="6" t="str">
        <f aca="false">'Dish Database'!A342</f>
        <v>D341</v>
      </c>
      <c r="B1308" s="6" t="str">
        <f aca="false">'Dish Database'!B342</f>
        <v>Nihari</v>
      </c>
      <c r="C1308" s="6" t="str">
        <f aca="false">'Dish Database'!D342</f>
        <v>Non-Veg Curries</v>
      </c>
      <c r="D1308" s="6" t="str">
        <f aca="false">'Dish Database'!F342</f>
        <v>Non-Veg</v>
      </c>
      <c r="E1308" s="6" t="str">
        <f aca="false">'Dish Database'!E342</f>
        <v>North</v>
      </c>
      <c r="F1308" s="6" t="s">
        <v>2243</v>
      </c>
      <c r="G1308" s="6" t="s">
        <v>2500</v>
      </c>
      <c r="H1308" s="16" t="n">
        <v>100</v>
      </c>
      <c r="I1308" s="6" t="str">
        <f aca="false">'Dish Database'!I342</f>
        <v>g</v>
      </c>
      <c r="J1308" s="13" t="n">
        <f aca="false">'Dish Database'!J342*H1308/100</f>
        <v>188</v>
      </c>
      <c r="K1308" s="17" t="n">
        <f aca="false">'Dish Database'!K342*H1308/100</f>
        <v>13</v>
      </c>
      <c r="L1308" s="17" t="n">
        <f aca="false">'Dish Database'!L342*H1308/100</f>
        <v>5</v>
      </c>
      <c r="M1308" s="17" t="n">
        <f aca="false">'Dish Database'!M342*H1308/100</f>
        <v>13</v>
      </c>
      <c r="N1308" s="17" t="n">
        <f aca="false">'Dish Database'!N342*H1308/100</f>
        <v>0.5</v>
      </c>
      <c r="O1308" s="17" t="n">
        <f aca="false">'Dish Database'!O342*H1308/100</f>
        <v>1</v>
      </c>
      <c r="P1308" s="13" t="n">
        <f aca="false">'Dish Database'!P342*H1308/100</f>
        <v>450</v>
      </c>
    </row>
    <row r="1309" customFormat="false" ht="15" hidden="false" customHeight="false" outlineLevel="0" collapsed="false">
      <c r="A1309" s="6" t="str">
        <f aca="false">'Dish Database'!A342</f>
        <v>D341</v>
      </c>
      <c r="B1309" s="6" t="str">
        <f aca="false">'Dish Database'!B342</f>
        <v>Nihari</v>
      </c>
      <c r="C1309" s="6" t="str">
        <f aca="false">'Dish Database'!D342</f>
        <v>Non-Veg Curries</v>
      </c>
      <c r="D1309" s="6" t="str">
        <f aca="false">'Dish Database'!F342</f>
        <v>Non-Veg</v>
      </c>
      <c r="E1309" s="6" t="str">
        <f aca="false">'Dish Database'!E342</f>
        <v>North</v>
      </c>
      <c r="F1309" s="6" t="s">
        <v>103</v>
      </c>
      <c r="G1309" s="6" t="s">
        <v>2501</v>
      </c>
      <c r="H1309" s="16" t="n">
        <v>150</v>
      </c>
      <c r="I1309" s="6" t="str">
        <f aca="false">'Dish Database'!I342</f>
        <v>g</v>
      </c>
      <c r="J1309" s="13" t="n">
        <f aca="false">'Dish Database'!J342*H1309/100</f>
        <v>282</v>
      </c>
      <c r="K1309" s="17" t="n">
        <f aca="false">'Dish Database'!K342*H1309/100</f>
        <v>19.5</v>
      </c>
      <c r="L1309" s="17" t="n">
        <f aca="false">'Dish Database'!L342*H1309/100</f>
        <v>7.5</v>
      </c>
      <c r="M1309" s="17" t="n">
        <f aca="false">'Dish Database'!M342*H1309/100</f>
        <v>19.5</v>
      </c>
      <c r="N1309" s="17" t="n">
        <f aca="false">'Dish Database'!N342*H1309/100</f>
        <v>0.75</v>
      </c>
      <c r="O1309" s="17" t="n">
        <f aca="false">'Dish Database'!O342*H1309/100</f>
        <v>1.5</v>
      </c>
      <c r="P1309" s="13" t="n">
        <f aca="false">'Dish Database'!P342*H1309/100</f>
        <v>675</v>
      </c>
    </row>
    <row r="1310" customFormat="false" ht="15" hidden="false" customHeight="false" outlineLevel="0" collapsed="false">
      <c r="A1310" s="6" t="str">
        <f aca="false">'Dish Database'!A342</f>
        <v>D341</v>
      </c>
      <c r="B1310" s="6" t="str">
        <f aca="false">'Dish Database'!B342</f>
        <v>Nihari</v>
      </c>
      <c r="C1310" s="6" t="str">
        <f aca="false">'Dish Database'!D342</f>
        <v>Non-Veg Curries</v>
      </c>
      <c r="D1310" s="6" t="str">
        <f aca="false">'Dish Database'!F342</f>
        <v>Non-Veg</v>
      </c>
      <c r="E1310" s="6" t="str">
        <f aca="false">'Dish Database'!E342</f>
        <v>North</v>
      </c>
      <c r="F1310" s="6" t="s">
        <v>2246</v>
      </c>
      <c r="G1310" s="6" t="s">
        <v>2502</v>
      </c>
      <c r="H1310" s="16" t="n">
        <v>200</v>
      </c>
      <c r="I1310" s="6" t="str">
        <f aca="false">'Dish Database'!I342</f>
        <v>g</v>
      </c>
      <c r="J1310" s="13" t="n">
        <f aca="false">'Dish Database'!J342*H1310/100</f>
        <v>376</v>
      </c>
      <c r="K1310" s="17" t="n">
        <f aca="false">'Dish Database'!K342*H1310/100</f>
        <v>26</v>
      </c>
      <c r="L1310" s="17" t="n">
        <f aca="false">'Dish Database'!L342*H1310/100</f>
        <v>10</v>
      </c>
      <c r="M1310" s="17" t="n">
        <f aca="false">'Dish Database'!M342*H1310/100</f>
        <v>26</v>
      </c>
      <c r="N1310" s="17" t="n">
        <f aca="false">'Dish Database'!N342*H1310/100</f>
        <v>1</v>
      </c>
      <c r="O1310" s="17" t="n">
        <f aca="false">'Dish Database'!O342*H1310/100</f>
        <v>2</v>
      </c>
      <c r="P1310" s="13" t="n">
        <f aca="false">'Dish Database'!P342*H1310/100</f>
        <v>900</v>
      </c>
    </row>
    <row r="1311" customFormat="false" ht="15" hidden="false" customHeight="false" outlineLevel="0" collapsed="false">
      <c r="A1311" s="6" t="str">
        <f aca="false">'Dish Database'!A342</f>
        <v>D341</v>
      </c>
      <c r="B1311" s="6" t="str">
        <f aca="false">'Dish Database'!B342</f>
        <v>Nihari</v>
      </c>
      <c r="C1311" s="6" t="str">
        <f aca="false">'Dish Database'!D342</f>
        <v>Non-Veg Curries</v>
      </c>
      <c r="D1311" s="6" t="str">
        <f aca="false">'Dish Database'!F342</f>
        <v>Non-Veg</v>
      </c>
      <c r="E1311" s="6" t="str">
        <f aca="false">'Dish Database'!E342</f>
        <v>North</v>
      </c>
      <c r="F1311" s="6" t="s">
        <v>2323</v>
      </c>
      <c r="G1311" s="6" t="s">
        <v>2503</v>
      </c>
      <c r="H1311" s="16" t="n">
        <v>250</v>
      </c>
      <c r="I1311" s="6" t="str">
        <f aca="false">'Dish Database'!I342</f>
        <v>g</v>
      </c>
      <c r="J1311" s="13" t="n">
        <f aca="false">'Dish Database'!J342*H1311/100</f>
        <v>470</v>
      </c>
      <c r="K1311" s="17" t="n">
        <f aca="false">'Dish Database'!K342*H1311/100</f>
        <v>32.5</v>
      </c>
      <c r="L1311" s="17" t="n">
        <f aca="false">'Dish Database'!L342*H1311/100</f>
        <v>12.5</v>
      </c>
      <c r="M1311" s="17" t="n">
        <f aca="false">'Dish Database'!M342*H1311/100</f>
        <v>32.5</v>
      </c>
      <c r="N1311" s="17" t="n">
        <f aca="false">'Dish Database'!N342*H1311/100</f>
        <v>1.25</v>
      </c>
      <c r="O1311" s="17" t="n">
        <f aca="false">'Dish Database'!O342*H1311/100</f>
        <v>2.5</v>
      </c>
      <c r="P1311" s="13" t="n">
        <f aca="false">'Dish Database'!P342*H1311/100</f>
        <v>1125</v>
      </c>
    </row>
    <row r="1312" customFormat="false" ht="15" hidden="false" customHeight="false" outlineLevel="0" collapsed="false">
      <c r="A1312" s="6" t="str">
        <f aca="false">'Dish Database'!A342</f>
        <v>D341</v>
      </c>
      <c r="B1312" s="6" t="str">
        <f aca="false">'Dish Database'!B342</f>
        <v>Nihari</v>
      </c>
      <c r="C1312" s="6" t="str">
        <f aca="false">'Dish Database'!D342</f>
        <v>Non-Veg Curries</v>
      </c>
      <c r="D1312" s="6" t="str">
        <f aca="false">'Dish Database'!F342</f>
        <v>Non-Veg</v>
      </c>
      <c r="E1312" s="6" t="str">
        <f aca="false">'Dish Database'!E342</f>
        <v>North</v>
      </c>
      <c r="F1312" s="6" t="s">
        <v>2325</v>
      </c>
      <c r="G1312" s="6" t="s">
        <v>2504</v>
      </c>
      <c r="H1312" s="16" t="n">
        <v>500</v>
      </c>
      <c r="I1312" s="6" t="str">
        <f aca="false">'Dish Database'!I342</f>
        <v>g</v>
      </c>
      <c r="J1312" s="13" t="n">
        <f aca="false">'Dish Database'!J342*H1312/100</f>
        <v>940</v>
      </c>
      <c r="K1312" s="17" t="n">
        <f aca="false">'Dish Database'!K342*H1312/100</f>
        <v>65</v>
      </c>
      <c r="L1312" s="17" t="n">
        <f aca="false">'Dish Database'!L342*H1312/100</f>
        <v>25</v>
      </c>
      <c r="M1312" s="17" t="n">
        <f aca="false">'Dish Database'!M342*H1312/100</f>
        <v>65</v>
      </c>
      <c r="N1312" s="17" t="n">
        <f aca="false">'Dish Database'!N342*H1312/100</f>
        <v>2.5</v>
      </c>
      <c r="O1312" s="17" t="n">
        <f aca="false">'Dish Database'!O342*H1312/100</f>
        <v>5</v>
      </c>
      <c r="P1312" s="13" t="n">
        <f aca="false">'Dish Database'!P342*H1312/100</f>
        <v>2250</v>
      </c>
    </row>
    <row r="1313" customFormat="false" ht="15" hidden="false" customHeight="false" outlineLevel="0" collapsed="false">
      <c r="A1313" s="6" t="str">
        <f aca="false">'Dish Database'!A343</f>
        <v>D342</v>
      </c>
      <c r="B1313" s="6" t="str">
        <f aca="false">'Dish Database'!B343</f>
        <v>Haleem</v>
      </c>
      <c r="C1313" s="6" t="str">
        <f aca="false">'Dish Database'!D343</f>
        <v>Non-Veg Curries</v>
      </c>
      <c r="D1313" s="6" t="str">
        <f aca="false">'Dish Database'!F343</f>
        <v>Non-Veg</v>
      </c>
      <c r="E1313" s="6" t="str">
        <f aca="false">'Dish Database'!E343</f>
        <v>South</v>
      </c>
      <c r="F1313" s="6" t="s">
        <v>2243</v>
      </c>
      <c r="G1313" s="6" t="s">
        <v>2500</v>
      </c>
      <c r="H1313" s="16" t="n">
        <v>100</v>
      </c>
      <c r="I1313" s="6" t="str">
        <f aca="false">'Dish Database'!I343</f>
        <v>g</v>
      </c>
      <c r="J1313" s="13" t="n">
        <f aca="false">'Dish Database'!J343*H1313/100</f>
        <v>164</v>
      </c>
      <c r="K1313" s="17" t="n">
        <f aca="false">'Dish Database'!K343*H1313/100</f>
        <v>9</v>
      </c>
      <c r="L1313" s="17" t="n">
        <f aca="false">'Dish Database'!L343*H1313/100</f>
        <v>13</v>
      </c>
      <c r="M1313" s="17" t="n">
        <f aca="false">'Dish Database'!M343*H1313/100</f>
        <v>9</v>
      </c>
      <c r="N1313" s="17" t="n">
        <f aca="false">'Dish Database'!N343*H1313/100</f>
        <v>2.5</v>
      </c>
      <c r="O1313" s="17" t="n">
        <f aca="false">'Dish Database'!O343*H1313/100</f>
        <v>0.8</v>
      </c>
      <c r="P1313" s="13" t="n">
        <f aca="false">'Dish Database'!P343*H1313/100</f>
        <v>380</v>
      </c>
    </row>
    <row r="1314" customFormat="false" ht="15" hidden="false" customHeight="false" outlineLevel="0" collapsed="false">
      <c r="A1314" s="6" t="str">
        <f aca="false">'Dish Database'!A343</f>
        <v>D342</v>
      </c>
      <c r="B1314" s="6" t="str">
        <f aca="false">'Dish Database'!B343</f>
        <v>Haleem</v>
      </c>
      <c r="C1314" s="6" t="str">
        <f aca="false">'Dish Database'!D343</f>
        <v>Non-Veg Curries</v>
      </c>
      <c r="D1314" s="6" t="str">
        <f aca="false">'Dish Database'!F343</f>
        <v>Non-Veg</v>
      </c>
      <c r="E1314" s="6" t="str">
        <f aca="false">'Dish Database'!E343</f>
        <v>South</v>
      </c>
      <c r="F1314" s="6" t="s">
        <v>103</v>
      </c>
      <c r="G1314" s="6" t="s">
        <v>2501</v>
      </c>
      <c r="H1314" s="16" t="n">
        <v>150</v>
      </c>
      <c r="I1314" s="6" t="str">
        <f aca="false">'Dish Database'!I343</f>
        <v>g</v>
      </c>
      <c r="J1314" s="13" t="n">
        <f aca="false">'Dish Database'!J343*H1314/100</f>
        <v>246</v>
      </c>
      <c r="K1314" s="17" t="n">
        <f aca="false">'Dish Database'!K343*H1314/100</f>
        <v>13.5</v>
      </c>
      <c r="L1314" s="17" t="n">
        <f aca="false">'Dish Database'!L343*H1314/100</f>
        <v>19.5</v>
      </c>
      <c r="M1314" s="17" t="n">
        <f aca="false">'Dish Database'!M343*H1314/100</f>
        <v>13.5</v>
      </c>
      <c r="N1314" s="17" t="n">
        <f aca="false">'Dish Database'!N343*H1314/100</f>
        <v>3.75</v>
      </c>
      <c r="O1314" s="17" t="n">
        <f aca="false">'Dish Database'!O343*H1314/100</f>
        <v>1.2</v>
      </c>
      <c r="P1314" s="13" t="n">
        <f aca="false">'Dish Database'!P343*H1314/100</f>
        <v>570</v>
      </c>
    </row>
    <row r="1315" customFormat="false" ht="15" hidden="false" customHeight="false" outlineLevel="0" collapsed="false">
      <c r="A1315" s="6" t="str">
        <f aca="false">'Dish Database'!A343</f>
        <v>D342</v>
      </c>
      <c r="B1315" s="6" t="str">
        <f aca="false">'Dish Database'!B343</f>
        <v>Haleem</v>
      </c>
      <c r="C1315" s="6" t="str">
        <f aca="false">'Dish Database'!D343</f>
        <v>Non-Veg Curries</v>
      </c>
      <c r="D1315" s="6" t="str">
        <f aca="false">'Dish Database'!F343</f>
        <v>Non-Veg</v>
      </c>
      <c r="E1315" s="6" t="str">
        <f aca="false">'Dish Database'!E343</f>
        <v>South</v>
      </c>
      <c r="F1315" s="6" t="s">
        <v>2246</v>
      </c>
      <c r="G1315" s="6" t="s">
        <v>2502</v>
      </c>
      <c r="H1315" s="16" t="n">
        <v>200</v>
      </c>
      <c r="I1315" s="6" t="str">
        <f aca="false">'Dish Database'!I343</f>
        <v>g</v>
      </c>
      <c r="J1315" s="13" t="n">
        <f aca="false">'Dish Database'!J343*H1315/100</f>
        <v>328</v>
      </c>
      <c r="K1315" s="17" t="n">
        <f aca="false">'Dish Database'!K343*H1315/100</f>
        <v>18</v>
      </c>
      <c r="L1315" s="17" t="n">
        <f aca="false">'Dish Database'!L343*H1315/100</f>
        <v>26</v>
      </c>
      <c r="M1315" s="17" t="n">
        <f aca="false">'Dish Database'!M343*H1315/100</f>
        <v>18</v>
      </c>
      <c r="N1315" s="17" t="n">
        <f aca="false">'Dish Database'!N343*H1315/100</f>
        <v>5</v>
      </c>
      <c r="O1315" s="17" t="n">
        <f aca="false">'Dish Database'!O343*H1315/100</f>
        <v>1.6</v>
      </c>
      <c r="P1315" s="13" t="n">
        <f aca="false">'Dish Database'!P343*H1315/100</f>
        <v>760</v>
      </c>
    </row>
    <row r="1316" customFormat="false" ht="15" hidden="false" customHeight="false" outlineLevel="0" collapsed="false">
      <c r="A1316" s="6" t="str">
        <f aca="false">'Dish Database'!A343</f>
        <v>D342</v>
      </c>
      <c r="B1316" s="6" t="str">
        <f aca="false">'Dish Database'!B343</f>
        <v>Haleem</v>
      </c>
      <c r="C1316" s="6" t="str">
        <f aca="false">'Dish Database'!D343</f>
        <v>Non-Veg Curries</v>
      </c>
      <c r="D1316" s="6" t="str">
        <f aca="false">'Dish Database'!F343</f>
        <v>Non-Veg</v>
      </c>
      <c r="E1316" s="6" t="str">
        <f aca="false">'Dish Database'!E343</f>
        <v>South</v>
      </c>
      <c r="F1316" s="6" t="s">
        <v>2323</v>
      </c>
      <c r="G1316" s="6" t="s">
        <v>2503</v>
      </c>
      <c r="H1316" s="16" t="n">
        <v>250</v>
      </c>
      <c r="I1316" s="6" t="str">
        <f aca="false">'Dish Database'!I343</f>
        <v>g</v>
      </c>
      <c r="J1316" s="13" t="n">
        <f aca="false">'Dish Database'!J343*H1316/100</f>
        <v>410</v>
      </c>
      <c r="K1316" s="17" t="n">
        <f aca="false">'Dish Database'!K343*H1316/100</f>
        <v>22.5</v>
      </c>
      <c r="L1316" s="17" t="n">
        <f aca="false">'Dish Database'!L343*H1316/100</f>
        <v>32.5</v>
      </c>
      <c r="M1316" s="17" t="n">
        <f aca="false">'Dish Database'!M343*H1316/100</f>
        <v>22.5</v>
      </c>
      <c r="N1316" s="17" t="n">
        <f aca="false">'Dish Database'!N343*H1316/100</f>
        <v>6.25</v>
      </c>
      <c r="O1316" s="17" t="n">
        <f aca="false">'Dish Database'!O343*H1316/100</f>
        <v>2</v>
      </c>
      <c r="P1316" s="13" t="n">
        <f aca="false">'Dish Database'!P343*H1316/100</f>
        <v>950</v>
      </c>
    </row>
    <row r="1317" customFormat="false" ht="15" hidden="false" customHeight="false" outlineLevel="0" collapsed="false">
      <c r="A1317" s="6" t="str">
        <f aca="false">'Dish Database'!A343</f>
        <v>D342</v>
      </c>
      <c r="B1317" s="6" t="str">
        <f aca="false">'Dish Database'!B343</f>
        <v>Haleem</v>
      </c>
      <c r="C1317" s="6" t="str">
        <f aca="false">'Dish Database'!D343</f>
        <v>Non-Veg Curries</v>
      </c>
      <c r="D1317" s="6" t="str">
        <f aca="false">'Dish Database'!F343</f>
        <v>Non-Veg</v>
      </c>
      <c r="E1317" s="6" t="str">
        <f aca="false">'Dish Database'!E343</f>
        <v>South</v>
      </c>
      <c r="F1317" s="6" t="s">
        <v>2325</v>
      </c>
      <c r="G1317" s="6" t="s">
        <v>2504</v>
      </c>
      <c r="H1317" s="16" t="n">
        <v>500</v>
      </c>
      <c r="I1317" s="6" t="str">
        <f aca="false">'Dish Database'!I343</f>
        <v>g</v>
      </c>
      <c r="J1317" s="13" t="n">
        <f aca="false">'Dish Database'!J343*H1317/100</f>
        <v>820</v>
      </c>
      <c r="K1317" s="17" t="n">
        <f aca="false">'Dish Database'!K343*H1317/100</f>
        <v>45</v>
      </c>
      <c r="L1317" s="17" t="n">
        <f aca="false">'Dish Database'!L343*H1317/100</f>
        <v>65</v>
      </c>
      <c r="M1317" s="17" t="n">
        <f aca="false">'Dish Database'!M343*H1317/100</f>
        <v>45</v>
      </c>
      <c r="N1317" s="17" t="n">
        <f aca="false">'Dish Database'!N343*H1317/100</f>
        <v>12.5</v>
      </c>
      <c r="O1317" s="17" t="n">
        <f aca="false">'Dish Database'!O343*H1317/100</f>
        <v>4</v>
      </c>
      <c r="P1317" s="13" t="n">
        <f aca="false">'Dish Database'!P343*H1317/100</f>
        <v>1900</v>
      </c>
    </row>
    <row r="1318" customFormat="false" ht="15" hidden="false" customHeight="false" outlineLevel="0" collapsed="false">
      <c r="A1318" s="6" t="str">
        <f aca="false">'Dish Database'!A344</f>
        <v>D343</v>
      </c>
      <c r="B1318" s="6" t="str">
        <f aca="false">'Dish Database'!B344</f>
        <v>Mutton sukka</v>
      </c>
      <c r="C1318" s="6" t="str">
        <f aca="false">'Dish Database'!D344</f>
        <v>Non-Veg Curries</v>
      </c>
      <c r="D1318" s="6" t="str">
        <f aca="false">'Dish Database'!F344</f>
        <v>Non-Veg</v>
      </c>
      <c r="E1318" s="6" t="str">
        <f aca="false">'Dish Database'!E344</f>
        <v>South</v>
      </c>
      <c r="F1318" s="6" t="s">
        <v>2243</v>
      </c>
      <c r="G1318" s="6" t="s">
        <v>2320</v>
      </c>
      <c r="H1318" s="16" t="n">
        <v>75</v>
      </c>
      <c r="I1318" s="6" t="str">
        <f aca="false">'Dish Database'!I344</f>
        <v>g</v>
      </c>
      <c r="J1318" s="13" t="n">
        <f aca="false">'Dish Database'!J344*H1318/100</f>
        <v>160.5</v>
      </c>
      <c r="K1318" s="17" t="n">
        <f aca="false">'Dish Database'!K344*H1318/100</f>
        <v>13.5</v>
      </c>
      <c r="L1318" s="17" t="n">
        <f aca="false">'Dish Database'!L344*H1318/100</f>
        <v>3.75</v>
      </c>
      <c r="M1318" s="17" t="n">
        <f aca="false">'Dish Database'!M344*H1318/100</f>
        <v>10.5</v>
      </c>
      <c r="N1318" s="17" t="n">
        <f aca="false">'Dish Database'!N344*H1318/100</f>
        <v>1.5</v>
      </c>
      <c r="O1318" s="17" t="n">
        <f aca="false">'Dish Database'!O344*H1318/100</f>
        <v>1.125</v>
      </c>
      <c r="P1318" s="13" t="n">
        <f aca="false">'Dish Database'!P344*H1318/100</f>
        <v>337.5</v>
      </c>
    </row>
    <row r="1319" customFormat="false" ht="15" hidden="false" customHeight="false" outlineLevel="0" collapsed="false">
      <c r="A1319" s="6" t="str">
        <f aca="false">'Dish Database'!A344</f>
        <v>D343</v>
      </c>
      <c r="B1319" s="6" t="str">
        <f aca="false">'Dish Database'!B344</f>
        <v>Mutton sukka</v>
      </c>
      <c r="C1319" s="6" t="str">
        <f aca="false">'Dish Database'!D344</f>
        <v>Non-Veg Curries</v>
      </c>
      <c r="D1319" s="6" t="str">
        <f aca="false">'Dish Database'!F344</f>
        <v>Non-Veg</v>
      </c>
      <c r="E1319" s="6" t="str">
        <f aca="false">'Dish Database'!E344</f>
        <v>South</v>
      </c>
      <c r="F1319" s="6" t="s">
        <v>103</v>
      </c>
      <c r="G1319" s="6" t="s">
        <v>2321</v>
      </c>
      <c r="H1319" s="16" t="n">
        <v>100</v>
      </c>
      <c r="I1319" s="6" t="str">
        <f aca="false">'Dish Database'!I344</f>
        <v>g</v>
      </c>
      <c r="J1319" s="13" t="n">
        <f aca="false">'Dish Database'!J344*H1319/100</f>
        <v>214</v>
      </c>
      <c r="K1319" s="17" t="n">
        <f aca="false">'Dish Database'!K344*H1319/100</f>
        <v>18</v>
      </c>
      <c r="L1319" s="17" t="n">
        <f aca="false">'Dish Database'!L344*H1319/100</f>
        <v>5</v>
      </c>
      <c r="M1319" s="17" t="n">
        <f aca="false">'Dish Database'!M344*H1319/100</f>
        <v>14</v>
      </c>
      <c r="N1319" s="17" t="n">
        <f aca="false">'Dish Database'!N344*H1319/100</f>
        <v>2</v>
      </c>
      <c r="O1319" s="17" t="n">
        <f aca="false">'Dish Database'!O344*H1319/100</f>
        <v>1.5</v>
      </c>
      <c r="P1319" s="13" t="n">
        <f aca="false">'Dish Database'!P344*H1319/100</f>
        <v>450</v>
      </c>
    </row>
    <row r="1320" customFormat="false" ht="15" hidden="false" customHeight="false" outlineLevel="0" collapsed="false">
      <c r="A1320" s="6" t="str">
        <f aca="false">'Dish Database'!A344</f>
        <v>D343</v>
      </c>
      <c r="B1320" s="6" t="str">
        <f aca="false">'Dish Database'!B344</f>
        <v>Mutton sukka</v>
      </c>
      <c r="C1320" s="6" t="str">
        <f aca="false">'Dish Database'!D344</f>
        <v>Non-Veg Curries</v>
      </c>
      <c r="D1320" s="6" t="str">
        <f aca="false">'Dish Database'!F344</f>
        <v>Non-Veg</v>
      </c>
      <c r="E1320" s="6" t="str">
        <f aca="false">'Dish Database'!E344</f>
        <v>South</v>
      </c>
      <c r="F1320" s="6" t="s">
        <v>2246</v>
      </c>
      <c r="G1320" s="6" t="s">
        <v>2322</v>
      </c>
      <c r="H1320" s="16" t="n">
        <v>150</v>
      </c>
      <c r="I1320" s="6" t="str">
        <f aca="false">'Dish Database'!I344</f>
        <v>g</v>
      </c>
      <c r="J1320" s="13" t="n">
        <f aca="false">'Dish Database'!J344*H1320/100</f>
        <v>321</v>
      </c>
      <c r="K1320" s="17" t="n">
        <f aca="false">'Dish Database'!K344*H1320/100</f>
        <v>27</v>
      </c>
      <c r="L1320" s="17" t="n">
        <f aca="false">'Dish Database'!L344*H1320/100</f>
        <v>7.5</v>
      </c>
      <c r="M1320" s="17" t="n">
        <f aca="false">'Dish Database'!M344*H1320/100</f>
        <v>21</v>
      </c>
      <c r="N1320" s="17" t="n">
        <f aca="false">'Dish Database'!N344*H1320/100</f>
        <v>3</v>
      </c>
      <c r="O1320" s="17" t="n">
        <f aca="false">'Dish Database'!O344*H1320/100</f>
        <v>2.25</v>
      </c>
      <c r="P1320" s="13" t="n">
        <f aca="false">'Dish Database'!P344*H1320/100</f>
        <v>675</v>
      </c>
    </row>
    <row r="1321" customFormat="false" ht="15" hidden="false" customHeight="false" outlineLevel="0" collapsed="false">
      <c r="A1321" s="6" t="str">
        <f aca="false">'Dish Database'!A344</f>
        <v>D343</v>
      </c>
      <c r="B1321" s="6" t="str">
        <f aca="false">'Dish Database'!B344</f>
        <v>Mutton sukka</v>
      </c>
      <c r="C1321" s="6" t="str">
        <f aca="false">'Dish Database'!D344</f>
        <v>Non-Veg Curries</v>
      </c>
      <c r="D1321" s="6" t="str">
        <f aca="false">'Dish Database'!F344</f>
        <v>Non-Veg</v>
      </c>
      <c r="E1321" s="6" t="str">
        <f aca="false">'Dish Database'!E344</f>
        <v>South</v>
      </c>
      <c r="F1321" s="6" t="s">
        <v>2323</v>
      </c>
      <c r="G1321" s="6" t="s">
        <v>2324</v>
      </c>
      <c r="H1321" s="16" t="n">
        <v>200</v>
      </c>
      <c r="I1321" s="6" t="str">
        <f aca="false">'Dish Database'!I344</f>
        <v>g</v>
      </c>
      <c r="J1321" s="13" t="n">
        <f aca="false">'Dish Database'!J344*H1321/100</f>
        <v>428</v>
      </c>
      <c r="K1321" s="17" t="n">
        <f aca="false">'Dish Database'!K344*H1321/100</f>
        <v>36</v>
      </c>
      <c r="L1321" s="17" t="n">
        <f aca="false">'Dish Database'!L344*H1321/100</f>
        <v>10</v>
      </c>
      <c r="M1321" s="17" t="n">
        <f aca="false">'Dish Database'!M344*H1321/100</f>
        <v>28</v>
      </c>
      <c r="N1321" s="17" t="n">
        <f aca="false">'Dish Database'!N344*H1321/100</f>
        <v>4</v>
      </c>
      <c r="O1321" s="17" t="n">
        <f aca="false">'Dish Database'!O344*H1321/100</f>
        <v>3</v>
      </c>
      <c r="P1321" s="13" t="n">
        <f aca="false">'Dish Database'!P344*H1321/100</f>
        <v>900</v>
      </c>
    </row>
    <row r="1322" customFormat="false" ht="15" hidden="false" customHeight="false" outlineLevel="0" collapsed="false">
      <c r="A1322" s="6" t="str">
        <f aca="false">'Dish Database'!A344</f>
        <v>D343</v>
      </c>
      <c r="B1322" s="6" t="str">
        <f aca="false">'Dish Database'!B344</f>
        <v>Mutton sukka</v>
      </c>
      <c r="C1322" s="6" t="str">
        <f aca="false">'Dish Database'!D344</f>
        <v>Non-Veg Curries</v>
      </c>
      <c r="D1322" s="6" t="str">
        <f aca="false">'Dish Database'!F344</f>
        <v>Non-Veg</v>
      </c>
      <c r="E1322" s="6" t="str">
        <f aca="false">'Dish Database'!E344</f>
        <v>South</v>
      </c>
      <c r="F1322" s="6" t="s">
        <v>2325</v>
      </c>
      <c r="G1322" s="6" t="s">
        <v>2326</v>
      </c>
      <c r="H1322" s="16" t="n">
        <v>400</v>
      </c>
      <c r="I1322" s="6" t="str">
        <f aca="false">'Dish Database'!I344</f>
        <v>g</v>
      </c>
      <c r="J1322" s="13" t="n">
        <f aca="false">'Dish Database'!J344*H1322/100</f>
        <v>856</v>
      </c>
      <c r="K1322" s="17" t="n">
        <f aca="false">'Dish Database'!K344*H1322/100</f>
        <v>72</v>
      </c>
      <c r="L1322" s="17" t="n">
        <f aca="false">'Dish Database'!L344*H1322/100</f>
        <v>20</v>
      </c>
      <c r="M1322" s="17" t="n">
        <f aca="false">'Dish Database'!M344*H1322/100</f>
        <v>56</v>
      </c>
      <c r="N1322" s="17" t="n">
        <f aca="false">'Dish Database'!N344*H1322/100</f>
        <v>8</v>
      </c>
      <c r="O1322" s="17" t="n">
        <f aca="false">'Dish Database'!O344*H1322/100</f>
        <v>6</v>
      </c>
      <c r="P1322" s="13" t="n">
        <f aca="false">'Dish Database'!P344*H1322/100</f>
        <v>1800</v>
      </c>
    </row>
    <row r="1323" customFormat="false" ht="15" hidden="false" customHeight="false" outlineLevel="0" collapsed="false">
      <c r="A1323" s="6" t="str">
        <f aca="false">'Dish Database'!A345</f>
        <v>D344</v>
      </c>
      <c r="B1323" s="6" t="str">
        <f aca="false">'Dish Database'!B345</f>
        <v>Kerala beef fry</v>
      </c>
      <c r="C1323" s="6" t="str">
        <f aca="false">'Dish Database'!D345</f>
        <v>Non-Veg Curries</v>
      </c>
      <c r="D1323" s="6" t="str">
        <f aca="false">'Dish Database'!F345</f>
        <v>Non-Veg</v>
      </c>
      <c r="E1323" s="6" t="str">
        <f aca="false">'Dish Database'!E345</f>
        <v>South</v>
      </c>
      <c r="F1323" s="6" t="s">
        <v>2243</v>
      </c>
      <c r="G1323" s="6" t="s">
        <v>2320</v>
      </c>
      <c r="H1323" s="16" t="n">
        <v>75</v>
      </c>
      <c r="I1323" s="6" t="str">
        <f aca="false">'Dish Database'!I345</f>
        <v>g</v>
      </c>
      <c r="J1323" s="13" t="n">
        <f aca="false">'Dish Database'!J345*H1323/100</f>
        <v>164.7</v>
      </c>
      <c r="K1323" s="17" t="n">
        <f aca="false">'Dish Database'!K345*H1323/100</f>
        <v>15</v>
      </c>
      <c r="L1323" s="17" t="n">
        <f aca="false">'Dish Database'!L345*H1323/100</f>
        <v>3</v>
      </c>
      <c r="M1323" s="17" t="n">
        <f aca="false">'Dish Database'!M345*H1323/100</f>
        <v>10.5</v>
      </c>
      <c r="N1323" s="17" t="n">
        <f aca="false">'Dish Database'!N345*H1323/100</f>
        <v>0.9</v>
      </c>
      <c r="O1323" s="17" t="n">
        <f aca="false">'Dish Database'!O345*H1323/100</f>
        <v>0.75</v>
      </c>
      <c r="P1323" s="13" t="n">
        <f aca="false">'Dish Database'!P345*H1323/100</f>
        <v>337.5</v>
      </c>
    </row>
    <row r="1324" customFormat="false" ht="15" hidden="false" customHeight="false" outlineLevel="0" collapsed="false">
      <c r="A1324" s="6" t="str">
        <f aca="false">'Dish Database'!A345</f>
        <v>D344</v>
      </c>
      <c r="B1324" s="6" t="str">
        <f aca="false">'Dish Database'!B345</f>
        <v>Kerala beef fry</v>
      </c>
      <c r="C1324" s="6" t="str">
        <f aca="false">'Dish Database'!D345</f>
        <v>Non-Veg Curries</v>
      </c>
      <c r="D1324" s="6" t="str">
        <f aca="false">'Dish Database'!F345</f>
        <v>Non-Veg</v>
      </c>
      <c r="E1324" s="6" t="str">
        <f aca="false">'Dish Database'!E345</f>
        <v>South</v>
      </c>
      <c r="F1324" s="6" t="s">
        <v>103</v>
      </c>
      <c r="G1324" s="6" t="s">
        <v>2321</v>
      </c>
      <c r="H1324" s="16" t="n">
        <v>100</v>
      </c>
      <c r="I1324" s="6" t="str">
        <f aca="false">'Dish Database'!I345</f>
        <v>g</v>
      </c>
      <c r="J1324" s="13" t="n">
        <f aca="false">'Dish Database'!J345*H1324/100</f>
        <v>219.6</v>
      </c>
      <c r="K1324" s="17" t="n">
        <f aca="false">'Dish Database'!K345*H1324/100</f>
        <v>20</v>
      </c>
      <c r="L1324" s="17" t="n">
        <f aca="false">'Dish Database'!L345*H1324/100</f>
        <v>4</v>
      </c>
      <c r="M1324" s="17" t="n">
        <f aca="false">'Dish Database'!M345*H1324/100</f>
        <v>14</v>
      </c>
      <c r="N1324" s="17" t="n">
        <f aca="false">'Dish Database'!N345*H1324/100</f>
        <v>1.2</v>
      </c>
      <c r="O1324" s="17" t="n">
        <f aca="false">'Dish Database'!O345*H1324/100</f>
        <v>1</v>
      </c>
      <c r="P1324" s="13" t="n">
        <f aca="false">'Dish Database'!P345*H1324/100</f>
        <v>450</v>
      </c>
    </row>
    <row r="1325" customFormat="false" ht="15" hidden="false" customHeight="false" outlineLevel="0" collapsed="false">
      <c r="A1325" s="6" t="str">
        <f aca="false">'Dish Database'!A345</f>
        <v>D344</v>
      </c>
      <c r="B1325" s="6" t="str">
        <f aca="false">'Dish Database'!B345</f>
        <v>Kerala beef fry</v>
      </c>
      <c r="C1325" s="6" t="str">
        <f aca="false">'Dish Database'!D345</f>
        <v>Non-Veg Curries</v>
      </c>
      <c r="D1325" s="6" t="str">
        <f aca="false">'Dish Database'!F345</f>
        <v>Non-Veg</v>
      </c>
      <c r="E1325" s="6" t="str">
        <f aca="false">'Dish Database'!E345</f>
        <v>South</v>
      </c>
      <c r="F1325" s="6" t="s">
        <v>2246</v>
      </c>
      <c r="G1325" s="6" t="s">
        <v>2322</v>
      </c>
      <c r="H1325" s="16" t="n">
        <v>150</v>
      </c>
      <c r="I1325" s="6" t="str">
        <f aca="false">'Dish Database'!I345</f>
        <v>g</v>
      </c>
      <c r="J1325" s="13" t="n">
        <f aca="false">'Dish Database'!J345*H1325/100</f>
        <v>329.4</v>
      </c>
      <c r="K1325" s="17" t="n">
        <f aca="false">'Dish Database'!K345*H1325/100</f>
        <v>30</v>
      </c>
      <c r="L1325" s="17" t="n">
        <f aca="false">'Dish Database'!L345*H1325/100</f>
        <v>6</v>
      </c>
      <c r="M1325" s="17" t="n">
        <f aca="false">'Dish Database'!M345*H1325/100</f>
        <v>21</v>
      </c>
      <c r="N1325" s="17" t="n">
        <f aca="false">'Dish Database'!N345*H1325/100</f>
        <v>1.8</v>
      </c>
      <c r="O1325" s="17" t="n">
        <f aca="false">'Dish Database'!O345*H1325/100</f>
        <v>1.5</v>
      </c>
      <c r="P1325" s="13" t="n">
        <f aca="false">'Dish Database'!P345*H1325/100</f>
        <v>675</v>
      </c>
    </row>
    <row r="1326" customFormat="false" ht="15" hidden="false" customHeight="false" outlineLevel="0" collapsed="false">
      <c r="A1326" s="6" t="str">
        <f aca="false">'Dish Database'!A345</f>
        <v>D344</v>
      </c>
      <c r="B1326" s="6" t="str">
        <f aca="false">'Dish Database'!B345</f>
        <v>Kerala beef fry</v>
      </c>
      <c r="C1326" s="6" t="str">
        <f aca="false">'Dish Database'!D345</f>
        <v>Non-Veg Curries</v>
      </c>
      <c r="D1326" s="6" t="str">
        <f aca="false">'Dish Database'!F345</f>
        <v>Non-Veg</v>
      </c>
      <c r="E1326" s="6" t="str">
        <f aca="false">'Dish Database'!E345</f>
        <v>South</v>
      </c>
      <c r="F1326" s="6" t="s">
        <v>2323</v>
      </c>
      <c r="G1326" s="6" t="s">
        <v>2324</v>
      </c>
      <c r="H1326" s="16" t="n">
        <v>200</v>
      </c>
      <c r="I1326" s="6" t="str">
        <f aca="false">'Dish Database'!I345</f>
        <v>g</v>
      </c>
      <c r="J1326" s="13" t="n">
        <f aca="false">'Dish Database'!J345*H1326/100</f>
        <v>439.2</v>
      </c>
      <c r="K1326" s="17" t="n">
        <f aca="false">'Dish Database'!K345*H1326/100</f>
        <v>40</v>
      </c>
      <c r="L1326" s="17" t="n">
        <f aca="false">'Dish Database'!L345*H1326/100</f>
        <v>8</v>
      </c>
      <c r="M1326" s="17" t="n">
        <f aca="false">'Dish Database'!M345*H1326/100</f>
        <v>28</v>
      </c>
      <c r="N1326" s="17" t="n">
        <f aca="false">'Dish Database'!N345*H1326/100</f>
        <v>2.4</v>
      </c>
      <c r="O1326" s="17" t="n">
        <f aca="false">'Dish Database'!O345*H1326/100</f>
        <v>2</v>
      </c>
      <c r="P1326" s="13" t="n">
        <f aca="false">'Dish Database'!P345*H1326/100</f>
        <v>900</v>
      </c>
    </row>
    <row r="1327" customFormat="false" ht="15" hidden="false" customHeight="false" outlineLevel="0" collapsed="false">
      <c r="A1327" s="6" t="str">
        <f aca="false">'Dish Database'!A345</f>
        <v>D344</v>
      </c>
      <c r="B1327" s="6" t="str">
        <f aca="false">'Dish Database'!B345</f>
        <v>Kerala beef fry</v>
      </c>
      <c r="C1327" s="6" t="str">
        <f aca="false">'Dish Database'!D345</f>
        <v>Non-Veg Curries</v>
      </c>
      <c r="D1327" s="6" t="str">
        <f aca="false">'Dish Database'!F345</f>
        <v>Non-Veg</v>
      </c>
      <c r="E1327" s="6" t="str">
        <f aca="false">'Dish Database'!E345</f>
        <v>South</v>
      </c>
      <c r="F1327" s="6" t="s">
        <v>2325</v>
      </c>
      <c r="G1327" s="6" t="s">
        <v>2326</v>
      </c>
      <c r="H1327" s="16" t="n">
        <v>400</v>
      </c>
      <c r="I1327" s="6" t="str">
        <f aca="false">'Dish Database'!I345</f>
        <v>g</v>
      </c>
      <c r="J1327" s="13" t="n">
        <f aca="false">'Dish Database'!J345*H1327/100</f>
        <v>878.4</v>
      </c>
      <c r="K1327" s="17" t="n">
        <f aca="false">'Dish Database'!K345*H1327/100</f>
        <v>80</v>
      </c>
      <c r="L1327" s="17" t="n">
        <f aca="false">'Dish Database'!L345*H1327/100</f>
        <v>16</v>
      </c>
      <c r="M1327" s="17" t="n">
        <f aca="false">'Dish Database'!M345*H1327/100</f>
        <v>56</v>
      </c>
      <c r="N1327" s="17" t="n">
        <f aca="false">'Dish Database'!N345*H1327/100</f>
        <v>4.8</v>
      </c>
      <c r="O1327" s="17" t="n">
        <f aca="false">'Dish Database'!O345*H1327/100</f>
        <v>4</v>
      </c>
      <c r="P1327" s="13" t="n">
        <f aca="false">'Dish Database'!P345*H1327/100</f>
        <v>1800</v>
      </c>
    </row>
    <row r="1328" customFormat="false" ht="15" hidden="false" customHeight="false" outlineLevel="0" collapsed="false">
      <c r="A1328" s="6" t="str">
        <f aca="false">'Dish Database'!A346</f>
        <v>D345</v>
      </c>
      <c r="B1328" s="6" t="str">
        <f aca="false">'Dish Database'!B346</f>
        <v>Beef curry (Kerala)</v>
      </c>
      <c r="C1328" s="6" t="str">
        <f aca="false">'Dish Database'!D346</f>
        <v>Non-Veg Curries</v>
      </c>
      <c r="D1328" s="6" t="str">
        <f aca="false">'Dish Database'!F346</f>
        <v>Non-Veg</v>
      </c>
      <c r="E1328" s="6" t="str">
        <f aca="false">'Dish Database'!E346</f>
        <v>South</v>
      </c>
      <c r="F1328" s="6" t="s">
        <v>2243</v>
      </c>
      <c r="G1328" s="6" t="s">
        <v>2500</v>
      </c>
      <c r="H1328" s="16" t="n">
        <v>100</v>
      </c>
      <c r="I1328" s="6" t="str">
        <f aca="false">'Dish Database'!I346</f>
        <v>g</v>
      </c>
      <c r="J1328" s="13" t="n">
        <f aca="false">'Dish Database'!J346*H1328/100</f>
        <v>169</v>
      </c>
      <c r="K1328" s="17" t="n">
        <f aca="false">'Dish Database'!K346*H1328/100</f>
        <v>14</v>
      </c>
      <c r="L1328" s="17" t="n">
        <f aca="false">'Dish Database'!L346*H1328/100</f>
        <v>4</v>
      </c>
      <c r="M1328" s="17" t="n">
        <f aca="false">'Dish Database'!M346*H1328/100</f>
        <v>11</v>
      </c>
      <c r="N1328" s="17" t="n">
        <f aca="false">'Dish Database'!N346*H1328/100</f>
        <v>1</v>
      </c>
      <c r="O1328" s="17" t="n">
        <f aca="false">'Dish Database'!O346*H1328/100</f>
        <v>1.5</v>
      </c>
      <c r="P1328" s="13" t="n">
        <f aca="false">'Dish Database'!P346*H1328/100</f>
        <v>420</v>
      </c>
    </row>
    <row r="1329" customFormat="false" ht="15" hidden="false" customHeight="false" outlineLevel="0" collapsed="false">
      <c r="A1329" s="6" t="str">
        <f aca="false">'Dish Database'!A346</f>
        <v>D345</v>
      </c>
      <c r="B1329" s="6" t="str">
        <f aca="false">'Dish Database'!B346</f>
        <v>Beef curry (Kerala)</v>
      </c>
      <c r="C1329" s="6" t="str">
        <f aca="false">'Dish Database'!D346</f>
        <v>Non-Veg Curries</v>
      </c>
      <c r="D1329" s="6" t="str">
        <f aca="false">'Dish Database'!F346</f>
        <v>Non-Veg</v>
      </c>
      <c r="E1329" s="6" t="str">
        <f aca="false">'Dish Database'!E346</f>
        <v>South</v>
      </c>
      <c r="F1329" s="6" t="s">
        <v>103</v>
      </c>
      <c r="G1329" s="6" t="s">
        <v>2501</v>
      </c>
      <c r="H1329" s="16" t="n">
        <v>150</v>
      </c>
      <c r="I1329" s="6" t="str">
        <f aca="false">'Dish Database'!I346</f>
        <v>g</v>
      </c>
      <c r="J1329" s="13" t="n">
        <f aca="false">'Dish Database'!J346*H1329/100</f>
        <v>253.5</v>
      </c>
      <c r="K1329" s="17" t="n">
        <f aca="false">'Dish Database'!K346*H1329/100</f>
        <v>21</v>
      </c>
      <c r="L1329" s="17" t="n">
        <f aca="false">'Dish Database'!L346*H1329/100</f>
        <v>6</v>
      </c>
      <c r="M1329" s="17" t="n">
        <f aca="false">'Dish Database'!M346*H1329/100</f>
        <v>16.5</v>
      </c>
      <c r="N1329" s="17" t="n">
        <f aca="false">'Dish Database'!N346*H1329/100</f>
        <v>1.5</v>
      </c>
      <c r="O1329" s="17" t="n">
        <f aca="false">'Dish Database'!O346*H1329/100</f>
        <v>2.25</v>
      </c>
      <c r="P1329" s="13" t="n">
        <f aca="false">'Dish Database'!P346*H1329/100</f>
        <v>630</v>
      </c>
    </row>
    <row r="1330" customFormat="false" ht="15" hidden="false" customHeight="false" outlineLevel="0" collapsed="false">
      <c r="A1330" s="6" t="str">
        <f aca="false">'Dish Database'!A346</f>
        <v>D345</v>
      </c>
      <c r="B1330" s="6" t="str">
        <f aca="false">'Dish Database'!B346</f>
        <v>Beef curry (Kerala)</v>
      </c>
      <c r="C1330" s="6" t="str">
        <f aca="false">'Dish Database'!D346</f>
        <v>Non-Veg Curries</v>
      </c>
      <c r="D1330" s="6" t="str">
        <f aca="false">'Dish Database'!F346</f>
        <v>Non-Veg</v>
      </c>
      <c r="E1330" s="6" t="str">
        <f aca="false">'Dish Database'!E346</f>
        <v>South</v>
      </c>
      <c r="F1330" s="6" t="s">
        <v>2246</v>
      </c>
      <c r="G1330" s="6" t="s">
        <v>2502</v>
      </c>
      <c r="H1330" s="16" t="n">
        <v>200</v>
      </c>
      <c r="I1330" s="6" t="str">
        <f aca="false">'Dish Database'!I346</f>
        <v>g</v>
      </c>
      <c r="J1330" s="13" t="n">
        <f aca="false">'Dish Database'!J346*H1330/100</f>
        <v>338</v>
      </c>
      <c r="K1330" s="17" t="n">
        <f aca="false">'Dish Database'!K346*H1330/100</f>
        <v>28</v>
      </c>
      <c r="L1330" s="17" t="n">
        <f aca="false">'Dish Database'!L346*H1330/100</f>
        <v>8</v>
      </c>
      <c r="M1330" s="17" t="n">
        <f aca="false">'Dish Database'!M346*H1330/100</f>
        <v>22</v>
      </c>
      <c r="N1330" s="17" t="n">
        <f aca="false">'Dish Database'!N346*H1330/100</f>
        <v>2</v>
      </c>
      <c r="O1330" s="17" t="n">
        <f aca="false">'Dish Database'!O346*H1330/100</f>
        <v>3</v>
      </c>
      <c r="P1330" s="13" t="n">
        <f aca="false">'Dish Database'!P346*H1330/100</f>
        <v>840</v>
      </c>
    </row>
    <row r="1331" customFormat="false" ht="15" hidden="false" customHeight="false" outlineLevel="0" collapsed="false">
      <c r="A1331" s="6" t="str">
        <f aca="false">'Dish Database'!A346</f>
        <v>D345</v>
      </c>
      <c r="B1331" s="6" t="str">
        <f aca="false">'Dish Database'!B346</f>
        <v>Beef curry (Kerala)</v>
      </c>
      <c r="C1331" s="6" t="str">
        <f aca="false">'Dish Database'!D346</f>
        <v>Non-Veg Curries</v>
      </c>
      <c r="D1331" s="6" t="str">
        <f aca="false">'Dish Database'!F346</f>
        <v>Non-Veg</v>
      </c>
      <c r="E1331" s="6" t="str">
        <f aca="false">'Dish Database'!E346</f>
        <v>South</v>
      </c>
      <c r="F1331" s="6" t="s">
        <v>2323</v>
      </c>
      <c r="G1331" s="6" t="s">
        <v>2503</v>
      </c>
      <c r="H1331" s="16" t="n">
        <v>250</v>
      </c>
      <c r="I1331" s="6" t="str">
        <f aca="false">'Dish Database'!I346</f>
        <v>g</v>
      </c>
      <c r="J1331" s="13" t="n">
        <f aca="false">'Dish Database'!J346*H1331/100</f>
        <v>422.5</v>
      </c>
      <c r="K1331" s="17" t="n">
        <f aca="false">'Dish Database'!K346*H1331/100</f>
        <v>35</v>
      </c>
      <c r="L1331" s="17" t="n">
        <f aca="false">'Dish Database'!L346*H1331/100</f>
        <v>10</v>
      </c>
      <c r="M1331" s="17" t="n">
        <f aca="false">'Dish Database'!M346*H1331/100</f>
        <v>27.5</v>
      </c>
      <c r="N1331" s="17" t="n">
        <f aca="false">'Dish Database'!N346*H1331/100</f>
        <v>2.5</v>
      </c>
      <c r="O1331" s="17" t="n">
        <f aca="false">'Dish Database'!O346*H1331/100</f>
        <v>3.75</v>
      </c>
      <c r="P1331" s="13" t="n">
        <f aca="false">'Dish Database'!P346*H1331/100</f>
        <v>1050</v>
      </c>
    </row>
    <row r="1332" customFormat="false" ht="15" hidden="false" customHeight="false" outlineLevel="0" collapsed="false">
      <c r="A1332" s="6" t="str">
        <f aca="false">'Dish Database'!A346</f>
        <v>D345</v>
      </c>
      <c r="B1332" s="6" t="str">
        <f aca="false">'Dish Database'!B346</f>
        <v>Beef curry (Kerala)</v>
      </c>
      <c r="C1332" s="6" t="str">
        <f aca="false">'Dish Database'!D346</f>
        <v>Non-Veg Curries</v>
      </c>
      <c r="D1332" s="6" t="str">
        <f aca="false">'Dish Database'!F346</f>
        <v>Non-Veg</v>
      </c>
      <c r="E1332" s="6" t="str">
        <f aca="false">'Dish Database'!E346</f>
        <v>South</v>
      </c>
      <c r="F1332" s="6" t="s">
        <v>2325</v>
      </c>
      <c r="G1332" s="6" t="s">
        <v>2504</v>
      </c>
      <c r="H1332" s="16" t="n">
        <v>500</v>
      </c>
      <c r="I1332" s="6" t="str">
        <f aca="false">'Dish Database'!I346</f>
        <v>g</v>
      </c>
      <c r="J1332" s="13" t="n">
        <f aca="false">'Dish Database'!J346*H1332/100</f>
        <v>845</v>
      </c>
      <c r="K1332" s="17" t="n">
        <f aca="false">'Dish Database'!K346*H1332/100</f>
        <v>70</v>
      </c>
      <c r="L1332" s="17" t="n">
        <f aca="false">'Dish Database'!L346*H1332/100</f>
        <v>20</v>
      </c>
      <c r="M1332" s="17" t="n">
        <f aca="false">'Dish Database'!M346*H1332/100</f>
        <v>55</v>
      </c>
      <c r="N1332" s="17" t="n">
        <f aca="false">'Dish Database'!N346*H1332/100</f>
        <v>5</v>
      </c>
      <c r="O1332" s="17" t="n">
        <f aca="false">'Dish Database'!O346*H1332/100</f>
        <v>7.5</v>
      </c>
      <c r="P1332" s="13" t="n">
        <f aca="false">'Dish Database'!P346*H1332/100</f>
        <v>2100</v>
      </c>
    </row>
    <row r="1333" customFormat="false" ht="15" hidden="false" customHeight="false" outlineLevel="0" collapsed="false">
      <c r="A1333" s="6" t="str">
        <f aca="false">'Dish Database'!A347</f>
        <v>D346</v>
      </c>
      <c r="B1333" s="6" t="str">
        <f aca="false">'Dish Database'!B347</f>
        <v>Pork vindaloo</v>
      </c>
      <c r="C1333" s="6" t="str">
        <f aca="false">'Dish Database'!D347</f>
        <v>Non-Veg Curries</v>
      </c>
      <c r="D1333" s="6" t="str">
        <f aca="false">'Dish Database'!F347</f>
        <v>Non-Veg</v>
      </c>
      <c r="E1333" s="6" t="str">
        <f aca="false">'Dish Database'!E347</f>
        <v>West</v>
      </c>
      <c r="F1333" s="6" t="s">
        <v>2243</v>
      </c>
      <c r="G1333" s="6" t="s">
        <v>2500</v>
      </c>
      <c r="H1333" s="16" t="n">
        <v>100</v>
      </c>
      <c r="I1333" s="6" t="str">
        <f aca="false">'Dish Database'!I347</f>
        <v>g</v>
      </c>
      <c r="J1333" s="13" t="n">
        <f aca="false">'Dish Database'!J347*H1333/100</f>
        <v>228</v>
      </c>
      <c r="K1333" s="17" t="n">
        <f aca="false">'Dish Database'!K347*H1333/100</f>
        <v>13</v>
      </c>
      <c r="L1333" s="17" t="n">
        <f aca="false">'Dish Database'!L347*H1333/100</f>
        <v>4</v>
      </c>
      <c r="M1333" s="17" t="n">
        <f aca="false">'Dish Database'!M347*H1333/100</f>
        <v>18</v>
      </c>
      <c r="N1333" s="17" t="n">
        <f aca="false">'Dish Database'!N347*H1333/100</f>
        <v>1</v>
      </c>
      <c r="O1333" s="17" t="n">
        <f aca="false">'Dish Database'!O347*H1333/100</f>
        <v>2.5</v>
      </c>
      <c r="P1333" s="13" t="n">
        <f aca="false">'Dish Database'!P347*H1333/100</f>
        <v>500</v>
      </c>
    </row>
    <row r="1334" customFormat="false" ht="15" hidden="false" customHeight="false" outlineLevel="0" collapsed="false">
      <c r="A1334" s="6" t="str">
        <f aca="false">'Dish Database'!A347</f>
        <v>D346</v>
      </c>
      <c r="B1334" s="6" t="str">
        <f aca="false">'Dish Database'!B347</f>
        <v>Pork vindaloo</v>
      </c>
      <c r="C1334" s="6" t="str">
        <f aca="false">'Dish Database'!D347</f>
        <v>Non-Veg Curries</v>
      </c>
      <c r="D1334" s="6" t="str">
        <f aca="false">'Dish Database'!F347</f>
        <v>Non-Veg</v>
      </c>
      <c r="E1334" s="6" t="str">
        <f aca="false">'Dish Database'!E347</f>
        <v>West</v>
      </c>
      <c r="F1334" s="6" t="s">
        <v>103</v>
      </c>
      <c r="G1334" s="6" t="s">
        <v>2501</v>
      </c>
      <c r="H1334" s="16" t="n">
        <v>150</v>
      </c>
      <c r="I1334" s="6" t="str">
        <f aca="false">'Dish Database'!I347</f>
        <v>g</v>
      </c>
      <c r="J1334" s="13" t="n">
        <f aca="false">'Dish Database'!J347*H1334/100</f>
        <v>342</v>
      </c>
      <c r="K1334" s="17" t="n">
        <f aca="false">'Dish Database'!K347*H1334/100</f>
        <v>19.5</v>
      </c>
      <c r="L1334" s="17" t="n">
        <f aca="false">'Dish Database'!L347*H1334/100</f>
        <v>6</v>
      </c>
      <c r="M1334" s="17" t="n">
        <f aca="false">'Dish Database'!M347*H1334/100</f>
        <v>27</v>
      </c>
      <c r="N1334" s="17" t="n">
        <f aca="false">'Dish Database'!N347*H1334/100</f>
        <v>1.5</v>
      </c>
      <c r="O1334" s="17" t="n">
        <f aca="false">'Dish Database'!O347*H1334/100</f>
        <v>3.75</v>
      </c>
      <c r="P1334" s="13" t="n">
        <f aca="false">'Dish Database'!P347*H1334/100</f>
        <v>750</v>
      </c>
    </row>
    <row r="1335" customFormat="false" ht="15" hidden="false" customHeight="false" outlineLevel="0" collapsed="false">
      <c r="A1335" s="6" t="str">
        <f aca="false">'Dish Database'!A347</f>
        <v>D346</v>
      </c>
      <c r="B1335" s="6" t="str">
        <f aca="false">'Dish Database'!B347</f>
        <v>Pork vindaloo</v>
      </c>
      <c r="C1335" s="6" t="str">
        <f aca="false">'Dish Database'!D347</f>
        <v>Non-Veg Curries</v>
      </c>
      <c r="D1335" s="6" t="str">
        <f aca="false">'Dish Database'!F347</f>
        <v>Non-Veg</v>
      </c>
      <c r="E1335" s="6" t="str">
        <f aca="false">'Dish Database'!E347</f>
        <v>West</v>
      </c>
      <c r="F1335" s="6" t="s">
        <v>2246</v>
      </c>
      <c r="G1335" s="6" t="s">
        <v>2502</v>
      </c>
      <c r="H1335" s="16" t="n">
        <v>200</v>
      </c>
      <c r="I1335" s="6" t="str">
        <f aca="false">'Dish Database'!I347</f>
        <v>g</v>
      </c>
      <c r="J1335" s="13" t="n">
        <f aca="false">'Dish Database'!J347*H1335/100</f>
        <v>456</v>
      </c>
      <c r="K1335" s="17" t="n">
        <f aca="false">'Dish Database'!K347*H1335/100</f>
        <v>26</v>
      </c>
      <c r="L1335" s="17" t="n">
        <f aca="false">'Dish Database'!L347*H1335/100</f>
        <v>8</v>
      </c>
      <c r="M1335" s="17" t="n">
        <f aca="false">'Dish Database'!M347*H1335/100</f>
        <v>36</v>
      </c>
      <c r="N1335" s="17" t="n">
        <f aca="false">'Dish Database'!N347*H1335/100</f>
        <v>2</v>
      </c>
      <c r="O1335" s="17" t="n">
        <f aca="false">'Dish Database'!O347*H1335/100</f>
        <v>5</v>
      </c>
      <c r="P1335" s="13" t="n">
        <f aca="false">'Dish Database'!P347*H1335/100</f>
        <v>1000</v>
      </c>
    </row>
    <row r="1336" customFormat="false" ht="15" hidden="false" customHeight="false" outlineLevel="0" collapsed="false">
      <c r="A1336" s="6" t="str">
        <f aca="false">'Dish Database'!A347</f>
        <v>D346</v>
      </c>
      <c r="B1336" s="6" t="str">
        <f aca="false">'Dish Database'!B347</f>
        <v>Pork vindaloo</v>
      </c>
      <c r="C1336" s="6" t="str">
        <f aca="false">'Dish Database'!D347</f>
        <v>Non-Veg Curries</v>
      </c>
      <c r="D1336" s="6" t="str">
        <f aca="false">'Dish Database'!F347</f>
        <v>Non-Veg</v>
      </c>
      <c r="E1336" s="6" t="str">
        <f aca="false">'Dish Database'!E347</f>
        <v>West</v>
      </c>
      <c r="F1336" s="6" t="s">
        <v>2323</v>
      </c>
      <c r="G1336" s="6" t="s">
        <v>2503</v>
      </c>
      <c r="H1336" s="16" t="n">
        <v>250</v>
      </c>
      <c r="I1336" s="6" t="str">
        <f aca="false">'Dish Database'!I347</f>
        <v>g</v>
      </c>
      <c r="J1336" s="13" t="n">
        <f aca="false">'Dish Database'!J347*H1336/100</f>
        <v>570</v>
      </c>
      <c r="K1336" s="17" t="n">
        <f aca="false">'Dish Database'!K347*H1336/100</f>
        <v>32.5</v>
      </c>
      <c r="L1336" s="17" t="n">
        <f aca="false">'Dish Database'!L347*H1336/100</f>
        <v>10</v>
      </c>
      <c r="M1336" s="17" t="n">
        <f aca="false">'Dish Database'!M347*H1336/100</f>
        <v>45</v>
      </c>
      <c r="N1336" s="17" t="n">
        <f aca="false">'Dish Database'!N347*H1336/100</f>
        <v>2.5</v>
      </c>
      <c r="O1336" s="17" t="n">
        <f aca="false">'Dish Database'!O347*H1336/100</f>
        <v>6.25</v>
      </c>
      <c r="P1336" s="13" t="n">
        <f aca="false">'Dish Database'!P347*H1336/100</f>
        <v>1250</v>
      </c>
    </row>
    <row r="1337" customFormat="false" ht="15" hidden="false" customHeight="false" outlineLevel="0" collapsed="false">
      <c r="A1337" s="6" t="str">
        <f aca="false">'Dish Database'!A347</f>
        <v>D346</v>
      </c>
      <c r="B1337" s="6" t="str">
        <f aca="false">'Dish Database'!B347</f>
        <v>Pork vindaloo</v>
      </c>
      <c r="C1337" s="6" t="str">
        <f aca="false">'Dish Database'!D347</f>
        <v>Non-Veg Curries</v>
      </c>
      <c r="D1337" s="6" t="str">
        <f aca="false">'Dish Database'!F347</f>
        <v>Non-Veg</v>
      </c>
      <c r="E1337" s="6" t="str">
        <f aca="false">'Dish Database'!E347</f>
        <v>West</v>
      </c>
      <c r="F1337" s="6" t="s">
        <v>2325</v>
      </c>
      <c r="G1337" s="6" t="s">
        <v>2504</v>
      </c>
      <c r="H1337" s="16" t="n">
        <v>500</v>
      </c>
      <c r="I1337" s="6" t="str">
        <f aca="false">'Dish Database'!I347</f>
        <v>g</v>
      </c>
      <c r="J1337" s="13" t="n">
        <f aca="false">'Dish Database'!J347*H1337/100</f>
        <v>1140</v>
      </c>
      <c r="K1337" s="17" t="n">
        <f aca="false">'Dish Database'!K347*H1337/100</f>
        <v>65</v>
      </c>
      <c r="L1337" s="17" t="n">
        <f aca="false">'Dish Database'!L347*H1337/100</f>
        <v>20</v>
      </c>
      <c r="M1337" s="17" t="n">
        <f aca="false">'Dish Database'!M347*H1337/100</f>
        <v>90</v>
      </c>
      <c r="N1337" s="17" t="n">
        <f aca="false">'Dish Database'!N347*H1337/100</f>
        <v>5</v>
      </c>
      <c r="O1337" s="17" t="n">
        <f aca="false">'Dish Database'!O347*H1337/100</f>
        <v>12.5</v>
      </c>
      <c r="P1337" s="13" t="n">
        <f aca="false">'Dish Database'!P347*H1337/100</f>
        <v>2500</v>
      </c>
    </row>
    <row r="1338" customFormat="false" ht="15" hidden="false" customHeight="false" outlineLevel="0" collapsed="false">
      <c r="A1338" s="6" t="str">
        <f aca="false">'Dish Database'!A348</f>
        <v>D347</v>
      </c>
      <c r="B1338" s="6" t="str">
        <f aca="false">'Dish Database'!B348</f>
        <v>Fish curry (Kerala / coconut)</v>
      </c>
      <c r="C1338" s="6" t="str">
        <f aca="false">'Dish Database'!D348</f>
        <v>Non-Veg Curries</v>
      </c>
      <c r="D1338" s="6" t="str">
        <f aca="false">'Dish Database'!F348</f>
        <v>Non-Veg</v>
      </c>
      <c r="E1338" s="6" t="str">
        <f aca="false">'Dish Database'!E348</f>
        <v>South</v>
      </c>
      <c r="F1338" s="6" t="s">
        <v>2243</v>
      </c>
      <c r="G1338" s="6" t="s">
        <v>2500</v>
      </c>
      <c r="H1338" s="16" t="n">
        <v>100</v>
      </c>
      <c r="I1338" s="6" t="str">
        <f aca="false">'Dish Database'!I348</f>
        <v>g</v>
      </c>
      <c r="J1338" s="13" t="n">
        <f aca="false">'Dish Database'!J348*H1338/100</f>
        <v>121.4</v>
      </c>
      <c r="K1338" s="17" t="n">
        <f aca="false">'Dish Database'!K348*H1338/100</f>
        <v>11</v>
      </c>
      <c r="L1338" s="17" t="n">
        <f aca="false">'Dish Database'!L348*H1338/100</f>
        <v>4</v>
      </c>
      <c r="M1338" s="17" t="n">
        <f aca="false">'Dish Database'!M348*H1338/100</f>
        <v>7</v>
      </c>
      <c r="N1338" s="17" t="n">
        <f aca="false">'Dish Database'!N348*H1338/100</f>
        <v>0.8</v>
      </c>
      <c r="O1338" s="17" t="n">
        <f aca="false">'Dish Database'!O348*H1338/100</f>
        <v>1.5</v>
      </c>
      <c r="P1338" s="13" t="n">
        <f aca="false">'Dish Database'!P348*H1338/100</f>
        <v>450</v>
      </c>
    </row>
    <row r="1339" customFormat="false" ht="15" hidden="false" customHeight="false" outlineLevel="0" collapsed="false">
      <c r="A1339" s="6" t="str">
        <f aca="false">'Dish Database'!A348</f>
        <v>D347</v>
      </c>
      <c r="B1339" s="6" t="str">
        <f aca="false">'Dish Database'!B348</f>
        <v>Fish curry (Kerala / coconut)</v>
      </c>
      <c r="C1339" s="6" t="str">
        <f aca="false">'Dish Database'!D348</f>
        <v>Non-Veg Curries</v>
      </c>
      <c r="D1339" s="6" t="str">
        <f aca="false">'Dish Database'!F348</f>
        <v>Non-Veg</v>
      </c>
      <c r="E1339" s="6" t="str">
        <f aca="false">'Dish Database'!E348</f>
        <v>South</v>
      </c>
      <c r="F1339" s="6" t="s">
        <v>103</v>
      </c>
      <c r="G1339" s="6" t="s">
        <v>2501</v>
      </c>
      <c r="H1339" s="16" t="n">
        <v>150</v>
      </c>
      <c r="I1339" s="6" t="str">
        <f aca="false">'Dish Database'!I348</f>
        <v>g</v>
      </c>
      <c r="J1339" s="13" t="n">
        <f aca="false">'Dish Database'!J348*H1339/100</f>
        <v>182.1</v>
      </c>
      <c r="K1339" s="17" t="n">
        <f aca="false">'Dish Database'!K348*H1339/100</f>
        <v>16.5</v>
      </c>
      <c r="L1339" s="17" t="n">
        <f aca="false">'Dish Database'!L348*H1339/100</f>
        <v>6</v>
      </c>
      <c r="M1339" s="17" t="n">
        <f aca="false">'Dish Database'!M348*H1339/100</f>
        <v>10.5</v>
      </c>
      <c r="N1339" s="17" t="n">
        <f aca="false">'Dish Database'!N348*H1339/100</f>
        <v>1.2</v>
      </c>
      <c r="O1339" s="17" t="n">
        <f aca="false">'Dish Database'!O348*H1339/100</f>
        <v>2.25</v>
      </c>
      <c r="P1339" s="13" t="n">
        <f aca="false">'Dish Database'!P348*H1339/100</f>
        <v>675</v>
      </c>
    </row>
    <row r="1340" customFormat="false" ht="15" hidden="false" customHeight="false" outlineLevel="0" collapsed="false">
      <c r="A1340" s="6" t="str">
        <f aca="false">'Dish Database'!A348</f>
        <v>D347</v>
      </c>
      <c r="B1340" s="6" t="str">
        <f aca="false">'Dish Database'!B348</f>
        <v>Fish curry (Kerala / coconut)</v>
      </c>
      <c r="C1340" s="6" t="str">
        <f aca="false">'Dish Database'!D348</f>
        <v>Non-Veg Curries</v>
      </c>
      <c r="D1340" s="6" t="str">
        <f aca="false">'Dish Database'!F348</f>
        <v>Non-Veg</v>
      </c>
      <c r="E1340" s="6" t="str">
        <f aca="false">'Dish Database'!E348</f>
        <v>South</v>
      </c>
      <c r="F1340" s="6" t="s">
        <v>2246</v>
      </c>
      <c r="G1340" s="6" t="s">
        <v>2502</v>
      </c>
      <c r="H1340" s="16" t="n">
        <v>200</v>
      </c>
      <c r="I1340" s="6" t="str">
        <f aca="false">'Dish Database'!I348</f>
        <v>g</v>
      </c>
      <c r="J1340" s="13" t="n">
        <f aca="false">'Dish Database'!J348*H1340/100</f>
        <v>242.8</v>
      </c>
      <c r="K1340" s="17" t="n">
        <f aca="false">'Dish Database'!K348*H1340/100</f>
        <v>22</v>
      </c>
      <c r="L1340" s="17" t="n">
        <f aca="false">'Dish Database'!L348*H1340/100</f>
        <v>8</v>
      </c>
      <c r="M1340" s="17" t="n">
        <f aca="false">'Dish Database'!M348*H1340/100</f>
        <v>14</v>
      </c>
      <c r="N1340" s="17" t="n">
        <f aca="false">'Dish Database'!N348*H1340/100</f>
        <v>1.6</v>
      </c>
      <c r="O1340" s="17" t="n">
        <f aca="false">'Dish Database'!O348*H1340/100</f>
        <v>3</v>
      </c>
      <c r="P1340" s="13" t="n">
        <f aca="false">'Dish Database'!P348*H1340/100</f>
        <v>900</v>
      </c>
    </row>
    <row r="1341" customFormat="false" ht="15" hidden="false" customHeight="false" outlineLevel="0" collapsed="false">
      <c r="A1341" s="6" t="str">
        <f aca="false">'Dish Database'!A348</f>
        <v>D347</v>
      </c>
      <c r="B1341" s="6" t="str">
        <f aca="false">'Dish Database'!B348</f>
        <v>Fish curry (Kerala / coconut)</v>
      </c>
      <c r="C1341" s="6" t="str">
        <f aca="false">'Dish Database'!D348</f>
        <v>Non-Veg Curries</v>
      </c>
      <c r="D1341" s="6" t="str">
        <f aca="false">'Dish Database'!F348</f>
        <v>Non-Veg</v>
      </c>
      <c r="E1341" s="6" t="str">
        <f aca="false">'Dish Database'!E348</f>
        <v>South</v>
      </c>
      <c r="F1341" s="6" t="s">
        <v>2323</v>
      </c>
      <c r="G1341" s="6" t="s">
        <v>2503</v>
      </c>
      <c r="H1341" s="16" t="n">
        <v>250</v>
      </c>
      <c r="I1341" s="6" t="str">
        <f aca="false">'Dish Database'!I348</f>
        <v>g</v>
      </c>
      <c r="J1341" s="13" t="n">
        <f aca="false">'Dish Database'!J348*H1341/100</f>
        <v>303.5</v>
      </c>
      <c r="K1341" s="17" t="n">
        <f aca="false">'Dish Database'!K348*H1341/100</f>
        <v>27.5</v>
      </c>
      <c r="L1341" s="17" t="n">
        <f aca="false">'Dish Database'!L348*H1341/100</f>
        <v>10</v>
      </c>
      <c r="M1341" s="17" t="n">
        <f aca="false">'Dish Database'!M348*H1341/100</f>
        <v>17.5</v>
      </c>
      <c r="N1341" s="17" t="n">
        <f aca="false">'Dish Database'!N348*H1341/100</f>
        <v>2</v>
      </c>
      <c r="O1341" s="17" t="n">
        <f aca="false">'Dish Database'!O348*H1341/100</f>
        <v>3.75</v>
      </c>
      <c r="P1341" s="13" t="n">
        <f aca="false">'Dish Database'!P348*H1341/100</f>
        <v>1125</v>
      </c>
    </row>
    <row r="1342" customFormat="false" ht="15" hidden="false" customHeight="false" outlineLevel="0" collapsed="false">
      <c r="A1342" s="6" t="str">
        <f aca="false">'Dish Database'!A348</f>
        <v>D347</v>
      </c>
      <c r="B1342" s="6" t="str">
        <f aca="false">'Dish Database'!B348</f>
        <v>Fish curry (Kerala / coconut)</v>
      </c>
      <c r="C1342" s="6" t="str">
        <f aca="false">'Dish Database'!D348</f>
        <v>Non-Veg Curries</v>
      </c>
      <c r="D1342" s="6" t="str">
        <f aca="false">'Dish Database'!F348</f>
        <v>Non-Veg</v>
      </c>
      <c r="E1342" s="6" t="str">
        <f aca="false">'Dish Database'!E348</f>
        <v>South</v>
      </c>
      <c r="F1342" s="6" t="s">
        <v>2325</v>
      </c>
      <c r="G1342" s="6" t="s">
        <v>2504</v>
      </c>
      <c r="H1342" s="16" t="n">
        <v>500</v>
      </c>
      <c r="I1342" s="6" t="str">
        <f aca="false">'Dish Database'!I348</f>
        <v>g</v>
      </c>
      <c r="J1342" s="13" t="n">
        <f aca="false">'Dish Database'!J348*H1342/100</f>
        <v>607</v>
      </c>
      <c r="K1342" s="17" t="n">
        <f aca="false">'Dish Database'!K348*H1342/100</f>
        <v>55</v>
      </c>
      <c r="L1342" s="17" t="n">
        <f aca="false">'Dish Database'!L348*H1342/100</f>
        <v>20</v>
      </c>
      <c r="M1342" s="17" t="n">
        <f aca="false">'Dish Database'!M348*H1342/100</f>
        <v>35</v>
      </c>
      <c r="N1342" s="17" t="n">
        <f aca="false">'Dish Database'!N348*H1342/100</f>
        <v>4</v>
      </c>
      <c r="O1342" s="17" t="n">
        <f aca="false">'Dish Database'!O348*H1342/100</f>
        <v>7.5</v>
      </c>
      <c r="P1342" s="13" t="n">
        <f aca="false">'Dish Database'!P348*H1342/100</f>
        <v>2250</v>
      </c>
    </row>
    <row r="1343" customFormat="false" ht="15" hidden="false" customHeight="false" outlineLevel="0" collapsed="false">
      <c r="A1343" s="6" t="str">
        <f aca="false">'Dish Database'!A349</f>
        <v>D348</v>
      </c>
      <c r="B1343" s="6" t="str">
        <f aca="false">'Dish Database'!B349</f>
        <v>Macher jhol (Bengali fish curry)</v>
      </c>
      <c r="C1343" s="6" t="str">
        <f aca="false">'Dish Database'!D349</f>
        <v>Non-Veg Curries</v>
      </c>
      <c r="D1343" s="6" t="str">
        <f aca="false">'Dish Database'!F349</f>
        <v>Non-Veg</v>
      </c>
      <c r="E1343" s="6" t="str">
        <f aca="false">'Dish Database'!E349</f>
        <v>East</v>
      </c>
      <c r="F1343" s="6" t="s">
        <v>2243</v>
      </c>
      <c r="G1343" s="6" t="s">
        <v>2500</v>
      </c>
      <c r="H1343" s="16" t="n">
        <v>100</v>
      </c>
      <c r="I1343" s="6" t="str">
        <f aca="false">'Dish Database'!I349</f>
        <v>g</v>
      </c>
      <c r="J1343" s="13" t="n">
        <f aca="false">'Dish Database'!J349*H1343/100</f>
        <v>128.1</v>
      </c>
      <c r="K1343" s="17" t="n">
        <f aca="false">'Dish Database'!K349*H1343/100</f>
        <v>12</v>
      </c>
      <c r="L1343" s="17" t="n">
        <f aca="false">'Dish Database'!L349*H1343/100</f>
        <v>3.5</v>
      </c>
      <c r="M1343" s="17" t="n">
        <f aca="false">'Dish Database'!M349*H1343/100</f>
        <v>7.5</v>
      </c>
      <c r="N1343" s="17" t="n">
        <f aca="false">'Dish Database'!N349*H1343/100</f>
        <v>0.7</v>
      </c>
      <c r="O1343" s="17" t="n">
        <f aca="false">'Dish Database'!O349*H1343/100</f>
        <v>1</v>
      </c>
      <c r="P1343" s="13" t="n">
        <f aca="false">'Dish Database'!P349*H1343/100</f>
        <v>420</v>
      </c>
    </row>
    <row r="1344" customFormat="false" ht="15" hidden="false" customHeight="false" outlineLevel="0" collapsed="false">
      <c r="A1344" s="6" t="str">
        <f aca="false">'Dish Database'!A349</f>
        <v>D348</v>
      </c>
      <c r="B1344" s="6" t="str">
        <f aca="false">'Dish Database'!B349</f>
        <v>Macher jhol (Bengali fish curry)</v>
      </c>
      <c r="C1344" s="6" t="str">
        <f aca="false">'Dish Database'!D349</f>
        <v>Non-Veg Curries</v>
      </c>
      <c r="D1344" s="6" t="str">
        <f aca="false">'Dish Database'!F349</f>
        <v>Non-Veg</v>
      </c>
      <c r="E1344" s="6" t="str">
        <f aca="false">'Dish Database'!E349</f>
        <v>East</v>
      </c>
      <c r="F1344" s="6" t="s">
        <v>103</v>
      </c>
      <c r="G1344" s="6" t="s">
        <v>2501</v>
      </c>
      <c r="H1344" s="16" t="n">
        <v>150</v>
      </c>
      <c r="I1344" s="6" t="str">
        <f aca="false">'Dish Database'!I349</f>
        <v>g</v>
      </c>
      <c r="J1344" s="13" t="n">
        <f aca="false">'Dish Database'!J349*H1344/100</f>
        <v>192.15</v>
      </c>
      <c r="K1344" s="17" t="n">
        <f aca="false">'Dish Database'!K349*H1344/100</f>
        <v>18</v>
      </c>
      <c r="L1344" s="17" t="n">
        <f aca="false">'Dish Database'!L349*H1344/100</f>
        <v>5.25</v>
      </c>
      <c r="M1344" s="17" t="n">
        <f aca="false">'Dish Database'!M349*H1344/100</f>
        <v>11.25</v>
      </c>
      <c r="N1344" s="17" t="n">
        <f aca="false">'Dish Database'!N349*H1344/100</f>
        <v>1.05</v>
      </c>
      <c r="O1344" s="17" t="n">
        <f aca="false">'Dish Database'!O349*H1344/100</f>
        <v>1.5</v>
      </c>
      <c r="P1344" s="13" t="n">
        <f aca="false">'Dish Database'!P349*H1344/100</f>
        <v>630</v>
      </c>
    </row>
    <row r="1345" customFormat="false" ht="15" hidden="false" customHeight="false" outlineLevel="0" collapsed="false">
      <c r="A1345" s="6" t="str">
        <f aca="false">'Dish Database'!A349</f>
        <v>D348</v>
      </c>
      <c r="B1345" s="6" t="str">
        <f aca="false">'Dish Database'!B349</f>
        <v>Macher jhol (Bengali fish curry)</v>
      </c>
      <c r="C1345" s="6" t="str">
        <f aca="false">'Dish Database'!D349</f>
        <v>Non-Veg Curries</v>
      </c>
      <c r="D1345" s="6" t="str">
        <f aca="false">'Dish Database'!F349</f>
        <v>Non-Veg</v>
      </c>
      <c r="E1345" s="6" t="str">
        <f aca="false">'Dish Database'!E349</f>
        <v>East</v>
      </c>
      <c r="F1345" s="6" t="s">
        <v>2246</v>
      </c>
      <c r="G1345" s="6" t="s">
        <v>2502</v>
      </c>
      <c r="H1345" s="16" t="n">
        <v>200</v>
      </c>
      <c r="I1345" s="6" t="str">
        <f aca="false">'Dish Database'!I349</f>
        <v>g</v>
      </c>
      <c r="J1345" s="13" t="n">
        <f aca="false">'Dish Database'!J349*H1345/100</f>
        <v>256.2</v>
      </c>
      <c r="K1345" s="17" t="n">
        <f aca="false">'Dish Database'!K349*H1345/100</f>
        <v>24</v>
      </c>
      <c r="L1345" s="17" t="n">
        <f aca="false">'Dish Database'!L349*H1345/100</f>
        <v>7</v>
      </c>
      <c r="M1345" s="17" t="n">
        <f aca="false">'Dish Database'!M349*H1345/100</f>
        <v>15</v>
      </c>
      <c r="N1345" s="17" t="n">
        <f aca="false">'Dish Database'!N349*H1345/100</f>
        <v>1.4</v>
      </c>
      <c r="O1345" s="17" t="n">
        <f aca="false">'Dish Database'!O349*H1345/100</f>
        <v>2</v>
      </c>
      <c r="P1345" s="13" t="n">
        <f aca="false">'Dish Database'!P349*H1345/100</f>
        <v>840</v>
      </c>
    </row>
    <row r="1346" customFormat="false" ht="15" hidden="false" customHeight="false" outlineLevel="0" collapsed="false">
      <c r="A1346" s="6" t="str">
        <f aca="false">'Dish Database'!A349</f>
        <v>D348</v>
      </c>
      <c r="B1346" s="6" t="str">
        <f aca="false">'Dish Database'!B349</f>
        <v>Macher jhol (Bengali fish curry)</v>
      </c>
      <c r="C1346" s="6" t="str">
        <f aca="false">'Dish Database'!D349</f>
        <v>Non-Veg Curries</v>
      </c>
      <c r="D1346" s="6" t="str">
        <f aca="false">'Dish Database'!F349</f>
        <v>Non-Veg</v>
      </c>
      <c r="E1346" s="6" t="str">
        <f aca="false">'Dish Database'!E349</f>
        <v>East</v>
      </c>
      <c r="F1346" s="6" t="s">
        <v>2323</v>
      </c>
      <c r="G1346" s="6" t="s">
        <v>2503</v>
      </c>
      <c r="H1346" s="16" t="n">
        <v>250</v>
      </c>
      <c r="I1346" s="6" t="str">
        <f aca="false">'Dish Database'!I349</f>
        <v>g</v>
      </c>
      <c r="J1346" s="13" t="n">
        <f aca="false">'Dish Database'!J349*H1346/100</f>
        <v>320.25</v>
      </c>
      <c r="K1346" s="17" t="n">
        <f aca="false">'Dish Database'!K349*H1346/100</f>
        <v>30</v>
      </c>
      <c r="L1346" s="17" t="n">
        <f aca="false">'Dish Database'!L349*H1346/100</f>
        <v>8.75</v>
      </c>
      <c r="M1346" s="17" t="n">
        <f aca="false">'Dish Database'!M349*H1346/100</f>
        <v>18.75</v>
      </c>
      <c r="N1346" s="17" t="n">
        <f aca="false">'Dish Database'!N349*H1346/100</f>
        <v>1.75</v>
      </c>
      <c r="O1346" s="17" t="n">
        <f aca="false">'Dish Database'!O349*H1346/100</f>
        <v>2.5</v>
      </c>
      <c r="P1346" s="13" t="n">
        <f aca="false">'Dish Database'!P349*H1346/100</f>
        <v>1050</v>
      </c>
    </row>
    <row r="1347" customFormat="false" ht="15" hidden="false" customHeight="false" outlineLevel="0" collapsed="false">
      <c r="A1347" s="6" t="str">
        <f aca="false">'Dish Database'!A349</f>
        <v>D348</v>
      </c>
      <c r="B1347" s="6" t="str">
        <f aca="false">'Dish Database'!B349</f>
        <v>Macher jhol (Bengali fish curry)</v>
      </c>
      <c r="C1347" s="6" t="str">
        <f aca="false">'Dish Database'!D349</f>
        <v>Non-Veg Curries</v>
      </c>
      <c r="D1347" s="6" t="str">
        <f aca="false">'Dish Database'!F349</f>
        <v>Non-Veg</v>
      </c>
      <c r="E1347" s="6" t="str">
        <f aca="false">'Dish Database'!E349</f>
        <v>East</v>
      </c>
      <c r="F1347" s="6" t="s">
        <v>2325</v>
      </c>
      <c r="G1347" s="6" t="s">
        <v>2504</v>
      </c>
      <c r="H1347" s="16" t="n">
        <v>500</v>
      </c>
      <c r="I1347" s="6" t="str">
        <f aca="false">'Dish Database'!I349</f>
        <v>g</v>
      </c>
      <c r="J1347" s="13" t="n">
        <f aca="false">'Dish Database'!J349*H1347/100</f>
        <v>640.5</v>
      </c>
      <c r="K1347" s="17" t="n">
        <f aca="false">'Dish Database'!K349*H1347/100</f>
        <v>60</v>
      </c>
      <c r="L1347" s="17" t="n">
        <f aca="false">'Dish Database'!L349*H1347/100</f>
        <v>17.5</v>
      </c>
      <c r="M1347" s="17" t="n">
        <f aca="false">'Dish Database'!M349*H1347/100</f>
        <v>37.5</v>
      </c>
      <c r="N1347" s="17" t="n">
        <f aca="false">'Dish Database'!N349*H1347/100</f>
        <v>3.5</v>
      </c>
      <c r="O1347" s="17" t="n">
        <f aca="false">'Dish Database'!O349*H1347/100</f>
        <v>5</v>
      </c>
      <c r="P1347" s="13" t="n">
        <f aca="false">'Dish Database'!P349*H1347/100</f>
        <v>2100</v>
      </c>
    </row>
    <row r="1348" customFormat="false" ht="15" hidden="false" customHeight="false" outlineLevel="0" collapsed="false">
      <c r="A1348" s="6" t="str">
        <f aca="false">'Dish Database'!A350</f>
        <v>D349</v>
      </c>
      <c r="B1348" s="6" t="str">
        <f aca="false">'Dish Database'!B350</f>
        <v>Goan fish curry</v>
      </c>
      <c r="C1348" s="6" t="str">
        <f aca="false">'Dish Database'!D350</f>
        <v>Non-Veg Curries</v>
      </c>
      <c r="D1348" s="6" t="str">
        <f aca="false">'Dish Database'!F350</f>
        <v>Non-Veg</v>
      </c>
      <c r="E1348" s="6" t="str">
        <f aca="false">'Dish Database'!E350</f>
        <v>West</v>
      </c>
      <c r="F1348" s="6" t="s">
        <v>2243</v>
      </c>
      <c r="G1348" s="6" t="s">
        <v>2500</v>
      </c>
      <c r="H1348" s="16" t="n">
        <v>100</v>
      </c>
      <c r="I1348" s="6" t="str">
        <f aca="false">'Dish Database'!I350</f>
        <v>g</v>
      </c>
      <c r="J1348" s="13" t="n">
        <f aca="false">'Dish Database'!J350*H1348/100</f>
        <v>136.5</v>
      </c>
      <c r="K1348" s="17" t="n">
        <f aca="false">'Dish Database'!K350*H1348/100</f>
        <v>11</v>
      </c>
      <c r="L1348" s="17" t="n">
        <f aca="false">'Dish Database'!L350*H1348/100</f>
        <v>4.5</v>
      </c>
      <c r="M1348" s="17" t="n">
        <f aca="false">'Dish Database'!M350*H1348/100</f>
        <v>8.5</v>
      </c>
      <c r="N1348" s="17" t="n">
        <f aca="false">'Dish Database'!N350*H1348/100</f>
        <v>1</v>
      </c>
      <c r="O1348" s="17" t="n">
        <f aca="false">'Dish Database'!O350*H1348/100</f>
        <v>1.5</v>
      </c>
      <c r="P1348" s="13" t="n">
        <f aca="false">'Dish Database'!P350*H1348/100</f>
        <v>450</v>
      </c>
    </row>
    <row r="1349" customFormat="false" ht="15" hidden="false" customHeight="false" outlineLevel="0" collapsed="false">
      <c r="A1349" s="6" t="str">
        <f aca="false">'Dish Database'!A350</f>
        <v>D349</v>
      </c>
      <c r="B1349" s="6" t="str">
        <f aca="false">'Dish Database'!B350</f>
        <v>Goan fish curry</v>
      </c>
      <c r="C1349" s="6" t="str">
        <f aca="false">'Dish Database'!D350</f>
        <v>Non-Veg Curries</v>
      </c>
      <c r="D1349" s="6" t="str">
        <f aca="false">'Dish Database'!F350</f>
        <v>Non-Veg</v>
      </c>
      <c r="E1349" s="6" t="str">
        <f aca="false">'Dish Database'!E350</f>
        <v>West</v>
      </c>
      <c r="F1349" s="6" t="s">
        <v>103</v>
      </c>
      <c r="G1349" s="6" t="s">
        <v>2501</v>
      </c>
      <c r="H1349" s="16" t="n">
        <v>150</v>
      </c>
      <c r="I1349" s="6" t="str">
        <f aca="false">'Dish Database'!I350</f>
        <v>g</v>
      </c>
      <c r="J1349" s="13" t="n">
        <f aca="false">'Dish Database'!J350*H1349/100</f>
        <v>204.75</v>
      </c>
      <c r="K1349" s="17" t="n">
        <f aca="false">'Dish Database'!K350*H1349/100</f>
        <v>16.5</v>
      </c>
      <c r="L1349" s="17" t="n">
        <f aca="false">'Dish Database'!L350*H1349/100</f>
        <v>6.75</v>
      </c>
      <c r="M1349" s="17" t="n">
        <f aca="false">'Dish Database'!M350*H1349/100</f>
        <v>12.75</v>
      </c>
      <c r="N1349" s="17" t="n">
        <f aca="false">'Dish Database'!N350*H1349/100</f>
        <v>1.5</v>
      </c>
      <c r="O1349" s="17" t="n">
        <f aca="false">'Dish Database'!O350*H1349/100</f>
        <v>2.25</v>
      </c>
      <c r="P1349" s="13" t="n">
        <f aca="false">'Dish Database'!P350*H1349/100</f>
        <v>675</v>
      </c>
    </row>
    <row r="1350" customFormat="false" ht="15" hidden="false" customHeight="false" outlineLevel="0" collapsed="false">
      <c r="A1350" s="6" t="str">
        <f aca="false">'Dish Database'!A350</f>
        <v>D349</v>
      </c>
      <c r="B1350" s="6" t="str">
        <f aca="false">'Dish Database'!B350</f>
        <v>Goan fish curry</v>
      </c>
      <c r="C1350" s="6" t="str">
        <f aca="false">'Dish Database'!D350</f>
        <v>Non-Veg Curries</v>
      </c>
      <c r="D1350" s="6" t="str">
        <f aca="false">'Dish Database'!F350</f>
        <v>Non-Veg</v>
      </c>
      <c r="E1350" s="6" t="str">
        <f aca="false">'Dish Database'!E350</f>
        <v>West</v>
      </c>
      <c r="F1350" s="6" t="s">
        <v>2246</v>
      </c>
      <c r="G1350" s="6" t="s">
        <v>2502</v>
      </c>
      <c r="H1350" s="16" t="n">
        <v>200</v>
      </c>
      <c r="I1350" s="6" t="str">
        <f aca="false">'Dish Database'!I350</f>
        <v>g</v>
      </c>
      <c r="J1350" s="13" t="n">
        <f aca="false">'Dish Database'!J350*H1350/100</f>
        <v>273</v>
      </c>
      <c r="K1350" s="17" t="n">
        <f aca="false">'Dish Database'!K350*H1350/100</f>
        <v>22</v>
      </c>
      <c r="L1350" s="17" t="n">
        <f aca="false">'Dish Database'!L350*H1350/100</f>
        <v>9</v>
      </c>
      <c r="M1350" s="17" t="n">
        <f aca="false">'Dish Database'!M350*H1350/100</f>
        <v>17</v>
      </c>
      <c r="N1350" s="17" t="n">
        <f aca="false">'Dish Database'!N350*H1350/100</f>
        <v>2</v>
      </c>
      <c r="O1350" s="17" t="n">
        <f aca="false">'Dish Database'!O350*H1350/100</f>
        <v>3</v>
      </c>
      <c r="P1350" s="13" t="n">
        <f aca="false">'Dish Database'!P350*H1350/100</f>
        <v>900</v>
      </c>
    </row>
    <row r="1351" customFormat="false" ht="15" hidden="false" customHeight="false" outlineLevel="0" collapsed="false">
      <c r="A1351" s="6" t="str">
        <f aca="false">'Dish Database'!A350</f>
        <v>D349</v>
      </c>
      <c r="B1351" s="6" t="str">
        <f aca="false">'Dish Database'!B350</f>
        <v>Goan fish curry</v>
      </c>
      <c r="C1351" s="6" t="str">
        <f aca="false">'Dish Database'!D350</f>
        <v>Non-Veg Curries</v>
      </c>
      <c r="D1351" s="6" t="str">
        <f aca="false">'Dish Database'!F350</f>
        <v>Non-Veg</v>
      </c>
      <c r="E1351" s="6" t="str">
        <f aca="false">'Dish Database'!E350</f>
        <v>West</v>
      </c>
      <c r="F1351" s="6" t="s">
        <v>2323</v>
      </c>
      <c r="G1351" s="6" t="s">
        <v>2503</v>
      </c>
      <c r="H1351" s="16" t="n">
        <v>250</v>
      </c>
      <c r="I1351" s="6" t="str">
        <f aca="false">'Dish Database'!I350</f>
        <v>g</v>
      </c>
      <c r="J1351" s="13" t="n">
        <f aca="false">'Dish Database'!J350*H1351/100</f>
        <v>341.25</v>
      </c>
      <c r="K1351" s="17" t="n">
        <f aca="false">'Dish Database'!K350*H1351/100</f>
        <v>27.5</v>
      </c>
      <c r="L1351" s="17" t="n">
        <f aca="false">'Dish Database'!L350*H1351/100</f>
        <v>11.25</v>
      </c>
      <c r="M1351" s="17" t="n">
        <f aca="false">'Dish Database'!M350*H1351/100</f>
        <v>21.25</v>
      </c>
      <c r="N1351" s="17" t="n">
        <f aca="false">'Dish Database'!N350*H1351/100</f>
        <v>2.5</v>
      </c>
      <c r="O1351" s="17" t="n">
        <f aca="false">'Dish Database'!O350*H1351/100</f>
        <v>3.75</v>
      </c>
      <c r="P1351" s="13" t="n">
        <f aca="false">'Dish Database'!P350*H1351/100</f>
        <v>1125</v>
      </c>
    </row>
    <row r="1352" customFormat="false" ht="15" hidden="false" customHeight="false" outlineLevel="0" collapsed="false">
      <c r="A1352" s="6" t="str">
        <f aca="false">'Dish Database'!A350</f>
        <v>D349</v>
      </c>
      <c r="B1352" s="6" t="str">
        <f aca="false">'Dish Database'!B350</f>
        <v>Goan fish curry</v>
      </c>
      <c r="C1352" s="6" t="str">
        <f aca="false">'Dish Database'!D350</f>
        <v>Non-Veg Curries</v>
      </c>
      <c r="D1352" s="6" t="str">
        <f aca="false">'Dish Database'!F350</f>
        <v>Non-Veg</v>
      </c>
      <c r="E1352" s="6" t="str">
        <f aca="false">'Dish Database'!E350</f>
        <v>West</v>
      </c>
      <c r="F1352" s="6" t="s">
        <v>2325</v>
      </c>
      <c r="G1352" s="6" t="s">
        <v>2504</v>
      </c>
      <c r="H1352" s="16" t="n">
        <v>500</v>
      </c>
      <c r="I1352" s="6" t="str">
        <f aca="false">'Dish Database'!I350</f>
        <v>g</v>
      </c>
      <c r="J1352" s="13" t="n">
        <f aca="false">'Dish Database'!J350*H1352/100</f>
        <v>682.5</v>
      </c>
      <c r="K1352" s="17" t="n">
        <f aca="false">'Dish Database'!K350*H1352/100</f>
        <v>55</v>
      </c>
      <c r="L1352" s="17" t="n">
        <f aca="false">'Dish Database'!L350*H1352/100</f>
        <v>22.5</v>
      </c>
      <c r="M1352" s="17" t="n">
        <f aca="false">'Dish Database'!M350*H1352/100</f>
        <v>42.5</v>
      </c>
      <c r="N1352" s="17" t="n">
        <f aca="false">'Dish Database'!N350*H1352/100</f>
        <v>5</v>
      </c>
      <c r="O1352" s="17" t="n">
        <f aca="false">'Dish Database'!O350*H1352/100</f>
        <v>7.5</v>
      </c>
      <c r="P1352" s="13" t="n">
        <f aca="false">'Dish Database'!P350*H1352/100</f>
        <v>2250</v>
      </c>
    </row>
    <row r="1353" customFormat="false" ht="15" hidden="false" customHeight="false" outlineLevel="0" collapsed="false">
      <c r="A1353" s="6" t="str">
        <f aca="false">'Dish Database'!A351</f>
        <v>D350</v>
      </c>
      <c r="B1353" s="6" t="str">
        <f aca="false">'Dish Database'!B351</f>
        <v>Fish moilee</v>
      </c>
      <c r="C1353" s="6" t="str">
        <f aca="false">'Dish Database'!D351</f>
        <v>Non-Veg Curries</v>
      </c>
      <c r="D1353" s="6" t="str">
        <f aca="false">'Dish Database'!F351</f>
        <v>Non-Veg</v>
      </c>
      <c r="E1353" s="6" t="str">
        <f aca="false">'Dish Database'!E351</f>
        <v>South</v>
      </c>
      <c r="F1353" s="6" t="s">
        <v>2243</v>
      </c>
      <c r="G1353" s="6" t="s">
        <v>2500</v>
      </c>
      <c r="H1353" s="16" t="n">
        <v>100</v>
      </c>
      <c r="I1353" s="6" t="str">
        <f aca="false">'Dish Database'!I351</f>
        <v>g</v>
      </c>
      <c r="J1353" s="13" t="n">
        <f aca="false">'Dish Database'!J351*H1353/100</f>
        <v>135.8</v>
      </c>
      <c r="K1353" s="17" t="n">
        <f aca="false">'Dish Database'!K351*H1353/100</f>
        <v>10</v>
      </c>
      <c r="L1353" s="17" t="n">
        <f aca="false">'Dish Database'!L351*H1353/100</f>
        <v>4</v>
      </c>
      <c r="M1353" s="17" t="n">
        <f aca="false">'Dish Database'!M351*H1353/100</f>
        <v>9</v>
      </c>
      <c r="N1353" s="17" t="n">
        <f aca="false">'Dish Database'!N351*H1353/100</f>
        <v>0.6</v>
      </c>
      <c r="O1353" s="17" t="n">
        <f aca="false">'Dish Database'!O351*H1353/100</f>
        <v>1.5</v>
      </c>
      <c r="P1353" s="13" t="n">
        <f aca="false">'Dish Database'!P351*H1353/100</f>
        <v>400</v>
      </c>
    </row>
    <row r="1354" customFormat="false" ht="15" hidden="false" customHeight="false" outlineLevel="0" collapsed="false">
      <c r="A1354" s="6" t="str">
        <f aca="false">'Dish Database'!A351</f>
        <v>D350</v>
      </c>
      <c r="B1354" s="6" t="str">
        <f aca="false">'Dish Database'!B351</f>
        <v>Fish moilee</v>
      </c>
      <c r="C1354" s="6" t="str">
        <f aca="false">'Dish Database'!D351</f>
        <v>Non-Veg Curries</v>
      </c>
      <c r="D1354" s="6" t="str">
        <f aca="false">'Dish Database'!F351</f>
        <v>Non-Veg</v>
      </c>
      <c r="E1354" s="6" t="str">
        <f aca="false">'Dish Database'!E351</f>
        <v>South</v>
      </c>
      <c r="F1354" s="6" t="s">
        <v>103</v>
      </c>
      <c r="G1354" s="6" t="s">
        <v>2501</v>
      </c>
      <c r="H1354" s="16" t="n">
        <v>150</v>
      </c>
      <c r="I1354" s="6" t="str">
        <f aca="false">'Dish Database'!I351</f>
        <v>g</v>
      </c>
      <c r="J1354" s="13" t="n">
        <f aca="false">'Dish Database'!J351*H1354/100</f>
        <v>203.7</v>
      </c>
      <c r="K1354" s="17" t="n">
        <f aca="false">'Dish Database'!K351*H1354/100</f>
        <v>15</v>
      </c>
      <c r="L1354" s="17" t="n">
        <f aca="false">'Dish Database'!L351*H1354/100</f>
        <v>6</v>
      </c>
      <c r="M1354" s="17" t="n">
        <f aca="false">'Dish Database'!M351*H1354/100</f>
        <v>13.5</v>
      </c>
      <c r="N1354" s="17" t="n">
        <f aca="false">'Dish Database'!N351*H1354/100</f>
        <v>0.9</v>
      </c>
      <c r="O1354" s="17" t="n">
        <f aca="false">'Dish Database'!O351*H1354/100</f>
        <v>2.25</v>
      </c>
      <c r="P1354" s="13" t="n">
        <f aca="false">'Dish Database'!P351*H1354/100</f>
        <v>600</v>
      </c>
    </row>
    <row r="1355" customFormat="false" ht="15" hidden="false" customHeight="false" outlineLevel="0" collapsed="false">
      <c r="A1355" s="6" t="str">
        <f aca="false">'Dish Database'!A351</f>
        <v>D350</v>
      </c>
      <c r="B1355" s="6" t="str">
        <f aca="false">'Dish Database'!B351</f>
        <v>Fish moilee</v>
      </c>
      <c r="C1355" s="6" t="str">
        <f aca="false">'Dish Database'!D351</f>
        <v>Non-Veg Curries</v>
      </c>
      <c r="D1355" s="6" t="str">
        <f aca="false">'Dish Database'!F351</f>
        <v>Non-Veg</v>
      </c>
      <c r="E1355" s="6" t="str">
        <f aca="false">'Dish Database'!E351</f>
        <v>South</v>
      </c>
      <c r="F1355" s="6" t="s">
        <v>2246</v>
      </c>
      <c r="G1355" s="6" t="s">
        <v>2502</v>
      </c>
      <c r="H1355" s="16" t="n">
        <v>200</v>
      </c>
      <c r="I1355" s="6" t="str">
        <f aca="false">'Dish Database'!I351</f>
        <v>g</v>
      </c>
      <c r="J1355" s="13" t="n">
        <f aca="false">'Dish Database'!J351*H1355/100</f>
        <v>271.6</v>
      </c>
      <c r="K1355" s="17" t="n">
        <f aca="false">'Dish Database'!K351*H1355/100</f>
        <v>20</v>
      </c>
      <c r="L1355" s="17" t="n">
        <f aca="false">'Dish Database'!L351*H1355/100</f>
        <v>8</v>
      </c>
      <c r="M1355" s="17" t="n">
        <f aca="false">'Dish Database'!M351*H1355/100</f>
        <v>18</v>
      </c>
      <c r="N1355" s="17" t="n">
        <f aca="false">'Dish Database'!N351*H1355/100</f>
        <v>1.2</v>
      </c>
      <c r="O1355" s="17" t="n">
        <f aca="false">'Dish Database'!O351*H1355/100</f>
        <v>3</v>
      </c>
      <c r="P1355" s="13" t="n">
        <f aca="false">'Dish Database'!P351*H1355/100</f>
        <v>800</v>
      </c>
    </row>
    <row r="1356" customFormat="false" ht="15" hidden="false" customHeight="false" outlineLevel="0" collapsed="false">
      <c r="A1356" s="6" t="str">
        <f aca="false">'Dish Database'!A351</f>
        <v>D350</v>
      </c>
      <c r="B1356" s="6" t="str">
        <f aca="false">'Dish Database'!B351</f>
        <v>Fish moilee</v>
      </c>
      <c r="C1356" s="6" t="str">
        <f aca="false">'Dish Database'!D351</f>
        <v>Non-Veg Curries</v>
      </c>
      <c r="D1356" s="6" t="str">
        <f aca="false">'Dish Database'!F351</f>
        <v>Non-Veg</v>
      </c>
      <c r="E1356" s="6" t="str">
        <f aca="false">'Dish Database'!E351</f>
        <v>South</v>
      </c>
      <c r="F1356" s="6" t="s">
        <v>2323</v>
      </c>
      <c r="G1356" s="6" t="s">
        <v>2503</v>
      </c>
      <c r="H1356" s="16" t="n">
        <v>250</v>
      </c>
      <c r="I1356" s="6" t="str">
        <f aca="false">'Dish Database'!I351</f>
        <v>g</v>
      </c>
      <c r="J1356" s="13" t="n">
        <f aca="false">'Dish Database'!J351*H1356/100</f>
        <v>339.5</v>
      </c>
      <c r="K1356" s="17" t="n">
        <f aca="false">'Dish Database'!K351*H1356/100</f>
        <v>25</v>
      </c>
      <c r="L1356" s="17" t="n">
        <f aca="false">'Dish Database'!L351*H1356/100</f>
        <v>10</v>
      </c>
      <c r="M1356" s="17" t="n">
        <f aca="false">'Dish Database'!M351*H1356/100</f>
        <v>22.5</v>
      </c>
      <c r="N1356" s="17" t="n">
        <f aca="false">'Dish Database'!N351*H1356/100</f>
        <v>1.5</v>
      </c>
      <c r="O1356" s="17" t="n">
        <f aca="false">'Dish Database'!O351*H1356/100</f>
        <v>3.75</v>
      </c>
      <c r="P1356" s="13" t="n">
        <f aca="false">'Dish Database'!P351*H1356/100</f>
        <v>1000</v>
      </c>
    </row>
    <row r="1357" customFormat="false" ht="15" hidden="false" customHeight="false" outlineLevel="0" collapsed="false">
      <c r="A1357" s="6" t="str">
        <f aca="false">'Dish Database'!A351</f>
        <v>D350</v>
      </c>
      <c r="B1357" s="6" t="str">
        <f aca="false">'Dish Database'!B351</f>
        <v>Fish moilee</v>
      </c>
      <c r="C1357" s="6" t="str">
        <f aca="false">'Dish Database'!D351</f>
        <v>Non-Veg Curries</v>
      </c>
      <c r="D1357" s="6" t="str">
        <f aca="false">'Dish Database'!F351</f>
        <v>Non-Veg</v>
      </c>
      <c r="E1357" s="6" t="str">
        <f aca="false">'Dish Database'!E351</f>
        <v>South</v>
      </c>
      <c r="F1357" s="6" t="s">
        <v>2325</v>
      </c>
      <c r="G1357" s="6" t="s">
        <v>2504</v>
      </c>
      <c r="H1357" s="16" t="n">
        <v>500</v>
      </c>
      <c r="I1357" s="6" t="str">
        <f aca="false">'Dish Database'!I351</f>
        <v>g</v>
      </c>
      <c r="J1357" s="13" t="n">
        <f aca="false">'Dish Database'!J351*H1357/100</f>
        <v>679</v>
      </c>
      <c r="K1357" s="17" t="n">
        <f aca="false">'Dish Database'!K351*H1357/100</f>
        <v>50</v>
      </c>
      <c r="L1357" s="17" t="n">
        <f aca="false">'Dish Database'!L351*H1357/100</f>
        <v>20</v>
      </c>
      <c r="M1357" s="17" t="n">
        <f aca="false">'Dish Database'!M351*H1357/100</f>
        <v>45</v>
      </c>
      <c r="N1357" s="17" t="n">
        <f aca="false">'Dish Database'!N351*H1357/100</f>
        <v>3</v>
      </c>
      <c r="O1357" s="17" t="n">
        <f aca="false">'Dish Database'!O351*H1357/100</f>
        <v>7.5</v>
      </c>
      <c r="P1357" s="13" t="n">
        <f aca="false">'Dish Database'!P351*H1357/100</f>
        <v>2000</v>
      </c>
    </row>
    <row r="1358" customFormat="false" ht="15" hidden="false" customHeight="false" outlineLevel="0" collapsed="false">
      <c r="A1358" s="6" t="str">
        <f aca="false">'Dish Database'!A352</f>
        <v>D351</v>
      </c>
      <c r="B1358" s="6" t="str">
        <f aca="false">'Dish Database'!B352</f>
        <v>Prawn masala</v>
      </c>
      <c r="C1358" s="6" t="str">
        <f aca="false">'Dish Database'!D352</f>
        <v>Non-Veg Curries</v>
      </c>
      <c r="D1358" s="6" t="str">
        <f aca="false">'Dish Database'!F352</f>
        <v>Non-Veg</v>
      </c>
      <c r="E1358" s="6" t="str">
        <f aca="false">'Dish Database'!E352</f>
        <v>Pan-India</v>
      </c>
      <c r="F1358" s="6" t="s">
        <v>2243</v>
      </c>
      <c r="G1358" s="6" t="s">
        <v>2500</v>
      </c>
      <c r="H1358" s="16" t="n">
        <v>100</v>
      </c>
      <c r="I1358" s="6" t="str">
        <f aca="false">'Dish Database'!I352</f>
        <v>g</v>
      </c>
      <c r="J1358" s="13" t="n">
        <f aca="false">'Dish Database'!J352*H1358/100</f>
        <v>145.6</v>
      </c>
      <c r="K1358" s="17" t="n">
        <f aca="false">'Dish Database'!K352*H1358/100</f>
        <v>14</v>
      </c>
      <c r="L1358" s="17" t="n">
        <f aca="false">'Dish Database'!L352*H1358/100</f>
        <v>5</v>
      </c>
      <c r="M1358" s="17" t="n">
        <f aca="false">'Dish Database'!M352*H1358/100</f>
        <v>8</v>
      </c>
      <c r="N1358" s="17" t="n">
        <f aca="false">'Dish Database'!N352*H1358/100</f>
        <v>1.2</v>
      </c>
      <c r="O1358" s="17" t="n">
        <f aca="false">'Dish Database'!O352*H1358/100</f>
        <v>2</v>
      </c>
      <c r="P1358" s="13" t="n">
        <f aca="false">'Dish Database'!P352*H1358/100</f>
        <v>550</v>
      </c>
    </row>
    <row r="1359" customFormat="false" ht="15" hidden="false" customHeight="false" outlineLevel="0" collapsed="false">
      <c r="A1359" s="6" t="str">
        <f aca="false">'Dish Database'!A352</f>
        <v>D351</v>
      </c>
      <c r="B1359" s="6" t="str">
        <f aca="false">'Dish Database'!B352</f>
        <v>Prawn masala</v>
      </c>
      <c r="C1359" s="6" t="str">
        <f aca="false">'Dish Database'!D352</f>
        <v>Non-Veg Curries</v>
      </c>
      <c r="D1359" s="6" t="str">
        <f aca="false">'Dish Database'!F352</f>
        <v>Non-Veg</v>
      </c>
      <c r="E1359" s="6" t="str">
        <f aca="false">'Dish Database'!E352</f>
        <v>Pan-India</v>
      </c>
      <c r="F1359" s="6" t="s">
        <v>103</v>
      </c>
      <c r="G1359" s="6" t="s">
        <v>2501</v>
      </c>
      <c r="H1359" s="16" t="n">
        <v>150</v>
      </c>
      <c r="I1359" s="6" t="str">
        <f aca="false">'Dish Database'!I352</f>
        <v>g</v>
      </c>
      <c r="J1359" s="13" t="n">
        <f aca="false">'Dish Database'!J352*H1359/100</f>
        <v>218.4</v>
      </c>
      <c r="K1359" s="17" t="n">
        <f aca="false">'Dish Database'!K352*H1359/100</f>
        <v>21</v>
      </c>
      <c r="L1359" s="17" t="n">
        <f aca="false">'Dish Database'!L352*H1359/100</f>
        <v>7.5</v>
      </c>
      <c r="M1359" s="17" t="n">
        <f aca="false">'Dish Database'!M352*H1359/100</f>
        <v>12</v>
      </c>
      <c r="N1359" s="17" t="n">
        <f aca="false">'Dish Database'!N352*H1359/100</f>
        <v>1.8</v>
      </c>
      <c r="O1359" s="17" t="n">
        <f aca="false">'Dish Database'!O352*H1359/100</f>
        <v>3</v>
      </c>
      <c r="P1359" s="13" t="n">
        <f aca="false">'Dish Database'!P352*H1359/100</f>
        <v>825</v>
      </c>
    </row>
    <row r="1360" customFormat="false" ht="15" hidden="false" customHeight="false" outlineLevel="0" collapsed="false">
      <c r="A1360" s="6" t="str">
        <f aca="false">'Dish Database'!A352</f>
        <v>D351</v>
      </c>
      <c r="B1360" s="6" t="str">
        <f aca="false">'Dish Database'!B352</f>
        <v>Prawn masala</v>
      </c>
      <c r="C1360" s="6" t="str">
        <f aca="false">'Dish Database'!D352</f>
        <v>Non-Veg Curries</v>
      </c>
      <c r="D1360" s="6" t="str">
        <f aca="false">'Dish Database'!F352</f>
        <v>Non-Veg</v>
      </c>
      <c r="E1360" s="6" t="str">
        <f aca="false">'Dish Database'!E352</f>
        <v>Pan-India</v>
      </c>
      <c r="F1360" s="6" t="s">
        <v>2246</v>
      </c>
      <c r="G1360" s="6" t="s">
        <v>2502</v>
      </c>
      <c r="H1360" s="16" t="n">
        <v>200</v>
      </c>
      <c r="I1360" s="6" t="str">
        <f aca="false">'Dish Database'!I352</f>
        <v>g</v>
      </c>
      <c r="J1360" s="13" t="n">
        <f aca="false">'Dish Database'!J352*H1360/100</f>
        <v>291.2</v>
      </c>
      <c r="K1360" s="17" t="n">
        <f aca="false">'Dish Database'!K352*H1360/100</f>
        <v>28</v>
      </c>
      <c r="L1360" s="17" t="n">
        <f aca="false">'Dish Database'!L352*H1360/100</f>
        <v>10</v>
      </c>
      <c r="M1360" s="17" t="n">
        <f aca="false">'Dish Database'!M352*H1360/100</f>
        <v>16</v>
      </c>
      <c r="N1360" s="17" t="n">
        <f aca="false">'Dish Database'!N352*H1360/100</f>
        <v>2.4</v>
      </c>
      <c r="O1360" s="17" t="n">
        <f aca="false">'Dish Database'!O352*H1360/100</f>
        <v>4</v>
      </c>
      <c r="P1360" s="13" t="n">
        <f aca="false">'Dish Database'!P352*H1360/100</f>
        <v>1100</v>
      </c>
    </row>
    <row r="1361" customFormat="false" ht="15" hidden="false" customHeight="false" outlineLevel="0" collapsed="false">
      <c r="A1361" s="6" t="str">
        <f aca="false">'Dish Database'!A352</f>
        <v>D351</v>
      </c>
      <c r="B1361" s="6" t="str">
        <f aca="false">'Dish Database'!B352</f>
        <v>Prawn masala</v>
      </c>
      <c r="C1361" s="6" t="str">
        <f aca="false">'Dish Database'!D352</f>
        <v>Non-Veg Curries</v>
      </c>
      <c r="D1361" s="6" t="str">
        <f aca="false">'Dish Database'!F352</f>
        <v>Non-Veg</v>
      </c>
      <c r="E1361" s="6" t="str">
        <f aca="false">'Dish Database'!E352</f>
        <v>Pan-India</v>
      </c>
      <c r="F1361" s="6" t="s">
        <v>2323</v>
      </c>
      <c r="G1361" s="6" t="s">
        <v>2503</v>
      </c>
      <c r="H1361" s="16" t="n">
        <v>250</v>
      </c>
      <c r="I1361" s="6" t="str">
        <f aca="false">'Dish Database'!I352</f>
        <v>g</v>
      </c>
      <c r="J1361" s="13" t="n">
        <f aca="false">'Dish Database'!J352*H1361/100</f>
        <v>364</v>
      </c>
      <c r="K1361" s="17" t="n">
        <f aca="false">'Dish Database'!K352*H1361/100</f>
        <v>35</v>
      </c>
      <c r="L1361" s="17" t="n">
        <f aca="false">'Dish Database'!L352*H1361/100</f>
        <v>12.5</v>
      </c>
      <c r="M1361" s="17" t="n">
        <f aca="false">'Dish Database'!M352*H1361/100</f>
        <v>20</v>
      </c>
      <c r="N1361" s="17" t="n">
        <f aca="false">'Dish Database'!N352*H1361/100</f>
        <v>3</v>
      </c>
      <c r="O1361" s="17" t="n">
        <f aca="false">'Dish Database'!O352*H1361/100</f>
        <v>5</v>
      </c>
      <c r="P1361" s="13" t="n">
        <f aca="false">'Dish Database'!P352*H1361/100</f>
        <v>1375</v>
      </c>
    </row>
    <row r="1362" customFormat="false" ht="15" hidden="false" customHeight="false" outlineLevel="0" collapsed="false">
      <c r="A1362" s="6" t="str">
        <f aca="false">'Dish Database'!A352</f>
        <v>D351</v>
      </c>
      <c r="B1362" s="6" t="str">
        <f aca="false">'Dish Database'!B352</f>
        <v>Prawn masala</v>
      </c>
      <c r="C1362" s="6" t="str">
        <f aca="false">'Dish Database'!D352</f>
        <v>Non-Veg Curries</v>
      </c>
      <c r="D1362" s="6" t="str">
        <f aca="false">'Dish Database'!F352</f>
        <v>Non-Veg</v>
      </c>
      <c r="E1362" s="6" t="str">
        <f aca="false">'Dish Database'!E352</f>
        <v>Pan-India</v>
      </c>
      <c r="F1362" s="6" t="s">
        <v>2325</v>
      </c>
      <c r="G1362" s="6" t="s">
        <v>2504</v>
      </c>
      <c r="H1362" s="16" t="n">
        <v>500</v>
      </c>
      <c r="I1362" s="6" t="str">
        <f aca="false">'Dish Database'!I352</f>
        <v>g</v>
      </c>
      <c r="J1362" s="13" t="n">
        <f aca="false">'Dish Database'!J352*H1362/100</f>
        <v>728</v>
      </c>
      <c r="K1362" s="17" t="n">
        <f aca="false">'Dish Database'!K352*H1362/100</f>
        <v>70</v>
      </c>
      <c r="L1362" s="17" t="n">
        <f aca="false">'Dish Database'!L352*H1362/100</f>
        <v>25</v>
      </c>
      <c r="M1362" s="17" t="n">
        <f aca="false">'Dish Database'!M352*H1362/100</f>
        <v>40</v>
      </c>
      <c r="N1362" s="17" t="n">
        <f aca="false">'Dish Database'!N352*H1362/100</f>
        <v>6</v>
      </c>
      <c r="O1362" s="17" t="n">
        <f aca="false">'Dish Database'!O352*H1362/100</f>
        <v>10</v>
      </c>
      <c r="P1362" s="13" t="n">
        <f aca="false">'Dish Database'!P352*H1362/100</f>
        <v>2750</v>
      </c>
    </row>
    <row r="1363" customFormat="false" ht="15" hidden="false" customHeight="false" outlineLevel="0" collapsed="false">
      <c r="A1363" s="6" t="str">
        <f aca="false">'Dish Database'!A353</f>
        <v>D352</v>
      </c>
      <c r="B1363" s="6" t="str">
        <f aca="false">'Dish Database'!B353</f>
        <v>Prawn curry (coconut)</v>
      </c>
      <c r="C1363" s="6" t="str">
        <f aca="false">'Dish Database'!D353</f>
        <v>Non-Veg Curries</v>
      </c>
      <c r="D1363" s="6" t="str">
        <f aca="false">'Dish Database'!F353</f>
        <v>Non-Veg</v>
      </c>
      <c r="E1363" s="6" t="str">
        <f aca="false">'Dish Database'!E353</f>
        <v>South</v>
      </c>
      <c r="F1363" s="6" t="s">
        <v>2243</v>
      </c>
      <c r="G1363" s="6" t="s">
        <v>2500</v>
      </c>
      <c r="H1363" s="16" t="n">
        <v>100</v>
      </c>
      <c r="I1363" s="6" t="str">
        <f aca="false">'Dish Database'!I353</f>
        <v>g</v>
      </c>
      <c r="J1363" s="13" t="n">
        <f aca="false">'Dish Database'!J353*H1363/100</f>
        <v>128.4</v>
      </c>
      <c r="K1363" s="17" t="n">
        <f aca="false">'Dish Database'!K353*H1363/100</f>
        <v>10</v>
      </c>
      <c r="L1363" s="17" t="n">
        <f aca="false">'Dish Database'!L353*H1363/100</f>
        <v>4.5</v>
      </c>
      <c r="M1363" s="17" t="n">
        <f aca="false">'Dish Database'!M353*H1363/100</f>
        <v>8</v>
      </c>
      <c r="N1363" s="17" t="n">
        <f aca="false">'Dish Database'!N353*H1363/100</f>
        <v>0.8</v>
      </c>
      <c r="O1363" s="17" t="n">
        <f aca="false">'Dish Database'!O353*H1363/100</f>
        <v>1.5</v>
      </c>
      <c r="P1363" s="13" t="n">
        <f aca="false">'Dish Database'!P353*H1363/100</f>
        <v>500</v>
      </c>
    </row>
    <row r="1364" customFormat="false" ht="15" hidden="false" customHeight="false" outlineLevel="0" collapsed="false">
      <c r="A1364" s="6" t="str">
        <f aca="false">'Dish Database'!A353</f>
        <v>D352</v>
      </c>
      <c r="B1364" s="6" t="str">
        <f aca="false">'Dish Database'!B353</f>
        <v>Prawn curry (coconut)</v>
      </c>
      <c r="C1364" s="6" t="str">
        <f aca="false">'Dish Database'!D353</f>
        <v>Non-Veg Curries</v>
      </c>
      <c r="D1364" s="6" t="str">
        <f aca="false">'Dish Database'!F353</f>
        <v>Non-Veg</v>
      </c>
      <c r="E1364" s="6" t="str">
        <f aca="false">'Dish Database'!E353</f>
        <v>South</v>
      </c>
      <c r="F1364" s="6" t="s">
        <v>103</v>
      </c>
      <c r="G1364" s="6" t="s">
        <v>2501</v>
      </c>
      <c r="H1364" s="16" t="n">
        <v>150</v>
      </c>
      <c r="I1364" s="6" t="str">
        <f aca="false">'Dish Database'!I353</f>
        <v>g</v>
      </c>
      <c r="J1364" s="13" t="n">
        <f aca="false">'Dish Database'!J353*H1364/100</f>
        <v>192.6</v>
      </c>
      <c r="K1364" s="17" t="n">
        <f aca="false">'Dish Database'!K353*H1364/100</f>
        <v>15</v>
      </c>
      <c r="L1364" s="17" t="n">
        <f aca="false">'Dish Database'!L353*H1364/100</f>
        <v>6.75</v>
      </c>
      <c r="M1364" s="17" t="n">
        <f aca="false">'Dish Database'!M353*H1364/100</f>
        <v>12</v>
      </c>
      <c r="N1364" s="17" t="n">
        <f aca="false">'Dish Database'!N353*H1364/100</f>
        <v>1.2</v>
      </c>
      <c r="O1364" s="17" t="n">
        <f aca="false">'Dish Database'!O353*H1364/100</f>
        <v>2.25</v>
      </c>
      <c r="P1364" s="13" t="n">
        <f aca="false">'Dish Database'!P353*H1364/100</f>
        <v>750</v>
      </c>
    </row>
    <row r="1365" customFormat="false" ht="15" hidden="false" customHeight="false" outlineLevel="0" collapsed="false">
      <c r="A1365" s="6" t="str">
        <f aca="false">'Dish Database'!A353</f>
        <v>D352</v>
      </c>
      <c r="B1365" s="6" t="str">
        <f aca="false">'Dish Database'!B353</f>
        <v>Prawn curry (coconut)</v>
      </c>
      <c r="C1365" s="6" t="str">
        <f aca="false">'Dish Database'!D353</f>
        <v>Non-Veg Curries</v>
      </c>
      <c r="D1365" s="6" t="str">
        <f aca="false">'Dish Database'!F353</f>
        <v>Non-Veg</v>
      </c>
      <c r="E1365" s="6" t="str">
        <f aca="false">'Dish Database'!E353</f>
        <v>South</v>
      </c>
      <c r="F1365" s="6" t="s">
        <v>2246</v>
      </c>
      <c r="G1365" s="6" t="s">
        <v>2502</v>
      </c>
      <c r="H1365" s="16" t="n">
        <v>200</v>
      </c>
      <c r="I1365" s="6" t="str">
        <f aca="false">'Dish Database'!I353</f>
        <v>g</v>
      </c>
      <c r="J1365" s="13" t="n">
        <f aca="false">'Dish Database'!J353*H1365/100</f>
        <v>256.8</v>
      </c>
      <c r="K1365" s="17" t="n">
        <f aca="false">'Dish Database'!K353*H1365/100</f>
        <v>20</v>
      </c>
      <c r="L1365" s="17" t="n">
        <f aca="false">'Dish Database'!L353*H1365/100</f>
        <v>9</v>
      </c>
      <c r="M1365" s="17" t="n">
        <f aca="false">'Dish Database'!M353*H1365/100</f>
        <v>16</v>
      </c>
      <c r="N1365" s="17" t="n">
        <f aca="false">'Dish Database'!N353*H1365/100</f>
        <v>1.6</v>
      </c>
      <c r="O1365" s="17" t="n">
        <f aca="false">'Dish Database'!O353*H1365/100</f>
        <v>3</v>
      </c>
      <c r="P1365" s="13" t="n">
        <f aca="false">'Dish Database'!P353*H1365/100</f>
        <v>1000</v>
      </c>
    </row>
    <row r="1366" customFormat="false" ht="15" hidden="false" customHeight="false" outlineLevel="0" collapsed="false">
      <c r="A1366" s="6" t="str">
        <f aca="false">'Dish Database'!A353</f>
        <v>D352</v>
      </c>
      <c r="B1366" s="6" t="str">
        <f aca="false">'Dish Database'!B353</f>
        <v>Prawn curry (coconut)</v>
      </c>
      <c r="C1366" s="6" t="str">
        <f aca="false">'Dish Database'!D353</f>
        <v>Non-Veg Curries</v>
      </c>
      <c r="D1366" s="6" t="str">
        <f aca="false">'Dish Database'!F353</f>
        <v>Non-Veg</v>
      </c>
      <c r="E1366" s="6" t="str">
        <f aca="false">'Dish Database'!E353</f>
        <v>South</v>
      </c>
      <c r="F1366" s="6" t="s">
        <v>2323</v>
      </c>
      <c r="G1366" s="6" t="s">
        <v>2503</v>
      </c>
      <c r="H1366" s="16" t="n">
        <v>250</v>
      </c>
      <c r="I1366" s="6" t="str">
        <f aca="false">'Dish Database'!I353</f>
        <v>g</v>
      </c>
      <c r="J1366" s="13" t="n">
        <f aca="false">'Dish Database'!J353*H1366/100</f>
        <v>321</v>
      </c>
      <c r="K1366" s="17" t="n">
        <f aca="false">'Dish Database'!K353*H1366/100</f>
        <v>25</v>
      </c>
      <c r="L1366" s="17" t="n">
        <f aca="false">'Dish Database'!L353*H1366/100</f>
        <v>11.25</v>
      </c>
      <c r="M1366" s="17" t="n">
        <f aca="false">'Dish Database'!M353*H1366/100</f>
        <v>20</v>
      </c>
      <c r="N1366" s="17" t="n">
        <f aca="false">'Dish Database'!N353*H1366/100</f>
        <v>2</v>
      </c>
      <c r="O1366" s="17" t="n">
        <f aca="false">'Dish Database'!O353*H1366/100</f>
        <v>3.75</v>
      </c>
      <c r="P1366" s="13" t="n">
        <f aca="false">'Dish Database'!P353*H1366/100</f>
        <v>1250</v>
      </c>
    </row>
    <row r="1367" customFormat="false" ht="15" hidden="false" customHeight="false" outlineLevel="0" collapsed="false">
      <c r="A1367" s="6" t="str">
        <f aca="false">'Dish Database'!A353</f>
        <v>D352</v>
      </c>
      <c r="B1367" s="6" t="str">
        <f aca="false">'Dish Database'!B353</f>
        <v>Prawn curry (coconut)</v>
      </c>
      <c r="C1367" s="6" t="str">
        <f aca="false">'Dish Database'!D353</f>
        <v>Non-Veg Curries</v>
      </c>
      <c r="D1367" s="6" t="str">
        <f aca="false">'Dish Database'!F353</f>
        <v>Non-Veg</v>
      </c>
      <c r="E1367" s="6" t="str">
        <f aca="false">'Dish Database'!E353</f>
        <v>South</v>
      </c>
      <c r="F1367" s="6" t="s">
        <v>2325</v>
      </c>
      <c r="G1367" s="6" t="s">
        <v>2504</v>
      </c>
      <c r="H1367" s="16" t="n">
        <v>500</v>
      </c>
      <c r="I1367" s="6" t="str">
        <f aca="false">'Dish Database'!I353</f>
        <v>g</v>
      </c>
      <c r="J1367" s="13" t="n">
        <f aca="false">'Dish Database'!J353*H1367/100</f>
        <v>642</v>
      </c>
      <c r="K1367" s="17" t="n">
        <f aca="false">'Dish Database'!K353*H1367/100</f>
        <v>50</v>
      </c>
      <c r="L1367" s="17" t="n">
        <f aca="false">'Dish Database'!L353*H1367/100</f>
        <v>22.5</v>
      </c>
      <c r="M1367" s="17" t="n">
        <f aca="false">'Dish Database'!M353*H1367/100</f>
        <v>40</v>
      </c>
      <c r="N1367" s="17" t="n">
        <f aca="false">'Dish Database'!N353*H1367/100</f>
        <v>4</v>
      </c>
      <c r="O1367" s="17" t="n">
        <f aca="false">'Dish Database'!O353*H1367/100</f>
        <v>7.5</v>
      </c>
      <c r="P1367" s="13" t="n">
        <f aca="false">'Dish Database'!P353*H1367/100</f>
        <v>2500</v>
      </c>
    </row>
    <row r="1368" customFormat="false" ht="15" hidden="false" customHeight="false" outlineLevel="0" collapsed="false">
      <c r="A1368" s="6" t="str">
        <f aca="false">'Dish Database'!A354</f>
        <v>D353</v>
      </c>
      <c r="B1368" s="6" t="str">
        <f aca="false">'Dish Database'!B354</f>
        <v>Chingri malai curry</v>
      </c>
      <c r="C1368" s="6" t="str">
        <f aca="false">'Dish Database'!D354</f>
        <v>Non-Veg Curries</v>
      </c>
      <c r="D1368" s="6" t="str">
        <f aca="false">'Dish Database'!F354</f>
        <v>Non-Veg</v>
      </c>
      <c r="E1368" s="6" t="str">
        <f aca="false">'Dish Database'!E354</f>
        <v>East</v>
      </c>
      <c r="F1368" s="6" t="s">
        <v>2243</v>
      </c>
      <c r="G1368" s="6" t="s">
        <v>2500</v>
      </c>
      <c r="H1368" s="16" t="n">
        <v>100</v>
      </c>
      <c r="I1368" s="6" t="str">
        <f aca="false">'Dish Database'!I354</f>
        <v>g</v>
      </c>
      <c r="J1368" s="13" t="n">
        <f aca="false">'Dish Database'!J354*H1368/100</f>
        <v>158</v>
      </c>
      <c r="K1368" s="17" t="n">
        <f aca="false">'Dish Database'!K354*H1368/100</f>
        <v>10</v>
      </c>
      <c r="L1368" s="17" t="n">
        <f aca="false">'Dish Database'!L354*H1368/100</f>
        <v>5</v>
      </c>
      <c r="M1368" s="17" t="n">
        <f aca="false">'Dish Database'!M354*H1368/100</f>
        <v>11</v>
      </c>
      <c r="N1368" s="17" t="n">
        <f aca="false">'Dish Database'!N354*H1368/100</f>
        <v>0.5</v>
      </c>
      <c r="O1368" s="17" t="n">
        <f aca="false">'Dish Database'!O354*H1368/100</f>
        <v>2</v>
      </c>
      <c r="P1368" s="13" t="n">
        <f aca="false">'Dish Database'!P354*H1368/100</f>
        <v>450</v>
      </c>
    </row>
    <row r="1369" customFormat="false" ht="15" hidden="false" customHeight="false" outlineLevel="0" collapsed="false">
      <c r="A1369" s="6" t="str">
        <f aca="false">'Dish Database'!A354</f>
        <v>D353</v>
      </c>
      <c r="B1369" s="6" t="str">
        <f aca="false">'Dish Database'!B354</f>
        <v>Chingri malai curry</v>
      </c>
      <c r="C1369" s="6" t="str">
        <f aca="false">'Dish Database'!D354</f>
        <v>Non-Veg Curries</v>
      </c>
      <c r="D1369" s="6" t="str">
        <f aca="false">'Dish Database'!F354</f>
        <v>Non-Veg</v>
      </c>
      <c r="E1369" s="6" t="str">
        <f aca="false">'Dish Database'!E354</f>
        <v>East</v>
      </c>
      <c r="F1369" s="6" t="s">
        <v>103</v>
      </c>
      <c r="G1369" s="6" t="s">
        <v>2501</v>
      </c>
      <c r="H1369" s="16" t="n">
        <v>150</v>
      </c>
      <c r="I1369" s="6" t="str">
        <f aca="false">'Dish Database'!I354</f>
        <v>g</v>
      </c>
      <c r="J1369" s="13" t="n">
        <f aca="false">'Dish Database'!J354*H1369/100</f>
        <v>237</v>
      </c>
      <c r="K1369" s="17" t="n">
        <f aca="false">'Dish Database'!K354*H1369/100</f>
        <v>15</v>
      </c>
      <c r="L1369" s="17" t="n">
        <f aca="false">'Dish Database'!L354*H1369/100</f>
        <v>7.5</v>
      </c>
      <c r="M1369" s="17" t="n">
        <f aca="false">'Dish Database'!M354*H1369/100</f>
        <v>16.5</v>
      </c>
      <c r="N1369" s="17" t="n">
        <f aca="false">'Dish Database'!N354*H1369/100</f>
        <v>0.75</v>
      </c>
      <c r="O1369" s="17" t="n">
        <f aca="false">'Dish Database'!O354*H1369/100</f>
        <v>3</v>
      </c>
      <c r="P1369" s="13" t="n">
        <f aca="false">'Dish Database'!P354*H1369/100</f>
        <v>675</v>
      </c>
    </row>
    <row r="1370" customFormat="false" ht="15" hidden="false" customHeight="false" outlineLevel="0" collapsed="false">
      <c r="A1370" s="6" t="str">
        <f aca="false">'Dish Database'!A354</f>
        <v>D353</v>
      </c>
      <c r="B1370" s="6" t="str">
        <f aca="false">'Dish Database'!B354</f>
        <v>Chingri malai curry</v>
      </c>
      <c r="C1370" s="6" t="str">
        <f aca="false">'Dish Database'!D354</f>
        <v>Non-Veg Curries</v>
      </c>
      <c r="D1370" s="6" t="str">
        <f aca="false">'Dish Database'!F354</f>
        <v>Non-Veg</v>
      </c>
      <c r="E1370" s="6" t="str">
        <f aca="false">'Dish Database'!E354</f>
        <v>East</v>
      </c>
      <c r="F1370" s="6" t="s">
        <v>2246</v>
      </c>
      <c r="G1370" s="6" t="s">
        <v>2502</v>
      </c>
      <c r="H1370" s="16" t="n">
        <v>200</v>
      </c>
      <c r="I1370" s="6" t="str">
        <f aca="false">'Dish Database'!I354</f>
        <v>g</v>
      </c>
      <c r="J1370" s="13" t="n">
        <f aca="false">'Dish Database'!J354*H1370/100</f>
        <v>316</v>
      </c>
      <c r="K1370" s="17" t="n">
        <f aca="false">'Dish Database'!K354*H1370/100</f>
        <v>20</v>
      </c>
      <c r="L1370" s="17" t="n">
        <f aca="false">'Dish Database'!L354*H1370/100</f>
        <v>10</v>
      </c>
      <c r="M1370" s="17" t="n">
        <f aca="false">'Dish Database'!M354*H1370/100</f>
        <v>22</v>
      </c>
      <c r="N1370" s="17" t="n">
        <f aca="false">'Dish Database'!N354*H1370/100</f>
        <v>1</v>
      </c>
      <c r="O1370" s="17" t="n">
        <f aca="false">'Dish Database'!O354*H1370/100</f>
        <v>4</v>
      </c>
      <c r="P1370" s="13" t="n">
        <f aca="false">'Dish Database'!P354*H1370/100</f>
        <v>900</v>
      </c>
    </row>
    <row r="1371" customFormat="false" ht="15" hidden="false" customHeight="false" outlineLevel="0" collapsed="false">
      <c r="A1371" s="6" t="str">
        <f aca="false">'Dish Database'!A354</f>
        <v>D353</v>
      </c>
      <c r="B1371" s="6" t="str">
        <f aca="false">'Dish Database'!B354</f>
        <v>Chingri malai curry</v>
      </c>
      <c r="C1371" s="6" t="str">
        <f aca="false">'Dish Database'!D354</f>
        <v>Non-Veg Curries</v>
      </c>
      <c r="D1371" s="6" t="str">
        <f aca="false">'Dish Database'!F354</f>
        <v>Non-Veg</v>
      </c>
      <c r="E1371" s="6" t="str">
        <f aca="false">'Dish Database'!E354</f>
        <v>East</v>
      </c>
      <c r="F1371" s="6" t="s">
        <v>2323</v>
      </c>
      <c r="G1371" s="6" t="s">
        <v>2503</v>
      </c>
      <c r="H1371" s="16" t="n">
        <v>250</v>
      </c>
      <c r="I1371" s="6" t="str">
        <f aca="false">'Dish Database'!I354</f>
        <v>g</v>
      </c>
      <c r="J1371" s="13" t="n">
        <f aca="false">'Dish Database'!J354*H1371/100</f>
        <v>395</v>
      </c>
      <c r="K1371" s="17" t="n">
        <f aca="false">'Dish Database'!K354*H1371/100</f>
        <v>25</v>
      </c>
      <c r="L1371" s="17" t="n">
        <f aca="false">'Dish Database'!L354*H1371/100</f>
        <v>12.5</v>
      </c>
      <c r="M1371" s="17" t="n">
        <f aca="false">'Dish Database'!M354*H1371/100</f>
        <v>27.5</v>
      </c>
      <c r="N1371" s="17" t="n">
        <f aca="false">'Dish Database'!N354*H1371/100</f>
        <v>1.25</v>
      </c>
      <c r="O1371" s="17" t="n">
        <f aca="false">'Dish Database'!O354*H1371/100</f>
        <v>5</v>
      </c>
      <c r="P1371" s="13" t="n">
        <f aca="false">'Dish Database'!P354*H1371/100</f>
        <v>1125</v>
      </c>
    </row>
    <row r="1372" customFormat="false" ht="15" hidden="false" customHeight="false" outlineLevel="0" collapsed="false">
      <c r="A1372" s="6" t="str">
        <f aca="false">'Dish Database'!A354</f>
        <v>D353</v>
      </c>
      <c r="B1372" s="6" t="str">
        <f aca="false">'Dish Database'!B354</f>
        <v>Chingri malai curry</v>
      </c>
      <c r="C1372" s="6" t="str">
        <f aca="false">'Dish Database'!D354</f>
        <v>Non-Veg Curries</v>
      </c>
      <c r="D1372" s="6" t="str">
        <f aca="false">'Dish Database'!F354</f>
        <v>Non-Veg</v>
      </c>
      <c r="E1372" s="6" t="str">
        <f aca="false">'Dish Database'!E354</f>
        <v>East</v>
      </c>
      <c r="F1372" s="6" t="s">
        <v>2325</v>
      </c>
      <c r="G1372" s="6" t="s">
        <v>2504</v>
      </c>
      <c r="H1372" s="16" t="n">
        <v>500</v>
      </c>
      <c r="I1372" s="6" t="str">
        <f aca="false">'Dish Database'!I354</f>
        <v>g</v>
      </c>
      <c r="J1372" s="13" t="n">
        <f aca="false">'Dish Database'!J354*H1372/100</f>
        <v>790</v>
      </c>
      <c r="K1372" s="17" t="n">
        <f aca="false">'Dish Database'!K354*H1372/100</f>
        <v>50</v>
      </c>
      <c r="L1372" s="17" t="n">
        <f aca="false">'Dish Database'!L354*H1372/100</f>
        <v>25</v>
      </c>
      <c r="M1372" s="17" t="n">
        <f aca="false">'Dish Database'!M354*H1372/100</f>
        <v>55</v>
      </c>
      <c r="N1372" s="17" t="n">
        <f aca="false">'Dish Database'!N354*H1372/100</f>
        <v>2.5</v>
      </c>
      <c r="O1372" s="17" t="n">
        <f aca="false">'Dish Database'!O354*H1372/100</f>
        <v>10</v>
      </c>
      <c r="P1372" s="13" t="n">
        <f aca="false">'Dish Database'!P354*H1372/100</f>
        <v>2250</v>
      </c>
    </row>
    <row r="1373" customFormat="false" ht="15" hidden="false" customHeight="false" outlineLevel="0" collapsed="false">
      <c r="A1373" s="6" t="str">
        <f aca="false">'Dish Database'!A355</f>
        <v>D354</v>
      </c>
      <c r="B1373" s="6" t="str">
        <f aca="false">'Dish Database'!B355</f>
        <v>Crab masala</v>
      </c>
      <c r="C1373" s="6" t="str">
        <f aca="false">'Dish Database'!D355</f>
        <v>Non-Veg Curries</v>
      </c>
      <c r="D1373" s="6" t="str">
        <f aca="false">'Dish Database'!F355</f>
        <v>Non-Veg</v>
      </c>
      <c r="E1373" s="6" t="str">
        <f aca="false">'Dish Database'!E355</f>
        <v>South</v>
      </c>
      <c r="F1373" s="6" t="s">
        <v>2243</v>
      </c>
      <c r="G1373" s="6" t="s">
        <v>2500</v>
      </c>
      <c r="H1373" s="16" t="n">
        <v>100</v>
      </c>
      <c r="I1373" s="6" t="str">
        <f aca="false">'Dish Database'!I355</f>
        <v>g</v>
      </c>
      <c r="J1373" s="13" t="n">
        <f aca="false">'Dish Database'!J355*H1373/100</f>
        <v>125</v>
      </c>
      <c r="K1373" s="17" t="n">
        <f aca="false">'Dish Database'!K355*H1373/100</f>
        <v>11</v>
      </c>
      <c r="L1373" s="17" t="n">
        <f aca="false">'Dish Database'!L355*H1373/100</f>
        <v>5</v>
      </c>
      <c r="M1373" s="17" t="n">
        <f aca="false">'Dish Database'!M355*H1373/100</f>
        <v>7</v>
      </c>
      <c r="N1373" s="17" t="n">
        <f aca="false">'Dish Database'!N355*H1373/100</f>
        <v>1</v>
      </c>
      <c r="O1373" s="17" t="n">
        <f aca="false">'Dish Database'!O355*H1373/100</f>
        <v>1.5</v>
      </c>
      <c r="P1373" s="13" t="n">
        <f aca="false">'Dish Database'!P355*H1373/100</f>
        <v>550</v>
      </c>
    </row>
    <row r="1374" customFormat="false" ht="15" hidden="false" customHeight="false" outlineLevel="0" collapsed="false">
      <c r="A1374" s="6" t="str">
        <f aca="false">'Dish Database'!A355</f>
        <v>D354</v>
      </c>
      <c r="B1374" s="6" t="str">
        <f aca="false">'Dish Database'!B355</f>
        <v>Crab masala</v>
      </c>
      <c r="C1374" s="6" t="str">
        <f aca="false">'Dish Database'!D355</f>
        <v>Non-Veg Curries</v>
      </c>
      <c r="D1374" s="6" t="str">
        <f aca="false">'Dish Database'!F355</f>
        <v>Non-Veg</v>
      </c>
      <c r="E1374" s="6" t="str">
        <f aca="false">'Dish Database'!E355</f>
        <v>South</v>
      </c>
      <c r="F1374" s="6" t="s">
        <v>103</v>
      </c>
      <c r="G1374" s="6" t="s">
        <v>2501</v>
      </c>
      <c r="H1374" s="16" t="n">
        <v>150</v>
      </c>
      <c r="I1374" s="6" t="str">
        <f aca="false">'Dish Database'!I355</f>
        <v>g</v>
      </c>
      <c r="J1374" s="13" t="n">
        <f aca="false">'Dish Database'!J355*H1374/100</f>
        <v>187.5</v>
      </c>
      <c r="K1374" s="17" t="n">
        <f aca="false">'Dish Database'!K355*H1374/100</f>
        <v>16.5</v>
      </c>
      <c r="L1374" s="17" t="n">
        <f aca="false">'Dish Database'!L355*H1374/100</f>
        <v>7.5</v>
      </c>
      <c r="M1374" s="17" t="n">
        <f aca="false">'Dish Database'!M355*H1374/100</f>
        <v>10.5</v>
      </c>
      <c r="N1374" s="17" t="n">
        <f aca="false">'Dish Database'!N355*H1374/100</f>
        <v>1.5</v>
      </c>
      <c r="O1374" s="17" t="n">
        <f aca="false">'Dish Database'!O355*H1374/100</f>
        <v>2.25</v>
      </c>
      <c r="P1374" s="13" t="n">
        <f aca="false">'Dish Database'!P355*H1374/100</f>
        <v>825</v>
      </c>
    </row>
    <row r="1375" customFormat="false" ht="15" hidden="false" customHeight="false" outlineLevel="0" collapsed="false">
      <c r="A1375" s="6" t="str">
        <f aca="false">'Dish Database'!A355</f>
        <v>D354</v>
      </c>
      <c r="B1375" s="6" t="str">
        <f aca="false">'Dish Database'!B355</f>
        <v>Crab masala</v>
      </c>
      <c r="C1375" s="6" t="str">
        <f aca="false">'Dish Database'!D355</f>
        <v>Non-Veg Curries</v>
      </c>
      <c r="D1375" s="6" t="str">
        <f aca="false">'Dish Database'!F355</f>
        <v>Non-Veg</v>
      </c>
      <c r="E1375" s="6" t="str">
        <f aca="false">'Dish Database'!E355</f>
        <v>South</v>
      </c>
      <c r="F1375" s="6" t="s">
        <v>2246</v>
      </c>
      <c r="G1375" s="6" t="s">
        <v>2502</v>
      </c>
      <c r="H1375" s="16" t="n">
        <v>200</v>
      </c>
      <c r="I1375" s="6" t="str">
        <f aca="false">'Dish Database'!I355</f>
        <v>g</v>
      </c>
      <c r="J1375" s="13" t="n">
        <f aca="false">'Dish Database'!J355*H1375/100</f>
        <v>250</v>
      </c>
      <c r="K1375" s="17" t="n">
        <f aca="false">'Dish Database'!K355*H1375/100</f>
        <v>22</v>
      </c>
      <c r="L1375" s="17" t="n">
        <f aca="false">'Dish Database'!L355*H1375/100</f>
        <v>10</v>
      </c>
      <c r="M1375" s="17" t="n">
        <f aca="false">'Dish Database'!M355*H1375/100</f>
        <v>14</v>
      </c>
      <c r="N1375" s="17" t="n">
        <f aca="false">'Dish Database'!N355*H1375/100</f>
        <v>2</v>
      </c>
      <c r="O1375" s="17" t="n">
        <f aca="false">'Dish Database'!O355*H1375/100</f>
        <v>3</v>
      </c>
      <c r="P1375" s="13" t="n">
        <f aca="false">'Dish Database'!P355*H1375/100</f>
        <v>1100</v>
      </c>
    </row>
    <row r="1376" customFormat="false" ht="15" hidden="false" customHeight="false" outlineLevel="0" collapsed="false">
      <c r="A1376" s="6" t="str">
        <f aca="false">'Dish Database'!A355</f>
        <v>D354</v>
      </c>
      <c r="B1376" s="6" t="str">
        <f aca="false">'Dish Database'!B355</f>
        <v>Crab masala</v>
      </c>
      <c r="C1376" s="6" t="str">
        <f aca="false">'Dish Database'!D355</f>
        <v>Non-Veg Curries</v>
      </c>
      <c r="D1376" s="6" t="str">
        <f aca="false">'Dish Database'!F355</f>
        <v>Non-Veg</v>
      </c>
      <c r="E1376" s="6" t="str">
        <f aca="false">'Dish Database'!E355</f>
        <v>South</v>
      </c>
      <c r="F1376" s="6" t="s">
        <v>2323</v>
      </c>
      <c r="G1376" s="6" t="s">
        <v>2503</v>
      </c>
      <c r="H1376" s="16" t="n">
        <v>250</v>
      </c>
      <c r="I1376" s="6" t="str">
        <f aca="false">'Dish Database'!I355</f>
        <v>g</v>
      </c>
      <c r="J1376" s="13" t="n">
        <f aca="false">'Dish Database'!J355*H1376/100</f>
        <v>312.5</v>
      </c>
      <c r="K1376" s="17" t="n">
        <f aca="false">'Dish Database'!K355*H1376/100</f>
        <v>27.5</v>
      </c>
      <c r="L1376" s="17" t="n">
        <f aca="false">'Dish Database'!L355*H1376/100</f>
        <v>12.5</v>
      </c>
      <c r="M1376" s="17" t="n">
        <f aca="false">'Dish Database'!M355*H1376/100</f>
        <v>17.5</v>
      </c>
      <c r="N1376" s="17" t="n">
        <f aca="false">'Dish Database'!N355*H1376/100</f>
        <v>2.5</v>
      </c>
      <c r="O1376" s="17" t="n">
        <f aca="false">'Dish Database'!O355*H1376/100</f>
        <v>3.75</v>
      </c>
      <c r="P1376" s="13" t="n">
        <f aca="false">'Dish Database'!P355*H1376/100</f>
        <v>1375</v>
      </c>
    </row>
    <row r="1377" customFormat="false" ht="15" hidden="false" customHeight="false" outlineLevel="0" collapsed="false">
      <c r="A1377" s="6" t="str">
        <f aca="false">'Dish Database'!A355</f>
        <v>D354</v>
      </c>
      <c r="B1377" s="6" t="str">
        <f aca="false">'Dish Database'!B355</f>
        <v>Crab masala</v>
      </c>
      <c r="C1377" s="6" t="str">
        <f aca="false">'Dish Database'!D355</f>
        <v>Non-Veg Curries</v>
      </c>
      <c r="D1377" s="6" t="str">
        <f aca="false">'Dish Database'!F355</f>
        <v>Non-Veg</v>
      </c>
      <c r="E1377" s="6" t="str">
        <f aca="false">'Dish Database'!E355</f>
        <v>South</v>
      </c>
      <c r="F1377" s="6" t="s">
        <v>2325</v>
      </c>
      <c r="G1377" s="6" t="s">
        <v>2504</v>
      </c>
      <c r="H1377" s="16" t="n">
        <v>500</v>
      </c>
      <c r="I1377" s="6" t="str">
        <f aca="false">'Dish Database'!I355</f>
        <v>g</v>
      </c>
      <c r="J1377" s="13" t="n">
        <f aca="false">'Dish Database'!J355*H1377/100</f>
        <v>625</v>
      </c>
      <c r="K1377" s="17" t="n">
        <f aca="false">'Dish Database'!K355*H1377/100</f>
        <v>55</v>
      </c>
      <c r="L1377" s="17" t="n">
        <f aca="false">'Dish Database'!L355*H1377/100</f>
        <v>25</v>
      </c>
      <c r="M1377" s="17" t="n">
        <f aca="false">'Dish Database'!M355*H1377/100</f>
        <v>35</v>
      </c>
      <c r="N1377" s="17" t="n">
        <f aca="false">'Dish Database'!N355*H1377/100</f>
        <v>5</v>
      </c>
      <c r="O1377" s="17" t="n">
        <f aca="false">'Dish Database'!O355*H1377/100</f>
        <v>7.5</v>
      </c>
      <c r="P1377" s="13" t="n">
        <f aca="false">'Dish Database'!P355*H1377/100</f>
        <v>2750</v>
      </c>
    </row>
    <row r="1378" customFormat="false" ht="15" hidden="false" customHeight="false" outlineLevel="0" collapsed="false">
      <c r="A1378" s="6" t="str">
        <f aca="false">'Dish Database'!A356</f>
        <v>D355</v>
      </c>
      <c r="B1378" s="6" t="str">
        <f aca="false">'Dish Database'!B356</f>
        <v>Boiled egg</v>
      </c>
      <c r="C1378" s="6" t="str">
        <f aca="false">'Dish Database'!D356</f>
        <v>Egg Dishes</v>
      </c>
      <c r="D1378" s="6" t="str">
        <f aca="false">'Dish Database'!F356</f>
        <v>Egg</v>
      </c>
      <c r="E1378" s="6" t="str">
        <f aca="false">'Dish Database'!E356</f>
        <v>Pan-India</v>
      </c>
      <c r="F1378" s="6" t="s">
        <v>2243</v>
      </c>
      <c r="G1378" s="6" t="s">
        <v>2508</v>
      </c>
      <c r="H1378" s="16" t="n">
        <v>40</v>
      </c>
      <c r="I1378" s="6" t="str">
        <f aca="false">'Dish Database'!I356</f>
        <v>g</v>
      </c>
      <c r="J1378" s="13" t="n">
        <f aca="false">'Dish Database'!J356*H1378/100</f>
        <v>60.08</v>
      </c>
      <c r="K1378" s="17" t="n">
        <f aca="false">'Dish Database'!K356*H1378/100</f>
        <v>5.04</v>
      </c>
      <c r="L1378" s="17" t="n">
        <f aca="false">'Dish Database'!L356*H1378/100</f>
        <v>0.44</v>
      </c>
      <c r="M1378" s="17" t="n">
        <f aca="false">'Dish Database'!M356*H1378/100</f>
        <v>4.24</v>
      </c>
      <c r="N1378" s="17" t="n">
        <f aca="false">'Dish Database'!N356*H1378/100</f>
        <v>0</v>
      </c>
      <c r="O1378" s="17" t="n">
        <f aca="false">'Dish Database'!O356*H1378/100</f>
        <v>0.44</v>
      </c>
      <c r="P1378" s="13" t="n">
        <f aca="false">'Dish Database'!P356*H1378/100</f>
        <v>49.6</v>
      </c>
    </row>
    <row r="1379" customFormat="false" ht="15" hidden="false" customHeight="false" outlineLevel="0" collapsed="false">
      <c r="A1379" s="6" t="str">
        <f aca="false">'Dish Database'!A356</f>
        <v>D355</v>
      </c>
      <c r="B1379" s="6" t="str">
        <f aca="false">'Dish Database'!B356</f>
        <v>Boiled egg</v>
      </c>
      <c r="C1379" s="6" t="str">
        <f aca="false">'Dish Database'!D356</f>
        <v>Egg Dishes</v>
      </c>
      <c r="D1379" s="6" t="str">
        <f aca="false">'Dish Database'!F356</f>
        <v>Egg</v>
      </c>
      <c r="E1379" s="6" t="str">
        <f aca="false">'Dish Database'!E356</f>
        <v>Pan-India</v>
      </c>
      <c r="F1379" s="6" t="s">
        <v>103</v>
      </c>
      <c r="G1379" s="6" t="s">
        <v>2509</v>
      </c>
      <c r="H1379" s="16" t="n">
        <v>50</v>
      </c>
      <c r="I1379" s="6" t="str">
        <f aca="false">'Dish Database'!I356</f>
        <v>g</v>
      </c>
      <c r="J1379" s="13" t="n">
        <f aca="false">'Dish Database'!J356*H1379/100</f>
        <v>75.1</v>
      </c>
      <c r="K1379" s="17" t="n">
        <f aca="false">'Dish Database'!K356*H1379/100</f>
        <v>6.3</v>
      </c>
      <c r="L1379" s="17" t="n">
        <f aca="false">'Dish Database'!L356*H1379/100</f>
        <v>0.55</v>
      </c>
      <c r="M1379" s="17" t="n">
        <f aca="false">'Dish Database'!M356*H1379/100</f>
        <v>5.3</v>
      </c>
      <c r="N1379" s="17" t="n">
        <f aca="false">'Dish Database'!N356*H1379/100</f>
        <v>0</v>
      </c>
      <c r="O1379" s="17" t="n">
        <f aca="false">'Dish Database'!O356*H1379/100</f>
        <v>0.55</v>
      </c>
      <c r="P1379" s="13" t="n">
        <f aca="false">'Dish Database'!P356*H1379/100</f>
        <v>62</v>
      </c>
    </row>
    <row r="1380" customFormat="false" ht="15" hidden="false" customHeight="false" outlineLevel="0" collapsed="false">
      <c r="A1380" s="6" t="str">
        <f aca="false">'Dish Database'!A356</f>
        <v>D355</v>
      </c>
      <c r="B1380" s="6" t="str">
        <f aca="false">'Dish Database'!B356</f>
        <v>Boiled egg</v>
      </c>
      <c r="C1380" s="6" t="str">
        <f aca="false">'Dish Database'!D356</f>
        <v>Egg Dishes</v>
      </c>
      <c r="D1380" s="6" t="str">
        <f aca="false">'Dish Database'!F356</f>
        <v>Egg</v>
      </c>
      <c r="E1380" s="6" t="str">
        <f aca="false">'Dish Database'!E356</f>
        <v>Pan-India</v>
      </c>
      <c r="F1380" s="6" t="s">
        <v>2246</v>
      </c>
      <c r="G1380" s="6" t="s">
        <v>2510</v>
      </c>
      <c r="H1380" s="16" t="n">
        <v>60</v>
      </c>
      <c r="I1380" s="6" t="str">
        <f aca="false">'Dish Database'!I356</f>
        <v>g</v>
      </c>
      <c r="J1380" s="13" t="n">
        <f aca="false">'Dish Database'!J356*H1380/100</f>
        <v>90.12</v>
      </c>
      <c r="K1380" s="17" t="n">
        <f aca="false">'Dish Database'!K356*H1380/100</f>
        <v>7.56</v>
      </c>
      <c r="L1380" s="17" t="n">
        <f aca="false">'Dish Database'!L356*H1380/100</f>
        <v>0.66</v>
      </c>
      <c r="M1380" s="17" t="n">
        <f aca="false">'Dish Database'!M356*H1380/100</f>
        <v>6.36</v>
      </c>
      <c r="N1380" s="17" t="n">
        <f aca="false">'Dish Database'!N356*H1380/100</f>
        <v>0</v>
      </c>
      <c r="O1380" s="17" t="n">
        <f aca="false">'Dish Database'!O356*H1380/100</f>
        <v>0.66</v>
      </c>
      <c r="P1380" s="13" t="n">
        <f aca="false">'Dish Database'!P356*H1380/100</f>
        <v>74.4</v>
      </c>
    </row>
    <row r="1381" customFormat="false" ht="15" hidden="false" customHeight="false" outlineLevel="0" collapsed="false">
      <c r="A1381" s="6" t="str">
        <f aca="false">'Dish Database'!A357</f>
        <v>D356</v>
      </c>
      <c r="B1381" s="6" t="str">
        <f aca="false">'Dish Database'!B357</f>
        <v>Boiled egg white</v>
      </c>
      <c r="C1381" s="6" t="str">
        <f aca="false">'Dish Database'!D357</f>
        <v>Egg Dishes</v>
      </c>
      <c r="D1381" s="6" t="str">
        <f aca="false">'Dish Database'!F357</f>
        <v>Egg</v>
      </c>
      <c r="E1381" s="6" t="str">
        <f aca="false">'Dish Database'!E357</f>
        <v>Pan-India</v>
      </c>
      <c r="F1381" s="6" t="s">
        <v>2243</v>
      </c>
      <c r="G1381" s="6" t="s">
        <v>2511</v>
      </c>
      <c r="H1381" s="16" t="n">
        <v>25</v>
      </c>
      <c r="I1381" s="6" t="str">
        <f aca="false">'Dish Database'!I357</f>
        <v>g</v>
      </c>
      <c r="J1381" s="13" t="n">
        <f aca="false">'Dish Database'!J357*H1381/100</f>
        <v>12.05</v>
      </c>
      <c r="K1381" s="17" t="n">
        <f aca="false">'Dish Database'!K357*H1381/100</f>
        <v>2.725</v>
      </c>
      <c r="L1381" s="17" t="n">
        <f aca="false">'Dish Database'!L357*H1381/100</f>
        <v>0.175</v>
      </c>
      <c r="M1381" s="17" t="n">
        <f aca="false">'Dish Database'!M357*H1381/100</f>
        <v>0.05</v>
      </c>
      <c r="N1381" s="17" t="n">
        <f aca="false">'Dish Database'!N357*H1381/100</f>
        <v>0</v>
      </c>
      <c r="O1381" s="17" t="n">
        <f aca="false">'Dish Database'!O357*H1381/100</f>
        <v>0.175</v>
      </c>
      <c r="P1381" s="13" t="n">
        <f aca="false">'Dish Database'!P357*H1381/100</f>
        <v>41.5</v>
      </c>
    </row>
    <row r="1382" customFormat="false" ht="15" hidden="false" customHeight="false" outlineLevel="0" collapsed="false">
      <c r="A1382" s="6" t="str">
        <f aca="false">'Dish Database'!A357</f>
        <v>D356</v>
      </c>
      <c r="B1382" s="6" t="str">
        <f aca="false">'Dish Database'!B357</f>
        <v>Boiled egg white</v>
      </c>
      <c r="C1382" s="6" t="str">
        <f aca="false">'Dish Database'!D357</f>
        <v>Egg Dishes</v>
      </c>
      <c r="D1382" s="6" t="str">
        <f aca="false">'Dish Database'!F357</f>
        <v>Egg</v>
      </c>
      <c r="E1382" s="6" t="str">
        <f aca="false">'Dish Database'!E357</f>
        <v>Pan-India</v>
      </c>
      <c r="F1382" s="6" t="s">
        <v>103</v>
      </c>
      <c r="G1382" s="6" t="s">
        <v>2512</v>
      </c>
      <c r="H1382" s="16" t="n">
        <v>33</v>
      </c>
      <c r="I1382" s="6" t="str">
        <f aca="false">'Dish Database'!I357</f>
        <v>g</v>
      </c>
      <c r="J1382" s="13" t="n">
        <f aca="false">'Dish Database'!J357*H1382/100</f>
        <v>15.906</v>
      </c>
      <c r="K1382" s="17" t="n">
        <f aca="false">'Dish Database'!K357*H1382/100</f>
        <v>3.597</v>
      </c>
      <c r="L1382" s="17" t="n">
        <f aca="false">'Dish Database'!L357*H1382/100</f>
        <v>0.231</v>
      </c>
      <c r="M1382" s="17" t="n">
        <f aca="false">'Dish Database'!M357*H1382/100</f>
        <v>0.066</v>
      </c>
      <c r="N1382" s="17" t="n">
        <f aca="false">'Dish Database'!N357*H1382/100</f>
        <v>0</v>
      </c>
      <c r="O1382" s="17" t="n">
        <f aca="false">'Dish Database'!O357*H1382/100</f>
        <v>0.231</v>
      </c>
      <c r="P1382" s="13" t="n">
        <f aca="false">'Dish Database'!P357*H1382/100</f>
        <v>54.78</v>
      </c>
    </row>
    <row r="1383" customFormat="false" ht="15" hidden="false" customHeight="false" outlineLevel="0" collapsed="false">
      <c r="A1383" s="6" t="str">
        <f aca="false">'Dish Database'!A357</f>
        <v>D356</v>
      </c>
      <c r="B1383" s="6" t="str">
        <f aca="false">'Dish Database'!B357</f>
        <v>Boiled egg white</v>
      </c>
      <c r="C1383" s="6" t="str">
        <f aca="false">'Dish Database'!D357</f>
        <v>Egg Dishes</v>
      </c>
      <c r="D1383" s="6" t="str">
        <f aca="false">'Dish Database'!F357</f>
        <v>Egg</v>
      </c>
      <c r="E1383" s="6" t="str">
        <f aca="false">'Dish Database'!E357</f>
        <v>Pan-India</v>
      </c>
      <c r="F1383" s="6" t="s">
        <v>2246</v>
      </c>
      <c r="G1383" s="6" t="s">
        <v>2513</v>
      </c>
      <c r="H1383" s="16" t="n">
        <v>38</v>
      </c>
      <c r="I1383" s="6" t="str">
        <f aca="false">'Dish Database'!I357</f>
        <v>g</v>
      </c>
      <c r="J1383" s="13" t="n">
        <f aca="false">'Dish Database'!J357*H1383/100</f>
        <v>18.316</v>
      </c>
      <c r="K1383" s="17" t="n">
        <f aca="false">'Dish Database'!K357*H1383/100</f>
        <v>4.142</v>
      </c>
      <c r="L1383" s="17" t="n">
        <f aca="false">'Dish Database'!L357*H1383/100</f>
        <v>0.266</v>
      </c>
      <c r="M1383" s="17" t="n">
        <f aca="false">'Dish Database'!M357*H1383/100</f>
        <v>0.076</v>
      </c>
      <c r="N1383" s="17" t="n">
        <f aca="false">'Dish Database'!N357*H1383/100</f>
        <v>0</v>
      </c>
      <c r="O1383" s="17" t="n">
        <f aca="false">'Dish Database'!O357*H1383/100</f>
        <v>0.266</v>
      </c>
      <c r="P1383" s="13" t="n">
        <f aca="false">'Dish Database'!P357*H1383/100</f>
        <v>63.08</v>
      </c>
    </row>
    <row r="1384" customFormat="false" ht="15" hidden="false" customHeight="false" outlineLevel="0" collapsed="false">
      <c r="A1384" s="6" t="str">
        <f aca="false">'Dish Database'!A358</f>
        <v>D357</v>
      </c>
      <c r="B1384" s="6" t="str">
        <f aca="false">'Dish Database'!B358</f>
        <v>Fried egg / half fry</v>
      </c>
      <c r="C1384" s="6" t="str">
        <f aca="false">'Dish Database'!D358</f>
        <v>Egg Dishes</v>
      </c>
      <c r="D1384" s="6" t="str">
        <f aca="false">'Dish Database'!F358</f>
        <v>Egg</v>
      </c>
      <c r="E1384" s="6" t="str">
        <f aca="false">'Dish Database'!E358</f>
        <v>Pan-India</v>
      </c>
      <c r="F1384" s="6" t="s">
        <v>2243</v>
      </c>
      <c r="G1384" s="6" t="s">
        <v>2514</v>
      </c>
      <c r="H1384" s="16" t="n">
        <v>45</v>
      </c>
      <c r="I1384" s="6" t="str">
        <f aca="false">'Dish Database'!I358</f>
        <v>g</v>
      </c>
      <c r="J1384" s="13" t="n">
        <f aca="false">'Dish Database'!J358*H1384/100</f>
        <v>85.86</v>
      </c>
      <c r="K1384" s="17" t="n">
        <f aca="false">'Dish Database'!K358*H1384/100</f>
        <v>6.12</v>
      </c>
      <c r="L1384" s="17" t="n">
        <f aca="false">'Dish Database'!L358*H1384/100</f>
        <v>0.36</v>
      </c>
      <c r="M1384" s="17" t="n">
        <f aca="false">'Dish Database'!M358*H1384/100</f>
        <v>6.66</v>
      </c>
      <c r="N1384" s="17" t="n">
        <f aca="false">'Dish Database'!N358*H1384/100</f>
        <v>0</v>
      </c>
      <c r="O1384" s="17" t="n">
        <f aca="false">'Dish Database'!O358*H1384/100</f>
        <v>0.36</v>
      </c>
      <c r="P1384" s="13" t="n">
        <f aca="false">'Dish Database'!P358*H1384/100</f>
        <v>90</v>
      </c>
    </row>
    <row r="1385" customFormat="false" ht="15" hidden="false" customHeight="false" outlineLevel="0" collapsed="false">
      <c r="A1385" s="6" t="str">
        <f aca="false">'Dish Database'!A358</f>
        <v>D357</v>
      </c>
      <c r="B1385" s="6" t="str">
        <f aca="false">'Dish Database'!B358</f>
        <v>Fried egg / half fry</v>
      </c>
      <c r="C1385" s="6" t="str">
        <f aca="false">'Dish Database'!D358</f>
        <v>Egg Dishes</v>
      </c>
      <c r="D1385" s="6" t="str">
        <f aca="false">'Dish Database'!F358</f>
        <v>Egg</v>
      </c>
      <c r="E1385" s="6" t="str">
        <f aca="false">'Dish Database'!E358</f>
        <v>Pan-India</v>
      </c>
      <c r="F1385" s="6" t="s">
        <v>103</v>
      </c>
      <c r="G1385" s="6" t="s">
        <v>2515</v>
      </c>
      <c r="H1385" s="16" t="n">
        <v>55</v>
      </c>
      <c r="I1385" s="6" t="str">
        <f aca="false">'Dish Database'!I358</f>
        <v>g</v>
      </c>
      <c r="J1385" s="13" t="n">
        <f aca="false">'Dish Database'!J358*H1385/100</f>
        <v>104.94</v>
      </c>
      <c r="K1385" s="17" t="n">
        <f aca="false">'Dish Database'!K358*H1385/100</f>
        <v>7.48</v>
      </c>
      <c r="L1385" s="17" t="n">
        <f aca="false">'Dish Database'!L358*H1385/100</f>
        <v>0.44</v>
      </c>
      <c r="M1385" s="17" t="n">
        <f aca="false">'Dish Database'!M358*H1385/100</f>
        <v>8.14</v>
      </c>
      <c r="N1385" s="17" t="n">
        <f aca="false">'Dish Database'!N358*H1385/100</f>
        <v>0</v>
      </c>
      <c r="O1385" s="17" t="n">
        <f aca="false">'Dish Database'!O358*H1385/100</f>
        <v>0.44</v>
      </c>
      <c r="P1385" s="13" t="n">
        <f aca="false">'Dish Database'!P358*H1385/100</f>
        <v>110</v>
      </c>
    </row>
    <row r="1386" customFormat="false" ht="15" hidden="false" customHeight="false" outlineLevel="0" collapsed="false">
      <c r="A1386" s="6" t="str">
        <f aca="false">'Dish Database'!A358</f>
        <v>D357</v>
      </c>
      <c r="B1386" s="6" t="str">
        <f aca="false">'Dish Database'!B358</f>
        <v>Fried egg / half fry</v>
      </c>
      <c r="C1386" s="6" t="str">
        <f aca="false">'Dish Database'!D358</f>
        <v>Egg Dishes</v>
      </c>
      <c r="D1386" s="6" t="str">
        <f aca="false">'Dish Database'!F358</f>
        <v>Egg</v>
      </c>
      <c r="E1386" s="6" t="str">
        <f aca="false">'Dish Database'!E358</f>
        <v>Pan-India</v>
      </c>
      <c r="F1386" s="6" t="s">
        <v>2246</v>
      </c>
      <c r="G1386" s="6" t="s">
        <v>2516</v>
      </c>
      <c r="H1386" s="16" t="n">
        <v>65</v>
      </c>
      <c r="I1386" s="6" t="str">
        <f aca="false">'Dish Database'!I358</f>
        <v>g</v>
      </c>
      <c r="J1386" s="13" t="n">
        <f aca="false">'Dish Database'!J358*H1386/100</f>
        <v>124.02</v>
      </c>
      <c r="K1386" s="17" t="n">
        <f aca="false">'Dish Database'!K358*H1386/100</f>
        <v>8.84</v>
      </c>
      <c r="L1386" s="17" t="n">
        <f aca="false">'Dish Database'!L358*H1386/100</f>
        <v>0.52</v>
      </c>
      <c r="M1386" s="17" t="n">
        <f aca="false">'Dish Database'!M358*H1386/100</f>
        <v>9.62</v>
      </c>
      <c r="N1386" s="17" t="n">
        <f aca="false">'Dish Database'!N358*H1386/100</f>
        <v>0</v>
      </c>
      <c r="O1386" s="17" t="n">
        <f aca="false">'Dish Database'!O358*H1386/100</f>
        <v>0.52</v>
      </c>
      <c r="P1386" s="13" t="n">
        <f aca="false">'Dish Database'!P358*H1386/100</f>
        <v>130</v>
      </c>
    </row>
    <row r="1387" customFormat="false" ht="15" hidden="false" customHeight="false" outlineLevel="0" collapsed="false">
      <c r="A1387" s="6" t="str">
        <f aca="false">'Dish Database'!A359</f>
        <v>D358</v>
      </c>
      <c r="B1387" s="6" t="str">
        <f aca="false">'Dish Database'!B359</f>
        <v>Egg bhurji</v>
      </c>
      <c r="C1387" s="6" t="str">
        <f aca="false">'Dish Database'!D359</f>
        <v>Egg Dishes</v>
      </c>
      <c r="D1387" s="6" t="str">
        <f aca="false">'Dish Database'!F359</f>
        <v>Egg</v>
      </c>
      <c r="E1387" s="6" t="str">
        <f aca="false">'Dish Database'!E359</f>
        <v>Pan-India</v>
      </c>
      <c r="F1387" s="6" t="s">
        <v>2243</v>
      </c>
      <c r="G1387" s="6" t="s">
        <v>2517</v>
      </c>
      <c r="H1387" s="16" t="n">
        <v>75</v>
      </c>
      <c r="I1387" s="6" t="str">
        <f aca="false">'Dish Database'!I359</f>
        <v>g</v>
      </c>
      <c r="J1387" s="13" t="n">
        <f aca="false">'Dish Database'!J359*H1387/100</f>
        <v>134.925</v>
      </c>
      <c r="K1387" s="17" t="n">
        <f aca="false">'Dish Database'!K359*H1387/100</f>
        <v>8.25</v>
      </c>
      <c r="L1387" s="17" t="n">
        <f aca="false">'Dish Database'!L359*H1387/100</f>
        <v>3</v>
      </c>
      <c r="M1387" s="17" t="n">
        <f aca="false">'Dish Database'!M359*H1387/100</f>
        <v>10.125</v>
      </c>
      <c r="N1387" s="17" t="n">
        <f aca="false">'Dish Database'!N359*H1387/100</f>
        <v>0.6</v>
      </c>
      <c r="O1387" s="17" t="n">
        <f aca="false">'Dish Database'!O359*H1387/100</f>
        <v>1.5</v>
      </c>
      <c r="P1387" s="13" t="n">
        <f aca="false">'Dish Database'!P359*H1387/100</f>
        <v>300</v>
      </c>
    </row>
    <row r="1388" customFormat="false" ht="15" hidden="false" customHeight="false" outlineLevel="0" collapsed="false">
      <c r="A1388" s="6" t="str">
        <f aca="false">'Dish Database'!A359</f>
        <v>D358</v>
      </c>
      <c r="B1388" s="6" t="str">
        <f aca="false">'Dish Database'!B359</f>
        <v>Egg bhurji</v>
      </c>
      <c r="C1388" s="6" t="str">
        <f aca="false">'Dish Database'!D359</f>
        <v>Egg Dishes</v>
      </c>
      <c r="D1388" s="6" t="str">
        <f aca="false">'Dish Database'!F359</f>
        <v>Egg</v>
      </c>
      <c r="E1388" s="6" t="str">
        <f aca="false">'Dish Database'!E359</f>
        <v>Pan-India</v>
      </c>
      <c r="F1388" s="6" t="s">
        <v>103</v>
      </c>
      <c r="G1388" s="6" t="s">
        <v>2518</v>
      </c>
      <c r="H1388" s="16" t="n">
        <v>140</v>
      </c>
      <c r="I1388" s="6" t="str">
        <f aca="false">'Dish Database'!I359</f>
        <v>g</v>
      </c>
      <c r="J1388" s="13" t="n">
        <f aca="false">'Dish Database'!J359*H1388/100</f>
        <v>251.86</v>
      </c>
      <c r="K1388" s="17" t="n">
        <f aca="false">'Dish Database'!K359*H1388/100</f>
        <v>15.4</v>
      </c>
      <c r="L1388" s="17" t="n">
        <f aca="false">'Dish Database'!L359*H1388/100</f>
        <v>5.6</v>
      </c>
      <c r="M1388" s="17" t="n">
        <f aca="false">'Dish Database'!M359*H1388/100</f>
        <v>18.9</v>
      </c>
      <c r="N1388" s="17" t="n">
        <f aca="false">'Dish Database'!N359*H1388/100</f>
        <v>1.12</v>
      </c>
      <c r="O1388" s="17" t="n">
        <f aca="false">'Dish Database'!O359*H1388/100</f>
        <v>2.8</v>
      </c>
      <c r="P1388" s="13" t="n">
        <f aca="false">'Dish Database'!P359*H1388/100</f>
        <v>560</v>
      </c>
    </row>
    <row r="1389" customFormat="false" ht="15" hidden="false" customHeight="false" outlineLevel="0" collapsed="false">
      <c r="A1389" s="6" t="str">
        <f aca="false">'Dish Database'!A359</f>
        <v>D358</v>
      </c>
      <c r="B1389" s="6" t="str">
        <f aca="false">'Dish Database'!B359</f>
        <v>Egg bhurji</v>
      </c>
      <c r="C1389" s="6" t="str">
        <f aca="false">'Dish Database'!D359</f>
        <v>Egg Dishes</v>
      </c>
      <c r="D1389" s="6" t="str">
        <f aca="false">'Dish Database'!F359</f>
        <v>Egg</v>
      </c>
      <c r="E1389" s="6" t="str">
        <f aca="false">'Dish Database'!E359</f>
        <v>Pan-India</v>
      </c>
      <c r="F1389" s="6" t="s">
        <v>2246</v>
      </c>
      <c r="G1389" s="6" t="s">
        <v>2519</v>
      </c>
      <c r="H1389" s="16" t="n">
        <v>200</v>
      </c>
      <c r="I1389" s="6" t="str">
        <f aca="false">'Dish Database'!I359</f>
        <v>g</v>
      </c>
      <c r="J1389" s="13" t="n">
        <f aca="false">'Dish Database'!J359*H1389/100</f>
        <v>359.8</v>
      </c>
      <c r="K1389" s="17" t="n">
        <f aca="false">'Dish Database'!K359*H1389/100</f>
        <v>22</v>
      </c>
      <c r="L1389" s="17" t="n">
        <f aca="false">'Dish Database'!L359*H1389/100</f>
        <v>8</v>
      </c>
      <c r="M1389" s="17" t="n">
        <f aca="false">'Dish Database'!M359*H1389/100</f>
        <v>27</v>
      </c>
      <c r="N1389" s="17" t="n">
        <f aca="false">'Dish Database'!N359*H1389/100</f>
        <v>1.6</v>
      </c>
      <c r="O1389" s="17" t="n">
        <f aca="false">'Dish Database'!O359*H1389/100</f>
        <v>4</v>
      </c>
      <c r="P1389" s="13" t="n">
        <f aca="false">'Dish Database'!P359*H1389/100</f>
        <v>800</v>
      </c>
    </row>
    <row r="1390" customFormat="false" ht="15" hidden="false" customHeight="false" outlineLevel="0" collapsed="false">
      <c r="A1390" s="6" t="str">
        <f aca="false">'Dish Database'!A360</f>
        <v>D359</v>
      </c>
      <c r="B1390" s="6" t="str">
        <f aca="false">'Dish Database'!B360</f>
        <v>Egg curry</v>
      </c>
      <c r="C1390" s="6" t="str">
        <f aca="false">'Dish Database'!D360</f>
        <v>Egg Dishes</v>
      </c>
      <c r="D1390" s="6" t="str">
        <f aca="false">'Dish Database'!F360</f>
        <v>Egg</v>
      </c>
      <c r="E1390" s="6" t="str">
        <f aca="false">'Dish Database'!E360</f>
        <v>Pan-India</v>
      </c>
      <c r="F1390" s="6" t="s">
        <v>2243</v>
      </c>
      <c r="G1390" s="6" t="s">
        <v>2500</v>
      </c>
      <c r="H1390" s="16" t="n">
        <v>100</v>
      </c>
      <c r="I1390" s="6" t="str">
        <f aca="false">'Dish Database'!I360</f>
        <v>g</v>
      </c>
      <c r="J1390" s="13" t="n">
        <f aca="false">'Dish Database'!J360*H1390/100</f>
        <v>130.6</v>
      </c>
      <c r="K1390" s="17" t="n">
        <f aca="false">'Dish Database'!K360*H1390/100</f>
        <v>7.5</v>
      </c>
      <c r="L1390" s="17" t="n">
        <f aca="false">'Dish Database'!L360*H1390/100</f>
        <v>5.5</v>
      </c>
      <c r="M1390" s="17" t="n">
        <f aca="false">'Dish Database'!M360*H1390/100</f>
        <v>9</v>
      </c>
      <c r="N1390" s="17" t="n">
        <f aca="false">'Dish Database'!N360*H1390/100</f>
        <v>1.2</v>
      </c>
      <c r="O1390" s="17" t="n">
        <f aca="false">'Dish Database'!O360*H1390/100</f>
        <v>2.5</v>
      </c>
      <c r="P1390" s="13" t="n">
        <f aca="false">'Dish Database'!P360*H1390/100</f>
        <v>400</v>
      </c>
    </row>
    <row r="1391" customFormat="false" ht="15" hidden="false" customHeight="false" outlineLevel="0" collapsed="false">
      <c r="A1391" s="6" t="str">
        <f aca="false">'Dish Database'!A360</f>
        <v>D359</v>
      </c>
      <c r="B1391" s="6" t="str">
        <f aca="false">'Dish Database'!B360</f>
        <v>Egg curry</v>
      </c>
      <c r="C1391" s="6" t="str">
        <f aca="false">'Dish Database'!D360</f>
        <v>Egg Dishes</v>
      </c>
      <c r="D1391" s="6" t="str">
        <f aca="false">'Dish Database'!F360</f>
        <v>Egg</v>
      </c>
      <c r="E1391" s="6" t="str">
        <f aca="false">'Dish Database'!E360</f>
        <v>Pan-India</v>
      </c>
      <c r="F1391" s="6" t="s">
        <v>103</v>
      </c>
      <c r="G1391" s="6" t="s">
        <v>2501</v>
      </c>
      <c r="H1391" s="16" t="n">
        <v>150</v>
      </c>
      <c r="I1391" s="6" t="str">
        <f aca="false">'Dish Database'!I360</f>
        <v>g</v>
      </c>
      <c r="J1391" s="13" t="n">
        <f aca="false">'Dish Database'!J360*H1391/100</f>
        <v>195.9</v>
      </c>
      <c r="K1391" s="17" t="n">
        <f aca="false">'Dish Database'!K360*H1391/100</f>
        <v>11.25</v>
      </c>
      <c r="L1391" s="17" t="n">
        <f aca="false">'Dish Database'!L360*H1391/100</f>
        <v>8.25</v>
      </c>
      <c r="M1391" s="17" t="n">
        <f aca="false">'Dish Database'!M360*H1391/100</f>
        <v>13.5</v>
      </c>
      <c r="N1391" s="17" t="n">
        <f aca="false">'Dish Database'!N360*H1391/100</f>
        <v>1.8</v>
      </c>
      <c r="O1391" s="17" t="n">
        <f aca="false">'Dish Database'!O360*H1391/100</f>
        <v>3.75</v>
      </c>
      <c r="P1391" s="13" t="n">
        <f aca="false">'Dish Database'!P360*H1391/100</f>
        <v>600</v>
      </c>
    </row>
    <row r="1392" customFormat="false" ht="15" hidden="false" customHeight="false" outlineLevel="0" collapsed="false">
      <c r="A1392" s="6" t="str">
        <f aca="false">'Dish Database'!A360</f>
        <v>D359</v>
      </c>
      <c r="B1392" s="6" t="str">
        <f aca="false">'Dish Database'!B360</f>
        <v>Egg curry</v>
      </c>
      <c r="C1392" s="6" t="str">
        <f aca="false">'Dish Database'!D360</f>
        <v>Egg Dishes</v>
      </c>
      <c r="D1392" s="6" t="str">
        <f aca="false">'Dish Database'!F360</f>
        <v>Egg</v>
      </c>
      <c r="E1392" s="6" t="str">
        <f aca="false">'Dish Database'!E360</f>
        <v>Pan-India</v>
      </c>
      <c r="F1392" s="6" t="s">
        <v>2246</v>
      </c>
      <c r="G1392" s="6" t="s">
        <v>2502</v>
      </c>
      <c r="H1392" s="16" t="n">
        <v>200</v>
      </c>
      <c r="I1392" s="6" t="str">
        <f aca="false">'Dish Database'!I360</f>
        <v>g</v>
      </c>
      <c r="J1392" s="13" t="n">
        <f aca="false">'Dish Database'!J360*H1392/100</f>
        <v>261.2</v>
      </c>
      <c r="K1392" s="17" t="n">
        <f aca="false">'Dish Database'!K360*H1392/100</f>
        <v>15</v>
      </c>
      <c r="L1392" s="17" t="n">
        <f aca="false">'Dish Database'!L360*H1392/100</f>
        <v>11</v>
      </c>
      <c r="M1392" s="17" t="n">
        <f aca="false">'Dish Database'!M360*H1392/100</f>
        <v>18</v>
      </c>
      <c r="N1392" s="17" t="n">
        <f aca="false">'Dish Database'!N360*H1392/100</f>
        <v>2.4</v>
      </c>
      <c r="O1392" s="17" t="n">
        <f aca="false">'Dish Database'!O360*H1392/100</f>
        <v>5</v>
      </c>
      <c r="P1392" s="13" t="n">
        <f aca="false">'Dish Database'!P360*H1392/100</f>
        <v>800</v>
      </c>
    </row>
    <row r="1393" customFormat="false" ht="15" hidden="false" customHeight="false" outlineLevel="0" collapsed="false">
      <c r="A1393" s="6" t="str">
        <f aca="false">'Dish Database'!A360</f>
        <v>D359</v>
      </c>
      <c r="B1393" s="6" t="str">
        <f aca="false">'Dish Database'!B360</f>
        <v>Egg curry</v>
      </c>
      <c r="C1393" s="6" t="str">
        <f aca="false">'Dish Database'!D360</f>
        <v>Egg Dishes</v>
      </c>
      <c r="D1393" s="6" t="str">
        <f aca="false">'Dish Database'!F360</f>
        <v>Egg</v>
      </c>
      <c r="E1393" s="6" t="str">
        <f aca="false">'Dish Database'!E360</f>
        <v>Pan-India</v>
      </c>
      <c r="F1393" s="6" t="s">
        <v>2323</v>
      </c>
      <c r="G1393" s="6" t="s">
        <v>2503</v>
      </c>
      <c r="H1393" s="16" t="n">
        <v>250</v>
      </c>
      <c r="I1393" s="6" t="str">
        <f aca="false">'Dish Database'!I360</f>
        <v>g</v>
      </c>
      <c r="J1393" s="13" t="n">
        <f aca="false">'Dish Database'!J360*H1393/100</f>
        <v>326.5</v>
      </c>
      <c r="K1393" s="17" t="n">
        <f aca="false">'Dish Database'!K360*H1393/100</f>
        <v>18.75</v>
      </c>
      <c r="L1393" s="17" t="n">
        <f aca="false">'Dish Database'!L360*H1393/100</f>
        <v>13.75</v>
      </c>
      <c r="M1393" s="17" t="n">
        <f aca="false">'Dish Database'!M360*H1393/100</f>
        <v>22.5</v>
      </c>
      <c r="N1393" s="17" t="n">
        <f aca="false">'Dish Database'!N360*H1393/100</f>
        <v>3</v>
      </c>
      <c r="O1393" s="17" t="n">
        <f aca="false">'Dish Database'!O360*H1393/100</f>
        <v>6.25</v>
      </c>
      <c r="P1393" s="13" t="n">
        <f aca="false">'Dish Database'!P360*H1393/100</f>
        <v>1000</v>
      </c>
    </row>
    <row r="1394" customFormat="false" ht="15" hidden="false" customHeight="false" outlineLevel="0" collapsed="false">
      <c r="A1394" s="6" t="str">
        <f aca="false">'Dish Database'!A360</f>
        <v>D359</v>
      </c>
      <c r="B1394" s="6" t="str">
        <f aca="false">'Dish Database'!B360</f>
        <v>Egg curry</v>
      </c>
      <c r="C1394" s="6" t="str">
        <f aca="false">'Dish Database'!D360</f>
        <v>Egg Dishes</v>
      </c>
      <c r="D1394" s="6" t="str">
        <f aca="false">'Dish Database'!F360</f>
        <v>Egg</v>
      </c>
      <c r="E1394" s="6" t="str">
        <f aca="false">'Dish Database'!E360</f>
        <v>Pan-India</v>
      </c>
      <c r="F1394" s="6" t="s">
        <v>2325</v>
      </c>
      <c r="G1394" s="6" t="s">
        <v>2504</v>
      </c>
      <c r="H1394" s="16" t="n">
        <v>500</v>
      </c>
      <c r="I1394" s="6" t="str">
        <f aca="false">'Dish Database'!I360</f>
        <v>g</v>
      </c>
      <c r="J1394" s="13" t="n">
        <f aca="false">'Dish Database'!J360*H1394/100</f>
        <v>653</v>
      </c>
      <c r="K1394" s="17" t="n">
        <f aca="false">'Dish Database'!K360*H1394/100</f>
        <v>37.5</v>
      </c>
      <c r="L1394" s="17" t="n">
        <f aca="false">'Dish Database'!L360*H1394/100</f>
        <v>27.5</v>
      </c>
      <c r="M1394" s="17" t="n">
        <f aca="false">'Dish Database'!M360*H1394/100</f>
        <v>45</v>
      </c>
      <c r="N1394" s="17" t="n">
        <f aca="false">'Dish Database'!N360*H1394/100</f>
        <v>6</v>
      </c>
      <c r="O1394" s="17" t="n">
        <f aca="false">'Dish Database'!O360*H1394/100</f>
        <v>12.5</v>
      </c>
      <c r="P1394" s="13" t="n">
        <f aca="false">'Dish Database'!P360*H1394/100</f>
        <v>2000</v>
      </c>
    </row>
    <row r="1395" customFormat="false" ht="15" hidden="false" customHeight="false" outlineLevel="0" collapsed="false">
      <c r="A1395" s="6" t="str">
        <f aca="false">'Dish Database'!A361</f>
        <v>D360</v>
      </c>
      <c r="B1395" s="6" t="str">
        <f aca="false">'Dish Database'!B361</f>
        <v>Kerala egg roast</v>
      </c>
      <c r="C1395" s="6" t="str">
        <f aca="false">'Dish Database'!D361</f>
        <v>Egg Dishes</v>
      </c>
      <c r="D1395" s="6" t="str">
        <f aca="false">'Dish Database'!F361</f>
        <v>Egg</v>
      </c>
      <c r="E1395" s="6" t="str">
        <f aca="false">'Dish Database'!E361</f>
        <v>South</v>
      </c>
      <c r="F1395" s="6" t="s">
        <v>2243</v>
      </c>
      <c r="G1395" s="6" t="s">
        <v>2500</v>
      </c>
      <c r="H1395" s="16" t="n">
        <v>100</v>
      </c>
      <c r="I1395" s="6" t="str">
        <f aca="false">'Dish Database'!I361</f>
        <v>g</v>
      </c>
      <c r="J1395" s="13" t="n">
        <f aca="false">'Dish Database'!J361*H1395/100</f>
        <v>147</v>
      </c>
      <c r="K1395" s="17" t="n">
        <f aca="false">'Dish Database'!K361*H1395/100</f>
        <v>8</v>
      </c>
      <c r="L1395" s="17" t="n">
        <f aca="false">'Dish Database'!L361*H1395/100</f>
        <v>7</v>
      </c>
      <c r="M1395" s="17" t="n">
        <f aca="false">'Dish Database'!M361*H1395/100</f>
        <v>10</v>
      </c>
      <c r="N1395" s="17" t="n">
        <f aca="false">'Dish Database'!N361*H1395/100</f>
        <v>1.5</v>
      </c>
      <c r="O1395" s="17" t="n">
        <f aca="false">'Dish Database'!O361*H1395/100</f>
        <v>3.5</v>
      </c>
      <c r="P1395" s="13" t="n">
        <f aca="false">'Dish Database'!P361*H1395/100</f>
        <v>400</v>
      </c>
    </row>
    <row r="1396" customFormat="false" ht="15" hidden="false" customHeight="false" outlineLevel="0" collapsed="false">
      <c r="A1396" s="6" t="str">
        <f aca="false">'Dish Database'!A361</f>
        <v>D360</v>
      </c>
      <c r="B1396" s="6" t="str">
        <f aca="false">'Dish Database'!B361</f>
        <v>Kerala egg roast</v>
      </c>
      <c r="C1396" s="6" t="str">
        <f aca="false">'Dish Database'!D361</f>
        <v>Egg Dishes</v>
      </c>
      <c r="D1396" s="6" t="str">
        <f aca="false">'Dish Database'!F361</f>
        <v>Egg</v>
      </c>
      <c r="E1396" s="6" t="str">
        <f aca="false">'Dish Database'!E361</f>
        <v>South</v>
      </c>
      <c r="F1396" s="6" t="s">
        <v>103</v>
      </c>
      <c r="G1396" s="6" t="s">
        <v>2501</v>
      </c>
      <c r="H1396" s="16" t="n">
        <v>150</v>
      </c>
      <c r="I1396" s="6" t="str">
        <f aca="false">'Dish Database'!I361</f>
        <v>g</v>
      </c>
      <c r="J1396" s="13" t="n">
        <f aca="false">'Dish Database'!J361*H1396/100</f>
        <v>220.5</v>
      </c>
      <c r="K1396" s="17" t="n">
        <f aca="false">'Dish Database'!K361*H1396/100</f>
        <v>12</v>
      </c>
      <c r="L1396" s="17" t="n">
        <f aca="false">'Dish Database'!L361*H1396/100</f>
        <v>10.5</v>
      </c>
      <c r="M1396" s="17" t="n">
        <f aca="false">'Dish Database'!M361*H1396/100</f>
        <v>15</v>
      </c>
      <c r="N1396" s="17" t="n">
        <f aca="false">'Dish Database'!N361*H1396/100</f>
        <v>2.25</v>
      </c>
      <c r="O1396" s="17" t="n">
        <f aca="false">'Dish Database'!O361*H1396/100</f>
        <v>5.25</v>
      </c>
      <c r="P1396" s="13" t="n">
        <f aca="false">'Dish Database'!P361*H1396/100</f>
        <v>600</v>
      </c>
    </row>
    <row r="1397" customFormat="false" ht="15" hidden="false" customHeight="false" outlineLevel="0" collapsed="false">
      <c r="A1397" s="6" t="str">
        <f aca="false">'Dish Database'!A361</f>
        <v>D360</v>
      </c>
      <c r="B1397" s="6" t="str">
        <f aca="false">'Dish Database'!B361</f>
        <v>Kerala egg roast</v>
      </c>
      <c r="C1397" s="6" t="str">
        <f aca="false">'Dish Database'!D361</f>
        <v>Egg Dishes</v>
      </c>
      <c r="D1397" s="6" t="str">
        <f aca="false">'Dish Database'!F361</f>
        <v>Egg</v>
      </c>
      <c r="E1397" s="6" t="str">
        <f aca="false">'Dish Database'!E361</f>
        <v>South</v>
      </c>
      <c r="F1397" s="6" t="s">
        <v>2246</v>
      </c>
      <c r="G1397" s="6" t="s">
        <v>2502</v>
      </c>
      <c r="H1397" s="16" t="n">
        <v>200</v>
      </c>
      <c r="I1397" s="6" t="str">
        <f aca="false">'Dish Database'!I361</f>
        <v>g</v>
      </c>
      <c r="J1397" s="13" t="n">
        <f aca="false">'Dish Database'!J361*H1397/100</f>
        <v>294</v>
      </c>
      <c r="K1397" s="17" t="n">
        <f aca="false">'Dish Database'!K361*H1397/100</f>
        <v>16</v>
      </c>
      <c r="L1397" s="17" t="n">
        <f aca="false">'Dish Database'!L361*H1397/100</f>
        <v>14</v>
      </c>
      <c r="M1397" s="17" t="n">
        <f aca="false">'Dish Database'!M361*H1397/100</f>
        <v>20</v>
      </c>
      <c r="N1397" s="17" t="n">
        <f aca="false">'Dish Database'!N361*H1397/100</f>
        <v>3</v>
      </c>
      <c r="O1397" s="17" t="n">
        <f aca="false">'Dish Database'!O361*H1397/100</f>
        <v>7</v>
      </c>
      <c r="P1397" s="13" t="n">
        <f aca="false">'Dish Database'!P361*H1397/100</f>
        <v>800</v>
      </c>
    </row>
    <row r="1398" customFormat="false" ht="15" hidden="false" customHeight="false" outlineLevel="0" collapsed="false">
      <c r="A1398" s="6" t="str">
        <f aca="false">'Dish Database'!A361</f>
        <v>D360</v>
      </c>
      <c r="B1398" s="6" t="str">
        <f aca="false">'Dish Database'!B361</f>
        <v>Kerala egg roast</v>
      </c>
      <c r="C1398" s="6" t="str">
        <f aca="false">'Dish Database'!D361</f>
        <v>Egg Dishes</v>
      </c>
      <c r="D1398" s="6" t="str">
        <f aca="false">'Dish Database'!F361</f>
        <v>Egg</v>
      </c>
      <c r="E1398" s="6" t="str">
        <f aca="false">'Dish Database'!E361</f>
        <v>South</v>
      </c>
      <c r="F1398" s="6" t="s">
        <v>2323</v>
      </c>
      <c r="G1398" s="6" t="s">
        <v>2503</v>
      </c>
      <c r="H1398" s="16" t="n">
        <v>250</v>
      </c>
      <c r="I1398" s="6" t="str">
        <f aca="false">'Dish Database'!I361</f>
        <v>g</v>
      </c>
      <c r="J1398" s="13" t="n">
        <f aca="false">'Dish Database'!J361*H1398/100</f>
        <v>367.5</v>
      </c>
      <c r="K1398" s="17" t="n">
        <f aca="false">'Dish Database'!K361*H1398/100</f>
        <v>20</v>
      </c>
      <c r="L1398" s="17" t="n">
        <f aca="false">'Dish Database'!L361*H1398/100</f>
        <v>17.5</v>
      </c>
      <c r="M1398" s="17" t="n">
        <f aca="false">'Dish Database'!M361*H1398/100</f>
        <v>25</v>
      </c>
      <c r="N1398" s="17" t="n">
        <f aca="false">'Dish Database'!N361*H1398/100</f>
        <v>3.75</v>
      </c>
      <c r="O1398" s="17" t="n">
        <f aca="false">'Dish Database'!O361*H1398/100</f>
        <v>8.75</v>
      </c>
      <c r="P1398" s="13" t="n">
        <f aca="false">'Dish Database'!P361*H1398/100</f>
        <v>1000</v>
      </c>
    </row>
    <row r="1399" customFormat="false" ht="15" hidden="false" customHeight="false" outlineLevel="0" collapsed="false">
      <c r="A1399" s="6" t="str">
        <f aca="false">'Dish Database'!A361</f>
        <v>D360</v>
      </c>
      <c r="B1399" s="6" t="str">
        <f aca="false">'Dish Database'!B361</f>
        <v>Kerala egg roast</v>
      </c>
      <c r="C1399" s="6" t="str">
        <f aca="false">'Dish Database'!D361</f>
        <v>Egg Dishes</v>
      </c>
      <c r="D1399" s="6" t="str">
        <f aca="false">'Dish Database'!F361</f>
        <v>Egg</v>
      </c>
      <c r="E1399" s="6" t="str">
        <f aca="false">'Dish Database'!E361</f>
        <v>South</v>
      </c>
      <c r="F1399" s="6" t="s">
        <v>2325</v>
      </c>
      <c r="G1399" s="6" t="s">
        <v>2504</v>
      </c>
      <c r="H1399" s="16" t="n">
        <v>500</v>
      </c>
      <c r="I1399" s="6" t="str">
        <f aca="false">'Dish Database'!I361</f>
        <v>g</v>
      </c>
      <c r="J1399" s="13" t="n">
        <f aca="false">'Dish Database'!J361*H1399/100</f>
        <v>735</v>
      </c>
      <c r="K1399" s="17" t="n">
        <f aca="false">'Dish Database'!K361*H1399/100</f>
        <v>40</v>
      </c>
      <c r="L1399" s="17" t="n">
        <f aca="false">'Dish Database'!L361*H1399/100</f>
        <v>35</v>
      </c>
      <c r="M1399" s="17" t="n">
        <f aca="false">'Dish Database'!M361*H1399/100</f>
        <v>50</v>
      </c>
      <c r="N1399" s="17" t="n">
        <f aca="false">'Dish Database'!N361*H1399/100</f>
        <v>7.5</v>
      </c>
      <c r="O1399" s="17" t="n">
        <f aca="false">'Dish Database'!O361*H1399/100</f>
        <v>17.5</v>
      </c>
      <c r="P1399" s="13" t="n">
        <f aca="false">'Dish Database'!P361*H1399/100</f>
        <v>2000</v>
      </c>
    </row>
    <row r="1400" customFormat="false" ht="15" hidden="false" customHeight="false" outlineLevel="0" collapsed="false">
      <c r="A1400" s="6" t="str">
        <f aca="false">'Dish Database'!A362</f>
        <v>D361</v>
      </c>
      <c r="B1400" s="6" t="str">
        <f aca="false">'Dish Database'!B362</f>
        <v>Paneer tikka</v>
      </c>
      <c r="C1400" s="6" t="str">
        <f aca="false">'Dish Database'!D362</f>
        <v>Veg Starters</v>
      </c>
      <c r="D1400" s="6" t="str">
        <f aca="false">'Dish Database'!F362</f>
        <v>Veg</v>
      </c>
      <c r="E1400" s="6" t="str">
        <f aca="false">'Dish Database'!E362</f>
        <v>North</v>
      </c>
      <c r="F1400" s="6" t="s">
        <v>2243</v>
      </c>
      <c r="G1400" s="6" t="s">
        <v>2430</v>
      </c>
      <c r="H1400" s="16" t="n">
        <v>100</v>
      </c>
      <c r="I1400" s="6" t="str">
        <f aca="false">'Dish Database'!I362</f>
        <v>g</v>
      </c>
      <c r="J1400" s="13" t="n">
        <f aca="false">'Dish Database'!J362*H1400/100</f>
        <v>222</v>
      </c>
      <c r="K1400" s="17" t="n">
        <f aca="false">'Dish Database'!K362*H1400/100</f>
        <v>14</v>
      </c>
      <c r="L1400" s="17" t="n">
        <f aca="false">'Dish Database'!L362*H1400/100</f>
        <v>6</v>
      </c>
      <c r="M1400" s="17" t="n">
        <f aca="false">'Dish Database'!M362*H1400/100</f>
        <v>16</v>
      </c>
      <c r="N1400" s="17" t="n">
        <f aca="false">'Dish Database'!N362*H1400/100</f>
        <v>1</v>
      </c>
      <c r="O1400" s="17" t="n">
        <f aca="false">'Dish Database'!O362*H1400/100</f>
        <v>3</v>
      </c>
      <c r="P1400" s="13" t="n">
        <f aca="false">'Dish Database'!P362*H1400/100</f>
        <v>450</v>
      </c>
    </row>
    <row r="1401" customFormat="false" ht="15" hidden="false" customHeight="false" outlineLevel="0" collapsed="false">
      <c r="A1401" s="6" t="str">
        <f aca="false">'Dish Database'!A362</f>
        <v>D361</v>
      </c>
      <c r="B1401" s="6" t="str">
        <f aca="false">'Dish Database'!B362</f>
        <v>Paneer tikka</v>
      </c>
      <c r="C1401" s="6" t="str">
        <f aca="false">'Dish Database'!D362</f>
        <v>Veg Starters</v>
      </c>
      <c r="D1401" s="6" t="str">
        <f aca="false">'Dish Database'!F362</f>
        <v>Veg</v>
      </c>
      <c r="E1401" s="6" t="str">
        <f aca="false">'Dish Database'!E362</f>
        <v>North</v>
      </c>
      <c r="F1401" s="6" t="s">
        <v>103</v>
      </c>
      <c r="G1401" s="6" t="s">
        <v>2431</v>
      </c>
      <c r="H1401" s="16" t="n">
        <v>150</v>
      </c>
      <c r="I1401" s="6" t="str">
        <f aca="false">'Dish Database'!I362</f>
        <v>g</v>
      </c>
      <c r="J1401" s="13" t="n">
        <f aca="false">'Dish Database'!J362*H1401/100</f>
        <v>333</v>
      </c>
      <c r="K1401" s="17" t="n">
        <f aca="false">'Dish Database'!K362*H1401/100</f>
        <v>21</v>
      </c>
      <c r="L1401" s="17" t="n">
        <f aca="false">'Dish Database'!L362*H1401/100</f>
        <v>9</v>
      </c>
      <c r="M1401" s="17" t="n">
        <f aca="false">'Dish Database'!M362*H1401/100</f>
        <v>24</v>
      </c>
      <c r="N1401" s="17" t="n">
        <f aca="false">'Dish Database'!N362*H1401/100</f>
        <v>1.5</v>
      </c>
      <c r="O1401" s="17" t="n">
        <f aca="false">'Dish Database'!O362*H1401/100</f>
        <v>4.5</v>
      </c>
      <c r="P1401" s="13" t="n">
        <f aca="false">'Dish Database'!P362*H1401/100</f>
        <v>675</v>
      </c>
    </row>
    <row r="1402" customFormat="false" ht="15" hidden="false" customHeight="false" outlineLevel="0" collapsed="false">
      <c r="A1402" s="6" t="str">
        <f aca="false">'Dish Database'!A362</f>
        <v>D361</v>
      </c>
      <c r="B1402" s="6" t="str">
        <f aca="false">'Dish Database'!B362</f>
        <v>Paneer tikka</v>
      </c>
      <c r="C1402" s="6" t="str">
        <f aca="false">'Dish Database'!D362</f>
        <v>Veg Starters</v>
      </c>
      <c r="D1402" s="6" t="str">
        <f aca="false">'Dish Database'!F362</f>
        <v>Veg</v>
      </c>
      <c r="E1402" s="6" t="str">
        <f aca="false">'Dish Database'!E362</f>
        <v>North</v>
      </c>
      <c r="F1402" s="6" t="s">
        <v>2246</v>
      </c>
      <c r="G1402" s="6" t="s">
        <v>2520</v>
      </c>
      <c r="H1402" s="16" t="n">
        <v>200</v>
      </c>
      <c r="I1402" s="6" t="str">
        <f aca="false">'Dish Database'!I362</f>
        <v>g</v>
      </c>
      <c r="J1402" s="13" t="n">
        <f aca="false">'Dish Database'!J362*H1402/100</f>
        <v>444</v>
      </c>
      <c r="K1402" s="17" t="n">
        <f aca="false">'Dish Database'!K362*H1402/100</f>
        <v>28</v>
      </c>
      <c r="L1402" s="17" t="n">
        <f aca="false">'Dish Database'!L362*H1402/100</f>
        <v>12</v>
      </c>
      <c r="M1402" s="17" t="n">
        <f aca="false">'Dish Database'!M362*H1402/100</f>
        <v>32</v>
      </c>
      <c r="N1402" s="17" t="n">
        <f aca="false">'Dish Database'!N362*H1402/100</f>
        <v>2</v>
      </c>
      <c r="O1402" s="17" t="n">
        <f aca="false">'Dish Database'!O362*H1402/100</f>
        <v>6</v>
      </c>
      <c r="P1402" s="13" t="n">
        <f aca="false">'Dish Database'!P362*H1402/100</f>
        <v>900</v>
      </c>
    </row>
    <row r="1403" customFormat="false" ht="15" hidden="false" customHeight="false" outlineLevel="0" collapsed="false">
      <c r="A1403" s="6" t="str">
        <f aca="false">'Dish Database'!A362</f>
        <v>D361</v>
      </c>
      <c r="B1403" s="6" t="str">
        <f aca="false">'Dish Database'!B362</f>
        <v>Paneer tikka</v>
      </c>
      <c r="C1403" s="6" t="str">
        <f aca="false">'Dish Database'!D362</f>
        <v>Veg Starters</v>
      </c>
      <c r="D1403" s="6" t="str">
        <f aca="false">'Dish Database'!F362</f>
        <v>Veg</v>
      </c>
      <c r="E1403" s="6" t="str">
        <f aca="false">'Dish Database'!E362</f>
        <v>North</v>
      </c>
      <c r="F1403" s="6" t="s">
        <v>2323</v>
      </c>
      <c r="G1403" s="6" t="s">
        <v>2324</v>
      </c>
      <c r="H1403" s="16" t="n">
        <v>180</v>
      </c>
      <c r="I1403" s="6" t="str">
        <f aca="false">'Dish Database'!I362</f>
        <v>g</v>
      </c>
      <c r="J1403" s="13" t="n">
        <f aca="false">'Dish Database'!J362*H1403/100</f>
        <v>399.6</v>
      </c>
      <c r="K1403" s="17" t="n">
        <f aca="false">'Dish Database'!K362*H1403/100</f>
        <v>25.2</v>
      </c>
      <c r="L1403" s="17" t="n">
        <f aca="false">'Dish Database'!L362*H1403/100</f>
        <v>10.8</v>
      </c>
      <c r="M1403" s="17" t="n">
        <f aca="false">'Dish Database'!M362*H1403/100</f>
        <v>28.8</v>
      </c>
      <c r="N1403" s="17" t="n">
        <f aca="false">'Dish Database'!N362*H1403/100</f>
        <v>1.8</v>
      </c>
      <c r="O1403" s="17" t="n">
        <f aca="false">'Dish Database'!O362*H1403/100</f>
        <v>5.4</v>
      </c>
      <c r="P1403" s="13" t="n">
        <f aca="false">'Dish Database'!P362*H1403/100</f>
        <v>810</v>
      </c>
    </row>
    <row r="1404" customFormat="false" ht="15" hidden="false" customHeight="false" outlineLevel="0" collapsed="false">
      <c r="A1404" s="6" t="str">
        <f aca="false">'Dish Database'!A362</f>
        <v>D361</v>
      </c>
      <c r="B1404" s="6" t="str">
        <f aca="false">'Dish Database'!B362</f>
        <v>Paneer tikka</v>
      </c>
      <c r="C1404" s="6" t="str">
        <f aca="false">'Dish Database'!D362</f>
        <v>Veg Starters</v>
      </c>
      <c r="D1404" s="6" t="str">
        <f aca="false">'Dish Database'!F362</f>
        <v>Veg</v>
      </c>
      <c r="E1404" s="6" t="str">
        <f aca="false">'Dish Database'!E362</f>
        <v>North</v>
      </c>
      <c r="F1404" s="6" t="s">
        <v>2325</v>
      </c>
      <c r="G1404" s="6" t="s">
        <v>2326</v>
      </c>
      <c r="H1404" s="16" t="n">
        <v>350</v>
      </c>
      <c r="I1404" s="6" t="str">
        <f aca="false">'Dish Database'!I362</f>
        <v>g</v>
      </c>
      <c r="J1404" s="13" t="n">
        <f aca="false">'Dish Database'!J362*H1404/100</f>
        <v>777</v>
      </c>
      <c r="K1404" s="17" t="n">
        <f aca="false">'Dish Database'!K362*H1404/100</f>
        <v>49</v>
      </c>
      <c r="L1404" s="17" t="n">
        <f aca="false">'Dish Database'!L362*H1404/100</f>
        <v>21</v>
      </c>
      <c r="M1404" s="17" t="n">
        <f aca="false">'Dish Database'!M362*H1404/100</f>
        <v>56</v>
      </c>
      <c r="N1404" s="17" t="n">
        <f aca="false">'Dish Database'!N362*H1404/100</f>
        <v>3.5</v>
      </c>
      <c r="O1404" s="17" t="n">
        <f aca="false">'Dish Database'!O362*H1404/100</f>
        <v>10.5</v>
      </c>
      <c r="P1404" s="13" t="n">
        <f aca="false">'Dish Database'!P362*H1404/100</f>
        <v>1575</v>
      </c>
    </row>
    <row r="1405" customFormat="false" ht="15" hidden="false" customHeight="false" outlineLevel="0" collapsed="false">
      <c r="A1405" s="6" t="str">
        <f aca="false">'Dish Database'!A363</f>
        <v>D362</v>
      </c>
      <c r="B1405" s="6" t="str">
        <f aca="false">'Dish Database'!B363</f>
        <v>Malai paneer tikka</v>
      </c>
      <c r="C1405" s="6" t="str">
        <f aca="false">'Dish Database'!D363</f>
        <v>Veg Starters</v>
      </c>
      <c r="D1405" s="6" t="str">
        <f aca="false">'Dish Database'!F363</f>
        <v>Veg</v>
      </c>
      <c r="E1405" s="6" t="str">
        <f aca="false">'Dish Database'!E363</f>
        <v>North</v>
      </c>
      <c r="F1405" s="6" t="s">
        <v>2243</v>
      </c>
      <c r="G1405" s="6" t="s">
        <v>2430</v>
      </c>
      <c r="H1405" s="16" t="n">
        <v>100</v>
      </c>
      <c r="I1405" s="6" t="str">
        <f aca="false">'Dish Database'!I363</f>
        <v>g</v>
      </c>
      <c r="J1405" s="13" t="n">
        <f aca="false">'Dish Database'!J363*H1405/100</f>
        <v>251</v>
      </c>
      <c r="K1405" s="17" t="n">
        <f aca="false">'Dish Database'!K363*H1405/100</f>
        <v>13</v>
      </c>
      <c r="L1405" s="17" t="n">
        <f aca="false">'Dish Database'!L363*H1405/100</f>
        <v>5</v>
      </c>
      <c r="M1405" s="17" t="n">
        <f aca="false">'Dish Database'!M363*H1405/100</f>
        <v>20</v>
      </c>
      <c r="N1405" s="17" t="n">
        <f aca="false">'Dish Database'!N363*H1405/100</f>
        <v>0.5</v>
      </c>
      <c r="O1405" s="17" t="n">
        <f aca="false">'Dish Database'!O363*H1405/100</f>
        <v>2.5</v>
      </c>
      <c r="P1405" s="13" t="n">
        <f aca="false">'Dish Database'!P363*H1405/100</f>
        <v>450</v>
      </c>
    </row>
    <row r="1406" customFormat="false" ht="15" hidden="false" customHeight="false" outlineLevel="0" collapsed="false">
      <c r="A1406" s="6" t="str">
        <f aca="false">'Dish Database'!A363</f>
        <v>D362</v>
      </c>
      <c r="B1406" s="6" t="str">
        <f aca="false">'Dish Database'!B363</f>
        <v>Malai paneer tikka</v>
      </c>
      <c r="C1406" s="6" t="str">
        <f aca="false">'Dish Database'!D363</f>
        <v>Veg Starters</v>
      </c>
      <c r="D1406" s="6" t="str">
        <f aca="false">'Dish Database'!F363</f>
        <v>Veg</v>
      </c>
      <c r="E1406" s="6" t="str">
        <f aca="false">'Dish Database'!E363</f>
        <v>North</v>
      </c>
      <c r="F1406" s="6" t="s">
        <v>103</v>
      </c>
      <c r="G1406" s="6" t="s">
        <v>2431</v>
      </c>
      <c r="H1406" s="16" t="n">
        <v>150</v>
      </c>
      <c r="I1406" s="6" t="str">
        <f aca="false">'Dish Database'!I363</f>
        <v>g</v>
      </c>
      <c r="J1406" s="13" t="n">
        <f aca="false">'Dish Database'!J363*H1406/100</f>
        <v>376.5</v>
      </c>
      <c r="K1406" s="17" t="n">
        <f aca="false">'Dish Database'!K363*H1406/100</f>
        <v>19.5</v>
      </c>
      <c r="L1406" s="17" t="n">
        <f aca="false">'Dish Database'!L363*H1406/100</f>
        <v>7.5</v>
      </c>
      <c r="M1406" s="17" t="n">
        <f aca="false">'Dish Database'!M363*H1406/100</f>
        <v>30</v>
      </c>
      <c r="N1406" s="17" t="n">
        <f aca="false">'Dish Database'!N363*H1406/100</f>
        <v>0.75</v>
      </c>
      <c r="O1406" s="17" t="n">
        <f aca="false">'Dish Database'!O363*H1406/100</f>
        <v>3.75</v>
      </c>
      <c r="P1406" s="13" t="n">
        <f aca="false">'Dish Database'!P363*H1406/100</f>
        <v>675</v>
      </c>
    </row>
    <row r="1407" customFormat="false" ht="15" hidden="false" customHeight="false" outlineLevel="0" collapsed="false">
      <c r="A1407" s="6" t="str">
        <f aca="false">'Dish Database'!A363</f>
        <v>D362</v>
      </c>
      <c r="B1407" s="6" t="str">
        <f aca="false">'Dish Database'!B363</f>
        <v>Malai paneer tikka</v>
      </c>
      <c r="C1407" s="6" t="str">
        <f aca="false">'Dish Database'!D363</f>
        <v>Veg Starters</v>
      </c>
      <c r="D1407" s="6" t="str">
        <f aca="false">'Dish Database'!F363</f>
        <v>Veg</v>
      </c>
      <c r="E1407" s="6" t="str">
        <f aca="false">'Dish Database'!E363</f>
        <v>North</v>
      </c>
      <c r="F1407" s="6" t="s">
        <v>2246</v>
      </c>
      <c r="G1407" s="6" t="s">
        <v>2520</v>
      </c>
      <c r="H1407" s="16" t="n">
        <v>200</v>
      </c>
      <c r="I1407" s="6" t="str">
        <f aca="false">'Dish Database'!I363</f>
        <v>g</v>
      </c>
      <c r="J1407" s="13" t="n">
        <f aca="false">'Dish Database'!J363*H1407/100</f>
        <v>502</v>
      </c>
      <c r="K1407" s="17" t="n">
        <f aca="false">'Dish Database'!K363*H1407/100</f>
        <v>26</v>
      </c>
      <c r="L1407" s="17" t="n">
        <f aca="false">'Dish Database'!L363*H1407/100</f>
        <v>10</v>
      </c>
      <c r="M1407" s="17" t="n">
        <f aca="false">'Dish Database'!M363*H1407/100</f>
        <v>40</v>
      </c>
      <c r="N1407" s="17" t="n">
        <f aca="false">'Dish Database'!N363*H1407/100</f>
        <v>1</v>
      </c>
      <c r="O1407" s="17" t="n">
        <f aca="false">'Dish Database'!O363*H1407/100</f>
        <v>5</v>
      </c>
      <c r="P1407" s="13" t="n">
        <f aca="false">'Dish Database'!P363*H1407/100</f>
        <v>900</v>
      </c>
    </row>
    <row r="1408" customFormat="false" ht="15" hidden="false" customHeight="false" outlineLevel="0" collapsed="false">
      <c r="A1408" s="6" t="str">
        <f aca="false">'Dish Database'!A363</f>
        <v>D362</v>
      </c>
      <c r="B1408" s="6" t="str">
        <f aca="false">'Dish Database'!B363</f>
        <v>Malai paneer tikka</v>
      </c>
      <c r="C1408" s="6" t="str">
        <f aca="false">'Dish Database'!D363</f>
        <v>Veg Starters</v>
      </c>
      <c r="D1408" s="6" t="str">
        <f aca="false">'Dish Database'!F363</f>
        <v>Veg</v>
      </c>
      <c r="E1408" s="6" t="str">
        <f aca="false">'Dish Database'!E363</f>
        <v>North</v>
      </c>
      <c r="F1408" s="6" t="s">
        <v>2323</v>
      </c>
      <c r="G1408" s="6" t="s">
        <v>2324</v>
      </c>
      <c r="H1408" s="16" t="n">
        <v>180</v>
      </c>
      <c r="I1408" s="6" t="str">
        <f aca="false">'Dish Database'!I363</f>
        <v>g</v>
      </c>
      <c r="J1408" s="13" t="n">
        <f aca="false">'Dish Database'!J363*H1408/100</f>
        <v>451.8</v>
      </c>
      <c r="K1408" s="17" t="n">
        <f aca="false">'Dish Database'!K363*H1408/100</f>
        <v>23.4</v>
      </c>
      <c r="L1408" s="17" t="n">
        <f aca="false">'Dish Database'!L363*H1408/100</f>
        <v>9</v>
      </c>
      <c r="M1408" s="17" t="n">
        <f aca="false">'Dish Database'!M363*H1408/100</f>
        <v>36</v>
      </c>
      <c r="N1408" s="17" t="n">
        <f aca="false">'Dish Database'!N363*H1408/100</f>
        <v>0.9</v>
      </c>
      <c r="O1408" s="17" t="n">
        <f aca="false">'Dish Database'!O363*H1408/100</f>
        <v>4.5</v>
      </c>
      <c r="P1408" s="13" t="n">
        <f aca="false">'Dish Database'!P363*H1408/100</f>
        <v>810</v>
      </c>
    </row>
    <row r="1409" customFormat="false" ht="15" hidden="false" customHeight="false" outlineLevel="0" collapsed="false">
      <c r="A1409" s="6" t="str">
        <f aca="false">'Dish Database'!A363</f>
        <v>D362</v>
      </c>
      <c r="B1409" s="6" t="str">
        <f aca="false">'Dish Database'!B363</f>
        <v>Malai paneer tikka</v>
      </c>
      <c r="C1409" s="6" t="str">
        <f aca="false">'Dish Database'!D363</f>
        <v>Veg Starters</v>
      </c>
      <c r="D1409" s="6" t="str">
        <f aca="false">'Dish Database'!F363</f>
        <v>Veg</v>
      </c>
      <c r="E1409" s="6" t="str">
        <f aca="false">'Dish Database'!E363</f>
        <v>North</v>
      </c>
      <c r="F1409" s="6" t="s">
        <v>2325</v>
      </c>
      <c r="G1409" s="6" t="s">
        <v>2326</v>
      </c>
      <c r="H1409" s="16" t="n">
        <v>350</v>
      </c>
      <c r="I1409" s="6" t="str">
        <f aca="false">'Dish Database'!I363</f>
        <v>g</v>
      </c>
      <c r="J1409" s="13" t="n">
        <f aca="false">'Dish Database'!J363*H1409/100</f>
        <v>878.5</v>
      </c>
      <c r="K1409" s="17" t="n">
        <f aca="false">'Dish Database'!K363*H1409/100</f>
        <v>45.5</v>
      </c>
      <c r="L1409" s="17" t="n">
        <f aca="false">'Dish Database'!L363*H1409/100</f>
        <v>17.5</v>
      </c>
      <c r="M1409" s="17" t="n">
        <f aca="false">'Dish Database'!M363*H1409/100</f>
        <v>70</v>
      </c>
      <c r="N1409" s="17" t="n">
        <f aca="false">'Dish Database'!N363*H1409/100</f>
        <v>1.75</v>
      </c>
      <c r="O1409" s="17" t="n">
        <f aca="false">'Dish Database'!O363*H1409/100</f>
        <v>8.75</v>
      </c>
      <c r="P1409" s="13" t="n">
        <f aca="false">'Dish Database'!P363*H1409/100</f>
        <v>1575</v>
      </c>
    </row>
    <row r="1410" customFormat="false" ht="15" hidden="false" customHeight="false" outlineLevel="0" collapsed="false">
      <c r="A1410" s="6" t="str">
        <f aca="false">'Dish Database'!A364</f>
        <v>D363</v>
      </c>
      <c r="B1410" s="6" t="str">
        <f aca="false">'Dish Database'!B364</f>
        <v>Hara bhara kebab</v>
      </c>
      <c r="C1410" s="6" t="str">
        <f aca="false">'Dish Database'!D364</f>
        <v>Veg Starters</v>
      </c>
      <c r="D1410" s="6" t="str">
        <f aca="false">'Dish Database'!F364</f>
        <v>Veg</v>
      </c>
      <c r="E1410" s="6" t="str">
        <f aca="false">'Dish Database'!E364</f>
        <v>North</v>
      </c>
      <c r="F1410" s="6" t="s">
        <v>2243</v>
      </c>
      <c r="G1410" s="6" t="s">
        <v>2430</v>
      </c>
      <c r="H1410" s="16" t="n">
        <v>100</v>
      </c>
      <c r="I1410" s="6" t="str">
        <f aca="false">'Dish Database'!I364</f>
        <v>g</v>
      </c>
      <c r="J1410" s="13" t="n">
        <f aca="false">'Dish Database'!J364*H1410/100</f>
        <v>183</v>
      </c>
      <c r="K1410" s="17" t="n">
        <f aca="false">'Dish Database'!K364*H1410/100</f>
        <v>5.5</v>
      </c>
      <c r="L1410" s="17" t="n">
        <f aca="false">'Dish Database'!L364*H1410/100</f>
        <v>20</v>
      </c>
      <c r="M1410" s="17" t="n">
        <f aca="false">'Dish Database'!M364*H1410/100</f>
        <v>10</v>
      </c>
      <c r="N1410" s="17" t="n">
        <f aca="false">'Dish Database'!N364*H1410/100</f>
        <v>4.5</v>
      </c>
      <c r="O1410" s="17" t="n">
        <f aca="false">'Dish Database'!O364*H1410/100</f>
        <v>2</v>
      </c>
      <c r="P1410" s="13" t="n">
        <f aca="false">'Dish Database'!P364*H1410/100</f>
        <v>420</v>
      </c>
    </row>
    <row r="1411" customFormat="false" ht="15" hidden="false" customHeight="false" outlineLevel="0" collapsed="false">
      <c r="A1411" s="6" t="str">
        <f aca="false">'Dish Database'!A364</f>
        <v>D363</v>
      </c>
      <c r="B1411" s="6" t="str">
        <f aca="false">'Dish Database'!B364</f>
        <v>Hara bhara kebab</v>
      </c>
      <c r="C1411" s="6" t="str">
        <f aca="false">'Dish Database'!D364</f>
        <v>Veg Starters</v>
      </c>
      <c r="D1411" s="6" t="str">
        <f aca="false">'Dish Database'!F364</f>
        <v>Veg</v>
      </c>
      <c r="E1411" s="6" t="str">
        <f aca="false">'Dish Database'!E364</f>
        <v>North</v>
      </c>
      <c r="F1411" s="6" t="s">
        <v>103</v>
      </c>
      <c r="G1411" s="6" t="s">
        <v>2431</v>
      </c>
      <c r="H1411" s="16" t="n">
        <v>150</v>
      </c>
      <c r="I1411" s="6" t="str">
        <f aca="false">'Dish Database'!I364</f>
        <v>g</v>
      </c>
      <c r="J1411" s="13" t="n">
        <f aca="false">'Dish Database'!J364*H1411/100</f>
        <v>274.5</v>
      </c>
      <c r="K1411" s="17" t="n">
        <f aca="false">'Dish Database'!K364*H1411/100</f>
        <v>8.25</v>
      </c>
      <c r="L1411" s="17" t="n">
        <f aca="false">'Dish Database'!L364*H1411/100</f>
        <v>30</v>
      </c>
      <c r="M1411" s="17" t="n">
        <f aca="false">'Dish Database'!M364*H1411/100</f>
        <v>15</v>
      </c>
      <c r="N1411" s="17" t="n">
        <f aca="false">'Dish Database'!N364*H1411/100</f>
        <v>6.75</v>
      </c>
      <c r="O1411" s="17" t="n">
        <f aca="false">'Dish Database'!O364*H1411/100</f>
        <v>3</v>
      </c>
      <c r="P1411" s="13" t="n">
        <f aca="false">'Dish Database'!P364*H1411/100</f>
        <v>630</v>
      </c>
    </row>
    <row r="1412" customFormat="false" ht="15" hidden="false" customHeight="false" outlineLevel="0" collapsed="false">
      <c r="A1412" s="6" t="str">
        <f aca="false">'Dish Database'!A364</f>
        <v>D363</v>
      </c>
      <c r="B1412" s="6" t="str">
        <f aca="false">'Dish Database'!B364</f>
        <v>Hara bhara kebab</v>
      </c>
      <c r="C1412" s="6" t="str">
        <f aca="false">'Dish Database'!D364</f>
        <v>Veg Starters</v>
      </c>
      <c r="D1412" s="6" t="str">
        <f aca="false">'Dish Database'!F364</f>
        <v>Veg</v>
      </c>
      <c r="E1412" s="6" t="str">
        <f aca="false">'Dish Database'!E364</f>
        <v>North</v>
      </c>
      <c r="F1412" s="6" t="s">
        <v>2246</v>
      </c>
      <c r="G1412" s="6" t="s">
        <v>2520</v>
      </c>
      <c r="H1412" s="16" t="n">
        <v>200</v>
      </c>
      <c r="I1412" s="6" t="str">
        <f aca="false">'Dish Database'!I364</f>
        <v>g</v>
      </c>
      <c r="J1412" s="13" t="n">
        <f aca="false">'Dish Database'!J364*H1412/100</f>
        <v>366</v>
      </c>
      <c r="K1412" s="17" t="n">
        <f aca="false">'Dish Database'!K364*H1412/100</f>
        <v>11</v>
      </c>
      <c r="L1412" s="17" t="n">
        <f aca="false">'Dish Database'!L364*H1412/100</f>
        <v>40</v>
      </c>
      <c r="M1412" s="17" t="n">
        <f aca="false">'Dish Database'!M364*H1412/100</f>
        <v>20</v>
      </c>
      <c r="N1412" s="17" t="n">
        <f aca="false">'Dish Database'!N364*H1412/100</f>
        <v>9</v>
      </c>
      <c r="O1412" s="17" t="n">
        <f aca="false">'Dish Database'!O364*H1412/100</f>
        <v>4</v>
      </c>
      <c r="P1412" s="13" t="n">
        <f aca="false">'Dish Database'!P364*H1412/100</f>
        <v>840</v>
      </c>
    </row>
    <row r="1413" customFormat="false" ht="15" hidden="false" customHeight="false" outlineLevel="0" collapsed="false">
      <c r="A1413" s="6" t="str">
        <f aca="false">'Dish Database'!A364</f>
        <v>D363</v>
      </c>
      <c r="B1413" s="6" t="str">
        <f aca="false">'Dish Database'!B364</f>
        <v>Hara bhara kebab</v>
      </c>
      <c r="C1413" s="6" t="str">
        <f aca="false">'Dish Database'!D364</f>
        <v>Veg Starters</v>
      </c>
      <c r="D1413" s="6" t="str">
        <f aca="false">'Dish Database'!F364</f>
        <v>Veg</v>
      </c>
      <c r="E1413" s="6" t="str">
        <f aca="false">'Dish Database'!E364</f>
        <v>North</v>
      </c>
      <c r="F1413" s="6" t="s">
        <v>2323</v>
      </c>
      <c r="G1413" s="6" t="s">
        <v>2324</v>
      </c>
      <c r="H1413" s="16" t="n">
        <v>180</v>
      </c>
      <c r="I1413" s="6" t="str">
        <f aca="false">'Dish Database'!I364</f>
        <v>g</v>
      </c>
      <c r="J1413" s="13" t="n">
        <f aca="false">'Dish Database'!J364*H1413/100</f>
        <v>329.4</v>
      </c>
      <c r="K1413" s="17" t="n">
        <f aca="false">'Dish Database'!K364*H1413/100</f>
        <v>9.9</v>
      </c>
      <c r="L1413" s="17" t="n">
        <f aca="false">'Dish Database'!L364*H1413/100</f>
        <v>36</v>
      </c>
      <c r="M1413" s="17" t="n">
        <f aca="false">'Dish Database'!M364*H1413/100</f>
        <v>18</v>
      </c>
      <c r="N1413" s="17" t="n">
        <f aca="false">'Dish Database'!N364*H1413/100</f>
        <v>8.1</v>
      </c>
      <c r="O1413" s="17" t="n">
        <f aca="false">'Dish Database'!O364*H1413/100</f>
        <v>3.6</v>
      </c>
      <c r="P1413" s="13" t="n">
        <f aca="false">'Dish Database'!P364*H1413/100</f>
        <v>756</v>
      </c>
    </row>
    <row r="1414" customFormat="false" ht="15" hidden="false" customHeight="false" outlineLevel="0" collapsed="false">
      <c r="A1414" s="6" t="str">
        <f aca="false">'Dish Database'!A364</f>
        <v>D363</v>
      </c>
      <c r="B1414" s="6" t="str">
        <f aca="false">'Dish Database'!B364</f>
        <v>Hara bhara kebab</v>
      </c>
      <c r="C1414" s="6" t="str">
        <f aca="false">'Dish Database'!D364</f>
        <v>Veg Starters</v>
      </c>
      <c r="D1414" s="6" t="str">
        <f aca="false">'Dish Database'!F364</f>
        <v>Veg</v>
      </c>
      <c r="E1414" s="6" t="str">
        <f aca="false">'Dish Database'!E364</f>
        <v>North</v>
      </c>
      <c r="F1414" s="6" t="s">
        <v>2325</v>
      </c>
      <c r="G1414" s="6" t="s">
        <v>2326</v>
      </c>
      <c r="H1414" s="16" t="n">
        <v>350</v>
      </c>
      <c r="I1414" s="6" t="str">
        <f aca="false">'Dish Database'!I364</f>
        <v>g</v>
      </c>
      <c r="J1414" s="13" t="n">
        <f aca="false">'Dish Database'!J364*H1414/100</f>
        <v>640.5</v>
      </c>
      <c r="K1414" s="17" t="n">
        <f aca="false">'Dish Database'!K364*H1414/100</f>
        <v>19.25</v>
      </c>
      <c r="L1414" s="17" t="n">
        <f aca="false">'Dish Database'!L364*H1414/100</f>
        <v>70</v>
      </c>
      <c r="M1414" s="17" t="n">
        <f aca="false">'Dish Database'!M364*H1414/100</f>
        <v>35</v>
      </c>
      <c r="N1414" s="17" t="n">
        <f aca="false">'Dish Database'!N364*H1414/100</f>
        <v>15.75</v>
      </c>
      <c r="O1414" s="17" t="n">
        <f aca="false">'Dish Database'!O364*H1414/100</f>
        <v>7</v>
      </c>
      <c r="P1414" s="13" t="n">
        <f aca="false">'Dish Database'!P364*H1414/100</f>
        <v>1470</v>
      </c>
    </row>
    <row r="1415" customFormat="false" ht="15" hidden="false" customHeight="false" outlineLevel="0" collapsed="false">
      <c r="A1415" s="6" t="str">
        <f aca="false">'Dish Database'!A365</f>
        <v>D364</v>
      </c>
      <c r="B1415" s="6" t="str">
        <f aca="false">'Dish Database'!B365</f>
        <v>Veg seekh kebab</v>
      </c>
      <c r="C1415" s="6" t="str">
        <f aca="false">'Dish Database'!D365</f>
        <v>Veg Starters</v>
      </c>
      <c r="D1415" s="6" t="str">
        <f aca="false">'Dish Database'!F365</f>
        <v>Veg</v>
      </c>
      <c r="E1415" s="6" t="str">
        <f aca="false">'Dish Database'!E365</f>
        <v>North</v>
      </c>
      <c r="F1415" s="6" t="s">
        <v>2243</v>
      </c>
      <c r="G1415" s="6" t="s">
        <v>2430</v>
      </c>
      <c r="H1415" s="16" t="n">
        <v>100</v>
      </c>
      <c r="I1415" s="6" t="str">
        <f aca="false">'Dish Database'!I365</f>
        <v>g</v>
      </c>
      <c r="J1415" s="13" t="n">
        <f aca="false">'Dish Database'!J365*H1415/100</f>
        <v>169</v>
      </c>
      <c r="K1415" s="17" t="n">
        <f aca="false">'Dish Database'!K365*H1415/100</f>
        <v>6</v>
      </c>
      <c r="L1415" s="17" t="n">
        <f aca="false">'Dish Database'!L365*H1415/100</f>
        <v>18</v>
      </c>
      <c r="M1415" s="17" t="n">
        <f aca="false">'Dish Database'!M365*H1415/100</f>
        <v>9</v>
      </c>
      <c r="N1415" s="17" t="n">
        <f aca="false">'Dish Database'!N365*H1415/100</f>
        <v>4</v>
      </c>
      <c r="O1415" s="17" t="n">
        <f aca="false">'Dish Database'!O365*H1415/100</f>
        <v>3</v>
      </c>
      <c r="P1415" s="13" t="n">
        <f aca="false">'Dish Database'!P365*H1415/100</f>
        <v>420</v>
      </c>
    </row>
    <row r="1416" customFormat="false" ht="15" hidden="false" customHeight="false" outlineLevel="0" collapsed="false">
      <c r="A1416" s="6" t="str">
        <f aca="false">'Dish Database'!A365</f>
        <v>D364</v>
      </c>
      <c r="B1416" s="6" t="str">
        <f aca="false">'Dish Database'!B365</f>
        <v>Veg seekh kebab</v>
      </c>
      <c r="C1416" s="6" t="str">
        <f aca="false">'Dish Database'!D365</f>
        <v>Veg Starters</v>
      </c>
      <c r="D1416" s="6" t="str">
        <f aca="false">'Dish Database'!F365</f>
        <v>Veg</v>
      </c>
      <c r="E1416" s="6" t="str">
        <f aca="false">'Dish Database'!E365</f>
        <v>North</v>
      </c>
      <c r="F1416" s="6" t="s">
        <v>103</v>
      </c>
      <c r="G1416" s="6" t="s">
        <v>2431</v>
      </c>
      <c r="H1416" s="16" t="n">
        <v>150</v>
      </c>
      <c r="I1416" s="6" t="str">
        <f aca="false">'Dish Database'!I365</f>
        <v>g</v>
      </c>
      <c r="J1416" s="13" t="n">
        <f aca="false">'Dish Database'!J365*H1416/100</f>
        <v>253.5</v>
      </c>
      <c r="K1416" s="17" t="n">
        <f aca="false">'Dish Database'!K365*H1416/100</f>
        <v>9</v>
      </c>
      <c r="L1416" s="17" t="n">
        <f aca="false">'Dish Database'!L365*H1416/100</f>
        <v>27</v>
      </c>
      <c r="M1416" s="17" t="n">
        <f aca="false">'Dish Database'!M365*H1416/100</f>
        <v>13.5</v>
      </c>
      <c r="N1416" s="17" t="n">
        <f aca="false">'Dish Database'!N365*H1416/100</f>
        <v>6</v>
      </c>
      <c r="O1416" s="17" t="n">
        <f aca="false">'Dish Database'!O365*H1416/100</f>
        <v>4.5</v>
      </c>
      <c r="P1416" s="13" t="n">
        <f aca="false">'Dish Database'!P365*H1416/100</f>
        <v>630</v>
      </c>
    </row>
    <row r="1417" customFormat="false" ht="15" hidden="false" customHeight="false" outlineLevel="0" collapsed="false">
      <c r="A1417" s="6" t="str">
        <f aca="false">'Dish Database'!A365</f>
        <v>D364</v>
      </c>
      <c r="B1417" s="6" t="str">
        <f aca="false">'Dish Database'!B365</f>
        <v>Veg seekh kebab</v>
      </c>
      <c r="C1417" s="6" t="str">
        <f aca="false">'Dish Database'!D365</f>
        <v>Veg Starters</v>
      </c>
      <c r="D1417" s="6" t="str">
        <f aca="false">'Dish Database'!F365</f>
        <v>Veg</v>
      </c>
      <c r="E1417" s="6" t="str">
        <f aca="false">'Dish Database'!E365</f>
        <v>North</v>
      </c>
      <c r="F1417" s="6" t="s">
        <v>2246</v>
      </c>
      <c r="G1417" s="6" t="s">
        <v>2520</v>
      </c>
      <c r="H1417" s="16" t="n">
        <v>200</v>
      </c>
      <c r="I1417" s="6" t="str">
        <f aca="false">'Dish Database'!I365</f>
        <v>g</v>
      </c>
      <c r="J1417" s="13" t="n">
        <f aca="false">'Dish Database'!J365*H1417/100</f>
        <v>338</v>
      </c>
      <c r="K1417" s="17" t="n">
        <f aca="false">'Dish Database'!K365*H1417/100</f>
        <v>12</v>
      </c>
      <c r="L1417" s="17" t="n">
        <f aca="false">'Dish Database'!L365*H1417/100</f>
        <v>36</v>
      </c>
      <c r="M1417" s="17" t="n">
        <f aca="false">'Dish Database'!M365*H1417/100</f>
        <v>18</v>
      </c>
      <c r="N1417" s="17" t="n">
        <f aca="false">'Dish Database'!N365*H1417/100</f>
        <v>8</v>
      </c>
      <c r="O1417" s="17" t="n">
        <f aca="false">'Dish Database'!O365*H1417/100</f>
        <v>6</v>
      </c>
      <c r="P1417" s="13" t="n">
        <f aca="false">'Dish Database'!P365*H1417/100</f>
        <v>840</v>
      </c>
    </row>
    <row r="1418" customFormat="false" ht="15" hidden="false" customHeight="false" outlineLevel="0" collapsed="false">
      <c r="A1418" s="6" t="str">
        <f aca="false">'Dish Database'!A365</f>
        <v>D364</v>
      </c>
      <c r="B1418" s="6" t="str">
        <f aca="false">'Dish Database'!B365</f>
        <v>Veg seekh kebab</v>
      </c>
      <c r="C1418" s="6" t="str">
        <f aca="false">'Dish Database'!D365</f>
        <v>Veg Starters</v>
      </c>
      <c r="D1418" s="6" t="str">
        <f aca="false">'Dish Database'!F365</f>
        <v>Veg</v>
      </c>
      <c r="E1418" s="6" t="str">
        <f aca="false">'Dish Database'!E365</f>
        <v>North</v>
      </c>
      <c r="F1418" s="6" t="s">
        <v>2323</v>
      </c>
      <c r="G1418" s="6" t="s">
        <v>2324</v>
      </c>
      <c r="H1418" s="16" t="n">
        <v>180</v>
      </c>
      <c r="I1418" s="6" t="str">
        <f aca="false">'Dish Database'!I365</f>
        <v>g</v>
      </c>
      <c r="J1418" s="13" t="n">
        <f aca="false">'Dish Database'!J365*H1418/100</f>
        <v>304.2</v>
      </c>
      <c r="K1418" s="17" t="n">
        <f aca="false">'Dish Database'!K365*H1418/100</f>
        <v>10.8</v>
      </c>
      <c r="L1418" s="17" t="n">
        <f aca="false">'Dish Database'!L365*H1418/100</f>
        <v>32.4</v>
      </c>
      <c r="M1418" s="17" t="n">
        <f aca="false">'Dish Database'!M365*H1418/100</f>
        <v>16.2</v>
      </c>
      <c r="N1418" s="17" t="n">
        <f aca="false">'Dish Database'!N365*H1418/100</f>
        <v>7.2</v>
      </c>
      <c r="O1418" s="17" t="n">
        <f aca="false">'Dish Database'!O365*H1418/100</f>
        <v>5.4</v>
      </c>
      <c r="P1418" s="13" t="n">
        <f aca="false">'Dish Database'!P365*H1418/100</f>
        <v>756</v>
      </c>
    </row>
    <row r="1419" customFormat="false" ht="15" hidden="false" customHeight="false" outlineLevel="0" collapsed="false">
      <c r="A1419" s="6" t="str">
        <f aca="false">'Dish Database'!A365</f>
        <v>D364</v>
      </c>
      <c r="B1419" s="6" t="str">
        <f aca="false">'Dish Database'!B365</f>
        <v>Veg seekh kebab</v>
      </c>
      <c r="C1419" s="6" t="str">
        <f aca="false">'Dish Database'!D365</f>
        <v>Veg Starters</v>
      </c>
      <c r="D1419" s="6" t="str">
        <f aca="false">'Dish Database'!F365</f>
        <v>Veg</v>
      </c>
      <c r="E1419" s="6" t="str">
        <f aca="false">'Dish Database'!E365</f>
        <v>North</v>
      </c>
      <c r="F1419" s="6" t="s">
        <v>2325</v>
      </c>
      <c r="G1419" s="6" t="s">
        <v>2326</v>
      </c>
      <c r="H1419" s="16" t="n">
        <v>350</v>
      </c>
      <c r="I1419" s="6" t="str">
        <f aca="false">'Dish Database'!I365</f>
        <v>g</v>
      </c>
      <c r="J1419" s="13" t="n">
        <f aca="false">'Dish Database'!J365*H1419/100</f>
        <v>591.5</v>
      </c>
      <c r="K1419" s="17" t="n">
        <f aca="false">'Dish Database'!K365*H1419/100</f>
        <v>21</v>
      </c>
      <c r="L1419" s="17" t="n">
        <f aca="false">'Dish Database'!L365*H1419/100</f>
        <v>63</v>
      </c>
      <c r="M1419" s="17" t="n">
        <f aca="false">'Dish Database'!M365*H1419/100</f>
        <v>31.5</v>
      </c>
      <c r="N1419" s="17" t="n">
        <f aca="false">'Dish Database'!N365*H1419/100</f>
        <v>14</v>
      </c>
      <c r="O1419" s="17" t="n">
        <f aca="false">'Dish Database'!O365*H1419/100</f>
        <v>10.5</v>
      </c>
      <c r="P1419" s="13" t="n">
        <f aca="false">'Dish Database'!P365*H1419/100</f>
        <v>1470</v>
      </c>
    </row>
    <row r="1420" customFormat="false" ht="15" hidden="false" customHeight="false" outlineLevel="0" collapsed="false">
      <c r="A1420" s="6" t="str">
        <f aca="false">'Dish Database'!A366</f>
        <v>D365</v>
      </c>
      <c r="B1420" s="6" t="str">
        <f aca="false">'Dish Database'!B366</f>
        <v>Dahi ke kebab</v>
      </c>
      <c r="C1420" s="6" t="str">
        <f aca="false">'Dish Database'!D366</f>
        <v>Veg Starters</v>
      </c>
      <c r="D1420" s="6" t="str">
        <f aca="false">'Dish Database'!F366</f>
        <v>Veg</v>
      </c>
      <c r="E1420" s="6" t="str">
        <f aca="false">'Dish Database'!E366</f>
        <v>North</v>
      </c>
      <c r="F1420" s="6" t="s">
        <v>2243</v>
      </c>
      <c r="G1420" s="6" t="s">
        <v>2430</v>
      </c>
      <c r="H1420" s="16" t="n">
        <v>100</v>
      </c>
      <c r="I1420" s="6" t="str">
        <f aca="false">'Dish Database'!I366</f>
        <v>g</v>
      </c>
      <c r="J1420" s="13" t="n">
        <f aca="false">'Dish Database'!J366*H1420/100</f>
        <v>247.6</v>
      </c>
      <c r="K1420" s="17" t="n">
        <f aca="false">'Dish Database'!K366*H1420/100</f>
        <v>7</v>
      </c>
      <c r="L1420" s="17" t="n">
        <f aca="false">'Dish Database'!L366*H1420/100</f>
        <v>15</v>
      </c>
      <c r="M1420" s="17" t="n">
        <f aca="false">'Dish Database'!M366*H1420/100</f>
        <v>18</v>
      </c>
      <c r="N1420" s="17" t="n">
        <f aca="false">'Dish Database'!N366*H1420/100</f>
        <v>1.2</v>
      </c>
      <c r="O1420" s="17" t="n">
        <f aca="false">'Dish Database'!O366*H1420/100</f>
        <v>3</v>
      </c>
      <c r="P1420" s="13" t="n">
        <f aca="false">'Dish Database'!P366*H1420/100</f>
        <v>380</v>
      </c>
    </row>
    <row r="1421" customFormat="false" ht="15" hidden="false" customHeight="false" outlineLevel="0" collapsed="false">
      <c r="A1421" s="6" t="str">
        <f aca="false">'Dish Database'!A366</f>
        <v>D365</v>
      </c>
      <c r="B1421" s="6" t="str">
        <f aca="false">'Dish Database'!B366</f>
        <v>Dahi ke kebab</v>
      </c>
      <c r="C1421" s="6" t="str">
        <f aca="false">'Dish Database'!D366</f>
        <v>Veg Starters</v>
      </c>
      <c r="D1421" s="6" t="str">
        <f aca="false">'Dish Database'!F366</f>
        <v>Veg</v>
      </c>
      <c r="E1421" s="6" t="str">
        <f aca="false">'Dish Database'!E366</f>
        <v>North</v>
      </c>
      <c r="F1421" s="6" t="s">
        <v>103</v>
      </c>
      <c r="G1421" s="6" t="s">
        <v>2431</v>
      </c>
      <c r="H1421" s="16" t="n">
        <v>150</v>
      </c>
      <c r="I1421" s="6" t="str">
        <f aca="false">'Dish Database'!I366</f>
        <v>g</v>
      </c>
      <c r="J1421" s="13" t="n">
        <f aca="false">'Dish Database'!J366*H1421/100</f>
        <v>371.4</v>
      </c>
      <c r="K1421" s="17" t="n">
        <f aca="false">'Dish Database'!K366*H1421/100</f>
        <v>10.5</v>
      </c>
      <c r="L1421" s="17" t="n">
        <f aca="false">'Dish Database'!L366*H1421/100</f>
        <v>22.5</v>
      </c>
      <c r="M1421" s="17" t="n">
        <f aca="false">'Dish Database'!M366*H1421/100</f>
        <v>27</v>
      </c>
      <c r="N1421" s="17" t="n">
        <f aca="false">'Dish Database'!N366*H1421/100</f>
        <v>1.8</v>
      </c>
      <c r="O1421" s="17" t="n">
        <f aca="false">'Dish Database'!O366*H1421/100</f>
        <v>4.5</v>
      </c>
      <c r="P1421" s="13" t="n">
        <f aca="false">'Dish Database'!P366*H1421/100</f>
        <v>570</v>
      </c>
    </row>
    <row r="1422" customFormat="false" ht="15" hidden="false" customHeight="false" outlineLevel="0" collapsed="false">
      <c r="A1422" s="6" t="str">
        <f aca="false">'Dish Database'!A366</f>
        <v>D365</v>
      </c>
      <c r="B1422" s="6" t="str">
        <f aca="false">'Dish Database'!B366</f>
        <v>Dahi ke kebab</v>
      </c>
      <c r="C1422" s="6" t="str">
        <f aca="false">'Dish Database'!D366</f>
        <v>Veg Starters</v>
      </c>
      <c r="D1422" s="6" t="str">
        <f aca="false">'Dish Database'!F366</f>
        <v>Veg</v>
      </c>
      <c r="E1422" s="6" t="str">
        <f aca="false">'Dish Database'!E366</f>
        <v>North</v>
      </c>
      <c r="F1422" s="6" t="s">
        <v>2246</v>
      </c>
      <c r="G1422" s="6" t="s">
        <v>2520</v>
      </c>
      <c r="H1422" s="16" t="n">
        <v>200</v>
      </c>
      <c r="I1422" s="6" t="str">
        <f aca="false">'Dish Database'!I366</f>
        <v>g</v>
      </c>
      <c r="J1422" s="13" t="n">
        <f aca="false">'Dish Database'!J366*H1422/100</f>
        <v>495.2</v>
      </c>
      <c r="K1422" s="17" t="n">
        <f aca="false">'Dish Database'!K366*H1422/100</f>
        <v>14</v>
      </c>
      <c r="L1422" s="17" t="n">
        <f aca="false">'Dish Database'!L366*H1422/100</f>
        <v>30</v>
      </c>
      <c r="M1422" s="17" t="n">
        <f aca="false">'Dish Database'!M366*H1422/100</f>
        <v>36</v>
      </c>
      <c r="N1422" s="17" t="n">
        <f aca="false">'Dish Database'!N366*H1422/100</f>
        <v>2.4</v>
      </c>
      <c r="O1422" s="17" t="n">
        <f aca="false">'Dish Database'!O366*H1422/100</f>
        <v>6</v>
      </c>
      <c r="P1422" s="13" t="n">
        <f aca="false">'Dish Database'!P366*H1422/100</f>
        <v>760</v>
      </c>
    </row>
    <row r="1423" customFormat="false" ht="15" hidden="false" customHeight="false" outlineLevel="0" collapsed="false">
      <c r="A1423" s="6" t="str">
        <f aca="false">'Dish Database'!A366</f>
        <v>D365</v>
      </c>
      <c r="B1423" s="6" t="str">
        <f aca="false">'Dish Database'!B366</f>
        <v>Dahi ke kebab</v>
      </c>
      <c r="C1423" s="6" t="str">
        <f aca="false">'Dish Database'!D366</f>
        <v>Veg Starters</v>
      </c>
      <c r="D1423" s="6" t="str">
        <f aca="false">'Dish Database'!F366</f>
        <v>Veg</v>
      </c>
      <c r="E1423" s="6" t="str">
        <f aca="false">'Dish Database'!E366</f>
        <v>North</v>
      </c>
      <c r="F1423" s="6" t="s">
        <v>2323</v>
      </c>
      <c r="G1423" s="6" t="s">
        <v>2324</v>
      </c>
      <c r="H1423" s="16" t="n">
        <v>180</v>
      </c>
      <c r="I1423" s="6" t="str">
        <f aca="false">'Dish Database'!I366</f>
        <v>g</v>
      </c>
      <c r="J1423" s="13" t="n">
        <f aca="false">'Dish Database'!J366*H1423/100</f>
        <v>445.68</v>
      </c>
      <c r="K1423" s="17" t="n">
        <f aca="false">'Dish Database'!K366*H1423/100</f>
        <v>12.6</v>
      </c>
      <c r="L1423" s="17" t="n">
        <f aca="false">'Dish Database'!L366*H1423/100</f>
        <v>27</v>
      </c>
      <c r="M1423" s="17" t="n">
        <f aca="false">'Dish Database'!M366*H1423/100</f>
        <v>32.4</v>
      </c>
      <c r="N1423" s="17" t="n">
        <f aca="false">'Dish Database'!N366*H1423/100</f>
        <v>2.16</v>
      </c>
      <c r="O1423" s="17" t="n">
        <f aca="false">'Dish Database'!O366*H1423/100</f>
        <v>5.4</v>
      </c>
      <c r="P1423" s="13" t="n">
        <f aca="false">'Dish Database'!P366*H1423/100</f>
        <v>684</v>
      </c>
    </row>
    <row r="1424" customFormat="false" ht="15" hidden="false" customHeight="false" outlineLevel="0" collapsed="false">
      <c r="A1424" s="6" t="str">
        <f aca="false">'Dish Database'!A366</f>
        <v>D365</v>
      </c>
      <c r="B1424" s="6" t="str">
        <f aca="false">'Dish Database'!B366</f>
        <v>Dahi ke kebab</v>
      </c>
      <c r="C1424" s="6" t="str">
        <f aca="false">'Dish Database'!D366</f>
        <v>Veg Starters</v>
      </c>
      <c r="D1424" s="6" t="str">
        <f aca="false">'Dish Database'!F366</f>
        <v>Veg</v>
      </c>
      <c r="E1424" s="6" t="str">
        <f aca="false">'Dish Database'!E366</f>
        <v>North</v>
      </c>
      <c r="F1424" s="6" t="s">
        <v>2325</v>
      </c>
      <c r="G1424" s="6" t="s">
        <v>2326</v>
      </c>
      <c r="H1424" s="16" t="n">
        <v>350</v>
      </c>
      <c r="I1424" s="6" t="str">
        <f aca="false">'Dish Database'!I366</f>
        <v>g</v>
      </c>
      <c r="J1424" s="13" t="n">
        <f aca="false">'Dish Database'!J366*H1424/100</f>
        <v>866.6</v>
      </c>
      <c r="K1424" s="17" t="n">
        <f aca="false">'Dish Database'!K366*H1424/100</f>
        <v>24.5</v>
      </c>
      <c r="L1424" s="17" t="n">
        <f aca="false">'Dish Database'!L366*H1424/100</f>
        <v>52.5</v>
      </c>
      <c r="M1424" s="17" t="n">
        <f aca="false">'Dish Database'!M366*H1424/100</f>
        <v>63</v>
      </c>
      <c r="N1424" s="17" t="n">
        <f aca="false">'Dish Database'!N366*H1424/100</f>
        <v>4.2</v>
      </c>
      <c r="O1424" s="17" t="n">
        <f aca="false">'Dish Database'!O366*H1424/100</f>
        <v>10.5</v>
      </c>
      <c r="P1424" s="13" t="n">
        <f aca="false">'Dish Database'!P366*H1424/100</f>
        <v>1330</v>
      </c>
    </row>
    <row r="1425" customFormat="false" ht="15" hidden="false" customHeight="false" outlineLevel="0" collapsed="false">
      <c r="A1425" s="6" t="str">
        <f aca="false">'Dish Database'!A367</f>
        <v>D366</v>
      </c>
      <c r="B1425" s="6" t="str">
        <f aca="false">'Dish Database'!B367</f>
        <v>Tandoori aloo</v>
      </c>
      <c r="C1425" s="6" t="str">
        <f aca="false">'Dish Database'!D367</f>
        <v>Veg Starters</v>
      </c>
      <c r="D1425" s="6" t="str">
        <f aca="false">'Dish Database'!F367</f>
        <v>Veg</v>
      </c>
      <c r="E1425" s="6" t="str">
        <f aca="false">'Dish Database'!E367</f>
        <v>North</v>
      </c>
      <c r="F1425" s="6" t="s">
        <v>2243</v>
      </c>
      <c r="G1425" s="6" t="s">
        <v>2430</v>
      </c>
      <c r="H1425" s="16" t="n">
        <v>100</v>
      </c>
      <c r="I1425" s="6" t="str">
        <f aca="false">'Dish Database'!I367</f>
        <v>g</v>
      </c>
      <c r="J1425" s="13" t="n">
        <f aca="false">'Dish Database'!J367*H1425/100</f>
        <v>131.6</v>
      </c>
      <c r="K1425" s="17" t="n">
        <f aca="false">'Dish Database'!K367*H1425/100</f>
        <v>2.5</v>
      </c>
      <c r="L1425" s="17" t="n">
        <f aca="false">'Dish Database'!L367*H1425/100</f>
        <v>18</v>
      </c>
      <c r="M1425" s="17" t="n">
        <f aca="false">'Dish Database'!M367*H1425/100</f>
        <v>6</v>
      </c>
      <c r="N1425" s="17" t="n">
        <f aca="false">'Dish Database'!N367*H1425/100</f>
        <v>2.2</v>
      </c>
      <c r="O1425" s="17" t="n">
        <f aca="false">'Dish Database'!O367*H1425/100</f>
        <v>1.5</v>
      </c>
      <c r="P1425" s="13" t="n">
        <f aca="false">'Dish Database'!P367*H1425/100</f>
        <v>380</v>
      </c>
    </row>
    <row r="1426" customFormat="false" ht="15" hidden="false" customHeight="false" outlineLevel="0" collapsed="false">
      <c r="A1426" s="6" t="str">
        <f aca="false">'Dish Database'!A367</f>
        <v>D366</v>
      </c>
      <c r="B1426" s="6" t="str">
        <f aca="false">'Dish Database'!B367</f>
        <v>Tandoori aloo</v>
      </c>
      <c r="C1426" s="6" t="str">
        <f aca="false">'Dish Database'!D367</f>
        <v>Veg Starters</v>
      </c>
      <c r="D1426" s="6" t="str">
        <f aca="false">'Dish Database'!F367</f>
        <v>Veg</v>
      </c>
      <c r="E1426" s="6" t="str">
        <f aca="false">'Dish Database'!E367</f>
        <v>North</v>
      </c>
      <c r="F1426" s="6" t="s">
        <v>103</v>
      </c>
      <c r="G1426" s="6" t="s">
        <v>2431</v>
      </c>
      <c r="H1426" s="16" t="n">
        <v>150</v>
      </c>
      <c r="I1426" s="6" t="str">
        <f aca="false">'Dish Database'!I367</f>
        <v>g</v>
      </c>
      <c r="J1426" s="13" t="n">
        <f aca="false">'Dish Database'!J367*H1426/100</f>
        <v>197.4</v>
      </c>
      <c r="K1426" s="17" t="n">
        <f aca="false">'Dish Database'!K367*H1426/100</f>
        <v>3.75</v>
      </c>
      <c r="L1426" s="17" t="n">
        <f aca="false">'Dish Database'!L367*H1426/100</f>
        <v>27</v>
      </c>
      <c r="M1426" s="17" t="n">
        <f aca="false">'Dish Database'!M367*H1426/100</f>
        <v>9</v>
      </c>
      <c r="N1426" s="17" t="n">
        <f aca="false">'Dish Database'!N367*H1426/100</f>
        <v>3.3</v>
      </c>
      <c r="O1426" s="17" t="n">
        <f aca="false">'Dish Database'!O367*H1426/100</f>
        <v>2.25</v>
      </c>
      <c r="P1426" s="13" t="n">
        <f aca="false">'Dish Database'!P367*H1426/100</f>
        <v>570</v>
      </c>
    </row>
    <row r="1427" customFormat="false" ht="15" hidden="false" customHeight="false" outlineLevel="0" collapsed="false">
      <c r="A1427" s="6" t="str">
        <f aca="false">'Dish Database'!A367</f>
        <v>D366</v>
      </c>
      <c r="B1427" s="6" t="str">
        <f aca="false">'Dish Database'!B367</f>
        <v>Tandoori aloo</v>
      </c>
      <c r="C1427" s="6" t="str">
        <f aca="false">'Dish Database'!D367</f>
        <v>Veg Starters</v>
      </c>
      <c r="D1427" s="6" t="str">
        <f aca="false">'Dish Database'!F367</f>
        <v>Veg</v>
      </c>
      <c r="E1427" s="6" t="str">
        <f aca="false">'Dish Database'!E367</f>
        <v>North</v>
      </c>
      <c r="F1427" s="6" t="s">
        <v>2246</v>
      </c>
      <c r="G1427" s="6" t="s">
        <v>2520</v>
      </c>
      <c r="H1427" s="16" t="n">
        <v>200</v>
      </c>
      <c r="I1427" s="6" t="str">
        <f aca="false">'Dish Database'!I367</f>
        <v>g</v>
      </c>
      <c r="J1427" s="13" t="n">
        <f aca="false">'Dish Database'!J367*H1427/100</f>
        <v>263.2</v>
      </c>
      <c r="K1427" s="17" t="n">
        <f aca="false">'Dish Database'!K367*H1427/100</f>
        <v>5</v>
      </c>
      <c r="L1427" s="17" t="n">
        <f aca="false">'Dish Database'!L367*H1427/100</f>
        <v>36</v>
      </c>
      <c r="M1427" s="17" t="n">
        <f aca="false">'Dish Database'!M367*H1427/100</f>
        <v>12</v>
      </c>
      <c r="N1427" s="17" t="n">
        <f aca="false">'Dish Database'!N367*H1427/100</f>
        <v>4.4</v>
      </c>
      <c r="O1427" s="17" t="n">
        <f aca="false">'Dish Database'!O367*H1427/100</f>
        <v>3</v>
      </c>
      <c r="P1427" s="13" t="n">
        <f aca="false">'Dish Database'!P367*H1427/100</f>
        <v>760</v>
      </c>
    </row>
    <row r="1428" customFormat="false" ht="15" hidden="false" customHeight="false" outlineLevel="0" collapsed="false">
      <c r="A1428" s="6" t="str">
        <f aca="false">'Dish Database'!A367</f>
        <v>D366</v>
      </c>
      <c r="B1428" s="6" t="str">
        <f aca="false">'Dish Database'!B367</f>
        <v>Tandoori aloo</v>
      </c>
      <c r="C1428" s="6" t="str">
        <f aca="false">'Dish Database'!D367</f>
        <v>Veg Starters</v>
      </c>
      <c r="D1428" s="6" t="str">
        <f aca="false">'Dish Database'!F367</f>
        <v>Veg</v>
      </c>
      <c r="E1428" s="6" t="str">
        <f aca="false">'Dish Database'!E367</f>
        <v>North</v>
      </c>
      <c r="F1428" s="6" t="s">
        <v>2323</v>
      </c>
      <c r="G1428" s="6" t="s">
        <v>2324</v>
      </c>
      <c r="H1428" s="16" t="n">
        <v>180</v>
      </c>
      <c r="I1428" s="6" t="str">
        <f aca="false">'Dish Database'!I367</f>
        <v>g</v>
      </c>
      <c r="J1428" s="13" t="n">
        <f aca="false">'Dish Database'!J367*H1428/100</f>
        <v>236.88</v>
      </c>
      <c r="K1428" s="17" t="n">
        <f aca="false">'Dish Database'!K367*H1428/100</f>
        <v>4.5</v>
      </c>
      <c r="L1428" s="17" t="n">
        <f aca="false">'Dish Database'!L367*H1428/100</f>
        <v>32.4</v>
      </c>
      <c r="M1428" s="17" t="n">
        <f aca="false">'Dish Database'!M367*H1428/100</f>
        <v>10.8</v>
      </c>
      <c r="N1428" s="17" t="n">
        <f aca="false">'Dish Database'!N367*H1428/100</f>
        <v>3.96</v>
      </c>
      <c r="O1428" s="17" t="n">
        <f aca="false">'Dish Database'!O367*H1428/100</f>
        <v>2.7</v>
      </c>
      <c r="P1428" s="13" t="n">
        <f aca="false">'Dish Database'!P367*H1428/100</f>
        <v>684</v>
      </c>
    </row>
    <row r="1429" customFormat="false" ht="15" hidden="false" customHeight="false" outlineLevel="0" collapsed="false">
      <c r="A1429" s="6" t="str">
        <f aca="false">'Dish Database'!A367</f>
        <v>D366</v>
      </c>
      <c r="B1429" s="6" t="str">
        <f aca="false">'Dish Database'!B367</f>
        <v>Tandoori aloo</v>
      </c>
      <c r="C1429" s="6" t="str">
        <f aca="false">'Dish Database'!D367</f>
        <v>Veg Starters</v>
      </c>
      <c r="D1429" s="6" t="str">
        <f aca="false">'Dish Database'!F367</f>
        <v>Veg</v>
      </c>
      <c r="E1429" s="6" t="str">
        <f aca="false">'Dish Database'!E367</f>
        <v>North</v>
      </c>
      <c r="F1429" s="6" t="s">
        <v>2325</v>
      </c>
      <c r="G1429" s="6" t="s">
        <v>2326</v>
      </c>
      <c r="H1429" s="16" t="n">
        <v>350</v>
      </c>
      <c r="I1429" s="6" t="str">
        <f aca="false">'Dish Database'!I367</f>
        <v>g</v>
      </c>
      <c r="J1429" s="13" t="n">
        <f aca="false">'Dish Database'!J367*H1429/100</f>
        <v>460.6</v>
      </c>
      <c r="K1429" s="17" t="n">
        <f aca="false">'Dish Database'!K367*H1429/100</f>
        <v>8.75</v>
      </c>
      <c r="L1429" s="17" t="n">
        <f aca="false">'Dish Database'!L367*H1429/100</f>
        <v>63</v>
      </c>
      <c r="M1429" s="17" t="n">
        <f aca="false">'Dish Database'!M367*H1429/100</f>
        <v>21</v>
      </c>
      <c r="N1429" s="17" t="n">
        <f aca="false">'Dish Database'!N367*H1429/100</f>
        <v>7.7</v>
      </c>
      <c r="O1429" s="17" t="n">
        <f aca="false">'Dish Database'!O367*H1429/100</f>
        <v>5.25</v>
      </c>
      <c r="P1429" s="13" t="n">
        <f aca="false">'Dish Database'!P367*H1429/100</f>
        <v>1330</v>
      </c>
    </row>
    <row r="1430" customFormat="false" ht="15" hidden="false" customHeight="false" outlineLevel="0" collapsed="false">
      <c r="A1430" s="6" t="str">
        <f aca="false">'Dish Database'!A368</f>
        <v>D367</v>
      </c>
      <c r="B1430" s="6" t="str">
        <f aca="false">'Dish Database'!B368</f>
        <v>Mushroom tikka</v>
      </c>
      <c r="C1430" s="6" t="str">
        <f aca="false">'Dish Database'!D368</f>
        <v>Veg Starters</v>
      </c>
      <c r="D1430" s="6" t="str">
        <f aca="false">'Dish Database'!F368</f>
        <v>Veg</v>
      </c>
      <c r="E1430" s="6" t="str">
        <f aca="false">'Dish Database'!E368</f>
        <v>North</v>
      </c>
      <c r="F1430" s="6" t="s">
        <v>2243</v>
      </c>
      <c r="G1430" s="6" t="s">
        <v>2430</v>
      </c>
      <c r="H1430" s="16" t="n">
        <v>100</v>
      </c>
      <c r="I1430" s="6" t="str">
        <f aca="false">'Dish Database'!I368</f>
        <v>g</v>
      </c>
      <c r="J1430" s="13" t="n">
        <f aca="false">'Dish Database'!J368*H1430/100</f>
        <v>108.4</v>
      </c>
      <c r="K1430" s="17" t="n">
        <f aca="false">'Dish Database'!K368*H1430/100</f>
        <v>4</v>
      </c>
      <c r="L1430" s="17" t="n">
        <f aca="false">'Dish Database'!L368*H1430/100</f>
        <v>6</v>
      </c>
      <c r="M1430" s="17" t="n">
        <f aca="false">'Dish Database'!M368*H1430/100</f>
        <v>8</v>
      </c>
      <c r="N1430" s="17" t="n">
        <f aca="false">'Dish Database'!N368*H1430/100</f>
        <v>1.8</v>
      </c>
      <c r="O1430" s="17" t="n">
        <f aca="false">'Dish Database'!O368*H1430/100</f>
        <v>2.5</v>
      </c>
      <c r="P1430" s="13" t="n">
        <f aca="false">'Dish Database'!P368*H1430/100</f>
        <v>400</v>
      </c>
    </row>
    <row r="1431" customFormat="false" ht="15" hidden="false" customHeight="false" outlineLevel="0" collapsed="false">
      <c r="A1431" s="6" t="str">
        <f aca="false">'Dish Database'!A368</f>
        <v>D367</v>
      </c>
      <c r="B1431" s="6" t="str">
        <f aca="false">'Dish Database'!B368</f>
        <v>Mushroom tikka</v>
      </c>
      <c r="C1431" s="6" t="str">
        <f aca="false">'Dish Database'!D368</f>
        <v>Veg Starters</v>
      </c>
      <c r="D1431" s="6" t="str">
        <f aca="false">'Dish Database'!F368</f>
        <v>Veg</v>
      </c>
      <c r="E1431" s="6" t="str">
        <f aca="false">'Dish Database'!E368</f>
        <v>North</v>
      </c>
      <c r="F1431" s="6" t="s">
        <v>103</v>
      </c>
      <c r="G1431" s="6" t="s">
        <v>2431</v>
      </c>
      <c r="H1431" s="16" t="n">
        <v>150</v>
      </c>
      <c r="I1431" s="6" t="str">
        <f aca="false">'Dish Database'!I368</f>
        <v>g</v>
      </c>
      <c r="J1431" s="13" t="n">
        <f aca="false">'Dish Database'!J368*H1431/100</f>
        <v>162.6</v>
      </c>
      <c r="K1431" s="17" t="n">
        <f aca="false">'Dish Database'!K368*H1431/100</f>
        <v>6</v>
      </c>
      <c r="L1431" s="17" t="n">
        <f aca="false">'Dish Database'!L368*H1431/100</f>
        <v>9</v>
      </c>
      <c r="M1431" s="17" t="n">
        <f aca="false">'Dish Database'!M368*H1431/100</f>
        <v>12</v>
      </c>
      <c r="N1431" s="17" t="n">
        <f aca="false">'Dish Database'!N368*H1431/100</f>
        <v>2.7</v>
      </c>
      <c r="O1431" s="17" t="n">
        <f aca="false">'Dish Database'!O368*H1431/100</f>
        <v>3.75</v>
      </c>
      <c r="P1431" s="13" t="n">
        <f aca="false">'Dish Database'!P368*H1431/100</f>
        <v>600</v>
      </c>
    </row>
    <row r="1432" customFormat="false" ht="15" hidden="false" customHeight="false" outlineLevel="0" collapsed="false">
      <c r="A1432" s="6" t="str">
        <f aca="false">'Dish Database'!A368</f>
        <v>D367</v>
      </c>
      <c r="B1432" s="6" t="str">
        <f aca="false">'Dish Database'!B368</f>
        <v>Mushroom tikka</v>
      </c>
      <c r="C1432" s="6" t="str">
        <f aca="false">'Dish Database'!D368</f>
        <v>Veg Starters</v>
      </c>
      <c r="D1432" s="6" t="str">
        <f aca="false">'Dish Database'!F368</f>
        <v>Veg</v>
      </c>
      <c r="E1432" s="6" t="str">
        <f aca="false">'Dish Database'!E368</f>
        <v>North</v>
      </c>
      <c r="F1432" s="6" t="s">
        <v>2246</v>
      </c>
      <c r="G1432" s="6" t="s">
        <v>2520</v>
      </c>
      <c r="H1432" s="16" t="n">
        <v>200</v>
      </c>
      <c r="I1432" s="6" t="str">
        <f aca="false">'Dish Database'!I368</f>
        <v>g</v>
      </c>
      <c r="J1432" s="13" t="n">
        <f aca="false">'Dish Database'!J368*H1432/100</f>
        <v>216.8</v>
      </c>
      <c r="K1432" s="17" t="n">
        <f aca="false">'Dish Database'!K368*H1432/100</f>
        <v>8</v>
      </c>
      <c r="L1432" s="17" t="n">
        <f aca="false">'Dish Database'!L368*H1432/100</f>
        <v>12</v>
      </c>
      <c r="M1432" s="17" t="n">
        <f aca="false">'Dish Database'!M368*H1432/100</f>
        <v>16</v>
      </c>
      <c r="N1432" s="17" t="n">
        <f aca="false">'Dish Database'!N368*H1432/100</f>
        <v>3.6</v>
      </c>
      <c r="O1432" s="17" t="n">
        <f aca="false">'Dish Database'!O368*H1432/100</f>
        <v>5</v>
      </c>
      <c r="P1432" s="13" t="n">
        <f aca="false">'Dish Database'!P368*H1432/100</f>
        <v>800</v>
      </c>
    </row>
    <row r="1433" customFormat="false" ht="15" hidden="false" customHeight="false" outlineLevel="0" collapsed="false">
      <c r="A1433" s="6" t="str">
        <f aca="false">'Dish Database'!A368</f>
        <v>D367</v>
      </c>
      <c r="B1433" s="6" t="str">
        <f aca="false">'Dish Database'!B368</f>
        <v>Mushroom tikka</v>
      </c>
      <c r="C1433" s="6" t="str">
        <f aca="false">'Dish Database'!D368</f>
        <v>Veg Starters</v>
      </c>
      <c r="D1433" s="6" t="str">
        <f aca="false">'Dish Database'!F368</f>
        <v>Veg</v>
      </c>
      <c r="E1433" s="6" t="str">
        <f aca="false">'Dish Database'!E368</f>
        <v>North</v>
      </c>
      <c r="F1433" s="6" t="s">
        <v>2323</v>
      </c>
      <c r="G1433" s="6" t="s">
        <v>2324</v>
      </c>
      <c r="H1433" s="16" t="n">
        <v>180</v>
      </c>
      <c r="I1433" s="6" t="str">
        <f aca="false">'Dish Database'!I368</f>
        <v>g</v>
      </c>
      <c r="J1433" s="13" t="n">
        <f aca="false">'Dish Database'!J368*H1433/100</f>
        <v>195.12</v>
      </c>
      <c r="K1433" s="17" t="n">
        <f aca="false">'Dish Database'!K368*H1433/100</f>
        <v>7.2</v>
      </c>
      <c r="L1433" s="17" t="n">
        <f aca="false">'Dish Database'!L368*H1433/100</f>
        <v>10.8</v>
      </c>
      <c r="M1433" s="17" t="n">
        <f aca="false">'Dish Database'!M368*H1433/100</f>
        <v>14.4</v>
      </c>
      <c r="N1433" s="17" t="n">
        <f aca="false">'Dish Database'!N368*H1433/100</f>
        <v>3.24</v>
      </c>
      <c r="O1433" s="17" t="n">
        <f aca="false">'Dish Database'!O368*H1433/100</f>
        <v>4.5</v>
      </c>
      <c r="P1433" s="13" t="n">
        <f aca="false">'Dish Database'!P368*H1433/100</f>
        <v>720</v>
      </c>
    </row>
    <row r="1434" customFormat="false" ht="15" hidden="false" customHeight="false" outlineLevel="0" collapsed="false">
      <c r="A1434" s="6" t="str">
        <f aca="false">'Dish Database'!A368</f>
        <v>D367</v>
      </c>
      <c r="B1434" s="6" t="str">
        <f aca="false">'Dish Database'!B368</f>
        <v>Mushroom tikka</v>
      </c>
      <c r="C1434" s="6" t="str">
        <f aca="false">'Dish Database'!D368</f>
        <v>Veg Starters</v>
      </c>
      <c r="D1434" s="6" t="str">
        <f aca="false">'Dish Database'!F368</f>
        <v>Veg</v>
      </c>
      <c r="E1434" s="6" t="str">
        <f aca="false">'Dish Database'!E368</f>
        <v>North</v>
      </c>
      <c r="F1434" s="6" t="s">
        <v>2325</v>
      </c>
      <c r="G1434" s="6" t="s">
        <v>2326</v>
      </c>
      <c r="H1434" s="16" t="n">
        <v>350</v>
      </c>
      <c r="I1434" s="6" t="str">
        <f aca="false">'Dish Database'!I368</f>
        <v>g</v>
      </c>
      <c r="J1434" s="13" t="n">
        <f aca="false">'Dish Database'!J368*H1434/100</f>
        <v>379.4</v>
      </c>
      <c r="K1434" s="17" t="n">
        <f aca="false">'Dish Database'!K368*H1434/100</f>
        <v>14</v>
      </c>
      <c r="L1434" s="17" t="n">
        <f aca="false">'Dish Database'!L368*H1434/100</f>
        <v>21</v>
      </c>
      <c r="M1434" s="17" t="n">
        <f aca="false">'Dish Database'!M368*H1434/100</f>
        <v>28</v>
      </c>
      <c r="N1434" s="17" t="n">
        <f aca="false">'Dish Database'!N368*H1434/100</f>
        <v>6.3</v>
      </c>
      <c r="O1434" s="17" t="n">
        <f aca="false">'Dish Database'!O368*H1434/100</f>
        <v>8.75</v>
      </c>
      <c r="P1434" s="13" t="n">
        <f aca="false">'Dish Database'!P368*H1434/100</f>
        <v>1400</v>
      </c>
    </row>
    <row r="1435" customFormat="false" ht="15" hidden="false" customHeight="false" outlineLevel="0" collapsed="false">
      <c r="A1435" s="6" t="str">
        <f aca="false">'Dish Database'!A369</f>
        <v>D368</v>
      </c>
      <c r="B1435" s="6" t="str">
        <f aca="false">'Dish Database'!B369</f>
        <v>Tandoori soya chaap</v>
      </c>
      <c r="C1435" s="6" t="str">
        <f aca="false">'Dish Database'!D369</f>
        <v>Veg Starters</v>
      </c>
      <c r="D1435" s="6" t="str">
        <f aca="false">'Dish Database'!F369</f>
        <v>Veg</v>
      </c>
      <c r="E1435" s="6" t="str">
        <f aca="false">'Dish Database'!E369</f>
        <v>North</v>
      </c>
      <c r="F1435" s="6" t="s">
        <v>2243</v>
      </c>
      <c r="G1435" s="6" t="s">
        <v>2430</v>
      </c>
      <c r="H1435" s="16" t="n">
        <v>100</v>
      </c>
      <c r="I1435" s="6" t="str">
        <f aca="false">'Dish Database'!I369</f>
        <v>g</v>
      </c>
      <c r="J1435" s="13" t="n">
        <f aca="false">'Dish Database'!J369*H1435/100</f>
        <v>175</v>
      </c>
      <c r="K1435" s="17" t="n">
        <f aca="false">'Dish Database'!K369*H1435/100</f>
        <v>13</v>
      </c>
      <c r="L1435" s="17" t="n">
        <f aca="false">'Dish Database'!L369*H1435/100</f>
        <v>12</v>
      </c>
      <c r="M1435" s="17" t="n">
        <f aca="false">'Dish Database'!M369*H1435/100</f>
        <v>9</v>
      </c>
      <c r="N1435" s="17" t="n">
        <f aca="false">'Dish Database'!N369*H1435/100</f>
        <v>3</v>
      </c>
      <c r="O1435" s="17" t="n">
        <f aca="false">'Dish Database'!O369*H1435/100</f>
        <v>2</v>
      </c>
      <c r="P1435" s="13" t="n">
        <f aca="false">'Dish Database'!P369*H1435/100</f>
        <v>450</v>
      </c>
    </row>
    <row r="1436" customFormat="false" ht="15" hidden="false" customHeight="false" outlineLevel="0" collapsed="false">
      <c r="A1436" s="6" t="str">
        <f aca="false">'Dish Database'!A369</f>
        <v>D368</v>
      </c>
      <c r="B1436" s="6" t="str">
        <f aca="false">'Dish Database'!B369</f>
        <v>Tandoori soya chaap</v>
      </c>
      <c r="C1436" s="6" t="str">
        <f aca="false">'Dish Database'!D369</f>
        <v>Veg Starters</v>
      </c>
      <c r="D1436" s="6" t="str">
        <f aca="false">'Dish Database'!F369</f>
        <v>Veg</v>
      </c>
      <c r="E1436" s="6" t="str">
        <f aca="false">'Dish Database'!E369</f>
        <v>North</v>
      </c>
      <c r="F1436" s="6" t="s">
        <v>103</v>
      </c>
      <c r="G1436" s="6" t="s">
        <v>2431</v>
      </c>
      <c r="H1436" s="16" t="n">
        <v>150</v>
      </c>
      <c r="I1436" s="6" t="str">
        <f aca="false">'Dish Database'!I369</f>
        <v>g</v>
      </c>
      <c r="J1436" s="13" t="n">
        <f aca="false">'Dish Database'!J369*H1436/100</f>
        <v>262.5</v>
      </c>
      <c r="K1436" s="17" t="n">
        <f aca="false">'Dish Database'!K369*H1436/100</f>
        <v>19.5</v>
      </c>
      <c r="L1436" s="17" t="n">
        <f aca="false">'Dish Database'!L369*H1436/100</f>
        <v>18</v>
      </c>
      <c r="M1436" s="17" t="n">
        <f aca="false">'Dish Database'!M369*H1436/100</f>
        <v>13.5</v>
      </c>
      <c r="N1436" s="17" t="n">
        <f aca="false">'Dish Database'!N369*H1436/100</f>
        <v>4.5</v>
      </c>
      <c r="O1436" s="17" t="n">
        <f aca="false">'Dish Database'!O369*H1436/100</f>
        <v>3</v>
      </c>
      <c r="P1436" s="13" t="n">
        <f aca="false">'Dish Database'!P369*H1436/100</f>
        <v>675</v>
      </c>
    </row>
    <row r="1437" customFormat="false" ht="15" hidden="false" customHeight="false" outlineLevel="0" collapsed="false">
      <c r="A1437" s="6" t="str">
        <f aca="false">'Dish Database'!A369</f>
        <v>D368</v>
      </c>
      <c r="B1437" s="6" t="str">
        <f aca="false">'Dish Database'!B369</f>
        <v>Tandoori soya chaap</v>
      </c>
      <c r="C1437" s="6" t="str">
        <f aca="false">'Dish Database'!D369</f>
        <v>Veg Starters</v>
      </c>
      <c r="D1437" s="6" t="str">
        <f aca="false">'Dish Database'!F369</f>
        <v>Veg</v>
      </c>
      <c r="E1437" s="6" t="str">
        <f aca="false">'Dish Database'!E369</f>
        <v>North</v>
      </c>
      <c r="F1437" s="6" t="s">
        <v>2246</v>
      </c>
      <c r="G1437" s="6" t="s">
        <v>2520</v>
      </c>
      <c r="H1437" s="16" t="n">
        <v>200</v>
      </c>
      <c r="I1437" s="6" t="str">
        <f aca="false">'Dish Database'!I369</f>
        <v>g</v>
      </c>
      <c r="J1437" s="13" t="n">
        <f aca="false">'Dish Database'!J369*H1437/100</f>
        <v>350</v>
      </c>
      <c r="K1437" s="17" t="n">
        <f aca="false">'Dish Database'!K369*H1437/100</f>
        <v>26</v>
      </c>
      <c r="L1437" s="17" t="n">
        <f aca="false">'Dish Database'!L369*H1437/100</f>
        <v>24</v>
      </c>
      <c r="M1437" s="17" t="n">
        <f aca="false">'Dish Database'!M369*H1437/100</f>
        <v>18</v>
      </c>
      <c r="N1437" s="17" t="n">
        <f aca="false">'Dish Database'!N369*H1437/100</f>
        <v>6</v>
      </c>
      <c r="O1437" s="17" t="n">
        <f aca="false">'Dish Database'!O369*H1437/100</f>
        <v>4</v>
      </c>
      <c r="P1437" s="13" t="n">
        <f aca="false">'Dish Database'!P369*H1437/100</f>
        <v>900</v>
      </c>
    </row>
    <row r="1438" customFormat="false" ht="15" hidden="false" customHeight="false" outlineLevel="0" collapsed="false">
      <c r="A1438" s="6" t="str">
        <f aca="false">'Dish Database'!A369</f>
        <v>D368</v>
      </c>
      <c r="B1438" s="6" t="str">
        <f aca="false">'Dish Database'!B369</f>
        <v>Tandoori soya chaap</v>
      </c>
      <c r="C1438" s="6" t="str">
        <f aca="false">'Dish Database'!D369</f>
        <v>Veg Starters</v>
      </c>
      <c r="D1438" s="6" t="str">
        <f aca="false">'Dish Database'!F369</f>
        <v>Veg</v>
      </c>
      <c r="E1438" s="6" t="str">
        <f aca="false">'Dish Database'!E369</f>
        <v>North</v>
      </c>
      <c r="F1438" s="6" t="s">
        <v>2323</v>
      </c>
      <c r="G1438" s="6" t="s">
        <v>2324</v>
      </c>
      <c r="H1438" s="16" t="n">
        <v>180</v>
      </c>
      <c r="I1438" s="6" t="str">
        <f aca="false">'Dish Database'!I369</f>
        <v>g</v>
      </c>
      <c r="J1438" s="13" t="n">
        <f aca="false">'Dish Database'!J369*H1438/100</f>
        <v>315</v>
      </c>
      <c r="K1438" s="17" t="n">
        <f aca="false">'Dish Database'!K369*H1438/100</f>
        <v>23.4</v>
      </c>
      <c r="L1438" s="17" t="n">
        <f aca="false">'Dish Database'!L369*H1438/100</f>
        <v>21.6</v>
      </c>
      <c r="M1438" s="17" t="n">
        <f aca="false">'Dish Database'!M369*H1438/100</f>
        <v>16.2</v>
      </c>
      <c r="N1438" s="17" t="n">
        <f aca="false">'Dish Database'!N369*H1438/100</f>
        <v>5.4</v>
      </c>
      <c r="O1438" s="17" t="n">
        <f aca="false">'Dish Database'!O369*H1438/100</f>
        <v>3.6</v>
      </c>
      <c r="P1438" s="13" t="n">
        <f aca="false">'Dish Database'!P369*H1438/100</f>
        <v>810</v>
      </c>
    </row>
    <row r="1439" customFormat="false" ht="15" hidden="false" customHeight="false" outlineLevel="0" collapsed="false">
      <c r="A1439" s="6" t="str">
        <f aca="false">'Dish Database'!A369</f>
        <v>D368</v>
      </c>
      <c r="B1439" s="6" t="str">
        <f aca="false">'Dish Database'!B369</f>
        <v>Tandoori soya chaap</v>
      </c>
      <c r="C1439" s="6" t="str">
        <f aca="false">'Dish Database'!D369</f>
        <v>Veg Starters</v>
      </c>
      <c r="D1439" s="6" t="str">
        <f aca="false">'Dish Database'!F369</f>
        <v>Veg</v>
      </c>
      <c r="E1439" s="6" t="str">
        <f aca="false">'Dish Database'!E369</f>
        <v>North</v>
      </c>
      <c r="F1439" s="6" t="s">
        <v>2325</v>
      </c>
      <c r="G1439" s="6" t="s">
        <v>2326</v>
      </c>
      <c r="H1439" s="16" t="n">
        <v>350</v>
      </c>
      <c r="I1439" s="6" t="str">
        <f aca="false">'Dish Database'!I369</f>
        <v>g</v>
      </c>
      <c r="J1439" s="13" t="n">
        <f aca="false">'Dish Database'!J369*H1439/100</f>
        <v>612.5</v>
      </c>
      <c r="K1439" s="17" t="n">
        <f aca="false">'Dish Database'!K369*H1439/100</f>
        <v>45.5</v>
      </c>
      <c r="L1439" s="17" t="n">
        <f aca="false">'Dish Database'!L369*H1439/100</f>
        <v>42</v>
      </c>
      <c r="M1439" s="17" t="n">
        <f aca="false">'Dish Database'!M369*H1439/100</f>
        <v>31.5</v>
      </c>
      <c r="N1439" s="17" t="n">
        <f aca="false">'Dish Database'!N369*H1439/100</f>
        <v>10.5</v>
      </c>
      <c r="O1439" s="17" t="n">
        <f aca="false">'Dish Database'!O369*H1439/100</f>
        <v>7</v>
      </c>
      <c r="P1439" s="13" t="n">
        <f aca="false">'Dish Database'!P369*H1439/100</f>
        <v>1575</v>
      </c>
    </row>
    <row r="1440" customFormat="false" ht="15" hidden="false" customHeight="false" outlineLevel="0" collapsed="false">
      <c r="A1440" s="6" t="str">
        <f aca="false">'Dish Database'!A370</f>
        <v>D369</v>
      </c>
      <c r="B1440" s="6" t="str">
        <f aca="false">'Dish Database'!B370</f>
        <v>Malai soya chaap</v>
      </c>
      <c r="C1440" s="6" t="str">
        <f aca="false">'Dish Database'!D370</f>
        <v>Veg Starters</v>
      </c>
      <c r="D1440" s="6" t="str">
        <f aca="false">'Dish Database'!F370</f>
        <v>Veg</v>
      </c>
      <c r="E1440" s="6" t="str">
        <f aca="false">'Dish Database'!E370</f>
        <v>North</v>
      </c>
      <c r="F1440" s="6" t="s">
        <v>2243</v>
      </c>
      <c r="G1440" s="6" t="s">
        <v>2430</v>
      </c>
      <c r="H1440" s="16" t="n">
        <v>100</v>
      </c>
      <c r="I1440" s="6" t="str">
        <f aca="false">'Dish Database'!I370</f>
        <v>g</v>
      </c>
      <c r="J1440" s="13" t="n">
        <f aca="false">'Dish Database'!J370*H1440/100</f>
        <v>213</v>
      </c>
      <c r="K1440" s="17" t="n">
        <f aca="false">'Dish Database'!K370*H1440/100</f>
        <v>12</v>
      </c>
      <c r="L1440" s="17" t="n">
        <f aca="false">'Dish Database'!L370*H1440/100</f>
        <v>11</v>
      </c>
      <c r="M1440" s="17" t="n">
        <f aca="false">'Dish Database'!M370*H1440/100</f>
        <v>14</v>
      </c>
      <c r="N1440" s="17" t="n">
        <f aca="false">'Dish Database'!N370*H1440/100</f>
        <v>2.5</v>
      </c>
      <c r="O1440" s="17" t="n">
        <f aca="false">'Dish Database'!O370*H1440/100</f>
        <v>2.5</v>
      </c>
      <c r="P1440" s="13" t="n">
        <f aca="false">'Dish Database'!P370*H1440/100</f>
        <v>450</v>
      </c>
    </row>
    <row r="1441" customFormat="false" ht="15" hidden="false" customHeight="false" outlineLevel="0" collapsed="false">
      <c r="A1441" s="6" t="str">
        <f aca="false">'Dish Database'!A370</f>
        <v>D369</v>
      </c>
      <c r="B1441" s="6" t="str">
        <f aca="false">'Dish Database'!B370</f>
        <v>Malai soya chaap</v>
      </c>
      <c r="C1441" s="6" t="str">
        <f aca="false">'Dish Database'!D370</f>
        <v>Veg Starters</v>
      </c>
      <c r="D1441" s="6" t="str">
        <f aca="false">'Dish Database'!F370</f>
        <v>Veg</v>
      </c>
      <c r="E1441" s="6" t="str">
        <f aca="false">'Dish Database'!E370</f>
        <v>North</v>
      </c>
      <c r="F1441" s="6" t="s">
        <v>103</v>
      </c>
      <c r="G1441" s="6" t="s">
        <v>2431</v>
      </c>
      <c r="H1441" s="16" t="n">
        <v>150</v>
      </c>
      <c r="I1441" s="6" t="str">
        <f aca="false">'Dish Database'!I370</f>
        <v>g</v>
      </c>
      <c r="J1441" s="13" t="n">
        <f aca="false">'Dish Database'!J370*H1441/100</f>
        <v>319.5</v>
      </c>
      <c r="K1441" s="17" t="n">
        <f aca="false">'Dish Database'!K370*H1441/100</f>
        <v>18</v>
      </c>
      <c r="L1441" s="17" t="n">
        <f aca="false">'Dish Database'!L370*H1441/100</f>
        <v>16.5</v>
      </c>
      <c r="M1441" s="17" t="n">
        <f aca="false">'Dish Database'!M370*H1441/100</f>
        <v>21</v>
      </c>
      <c r="N1441" s="17" t="n">
        <f aca="false">'Dish Database'!N370*H1441/100</f>
        <v>3.75</v>
      </c>
      <c r="O1441" s="17" t="n">
        <f aca="false">'Dish Database'!O370*H1441/100</f>
        <v>3.75</v>
      </c>
      <c r="P1441" s="13" t="n">
        <f aca="false">'Dish Database'!P370*H1441/100</f>
        <v>675</v>
      </c>
    </row>
    <row r="1442" customFormat="false" ht="15" hidden="false" customHeight="false" outlineLevel="0" collapsed="false">
      <c r="A1442" s="6" t="str">
        <f aca="false">'Dish Database'!A370</f>
        <v>D369</v>
      </c>
      <c r="B1442" s="6" t="str">
        <f aca="false">'Dish Database'!B370</f>
        <v>Malai soya chaap</v>
      </c>
      <c r="C1442" s="6" t="str">
        <f aca="false">'Dish Database'!D370</f>
        <v>Veg Starters</v>
      </c>
      <c r="D1442" s="6" t="str">
        <f aca="false">'Dish Database'!F370</f>
        <v>Veg</v>
      </c>
      <c r="E1442" s="6" t="str">
        <f aca="false">'Dish Database'!E370</f>
        <v>North</v>
      </c>
      <c r="F1442" s="6" t="s">
        <v>2246</v>
      </c>
      <c r="G1442" s="6" t="s">
        <v>2520</v>
      </c>
      <c r="H1442" s="16" t="n">
        <v>200</v>
      </c>
      <c r="I1442" s="6" t="str">
        <f aca="false">'Dish Database'!I370</f>
        <v>g</v>
      </c>
      <c r="J1442" s="13" t="n">
        <f aca="false">'Dish Database'!J370*H1442/100</f>
        <v>426</v>
      </c>
      <c r="K1442" s="17" t="n">
        <f aca="false">'Dish Database'!K370*H1442/100</f>
        <v>24</v>
      </c>
      <c r="L1442" s="17" t="n">
        <f aca="false">'Dish Database'!L370*H1442/100</f>
        <v>22</v>
      </c>
      <c r="M1442" s="17" t="n">
        <f aca="false">'Dish Database'!M370*H1442/100</f>
        <v>28</v>
      </c>
      <c r="N1442" s="17" t="n">
        <f aca="false">'Dish Database'!N370*H1442/100</f>
        <v>5</v>
      </c>
      <c r="O1442" s="17" t="n">
        <f aca="false">'Dish Database'!O370*H1442/100</f>
        <v>5</v>
      </c>
      <c r="P1442" s="13" t="n">
        <f aca="false">'Dish Database'!P370*H1442/100</f>
        <v>900</v>
      </c>
    </row>
    <row r="1443" customFormat="false" ht="15" hidden="false" customHeight="false" outlineLevel="0" collapsed="false">
      <c r="A1443" s="6" t="str">
        <f aca="false">'Dish Database'!A370</f>
        <v>D369</v>
      </c>
      <c r="B1443" s="6" t="str">
        <f aca="false">'Dish Database'!B370</f>
        <v>Malai soya chaap</v>
      </c>
      <c r="C1443" s="6" t="str">
        <f aca="false">'Dish Database'!D370</f>
        <v>Veg Starters</v>
      </c>
      <c r="D1443" s="6" t="str">
        <f aca="false">'Dish Database'!F370</f>
        <v>Veg</v>
      </c>
      <c r="E1443" s="6" t="str">
        <f aca="false">'Dish Database'!E370</f>
        <v>North</v>
      </c>
      <c r="F1443" s="6" t="s">
        <v>2323</v>
      </c>
      <c r="G1443" s="6" t="s">
        <v>2324</v>
      </c>
      <c r="H1443" s="16" t="n">
        <v>180</v>
      </c>
      <c r="I1443" s="6" t="str">
        <f aca="false">'Dish Database'!I370</f>
        <v>g</v>
      </c>
      <c r="J1443" s="13" t="n">
        <f aca="false">'Dish Database'!J370*H1443/100</f>
        <v>383.4</v>
      </c>
      <c r="K1443" s="17" t="n">
        <f aca="false">'Dish Database'!K370*H1443/100</f>
        <v>21.6</v>
      </c>
      <c r="L1443" s="17" t="n">
        <f aca="false">'Dish Database'!L370*H1443/100</f>
        <v>19.8</v>
      </c>
      <c r="M1443" s="17" t="n">
        <f aca="false">'Dish Database'!M370*H1443/100</f>
        <v>25.2</v>
      </c>
      <c r="N1443" s="17" t="n">
        <f aca="false">'Dish Database'!N370*H1443/100</f>
        <v>4.5</v>
      </c>
      <c r="O1443" s="17" t="n">
        <f aca="false">'Dish Database'!O370*H1443/100</f>
        <v>4.5</v>
      </c>
      <c r="P1443" s="13" t="n">
        <f aca="false">'Dish Database'!P370*H1443/100</f>
        <v>810</v>
      </c>
    </row>
    <row r="1444" customFormat="false" ht="15" hidden="false" customHeight="false" outlineLevel="0" collapsed="false">
      <c r="A1444" s="6" t="str">
        <f aca="false">'Dish Database'!A370</f>
        <v>D369</v>
      </c>
      <c r="B1444" s="6" t="str">
        <f aca="false">'Dish Database'!B370</f>
        <v>Malai soya chaap</v>
      </c>
      <c r="C1444" s="6" t="str">
        <f aca="false">'Dish Database'!D370</f>
        <v>Veg Starters</v>
      </c>
      <c r="D1444" s="6" t="str">
        <f aca="false">'Dish Database'!F370</f>
        <v>Veg</v>
      </c>
      <c r="E1444" s="6" t="str">
        <f aca="false">'Dish Database'!E370</f>
        <v>North</v>
      </c>
      <c r="F1444" s="6" t="s">
        <v>2325</v>
      </c>
      <c r="G1444" s="6" t="s">
        <v>2326</v>
      </c>
      <c r="H1444" s="16" t="n">
        <v>350</v>
      </c>
      <c r="I1444" s="6" t="str">
        <f aca="false">'Dish Database'!I370</f>
        <v>g</v>
      </c>
      <c r="J1444" s="13" t="n">
        <f aca="false">'Dish Database'!J370*H1444/100</f>
        <v>745.5</v>
      </c>
      <c r="K1444" s="17" t="n">
        <f aca="false">'Dish Database'!K370*H1444/100</f>
        <v>42</v>
      </c>
      <c r="L1444" s="17" t="n">
        <f aca="false">'Dish Database'!L370*H1444/100</f>
        <v>38.5</v>
      </c>
      <c r="M1444" s="17" t="n">
        <f aca="false">'Dish Database'!M370*H1444/100</f>
        <v>49</v>
      </c>
      <c r="N1444" s="17" t="n">
        <f aca="false">'Dish Database'!N370*H1444/100</f>
        <v>8.75</v>
      </c>
      <c r="O1444" s="17" t="n">
        <f aca="false">'Dish Database'!O370*H1444/100</f>
        <v>8.75</v>
      </c>
      <c r="P1444" s="13" t="n">
        <f aca="false">'Dish Database'!P370*H1444/100</f>
        <v>1575</v>
      </c>
    </row>
    <row r="1445" customFormat="false" ht="15" hidden="false" customHeight="false" outlineLevel="0" collapsed="false">
      <c r="A1445" s="6" t="str">
        <f aca="false">'Dish Database'!A371</f>
        <v>D370</v>
      </c>
      <c r="B1445" s="6" t="str">
        <f aca="false">'Dish Database'!B371</f>
        <v>Paneer 65</v>
      </c>
      <c r="C1445" s="6" t="str">
        <f aca="false">'Dish Database'!D371</f>
        <v>Veg Starters</v>
      </c>
      <c r="D1445" s="6" t="str">
        <f aca="false">'Dish Database'!F371</f>
        <v>Veg</v>
      </c>
      <c r="E1445" s="6" t="str">
        <f aca="false">'Dish Database'!E371</f>
        <v>South</v>
      </c>
      <c r="F1445" s="6" t="s">
        <v>2243</v>
      </c>
      <c r="G1445" s="6" t="s">
        <v>2430</v>
      </c>
      <c r="H1445" s="16" t="n">
        <v>100</v>
      </c>
      <c r="I1445" s="6" t="str">
        <f aca="false">'Dish Database'!I371</f>
        <v>g</v>
      </c>
      <c r="J1445" s="13" t="n">
        <f aca="false">'Dish Database'!J371*H1445/100</f>
        <v>256</v>
      </c>
      <c r="K1445" s="17" t="n">
        <f aca="false">'Dish Database'!K371*H1445/100</f>
        <v>12</v>
      </c>
      <c r="L1445" s="17" t="n">
        <f aca="false">'Dish Database'!L371*H1445/100</f>
        <v>12</v>
      </c>
      <c r="M1445" s="17" t="n">
        <f aca="false">'Dish Database'!M371*H1445/100</f>
        <v>18</v>
      </c>
      <c r="N1445" s="17" t="n">
        <f aca="false">'Dish Database'!N371*H1445/100</f>
        <v>1</v>
      </c>
      <c r="O1445" s="17" t="n">
        <f aca="false">'Dish Database'!O371*H1445/100</f>
        <v>2</v>
      </c>
      <c r="P1445" s="13" t="n">
        <f aca="false">'Dish Database'!P371*H1445/100</f>
        <v>600</v>
      </c>
    </row>
    <row r="1446" customFormat="false" ht="15" hidden="false" customHeight="false" outlineLevel="0" collapsed="false">
      <c r="A1446" s="6" t="str">
        <f aca="false">'Dish Database'!A371</f>
        <v>D370</v>
      </c>
      <c r="B1446" s="6" t="str">
        <f aca="false">'Dish Database'!B371</f>
        <v>Paneer 65</v>
      </c>
      <c r="C1446" s="6" t="str">
        <f aca="false">'Dish Database'!D371</f>
        <v>Veg Starters</v>
      </c>
      <c r="D1446" s="6" t="str">
        <f aca="false">'Dish Database'!F371</f>
        <v>Veg</v>
      </c>
      <c r="E1446" s="6" t="str">
        <f aca="false">'Dish Database'!E371</f>
        <v>South</v>
      </c>
      <c r="F1446" s="6" t="s">
        <v>103</v>
      </c>
      <c r="G1446" s="6" t="s">
        <v>2431</v>
      </c>
      <c r="H1446" s="16" t="n">
        <v>150</v>
      </c>
      <c r="I1446" s="6" t="str">
        <f aca="false">'Dish Database'!I371</f>
        <v>g</v>
      </c>
      <c r="J1446" s="13" t="n">
        <f aca="false">'Dish Database'!J371*H1446/100</f>
        <v>384</v>
      </c>
      <c r="K1446" s="17" t="n">
        <f aca="false">'Dish Database'!K371*H1446/100</f>
        <v>18</v>
      </c>
      <c r="L1446" s="17" t="n">
        <f aca="false">'Dish Database'!L371*H1446/100</f>
        <v>18</v>
      </c>
      <c r="M1446" s="17" t="n">
        <f aca="false">'Dish Database'!M371*H1446/100</f>
        <v>27</v>
      </c>
      <c r="N1446" s="17" t="n">
        <f aca="false">'Dish Database'!N371*H1446/100</f>
        <v>1.5</v>
      </c>
      <c r="O1446" s="17" t="n">
        <f aca="false">'Dish Database'!O371*H1446/100</f>
        <v>3</v>
      </c>
      <c r="P1446" s="13" t="n">
        <f aca="false">'Dish Database'!P371*H1446/100</f>
        <v>900</v>
      </c>
    </row>
    <row r="1447" customFormat="false" ht="15" hidden="false" customHeight="false" outlineLevel="0" collapsed="false">
      <c r="A1447" s="6" t="str">
        <f aca="false">'Dish Database'!A371</f>
        <v>D370</v>
      </c>
      <c r="B1447" s="6" t="str">
        <f aca="false">'Dish Database'!B371</f>
        <v>Paneer 65</v>
      </c>
      <c r="C1447" s="6" t="str">
        <f aca="false">'Dish Database'!D371</f>
        <v>Veg Starters</v>
      </c>
      <c r="D1447" s="6" t="str">
        <f aca="false">'Dish Database'!F371</f>
        <v>Veg</v>
      </c>
      <c r="E1447" s="6" t="str">
        <f aca="false">'Dish Database'!E371</f>
        <v>South</v>
      </c>
      <c r="F1447" s="6" t="s">
        <v>2246</v>
      </c>
      <c r="G1447" s="6" t="s">
        <v>2520</v>
      </c>
      <c r="H1447" s="16" t="n">
        <v>200</v>
      </c>
      <c r="I1447" s="6" t="str">
        <f aca="false">'Dish Database'!I371</f>
        <v>g</v>
      </c>
      <c r="J1447" s="13" t="n">
        <f aca="false">'Dish Database'!J371*H1447/100</f>
        <v>512</v>
      </c>
      <c r="K1447" s="17" t="n">
        <f aca="false">'Dish Database'!K371*H1447/100</f>
        <v>24</v>
      </c>
      <c r="L1447" s="17" t="n">
        <f aca="false">'Dish Database'!L371*H1447/100</f>
        <v>24</v>
      </c>
      <c r="M1447" s="17" t="n">
        <f aca="false">'Dish Database'!M371*H1447/100</f>
        <v>36</v>
      </c>
      <c r="N1447" s="17" t="n">
        <f aca="false">'Dish Database'!N371*H1447/100</f>
        <v>2</v>
      </c>
      <c r="O1447" s="17" t="n">
        <f aca="false">'Dish Database'!O371*H1447/100</f>
        <v>4</v>
      </c>
      <c r="P1447" s="13" t="n">
        <f aca="false">'Dish Database'!P371*H1447/100</f>
        <v>1200</v>
      </c>
    </row>
    <row r="1448" customFormat="false" ht="15" hidden="false" customHeight="false" outlineLevel="0" collapsed="false">
      <c r="A1448" s="6" t="str">
        <f aca="false">'Dish Database'!A371</f>
        <v>D370</v>
      </c>
      <c r="B1448" s="6" t="str">
        <f aca="false">'Dish Database'!B371</f>
        <v>Paneer 65</v>
      </c>
      <c r="C1448" s="6" t="str">
        <f aca="false">'Dish Database'!D371</f>
        <v>Veg Starters</v>
      </c>
      <c r="D1448" s="6" t="str">
        <f aca="false">'Dish Database'!F371</f>
        <v>Veg</v>
      </c>
      <c r="E1448" s="6" t="str">
        <f aca="false">'Dish Database'!E371</f>
        <v>South</v>
      </c>
      <c r="F1448" s="6" t="s">
        <v>2323</v>
      </c>
      <c r="G1448" s="6" t="s">
        <v>2324</v>
      </c>
      <c r="H1448" s="16" t="n">
        <v>180</v>
      </c>
      <c r="I1448" s="6" t="str">
        <f aca="false">'Dish Database'!I371</f>
        <v>g</v>
      </c>
      <c r="J1448" s="13" t="n">
        <f aca="false">'Dish Database'!J371*H1448/100</f>
        <v>460.8</v>
      </c>
      <c r="K1448" s="17" t="n">
        <f aca="false">'Dish Database'!K371*H1448/100</f>
        <v>21.6</v>
      </c>
      <c r="L1448" s="17" t="n">
        <f aca="false">'Dish Database'!L371*H1448/100</f>
        <v>21.6</v>
      </c>
      <c r="M1448" s="17" t="n">
        <f aca="false">'Dish Database'!M371*H1448/100</f>
        <v>32.4</v>
      </c>
      <c r="N1448" s="17" t="n">
        <f aca="false">'Dish Database'!N371*H1448/100</f>
        <v>1.8</v>
      </c>
      <c r="O1448" s="17" t="n">
        <f aca="false">'Dish Database'!O371*H1448/100</f>
        <v>3.6</v>
      </c>
      <c r="P1448" s="13" t="n">
        <f aca="false">'Dish Database'!P371*H1448/100</f>
        <v>1080</v>
      </c>
    </row>
    <row r="1449" customFormat="false" ht="15" hidden="false" customHeight="false" outlineLevel="0" collapsed="false">
      <c r="A1449" s="6" t="str">
        <f aca="false">'Dish Database'!A371</f>
        <v>D370</v>
      </c>
      <c r="B1449" s="6" t="str">
        <f aca="false">'Dish Database'!B371</f>
        <v>Paneer 65</v>
      </c>
      <c r="C1449" s="6" t="str">
        <f aca="false">'Dish Database'!D371</f>
        <v>Veg Starters</v>
      </c>
      <c r="D1449" s="6" t="str">
        <f aca="false">'Dish Database'!F371</f>
        <v>Veg</v>
      </c>
      <c r="E1449" s="6" t="str">
        <f aca="false">'Dish Database'!E371</f>
        <v>South</v>
      </c>
      <c r="F1449" s="6" t="s">
        <v>2325</v>
      </c>
      <c r="G1449" s="6" t="s">
        <v>2326</v>
      </c>
      <c r="H1449" s="16" t="n">
        <v>350</v>
      </c>
      <c r="I1449" s="6" t="str">
        <f aca="false">'Dish Database'!I371</f>
        <v>g</v>
      </c>
      <c r="J1449" s="13" t="n">
        <f aca="false">'Dish Database'!J371*H1449/100</f>
        <v>896</v>
      </c>
      <c r="K1449" s="17" t="n">
        <f aca="false">'Dish Database'!K371*H1449/100</f>
        <v>42</v>
      </c>
      <c r="L1449" s="17" t="n">
        <f aca="false">'Dish Database'!L371*H1449/100</f>
        <v>42</v>
      </c>
      <c r="M1449" s="17" t="n">
        <f aca="false">'Dish Database'!M371*H1449/100</f>
        <v>63</v>
      </c>
      <c r="N1449" s="17" t="n">
        <f aca="false">'Dish Database'!N371*H1449/100</f>
        <v>3.5</v>
      </c>
      <c r="O1449" s="17" t="n">
        <f aca="false">'Dish Database'!O371*H1449/100</f>
        <v>7</v>
      </c>
      <c r="P1449" s="13" t="n">
        <f aca="false">'Dish Database'!P371*H1449/100</f>
        <v>2100</v>
      </c>
    </row>
    <row r="1450" customFormat="false" ht="15" hidden="false" customHeight="false" outlineLevel="0" collapsed="false">
      <c r="A1450" s="6" t="str">
        <f aca="false">'Dish Database'!A372</f>
        <v>D371</v>
      </c>
      <c r="B1450" s="6" t="str">
        <f aca="false">'Dish Database'!B372</f>
        <v>Gobi 65</v>
      </c>
      <c r="C1450" s="6" t="str">
        <f aca="false">'Dish Database'!D372</f>
        <v>Veg Starters</v>
      </c>
      <c r="D1450" s="6" t="str">
        <f aca="false">'Dish Database'!F372</f>
        <v>Veg</v>
      </c>
      <c r="E1450" s="6" t="str">
        <f aca="false">'Dish Database'!E372</f>
        <v>South</v>
      </c>
      <c r="F1450" s="6" t="s">
        <v>2243</v>
      </c>
      <c r="G1450" s="6" t="s">
        <v>2430</v>
      </c>
      <c r="H1450" s="16" t="n">
        <v>100</v>
      </c>
      <c r="I1450" s="6" t="str">
        <f aca="false">'Dish Database'!I372</f>
        <v>g</v>
      </c>
      <c r="J1450" s="13" t="n">
        <f aca="false">'Dish Database'!J372*H1450/100</f>
        <v>217</v>
      </c>
      <c r="K1450" s="17" t="n">
        <f aca="false">'Dish Database'!K372*H1450/100</f>
        <v>4</v>
      </c>
      <c r="L1450" s="17" t="n">
        <f aca="false">'Dish Database'!L372*H1450/100</f>
        <v>20</v>
      </c>
      <c r="M1450" s="17" t="n">
        <f aca="false">'Dish Database'!M372*H1450/100</f>
        <v>14</v>
      </c>
      <c r="N1450" s="17" t="n">
        <f aca="false">'Dish Database'!N372*H1450/100</f>
        <v>2.5</v>
      </c>
      <c r="O1450" s="17" t="n">
        <f aca="false">'Dish Database'!O372*H1450/100</f>
        <v>2</v>
      </c>
      <c r="P1450" s="13" t="n">
        <f aca="false">'Dish Database'!P372*H1450/100</f>
        <v>600</v>
      </c>
    </row>
    <row r="1451" customFormat="false" ht="15" hidden="false" customHeight="false" outlineLevel="0" collapsed="false">
      <c r="A1451" s="6" t="str">
        <f aca="false">'Dish Database'!A372</f>
        <v>D371</v>
      </c>
      <c r="B1451" s="6" t="str">
        <f aca="false">'Dish Database'!B372</f>
        <v>Gobi 65</v>
      </c>
      <c r="C1451" s="6" t="str">
        <f aca="false">'Dish Database'!D372</f>
        <v>Veg Starters</v>
      </c>
      <c r="D1451" s="6" t="str">
        <f aca="false">'Dish Database'!F372</f>
        <v>Veg</v>
      </c>
      <c r="E1451" s="6" t="str">
        <f aca="false">'Dish Database'!E372</f>
        <v>South</v>
      </c>
      <c r="F1451" s="6" t="s">
        <v>103</v>
      </c>
      <c r="G1451" s="6" t="s">
        <v>2431</v>
      </c>
      <c r="H1451" s="16" t="n">
        <v>150</v>
      </c>
      <c r="I1451" s="6" t="str">
        <f aca="false">'Dish Database'!I372</f>
        <v>g</v>
      </c>
      <c r="J1451" s="13" t="n">
        <f aca="false">'Dish Database'!J372*H1451/100</f>
        <v>325.5</v>
      </c>
      <c r="K1451" s="17" t="n">
        <f aca="false">'Dish Database'!K372*H1451/100</f>
        <v>6</v>
      </c>
      <c r="L1451" s="17" t="n">
        <f aca="false">'Dish Database'!L372*H1451/100</f>
        <v>30</v>
      </c>
      <c r="M1451" s="17" t="n">
        <f aca="false">'Dish Database'!M372*H1451/100</f>
        <v>21</v>
      </c>
      <c r="N1451" s="17" t="n">
        <f aca="false">'Dish Database'!N372*H1451/100</f>
        <v>3.75</v>
      </c>
      <c r="O1451" s="17" t="n">
        <f aca="false">'Dish Database'!O372*H1451/100</f>
        <v>3</v>
      </c>
      <c r="P1451" s="13" t="n">
        <f aca="false">'Dish Database'!P372*H1451/100</f>
        <v>900</v>
      </c>
    </row>
    <row r="1452" customFormat="false" ht="15" hidden="false" customHeight="false" outlineLevel="0" collapsed="false">
      <c r="A1452" s="6" t="str">
        <f aca="false">'Dish Database'!A372</f>
        <v>D371</v>
      </c>
      <c r="B1452" s="6" t="str">
        <f aca="false">'Dish Database'!B372</f>
        <v>Gobi 65</v>
      </c>
      <c r="C1452" s="6" t="str">
        <f aca="false">'Dish Database'!D372</f>
        <v>Veg Starters</v>
      </c>
      <c r="D1452" s="6" t="str">
        <f aca="false">'Dish Database'!F372</f>
        <v>Veg</v>
      </c>
      <c r="E1452" s="6" t="str">
        <f aca="false">'Dish Database'!E372</f>
        <v>South</v>
      </c>
      <c r="F1452" s="6" t="s">
        <v>2246</v>
      </c>
      <c r="G1452" s="6" t="s">
        <v>2520</v>
      </c>
      <c r="H1452" s="16" t="n">
        <v>200</v>
      </c>
      <c r="I1452" s="6" t="str">
        <f aca="false">'Dish Database'!I372</f>
        <v>g</v>
      </c>
      <c r="J1452" s="13" t="n">
        <f aca="false">'Dish Database'!J372*H1452/100</f>
        <v>434</v>
      </c>
      <c r="K1452" s="17" t="n">
        <f aca="false">'Dish Database'!K372*H1452/100</f>
        <v>8</v>
      </c>
      <c r="L1452" s="17" t="n">
        <f aca="false">'Dish Database'!L372*H1452/100</f>
        <v>40</v>
      </c>
      <c r="M1452" s="17" t="n">
        <f aca="false">'Dish Database'!M372*H1452/100</f>
        <v>28</v>
      </c>
      <c r="N1452" s="17" t="n">
        <f aca="false">'Dish Database'!N372*H1452/100</f>
        <v>5</v>
      </c>
      <c r="O1452" s="17" t="n">
        <f aca="false">'Dish Database'!O372*H1452/100</f>
        <v>4</v>
      </c>
      <c r="P1452" s="13" t="n">
        <f aca="false">'Dish Database'!P372*H1452/100</f>
        <v>1200</v>
      </c>
    </row>
    <row r="1453" customFormat="false" ht="15" hidden="false" customHeight="false" outlineLevel="0" collapsed="false">
      <c r="A1453" s="6" t="str">
        <f aca="false">'Dish Database'!A372</f>
        <v>D371</v>
      </c>
      <c r="B1453" s="6" t="str">
        <f aca="false">'Dish Database'!B372</f>
        <v>Gobi 65</v>
      </c>
      <c r="C1453" s="6" t="str">
        <f aca="false">'Dish Database'!D372</f>
        <v>Veg Starters</v>
      </c>
      <c r="D1453" s="6" t="str">
        <f aca="false">'Dish Database'!F372</f>
        <v>Veg</v>
      </c>
      <c r="E1453" s="6" t="str">
        <f aca="false">'Dish Database'!E372</f>
        <v>South</v>
      </c>
      <c r="F1453" s="6" t="s">
        <v>2323</v>
      </c>
      <c r="G1453" s="6" t="s">
        <v>2324</v>
      </c>
      <c r="H1453" s="16" t="n">
        <v>180</v>
      </c>
      <c r="I1453" s="6" t="str">
        <f aca="false">'Dish Database'!I372</f>
        <v>g</v>
      </c>
      <c r="J1453" s="13" t="n">
        <f aca="false">'Dish Database'!J372*H1453/100</f>
        <v>390.6</v>
      </c>
      <c r="K1453" s="17" t="n">
        <f aca="false">'Dish Database'!K372*H1453/100</f>
        <v>7.2</v>
      </c>
      <c r="L1453" s="17" t="n">
        <f aca="false">'Dish Database'!L372*H1453/100</f>
        <v>36</v>
      </c>
      <c r="M1453" s="17" t="n">
        <f aca="false">'Dish Database'!M372*H1453/100</f>
        <v>25.2</v>
      </c>
      <c r="N1453" s="17" t="n">
        <f aca="false">'Dish Database'!N372*H1453/100</f>
        <v>4.5</v>
      </c>
      <c r="O1453" s="17" t="n">
        <f aca="false">'Dish Database'!O372*H1453/100</f>
        <v>3.6</v>
      </c>
      <c r="P1453" s="13" t="n">
        <f aca="false">'Dish Database'!P372*H1453/100</f>
        <v>1080</v>
      </c>
    </row>
    <row r="1454" customFormat="false" ht="15" hidden="false" customHeight="false" outlineLevel="0" collapsed="false">
      <c r="A1454" s="6" t="str">
        <f aca="false">'Dish Database'!A372</f>
        <v>D371</v>
      </c>
      <c r="B1454" s="6" t="str">
        <f aca="false">'Dish Database'!B372</f>
        <v>Gobi 65</v>
      </c>
      <c r="C1454" s="6" t="str">
        <f aca="false">'Dish Database'!D372</f>
        <v>Veg Starters</v>
      </c>
      <c r="D1454" s="6" t="str">
        <f aca="false">'Dish Database'!F372</f>
        <v>Veg</v>
      </c>
      <c r="E1454" s="6" t="str">
        <f aca="false">'Dish Database'!E372</f>
        <v>South</v>
      </c>
      <c r="F1454" s="6" t="s">
        <v>2325</v>
      </c>
      <c r="G1454" s="6" t="s">
        <v>2326</v>
      </c>
      <c r="H1454" s="16" t="n">
        <v>350</v>
      </c>
      <c r="I1454" s="6" t="str">
        <f aca="false">'Dish Database'!I372</f>
        <v>g</v>
      </c>
      <c r="J1454" s="13" t="n">
        <f aca="false">'Dish Database'!J372*H1454/100</f>
        <v>759.5</v>
      </c>
      <c r="K1454" s="17" t="n">
        <f aca="false">'Dish Database'!K372*H1454/100</f>
        <v>14</v>
      </c>
      <c r="L1454" s="17" t="n">
        <f aca="false">'Dish Database'!L372*H1454/100</f>
        <v>70</v>
      </c>
      <c r="M1454" s="17" t="n">
        <f aca="false">'Dish Database'!M372*H1454/100</f>
        <v>49</v>
      </c>
      <c r="N1454" s="17" t="n">
        <f aca="false">'Dish Database'!N372*H1454/100</f>
        <v>8.75</v>
      </c>
      <c r="O1454" s="17" t="n">
        <f aca="false">'Dish Database'!O372*H1454/100</f>
        <v>7</v>
      </c>
      <c r="P1454" s="13" t="n">
        <f aca="false">'Dish Database'!P372*H1454/100</f>
        <v>2100</v>
      </c>
    </row>
    <row r="1455" customFormat="false" ht="15" hidden="false" customHeight="false" outlineLevel="0" collapsed="false">
      <c r="A1455" s="6" t="str">
        <f aca="false">'Dish Database'!A373</f>
        <v>D372</v>
      </c>
      <c r="B1455" s="6" t="str">
        <f aca="false">'Dish Database'!B373</f>
        <v>Veg cutlet</v>
      </c>
      <c r="C1455" s="6" t="str">
        <f aca="false">'Dish Database'!D373</f>
        <v>Veg Starters</v>
      </c>
      <c r="D1455" s="6" t="str">
        <f aca="false">'Dish Database'!F373</f>
        <v>Veg</v>
      </c>
      <c r="E1455" s="6" t="str">
        <f aca="false">'Dish Database'!E373</f>
        <v>Pan-India</v>
      </c>
      <c r="F1455" s="6" t="s">
        <v>2243</v>
      </c>
      <c r="G1455" s="6" t="s">
        <v>2521</v>
      </c>
      <c r="H1455" s="16" t="n">
        <v>40</v>
      </c>
      <c r="I1455" s="6" t="str">
        <f aca="false">'Dish Database'!I373</f>
        <v>g</v>
      </c>
      <c r="J1455" s="13" t="n">
        <f aca="false">'Dish Database'!J373*H1455/100</f>
        <v>80</v>
      </c>
      <c r="K1455" s="17" t="n">
        <f aca="false">'Dish Database'!K373*H1455/100</f>
        <v>1.6</v>
      </c>
      <c r="L1455" s="17" t="n">
        <f aca="false">'Dish Database'!L373*H1455/100</f>
        <v>10</v>
      </c>
      <c r="M1455" s="17" t="n">
        <f aca="false">'Dish Database'!M373*H1455/100</f>
        <v>4</v>
      </c>
      <c r="N1455" s="17" t="n">
        <f aca="false">'Dish Database'!N373*H1455/100</f>
        <v>1.2</v>
      </c>
      <c r="O1455" s="17" t="n">
        <f aca="false">'Dish Database'!O373*H1455/100</f>
        <v>0.8</v>
      </c>
      <c r="P1455" s="13" t="n">
        <f aca="false">'Dish Database'!P373*H1455/100</f>
        <v>152</v>
      </c>
    </row>
    <row r="1456" customFormat="false" ht="15" hidden="false" customHeight="false" outlineLevel="0" collapsed="false">
      <c r="A1456" s="6" t="str">
        <f aca="false">'Dish Database'!A373</f>
        <v>D372</v>
      </c>
      <c r="B1456" s="6" t="str">
        <f aca="false">'Dish Database'!B373</f>
        <v>Veg cutlet</v>
      </c>
      <c r="C1456" s="6" t="str">
        <f aca="false">'Dish Database'!D373</f>
        <v>Veg Starters</v>
      </c>
      <c r="D1456" s="6" t="str">
        <f aca="false">'Dish Database'!F373</f>
        <v>Veg</v>
      </c>
      <c r="E1456" s="6" t="str">
        <f aca="false">'Dish Database'!E373</f>
        <v>Pan-India</v>
      </c>
      <c r="F1456" s="6" t="s">
        <v>103</v>
      </c>
      <c r="G1456" s="6" t="s">
        <v>2522</v>
      </c>
      <c r="H1456" s="16" t="n">
        <v>60</v>
      </c>
      <c r="I1456" s="6" t="str">
        <f aca="false">'Dish Database'!I373</f>
        <v>g</v>
      </c>
      <c r="J1456" s="13" t="n">
        <f aca="false">'Dish Database'!J373*H1456/100</f>
        <v>120</v>
      </c>
      <c r="K1456" s="17" t="n">
        <f aca="false">'Dish Database'!K373*H1456/100</f>
        <v>2.4</v>
      </c>
      <c r="L1456" s="17" t="n">
        <f aca="false">'Dish Database'!L373*H1456/100</f>
        <v>15</v>
      </c>
      <c r="M1456" s="17" t="n">
        <f aca="false">'Dish Database'!M373*H1456/100</f>
        <v>6</v>
      </c>
      <c r="N1456" s="17" t="n">
        <f aca="false">'Dish Database'!N373*H1456/100</f>
        <v>1.8</v>
      </c>
      <c r="O1456" s="17" t="n">
        <f aca="false">'Dish Database'!O373*H1456/100</f>
        <v>1.2</v>
      </c>
      <c r="P1456" s="13" t="n">
        <f aca="false">'Dish Database'!P373*H1456/100</f>
        <v>228</v>
      </c>
    </row>
    <row r="1457" customFormat="false" ht="15" hidden="false" customHeight="false" outlineLevel="0" collapsed="false">
      <c r="A1457" s="6" t="str">
        <f aca="false">'Dish Database'!A373</f>
        <v>D372</v>
      </c>
      <c r="B1457" s="6" t="str">
        <f aca="false">'Dish Database'!B373</f>
        <v>Veg cutlet</v>
      </c>
      <c r="C1457" s="6" t="str">
        <f aca="false">'Dish Database'!D373</f>
        <v>Veg Starters</v>
      </c>
      <c r="D1457" s="6" t="str">
        <f aca="false">'Dish Database'!F373</f>
        <v>Veg</v>
      </c>
      <c r="E1457" s="6" t="str">
        <f aca="false">'Dish Database'!E373</f>
        <v>Pan-India</v>
      </c>
      <c r="F1457" s="6" t="s">
        <v>2246</v>
      </c>
      <c r="G1457" s="6" t="s">
        <v>2523</v>
      </c>
      <c r="H1457" s="16" t="n">
        <v>80</v>
      </c>
      <c r="I1457" s="6" t="str">
        <f aca="false">'Dish Database'!I373</f>
        <v>g</v>
      </c>
      <c r="J1457" s="13" t="n">
        <f aca="false">'Dish Database'!J373*H1457/100</f>
        <v>160</v>
      </c>
      <c r="K1457" s="17" t="n">
        <f aca="false">'Dish Database'!K373*H1457/100</f>
        <v>3.2</v>
      </c>
      <c r="L1457" s="17" t="n">
        <f aca="false">'Dish Database'!L373*H1457/100</f>
        <v>20</v>
      </c>
      <c r="M1457" s="17" t="n">
        <f aca="false">'Dish Database'!M373*H1457/100</f>
        <v>8</v>
      </c>
      <c r="N1457" s="17" t="n">
        <f aca="false">'Dish Database'!N373*H1457/100</f>
        <v>2.4</v>
      </c>
      <c r="O1457" s="17" t="n">
        <f aca="false">'Dish Database'!O373*H1457/100</f>
        <v>1.6</v>
      </c>
      <c r="P1457" s="13" t="n">
        <f aca="false">'Dish Database'!P373*H1457/100</f>
        <v>304</v>
      </c>
    </row>
    <row r="1458" customFormat="false" ht="15" hidden="false" customHeight="false" outlineLevel="0" collapsed="false">
      <c r="A1458" s="6" t="str">
        <f aca="false">'Dish Database'!A374</f>
        <v>D373</v>
      </c>
      <c r="B1458" s="6" t="str">
        <f aca="false">'Dish Database'!B374</f>
        <v>Aloo tikki</v>
      </c>
      <c r="C1458" s="6" t="str">
        <f aca="false">'Dish Database'!D374</f>
        <v>Veg Starters</v>
      </c>
      <c r="D1458" s="6" t="str">
        <f aca="false">'Dish Database'!F374</f>
        <v>Veg</v>
      </c>
      <c r="E1458" s="6" t="str">
        <f aca="false">'Dish Database'!E374</f>
        <v>North</v>
      </c>
      <c r="F1458" s="6" t="s">
        <v>2243</v>
      </c>
      <c r="G1458" s="6" t="s">
        <v>2524</v>
      </c>
      <c r="H1458" s="16" t="n">
        <v>40</v>
      </c>
      <c r="I1458" s="6" t="str">
        <f aca="false">'Dish Database'!I374</f>
        <v>g</v>
      </c>
      <c r="J1458" s="13" t="n">
        <f aca="false">'Dish Database'!J374*H1458/100</f>
        <v>76.8</v>
      </c>
      <c r="K1458" s="17" t="n">
        <f aca="false">'Dish Database'!K374*H1458/100</f>
        <v>1.2</v>
      </c>
      <c r="L1458" s="17" t="n">
        <f aca="false">'Dish Database'!L374*H1458/100</f>
        <v>10.4</v>
      </c>
      <c r="M1458" s="17" t="n">
        <f aca="false">'Dish Database'!M374*H1458/100</f>
        <v>3.6</v>
      </c>
      <c r="N1458" s="17" t="n">
        <f aca="false">'Dish Database'!N374*H1458/100</f>
        <v>1</v>
      </c>
      <c r="O1458" s="17" t="n">
        <f aca="false">'Dish Database'!O374*H1458/100</f>
        <v>0.4</v>
      </c>
      <c r="P1458" s="13" t="n">
        <f aca="false">'Dish Database'!P374*H1458/100</f>
        <v>152</v>
      </c>
    </row>
    <row r="1459" customFormat="false" ht="15" hidden="false" customHeight="false" outlineLevel="0" collapsed="false">
      <c r="A1459" s="6" t="str">
        <f aca="false">'Dish Database'!A374</f>
        <v>D373</v>
      </c>
      <c r="B1459" s="6" t="str">
        <f aca="false">'Dish Database'!B374</f>
        <v>Aloo tikki</v>
      </c>
      <c r="C1459" s="6" t="str">
        <f aca="false">'Dish Database'!D374</f>
        <v>Veg Starters</v>
      </c>
      <c r="D1459" s="6" t="str">
        <f aca="false">'Dish Database'!F374</f>
        <v>Veg</v>
      </c>
      <c r="E1459" s="6" t="str">
        <f aca="false">'Dish Database'!E374</f>
        <v>North</v>
      </c>
      <c r="F1459" s="6" t="s">
        <v>103</v>
      </c>
      <c r="G1459" s="6" t="s">
        <v>2525</v>
      </c>
      <c r="H1459" s="16" t="n">
        <v>60</v>
      </c>
      <c r="I1459" s="6" t="str">
        <f aca="false">'Dish Database'!I374</f>
        <v>g</v>
      </c>
      <c r="J1459" s="13" t="n">
        <f aca="false">'Dish Database'!J374*H1459/100</f>
        <v>115.2</v>
      </c>
      <c r="K1459" s="17" t="n">
        <f aca="false">'Dish Database'!K374*H1459/100</f>
        <v>1.8</v>
      </c>
      <c r="L1459" s="17" t="n">
        <f aca="false">'Dish Database'!L374*H1459/100</f>
        <v>15.6</v>
      </c>
      <c r="M1459" s="17" t="n">
        <f aca="false">'Dish Database'!M374*H1459/100</f>
        <v>5.4</v>
      </c>
      <c r="N1459" s="17" t="n">
        <f aca="false">'Dish Database'!N374*H1459/100</f>
        <v>1.5</v>
      </c>
      <c r="O1459" s="17" t="n">
        <f aca="false">'Dish Database'!O374*H1459/100</f>
        <v>0.6</v>
      </c>
      <c r="P1459" s="13" t="n">
        <f aca="false">'Dish Database'!P374*H1459/100</f>
        <v>228</v>
      </c>
    </row>
    <row r="1460" customFormat="false" ht="15" hidden="false" customHeight="false" outlineLevel="0" collapsed="false">
      <c r="A1460" s="6" t="str">
        <f aca="false">'Dish Database'!A374</f>
        <v>D373</v>
      </c>
      <c r="B1460" s="6" t="str">
        <f aca="false">'Dish Database'!B374</f>
        <v>Aloo tikki</v>
      </c>
      <c r="C1460" s="6" t="str">
        <f aca="false">'Dish Database'!D374</f>
        <v>Veg Starters</v>
      </c>
      <c r="D1460" s="6" t="str">
        <f aca="false">'Dish Database'!F374</f>
        <v>Veg</v>
      </c>
      <c r="E1460" s="6" t="str">
        <f aca="false">'Dish Database'!E374</f>
        <v>North</v>
      </c>
      <c r="F1460" s="6" t="s">
        <v>2246</v>
      </c>
      <c r="G1460" s="6" t="s">
        <v>2526</v>
      </c>
      <c r="H1460" s="16" t="n">
        <v>80</v>
      </c>
      <c r="I1460" s="6" t="str">
        <f aca="false">'Dish Database'!I374</f>
        <v>g</v>
      </c>
      <c r="J1460" s="13" t="n">
        <f aca="false">'Dish Database'!J374*H1460/100</f>
        <v>153.6</v>
      </c>
      <c r="K1460" s="17" t="n">
        <f aca="false">'Dish Database'!K374*H1460/100</f>
        <v>2.4</v>
      </c>
      <c r="L1460" s="17" t="n">
        <f aca="false">'Dish Database'!L374*H1460/100</f>
        <v>20.8</v>
      </c>
      <c r="M1460" s="17" t="n">
        <f aca="false">'Dish Database'!M374*H1460/100</f>
        <v>7.2</v>
      </c>
      <c r="N1460" s="17" t="n">
        <f aca="false">'Dish Database'!N374*H1460/100</f>
        <v>2</v>
      </c>
      <c r="O1460" s="17" t="n">
        <f aca="false">'Dish Database'!O374*H1460/100</f>
        <v>0.8</v>
      </c>
      <c r="P1460" s="13" t="n">
        <f aca="false">'Dish Database'!P374*H1460/100</f>
        <v>304</v>
      </c>
    </row>
    <row r="1461" customFormat="false" ht="15" hidden="false" customHeight="false" outlineLevel="0" collapsed="false">
      <c r="A1461" s="6" t="str">
        <f aca="false">'Dish Database'!A375</f>
        <v>D374</v>
      </c>
      <c r="B1461" s="6" t="str">
        <f aca="false">'Dish Database'!B375</f>
        <v>Corn cheese balls</v>
      </c>
      <c r="C1461" s="6" t="str">
        <f aca="false">'Dish Database'!D375</f>
        <v>Veg Starters</v>
      </c>
      <c r="D1461" s="6" t="str">
        <f aca="false">'Dish Database'!F375</f>
        <v>Veg</v>
      </c>
      <c r="E1461" s="6" t="str">
        <f aca="false">'Dish Database'!E375</f>
        <v>Pan-India</v>
      </c>
      <c r="F1461" s="6" t="s">
        <v>2243</v>
      </c>
      <c r="G1461" s="6" t="s">
        <v>2527</v>
      </c>
      <c r="H1461" s="16" t="n">
        <v>60</v>
      </c>
      <c r="I1461" s="6" t="str">
        <f aca="false">'Dish Database'!I375</f>
        <v>g</v>
      </c>
      <c r="J1461" s="13" t="n">
        <f aca="false">'Dish Database'!J375*H1461/100</f>
        <v>166.2</v>
      </c>
      <c r="K1461" s="17" t="n">
        <f aca="false">'Dish Database'!K375*H1461/100</f>
        <v>4.2</v>
      </c>
      <c r="L1461" s="17" t="n">
        <f aca="false">'Dish Database'!L375*H1461/100</f>
        <v>15</v>
      </c>
      <c r="M1461" s="17" t="n">
        <f aca="false">'Dish Database'!M375*H1461/100</f>
        <v>10.2</v>
      </c>
      <c r="N1461" s="17" t="n">
        <f aca="false">'Dish Database'!N375*H1461/100</f>
        <v>1.2</v>
      </c>
      <c r="O1461" s="17" t="n">
        <f aca="false">'Dish Database'!O375*H1461/100</f>
        <v>1.8</v>
      </c>
      <c r="P1461" s="13" t="n">
        <f aca="false">'Dish Database'!P375*H1461/100</f>
        <v>300</v>
      </c>
    </row>
    <row r="1462" customFormat="false" ht="15" hidden="false" customHeight="false" outlineLevel="0" collapsed="false">
      <c r="A1462" s="6" t="str">
        <f aca="false">'Dish Database'!A375</f>
        <v>D374</v>
      </c>
      <c r="B1462" s="6" t="str">
        <f aca="false">'Dish Database'!B375</f>
        <v>Corn cheese balls</v>
      </c>
      <c r="C1462" s="6" t="str">
        <f aca="false">'Dish Database'!D375</f>
        <v>Veg Starters</v>
      </c>
      <c r="D1462" s="6" t="str">
        <f aca="false">'Dish Database'!F375</f>
        <v>Veg</v>
      </c>
      <c r="E1462" s="6" t="str">
        <f aca="false">'Dish Database'!E375</f>
        <v>Pan-India</v>
      </c>
      <c r="F1462" s="6" t="s">
        <v>103</v>
      </c>
      <c r="G1462" s="6" t="s">
        <v>2528</v>
      </c>
      <c r="H1462" s="16" t="n">
        <v>100</v>
      </c>
      <c r="I1462" s="6" t="str">
        <f aca="false">'Dish Database'!I375</f>
        <v>g</v>
      </c>
      <c r="J1462" s="13" t="n">
        <f aca="false">'Dish Database'!J375*H1462/100</f>
        <v>277</v>
      </c>
      <c r="K1462" s="17" t="n">
        <f aca="false">'Dish Database'!K375*H1462/100</f>
        <v>7</v>
      </c>
      <c r="L1462" s="17" t="n">
        <f aca="false">'Dish Database'!L375*H1462/100</f>
        <v>25</v>
      </c>
      <c r="M1462" s="17" t="n">
        <f aca="false">'Dish Database'!M375*H1462/100</f>
        <v>17</v>
      </c>
      <c r="N1462" s="17" t="n">
        <f aca="false">'Dish Database'!N375*H1462/100</f>
        <v>2</v>
      </c>
      <c r="O1462" s="17" t="n">
        <f aca="false">'Dish Database'!O375*H1462/100</f>
        <v>3</v>
      </c>
      <c r="P1462" s="13" t="n">
        <f aca="false">'Dish Database'!P375*H1462/100</f>
        <v>500</v>
      </c>
    </row>
    <row r="1463" customFormat="false" ht="15" hidden="false" customHeight="false" outlineLevel="0" collapsed="false">
      <c r="A1463" s="6" t="str">
        <f aca="false">'Dish Database'!A375</f>
        <v>D374</v>
      </c>
      <c r="B1463" s="6" t="str">
        <f aca="false">'Dish Database'!B375</f>
        <v>Corn cheese balls</v>
      </c>
      <c r="C1463" s="6" t="str">
        <f aca="false">'Dish Database'!D375</f>
        <v>Veg Starters</v>
      </c>
      <c r="D1463" s="6" t="str">
        <f aca="false">'Dish Database'!F375</f>
        <v>Veg</v>
      </c>
      <c r="E1463" s="6" t="str">
        <f aca="false">'Dish Database'!E375</f>
        <v>Pan-India</v>
      </c>
      <c r="F1463" s="6" t="s">
        <v>2246</v>
      </c>
      <c r="G1463" s="6" t="s">
        <v>2529</v>
      </c>
      <c r="H1463" s="16" t="n">
        <v>150</v>
      </c>
      <c r="I1463" s="6" t="str">
        <f aca="false">'Dish Database'!I375</f>
        <v>g</v>
      </c>
      <c r="J1463" s="13" t="n">
        <f aca="false">'Dish Database'!J375*H1463/100</f>
        <v>415.5</v>
      </c>
      <c r="K1463" s="17" t="n">
        <f aca="false">'Dish Database'!K375*H1463/100</f>
        <v>10.5</v>
      </c>
      <c r="L1463" s="17" t="n">
        <f aca="false">'Dish Database'!L375*H1463/100</f>
        <v>37.5</v>
      </c>
      <c r="M1463" s="17" t="n">
        <f aca="false">'Dish Database'!M375*H1463/100</f>
        <v>25.5</v>
      </c>
      <c r="N1463" s="17" t="n">
        <f aca="false">'Dish Database'!N375*H1463/100</f>
        <v>3</v>
      </c>
      <c r="O1463" s="17" t="n">
        <f aca="false">'Dish Database'!O375*H1463/100</f>
        <v>4.5</v>
      </c>
      <c r="P1463" s="13" t="n">
        <f aca="false">'Dish Database'!P375*H1463/100</f>
        <v>750</v>
      </c>
    </row>
    <row r="1464" customFormat="false" ht="15" hidden="false" customHeight="false" outlineLevel="0" collapsed="false">
      <c r="A1464" s="6" t="str">
        <f aca="false">'Dish Database'!A376</f>
        <v>D375</v>
      </c>
      <c r="B1464" s="6" t="str">
        <f aca="false">'Dish Database'!B376</f>
        <v>Veg spring roll (fried)</v>
      </c>
      <c r="C1464" s="6" t="str">
        <f aca="false">'Dish Database'!D376</f>
        <v>Veg Starters</v>
      </c>
      <c r="D1464" s="6" t="str">
        <f aca="false">'Dish Database'!F376</f>
        <v>Veg</v>
      </c>
      <c r="E1464" s="6" t="str">
        <f aca="false">'Dish Database'!E376</f>
        <v>Indo-Chinese</v>
      </c>
      <c r="F1464" s="6" t="s">
        <v>2243</v>
      </c>
      <c r="G1464" s="6" t="s">
        <v>2530</v>
      </c>
      <c r="H1464" s="16" t="n">
        <v>40</v>
      </c>
      <c r="I1464" s="6" t="str">
        <f aca="false">'Dish Database'!I376</f>
        <v>g</v>
      </c>
      <c r="J1464" s="13" t="n">
        <f aca="false">'Dish Database'!J376*H1464/100</f>
        <v>100.8</v>
      </c>
      <c r="K1464" s="17" t="n">
        <f aca="false">'Dish Database'!K376*H1464/100</f>
        <v>2</v>
      </c>
      <c r="L1464" s="17" t="n">
        <f aca="false">'Dish Database'!L376*H1464/100</f>
        <v>12</v>
      </c>
      <c r="M1464" s="17" t="n">
        <f aca="false">'Dish Database'!M376*H1464/100</f>
        <v>5.2</v>
      </c>
      <c r="N1464" s="17" t="n">
        <f aca="false">'Dish Database'!N376*H1464/100</f>
        <v>1</v>
      </c>
      <c r="O1464" s="17" t="n">
        <f aca="false">'Dish Database'!O376*H1464/100</f>
        <v>1.2</v>
      </c>
      <c r="P1464" s="13" t="n">
        <f aca="false">'Dish Database'!P376*H1464/100</f>
        <v>180</v>
      </c>
    </row>
    <row r="1465" customFormat="false" ht="15" hidden="false" customHeight="false" outlineLevel="0" collapsed="false">
      <c r="A1465" s="6" t="str">
        <f aca="false">'Dish Database'!A376</f>
        <v>D375</v>
      </c>
      <c r="B1465" s="6" t="str">
        <f aca="false">'Dish Database'!B376</f>
        <v>Veg spring roll (fried)</v>
      </c>
      <c r="C1465" s="6" t="str">
        <f aca="false">'Dish Database'!D376</f>
        <v>Veg Starters</v>
      </c>
      <c r="D1465" s="6" t="str">
        <f aca="false">'Dish Database'!F376</f>
        <v>Veg</v>
      </c>
      <c r="E1465" s="6" t="str">
        <f aca="false">'Dish Database'!E376</f>
        <v>Indo-Chinese</v>
      </c>
      <c r="F1465" s="6" t="s">
        <v>103</v>
      </c>
      <c r="G1465" s="6" t="s">
        <v>2531</v>
      </c>
      <c r="H1465" s="16" t="n">
        <v>60</v>
      </c>
      <c r="I1465" s="6" t="str">
        <f aca="false">'Dish Database'!I376</f>
        <v>g</v>
      </c>
      <c r="J1465" s="13" t="n">
        <f aca="false">'Dish Database'!J376*H1465/100</f>
        <v>151.2</v>
      </c>
      <c r="K1465" s="17" t="n">
        <f aca="false">'Dish Database'!K376*H1465/100</f>
        <v>3</v>
      </c>
      <c r="L1465" s="17" t="n">
        <f aca="false">'Dish Database'!L376*H1465/100</f>
        <v>18</v>
      </c>
      <c r="M1465" s="17" t="n">
        <f aca="false">'Dish Database'!M376*H1465/100</f>
        <v>7.8</v>
      </c>
      <c r="N1465" s="17" t="n">
        <f aca="false">'Dish Database'!N376*H1465/100</f>
        <v>1.5</v>
      </c>
      <c r="O1465" s="17" t="n">
        <f aca="false">'Dish Database'!O376*H1465/100</f>
        <v>1.8</v>
      </c>
      <c r="P1465" s="13" t="n">
        <f aca="false">'Dish Database'!P376*H1465/100</f>
        <v>270</v>
      </c>
    </row>
    <row r="1466" customFormat="false" ht="15" hidden="false" customHeight="false" outlineLevel="0" collapsed="false">
      <c r="A1466" s="6" t="str">
        <f aca="false">'Dish Database'!A376</f>
        <v>D375</v>
      </c>
      <c r="B1466" s="6" t="str">
        <f aca="false">'Dish Database'!B376</f>
        <v>Veg spring roll (fried)</v>
      </c>
      <c r="C1466" s="6" t="str">
        <f aca="false">'Dish Database'!D376</f>
        <v>Veg Starters</v>
      </c>
      <c r="D1466" s="6" t="str">
        <f aca="false">'Dish Database'!F376</f>
        <v>Veg</v>
      </c>
      <c r="E1466" s="6" t="str">
        <f aca="false">'Dish Database'!E376</f>
        <v>Indo-Chinese</v>
      </c>
      <c r="F1466" s="6" t="s">
        <v>2246</v>
      </c>
      <c r="G1466" s="6" t="s">
        <v>2532</v>
      </c>
      <c r="H1466" s="16" t="n">
        <v>90</v>
      </c>
      <c r="I1466" s="6" t="str">
        <f aca="false">'Dish Database'!I376</f>
        <v>g</v>
      </c>
      <c r="J1466" s="13" t="n">
        <f aca="false">'Dish Database'!J376*H1466/100</f>
        <v>226.8</v>
      </c>
      <c r="K1466" s="17" t="n">
        <f aca="false">'Dish Database'!K376*H1466/100</f>
        <v>4.5</v>
      </c>
      <c r="L1466" s="17" t="n">
        <f aca="false">'Dish Database'!L376*H1466/100</f>
        <v>27</v>
      </c>
      <c r="M1466" s="17" t="n">
        <f aca="false">'Dish Database'!M376*H1466/100</f>
        <v>11.7</v>
      </c>
      <c r="N1466" s="17" t="n">
        <f aca="false">'Dish Database'!N376*H1466/100</f>
        <v>2.25</v>
      </c>
      <c r="O1466" s="17" t="n">
        <f aca="false">'Dish Database'!O376*H1466/100</f>
        <v>2.7</v>
      </c>
      <c r="P1466" s="13" t="n">
        <f aca="false">'Dish Database'!P376*H1466/100</f>
        <v>405</v>
      </c>
    </row>
    <row r="1467" customFormat="false" ht="15" hidden="false" customHeight="false" outlineLevel="0" collapsed="false">
      <c r="A1467" s="6" t="str">
        <f aca="false">'Dish Database'!A377</f>
        <v>D376</v>
      </c>
      <c r="B1467" s="6" t="str">
        <f aca="false">'Dish Database'!B377</f>
        <v>Paneer pakora</v>
      </c>
      <c r="C1467" s="6" t="str">
        <f aca="false">'Dish Database'!D377</f>
        <v>Veg Starters</v>
      </c>
      <c r="D1467" s="6" t="str">
        <f aca="false">'Dish Database'!F377</f>
        <v>Veg</v>
      </c>
      <c r="E1467" s="6" t="str">
        <f aca="false">'Dish Database'!E377</f>
        <v>North</v>
      </c>
      <c r="F1467" s="6" t="s">
        <v>2243</v>
      </c>
      <c r="G1467" s="6" t="s">
        <v>2533</v>
      </c>
      <c r="H1467" s="16" t="n">
        <v>60</v>
      </c>
      <c r="I1467" s="6" t="str">
        <f aca="false">'Dish Database'!I377</f>
        <v>g</v>
      </c>
      <c r="J1467" s="13" t="n">
        <f aca="false">'Dish Database'!J377*H1467/100</f>
        <v>181.2</v>
      </c>
      <c r="K1467" s="17" t="n">
        <f aca="false">'Dish Database'!K377*H1467/100</f>
        <v>7.2</v>
      </c>
      <c r="L1467" s="17" t="n">
        <f aca="false">'Dish Database'!L377*H1467/100</f>
        <v>9</v>
      </c>
      <c r="M1467" s="17" t="n">
        <f aca="false">'Dish Database'!M377*H1467/100</f>
        <v>13.2</v>
      </c>
      <c r="N1467" s="17" t="n">
        <f aca="false">'Dish Database'!N377*H1467/100</f>
        <v>1.2</v>
      </c>
      <c r="O1467" s="17" t="n">
        <f aca="false">'Dish Database'!O377*H1467/100</f>
        <v>1.2</v>
      </c>
      <c r="P1467" s="13" t="n">
        <f aca="false">'Dish Database'!P377*H1467/100</f>
        <v>240</v>
      </c>
    </row>
    <row r="1468" customFormat="false" ht="15" hidden="false" customHeight="false" outlineLevel="0" collapsed="false">
      <c r="A1468" s="6" t="str">
        <f aca="false">'Dish Database'!A377</f>
        <v>D376</v>
      </c>
      <c r="B1468" s="6" t="str">
        <f aca="false">'Dish Database'!B377</f>
        <v>Paneer pakora</v>
      </c>
      <c r="C1468" s="6" t="str">
        <f aca="false">'Dish Database'!D377</f>
        <v>Veg Starters</v>
      </c>
      <c r="D1468" s="6" t="str">
        <f aca="false">'Dish Database'!F377</f>
        <v>Veg</v>
      </c>
      <c r="E1468" s="6" t="str">
        <f aca="false">'Dish Database'!E377</f>
        <v>North</v>
      </c>
      <c r="F1468" s="6" t="s">
        <v>103</v>
      </c>
      <c r="G1468" s="6" t="s">
        <v>2430</v>
      </c>
      <c r="H1468" s="16" t="n">
        <v>100</v>
      </c>
      <c r="I1468" s="6" t="str">
        <f aca="false">'Dish Database'!I377</f>
        <v>g</v>
      </c>
      <c r="J1468" s="13" t="n">
        <f aca="false">'Dish Database'!J377*H1468/100</f>
        <v>302</v>
      </c>
      <c r="K1468" s="17" t="n">
        <f aca="false">'Dish Database'!K377*H1468/100</f>
        <v>12</v>
      </c>
      <c r="L1468" s="17" t="n">
        <f aca="false">'Dish Database'!L377*H1468/100</f>
        <v>15</v>
      </c>
      <c r="M1468" s="17" t="n">
        <f aca="false">'Dish Database'!M377*H1468/100</f>
        <v>22</v>
      </c>
      <c r="N1468" s="17" t="n">
        <f aca="false">'Dish Database'!N377*H1468/100</f>
        <v>2</v>
      </c>
      <c r="O1468" s="17" t="n">
        <f aca="false">'Dish Database'!O377*H1468/100</f>
        <v>2</v>
      </c>
      <c r="P1468" s="13" t="n">
        <f aca="false">'Dish Database'!P377*H1468/100</f>
        <v>400</v>
      </c>
    </row>
    <row r="1469" customFormat="false" ht="15" hidden="false" customHeight="false" outlineLevel="0" collapsed="false">
      <c r="A1469" s="6" t="str">
        <f aca="false">'Dish Database'!A377</f>
        <v>D376</v>
      </c>
      <c r="B1469" s="6" t="str">
        <f aca="false">'Dish Database'!B377</f>
        <v>Paneer pakora</v>
      </c>
      <c r="C1469" s="6" t="str">
        <f aca="false">'Dish Database'!D377</f>
        <v>Veg Starters</v>
      </c>
      <c r="D1469" s="6" t="str">
        <f aca="false">'Dish Database'!F377</f>
        <v>Veg</v>
      </c>
      <c r="E1469" s="6" t="str">
        <f aca="false">'Dish Database'!E377</f>
        <v>North</v>
      </c>
      <c r="F1469" s="6" t="s">
        <v>2246</v>
      </c>
      <c r="G1469" s="6" t="s">
        <v>2431</v>
      </c>
      <c r="H1469" s="16" t="n">
        <v>150</v>
      </c>
      <c r="I1469" s="6" t="str">
        <f aca="false">'Dish Database'!I377</f>
        <v>g</v>
      </c>
      <c r="J1469" s="13" t="n">
        <f aca="false">'Dish Database'!J377*H1469/100</f>
        <v>453</v>
      </c>
      <c r="K1469" s="17" t="n">
        <f aca="false">'Dish Database'!K377*H1469/100</f>
        <v>18</v>
      </c>
      <c r="L1469" s="17" t="n">
        <f aca="false">'Dish Database'!L377*H1469/100</f>
        <v>22.5</v>
      </c>
      <c r="M1469" s="17" t="n">
        <f aca="false">'Dish Database'!M377*H1469/100</f>
        <v>33</v>
      </c>
      <c r="N1469" s="17" t="n">
        <f aca="false">'Dish Database'!N377*H1469/100</f>
        <v>3</v>
      </c>
      <c r="O1469" s="17" t="n">
        <f aca="false">'Dish Database'!O377*H1469/100</f>
        <v>3</v>
      </c>
      <c r="P1469" s="13" t="n">
        <f aca="false">'Dish Database'!P377*H1469/100</f>
        <v>600</v>
      </c>
    </row>
    <row r="1470" customFormat="false" ht="15" hidden="false" customHeight="false" outlineLevel="0" collapsed="false">
      <c r="A1470" s="6" t="str">
        <f aca="false">'Dish Database'!A378</f>
        <v>D377</v>
      </c>
      <c r="B1470" s="6" t="str">
        <f aca="false">'Dish Database'!B378</f>
        <v>Chicken tikka</v>
      </c>
      <c r="C1470" s="6" t="str">
        <f aca="false">'Dish Database'!D378</f>
        <v>Non-Veg Starters &amp; Kebabs</v>
      </c>
      <c r="D1470" s="6" t="str">
        <f aca="false">'Dish Database'!F378</f>
        <v>Non-Veg</v>
      </c>
      <c r="E1470" s="6" t="str">
        <f aca="false">'Dish Database'!E378</f>
        <v>North</v>
      </c>
      <c r="F1470" s="6" t="s">
        <v>2243</v>
      </c>
      <c r="G1470" s="6" t="s">
        <v>2430</v>
      </c>
      <c r="H1470" s="16" t="n">
        <v>100</v>
      </c>
      <c r="I1470" s="6" t="str">
        <f aca="false">'Dish Database'!I378</f>
        <v>g</v>
      </c>
      <c r="J1470" s="13" t="n">
        <f aca="false">'Dish Database'!J378*H1470/100</f>
        <v>183</v>
      </c>
      <c r="K1470" s="17" t="n">
        <f aca="false">'Dish Database'!K378*H1470/100</f>
        <v>24</v>
      </c>
      <c r="L1470" s="17" t="n">
        <f aca="false">'Dish Database'!L378*H1470/100</f>
        <v>4</v>
      </c>
      <c r="M1470" s="17" t="n">
        <f aca="false">'Dish Database'!M378*H1470/100</f>
        <v>8</v>
      </c>
      <c r="N1470" s="17" t="n">
        <f aca="false">'Dish Database'!N378*H1470/100</f>
        <v>0.5</v>
      </c>
      <c r="O1470" s="17" t="n">
        <f aca="false">'Dish Database'!O378*H1470/100</f>
        <v>2</v>
      </c>
      <c r="P1470" s="13" t="n">
        <f aca="false">'Dish Database'!P378*H1470/100</f>
        <v>500</v>
      </c>
    </row>
    <row r="1471" customFormat="false" ht="15" hidden="false" customHeight="false" outlineLevel="0" collapsed="false">
      <c r="A1471" s="6" t="str">
        <f aca="false">'Dish Database'!A378</f>
        <v>D377</v>
      </c>
      <c r="B1471" s="6" t="str">
        <f aca="false">'Dish Database'!B378</f>
        <v>Chicken tikka</v>
      </c>
      <c r="C1471" s="6" t="str">
        <f aca="false">'Dish Database'!D378</f>
        <v>Non-Veg Starters &amp; Kebabs</v>
      </c>
      <c r="D1471" s="6" t="str">
        <f aca="false">'Dish Database'!F378</f>
        <v>Non-Veg</v>
      </c>
      <c r="E1471" s="6" t="str">
        <f aca="false">'Dish Database'!E378</f>
        <v>North</v>
      </c>
      <c r="F1471" s="6" t="s">
        <v>103</v>
      </c>
      <c r="G1471" s="6" t="s">
        <v>2431</v>
      </c>
      <c r="H1471" s="16" t="n">
        <v>150</v>
      </c>
      <c r="I1471" s="6" t="str">
        <f aca="false">'Dish Database'!I378</f>
        <v>g</v>
      </c>
      <c r="J1471" s="13" t="n">
        <f aca="false">'Dish Database'!J378*H1471/100</f>
        <v>274.5</v>
      </c>
      <c r="K1471" s="17" t="n">
        <f aca="false">'Dish Database'!K378*H1471/100</f>
        <v>36</v>
      </c>
      <c r="L1471" s="17" t="n">
        <f aca="false">'Dish Database'!L378*H1471/100</f>
        <v>6</v>
      </c>
      <c r="M1471" s="17" t="n">
        <f aca="false">'Dish Database'!M378*H1471/100</f>
        <v>12</v>
      </c>
      <c r="N1471" s="17" t="n">
        <f aca="false">'Dish Database'!N378*H1471/100</f>
        <v>0.75</v>
      </c>
      <c r="O1471" s="17" t="n">
        <f aca="false">'Dish Database'!O378*H1471/100</f>
        <v>3</v>
      </c>
      <c r="P1471" s="13" t="n">
        <f aca="false">'Dish Database'!P378*H1471/100</f>
        <v>750</v>
      </c>
    </row>
    <row r="1472" customFormat="false" ht="15" hidden="false" customHeight="false" outlineLevel="0" collapsed="false">
      <c r="A1472" s="6" t="str">
        <f aca="false">'Dish Database'!A378</f>
        <v>D377</v>
      </c>
      <c r="B1472" s="6" t="str">
        <f aca="false">'Dish Database'!B378</f>
        <v>Chicken tikka</v>
      </c>
      <c r="C1472" s="6" t="str">
        <f aca="false">'Dish Database'!D378</f>
        <v>Non-Veg Starters &amp; Kebabs</v>
      </c>
      <c r="D1472" s="6" t="str">
        <f aca="false">'Dish Database'!F378</f>
        <v>Non-Veg</v>
      </c>
      <c r="E1472" s="6" t="str">
        <f aca="false">'Dish Database'!E378</f>
        <v>North</v>
      </c>
      <c r="F1472" s="6" t="s">
        <v>2246</v>
      </c>
      <c r="G1472" s="6" t="s">
        <v>2520</v>
      </c>
      <c r="H1472" s="16" t="n">
        <v>200</v>
      </c>
      <c r="I1472" s="6" t="str">
        <f aca="false">'Dish Database'!I378</f>
        <v>g</v>
      </c>
      <c r="J1472" s="13" t="n">
        <f aca="false">'Dish Database'!J378*H1472/100</f>
        <v>366</v>
      </c>
      <c r="K1472" s="17" t="n">
        <f aca="false">'Dish Database'!K378*H1472/100</f>
        <v>48</v>
      </c>
      <c r="L1472" s="17" t="n">
        <f aca="false">'Dish Database'!L378*H1472/100</f>
        <v>8</v>
      </c>
      <c r="M1472" s="17" t="n">
        <f aca="false">'Dish Database'!M378*H1472/100</f>
        <v>16</v>
      </c>
      <c r="N1472" s="17" t="n">
        <f aca="false">'Dish Database'!N378*H1472/100</f>
        <v>1</v>
      </c>
      <c r="O1472" s="17" t="n">
        <f aca="false">'Dish Database'!O378*H1472/100</f>
        <v>4</v>
      </c>
      <c r="P1472" s="13" t="n">
        <f aca="false">'Dish Database'!P378*H1472/100</f>
        <v>1000</v>
      </c>
    </row>
    <row r="1473" customFormat="false" ht="15" hidden="false" customHeight="false" outlineLevel="0" collapsed="false">
      <c r="A1473" s="6" t="str">
        <f aca="false">'Dish Database'!A378</f>
        <v>D377</v>
      </c>
      <c r="B1473" s="6" t="str">
        <f aca="false">'Dish Database'!B378</f>
        <v>Chicken tikka</v>
      </c>
      <c r="C1473" s="6" t="str">
        <f aca="false">'Dish Database'!D378</f>
        <v>Non-Veg Starters &amp; Kebabs</v>
      </c>
      <c r="D1473" s="6" t="str">
        <f aca="false">'Dish Database'!F378</f>
        <v>Non-Veg</v>
      </c>
      <c r="E1473" s="6" t="str">
        <f aca="false">'Dish Database'!E378</f>
        <v>North</v>
      </c>
      <c r="F1473" s="6" t="s">
        <v>2323</v>
      </c>
      <c r="G1473" s="6" t="s">
        <v>2324</v>
      </c>
      <c r="H1473" s="16" t="n">
        <v>180</v>
      </c>
      <c r="I1473" s="6" t="str">
        <f aca="false">'Dish Database'!I378</f>
        <v>g</v>
      </c>
      <c r="J1473" s="13" t="n">
        <f aca="false">'Dish Database'!J378*H1473/100</f>
        <v>329.4</v>
      </c>
      <c r="K1473" s="17" t="n">
        <f aca="false">'Dish Database'!K378*H1473/100</f>
        <v>43.2</v>
      </c>
      <c r="L1473" s="17" t="n">
        <f aca="false">'Dish Database'!L378*H1473/100</f>
        <v>7.2</v>
      </c>
      <c r="M1473" s="17" t="n">
        <f aca="false">'Dish Database'!M378*H1473/100</f>
        <v>14.4</v>
      </c>
      <c r="N1473" s="17" t="n">
        <f aca="false">'Dish Database'!N378*H1473/100</f>
        <v>0.9</v>
      </c>
      <c r="O1473" s="17" t="n">
        <f aca="false">'Dish Database'!O378*H1473/100</f>
        <v>3.6</v>
      </c>
      <c r="P1473" s="13" t="n">
        <f aca="false">'Dish Database'!P378*H1473/100</f>
        <v>900</v>
      </c>
    </row>
    <row r="1474" customFormat="false" ht="15" hidden="false" customHeight="false" outlineLevel="0" collapsed="false">
      <c r="A1474" s="6" t="str">
        <f aca="false">'Dish Database'!A378</f>
        <v>D377</v>
      </c>
      <c r="B1474" s="6" t="str">
        <f aca="false">'Dish Database'!B378</f>
        <v>Chicken tikka</v>
      </c>
      <c r="C1474" s="6" t="str">
        <f aca="false">'Dish Database'!D378</f>
        <v>Non-Veg Starters &amp; Kebabs</v>
      </c>
      <c r="D1474" s="6" t="str">
        <f aca="false">'Dish Database'!F378</f>
        <v>Non-Veg</v>
      </c>
      <c r="E1474" s="6" t="str">
        <f aca="false">'Dish Database'!E378</f>
        <v>North</v>
      </c>
      <c r="F1474" s="6" t="s">
        <v>2325</v>
      </c>
      <c r="G1474" s="6" t="s">
        <v>2326</v>
      </c>
      <c r="H1474" s="16" t="n">
        <v>350</v>
      </c>
      <c r="I1474" s="6" t="str">
        <f aca="false">'Dish Database'!I378</f>
        <v>g</v>
      </c>
      <c r="J1474" s="13" t="n">
        <f aca="false">'Dish Database'!J378*H1474/100</f>
        <v>640.5</v>
      </c>
      <c r="K1474" s="17" t="n">
        <f aca="false">'Dish Database'!K378*H1474/100</f>
        <v>84</v>
      </c>
      <c r="L1474" s="17" t="n">
        <f aca="false">'Dish Database'!L378*H1474/100</f>
        <v>14</v>
      </c>
      <c r="M1474" s="17" t="n">
        <f aca="false">'Dish Database'!M378*H1474/100</f>
        <v>28</v>
      </c>
      <c r="N1474" s="17" t="n">
        <f aca="false">'Dish Database'!N378*H1474/100</f>
        <v>1.75</v>
      </c>
      <c r="O1474" s="17" t="n">
        <f aca="false">'Dish Database'!O378*H1474/100</f>
        <v>7</v>
      </c>
      <c r="P1474" s="13" t="n">
        <f aca="false">'Dish Database'!P378*H1474/100</f>
        <v>1750</v>
      </c>
    </row>
    <row r="1475" customFormat="false" ht="15" hidden="false" customHeight="false" outlineLevel="0" collapsed="false">
      <c r="A1475" s="6" t="str">
        <f aca="false">'Dish Database'!A379</f>
        <v>D378</v>
      </c>
      <c r="B1475" s="6" t="str">
        <f aca="false">'Dish Database'!B379</f>
        <v>Tandoori chicken</v>
      </c>
      <c r="C1475" s="6" t="str">
        <f aca="false">'Dish Database'!D379</f>
        <v>Non-Veg Starters &amp; Kebabs</v>
      </c>
      <c r="D1475" s="6" t="str">
        <f aca="false">'Dish Database'!F379</f>
        <v>Non-Veg</v>
      </c>
      <c r="E1475" s="6" t="str">
        <f aca="false">'Dish Database'!E379</f>
        <v>North</v>
      </c>
      <c r="F1475" s="6" t="s">
        <v>2243</v>
      </c>
      <c r="G1475" s="6" t="s">
        <v>2534</v>
      </c>
      <c r="H1475" s="16" t="n">
        <v>60</v>
      </c>
      <c r="I1475" s="6" t="str">
        <f aca="false">'Dish Database'!I379</f>
        <v>g</v>
      </c>
      <c r="J1475" s="13" t="n">
        <f aca="false">'Dish Database'!J379*H1475/100</f>
        <v>109.8</v>
      </c>
      <c r="K1475" s="17" t="n">
        <f aca="false">'Dish Database'!K379*H1475/100</f>
        <v>15</v>
      </c>
      <c r="L1475" s="17" t="n">
        <f aca="false">'Dish Database'!L379*H1475/100</f>
        <v>1.8</v>
      </c>
      <c r="M1475" s="17" t="n">
        <f aca="false">'Dish Database'!M379*H1475/100</f>
        <v>4.8</v>
      </c>
      <c r="N1475" s="17" t="n">
        <f aca="false">'Dish Database'!N379*H1475/100</f>
        <v>0.3</v>
      </c>
      <c r="O1475" s="17" t="n">
        <f aca="false">'Dish Database'!O379*H1475/100</f>
        <v>0.9</v>
      </c>
      <c r="P1475" s="13" t="n">
        <f aca="false">'Dish Database'!P379*H1475/100</f>
        <v>288</v>
      </c>
    </row>
    <row r="1476" customFormat="false" ht="15" hidden="false" customHeight="false" outlineLevel="0" collapsed="false">
      <c r="A1476" s="6" t="str">
        <f aca="false">'Dish Database'!A379</f>
        <v>D378</v>
      </c>
      <c r="B1476" s="6" t="str">
        <f aca="false">'Dish Database'!B379</f>
        <v>Tandoori chicken</v>
      </c>
      <c r="C1476" s="6" t="str">
        <f aca="false">'Dish Database'!D379</f>
        <v>Non-Veg Starters &amp; Kebabs</v>
      </c>
      <c r="D1476" s="6" t="str">
        <f aca="false">'Dish Database'!F379</f>
        <v>Non-Veg</v>
      </c>
      <c r="E1476" s="6" t="str">
        <f aca="false">'Dish Database'!E379</f>
        <v>North</v>
      </c>
      <c r="F1476" s="6" t="s">
        <v>103</v>
      </c>
      <c r="G1476" s="6" t="s">
        <v>2535</v>
      </c>
      <c r="H1476" s="16" t="n">
        <v>120</v>
      </c>
      <c r="I1476" s="6" t="str">
        <f aca="false">'Dish Database'!I379</f>
        <v>g</v>
      </c>
      <c r="J1476" s="13" t="n">
        <f aca="false">'Dish Database'!J379*H1476/100</f>
        <v>219.6</v>
      </c>
      <c r="K1476" s="17" t="n">
        <f aca="false">'Dish Database'!K379*H1476/100</f>
        <v>30</v>
      </c>
      <c r="L1476" s="17" t="n">
        <f aca="false">'Dish Database'!L379*H1476/100</f>
        <v>3.6</v>
      </c>
      <c r="M1476" s="17" t="n">
        <f aca="false">'Dish Database'!M379*H1476/100</f>
        <v>9.6</v>
      </c>
      <c r="N1476" s="17" t="n">
        <f aca="false">'Dish Database'!N379*H1476/100</f>
        <v>0.6</v>
      </c>
      <c r="O1476" s="17" t="n">
        <f aca="false">'Dish Database'!O379*H1476/100</f>
        <v>1.8</v>
      </c>
      <c r="P1476" s="13" t="n">
        <f aca="false">'Dish Database'!P379*H1476/100</f>
        <v>576</v>
      </c>
    </row>
    <row r="1477" customFormat="false" ht="15" hidden="false" customHeight="false" outlineLevel="0" collapsed="false">
      <c r="A1477" s="6" t="str">
        <f aca="false">'Dish Database'!A379</f>
        <v>D378</v>
      </c>
      <c r="B1477" s="6" t="str">
        <f aca="false">'Dish Database'!B379</f>
        <v>Tandoori chicken</v>
      </c>
      <c r="C1477" s="6" t="str">
        <f aca="false">'Dish Database'!D379</f>
        <v>Non-Veg Starters &amp; Kebabs</v>
      </c>
      <c r="D1477" s="6" t="str">
        <f aca="false">'Dish Database'!F379</f>
        <v>Non-Veg</v>
      </c>
      <c r="E1477" s="6" t="str">
        <f aca="false">'Dish Database'!E379</f>
        <v>North</v>
      </c>
      <c r="F1477" s="6" t="s">
        <v>2246</v>
      </c>
      <c r="G1477" s="6" t="s">
        <v>2536</v>
      </c>
      <c r="H1477" s="16" t="n">
        <v>180</v>
      </c>
      <c r="I1477" s="6" t="str">
        <f aca="false">'Dish Database'!I379</f>
        <v>g</v>
      </c>
      <c r="J1477" s="13" t="n">
        <f aca="false">'Dish Database'!J379*H1477/100</f>
        <v>329.4</v>
      </c>
      <c r="K1477" s="17" t="n">
        <f aca="false">'Dish Database'!K379*H1477/100</f>
        <v>45</v>
      </c>
      <c r="L1477" s="17" t="n">
        <f aca="false">'Dish Database'!L379*H1477/100</f>
        <v>5.4</v>
      </c>
      <c r="M1477" s="17" t="n">
        <f aca="false">'Dish Database'!M379*H1477/100</f>
        <v>14.4</v>
      </c>
      <c r="N1477" s="17" t="n">
        <f aca="false">'Dish Database'!N379*H1477/100</f>
        <v>0.9</v>
      </c>
      <c r="O1477" s="17" t="n">
        <f aca="false">'Dish Database'!O379*H1477/100</f>
        <v>2.7</v>
      </c>
      <c r="P1477" s="13" t="n">
        <f aca="false">'Dish Database'!P379*H1477/100</f>
        <v>864</v>
      </c>
    </row>
    <row r="1478" customFormat="false" ht="15" hidden="false" customHeight="false" outlineLevel="0" collapsed="false">
      <c r="A1478" s="6" t="str">
        <f aca="false">'Dish Database'!A379</f>
        <v>D378</v>
      </c>
      <c r="B1478" s="6" t="str">
        <f aca="false">'Dish Database'!B379</f>
        <v>Tandoori chicken</v>
      </c>
      <c r="C1478" s="6" t="str">
        <f aca="false">'Dish Database'!D379</f>
        <v>Non-Veg Starters &amp; Kebabs</v>
      </c>
      <c r="D1478" s="6" t="str">
        <f aca="false">'Dish Database'!F379</f>
        <v>Non-Veg</v>
      </c>
      <c r="E1478" s="6" t="str">
        <f aca="false">'Dish Database'!E379</f>
        <v>North</v>
      </c>
      <c r="F1478" s="6" t="s">
        <v>2323</v>
      </c>
      <c r="G1478" s="6" t="s">
        <v>2537</v>
      </c>
      <c r="H1478" s="16" t="n">
        <v>250</v>
      </c>
      <c r="I1478" s="6" t="str">
        <f aca="false">'Dish Database'!I379</f>
        <v>g</v>
      </c>
      <c r="J1478" s="13" t="n">
        <f aca="false">'Dish Database'!J379*H1478/100</f>
        <v>457.5</v>
      </c>
      <c r="K1478" s="17" t="n">
        <f aca="false">'Dish Database'!K379*H1478/100</f>
        <v>62.5</v>
      </c>
      <c r="L1478" s="17" t="n">
        <f aca="false">'Dish Database'!L379*H1478/100</f>
        <v>7.5</v>
      </c>
      <c r="M1478" s="17" t="n">
        <f aca="false">'Dish Database'!M379*H1478/100</f>
        <v>20</v>
      </c>
      <c r="N1478" s="17" t="n">
        <f aca="false">'Dish Database'!N379*H1478/100</f>
        <v>1.25</v>
      </c>
      <c r="O1478" s="17" t="n">
        <f aca="false">'Dish Database'!O379*H1478/100</f>
        <v>3.75</v>
      </c>
      <c r="P1478" s="13" t="n">
        <f aca="false">'Dish Database'!P379*H1478/100</f>
        <v>1200</v>
      </c>
    </row>
    <row r="1479" customFormat="false" ht="15" hidden="false" customHeight="false" outlineLevel="0" collapsed="false">
      <c r="A1479" s="6" t="str">
        <f aca="false">'Dish Database'!A379</f>
        <v>D378</v>
      </c>
      <c r="B1479" s="6" t="str">
        <f aca="false">'Dish Database'!B379</f>
        <v>Tandoori chicken</v>
      </c>
      <c r="C1479" s="6" t="str">
        <f aca="false">'Dish Database'!D379</f>
        <v>Non-Veg Starters &amp; Kebabs</v>
      </c>
      <c r="D1479" s="6" t="str">
        <f aca="false">'Dish Database'!F379</f>
        <v>Non-Veg</v>
      </c>
      <c r="E1479" s="6" t="str">
        <f aca="false">'Dish Database'!E379</f>
        <v>North</v>
      </c>
      <c r="F1479" s="6" t="s">
        <v>2325</v>
      </c>
      <c r="G1479" s="6" t="s">
        <v>2538</v>
      </c>
      <c r="H1479" s="16" t="n">
        <v>500</v>
      </c>
      <c r="I1479" s="6" t="str">
        <f aca="false">'Dish Database'!I379</f>
        <v>g</v>
      </c>
      <c r="J1479" s="13" t="n">
        <f aca="false">'Dish Database'!J379*H1479/100</f>
        <v>915</v>
      </c>
      <c r="K1479" s="17" t="n">
        <f aca="false">'Dish Database'!K379*H1479/100</f>
        <v>125</v>
      </c>
      <c r="L1479" s="17" t="n">
        <f aca="false">'Dish Database'!L379*H1479/100</f>
        <v>15</v>
      </c>
      <c r="M1479" s="17" t="n">
        <f aca="false">'Dish Database'!M379*H1479/100</f>
        <v>40</v>
      </c>
      <c r="N1479" s="17" t="n">
        <f aca="false">'Dish Database'!N379*H1479/100</f>
        <v>2.5</v>
      </c>
      <c r="O1479" s="17" t="n">
        <f aca="false">'Dish Database'!O379*H1479/100</f>
        <v>7.5</v>
      </c>
      <c r="P1479" s="13" t="n">
        <f aca="false">'Dish Database'!P379*H1479/100</f>
        <v>2400</v>
      </c>
    </row>
    <row r="1480" customFormat="false" ht="15" hidden="false" customHeight="false" outlineLevel="0" collapsed="false">
      <c r="A1480" s="6" t="str">
        <f aca="false">'Dish Database'!A380</f>
        <v>D379</v>
      </c>
      <c r="B1480" s="6" t="str">
        <f aca="false">'Dish Database'!B380</f>
        <v>Chicken malai / reshmi tikka</v>
      </c>
      <c r="C1480" s="6" t="str">
        <f aca="false">'Dish Database'!D380</f>
        <v>Non-Veg Starters &amp; Kebabs</v>
      </c>
      <c r="D1480" s="6" t="str">
        <f aca="false">'Dish Database'!F380</f>
        <v>Non-Veg</v>
      </c>
      <c r="E1480" s="6" t="str">
        <f aca="false">'Dish Database'!E380</f>
        <v>North</v>
      </c>
      <c r="F1480" s="6" t="s">
        <v>2243</v>
      </c>
      <c r="G1480" s="6" t="s">
        <v>2430</v>
      </c>
      <c r="H1480" s="16" t="n">
        <v>100</v>
      </c>
      <c r="I1480" s="6" t="str">
        <f aca="false">'Dish Database'!I380</f>
        <v>g</v>
      </c>
      <c r="J1480" s="13" t="n">
        <f aca="false">'Dish Database'!J380*H1480/100</f>
        <v>225.6</v>
      </c>
      <c r="K1480" s="17" t="n">
        <f aca="false">'Dish Database'!K380*H1480/100</f>
        <v>22</v>
      </c>
      <c r="L1480" s="17" t="n">
        <f aca="false">'Dish Database'!L380*H1480/100</f>
        <v>3</v>
      </c>
      <c r="M1480" s="17" t="n">
        <f aca="false">'Dish Database'!M380*H1480/100</f>
        <v>14</v>
      </c>
      <c r="N1480" s="17" t="n">
        <f aca="false">'Dish Database'!N380*H1480/100</f>
        <v>0.2</v>
      </c>
      <c r="O1480" s="17" t="n">
        <f aca="false">'Dish Database'!O380*H1480/100</f>
        <v>1.5</v>
      </c>
      <c r="P1480" s="13" t="n">
        <f aca="false">'Dish Database'!P380*H1480/100</f>
        <v>450</v>
      </c>
    </row>
    <row r="1481" customFormat="false" ht="15" hidden="false" customHeight="false" outlineLevel="0" collapsed="false">
      <c r="A1481" s="6" t="str">
        <f aca="false">'Dish Database'!A380</f>
        <v>D379</v>
      </c>
      <c r="B1481" s="6" t="str">
        <f aca="false">'Dish Database'!B380</f>
        <v>Chicken malai / reshmi tikka</v>
      </c>
      <c r="C1481" s="6" t="str">
        <f aca="false">'Dish Database'!D380</f>
        <v>Non-Veg Starters &amp; Kebabs</v>
      </c>
      <c r="D1481" s="6" t="str">
        <f aca="false">'Dish Database'!F380</f>
        <v>Non-Veg</v>
      </c>
      <c r="E1481" s="6" t="str">
        <f aca="false">'Dish Database'!E380</f>
        <v>North</v>
      </c>
      <c r="F1481" s="6" t="s">
        <v>103</v>
      </c>
      <c r="G1481" s="6" t="s">
        <v>2431</v>
      </c>
      <c r="H1481" s="16" t="n">
        <v>150</v>
      </c>
      <c r="I1481" s="6" t="str">
        <f aca="false">'Dish Database'!I380</f>
        <v>g</v>
      </c>
      <c r="J1481" s="13" t="n">
        <f aca="false">'Dish Database'!J380*H1481/100</f>
        <v>338.4</v>
      </c>
      <c r="K1481" s="17" t="n">
        <f aca="false">'Dish Database'!K380*H1481/100</f>
        <v>33</v>
      </c>
      <c r="L1481" s="17" t="n">
        <f aca="false">'Dish Database'!L380*H1481/100</f>
        <v>4.5</v>
      </c>
      <c r="M1481" s="17" t="n">
        <f aca="false">'Dish Database'!M380*H1481/100</f>
        <v>21</v>
      </c>
      <c r="N1481" s="17" t="n">
        <f aca="false">'Dish Database'!N380*H1481/100</f>
        <v>0.3</v>
      </c>
      <c r="O1481" s="17" t="n">
        <f aca="false">'Dish Database'!O380*H1481/100</f>
        <v>2.25</v>
      </c>
      <c r="P1481" s="13" t="n">
        <f aca="false">'Dish Database'!P380*H1481/100</f>
        <v>675</v>
      </c>
    </row>
    <row r="1482" customFormat="false" ht="15" hidden="false" customHeight="false" outlineLevel="0" collapsed="false">
      <c r="A1482" s="6" t="str">
        <f aca="false">'Dish Database'!A380</f>
        <v>D379</v>
      </c>
      <c r="B1482" s="6" t="str">
        <f aca="false">'Dish Database'!B380</f>
        <v>Chicken malai / reshmi tikka</v>
      </c>
      <c r="C1482" s="6" t="str">
        <f aca="false">'Dish Database'!D380</f>
        <v>Non-Veg Starters &amp; Kebabs</v>
      </c>
      <c r="D1482" s="6" t="str">
        <f aca="false">'Dish Database'!F380</f>
        <v>Non-Veg</v>
      </c>
      <c r="E1482" s="6" t="str">
        <f aca="false">'Dish Database'!E380</f>
        <v>North</v>
      </c>
      <c r="F1482" s="6" t="s">
        <v>2246</v>
      </c>
      <c r="G1482" s="6" t="s">
        <v>2520</v>
      </c>
      <c r="H1482" s="16" t="n">
        <v>200</v>
      </c>
      <c r="I1482" s="6" t="str">
        <f aca="false">'Dish Database'!I380</f>
        <v>g</v>
      </c>
      <c r="J1482" s="13" t="n">
        <f aca="false">'Dish Database'!J380*H1482/100</f>
        <v>451.2</v>
      </c>
      <c r="K1482" s="17" t="n">
        <f aca="false">'Dish Database'!K380*H1482/100</f>
        <v>44</v>
      </c>
      <c r="L1482" s="17" t="n">
        <f aca="false">'Dish Database'!L380*H1482/100</f>
        <v>6</v>
      </c>
      <c r="M1482" s="17" t="n">
        <f aca="false">'Dish Database'!M380*H1482/100</f>
        <v>28</v>
      </c>
      <c r="N1482" s="17" t="n">
        <f aca="false">'Dish Database'!N380*H1482/100</f>
        <v>0.4</v>
      </c>
      <c r="O1482" s="17" t="n">
        <f aca="false">'Dish Database'!O380*H1482/100</f>
        <v>3</v>
      </c>
      <c r="P1482" s="13" t="n">
        <f aca="false">'Dish Database'!P380*H1482/100</f>
        <v>900</v>
      </c>
    </row>
    <row r="1483" customFormat="false" ht="15" hidden="false" customHeight="false" outlineLevel="0" collapsed="false">
      <c r="A1483" s="6" t="str">
        <f aca="false">'Dish Database'!A380</f>
        <v>D379</v>
      </c>
      <c r="B1483" s="6" t="str">
        <f aca="false">'Dish Database'!B380</f>
        <v>Chicken malai / reshmi tikka</v>
      </c>
      <c r="C1483" s="6" t="str">
        <f aca="false">'Dish Database'!D380</f>
        <v>Non-Veg Starters &amp; Kebabs</v>
      </c>
      <c r="D1483" s="6" t="str">
        <f aca="false">'Dish Database'!F380</f>
        <v>Non-Veg</v>
      </c>
      <c r="E1483" s="6" t="str">
        <f aca="false">'Dish Database'!E380</f>
        <v>North</v>
      </c>
      <c r="F1483" s="6" t="s">
        <v>2323</v>
      </c>
      <c r="G1483" s="6" t="s">
        <v>2324</v>
      </c>
      <c r="H1483" s="16" t="n">
        <v>180</v>
      </c>
      <c r="I1483" s="6" t="str">
        <f aca="false">'Dish Database'!I380</f>
        <v>g</v>
      </c>
      <c r="J1483" s="13" t="n">
        <f aca="false">'Dish Database'!J380*H1483/100</f>
        <v>406.08</v>
      </c>
      <c r="K1483" s="17" t="n">
        <f aca="false">'Dish Database'!K380*H1483/100</f>
        <v>39.6</v>
      </c>
      <c r="L1483" s="17" t="n">
        <f aca="false">'Dish Database'!L380*H1483/100</f>
        <v>5.4</v>
      </c>
      <c r="M1483" s="17" t="n">
        <f aca="false">'Dish Database'!M380*H1483/100</f>
        <v>25.2</v>
      </c>
      <c r="N1483" s="17" t="n">
        <f aca="false">'Dish Database'!N380*H1483/100</f>
        <v>0.36</v>
      </c>
      <c r="O1483" s="17" t="n">
        <f aca="false">'Dish Database'!O380*H1483/100</f>
        <v>2.7</v>
      </c>
      <c r="P1483" s="13" t="n">
        <f aca="false">'Dish Database'!P380*H1483/100</f>
        <v>810</v>
      </c>
    </row>
    <row r="1484" customFormat="false" ht="15" hidden="false" customHeight="false" outlineLevel="0" collapsed="false">
      <c r="A1484" s="6" t="str">
        <f aca="false">'Dish Database'!A380</f>
        <v>D379</v>
      </c>
      <c r="B1484" s="6" t="str">
        <f aca="false">'Dish Database'!B380</f>
        <v>Chicken malai / reshmi tikka</v>
      </c>
      <c r="C1484" s="6" t="str">
        <f aca="false">'Dish Database'!D380</f>
        <v>Non-Veg Starters &amp; Kebabs</v>
      </c>
      <c r="D1484" s="6" t="str">
        <f aca="false">'Dish Database'!F380</f>
        <v>Non-Veg</v>
      </c>
      <c r="E1484" s="6" t="str">
        <f aca="false">'Dish Database'!E380</f>
        <v>North</v>
      </c>
      <c r="F1484" s="6" t="s">
        <v>2325</v>
      </c>
      <c r="G1484" s="6" t="s">
        <v>2326</v>
      </c>
      <c r="H1484" s="16" t="n">
        <v>350</v>
      </c>
      <c r="I1484" s="6" t="str">
        <f aca="false">'Dish Database'!I380</f>
        <v>g</v>
      </c>
      <c r="J1484" s="13" t="n">
        <f aca="false">'Dish Database'!J380*H1484/100</f>
        <v>789.6</v>
      </c>
      <c r="K1484" s="17" t="n">
        <f aca="false">'Dish Database'!K380*H1484/100</f>
        <v>77</v>
      </c>
      <c r="L1484" s="17" t="n">
        <f aca="false">'Dish Database'!L380*H1484/100</f>
        <v>10.5</v>
      </c>
      <c r="M1484" s="17" t="n">
        <f aca="false">'Dish Database'!M380*H1484/100</f>
        <v>49</v>
      </c>
      <c r="N1484" s="17" t="n">
        <f aca="false">'Dish Database'!N380*H1484/100</f>
        <v>0.7</v>
      </c>
      <c r="O1484" s="17" t="n">
        <f aca="false">'Dish Database'!O380*H1484/100</f>
        <v>5.25</v>
      </c>
      <c r="P1484" s="13" t="n">
        <f aca="false">'Dish Database'!P380*H1484/100</f>
        <v>1575</v>
      </c>
    </row>
    <row r="1485" customFormat="false" ht="15" hidden="false" customHeight="false" outlineLevel="0" collapsed="false">
      <c r="A1485" s="6" t="str">
        <f aca="false">'Dish Database'!A381</f>
        <v>D380</v>
      </c>
      <c r="B1485" s="6" t="str">
        <f aca="false">'Dish Database'!B381</f>
        <v>Chicken Afghani / kalmi kebab</v>
      </c>
      <c r="C1485" s="6" t="str">
        <f aca="false">'Dish Database'!D381</f>
        <v>Non-Veg Starters &amp; Kebabs</v>
      </c>
      <c r="D1485" s="6" t="str">
        <f aca="false">'Dish Database'!F381</f>
        <v>Non-Veg</v>
      </c>
      <c r="E1485" s="6" t="str">
        <f aca="false">'Dish Database'!E381</f>
        <v>North</v>
      </c>
      <c r="F1485" s="6" t="s">
        <v>2243</v>
      </c>
      <c r="G1485" s="6" t="s">
        <v>2430</v>
      </c>
      <c r="H1485" s="16" t="n">
        <v>100</v>
      </c>
      <c r="I1485" s="6" t="str">
        <f aca="false">'Dish Database'!I381</f>
        <v>g</v>
      </c>
      <c r="J1485" s="13" t="n">
        <f aca="false">'Dish Database'!J381*H1485/100</f>
        <v>216.4</v>
      </c>
      <c r="K1485" s="17" t="n">
        <f aca="false">'Dish Database'!K381*H1485/100</f>
        <v>22</v>
      </c>
      <c r="L1485" s="17" t="n">
        <f aca="false">'Dish Database'!L381*H1485/100</f>
        <v>3</v>
      </c>
      <c r="M1485" s="17" t="n">
        <f aca="false">'Dish Database'!M381*H1485/100</f>
        <v>13</v>
      </c>
      <c r="N1485" s="17" t="n">
        <f aca="false">'Dish Database'!N381*H1485/100</f>
        <v>0.3</v>
      </c>
      <c r="O1485" s="17" t="n">
        <f aca="false">'Dish Database'!O381*H1485/100</f>
        <v>1.5</v>
      </c>
      <c r="P1485" s="13" t="n">
        <f aca="false">'Dish Database'!P381*H1485/100</f>
        <v>450</v>
      </c>
    </row>
    <row r="1486" customFormat="false" ht="15" hidden="false" customHeight="false" outlineLevel="0" collapsed="false">
      <c r="A1486" s="6" t="str">
        <f aca="false">'Dish Database'!A381</f>
        <v>D380</v>
      </c>
      <c r="B1486" s="6" t="str">
        <f aca="false">'Dish Database'!B381</f>
        <v>Chicken Afghani / kalmi kebab</v>
      </c>
      <c r="C1486" s="6" t="str">
        <f aca="false">'Dish Database'!D381</f>
        <v>Non-Veg Starters &amp; Kebabs</v>
      </c>
      <c r="D1486" s="6" t="str">
        <f aca="false">'Dish Database'!F381</f>
        <v>Non-Veg</v>
      </c>
      <c r="E1486" s="6" t="str">
        <f aca="false">'Dish Database'!E381</f>
        <v>North</v>
      </c>
      <c r="F1486" s="6" t="s">
        <v>103</v>
      </c>
      <c r="G1486" s="6" t="s">
        <v>2431</v>
      </c>
      <c r="H1486" s="16" t="n">
        <v>150</v>
      </c>
      <c r="I1486" s="6" t="str">
        <f aca="false">'Dish Database'!I381</f>
        <v>g</v>
      </c>
      <c r="J1486" s="13" t="n">
        <f aca="false">'Dish Database'!J381*H1486/100</f>
        <v>324.6</v>
      </c>
      <c r="K1486" s="17" t="n">
        <f aca="false">'Dish Database'!K381*H1486/100</f>
        <v>33</v>
      </c>
      <c r="L1486" s="17" t="n">
        <f aca="false">'Dish Database'!L381*H1486/100</f>
        <v>4.5</v>
      </c>
      <c r="M1486" s="17" t="n">
        <f aca="false">'Dish Database'!M381*H1486/100</f>
        <v>19.5</v>
      </c>
      <c r="N1486" s="17" t="n">
        <f aca="false">'Dish Database'!N381*H1486/100</f>
        <v>0.45</v>
      </c>
      <c r="O1486" s="17" t="n">
        <f aca="false">'Dish Database'!O381*H1486/100</f>
        <v>2.25</v>
      </c>
      <c r="P1486" s="13" t="n">
        <f aca="false">'Dish Database'!P381*H1486/100</f>
        <v>675</v>
      </c>
    </row>
    <row r="1487" customFormat="false" ht="15" hidden="false" customHeight="false" outlineLevel="0" collapsed="false">
      <c r="A1487" s="6" t="str">
        <f aca="false">'Dish Database'!A381</f>
        <v>D380</v>
      </c>
      <c r="B1487" s="6" t="str">
        <f aca="false">'Dish Database'!B381</f>
        <v>Chicken Afghani / kalmi kebab</v>
      </c>
      <c r="C1487" s="6" t="str">
        <f aca="false">'Dish Database'!D381</f>
        <v>Non-Veg Starters &amp; Kebabs</v>
      </c>
      <c r="D1487" s="6" t="str">
        <f aca="false">'Dish Database'!F381</f>
        <v>Non-Veg</v>
      </c>
      <c r="E1487" s="6" t="str">
        <f aca="false">'Dish Database'!E381</f>
        <v>North</v>
      </c>
      <c r="F1487" s="6" t="s">
        <v>2246</v>
      </c>
      <c r="G1487" s="6" t="s">
        <v>2520</v>
      </c>
      <c r="H1487" s="16" t="n">
        <v>200</v>
      </c>
      <c r="I1487" s="6" t="str">
        <f aca="false">'Dish Database'!I381</f>
        <v>g</v>
      </c>
      <c r="J1487" s="13" t="n">
        <f aca="false">'Dish Database'!J381*H1487/100</f>
        <v>432.8</v>
      </c>
      <c r="K1487" s="17" t="n">
        <f aca="false">'Dish Database'!K381*H1487/100</f>
        <v>44</v>
      </c>
      <c r="L1487" s="17" t="n">
        <f aca="false">'Dish Database'!L381*H1487/100</f>
        <v>6</v>
      </c>
      <c r="M1487" s="17" t="n">
        <f aca="false">'Dish Database'!M381*H1487/100</f>
        <v>26</v>
      </c>
      <c r="N1487" s="17" t="n">
        <f aca="false">'Dish Database'!N381*H1487/100</f>
        <v>0.6</v>
      </c>
      <c r="O1487" s="17" t="n">
        <f aca="false">'Dish Database'!O381*H1487/100</f>
        <v>3</v>
      </c>
      <c r="P1487" s="13" t="n">
        <f aca="false">'Dish Database'!P381*H1487/100</f>
        <v>900</v>
      </c>
    </row>
    <row r="1488" customFormat="false" ht="15" hidden="false" customHeight="false" outlineLevel="0" collapsed="false">
      <c r="A1488" s="6" t="str">
        <f aca="false">'Dish Database'!A381</f>
        <v>D380</v>
      </c>
      <c r="B1488" s="6" t="str">
        <f aca="false">'Dish Database'!B381</f>
        <v>Chicken Afghani / kalmi kebab</v>
      </c>
      <c r="C1488" s="6" t="str">
        <f aca="false">'Dish Database'!D381</f>
        <v>Non-Veg Starters &amp; Kebabs</v>
      </c>
      <c r="D1488" s="6" t="str">
        <f aca="false">'Dish Database'!F381</f>
        <v>Non-Veg</v>
      </c>
      <c r="E1488" s="6" t="str">
        <f aca="false">'Dish Database'!E381</f>
        <v>North</v>
      </c>
      <c r="F1488" s="6" t="s">
        <v>2323</v>
      </c>
      <c r="G1488" s="6" t="s">
        <v>2324</v>
      </c>
      <c r="H1488" s="16" t="n">
        <v>180</v>
      </c>
      <c r="I1488" s="6" t="str">
        <f aca="false">'Dish Database'!I381</f>
        <v>g</v>
      </c>
      <c r="J1488" s="13" t="n">
        <f aca="false">'Dish Database'!J381*H1488/100</f>
        <v>389.52</v>
      </c>
      <c r="K1488" s="17" t="n">
        <f aca="false">'Dish Database'!K381*H1488/100</f>
        <v>39.6</v>
      </c>
      <c r="L1488" s="17" t="n">
        <f aca="false">'Dish Database'!L381*H1488/100</f>
        <v>5.4</v>
      </c>
      <c r="M1488" s="17" t="n">
        <f aca="false">'Dish Database'!M381*H1488/100</f>
        <v>23.4</v>
      </c>
      <c r="N1488" s="17" t="n">
        <f aca="false">'Dish Database'!N381*H1488/100</f>
        <v>0.54</v>
      </c>
      <c r="O1488" s="17" t="n">
        <f aca="false">'Dish Database'!O381*H1488/100</f>
        <v>2.7</v>
      </c>
      <c r="P1488" s="13" t="n">
        <f aca="false">'Dish Database'!P381*H1488/100</f>
        <v>810</v>
      </c>
    </row>
    <row r="1489" customFormat="false" ht="15" hidden="false" customHeight="false" outlineLevel="0" collapsed="false">
      <c r="A1489" s="6" t="str">
        <f aca="false">'Dish Database'!A381</f>
        <v>D380</v>
      </c>
      <c r="B1489" s="6" t="str">
        <f aca="false">'Dish Database'!B381</f>
        <v>Chicken Afghani / kalmi kebab</v>
      </c>
      <c r="C1489" s="6" t="str">
        <f aca="false">'Dish Database'!D381</f>
        <v>Non-Veg Starters &amp; Kebabs</v>
      </c>
      <c r="D1489" s="6" t="str">
        <f aca="false">'Dish Database'!F381</f>
        <v>Non-Veg</v>
      </c>
      <c r="E1489" s="6" t="str">
        <f aca="false">'Dish Database'!E381</f>
        <v>North</v>
      </c>
      <c r="F1489" s="6" t="s">
        <v>2325</v>
      </c>
      <c r="G1489" s="6" t="s">
        <v>2326</v>
      </c>
      <c r="H1489" s="16" t="n">
        <v>350</v>
      </c>
      <c r="I1489" s="6" t="str">
        <f aca="false">'Dish Database'!I381</f>
        <v>g</v>
      </c>
      <c r="J1489" s="13" t="n">
        <f aca="false">'Dish Database'!J381*H1489/100</f>
        <v>757.4</v>
      </c>
      <c r="K1489" s="17" t="n">
        <f aca="false">'Dish Database'!K381*H1489/100</f>
        <v>77</v>
      </c>
      <c r="L1489" s="17" t="n">
        <f aca="false">'Dish Database'!L381*H1489/100</f>
        <v>10.5</v>
      </c>
      <c r="M1489" s="17" t="n">
        <f aca="false">'Dish Database'!M381*H1489/100</f>
        <v>45.5</v>
      </c>
      <c r="N1489" s="17" t="n">
        <f aca="false">'Dish Database'!N381*H1489/100</f>
        <v>1.05</v>
      </c>
      <c r="O1489" s="17" t="n">
        <f aca="false">'Dish Database'!O381*H1489/100</f>
        <v>5.25</v>
      </c>
      <c r="P1489" s="13" t="n">
        <f aca="false">'Dish Database'!P381*H1489/100</f>
        <v>1575</v>
      </c>
    </row>
    <row r="1490" customFormat="false" ht="15" hidden="false" customHeight="false" outlineLevel="0" collapsed="false">
      <c r="A1490" s="6" t="str">
        <f aca="false">'Dish Database'!A382</f>
        <v>D381</v>
      </c>
      <c r="B1490" s="6" t="str">
        <f aca="false">'Dish Database'!B382</f>
        <v>Chicken seekh kebab</v>
      </c>
      <c r="C1490" s="6" t="str">
        <f aca="false">'Dish Database'!D382</f>
        <v>Non-Veg Starters &amp; Kebabs</v>
      </c>
      <c r="D1490" s="6" t="str">
        <f aca="false">'Dish Database'!F382</f>
        <v>Non-Veg</v>
      </c>
      <c r="E1490" s="6" t="str">
        <f aca="false">'Dish Database'!E382</f>
        <v>North</v>
      </c>
      <c r="F1490" s="6" t="s">
        <v>2243</v>
      </c>
      <c r="G1490" s="6" t="s">
        <v>2539</v>
      </c>
      <c r="H1490" s="16" t="n">
        <v>50</v>
      </c>
      <c r="I1490" s="6" t="str">
        <f aca="false">'Dish Database'!I382</f>
        <v>g</v>
      </c>
      <c r="J1490" s="13" t="n">
        <f aca="false">'Dish Database'!J382*H1490/100</f>
        <v>97.2</v>
      </c>
      <c r="K1490" s="17" t="n">
        <f aca="false">'Dish Database'!K382*H1490/100</f>
        <v>9</v>
      </c>
      <c r="L1490" s="17" t="n">
        <f aca="false">'Dish Database'!L382*H1490/100</f>
        <v>2</v>
      </c>
      <c r="M1490" s="17" t="n">
        <f aca="false">'Dish Database'!M382*H1490/100</f>
        <v>6</v>
      </c>
      <c r="N1490" s="17" t="n">
        <f aca="false">'Dish Database'!N382*H1490/100</f>
        <v>0.4</v>
      </c>
      <c r="O1490" s="17" t="n">
        <f aca="false">'Dish Database'!O382*H1490/100</f>
        <v>0.5</v>
      </c>
      <c r="P1490" s="13" t="n">
        <f aca="false">'Dish Database'!P382*H1490/100</f>
        <v>250</v>
      </c>
    </row>
    <row r="1491" customFormat="false" ht="15" hidden="false" customHeight="false" outlineLevel="0" collapsed="false">
      <c r="A1491" s="6" t="str">
        <f aca="false">'Dish Database'!A382</f>
        <v>D381</v>
      </c>
      <c r="B1491" s="6" t="str">
        <f aca="false">'Dish Database'!B382</f>
        <v>Chicken seekh kebab</v>
      </c>
      <c r="C1491" s="6" t="str">
        <f aca="false">'Dish Database'!D382</f>
        <v>Non-Veg Starters &amp; Kebabs</v>
      </c>
      <c r="D1491" s="6" t="str">
        <f aca="false">'Dish Database'!F382</f>
        <v>Non-Veg</v>
      </c>
      <c r="E1491" s="6" t="str">
        <f aca="false">'Dish Database'!E382</f>
        <v>North</v>
      </c>
      <c r="F1491" s="6" t="s">
        <v>103</v>
      </c>
      <c r="G1491" s="6" t="s">
        <v>2540</v>
      </c>
      <c r="H1491" s="16" t="n">
        <v>100</v>
      </c>
      <c r="I1491" s="6" t="str">
        <f aca="false">'Dish Database'!I382</f>
        <v>g</v>
      </c>
      <c r="J1491" s="13" t="n">
        <f aca="false">'Dish Database'!J382*H1491/100</f>
        <v>194.4</v>
      </c>
      <c r="K1491" s="17" t="n">
        <f aca="false">'Dish Database'!K382*H1491/100</f>
        <v>18</v>
      </c>
      <c r="L1491" s="17" t="n">
        <f aca="false">'Dish Database'!L382*H1491/100</f>
        <v>4</v>
      </c>
      <c r="M1491" s="17" t="n">
        <f aca="false">'Dish Database'!M382*H1491/100</f>
        <v>12</v>
      </c>
      <c r="N1491" s="17" t="n">
        <f aca="false">'Dish Database'!N382*H1491/100</f>
        <v>0.8</v>
      </c>
      <c r="O1491" s="17" t="n">
        <f aca="false">'Dish Database'!O382*H1491/100</f>
        <v>1</v>
      </c>
      <c r="P1491" s="13" t="n">
        <f aca="false">'Dish Database'!P382*H1491/100</f>
        <v>500</v>
      </c>
    </row>
    <row r="1492" customFormat="false" ht="15" hidden="false" customHeight="false" outlineLevel="0" collapsed="false">
      <c r="A1492" s="6" t="str">
        <f aca="false">'Dish Database'!A382</f>
        <v>D381</v>
      </c>
      <c r="B1492" s="6" t="str">
        <f aca="false">'Dish Database'!B382</f>
        <v>Chicken seekh kebab</v>
      </c>
      <c r="C1492" s="6" t="str">
        <f aca="false">'Dish Database'!D382</f>
        <v>Non-Veg Starters &amp; Kebabs</v>
      </c>
      <c r="D1492" s="6" t="str">
        <f aca="false">'Dish Database'!F382</f>
        <v>Non-Veg</v>
      </c>
      <c r="E1492" s="6" t="str">
        <f aca="false">'Dish Database'!E382</f>
        <v>North</v>
      </c>
      <c r="F1492" s="6" t="s">
        <v>2246</v>
      </c>
      <c r="G1492" s="6" t="s">
        <v>2541</v>
      </c>
      <c r="H1492" s="16" t="n">
        <v>150</v>
      </c>
      <c r="I1492" s="6" t="str">
        <f aca="false">'Dish Database'!I382</f>
        <v>g</v>
      </c>
      <c r="J1492" s="13" t="n">
        <f aca="false">'Dish Database'!J382*H1492/100</f>
        <v>291.6</v>
      </c>
      <c r="K1492" s="17" t="n">
        <f aca="false">'Dish Database'!K382*H1492/100</f>
        <v>27</v>
      </c>
      <c r="L1492" s="17" t="n">
        <f aca="false">'Dish Database'!L382*H1492/100</f>
        <v>6</v>
      </c>
      <c r="M1492" s="17" t="n">
        <f aca="false">'Dish Database'!M382*H1492/100</f>
        <v>18</v>
      </c>
      <c r="N1492" s="17" t="n">
        <f aca="false">'Dish Database'!N382*H1492/100</f>
        <v>1.2</v>
      </c>
      <c r="O1492" s="17" t="n">
        <f aca="false">'Dish Database'!O382*H1492/100</f>
        <v>1.5</v>
      </c>
      <c r="P1492" s="13" t="n">
        <f aca="false">'Dish Database'!P382*H1492/100</f>
        <v>750</v>
      </c>
    </row>
    <row r="1493" customFormat="false" ht="15" hidden="false" customHeight="false" outlineLevel="0" collapsed="false">
      <c r="A1493" s="6" t="str">
        <f aca="false">'Dish Database'!A382</f>
        <v>D381</v>
      </c>
      <c r="B1493" s="6" t="str">
        <f aca="false">'Dish Database'!B382</f>
        <v>Chicken seekh kebab</v>
      </c>
      <c r="C1493" s="6" t="str">
        <f aca="false">'Dish Database'!D382</f>
        <v>Non-Veg Starters &amp; Kebabs</v>
      </c>
      <c r="D1493" s="6" t="str">
        <f aca="false">'Dish Database'!F382</f>
        <v>Non-Veg</v>
      </c>
      <c r="E1493" s="6" t="str">
        <f aca="false">'Dish Database'!E382</f>
        <v>North</v>
      </c>
      <c r="F1493" s="6" t="s">
        <v>2323</v>
      </c>
      <c r="G1493" s="6" t="s">
        <v>2542</v>
      </c>
      <c r="H1493" s="16" t="n">
        <v>150</v>
      </c>
      <c r="I1493" s="6" t="str">
        <f aca="false">'Dish Database'!I382</f>
        <v>g</v>
      </c>
      <c r="J1493" s="13" t="n">
        <f aca="false">'Dish Database'!J382*H1493/100</f>
        <v>291.6</v>
      </c>
      <c r="K1493" s="17" t="n">
        <f aca="false">'Dish Database'!K382*H1493/100</f>
        <v>27</v>
      </c>
      <c r="L1493" s="17" t="n">
        <f aca="false">'Dish Database'!L382*H1493/100</f>
        <v>6</v>
      </c>
      <c r="M1493" s="17" t="n">
        <f aca="false">'Dish Database'!M382*H1493/100</f>
        <v>18</v>
      </c>
      <c r="N1493" s="17" t="n">
        <f aca="false">'Dish Database'!N382*H1493/100</f>
        <v>1.2</v>
      </c>
      <c r="O1493" s="17" t="n">
        <f aca="false">'Dish Database'!O382*H1493/100</f>
        <v>1.5</v>
      </c>
      <c r="P1493" s="13" t="n">
        <f aca="false">'Dish Database'!P382*H1493/100</f>
        <v>750</v>
      </c>
    </row>
    <row r="1494" customFormat="false" ht="15" hidden="false" customHeight="false" outlineLevel="0" collapsed="false">
      <c r="A1494" s="6" t="str">
        <f aca="false">'Dish Database'!A382</f>
        <v>D381</v>
      </c>
      <c r="B1494" s="6" t="str">
        <f aca="false">'Dish Database'!B382</f>
        <v>Chicken seekh kebab</v>
      </c>
      <c r="C1494" s="6" t="str">
        <f aca="false">'Dish Database'!D382</f>
        <v>Non-Veg Starters &amp; Kebabs</v>
      </c>
      <c r="D1494" s="6" t="str">
        <f aca="false">'Dish Database'!F382</f>
        <v>Non-Veg</v>
      </c>
      <c r="E1494" s="6" t="str">
        <f aca="false">'Dish Database'!E382</f>
        <v>North</v>
      </c>
      <c r="F1494" s="6" t="s">
        <v>2325</v>
      </c>
      <c r="G1494" s="6" t="s">
        <v>2543</v>
      </c>
      <c r="H1494" s="16" t="n">
        <v>300</v>
      </c>
      <c r="I1494" s="6" t="str">
        <f aca="false">'Dish Database'!I382</f>
        <v>g</v>
      </c>
      <c r="J1494" s="13" t="n">
        <f aca="false">'Dish Database'!J382*H1494/100</f>
        <v>583.2</v>
      </c>
      <c r="K1494" s="17" t="n">
        <f aca="false">'Dish Database'!K382*H1494/100</f>
        <v>54</v>
      </c>
      <c r="L1494" s="17" t="n">
        <f aca="false">'Dish Database'!L382*H1494/100</f>
        <v>12</v>
      </c>
      <c r="M1494" s="17" t="n">
        <f aca="false">'Dish Database'!M382*H1494/100</f>
        <v>36</v>
      </c>
      <c r="N1494" s="17" t="n">
        <f aca="false">'Dish Database'!N382*H1494/100</f>
        <v>2.4</v>
      </c>
      <c r="O1494" s="17" t="n">
        <f aca="false">'Dish Database'!O382*H1494/100</f>
        <v>3</v>
      </c>
      <c r="P1494" s="13" t="n">
        <f aca="false">'Dish Database'!P382*H1494/100</f>
        <v>1500</v>
      </c>
    </row>
    <row r="1495" customFormat="false" ht="15" hidden="false" customHeight="false" outlineLevel="0" collapsed="false">
      <c r="A1495" s="6" t="str">
        <f aca="false">'Dish Database'!A383</f>
        <v>D382</v>
      </c>
      <c r="B1495" s="6" t="str">
        <f aca="false">'Dish Database'!B383</f>
        <v>Mutton seekh kebab</v>
      </c>
      <c r="C1495" s="6" t="str">
        <f aca="false">'Dish Database'!D383</f>
        <v>Non-Veg Starters &amp; Kebabs</v>
      </c>
      <c r="D1495" s="6" t="str">
        <f aca="false">'Dish Database'!F383</f>
        <v>Non-Veg</v>
      </c>
      <c r="E1495" s="6" t="str">
        <f aca="false">'Dish Database'!E383</f>
        <v>North</v>
      </c>
      <c r="F1495" s="6" t="s">
        <v>2243</v>
      </c>
      <c r="G1495" s="6" t="s">
        <v>2539</v>
      </c>
      <c r="H1495" s="16" t="n">
        <v>50</v>
      </c>
      <c r="I1495" s="6" t="str">
        <f aca="false">'Dish Database'!I383</f>
        <v>g</v>
      </c>
      <c r="J1495" s="13" t="n">
        <f aca="false">'Dish Database'!J383*H1495/100</f>
        <v>122.2</v>
      </c>
      <c r="K1495" s="17" t="n">
        <f aca="false">'Dish Database'!K383*H1495/100</f>
        <v>8.5</v>
      </c>
      <c r="L1495" s="17" t="n">
        <f aca="false">'Dish Database'!L383*H1495/100</f>
        <v>2</v>
      </c>
      <c r="M1495" s="17" t="n">
        <f aca="false">'Dish Database'!M383*H1495/100</f>
        <v>9</v>
      </c>
      <c r="N1495" s="17" t="n">
        <f aca="false">'Dish Database'!N383*H1495/100</f>
        <v>0.4</v>
      </c>
      <c r="O1495" s="17" t="n">
        <f aca="false">'Dish Database'!O383*H1495/100</f>
        <v>0.5</v>
      </c>
      <c r="P1495" s="13" t="n">
        <f aca="false">'Dish Database'!P383*H1495/100</f>
        <v>250</v>
      </c>
    </row>
    <row r="1496" customFormat="false" ht="15" hidden="false" customHeight="false" outlineLevel="0" collapsed="false">
      <c r="A1496" s="6" t="str">
        <f aca="false">'Dish Database'!A383</f>
        <v>D382</v>
      </c>
      <c r="B1496" s="6" t="str">
        <f aca="false">'Dish Database'!B383</f>
        <v>Mutton seekh kebab</v>
      </c>
      <c r="C1496" s="6" t="str">
        <f aca="false">'Dish Database'!D383</f>
        <v>Non-Veg Starters &amp; Kebabs</v>
      </c>
      <c r="D1496" s="6" t="str">
        <f aca="false">'Dish Database'!F383</f>
        <v>Non-Veg</v>
      </c>
      <c r="E1496" s="6" t="str">
        <f aca="false">'Dish Database'!E383</f>
        <v>North</v>
      </c>
      <c r="F1496" s="6" t="s">
        <v>103</v>
      </c>
      <c r="G1496" s="6" t="s">
        <v>2540</v>
      </c>
      <c r="H1496" s="16" t="n">
        <v>100</v>
      </c>
      <c r="I1496" s="6" t="str">
        <f aca="false">'Dish Database'!I383</f>
        <v>g</v>
      </c>
      <c r="J1496" s="13" t="n">
        <f aca="false">'Dish Database'!J383*H1496/100</f>
        <v>244.4</v>
      </c>
      <c r="K1496" s="17" t="n">
        <f aca="false">'Dish Database'!K383*H1496/100</f>
        <v>17</v>
      </c>
      <c r="L1496" s="17" t="n">
        <f aca="false">'Dish Database'!L383*H1496/100</f>
        <v>4</v>
      </c>
      <c r="M1496" s="17" t="n">
        <f aca="false">'Dish Database'!M383*H1496/100</f>
        <v>18</v>
      </c>
      <c r="N1496" s="17" t="n">
        <f aca="false">'Dish Database'!N383*H1496/100</f>
        <v>0.8</v>
      </c>
      <c r="O1496" s="17" t="n">
        <f aca="false">'Dish Database'!O383*H1496/100</f>
        <v>1</v>
      </c>
      <c r="P1496" s="13" t="n">
        <f aca="false">'Dish Database'!P383*H1496/100</f>
        <v>500</v>
      </c>
    </row>
    <row r="1497" customFormat="false" ht="15" hidden="false" customHeight="false" outlineLevel="0" collapsed="false">
      <c r="A1497" s="6" t="str">
        <f aca="false">'Dish Database'!A383</f>
        <v>D382</v>
      </c>
      <c r="B1497" s="6" t="str">
        <f aca="false">'Dish Database'!B383</f>
        <v>Mutton seekh kebab</v>
      </c>
      <c r="C1497" s="6" t="str">
        <f aca="false">'Dish Database'!D383</f>
        <v>Non-Veg Starters &amp; Kebabs</v>
      </c>
      <c r="D1497" s="6" t="str">
        <f aca="false">'Dish Database'!F383</f>
        <v>Non-Veg</v>
      </c>
      <c r="E1497" s="6" t="str">
        <f aca="false">'Dish Database'!E383</f>
        <v>North</v>
      </c>
      <c r="F1497" s="6" t="s">
        <v>2246</v>
      </c>
      <c r="G1497" s="6" t="s">
        <v>2541</v>
      </c>
      <c r="H1497" s="16" t="n">
        <v>150</v>
      </c>
      <c r="I1497" s="6" t="str">
        <f aca="false">'Dish Database'!I383</f>
        <v>g</v>
      </c>
      <c r="J1497" s="13" t="n">
        <f aca="false">'Dish Database'!J383*H1497/100</f>
        <v>366.6</v>
      </c>
      <c r="K1497" s="17" t="n">
        <f aca="false">'Dish Database'!K383*H1497/100</f>
        <v>25.5</v>
      </c>
      <c r="L1497" s="17" t="n">
        <f aca="false">'Dish Database'!L383*H1497/100</f>
        <v>6</v>
      </c>
      <c r="M1497" s="17" t="n">
        <f aca="false">'Dish Database'!M383*H1497/100</f>
        <v>27</v>
      </c>
      <c r="N1497" s="17" t="n">
        <f aca="false">'Dish Database'!N383*H1497/100</f>
        <v>1.2</v>
      </c>
      <c r="O1497" s="17" t="n">
        <f aca="false">'Dish Database'!O383*H1497/100</f>
        <v>1.5</v>
      </c>
      <c r="P1497" s="13" t="n">
        <f aca="false">'Dish Database'!P383*H1497/100</f>
        <v>750</v>
      </c>
    </row>
    <row r="1498" customFormat="false" ht="15" hidden="false" customHeight="false" outlineLevel="0" collapsed="false">
      <c r="A1498" s="6" t="str">
        <f aca="false">'Dish Database'!A383</f>
        <v>D382</v>
      </c>
      <c r="B1498" s="6" t="str">
        <f aca="false">'Dish Database'!B383</f>
        <v>Mutton seekh kebab</v>
      </c>
      <c r="C1498" s="6" t="str">
        <f aca="false">'Dish Database'!D383</f>
        <v>Non-Veg Starters &amp; Kebabs</v>
      </c>
      <c r="D1498" s="6" t="str">
        <f aca="false">'Dish Database'!F383</f>
        <v>Non-Veg</v>
      </c>
      <c r="E1498" s="6" t="str">
        <f aca="false">'Dish Database'!E383</f>
        <v>North</v>
      </c>
      <c r="F1498" s="6" t="s">
        <v>2323</v>
      </c>
      <c r="G1498" s="6" t="s">
        <v>2542</v>
      </c>
      <c r="H1498" s="16" t="n">
        <v>150</v>
      </c>
      <c r="I1498" s="6" t="str">
        <f aca="false">'Dish Database'!I383</f>
        <v>g</v>
      </c>
      <c r="J1498" s="13" t="n">
        <f aca="false">'Dish Database'!J383*H1498/100</f>
        <v>366.6</v>
      </c>
      <c r="K1498" s="17" t="n">
        <f aca="false">'Dish Database'!K383*H1498/100</f>
        <v>25.5</v>
      </c>
      <c r="L1498" s="17" t="n">
        <f aca="false">'Dish Database'!L383*H1498/100</f>
        <v>6</v>
      </c>
      <c r="M1498" s="17" t="n">
        <f aca="false">'Dish Database'!M383*H1498/100</f>
        <v>27</v>
      </c>
      <c r="N1498" s="17" t="n">
        <f aca="false">'Dish Database'!N383*H1498/100</f>
        <v>1.2</v>
      </c>
      <c r="O1498" s="17" t="n">
        <f aca="false">'Dish Database'!O383*H1498/100</f>
        <v>1.5</v>
      </c>
      <c r="P1498" s="13" t="n">
        <f aca="false">'Dish Database'!P383*H1498/100</f>
        <v>750</v>
      </c>
    </row>
    <row r="1499" customFormat="false" ht="15" hidden="false" customHeight="false" outlineLevel="0" collapsed="false">
      <c r="A1499" s="6" t="str">
        <f aca="false">'Dish Database'!A383</f>
        <v>D382</v>
      </c>
      <c r="B1499" s="6" t="str">
        <f aca="false">'Dish Database'!B383</f>
        <v>Mutton seekh kebab</v>
      </c>
      <c r="C1499" s="6" t="str">
        <f aca="false">'Dish Database'!D383</f>
        <v>Non-Veg Starters &amp; Kebabs</v>
      </c>
      <c r="D1499" s="6" t="str">
        <f aca="false">'Dish Database'!F383</f>
        <v>Non-Veg</v>
      </c>
      <c r="E1499" s="6" t="str">
        <f aca="false">'Dish Database'!E383</f>
        <v>North</v>
      </c>
      <c r="F1499" s="6" t="s">
        <v>2325</v>
      </c>
      <c r="G1499" s="6" t="s">
        <v>2543</v>
      </c>
      <c r="H1499" s="16" t="n">
        <v>300</v>
      </c>
      <c r="I1499" s="6" t="str">
        <f aca="false">'Dish Database'!I383</f>
        <v>g</v>
      </c>
      <c r="J1499" s="13" t="n">
        <f aca="false">'Dish Database'!J383*H1499/100</f>
        <v>733.2</v>
      </c>
      <c r="K1499" s="17" t="n">
        <f aca="false">'Dish Database'!K383*H1499/100</f>
        <v>51</v>
      </c>
      <c r="L1499" s="17" t="n">
        <f aca="false">'Dish Database'!L383*H1499/100</f>
        <v>12</v>
      </c>
      <c r="M1499" s="17" t="n">
        <f aca="false">'Dish Database'!M383*H1499/100</f>
        <v>54</v>
      </c>
      <c r="N1499" s="17" t="n">
        <f aca="false">'Dish Database'!N383*H1499/100</f>
        <v>2.4</v>
      </c>
      <c r="O1499" s="17" t="n">
        <f aca="false">'Dish Database'!O383*H1499/100</f>
        <v>3</v>
      </c>
      <c r="P1499" s="13" t="n">
        <f aca="false">'Dish Database'!P383*H1499/100</f>
        <v>1500</v>
      </c>
    </row>
    <row r="1500" customFormat="false" ht="15" hidden="false" customHeight="false" outlineLevel="0" collapsed="false">
      <c r="A1500" s="6" t="str">
        <f aca="false">'Dish Database'!A384</f>
        <v>D383</v>
      </c>
      <c r="B1500" s="6" t="str">
        <f aca="false">'Dish Database'!B384</f>
        <v>Galouti kebab</v>
      </c>
      <c r="C1500" s="6" t="str">
        <f aca="false">'Dish Database'!D384</f>
        <v>Non-Veg Starters &amp; Kebabs</v>
      </c>
      <c r="D1500" s="6" t="str">
        <f aca="false">'Dish Database'!F384</f>
        <v>Non-Veg</v>
      </c>
      <c r="E1500" s="6" t="str">
        <f aca="false">'Dish Database'!E384</f>
        <v>North</v>
      </c>
      <c r="F1500" s="6" t="s">
        <v>2243</v>
      </c>
      <c r="G1500" s="6" t="s">
        <v>2544</v>
      </c>
      <c r="H1500" s="16" t="n">
        <v>30</v>
      </c>
      <c r="I1500" s="6" t="str">
        <f aca="false">'Dish Database'!I384</f>
        <v>g</v>
      </c>
      <c r="J1500" s="13" t="n">
        <f aca="false">'Dish Database'!J384*H1500/100</f>
        <v>78.9</v>
      </c>
      <c r="K1500" s="17" t="n">
        <f aca="false">'Dish Database'!K384*H1500/100</f>
        <v>4.5</v>
      </c>
      <c r="L1500" s="17" t="n">
        <f aca="false">'Dish Database'!L384*H1500/100</f>
        <v>1.8</v>
      </c>
      <c r="M1500" s="17" t="n">
        <f aca="false">'Dish Database'!M384*H1500/100</f>
        <v>6</v>
      </c>
      <c r="N1500" s="17" t="n">
        <f aca="false">'Dish Database'!N384*H1500/100</f>
        <v>0.15</v>
      </c>
      <c r="O1500" s="17" t="n">
        <f aca="false">'Dish Database'!O384*H1500/100</f>
        <v>0.3</v>
      </c>
      <c r="P1500" s="13" t="n">
        <f aca="false">'Dish Database'!P384*H1500/100</f>
        <v>135</v>
      </c>
    </row>
    <row r="1501" customFormat="false" ht="15" hidden="false" customHeight="false" outlineLevel="0" collapsed="false">
      <c r="A1501" s="6" t="str">
        <f aca="false">'Dish Database'!A384</f>
        <v>D383</v>
      </c>
      <c r="B1501" s="6" t="str">
        <f aca="false">'Dish Database'!B384</f>
        <v>Galouti kebab</v>
      </c>
      <c r="C1501" s="6" t="str">
        <f aca="false">'Dish Database'!D384</f>
        <v>Non-Veg Starters &amp; Kebabs</v>
      </c>
      <c r="D1501" s="6" t="str">
        <f aca="false">'Dish Database'!F384</f>
        <v>Non-Veg</v>
      </c>
      <c r="E1501" s="6" t="str">
        <f aca="false">'Dish Database'!E384</f>
        <v>North</v>
      </c>
      <c r="F1501" s="6" t="s">
        <v>103</v>
      </c>
      <c r="G1501" s="6" t="s">
        <v>2545</v>
      </c>
      <c r="H1501" s="16" t="n">
        <v>40</v>
      </c>
      <c r="I1501" s="6" t="str">
        <f aca="false">'Dish Database'!I384</f>
        <v>g</v>
      </c>
      <c r="J1501" s="13" t="n">
        <f aca="false">'Dish Database'!J384*H1501/100</f>
        <v>105.2</v>
      </c>
      <c r="K1501" s="17" t="n">
        <f aca="false">'Dish Database'!K384*H1501/100</f>
        <v>6</v>
      </c>
      <c r="L1501" s="17" t="n">
        <f aca="false">'Dish Database'!L384*H1501/100</f>
        <v>2.4</v>
      </c>
      <c r="M1501" s="17" t="n">
        <f aca="false">'Dish Database'!M384*H1501/100</f>
        <v>8</v>
      </c>
      <c r="N1501" s="17" t="n">
        <f aca="false">'Dish Database'!N384*H1501/100</f>
        <v>0.2</v>
      </c>
      <c r="O1501" s="17" t="n">
        <f aca="false">'Dish Database'!O384*H1501/100</f>
        <v>0.4</v>
      </c>
      <c r="P1501" s="13" t="n">
        <f aca="false">'Dish Database'!P384*H1501/100</f>
        <v>180</v>
      </c>
    </row>
    <row r="1502" customFormat="false" ht="15" hidden="false" customHeight="false" outlineLevel="0" collapsed="false">
      <c r="A1502" s="6" t="str">
        <f aca="false">'Dish Database'!A384</f>
        <v>D383</v>
      </c>
      <c r="B1502" s="6" t="str">
        <f aca="false">'Dish Database'!B384</f>
        <v>Galouti kebab</v>
      </c>
      <c r="C1502" s="6" t="str">
        <f aca="false">'Dish Database'!D384</f>
        <v>Non-Veg Starters &amp; Kebabs</v>
      </c>
      <c r="D1502" s="6" t="str">
        <f aca="false">'Dish Database'!F384</f>
        <v>Non-Veg</v>
      </c>
      <c r="E1502" s="6" t="str">
        <f aca="false">'Dish Database'!E384</f>
        <v>North</v>
      </c>
      <c r="F1502" s="6" t="s">
        <v>2246</v>
      </c>
      <c r="G1502" s="6" t="s">
        <v>2546</v>
      </c>
      <c r="H1502" s="16" t="n">
        <v>55</v>
      </c>
      <c r="I1502" s="6" t="str">
        <f aca="false">'Dish Database'!I384</f>
        <v>g</v>
      </c>
      <c r="J1502" s="13" t="n">
        <f aca="false">'Dish Database'!J384*H1502/100</f>
        <v>144.65</v>
      </c>
      <c r="K1502" s="17" t="n">
        <f aca="false">'Dish Database'!K384*H1502/100</f>
        <v>8.25</v>
      </c>
      <c r="L1502" s="17" t="n">
        <f aca="false">'Dish Database'!L384*H1502/100</f>
        <v>3.3</v>
      </c>
      <c r="M1502" s="17" t="n">
        <f aca="false">'Dish Database'!M384*H1502/100</f>
        <v>11</v>
      </c>
      <c r="N1502" s="17" t="n">
        <f aca="false">'Dish Database'!N384*H1502/100</f>
        <v>0.275</v>
      </c>
      <c r="O1502" s="17" t="n">
        <f aca="false">'Dish Database'!O384*H1502/100</f>
        <v>0.55</v>
      </c>
      <c r="P1502" s="13" t="n">
        <f aca="false">'Dish Database'!P384*H1502/100</f>
        <v>247.5</v>
      </c>
    </row>
    <row r="1503" customFormat="false" ht="15" hidden="false" customHeight="false" outlineLevel="0" collapsed="false">
      <c r="A1503" s="6" t="str">
        <f aca="false">'Dish Database'!A385</f>
        <v>D384</v>
      </c>
      <c r="B1503" s="6" t="str">
        <f aca="false">'Dish Database'!B385</f>
        <v>Shami kebab</v>
      </c>
      <c r="C1503" s="6" t="str">
        <f aca="false">'Dish Database'!D385</f>
        <v>Non-Veg Starters &amp; Kebabs</v>
      </c>
      <c r="D1503" s="6" t="str">
        <f aca="false">'Dish Database'!F385</f>
        <v>Non-Veg</v>
      </c>
      <c r="E1503" s="6" t="str">
        <f aca="false">'Dish Database'!E385</f>
        <v>North</v>
      </c>
      <c r="F1503" s="6" t="s">
        <v>2243</v>
      </c>
      <c r="G1503" s="6" t="s">
        <v>2547</v>
      </c>
      <c r="H1503" s="16" t="n">
        <v>35</v>
      </c>
      <c r="I1503" s="6" t="str">
        <f aca="false">'Dish Database'!I385</f>
        <v>g</v>
      </c>
      <c r="J1503" s="13" t="n">
        <f aca="false">'Dish Database'!J385*H1503/100</f>
        <v>78.75</v>
      </c>
      <c r="K1503" s="17" t="n">
        <f aca="false">'Dish Database'!K385*H1503/100</f>
        <v>5.6</v>
      </c>
      <c r="L1503" s="17" t="n">
        <f aca="false">'Dish Database'!L385*H1503/100</f>
        <v>3.5</v>
      </c>
      <c r="M1503" s="17" t="n">
        <f aca="false">'Dish Database'!M385*H1503/100</f>
        <v>4.9</v>
      </c>
      <c r="N1503" s="17" t="n">
        <f aca="false">'Dish Database'!N385*H1503/100</f>
        <v>0.875</v>
      </c>
      <c r="O1503" s="17" t="n">
        <f aca="false">'Dish Database'!O385*H1503/100</f>
        <v>0.35</v>
      </c>
      <c r="P1503" s="13" t="n">
        <f aca="false">'Dish Database'!P385*H1503/100</f>
        <v>157.5</v>
      </c>
    </row>
    <row r="1504" customFormat="false" ht="15" hidden="false" customHeight="false" outlineLevel="0" collapsed="false">
      <c r="A1504" s="6" t="str">
        <f aca="false">'Dish Database'!A385</f>
        <v>D384</v>
      </c>
      <c r="B1504" s="6" t="str">
        <f aca="false">'Dish Database'!B385</f>
        <v>Shami kebab</v>
      </c>
      <c r="C1504" s="6" t="str">
        <f aca="false">'Dish Database'!D385</f>
        <v>Non-Veg Starters &amp; Kebabs</v>
      </c>
      <c r="D1504" s="6" t="str">
        <f aca="false">'Dish Database'!F385</f>
        <v>Non-Veg</v>
      </c>
      <c r="E1504" s="6" t="str">
        <f aca="false">'Dish Database'!E385</f>
        <v>North</v>
      </c>
      <c r="F1504" s="6" t="s">
        <v>103</v>
      </c>
      <c r="G1504" s="6" t="s">
        <v>2548</v>
      </c>
      <c r="H1504" s="16" t="n">
        <v>50</v>
      </c>
      <c r="I1504" s="6" t="str">
        <f aca="false">'Dish Database'!I385</f>
        <v>g</v>
      </c>
      <c r="J1504" s="13" t="n">
        <f aca="false">'Dish Database'!J385*H1504/100</f>
        <v>112.5</v>
      </c>
      <c r="K1504" s="17" t="n">
        <f aca="false">'Dish Database'!K385*H1504/100</f>
        <v>8</v>
      </c>
      <c r="L1504" s="17" t="n">
        <f aca="false">'Dish Database'!L385*H1504/100</f>
        <v>5</v>
      </c>
      <c r="M1504" s="17" t="n">
        <f aca="false">'Dish Database'!M385*H1504/100</f>
        <v>7</v>
      </c>
      <c r="N1504" s="17" t="n">
        <f aca="false">'Dish Database'!N385*H1504/100</f>
        <v>1.25</v>
      </c>
      <c r="O1504" s="17" t="n">
        <f aca="false">'Dish Database'!O385*H1504/100</f>
        <v>0.5</v>
      </c>
      <c r="P1504" s="13" t="n">
        <f aca="false">'Dish Database'!P385*H1504/100</f>
        <v>225</v>
      </c>
    </row>
    <row r="1505" customFormat="false" ht="15" hidden="false" customHeight="false" outlineLevel="0" collapsed="false">
      <c r="A1505" s="6" t="str">
        <f aca="false">'Dish Database'!A385</f>
        <v>D384</v>
      </c>
      <c r="B1505" s="6" t="str">
        <f aca="false">'Dish Database'!B385</f>
        <v>Shami kebab</v>
      </c>
      <c r="C1505" s="6" t="str">
        <f aca="false">'Dish Database'!D385</f>
        <v>Non-Veg Starters &amp; Kebabs</v>
      </c>
      <c r="D1505" s="6" t="str">
        <f aca="false">'Dish Database'!F385</f>
        <v>Non-Veg</v>
      </c>
      <c r="E1505" s="6" t="str">
        <f aca="false">'Dish Database'!E385</f>
        <v>North</v>
      </c>
      <c r="F1505" s="6" t="s">
        <v>2246</v>
      </c>
      <c r="G1505" s="6" t="s">
        <v>2549</v>
      </c>
      <c r="H1505" s="16" t="n">
        <v>70</v>
      </c>
      <c r="I1505" s="6" t="str">
        <f aca="false">'Dish Database'!I385</f>
        <v>g</v>
      </c>
      <c r="J1505" s="13" t="n">
        <f aca="false">'Dish Database'!J385*H1505/100</f>
        <v>157.5</v>
      </c>
      <c r="K1505" s="17" t="n">
        <f aca="false">'Dish Database'!K385*H1505/100</f>
        <v>11.2</v>
      </c>
      <c r="L1505" s="17" t="n">
        <f aca="false">'Dish Database'!L385*H1505/100</f>
        <v>7</v>
      </c>
      <c r="M1505" s="17" t="n">
        <f aca="false">'Dish Database'!M385*H1505/100</f>
        <v>9.8</v>
      </c>
      <c r="N1505" s="17" t="n">
        <f aca="false">'Dish Database'!N385*H1505/100</f>
        <v>1.75</v>
      </c>
      <c r="O1505" s="17" t="n">
        <f aca="false">'Dish Database'!O385*H1505/100</f>
        <v>0.7</v>
      </c>
      <c r="P1505" s="13" t="n">
        <f aca="false">'Dish Database'!P385*H1505/100</f>
        <v>315</v>
      </c>
    </row>
    <row r="1506" customFormat="false" ht="15" hidden="false" customHeight="false" outlineLevel="0" collapsed="false">
      <c r="A1506" s="6" t="str">
        <f aca="false">'Dish Database'!A386</f>
        <v>D385</v>
      </c>
      <c r="B1506" s="6" t="str">
        <f aca="false">'Dish Database'!B386</f>
        <v>Mutton boti kebab</v>
      </c>
      <c r="C1506" s="6" t="str">
        <f aca="false">'Dish Database'!D386</f>
        <v>Non-Veg Starters &amp; Kebabs</v>
      </c>
      <c r="D1506" s="6" t="str">
        <f aca="false">'Dish Database'!F386</f>
        <v>Non-Veg</v>
      </c>
      <c r="E1506" s="6" t="str">
        <f aca="false">'Dish Database'!E386</f>
        <v>North</v>
      </c>
      <c r="F1506" s="6" t="s">
        <v>2243</v>
      </c>
      <c r="G1506" s="6" t="s">
        <v>2430</v>
      </c>
      <c r="H1506" s="16" t="n">
        <v>100</v>
      </c>
      <c r="I1506" s="6" t="str">
        <f aca="false">'Dish Database'!I386</f>
        <v>g</v>
      </c>
      <c r="J1506" s="13" t="n">
        <f aca="false">'Dish Database'!J386*H1506/100</f>
        <v>207</v>
      </c>
      <c r="K1506" s="17" t="n">
        <f aca="false">'Dish Database'!K386*H1506/100</f>
        <v>22</v>
      </c>
      <c r="L1506" s="17" t="n">
        <f aca="false">'Dish Database'!L386*H1506/100</f>
        <v>3</v>
      </c>
      <c r="M1506" s="17" t="n">
        <f aca="false">'Dish Database'!M386*H1506/100</f>
        <v>12</v>
      </c>
      <c r="N1506" s="17" t="n">
        <f aca="false">'Dish Database'!N386*H1506/100</f>
        <v>0.5</v>
      </c>
      <c r="O1506" s="17" t="n">
        <f aca="false">'Dish Database'!O386*H1506/100</f>
        <v>1</v>
      </c>
      <c r="P1506" s="13" t="n">
        <f aca="false">'Dish Database'!P386*H1506/100</f>
        <v>450</v>
      </c>
    </row>
    <row r="1507" customFormat="false" ht="15" hidden="false" customHeight="false" outlineLevel="0" collapsed="false">
      <c r="A1507" s="6" t="str">
        <f aca="false">'Dish Database'!A386</f>
        <v>D385</v>
      </c>
      <c r="B1507" s="6" t="str">
        <f aca="false">'Dish Database'!B386</f>
        <v>Mutton boti kebab</v>
      </c>
      <c r="C1507" s="6" t="str">
        <f aca="false">'Dish Database'!D386</f>
        <v>Non-Veg Starters &amp; Kebabs</v>
      </c>
      <c r="D1507" s="6" t="str">
        <f aca="false">'Dish Database'!F386</f>
        <v>Non-Veg</v>
      </c>
      <c r="E1507" s="6" t="str">
        <f aca="false">'Dish Database'!E386</f>
        <v>North</v>
      </c>
      <c r="F1507" s="6" t="s">
        <v>103</v>
      </c>
      <c r="G1507" s="6" t="s">
        <v>2431</v>
      </c>
      <c r="H1507" s="16" t="n">
        <v>150</v>
      </c>
      <c r="I1507" s="6" t="str">
        <f aca="false">'Dish Database'!I386</f>
        <v>g</v>
      </c>
      <c r="J1507" s="13" t="n">
        <f aca="false">'Dish Database'!J386*H1507/100</f>
        <v>310.5</v>
      </c>
      <c r="K1507" s="17" t="n">
        <f aca="false">'Dish Database'!K386*H1507/100</f>
        <v>33</v>
      </c>
      <c r="L1507" s="17" t="n">
        <f aca="false">'Dish Database'!L386*H1507/100</f>
        <v>4.5</v>
      </c>
      <c r="M1507" s="17" t="n">
        <f aca="false">'Dish Database'!M386*H1507/100</f>
        <v>18</v>
      </c>
      <c r="N1507" s="17" t="n">
        <f aca="false">'Dish Database'!N386*H1507/100</f>
        <v>0.75</v>
      </c>
      <c r="O1507" s="17" t="n">
        <f aca="false">'Dish Database'!O386*H1507/100</f>
        <v>1.5</v>
      </c>
      <c r="P1507" s="13" t="n">
        <f aca="false">'Dish Database'!P386*H1507/100</f>
        <v>675</v>
      </c>
    </row>
    <row r="1508" customFormat="false" ht="15" hidden="false" customHeight="false" outlineLevel="0" collapsed="false">
      <c r="A1508" s="6" t="str">
        <f aca="false">'Dish Database'!A386</f>
        <v>D385</v>
      </c>
      <c r="B1508" s="6" t="str">
        <f aca="false">'Dish Database'!B386</f>
        <v>Mutton boti kebab</v>
      </c>
      <c r="C1508" s="6" t="str">
        <f aca="false">'Dish Database'!D386</f>
        <v>Non-Veg Starters &amp; Kebabs</v>
      </c>
      <c r="D1508" s="6" t="str">
        <f aca="false">'Dish Database'!F386</f>
        <v>Non-Veg</v>
      </c>
      <c r="E1508" s="6" t="str">
        <f aca="false">'Dish Database'!E386</f>
        <v>North</v>
      </c>
      <c r="F1508" s="6" t="s">
        <v>2246</v>
      </c>
      <c r="G1508" s="6" t="s">
        <v>2520</v>
      </c>
      <c r="H1508" s="16" t="n">
        <v>200</v>
      </c>
      <c r="I1508" s="6" t="str">
        <f aca="false">'Dish Database'!I386</f>
        <v>g</v>
      </c>
      <c r="J1508" s="13" t="n">
        <f aca="false">'Dish Database'!J386*H1508/100</f>
        <v>414</v>
      </c>
      <c r="K1508" s="17" t="n">
        <f aca="false">'Dish Database'!K386*H1508/100</f>
        <v>44</v>
      </c>
      <c r="L1508" s="17" t="n">
        <f aca="false">'Dish Database'!L386*H1508/100</f>
        <v>6</v>
      </c>
      <c r="M1508" s="17" t="n">
        <f aca="false">'Dish Database'!M386*H1508/100</f>
        <v>24</v>
      </c>
      <c r="N1508" s="17" t="n">
        <f aca="false">'Dish Database'!N386*H1508/100</f>
        <v>1</v>
      </c>
      <c r="O1508" s="17" t="n">
        <f aca="false">'Dish Database'!O386*H1508/100</f>
        <v>2</v>
      </c>
      <c r="P1508" s="13" t="n">
        <f aca="false">'Dish Database'!P386*H1508/100</f>
        <v>900</v>
      </c>
    </row>
    <row r="1509" customFormat="false" ht="15" hidden="false" customHeight="false" outlineLevel="0" collapsed="false">
      <c r="A1509" s="6" t="str">
        <f aca="false">'Dish Database'!A386</f>
        <v>D385</v>
      </c>
      <c r="B1509" s="6" t="str">
        <f aca="false">'Dish Database'!B386</f>
        <v>Mutton boti kebab</v>
      </c>
      <c r="C1509" s="6" t="str">
        <f aca="false">'Dish Database'!D386</f>
        <v>Non-Veg Starters &amp; Kebabs</v>
      </c>
      <c r="D1509" s="6" t="str">
        <f aca="false">'Dish Database'!F386</f>
        <v>Non-Veg</v>
      </c>
      <c r="E1509" s="6" t="str">
        <f aca="false">'Dish Database'!E386</f>
        <v>North</v>
      </c>
      <c r="F1509" s="6" t="s">
        <v>2323</v>
      </c>
      <c r="G1509" s="6" t="s">
        <v>2324</v>
      </c>
      <c r="H1509" s="16" t="n">
        <v>180</v>
      </c>
      <c r="I1509" s="6" t="str">
        <f aca="false">'Dish Database'!I386</f>
        <v>g</v>
      </c>
      <c r="J1509" s="13" t="n">
        <f aca="false">'Dish Database'!J386*H1509/100</f>
        <v>372.6</v>
      </c>
      <c r="K1509" s="17" t="n">
        <f aca="false">'Dish Database'!K386*H1509/100</f>
        <v>39.6</v>
      </c>
      <c r="L1509" s="17" t="n">
        <f aca="false">'Dish Database'!L386*H1509/100</f>
        <v>5.4</v>
      </c>
      <c r="M1509" s="17" t="n">
        <f aca="false">'Dish Database'!M386*H1509/100</f>
        <v>21.6</v>
      </c>
      <c r="N1509" s="17" t="n">
        <f aca="false">'Dish Database'!N386*H1509/100</f>
        <v>0.9</v>
      </c>
      <c r="O1509" s="17" t="n">
        <f aca="false">'Dish Database'!O386*H1509/100</f>
        <v>1.8</v>
      </c>
      <c r="P1509" s="13" t="n">
        <f aca="false">'Dish Database'!P386*H1509/100</f>
        <v>810</v>
      </c>
    </row>
    <row r="1510" customFormat="false" ht="15" hidden="false" customHeight="false" outlineLevel="0" collapsed="false">
      <c r="A1510" s="6" t="str">
        <f aca="false">'Dish Database'!A386</f>
        <v>D385</v>
      </c>
      <c r="B1510" s="6" t="str">
        <f aca="false">'Dish Database'!B386</f>
        <v>Mutton boti kebab</v>
      </c>
      <c r="C1510" s="6" t="str">
        <f aca="false">'Dish Database'!D386</f>
        <v>Non-Veg Starters &amp; Kebabs</v>
      </c>
      <c r="D1510" s="6" t="str">
        <f aca="false">'Dish Database'!F386</f>
        <v>Non-Veg</v>
      </c>
      <c r="E1510" s="6" t="str">
        <f aca="false">'Dish Database'!E386</f>
        <v>North</v>
      </c>
      <c r="F1510" s="6" t="s">
        <v>2325</v>
      </c>
      <c r="G1510" s="6" t="s">
        <v>2326</v>
      </c>
      <c r="H1510" s="16" t="n">
        <v>350</v>
      </c>
      <c r="I1510" s="6" t="str">
        <f aca="false">'Dish Database'!I386</f>
        <v>g</v>
      </c>
      <c r="J1510" s="13" t="n">
        <f aca="false">'Dish Database'!J386*H1510/100</f>
        <v>724.5</v>
      </c>
      <c r="K1510" s="17" t="n">
        <f aca="false">'Dish Database'!K386*H1510/100</f>
        <v>77</v>
      </c>
      <c r="L1510" s="17" t="n">
        <f aca="false">'Dish Database'!L386*H1510/100</f>
        <v>10.5</v>
      </c>
      <c r="M1510" s="17" t="n">
        <f aca="false">'Dish Database'!M386*H1510/100</f>
        <v>42</v>
      </c>
      <c r="N1510" s="17" t="n">
        <f aca="false">'Dish Database'!N386*H1510/100</f>
        <v>1.75</v>
      </c>
      <c r="O1510" s="17" t="n">
        <f aca="false">'Dish Database'!O386*H1510/100</f>
        <v>3.5</v>
      </c>
      <c r="P1510" s="13" t="n">
        <f aca="false">'Dish Database'!P386*H1510/100</f>
        <v>1575</v>
      </c>
    </row>
    <row r="1511" customFormat="false" ht="15" hidden="false" customHeight="false" outlineLevel="0" collapsed="false">
      <c r="A1511" s="6" t="str">
        <f aca="false">'Dish Database'!A387</f>
        <v>D386</v>
      </c>
      <c r="B1511" s="6" t="str">
        <f aca="false">'Dish Database'!B387</f>
        <v>Chicken 65</v>
      </c>
      <c r="C1511" s="6" t="str">
        <f aca="false">'Dish Database'!D387</f>
        <v>Non-Veg Starters &amp; Kebabs</v>
      </c>
      <c r="D1511" s="6" t="str">
        <f aca="false">'Dish Database'!F387</f>
        <v>Non-Veg</v>
      </c>
      <c r="E1511" s="6" t="str">
        <f aca="false">'Dish Database'!E387</f>
        <v>South</v>
      </c>
      <c r="F1511" s="6" t="s">
        <v>2243</v>
      </c>
      <c r="G1511" s="6" t="s">
        <v>2430</v>
      </c>
      <c r="H1511" s="16" t="n">
        <v>100</v>
      </c>
      <c r="I1511" s="6" t="str">
        <f aca="false">'Dish Database'!I387</f>
        <v>g</v>
      </c>
      <c r="J1511" s="13" t="n">
        <f aca="false">'Dish Database'!J387*H1511/100</f>
        <v>253.4</v>
      </c>
      <c r="K1511" s="17" t="n">
        <f aca="false">'Dish Database'!K387*H1511/100</f>
        <v>20</v>
      </c>
      <c r="L1511" s="17" t="n">
        <f aca="false">'Dish Database'!L387*H1511/100</f>
        <v>10</v>
      </c>
      <c r="M1511" s="17" t="n">
        <f aca="false">'Dish Database'!M387*H1511/100</f>
        <v>15</v>
      </c>
      <c r="N1511" s="17" t="n">
        <f aca="false">'Dish Database'!N387*H1511/100</f>
        <v>0.8</v>
      </c>
      <c r="O1511" s="17" t="n">
        <f aca="false">'Dish Database'!O387*H1511/100</f>
        <v>1.5</v>
      </c>
      <c r="P1511" s="13" t="n">
        <f aca="false">'Dish Database'!P387*H1511/100</f>
        <v>650</v>
      </c>
    </row>
    <row r="1512" customFormat="false" ht="15" hidden="false" customHeight="false" outlineLevel="0" collapsed="false">
      <c r="A1512" s="6" t="str">
        <f aca="false">'Dish Database'!A387</f>
        <v>D386</v>
      </c>
      <c r="B1512" s="6" t="str">
        <f aca="false">'Dish Database'!B387</f>
        <v>Chicken 65</v>
      </c>
      <c r="C1512" s="6" t="str">
        <f aca="false">'Dish Database'!D387</f>
        <v>Non-Veg Starters &amp; Kebabs</v>
      </c>
      <c r="D1512" s="6" t="str">
        <f aca="false">'Dish Database'!F387</f>
        <v>Non-Veg</v>
      </c>
      <c r="E1512" s="6" t="str">
        <f aca="false">'Dish Database'!E387</f>
        <v>South</v>
      </c>
      <c r="F1512" s="6" t="s">
        <v>103</v>
      </c>
      <c r="G1512" s="6" t="s">
        <v>2431</v>
      </c>
      <c r="H1512" s="16" t="n">
        <v>150</v>
      </c>
      <c r="I1512" s="6" t="str">
        <f aca="false">'Dish Database'!I387</f>
        <v>g</v>
      </c>
      <c r="J1512" s="13" t="n">
        <f aca="false">'Dish Database'!J387*H1512/100</f>
        <v>380.1</v>
      </c>
      <c r="K1512" s="17" t="n">
        <f aca="false">'Dish Database'!K387*H1512/100</f>
        <v>30</v>
      </c>
      <c r="L1512" s="17" t="n">
        <f aca="false">'Dish Database'!L387*H1512/100</f>
        <v>15</v>
      </c>
      <c r="M1512" s="17" t="n">
        <f aca="false">'Dish Database'!M387*H1512/100</f>
        <v>22.5</v>
      </c>
      <c r="N1512" s="17" t="n">
        <f aca="false">'Dish Database'!N387*H1512/100</f>
        <v>1.2</v>
      </c>
      <c r="O1512" s="17" t="n">
        <f aca="false">'Dish Database'!O387*H1512/100</f>
        <v>2.25</v>
      </c>
      <c r="P1512" s="13" t="n">
        <f aca="false">'Dish Database'!P387*H1512/100</f>
        <v>975</v>
      </c>
    </row>
    <row r="1513" customFormat="false" ht="15" hidden="false" customHeight="false" outlineLevel="0" collapsed="false">
      <c r="A1513" s="6" t="str">
        <f aca="false">'Dish Database'!A387</f>
        <v>D386</v>
      </c>
      <c r="B1513" s="6" t="str">
        <f aca="false">'Dish Database'!B387</f>
        <v>Chicken 65</v>
      </c>
      <c r="C1513" s="6" t="str">
        <f aca="false">'Dish Database'!D387</f>
        <v>Non-Veg Starters &amp; Kebabs</v>
      </c>
      <c r="D1513" s="6" t="str">
        <f aca="false">'Dish Database'!F387</f>
        <v>Non-Veg</v>
      </c>
      <c r="E1513" s="6" t="str">
        <f aca="false">'Dish Database'!E387</f>
        <v>South</v>
      </c>
      <c r="F1513" s="6" t="s">
        <v>2246</v>
      </c>
      <c r="G1513" s="6" t="s">
        <v>2520</v>
      </c>
      <c r="H1513" s="16" t="n">
        <v>200</v>
      </c>
      <c r="I1513" s="6" t="str">
        <f aca="false">'Dish Database'!I387</f>
        <v>g</v>
      </c>
      <c r="J1513" s="13" t="n">
        <f aca="false">'Dish Database'!J387*H1513/100</f>
        <v>506.8</v>
      </c>
      <c r="K1513" s="17" t="n">
        <f aca="false">'Dish Database'!K387*H1513/100</f>
        <v>40</v>
      </c>
      <c r="L1513" s="17" t="n">
        <f aca="false">'Dish Database'!L387*H1513/100</f>
        <v>20</v>
      </c>
      <c r="M1513" s="17" t="n">
        <f aca="false">'Dish Database'!M387*H1513/100</f>
        <v>30</v>
      </c>
      <c r="N1513" s="17" t="n">
        <f aca="false">'Dish Database'!N387*H1513/100</f>
        <v>1.6</v>
      </c>
      <c r="O1513" s="17" t="n">
        <f aca="false">'Dish Database'!O387*H1513/100</f>
        <v>3</v>
      </c>
      <c r="P1513" s="13" t="n">
        <f aca="false">'Dish Database'!P387*H1513/100</f>
        <v>1300</v>
      </c>
    </row>
    <row r="1514" customFormat="false" ht="15" hidden="false" customHeight="false" outlineLevel="0" collapsed="false">
      <c r="A1514" s="6" t="str">
        <f aca="false">'Dish Database'!A387</f>
        <v>D386</v>
      </c>
      <c r="B1514" s="6" t="str">
        <f aca="false">'Dish Database'!B387</f>
        <v>Chicken 65</v>
      </c>
      <c r="C1514" s="6" t="str">
        <f aca="false">'Dish Database'!D387</f>
        <v>Non-Veg Starters &amp; Kebabs</v>
      </c>
      <c r="D1514" s="6" t="str">
        <f aca="false">'Dish Database'!F387</f>
        <v>Non-Veg</v>
      </c>
      <c r="E1514" s="6" t="str">
        <f aca="false">'Dish Database'!E387</f>
        <v>South</v>
      </c>
      <c r="F1514" s="6" t="s">
        <v>2323</v>
      </c>
      <c r="G1514" s="6" t="s">
        <v>2324</v>
      </c>
      <c r="H1514" s="16" t="n">
        <v>180</v>
      </c>
      <c r="I1514" s="6" t="str">
        <f aca="false">'Dish Database'!I387</f>
        <v>g</v>
      </c>
      <c r="J1514" s="13" t="n">
        <f aca="false">'Dish Database'!J387*H1514/100</f>
        <v>456.12</v>
      </c>
      <c r="K1514" s="17" t="n">
        <f aca="false">'Dish Database'!K387*H1514/100</f>
        <v>36</v>
      </c>
      <c r="L1514" s="17" t="n">
        <f aca="false">'Dish Database'!L387*H1514/100</f>
        <v>18</v>
      </c>
      <c r="M1514" s="17" t="n">
        <f aca="false">'Dish Database'!M387*H1514/100</f>
        <v>27</v>
      </c>
      <c r="N1514" s="17" t="n">
        <f aca="false">'Dish Database'!N387*H1514/100</f>
        <v>1.44</v>
      </c>
      <c r="O1514" s="17" t="n">
        <f aca="false">'Dish Database'!O387*H1514/100</f>
        <v>2.7</v>
      </c>
      <c r="P1514" s="13" t="n">
        <f aca="false">'Dish Database'!P387*H1514/100</f>
        <v>1170</v>
      </c>
    </row>
    <row r="1515" customFormat="false" ht="15" hidden="false" customHeight="false" outlineLevel="0" collapsed="false">
      <c r="A1515" s="6" t="str">
        <f aca="false">'Dish Database'!A387</f>
        <v>D386</v>
      </c>
      <c r="B1515" s="6" t="str">
        <f aca="false">'Dish Database'!B387</f>
        <v>Chicken 65</v>
      </c>
      <c r="C1515" s="6" t="str">
        <f aca="false">'Dish Database'!D387</f>
        <v>Non-Veg Starters &amp; Kebabs</v>
      </c>
      <c r="D1515" s="6" t="str">
        <f aca="false">'Dish Database'!F387</f>
        <v>Non-Veg</v>
      </c>
      <c r="E1515" s="6" t="str">
        <f aca="false">'Dish Database'!E387</f>
        <v>South</v>
      </c>
      <c r="F1515" s="6" t="s">
        <v>2325</v>
      </c>
      <c r="G1515" s="6" t="s">
        <v>2326</v>
      </c>
      <c r="H1515" s="16" t="n">
        <v>350</v>
      </c>
      <c r="I1515" s="6" t="str">
        <f aca="false">'Dish Database'!I387</f>
        <v>g</v>
      </c>
      <c r="J1515" s="13" t="n">
        <f aca="false">'Dish Database'!J387*H1515/100</f>
        <v>886.9</v>
      </c>
      <c r="K1515" s="17" t="n">
        <f aca="false">'Dish Database'!K387*H1515/100</f>
        <v>70</v>
      </c>
      <c r="L1515" s="17" t="n">
        <f aca="false">'Dish Database'!L387*H1515/100</f>
        <v>35</v>
      </c>
      <c r="M1515" s="17" t="n">
        <f aca="false">'Dish Database'!M387*H1515/100</f>
        <v>52.5</v>
      </c>
      <c r="N1515" s="17" t="n">
        <f aca="false">'Dish Database'!N387*H1515/100</f>
        <v>2.8</v>
      </c>
      <c r="O1515" s="17" t="n">
        <f aca="false">'Dish Database'!O387*H1515/100</f>
        <v>5.25</v>
      </c>
      <c r="P1515" s="13" t="n">
        <f aca="false">'Dish Database'!P387*H1515/100</f>
        <v>2275</v>
      </c>
    </row>
    <row r="1516" customFormat="false" ht="15" hidden="false" customHeight="false" outlineLevel="0" collapsed="false">
      <c r="A1516" s="6" t="str">
        <f aca="false">'Dish Database'!A388</f>
        <v>D387</v>
      </c>
      <c r="B1516" s="6" t="str">
        <f aca="false">'Dish Database'!B388</f>
        <v>Chilli chicken (dry)</v>
      </c>
      <c r="C1516" s="6" t="str">
        <f aca="false">'Dish Database'!D388</f>
        <v>Non-Veg Starters &amp; Kebabs</v>
      </c>
      <c r="D1516" s="6" t="str">
        <f aca="false">'Dish Database'!F388</f>
        <v>Non-Veg</v>
      </c>
      <c r="E1516" s="6" t="str">
        <f aca="false">'Dish Database'!E388</f>
        <v>Indo-Chinese</v>
      </c>
      <c r="F1516" s="6" t="s">
        <v>2243</v>
      </c>
      <c r="G1516" s="6" t="s">
        <v>2430</v>
      </c>
      <c r="H1516" s="16" t="n">
        <v>100</v>
      </c>
      <c r="I1516" s="6" t="str">
        <f aca="false">'Dish Database'!I388</f>
        <v>g</v>
      </c>
      <c r="J1516" s="13" t="n">
        <f aca="false">'Dish Database'!J388*H1516/100</f>
        <v>223</v>
      </c>
      <c r="K1516" s="17" t="n">
        <f aca="false">'Dish Database'!K388*H1516/100</f>
        <v>15</v>
      </c>
      <c r="L1516" s="17" t="n">
        <f aca="false">'Dish Database'!L388*H1516/100</f>
        <v>12</v>
      </c>
      <c r="M1516" s="17" t="n">
        <f aca="false">'Dish Database'!M388*H1516/100</f>
        <v>13</v>
      </c>
      <c r="N1516" s="17" t="n">
        <f aca="false">'Dish Database'!N388*H1516/100</f>
        <v>1</v>
      </c>
      <c r="O1516" s="17" t="n">
        <f aca="false">'Dish Database'!O388*H1516/100</f>
        <v>4</v>
      </c>
      <c r="P1516" s="13" t="n">
        <f aca="false">'Dish Database'!P388*H1516/100</f>
        <v>800</v>
      </c>
    </row>
    <row r="1517" customFormat="false" ht="15" hidden="false" customHeight="false" outlineLevel="0" collapsed="false">
      <c r="A1517" s="6" t="str">
        <f aca="false">'Dish Database'!A388</f>
        <v>D387</v>
      </c>
      <c r="B1517" s="6" t="str">
        <f aca="false">'Dish Database'!B388</f>
        <v>Chilli chicken (dry)</v>
      </c>
      <c r="C1517" s="6" t="str">
        <f aca="false">'Dish Database'!D388</f>
        <v>Non-Veg Starters &amp; Kebabs</v>
      </c>
      <c r="D1517" s="6" t="str">
        <f aca="false">'Dish Database'!F388</f>
        <v>Non-Veg</v>
      </c>
      <c r="E1517" s="6" t="str">
        <f aca="false">'Dish Database'!E388</f>
        <v>Indo-Chinese</v>
      </c>
      <c r="F1517" s="6" t="s">
        <v>103</v>
      </c>
      <c r="G1517" s="6" t="s">
        <v>2431</v>
      </c>
      <c r="H1517" s="16" t="n">
        <v>150</v>
      </c>
      <c r="I1517" s="6" t="str">
        <f aca="false">'Dish Database'!I388</f>
        <v>g</v>
      </c>
      <c r="J1517" s="13" t="n">
        <f aca="false">'Dish Database'!J388*H1517/100</f>
        <v>334.5</v>
      </c>
      <c r="K1517" s="17" t="n">
        <f aca="false">'Dish Database'!K388*H1517/100</f>
        <v>22.5</v>
      </c>
      <c r="L1517" s="17" t="n">
        <f aca="false">'Dish Database'!L388*H1517/100</f>
        <v>18</v>
      </c>
      <c r="M1517" s="17" t="n">
        <f aca="false">'Dish Database'!M388*H1517/100</f>
        <v>19.5</v>
      </c>
      <c r="N1517" s="17" t="n">
        <f aca="false">'Dish Database'!N388*H1517/100</f>
        <v>1.5</v>
      </c>
      <c r="O1517" s="17" t="n">
        <f aca="false">'Dish Database'!O388*H1517/100</f>
        <v>6</v>
      </c>
      <c r="P1517" s="13" t="n">
        <f aca="false">'Dish Database'!P388*H1517/100</f>
        <v>1200</v>
      </c>
    </row>
    <row r="1518" customFormat="false" ht="15" hidden="false" customHeight="false" outlineLevel="0" collapsed="false">
      <c r="A1518" s="6" t="str">
        <f aca="false">'Dish Database'!A388</f>
        <v>D387</v>
      </c>
      <c r="B1518" s="6" t="str">
        <f aca="false">'Dish Database'!B388</f>
        <v>Chilli chicken (dry)</v>
      </c>
      <c r="C1518" s="6" t="str">
        <f aca="false">'Dish Database'!D388</f>
        <v>Non-Veg Starters &amp; Kebabs</v>
      </c>
      <c r="D1518" s="6" t="str">
        <f aca="false">'Dish Database'!F388</f>
        <v>Non-Veg</v>
      </c>
      <c r="E1518" s="6" t="str">
        <f aca="false">'Dish Database'!E388</f>
        <v>Indo-Chinese</v>
      </c>
      <c r="F1518" s="6" t="s">
        <v>2246</v>
      </c>
      <c r="G1518" s="6" t="s">
        <v>2520</v>
      </c>
      <c r="H1518" s="16" t="n">
        <v>200</v>
      </c>
      <c r="I1518" s="6" t="str">
        <f aca="false">'Dish Database'!I388</f>
        <v>g</v>
      </c>
      <c r="J1518" s="13" t="n">
        <f aca="false">'Dish Database'!J388*H1518/100</f>
        <v>446</v>
      </c>
      <c r="K1518" s="17" t="n">
        <f aca="false">'Dish Database'!K388*H1518/100</f>
        <v>30</v>
      </c>
      <c r="L1518" s="17" t="n">
        <f aca="false">'Dish Database'!L388*H1518/100</f>
        <v>24</v>
      </c>
      <c r="M1518" s="17" t="n">
        <f aca="false">'Dish Database'!M388*H1518/100</f>
        <v>26</v>
      </c>
      <c r="N1518" s="17" t="n">
        <f aca="false">'Dish Database'!N388*H1518/100</f>
        <v>2</v>
      </c>
      <c r="O1518" s="17" t="n">
        <f aca="false">'Dish Database'!O388*H1518/100</f>
        <v>8</v>
      </c>
      <c r="P1518" s="13" t="n">
        <f aca="false">'Dish Database'!P388*H1518/100</f>
        <v>1600</v>
      </c>
    </row>
    <row r="1519" customFormat="false" ht="15" hidden="false" customHeight="false" outlineLevel="0" collapsed="false">
      <c r="A1519" s="6" t="str">
        <f aca="false">'Dish Database'!A388</f>
        <v>D387</v>
      </c>
      <c r="B1519" s="6" t="str">
        <f aca="false">'Dish Database'!B388</f>
        <v>Chilli chicken (dry)</v>
      </c>
      <c r="C1519" s="6" t="str">
        <f aca="false">'Dish Database'!D388</f>
        <v>Non-Veg Starters &amp; Kebabs</v>
      </c>
      <c r="D1519" s="6" t="str">
        <f aca="false">'Dish Database'!F388</f>
        <v>Non-Veg</v>
      </c>
      <c r="E1519" s="6" t="str">
        <f aca="false">'Dish Database'!E388</f>
        <v>Indo-Chinese</v>
      </c>
      <c r="F1519" s="6" t="s">
        <v>2323</v>
      </c>
      <c r="G1519" s="6" t="s">
        <v>2324</v>
      </c>
      <c r="H1519" s="16" t="n">
        <v>180</v>
      </c>
      <c r="I1519" s="6" t="str">
        <f aca="false">'Dish Database'!I388</f>
        <v>g</v>
      </c>
      <c r="J1519" s="13" t="n">
        <f aca="false">'Dish Database'!J388*H1519/100</f>
        <v>401.4</v>
      </c>
      <c r="K1519" s="17" t="n">
        <f aca="false">'Dish Database'!K388*H1519/100</f>
        <v>27</v>
      </c>
      <c r="L1519" s="17" t="n">
        <f aca="false">'Dish Database'!L388*H1519/100</f>
        <v>21.6</v>
      </c>
      <c r="M1519" s="17" t="n">
        <f aca="false">'Dish Database'!M388*H1519/100</f>
        <v>23.4</v>
      </c>
      <c r="N1519" s="17" t="n">
        <f aca="false">'Dish Database'!N388*H1519/100</f>
        <v>1.8</v>
      </c>
      <c r="O1519" s="17" t="n">
        <f aca="false">'Dish Database'!O388*H1519/100</f>
        <v>7.2</v>
      </c>
      <c r="P1519" s="13" t="n">
        <f aca="false">'Dish Database'!P388*H1519/100</f>
        <v>1440</v>
      </c>
    </row>
    <row r="1520" customFormat="false" ht="15" hidden="false" customHeight="false" outlineLevel="0" collapsed="false">
      <c r="A1520" s="6" t="str">
        <f aca="false">'Dish Database'!A388</f>
        <v>D387</v>
      </c>
      <c r="B1520" s="6" t="str">
        <f aca="false">'Dish Database'!B388</f>
        <v>Chilli chicken (dry)</v>
      </c>
      <c r="C1520" s="6" t="str">
        <f aca="false">'Dish Database'!D388</f>
        <v>Non-Veg Starters &amp; Kebabs</v>
      </c>
      <c r="D1520" s="6" t="str">
        <f aca="false">'Dish Database'!F388</f>
        <v>Non-Veg</v>
      </c>
      <c r="E1520" s="6" t="str">
        <f aca="false">'Dish Database'!E388</f>
        <v>Indo-Chinese</v>
      </c>
      <c r="F1520" s="6" t="s">
        <v>2325</v>
      </c>
      <c r="G1520" s="6" t="s">
        <v>2326</v>
      </c>
      <c r="H1520" s="16" t="n">
        <v>350</v>
      </c>
      <c r="I1520" s="6" t="str">
        <f aca="false">'Dish Database'!I388</f>
        <v>g</v>
      </c>
      <c r="J1520" s="13" t="n">
        <f aca="false">'Dish Database'!J388*H1520/100</f>
        <v>780.5</v>
      </c>
      <c r="K1520" s="17" t="n">
        <f aca="false">'Dish Database'!K388*H1520/100</f>
        <v>52.5</v>
      </c>
      <c r="L1520" s="17" t="n">
        <f aca="false">'Dish Database'!L388*H1520/100</f>
        <v>42</v>
      </c>
      <c r="M1520" s="17" t="n">
        <f aca="false">'Dish Database'!M388*H1520/100</f>
        <v>45.5</v>
      </c>
      <c r="N1520" s="17" t="n">
        <f aca="false">'Dish Database'!N388*H1520/100</f>
        <v>3.5</v>
      </c>
      <c r="O1520" s="17" t="n">
        <f aca="false">'Dish Database'!O388*H1520/100</f>
        <v>14</v>
      </c>
      <c r="P1520" s="13" t="n">
        <f aca="false">'Dish Database'!P388*H1520/100</f>
        <v>2800</v>
      </c>
    </row>
    <row r="1521" customFormat="false" ht="15" hidden="false" customHeight="false" outlineLevel="0" collapsed="false">
      <c r="A1521" s="6" t="str">
        <f aca="false">'Dish Database'!A389</f>
        <v>D388</v>
      </c>
      <c r="B1521" s="6" t="str">
        <f aca="false">'Dish Database'!B389</f>
        <v>Chicken lollipop</v>
      </c>
      <c r="C1521" s="6" t="str">
        <f aca="false">'Dish Database'!D389</f>
        <v>Non-Veg Starters &amp; Kebabs</v>
      </c>
      <c r="D1521" s="6" t="str">
        <f aca="false">'Dish Database'!F389</f>
        <v>Non-Veg</v>
      </c>
      <c r="E1521" s="6" t="str">
        <f aca="false">'Dish Database'!E389</f>
        <v>Indo-Chinese</v>
      </c>
      <c r="F1521" s="6" t="s">
        <v>2243</v>
      </c>
      <c r="G1521" s="6" t="s">
        <v>2550</v>
      </c>
      <c r="H1521" s="16" t="n">
        <v>80</v>
      </c>
      <c r="I1521" s="6" t="str">
        <f aca="false">'Dish Database'!I389</f>
        <v>g</v>
      </c>
      <c r="J1521" s="13" t="n">
        <f aca="false">'Dish Database'!J389*H1521/100</f>
        <v>211.2</v>
      </c>
      <c r="K1521" s="17" t="n">
        <f aca="false">'Dish Database'!K389*H1521/100</f>
        <v>14.4</v>
      </c>
      <c r="L1521" s="17" t="n">
        <f aca="false">'Dish Database'!L389*H1521/100</f>
        <v>8</v>
      </c>
      <c r="M1521" s="17" t="n">
        <f aca="false">'Dish Database'!M389*H1521/100</f>
        <v>13.6</v>
      </c>
      <c r="N1521" s="17" t="n">
        <f aca="false">'Dish Database'!N389*H1521/100</f>
        <v>0.4</v>
      </c>
      <c r="O1521" s="17" t="n">
        <f aca="false">'Dish Database'!O389*H1521/100</f>
        <v>1.6</v>
      </c>
      <c r="P1521" s="13" t="n">
        <f aca="false">'Dish Database'!P389*H1521/100</f>
        <v>480</v>
      </c>
    </row>
    <row r="1522" customFormat="false" ht="15" hidden="false" customHeight="false" outlineLevel="0" collapsed="false">
      <c r="A1522" s="6" t="str">
        <f aca="false">'Dish Database'!A389</f>
        <v>D388</v>
      </c>
      <c r="B1522" s="6" t="str">
        <f aca="false">'Dish Database'!B389</f>
        <v>Chicken lollipop</v>
      </c>
      <c r="C1522" s="6" t="str">
        <f aca="false">'Dish Database'!D389</f>
        <v>Non-Veg Starters &amp; Kebabs</v>
      </c>
      <c r="D1522" s="6" t="str">
        <f aca="false">'Dish Database'!F389</f>
        <v>Non-Veg</v>
      </c>
      <c r="E1522" s="6" t="str">
        <f aca="false">'Dish Database'!E389</f>
        <v>Indo-Chinese</v>
      </c>
      <c r="F1522" s="6" t="s">
        <v>103</v>
      </c>
      <c r="G1522" s="6" t="s">
        <v>2551</v>
      </c>
      <c r="H1522" s="16" t="n">
        <v>160</v>
      </c>
      <c r="I1522" s="6" t="str">
        <f aca="false">'Dish Database'!I389</f>
        <v>g</v>
      </c>
      <c r="J1522" s="13" t="n">
        <f aca="false">'Dish Database'!J389*H1522/100</f>
        <v>422.4</v>
      </c>
      <c r="K1522" s="17" t="n">
        <f aca="false">'Dish Database'!K389*H1522/100</f>
        <v>28.8</v>
      </c>
      <c r="L1522" s="17" t="n">
        <f aca="false">'Dish Database'!L389*H1522/100</f>
        <v>16</v>
      </c>
      <c r="M1522" s="17" t="n">
        <f aca="false">'Dish Database'!M389*H1522/100</f>
        <v>27.2</v>
      </c>
      <c r="N1522" s="17" t="n">
        <f aca="false">'Dish Database'!N389*H1522/100</f>
        <v>0.8</v>
      </c>
      <c r="O1522" s="17" t="n">
        <f aca="false">'Dish Database'!O389*H1522/100</f>
        <v>3.2</v>
      </c>
      <c r="P1522" s="13" t="n">
        <f aca="false">'Dish Database'!P389*H1522/100</f>
        <v>960</v>
      </c>
    </row>
    <row r="1523" customFormat="false" ht="15" hidden="false" customHeight="false" outlineLevel="0" collapsed="false">
      <c r="A1523" s="6" t="str">
        <f aca="false">'Dish Database'!A389</f>
        <v>D388</v>
      </c>
      <c r="B1523" s="6" t="str">
        <f aca="false">'Dish Database'!B389</f>
        <v>Chicken lollipop</v>
      </c>
      <c r="C1523" s="6" t="str">
        <f aca="false">'Dish Database'!D389</f>
        <v>Non-Veg Starters &amp; Kebabs</v>
      </c>
      <c r="D1523" s="6" t="str">
        <f aca="false">'Dish Database'!F389</f>
        <v>Non-Veg</v>
      </c>
      <c r="E1523" s="6" t="str">
        <f aca="false">'Dish Database'!E389</f>
        <v>Indo-Chinese</v>
      </c>
      <c r="F1523" s="6" t="s">
        <v>2246</v>
      </c>
      <c r="G1523" s="6" t="s">
        <v>2552</v>
      </c>
      <c r="H1523" s="16" t="n">
        <v>240</v>
      </c>
      <c r="I1523" s="6" t="str">
        <f aca="false">'Dish Database'!I389</f>
        <v>g</v>
      </c>
      <c r="J1523" s="13" t="n">
        <f aca="false">'Dish Database'!J389*H1523/100</f>
        <v>633.6</v>
      </c>
      <c r="K1523" s="17" t="n">
        <f aca="false">'Dish Database'!K389*H1523/100</f>
        <v>43.2</v>
      </c>
      <c r="L1523" s="17" t="n">
        <f aca="false">'Dish Database'!L389*H1523/100</f>
        <v>24</v>
      </c>
      <c r="M1523" s="17" t="n">
        <f aca="false">'Dish Database'!M389*H1523/100</f>
        <v>40.8</v>
      </c>
      <c r="N1523" s="17" t="n">
        <f aca="false">'Dish Database'!N389*H1523/100</f>
        <v>1.2</v>
      </c>
      <c r="O1523" s="17" t="n">
        <f aca="false">'Dish Database'!O389*H1523/100</f>
        <v>4.8</v>
      </c>
      <c r="P1523" s="13" t="n">
        <f aca="false">'Dish Database'!P389*H1523/100</f>
        <v>1440</v>
      </c>
    </row>
    <row r="1524" customFormat="false" ht="15" hidden="false" customHeight="false" outlineLevel="0" collapsed="false">
      <c r="A1524" s="6" t="str">
        <f aca="false">'Dish Database'!A389</f>
        <v>D388</v>
      </c>
      <c r="B1524" s="6" t="str">
        <f aca="false">'Dish Database'!B389</f>
        <v>Chicken lollipop</v>
      </c>
      <c r="C1524" s="6" t="str">
        <f aca="false">'Dish Database'!D389</f>
        <v>Non-Veg Starters &amp; Kebabs</v>
      </c>
      <c r="D1524" s="6" t="str">
        <f aca="false">'Dish Database'!F389</f>
        <v>Non-Veg</v>
      </c>
      <c r="E1524" s="6" t="str">
        <f aca="false">'Dish Database'!E389</f>
        <v>Indo-Chinese</v>
      </c>
      <c r="F1524" s="6" t="s">
        <v>2323</v>
      </c>
      <c r="G1524" s="6" t="s">
        <v>2553</v>
      </c>
      <c r="H1524" s="16" t="n">
        <v>160</v>
      </c>
      <c r="I1524" s="6" t="str">
        <f aca="false">'Dish Database'!I389</f>
        <v>g</v>
      </c>
      <c r="J1524" s="13" t="n">
        <f aca="false">'Dish Database'!J389*H1524/100</f>
        <v>422.4</v>
      </c>
      <c r="K1524" s="17" t="n">
        <f aca="false">'Dish Database'!K389*H1524/100</f>
        <v>28.8</v>
      </c>
      <c r="L1524" s="17" t="n">
        <f aca="false">'Dish Database'!L389*H1524/100</f>
        <v>16</v>
      </c>
      <c r="M1524" s="17" t="n">
        <f aca="false">'Dish Database'!M389*H1524/100</f>
        <v>27.2</v>
      </c>
      <c r="N1524" s="17" t="n">
        <f aca="false">'Dish Database'!N389*H1524/100</f>
        <v>0.8</v>
      </c>
      <c r="O1524" s="17" t="n">
        <f aca="false">'Dish Database'!O389*H1524/100</f>
        <v>3.2</v>
      </c>
      <c r="P1524" s="13" t="n">
        <f aca="false">'Dish Database'!P389*H1524/100</f>
        <v>960</v>
      </c>
    </row>
    <row r="1525" customFormat="false" ht="15" hidden="false" customHeight="false" outlineLevel="0" collapsed="false">
      <c r="A1525" s="6" t="str">
        <f aca="false">'Dish Database'!A389</f>
        <v>D388</v>
      </c>
      <c r="B1525" s="6" t="str">
        <f aca="false">'Dish Database'!B389</f>
        <v>Chicken lollipop</v>
      </c>
      <c r="C1525" s="6" t="str">
        <f aca="false">'Dish Database'!D389</f>
        <v>Non-Veg Starters &amp; Kebabs</v>
      </c>
      <c r="D1525" s="6" t="str">
        <f aca="false">'Dish Database'!F389</f>
        <v>Non-Veg</v>
      </c>
      <c r="E1525" s="6" t="str">
        <f aca="false">'Dish Database'!E389</f>
        <v>Indo-Chinese</v>
      </c>
      <c r="F1525" s="6" t="s">
        <v>2325</v>
      </c>
      <c r="G1525" s="6" t="s">
        <v>2554</v>
      </c>
      <c r="H1525" s="16" t="n">
        <v>320</v>
      </c>
      <c r="I1525" s="6" t="str">
        <f aca="false">'Dish Database'!I389</f>
        <v>g</v>
      </c>
      <c r="J1525" s="13" t="n">
        <f aca="false">'Dish Database'!J389*H1525/100</f>
        <v>844.8</v>
      </c>
      <c r="K1525" s="17" t="n">
        <f aca="false">'Dish Database'!K389*H1525/100</f>
        <v>57.6</v>
      </c>
      <c r="L1525" s="17" t="n">
        <f aca="false">'Dish Database'!L389*H1525/100</f>
        <v>32</v>
      </c>
      <c r="M1525" s="17" t="n">
        <f aca="false">'Dish Database'!M389*H1525/100</f>
        <v>54.4</v>
      </c>
      <c r="N1525" s="17" t="n">
        <f aca="false">'Dish Database'!N389*H1525/100</f>
        <v>1.6</v>
      </c>
      <c r="O1525" s="17" t="n">
        <f aca="false">'Dish Database'!O389*H1525/100</f>
        <v>6.4</v>
      </c>
      <c r="P1525" s="13" t="n">
        <f aca="false">'Dish Database'!P389*H1525/100</f>
        <v>1920</v>
      </c>
    </row>
    <row r="1526" customFormat="false" ht="15" hidden="false" customHeight="false" outlineLevel="0" collapsed="false">
      <c r="A1526" s="6" t="str">
        <f aca="false">'Dish Database'!A390</f>
        <v>D389</v>
      </c>
      <c r="B1526" s="6" t="str">
        <f aca="false">'Dish Database'!B390</f>
        <v>Drums of heaven</v>
      </c>
      <c r="C1526" s="6" t="str">
        <f aca="false">'Dish Database'!D390</f>
        <v>Non-Veg Starters &amp; Kebabs</v>
      </c>
      <c r="D1526" s="6" t="str">
        <f aca="false">'Dish Database'!F390</f>
        <v>Non-Veg</v>
      </c>
      <c r="E1526" s="6" t="str">
        <f aca="false">'Dish Database'!E390</f>
        <v>Indo-Chinese</v>
      </c>
      <c r="F1526" s="6" t="s">
        <v>2243</v>
      </c>
      <c r="G1526" s="6" t="s">
        <v>2430</v>
      </c>
      <c r="H1526" s="16" t="n">
        <v>100</v>
      </c>
      <c r="I1526" s="6" t="str">
        <f aca="false">'Dish Database'!I390</f>
        <v>g</v>
      </c>
      <c r="J1526" s="13" t="n">
        <f aca="false">'Dish Database'!J390*H1526/100</f>
        <v>259</v>
      </c>
      <c r="K1526" s="17" t="n">
        <f aca="false">'Dish Database'!K390*H1526/100</f>
        <v>17</v>
      </c>
      <c r="L1526" s="17" t="n">
        <f aca="false">'Dish Database'!L390*H1526/100</f>
        <v>12</v>
      </c>
      <c r="M1526" s="17" t="n">
        <f aca="false">'Dish Database'!M390*H1526/100</f>
        <v>16</v>
      </c>
      <c r="N1526" s="17" t="n">
        <f aca="false">'Dish Database'!N390*H1526/100</f>
        <v>0.5</v>
      </c>
      <c r="O1526" s="17" t="n">
        <f aca="false">'Dish Database'!O390*H1526/100</f>
        <v>5</v>
      </c>
      <c r="P1526" s="13" t="n">
        <f aca="false">'Dish Database'!P390*H1526/100</f>
        <v>650</v>
      </c>
    </row>
    <row r="1527" customFormat="false" ht="15" hidden="false" customHeight="false" outlineLevel="0" collapsed="false">
      <c r="A1527" s="6" t="str">
        <f aca="false">'Dish Database'!A390</f>
        <v>D389</v>
      </c>
      <c r="B1527" s="6" t="str">
        <f aca="false">'Dish Database'!B390</f>
        <v>Drums of heaven</v>
      </c>
      <c r="C1527" s="6" t="str">
        <f aca="false">'Dish Database'!D390</f>
        <v>Non-Veg Starters &amp; Kebabs</v>
      </c>
      <c r="D1527" s="6" t="str">
        <f aca="false">'Dish Database'!F390</f>
        <v>Non-Veg</v>
      </c>
      <c r="E1527" s="6" t="str">
        <f aca="false">'Dish Database'!E390</f>
        <v>Indo-Chinese</v>
      </c>
      <c r="F1527" s="6" t="s">
        <v>103</v>
      </c>
      <c r="G1527" s="6" t="s">
        <v>2431</v>
      </c>
      <c r="H1527" s="16" t="n">
        <v>150</v>
      </c>
      <c r="I1527" s="6" t="str">
        <f aca="false">'Dish Database'!I390</f>
        <v>g</v>
      </c>
      <c r="J1527" s="13" t="n">
        <f aca="false">'Dish Database'!J390*H1527/100</f>
        <v>388.5</v>
      </c>
      <c r="K1527" s="17" t="n">
        <f aca="false">'Dish Database'!K390*H1527/100</f>
        <v>25.5</v>
      </c>
      <c r="L1527" s="17" t="n">
        <f aca="false">'Dish Database'!L390*H1527/100</f>
        <v>18</v>
      </c>
      <c r="M1527" s="17" t="n">
        <f aca="false">'Dish Database'!M390*H1527/100</f>
        <v>24</v>
      </c>
      <c r="N1527" s="17" t="n">
        <f aca="false">'Dish Database'!N390*H1527/100</f>
        <v>0.75</v>
      </c>
      <c r="O1527" s="17" t="n">
        <f aca="false">'Dish Database'!O390*H1527/100</f>
        <v>7.5</v>
      </c>
      <c r="P1527" s="13" t="n">
        <f aca="false">'Dish Database'!P390*H1527/100</f>
        <v>975</v>
      </c>
    </row>
    <row r="1528" customFormat="false" ht="15" hidden="false" customHeight="false" outlineLevel="0" collapsed="false">
      <c r="A1528" s="6" t="str">
        <f aca="false">'Dish Database'!A390</f>
        <v>D389</v>
      </c>
      <c r="B1528" s="6" t="str">
        <f aca="false">'Dish Database'!B390</f>
        <v>Drums of heaven</v>
      </c>
      <c r="C1528" s="6" t="str">
        <f aca="false">'Dish Database'!D390</f>
        <v>Non-Veg Starters &amp; Kebabs</v>
      </c>
      <c r="D1528" s="6" t="str">
        <f aca="false">'Dish Database'!F390</f>
        <v>Non-Veg</v>
      </c>
      <c r="E1528" s="6" t="str">
        <f aca="false">'Dish Database'!E390</f>
        <v>Indo-Chinese</v>
      </c>
      <c r="F1528" s="6" t="s">
        <v>2246</v>
      </c>
      <c r="G1528" s="6" t="s">
        <v>2520</v>
      </c>
      <c r="H1528" s="16" t="n">
        <v>200</v>
      </c>
      <c r="I1528" s="6" t="str">
        <f aca="false">'Dish Database'!I390</f>
        <v>g</v>
      </c>
      <c r="J1528" s="13" t="n">
        <f aca="false">'Dish Database'!J390*H1528/100</f>
        <v>518</v>
      </c>
      <c r="K1528" s="17" t="n">
        <f aca="false">'Dish Database'!K390*H1528/100</f>
        <v>34</v>
      </c>
      <c r="L1528" s="17" t="n">
        <f aca="false">'Dish Database'!L390*H1528/100</f>
        <v>24</v>
      </c>
      <c r="M1528" s="17" t="n">
        <f aca="false">'Dish Database'!M390*H1528/100</f>
        <v>32</v>
      </c>
      <c r="N1528" s="17" t="n">
        <f aca="false">'Dish Database'!N390*H1528/100</f>
        <v>1</v>
      </c>
      <c r="O1528" s="17" t="n">
        <f aca="false">'Dish Database'!O390*H1528/100</f>
        <v>10</v>
      </c>
      <c r="P1528" s="13" t="n">
        <f aca="false">'Dish Database'!P390*H1528/100</f>
        <v>1300</v>
      </c>
    </row>
    <row r="1529" customFormat="false" ht="15" hidden="false" customHeight="false" outlineLevel="0" collapsed="false">
      <c r="A1529" s="6" t="str">
        <f aca="false">'Dish Database'!A390</f>
        <v>D389</v>
      </c>
      <c r="B1529" s="6" t="str">
        <f aca="false">'Dish Database'!B390</f>
        <v>Drums of heaven</v>
      </c>
      <c r="C1529" s="6" t="str">
        <f aca="false">'Dish Database'!D390</f>
        <v>Non-Veg Starters &amp; Kebabs</v>
      </c>
      <c r="D1529" s="6" t="str">
        <f aca="false">'Dish Database'!F390</f>
        <v>Non-Veg</v>
      </c>
      <c r="E1529" s="6" t="str">
        <f aca="false">'Dish Database'!E390</f>
        <v>Indo-Chinese</v>
      </c>
      <c r="F1529" s="6" t="s">
        <v>2323</v>
      </c>
      <c r="G1529" s="6" t="s">
        <v>2324</v>
      </c>
      <c r="H1529" s="16" t="n">
        <v>180</v>
      </c>
      <c r="I1529" s="6" t="str">
        <f aca="false">'Dish Database'!I390</f>
        <v>g</v>
      </c>
      <c r="J1529" s="13" t="n">
        <f aca="false">'Dish Database'!J390*H1529/100</f>
        <v>466.2</v>
      </c>
      <c r="K1529" s="17" t="n">
        <f aca="false">'Dish Database'!K390*H1529/100</f>
        <v>30.6</v>
      </c>
      <c r="L1529" s="17" t="n">
        <f aca="false">'Dish Database'!L390*H1529/100</f>
        <v>21.6</v>
      </c>
      <c r="M1529" s="17" t="n">
        <f aca="false">'Dish Database'!M390*H1529/100</f>
        <v>28.8</v>
      </c>
      <c r="N1529" s="17" t="n">
        <f aca="false">'Dish Database'!N390*H1529/100</f>
        <v>0.9</v>
      </c>
      <c r="O1529" s="17" t="n">
        <f aca="false">'Dish Database'!O390*H1529/100</f>
        <v>9</v>
      </c>
      <c r="P1529" s="13" t="n">
        <f aca="false">'Dish Database'!P390*H1529/100</f>
        <v>1170</v>
      </c>
    </row>
    <row r="1530" customFormat="false" ht="15" hidden="false" customHeight="false" outlineLevel="0" collapsed="false">
      <c r="A1530" s="6" t="str">
        <f aca="false">'Dish Database'!A390</f>
        <v>D389</v>
      </c>
      <c r="B1530" s="6" t="str">
        <f aca="false">'Dish Database'!B390</f>
        <v>Drums of heaven</v>
      </c>
      <c r="C1530" s="6" t="str">
        <f aca="false">'Dish Database'!D390</f>
        <v>Non-Veg Starters &amp; Kebabs</v>
      </c>
      <c r="D1530" s="6" t="str">
        <f aca="false">'Dish Database'!F390</f>
        <v>Non-Veg</v>
      </c>
      <c r="E1530" s="6" t="str">
        <f aca="false">'Dish Database'!E390</f>
        <v>Indo-Chinese</v>
      </c>
      <c r="F1530" s="6" t="s">
        <v>2325</v>
      </c>
      <c r="G1530" s="6" t="s">
        <v>2326</v>
      </c>
      <c r="H1530" s="16" t="n">
        <v>350</v>
      </c>
      <c r="I1530" s="6" t="str">
        <f aca="false">'Dish Database'!I390</f>
        <v>g</v>
      </c>
      <c r="J1530" s="13" t="n">
        <f aca="false">'Dish Database'!J390*H1530/100</f>
        <v>906.5</v>
      </c>
      <c r="K1530" s="17" t="n">
        <f aca="false">'Dish Database'!K390*H1530/100</f>
        <v>59.5</v>
      </c>
      <c r="L1530" s="17" t="n">
        <f aca="false">'Dish Database'!L390*H1530/100</f>
        <v>42</v>
      </c>
      <c r="M1530" s="17" t="n">
        <f aca="false">'Dish Database'!M390*H1530/100</f>
        <v>56</v>
      </c>
      <c r="N1530" s="17" t="n">
        <f aca="false">'Dish Database'!N390*H1530/100</f>
        <v>1.75</v>
      </c>
      <c r="O1530" s="17" t="n">
        <f aca="false">'Dish Database'!O390*H1530/100</f>
        <v>17.5</v>
      </c>
      <c r="P1530" s="13" t="n">
        <f aca="false">'Dish Database'!P390*H1530/100</f>
        <v>2275</v>
      </c>
    </row>
    <row r="1531" customFormat="false" ht="15" hidden="false" customHeight="false" outlineLevel="0" collapsed="false">
      <c r="A1531" s="6" t="str">
        <f aca="false">'Dish Database'!A391</f>
        <v>D390</v>
      </c>
      <c r="B1531" s="6" t="str">
        <f aca="false">'Dish Database'!B391</f>
        <v>Chicken pakora</v>
      </c>
      <c r="C1531" s="6" t="str">
        <f aca="false">'Dish Database'!D391</f>
        <v>Non-Veg Starters &amp; Kebabs</v>
      </c>
      <c r="D1531" s="6" t="str">
        <f aca="false">'Dish Database'!F391</f>
        <v>Non-Veg</v>
      </c>
      <c r="E1531" s="6" t="str">
        <f aca="false">'Dish Database'!E391</f>
        <v>North</v>
      </c>
      <c r="F1531" s="6" t="s">
        <v>2243</v>
      </c>
      <c r="G1531" s="6" t="s">
        <v>2430</v>
      </c>
      <c r="H1531" s="16" t="n">
        <v>100</v>
      </c>
      <c r="I1531" s="6" t="str">
        <f aca="false">'Dish Database'!I391</f>
        <v>g</v>
      </c>
      <c r="J1531" s="13" t="n">
        <f aca="false">'Dish Database'!J391*H1531/100</f>
        <v>253</v>
      </c>
      <c r="K1531" s="17" t="n">
        <f aca="false">'Dish Database'!K391*H1531/100</f>
        <v>18</v>
      </c>
      <c r="L1531" s="17" t="n">
        <f aca="false">'Dish Database'!L391*H1531/100</f>
        <v>12</v>
      </c>
      <c r="M1531" s="17" t="n">
        <f aca="false">'Dish Database'!M391*H1531/100</f>
        <v>15</v>
      </c>
      <c r="N1531" s="17" t="n">
        <f aca="false">'Dish Database'!N391*H1531/100</f>
        <v>1</v>
      </c>
      <c r="O1531" s="17" t="n">
        <f aca="false">'Dish Database'!O391*H1531/100</f>
        <v>1</v>
      </c>
      <c r="P1531" s="13" t="n">
        <f aca="false">'Dish Database'!P391*H1531/100</f>
        <v>450</v>
      </c>
    </row>
    <row r="1532" customFormat="false" ht="15" hidden="false" customHeight="false" outlineLevel="0" collapsed="false">
      <c r="A1532" s="6" t="str">
        <f aca="false">'Dish Database'!A391</f>
        <v>D390</v>
      </c>
      <c r="B1532" s="6" t="str">
        <f aca="false">'Dish Database'!B391</f>
        <v>Chicken pakora</v>
      </c>
      <c r="C1532" s="6" t="str">
        <f aca="false">'Dish Database'!D391</f>
        <v>Non-Veg Starters &amp; Kebabs</v>
      </c>
      <c r="D1532" s="6" t="str">
        <f aca="false">'Dish Database'!F391</f>
        <v>Non-Veg</v>
      </c>
      <c r="E1532" s="6" t="str">
        <f aca="false">'Dish Database'!E391</f>
        <v>North</v>
      </c>
      <c r="F1532" s="6" t="s">
        <v>103</v>
      </c>
      <c r="G1532" s="6" t="s">
        <v>2431</v>
      </c>
      <c r="H1532" s="16" t="n">
        <v>150</v>
      </c>
      <c r="I1532" s="6" t="str">
        <f aca="false">'Dish Database'!I391</f>
        <v>g</v>
      </c>
      <c r="J1532" s="13" t="n">
        <f aca="false">'Dish Database'!J391*H1532/100</f>
        <v>379.5</v>
      </c>
      <c r="K1532" s="17" t="n">
        <f aca="false">'Dish Database'!K391*H1532/100</f>
        <v>27</v>
      </c>
      <c r="L1532" s="17" t="n">
        <f aca="false">'Dish Database'!L391*H1532/100</f>
        <v>18</v>
      </c>
      <c r="M1532" s="17" t="n">
        <f aca="false">'Dish Database'!M391*H1532/100</f>
        <v>22.5</v>
      </c>
      <c r="N1532" s="17" t="n">
        <f aca="false">'Dish Database'!N391*H1532/100</f>
        <v>1.5</v>
      </c>
      <c r="O1532" s="17" t="n">
        <f aca="false">'Dish Database'!O391*H1532/100</f>
        <v>1.5</v>
      </c>
      <c r="P1532" s="13" t="n">
        <f aca="false">'Dish Database'!P391*H1532/100</f>
        <v>675</v>
      </c>
    </row>
    <row r="1533" customFormat="false" ht="15" hidden="false" customHeight="false" outlineLevel="0" collapsed="false">
      <c r="A1533" s="6" t="str">
        <f aca="false">'Dish Database'!A391</f>
        <v>D390</v>
      </c>
      <c r="B1533" s="6" t="str">
        <f aca="false">'Dish Database'!B391</f>
        <v>Chicken pakora</v>
      </c>
      <c r="C1533" s="6" t="str">
        <f aca="false">'Dish Database'!D391</f>
        <v>Non-Veg Starters &amp; Kebabs</v>
      </c>
      <c r="D1533" s="6" t="str">
        <f aca="false">'Dish Database'!F391</f>
        <v>Non-Veg</v>
      </c>
      <c r="E1533" s="6" t="str">
        <f aca="false">'Dish Database'!E391</f>
        <v>North</v>
      </c>
      <c r="F1533" s="6" t="s">
        <v>2246</v>
      </c>
      <c r="G1533" s="6" t="s">
        <v>2520</v>
      </c>
      <c r="H1533" s="16" t="n">
        <v>200</v>
      </c>
      <c r="I1533" s="6" t="str">
        <f aca="false">'Dish Database'!I391</f>
        <v>g</v>
      </c>
      <c r="J1533" s="13" t="n">
        <f aca="false">'Dish Database'!J391*H1533/100</f>
        <v>506</v>
      </c>
      <c r="K1533" s="17" t="n">
        <f aca="false">'Dish Database'!K391*H1533/100</f>
        <v>36</v>
      </c>
      <c r="L1533" s="17" t="n">
        <f aca="false">'Dish Database'!L391*H1533/100</f>
        <v>24</v>
      </c>
      <c r="M1533" s="17" t="n">
        <f aca="false">'Dish Database'!M391*H1533/100</f>
        <v>30</v>
      </c>
      <c r="N1533" s="17" t="n">
        <f aca="false">'Dish Database'!N391*H1533/100</f>
        <v>2</v>
      </c>
      <c r="O1533" s="17" t="n">
        <f aca="false">'Dish Database'!O391*H1533/100</f>
        <v>2</v>
      </c>
      <c r="P1533" s="13" t="n">
        <f aca="false">'Dish Database'!P391*H1533/100</f>
        <v>900</v>
      </c>
    </row>
    <row r="1534" customFormat="false" ht="15" hidden="false" customHeight="false" outlineLevel="0" collapsed="false">
      <c r="A1534" s="6" t="str">
        <f aca="false">'Dish Database'!A391</f>
        <v>D390</v>
      </c>
      <c r="B1534" s="6" t="str">
        <f aca="false">'Dish Database'!B391</f>
        <v>Chicken pakora</v>
      </c>
      <c r="C1534" s="6" t="str">
        <f aca="false">'Dish Database'!D391</f>
        <v>Non-Veg Starters &amp; Kebabs</v>
      </c>
      <c r="D1534" s="6" t="str">
        <f aca="false">'Dish Database'!F391</f>
        <v>Non-Veg</v>
      </c>
      <c r="E1534" s="6" t="str">
        <f aca="false">'Dish Database'!E391</f>
        <v>North</v>
      </c>
      <c r="F1534" s="6" t="s">
        <v>2323</v>
      </c>
      <c r="G1534" s="6" t="s">
        <v>2324</v>
      </c>
      <c r="H1534" s="16" t="n">
        <v>180</v>
      </c>
      <c r="I1534" s="6" t="str">
        <f aca="false">'Dish Database'!I391</f>
        <v>g</v>
      </c>
      <c r="J1534" s="13" t="n">
        <f aca="false">'Dish Database'!J391*H1534/100</f>
        <v>455.4</v>
      </c>
      <c r="K1534" s="17" t="n">
        <f aca="false">'Dish Database'!K391*H1534/100</f>
        <v>32.4</v>
      </c>
      <c r="L1534" s="17" t="n">
        <f aca="false">'Dish Database'!L391*H1534/100</f>
        <v>21.6</v>
      </c>
      <c r="M1534" s="17" t="n">
        <f aca="false">'Dish Database'!M391*H1534/100</f>
        <v>27</v>
      </c>
      <c r="N1534" s="17" t="n">
        <f aca="false">'Dish Database'!N391*H1534/100</f>
        <v>1.8</v>
      </c>
      <c r="O1534" s="17" t="n">
        <f aca="false">'Dish Database'!O391*H1534/100</f>
        <v>1.8</v>
      </c>
      <c r="P1534" s="13" t="n">
        <f aca="false">'Dish Database'!P391*H1534/100</f>
        <v>810</v>
      </c>
    </row>
    <row r="1535" customFormat="false" ht="15" hidden="false" customHeight="false" outlineLevel="0" collapsed="false">
      <c r="A1535" s="6" t="str">
        <f aca="false">'Dish Database'!A391</f>
        <v>D390</v>
      </c>
      <c r="B1535" s="6" t="str">
        <f aca="false">'Dish Database'!B391</f>
        <v>Chicken pakora</v>
      </c>
      <c r="C1535" s="6" t="str">
        <f aca="false">'Dish Database'!D391</f>
        <v>Non-Veg Starters &amp; Kebabs</v>
      </c>
      <c r="D1535" s="6" t="str">
        <f aca="false">'Dish Database'!F391</f>
        <v>Non-Veg</v>
      </c>
      <c r="E1535" s="6" t="str">
        <f aca="false">'Dish Database'!E391</f>
        <v>North</v>
      </c>
      <c r="F1535" s="6" t="s">
        <v>2325</v>
      </c>
      <c r="G1535" s="6" t="s">
        <v>2326</v>
      </c>
      <c r="H1535" s="16" t="n">
        <v>350</v>
      </c>
      <c r="I1535" s="6" t="str">
        <f aca="false">'Dish Database'!I391</f>
        <v>g</v>
      </c>
      <c r="J1535" s="13" t="n">
        <f aca="false">'Dish Database'!J391*H1535/100</f>
        <v>885.5</v>
      </c>
      <c r="K1535" s="17" t="n">
        <f aca="false">'Dish Database'!K391*H1535/100</f>
        <v>63</v>
      </c>
      <c r="L1535" s="17" t="n">
        <f aca="false">'Dish Database'!L391*H1535/100</f>
        <v>42</v>
      </c>
      <c r="M1535" s="17" t="n">
        <f aca="false">'Dish Database'!M391*H1535/100</f>
        <v>52.5</v>
      </c>
      <c r="N1535" s="17" t="n">
        <f aca="false">'Dish Database'!N391*H1535/100</f>
        <v>3.5</v>
      </c>
      <c r="O1535" s="17" t="n">
        <f aca="false">'Dish Database'!O391*H1535/100</f>
        <v>3.5</v>
      </c>
      <c r="P1535" s="13" t="n">
        <f aca="false">'Dish Database'!P391*H1535/100</f>
        <v>1575</v>
      </c>
    </row>
    <row r="1536" customFormat="false" ht="15" hidden="false" customHeight="false" outlineLevel="0" collapsed="false">
      <c r="A1536" s="6" t="str">
        <f aca="false">'Dish Database'!A392</f>
        <v>D391</v>
      </c>
      <c r="B1536" s="6" t="str">
        <f aca="false">'Dish Database'!B392</f>
        <v>Fish tikka</v>
      </c>
      <c r="C1536" s="6" t="str">
        <f aca="false">'Dish Database'!D392</f>
        <v>Non-Veg Starters &amp; Kebabs</v>
      </c>
      <c r="D1536" s="6" t="str">
        <f aca="false">'Dish Database'!F392</f>
        <v>Non-Veg</v>
      </c>
      <c r="E1536" s="6" t="str">
        <f aca="false">'Dish Database'!E392</f>
        <v>North</v>
      </c>
      <c r="F1536" s="6" t="s">
        <v>2243</v>
      </c>
      <c r="G1536" s="6" t="s">
        <v>2430</v>
      </c>
      <c r="H1536" s="16" t="n">
        <v>100</v>
      </c>
      <c r="I1536" s="6" t="str">
        <f aca="false">'Dish Database'!I392</f>
        <v>g</v>
      </c>
      <c r="J1536" s="13" t="n">
        <f aca="false">'Dish Database'!J392*H1536/100</f>
        <v>145.4</v>
      </c>
      <c r="K1536" s="17" t="n">
        <f aca="false">'Dish Database'!K392*H1536/100</f>
        <v>20</v>
      </c>
      <c r="L1536" s="17" t="n">
        <f aca="false">'Dish Database'!L392*H1536/100</f>
        <v>3</v>
      </c>
      <c r="M1536" s="17" t="n">
        <f aca="false">'Dish Database'!M392*H1536/100</f>
        <v>6</v>
      </c>
      <c r="N1536" s="17" t="n">
        <f aca="false">'Dish Database'!N392*H1536/100</f>
        <v>0.3</v>
      </c>
      <c r="O1536" s="17" t="n">
        <f aca="false">'Dish Database'!O392*H1536/100</f>
        <v>1</v>
      </c>
      <c r="P1536" s="13" t="n">
        <f aca="false">'Dish Database'!P392*H1536/100</f>
        <v>450</v>
      </c>
    </row>
    <row r="1537" customFormat="false" ht="15" hidden="false" customHeight="false" outlineLevel="0" collapsed="false">
      <c r="A1537" s="6" t="str">
        <f aca="false">'Dish Database'!A392</f>
        <v>D391</v>
      </c>
      <c r="B1537" s="6" t="str">
        <f aca="false">'Dish Database'!B392</f>
        <v>Fish tikka</v>
      </c>
      <c r="C1537" s="6" t="str">
        <f aca="false">'Dish Database'!D392</f>
        <v>Non-Veg Starters &amp; Kebabs</v>
      </c>
      <c r="D1537" s="6" t="str">
        <f aca="false">'Dish Database'!F392</f>
        <v>Non-Veg</v>
      </c>
      <c r="E1537" s="6" t="str">
        <f aca="false">'Dish Database'!E392</f>
        <v>North</v>
      </c>
      <c r="F1537" s="6" t="s">
        <v>103</v>
      </c>
      <c r="G1537" s="6" t="s">
        <v>2431</v>
      </c>
      <c r="H1537" s="16" t="n">
        <v>150</v>
      </c>
      <c r="I1537" s="6" t="str">
        <f aca="false">'Dish Database'!I392</f>
        <v>g</v>
      </c>
      <c r="J1537" s="13" t="n">
        <f aca="false">'Dish Database'!J392*H1537/100</f>
        <v>218.1</v>
      </c>
      <c r="K1537" s="17" t="n">
        <f aca="false">'Dish Database'!K392*H1537/100</f>
        <v>30</v>
      </c>
      <c r="L1537" s="17" t="n">
        <f aca="false">'Dish Database'!L392*H1537/100</f>
        <v>4.5</v>
      </c>
      <c r="M1537" s="17" t="n">
        <f aca="false">'Dish Database'!M392*H1537/100</f>
        <v>9</v>
      </c>
      <c r="N1537" s="17" t="n">
        <f aca="false">'Dish Database'!N392*H1537/100</f>
        <v>0.45</v>
      </c>
      <c r="O1537" s="17" t="n">
        <f aca="false">'Dish Database'!O392*H1537/100</f>
        <v>1.5</v>
      </c>
      <c r="P1537" s="13" t="n">
        <f aca="false">'Dish Database'!P392*H1537/100</f>
        <v>675</v>
      </c>
    </row>
    <row r="1538" customFormat="false" ht="15" hidden="false" customHeight="false" outlineLevel="0" collapsed="false">
      <c r="A1538" s="6" t="str">
        <f aca="false">'Dish Database'!A392</f>
        <v>D391</v>
      </c>
      <c r="B1538" s="6" t="str">
        <f aca="false">'Dish Database'!B392</f>
        <v>Fish tikka</v>
      </c>
      <c r="C1538" s="6" t="str">
        <f aca="false">'Dish Database'!D392</f>
        <v>Non-Veg Starters &amp; Kebabs</v>
      </c>
      <c r="D1538" s="6" t="str">
        <f aca="false">'Dish Database'!F392</f>
        <v>Non-Veg</v>
      </c>
      <c r="E1538" s="6" t="str">
        <f aca="false">'Dish Database'!E392</f>
        <v>North</v>
      </c>
      <c r="F1538" s="6" t="s">
        <v>2246</v>
      </c>
      <c r="G1538" s="6" t="s">
        <v>2520</v>
      </c>
      <c r="H1538" s="16" t="n">
        <v>200</v>
      </c>
      <c r="I1538" s="6" t="str">
        <f aca="false">'Dish Database'!I392</f>
        <v>g</v>
      </c>
      <c r="J1538" s="13" t="n">
        <f aca="false">'Dish Database'!J392*H1538/100</f>
        <v>290.8</v>
      </c>
      <c r="K1538" s="17" t="n">
        <f aca="false">'Dish Database'!K392*H1538/100</f>
        <v>40</v>
      </c>
      <c r="L1538" s="17" t="n">
        <f aca="false">'Dish Database'!L392*H1538/100</f>
        <v>6</v>
      </c>
      <c r="M1538" s="17" t="n">
        <f aca="false">'Dish Database'!M392*H1538/100</f>
        <v>12</v>
      </c>
      <c r="N1538" s="17" t="n">
        <f aca="false">'Dish Database'!N392*H1538/100</f>
        <v>0.6</v>
      </c>
      <c r="O1538" s="17" t="n">
        <f aca="false">'Dish Database'!O392*H1538/100</f>
        <v>2</v>
      </c>
      <c r="P1538" s="13" t="n">
        <f aca="false">'Dish Database'!P392*H1538/100</f>
        <v>900</v>
      </c>
    </row>
    <row r="1539" customFormat="false" ht="15" hidden="false" customHeight="false" outlineLevel="0" collapsed="false">
      <c r="A1539" s="6" t="str">
        <f aca="false">'Dish Database'!A392</f>
        <v>D391</v>
      </c>
      <c r="B1539" s="6" t="str">
        <f aca="false">'Dish Database'!B392</f>
        <v>Fish tikka</v>
      </c>
      <c r="C1539" s="6" t="str">
        <f aca="false">'Dish Database'!D392</f>
        <v>Non-Veg Starters &amp; Kebabs</v>
      </c>
      <c r="D1539" s="6" t="str">
        <f aca="false">'Dish Database'!F392</f>
        <v>Non-Veg</v>
      </c>
      <c r="E1539" s="6" t="str">
        <f aca="false">'Dish Database'!E392</f>
        <v>North</v>
      </c>
      <c r="F1539" s="6" t="s">
        <v>2323</v>
      </c>
      <c r="G1539" s="6" t="s">
        <v>2324</v>
      </c>
      <c r="H1539" s="16" t="n">
        <v>180</v>
      </c>
      <c r="I1539" s="6" t="str">
        <f aca="false">'Dish Database'!I392</f>
        <v>g</v>
      </c>
      <c r="J1539" s="13" t="n">
        <f aca="false">'Dish Database'!J392*H1539/100</f>
        <v>261.72</v>
      </c>
      <c r="K1539" s="17" t="n">
        <f aca="false">'Dish Database'!K392*H1539/100</f>
        <v>36</v>
      </c>
      <c r="L1539" s="17" t="n">
        <f aca="false">'Dish Database'!L392*H1539/100</f>
        <v>5.4</v>
      </c>
      <c r="M1539" s="17" t="n">
        <f aca="false">'Dish Database'!M392*H1539/100</f>
        <v>10.8</v>
      </c>
      <c r="N1539" s="17" t="n">
        <f aca="false">'Dish Database'!N392*H1539/100</f>
        <v>0.54</v>
      </c>
      <c r="O1539" s="17" t="n">
        <f aca="false">'Dish Database'!O392*H1539/100</f>
        <v>1.8</v>
      </c>
      <c r="P1539" s="13" t="n">
        <f aca="false">'Dish Database'!P392*H1539/100</f>
        <v>810</v>
      </c>
    </row>
    <row r="1540" customFormat="false" ht="15" hidden="false" customHeight="false" outlineLevel="0" collapsed="false">
      <c r="A1540" s="6" t="str">
        <f aca="false">'Dish Database'!A392</f>
        <v>D391</v>
      </c>
      <c r="B1540" s="6" t="str">
        <f aca="false">'Dish Database'!B392</f>
        <v>Fish tikka</v>
      </c>
      <c r="C1540" s="6" t="str">
        <f aca="false">'Dish Database'!D392</f>
        <v>Non-Veg Starters &amp; Kebabs</v>
      </c>
      <c r="D1540" s="6" t="str">
        <f aca="false">'Dish Database'!F392</f>
        <v>Non-Veg</v>
      </c>
      <c r="E1540" s="6" t="str">
        <f aca="false">'Dish Database'!E392</f>
        <v>North</v>
      </c>
      <c r="F1540" s="6" t="s">
        <v>2325</v>
      </c>
      <c r="G1540" s="6" t="s">
        <v>2326</v>
      </c>
      <c r="H1540" s="16" t="n">
        <v>350</v>
      </c>
      <c r="I1540" s="6" t="str">
        <f aca="false">'Dish Database'!I392</f>
        <v>g</v>
      </c>
      <c r="J1540" s="13" t="n">
        <f aca="false">'Dish Database'!J392*H1540/100</f>
        <v>508.9</v>
      </c>
      <c r="K1540" s="17" t="n">
        <f aca="false">'Dish Database'!K392*H1540/100</f>
        <v>70</v>
      </c>
      <c r="L1540" s="17" t="n">
        <f aca="false">'Dish Database'!L392*H1540/100</f>
        <v>10.5</v>
      </c>
      <c r="M1540" s="17" t="n">
        <f aca="false">'Dish Database'!M392*H1540/100</f>
        <v>21</v>
      </c>
      <c r="N1540" s="17" t="n">
        <f aca="false">'Dish Database'!N392*H1540/100</f>
        <v>1.05</v>
      </c>
      <c r="O1540" s="17" t="n">
        <f aca="false">'Dish Database'!O392*H1540/100</f>
        <v>3.5</v>
      </c>
      <c r="P1540" s="13" t="n">
        <f aca="false">'Dish Database'!P392*H1540/100</f>
        <v>1575</v>
      </c>
    </row>
    <row r="1541" customFormat="false" ht="15" hidden="false" customHeight="false" outlineLevel="0" collapsed="false">
      <c r="A1541" s="6" t="str">
        <f aca="false">'Dish Database'!A393</f>
        <v>D392</v>
      </c>
      <c r="B1541" s="6" t="str">
        <f aca="false">'Dish Database'!B393</f>
        <v>Fish fry (masala / rava, shallow fried)</v>
      </c>
      <c r="C1541" s="6" t="str">
        <f aca="false">'Dish Database'!D393</f>
        <v>Non-Veg Starters &amp; Kebabs</v>
      </c>
      <c r="D1541" s="6" t="str">
        <f aca="false">'Dish Database'!F393</f>
        <v>Non-Veg</v>
      </c>
      <c r="E1541" s="6" t="str">
        <f aca="false">'Dish Database'!E393</f>
        <v>South</v>
      </c>
      <c r="F1541" s="6" t="s">
        <v>2243</v>
      </c>
      <c r="G1541" s="6" t="s">
        <v>2555</v>
      </c>
      <c r="H1541" s="16" t="n">
        <v>60</v>
      </c>
      <c r="I1541" s="6" t="str">
        <f aca="false">'Dish Database'!I393</f>
        <v>g</v>
      </c>
      <c r="J1541" s="13" t="n">
        <f aca="false">'Dish Database'!J393*H1541/100</f>
        <v>126</v>
      </c>
      <c r="K1541" s="17" t="n">
        <f aca="false">'Dish Database'!K393*H1541/100</f>
        <v>12</v>
      </c>
      <c r="L1541" s="17" t="n">
        <f aca="false">'Dish Database'!L393*H1541/100</f>
        <v>4.8</v>
      </c>
      <c r="M1541" s="17" t="n">
        <f aca="false">'Dish Database'!M393*H1541/100</f>
        <v>6.6</v>
      </c>
      <c r="N1541" s="17" t="n">
        <f aca="false">'Dish Database'!N393*H1541/100</f>
        <v>0.3</v>
      </c>
      <c r="O1541" s="17" t="n">
        <f aca="false">'Dish Database'!O393*H1541/100</f>
        <v>0.3</v>
      </c>
      <c r="P1541" s="13" t="n">
        <f aca="false">'Dish Database'!P393*H1541/100</f>
        <v>300</v>
      </c>
    </row>
    <row r="1542" customFormat="false" ht="15" hidden="false" customHeight="false" outlineLevel="0" collapsed="false">
      <c r="A1542" s="6" t="str">
        <f aca="false">'Dish Database'!A393</f>
        <v>D392</v>
      </c>
      <c r="B1542" s="6" t="str">
        <f aca="false">'Dish Database'!B393</f>
        <v>Fish fry (masala / rava, shallow fried)</v>
      </c>
      <c r="C1542" s="6" t="str">
        <f aca="false">'Dish Database'!D393</f>
        <v>Non-Veg Starters &amp; Kebabs</v>
      </c>
      <c r="D1542" s="6" t="str">
        <f aca="false">'Dish Database'!F393</f>
        <v>Non-Veg</v>
      </c>
      <c r="E1542" s="6" t="str">
        <f aca="false">'Dish Database'!E393</f>
        <v>South</v>
      </c>
      <c r="F1542" s="6" t="s">
        <v>103</v>
      </c>
      <c r="G1542" s="6" t="s">
        <v>2556</v>
      </c>
      <c r="H1542" s="16" t="n">
        <v>90</v>
      </c>
      <c r="I1542" s="6" t="str">
        <f aca="false">'Dish Database'!I393</f>
        <v>g</v>
      </c>
      <c r="J1542" s="13" t="n">
        <f aca="false">'Dish Database'!J393*H1542/100</f>
        <v>189</v>
      </c>
      <c r="K1542" s="17" t="n">
        <f aca="false">'Dish Database'!K393*H1542/100</f>
        <v>18</v>
      </c>
      <c r="L1542" s="17" t="n">
        <f aca="false">'Dish Database'!L393*H1542/100</f>
        <v>7.2</v>
      </c>
      <c r="M1542" s="17" t="n">
        <f aca="false">'Dish Database'!M393*H1542/100</f>
        <v>9.9</v>
      </c>
      <c r="N1542" s="17" t="n">
        <f aca="false">'Dish Database'!N393*H1542/100</f>
        <v>0.45</v>
      </c>
      <c r="O1542" s="17" t="n">
        <f aca="false">'Dish Database'!O393*H1542/100</f>
        <v>0.45</v>
      </c>
      <c r="P1542" s="13" t="n">
        <f aca="false">'Dish Database'!P393*H1542/100</f>
        <v>450</v>
      </c>
    </row>
    <row r="1543" customFormat="false" ht="15" hidden="false" customHeight="false" outlineLevel="0" collapsed="false">
      <c r="A1543" s="6" t="str">
        <f aca="false">'Dish Database'!A393</f>
        <v>D392</v>
      </c>
      <c r="B1543" s="6" t="str">
        <f aca="false">'Dish Database'!B393</f>
        <v>Fish fry (masala / rava, shallow fried)</v>
      </c>
      <c r="C1543" s="6" t="str">
        <f aca="false">'Dish Database'!D393</f>
        <v>Non-Veg Starters &amp; Kebabs</v>
      </c>
      <c r="D1543" s="6" t="str">
        <f aca="false">'Dish Database'!F393</f>
        <v>Non-Veg</v>
      </c>
      <c r="E1543" s="6" t="str">
        <f aca="false">'Dish Database'!E393</f>
        <v>South</v>
      </c>
      <c r="F1543" s="6" t="s">
        <v>2246</v>
      </c>
      <c r="G1543" s="6" t="s">
        <v>2557</v>
      </c>
      <c r="H1543" s="16" t="n">
        <v>120</v>
      </c>
      <c r="I1543" s="6" t="str">
        <f aca="false">'Dish Database'!I393</f>
        <v>g</v>
      </c>
      <c r="J1543" s="13" t="n">
        <f aca="false">'Dish Database'!J393*H1543/100</f>
        <v>252</v>
      </c>
      <c r="K1543" s="17" t="n">
        <f aca="false">'Dish Database'!K393*H1543/100</f>
        <v>24</v>
      </c>
      <c r="L1543" s="17" t="n">
        <f aca="false">'Dish Database'!L393*H1543/100</f>
        <v>9.6</v>
      </c>
      <c r="M1543" s="17" t="n">
        <f aca="false">'Dish Database'!M393*H1543/100</f>
        <v>13.2</v>
      </c>
      <c r="N1543" s="17" t="n">
        <f aca="false">'Dish Database'!N393*H1543/100</f>
        <v>0.6</v>
      </c>
      <c r="O1543" s="17" t="n">
        <f aca="false">'Dish Database'!O393*H1543/100</f>
        <v>0.6</v>
      </c>
      <c r="P1543" s="13" t="n">
        <f aca="false">'Dish Database'!P393*H1543/100</f>
        <v>600</v>
      </c>
    </row>
    <row r="1544" customFormat="false" ht="15" hidden="false" customHeight="false" outlineLevel="0" collapsed="false">
      <c r="A1544" s="6" t="str">
        <f aca="false">'Dish Database'!A394</f>
        <v>D393</v>
      </c>
      <c r="B1544" s="6" t="str">
        <f aca="false">'Dish Database'!B394</f>
        <v>Amritsari fish (batter fried)</v>
      </c>
      <c r="C1544" s="6" t="str">
        <f aca="false">'Dish Database'!D394</f>
        <v>Non-Veg Starters &amp; Kebabs</v>
      </c>
      <c r="D1544" s="6" t="str">
        <f aca="false">'Dish Database'!F394</f>
        <v>Non-Veg</v>
      </c>
      <c r="E1544" s="6" t="str">
        <f aca="false">'Dish Database'!E394</f>
        <v>North</v>
      </c>
      <c r="F1544" s="6" t="s">
        <v>2243</v>
      </c>
      <c r="G1544" s="6" t="s">
        <v>2430</v>
      </c>
      <c r="H1544" s="16" t="n">
        <v>100</v>
      </c>
      <c r="I1544" s="6" t="str">
        <f aca="false">'Dish Database'!I394</f>
        <v>g</v>
      </c>
      <c r="J1544" s="13" t="n">
        <f aca="false">'Dish Database'!J394*H1544/100</f>
        <v>231</v>
      </c>
      <c r="K1544" s="17" t="n">
        <f aca="false">'Dish Database'!K394*H1544/100</f>
        <v>17</v>
      </c>
      <c r="L1544" s="17" t="n">
        <f aca="false">'Dish Database'!L394*H1544/100</f>
        <v>12</v>
      </c>
      <c r="M1544" s="17" t="n">
        <f aca="false">'Dish Database'!M394*H1544/100</f>
        <v>13</v>
      </c>
      <c r="N1544" s="17" t="n">
        <f aca="false">'Dish Database'!N394*H1544/100</f>
        <v>1</v>
      </c>
      <c r="O1544" s="17" t="n">
        <f aca="false">'Dish Database'!O394*H1544/100</f>
        <v>1</v>
      </c>
      <c r="P1544" s="13" t="n">
        <f aca="false">'Dish Database'!P394*H1544/100</f>
        <v>500</v>
      </c>
    </row>
    <row r="1545" customFormat="false" ht="15" hidden="false" customHeight="false" outlineLevel="0" collapsed="false">
      <c r="A1545" s="6" t="str">
        <f aca="false">'Dish Database'!A394</f>
        <v>D393</v>
      </c>
      <c r="B1545" s="6" t="str">
        <f aca="false">'Dish Database'!B394</f>
        <v>Amritsari fish (batter fried)</v>
      </c>
      <c r="C1545" s="6" t="str">
        <f aca="false">'Dish Database'!D394</f>
        <v>Non-Veg Starters &amp; Kebabs</v>
      </c>
      <c r="D1545" s="6" t="str">
        <f aca="false">'Dish Database'!F394</f>
        <v>Non-Veg</v>
      </c>
      <c r="E1545" s="6" t="str">
        <f aca="false">'Dish Database'!E394</f>
        <v>North</v>
      </c>
      <c r="F1545" s="6" t="s">
        <v>103</v>
      </c>
      <c r="G1545" s="6" t="s">
        <v>2431</v>
      </c>
      <c r="H1545" s="16" t="n">
        <v>150</v>
      </c>
      <c r="I1545" s="6" t="str">
        <f aca="false">'Dish Database'!I394</f>
        <v>g</v>
      </c>
      <c r="J1545" s="13" t="n">
        <f aca="false">'Dish Database'!J394*H1545/100</f>
        <v>346.5</v>
      </c>
      <c r="K1545" s="17" t="n">
        <f aca="false">'Dish Database'!K394*H1545/100</f>
        <v>25.5</v>
      </c>
      <c r="L1545" s="17" t="n">
        <f aca="false">'Dish Database'!L394*H1545/100</f>
        <v>18</v>
      </c>
      <c r="M1545" s="17" t="n">
        <f aca="false">'Dish Database'!M394*H1545/100</f>
        <v>19.5</v>
      </c>
      <c r="N1545" s="17" t="n">
        <f aca="false">'Dish Database'!N394*H1545/100</f>
        <v>1.5</v>
      </c>
      <c r="O1545" s="17" t="n">
        <f aca="false">'Dish Database'!O394*H1545/100</f>
        <v>1.5</v>
      </c>
      <c r="P1545" s="13" t="n">
        <f aca="false">'Dish Database'!P394*H1545/100</f>
        <v>750</v>
      </c>
    </row>
    <row r="1546" customFormat="false" ht="15" hidden="false" customHeight="false" outlineLevel="0" collapsed="false">
      <c r="A1546" s="6" t="str">
        <f aca="false">'Dish Database'!A394</f>
        <v>D393</v>
      </c>
      <c r="B1546" s="6" t="str">
        <f aca="false">'Dish Database'!B394</f>
        <v>Amritsari fish (batter fried)</v>
      </c>
      <c r="C1546" s="6" t="str">
        <f aca="false">'Dish Database'!D394</f>
        <v>Non-Veg Starters &amp; Kebabs</v>
      </c>
      <c r="D1546" s="6" t="str">
        <f aca="false">'Dish Database'!F394</f>
        <v>Non-Veg</v>
      </c>
      <c r="E1546" s="6" t="str">
        <f aca="false">'Dish Database'!E394</f>
        <v>North</v>
      </c>
      <c r="F1546" s="6" t="s">
        <v>2246</v>
      </c>
      <c r="G1546" s="6" t="s">
        <v>2520</v>
      </c>
      <c r="H1546" s="16" t="n">
        <v>200</v>
      </c>
      <c r="I1546" s="6" t="str">
        <f aca="false">'Dish Database'!I394</f>
        <v>g</v>
      </c>
      <c r="J1546" s="13" t="n">
        <f aca="false">'Dish Database'!J394*H1546/100</f>
        <v>462</v>
      </c>
      <c r="K1546" s="17" t="n">
        <f aca="false">'Dish Database'!K394*H1546/100</f>
        <v>34</v>
      </c>
      <c r="L1546" s="17" t="n">
        <f aca="false">'Dish Database'!L394*H1546/100</f>
        <v>24</v>
      </c>
      <c r="M1546" s="17" t="n">
        <f aca="false">'Dish Database'!M394*H1546/100</f>
        <v>26</v>
      </c>
      <c r="N1546" s="17" t="n">
        <f aca="false">'Dish Database'!N394*H1546/100</f>
        <v>2</v>
      </c>
      <c r="O1546" s="17" t="n">
        <f aca="false">'Dish Database'!O394*H1546/100</f>
        <v>2</v>
      </c>
      <c r="P1546" s="13" t="n">
        <f aca="false">'Dish Database'!P394*H1546/100</f>
        <v>1000</v>
      </c>
    </row>
    <row r="1547" customFormat="false" ht="15" hidden="false" customHeight="false" outlineLevel="0" collapsed="false">
      <c r="A1547" s="6" t="str">
        <f aca="false">'Dish Database'!A394</f>
        <v>D393</v>
      </c>
      <c r="B1547" s="6" t="str">
        <f aca="false">'Dish Database'!B394</f>
        <v>Amritsari fish (batter fried)</v>
      </c>
      <c r="C1547" s="6" t="str">
        <f aca="false">'Dish Database'!D394</f>
        <v>Non-Veg Starters &amp; Kebabs</v>
      </c>
      <c r="D1547" s="6" t="str">
        <f aca="false">'Dish Database'!F394</f>
        <v>Non-Veg</v>
      </c>
      <c r="E1547" s="6" t="str">
        <f aca="false">'Dish Database'!E394</f>
        <v>North</v>
      </c>
      <c r="F1547" s="6" t="s">
        <v>2323</v>
      </c>
      <c r="G1547" s="6" t="s">
        <v>2324</v>
      </c>
      <c r="H1547" s="16" t="n">
        <v>180</v>
      </c>
      <c r="I1547" s="6" t="str">
        <f aca="false">'Dish Database'!I394</f>
        <v>g</v>
      </c>
      <c r="J1547" s="13" t="n">
        <f aca="false">'Dish Database'!J394*H1547/100</f>
        <v>415.8</v>
      </c>
      <c r="K1547" s="17" t="n">
        <f aca="false">'Dish Database'!K394*H1547/100</f>
        <v>30.6</v>
      </c>
      <c r="L1547" s="17" t="n">
        <f aca="false">'Dish Database'!L394*H1547/100</f>
        <v>21.6</v>
      </c>
      <c r="M1547" s="17" t="n">
        <f aca="false">'Dish Database'!M394*H1547/100</f>
        <v>23.4</v>
      </c>
      <c r="N1547" s="17" t="n">
        <f aca="false">'Dish Database'!N394*H1547/100</f>
        <v>1.8</v>
      </c>
      <c r="O1547" s="17" t="n">
        <f aca="false">'Dish Database'!O394*H1547/100</f>
        <v>1.8</v>
      </c>
      <c r="P1547" s="13" t="n">
        <f aca="false">'Dish Database'!P394*H1547/100</f>
        <v>900</v>
      </c>
    </row>
    <row r="1548" customFormat="false" ht="15" hidden="false" customHeight="false" outlineLevel="0" collapsed="false">
      <c r="A1548" s="6" t="str">
        <f aca="false">'Dish Database'!A394</f>
        <v>D393</v>
      </c>
      <c r="B1548" s="6" t="str">
        <f aca="false">'Dish Database'!B394</f>
        <v>Amritsari fish (batter fried)</v>
      </c>
      <c r="C1548" s="6" t="str">
        <f aca="false">'Dish Database'!D394</f>
        <v>Non-Veg Starters &amp; Kebabs</v>
      </c>
      <c r="D1548" s="6" t="str">
        <f aca="false">'Dish Database'!F394</f>
        <v>Non-Veg</v>
      </c>
      <c r="E1548" s="6" t="str">
        <f aca="false">'Dish Database'!E394</f>
        <v>North</v>
      </c>
      <c r="F1548" s="6" t="s">
        <v>2325</v>
      </c>
      <c r="G1548" s="6" t="s">
        <v>2326</v>
      </c>
      <c r="H1548" s="16" t="n">
        <v>350</v>
      </c>
      <c r="I1548" s="6" t="str">
        <f aca="false">'Dish Database'!I394</f>
        <v>g</v>
      </c>
      <c r="J1548" s="13" t="n">
        <f aca="false">'Dish Database'!J394*H1548/100</f>
        <v>808.5</v>
      </c>
      <c r="K1548" s="17" t="n">
        <f aca="false">'Dish Database'!K394*H1548/100</f>
        <v>59.5</v>
      </c>
      <c r="L1548" s="17" t="n">
        <f aca="false">'Dish Database'!L394*H1548/100</f>
        <v>42</v>
      </c>
      <c r="M1548" s="17" t="n">
        <f aca="false">'Dish Database'!M394*H1548/100</f>
        <v>45.5</v>
      </c>
      <c r="N1548" s="17" t="n">
        <f aca="false">'Dish Database'!N394*H1548/100</f>
        <v>3.5</v>
      </c>
      <c r="O1548" s="17" t="n">
        <f aca="false">'Dish Database'!O394*H1548/100</f>
        <v>3.5</v>
      </c>
      <c r="P1548" s="13" t="n">
        <f aca="false">'Dish Database'!P394*H1548/100</f>
        <v>1750</v>
      </c>
    </row>
    <row r="1549" customFormat="false" ht="15" hidden="false" customHeight="false" outlineLevel="0" collapsed="false">
      <c r="A1549" s="6" t="str">
        <f aca="false">'Dish Database'!A395</f>
        <v>D394</v>
      </c>
      <c r="B1549" s="6" t="str">
        <f aca="false">'Dish Database'!B395</f>
        <v>Fish pakora</v>
      </c>
      <c r="C1549" s="6" t="str">
        <f aca="false">'Dish Database'!D395</f>
        <v>Non-Veg Starters &amp; Kebabs</v>
      </c>
      <c r="D1549" s="6" t="str">
        <f aca="false">'Dish Database'!F395</f>
        <v>Non-Veg</v>
      </c>
      <c r="E1549" s="6" t="str">
        <f aca="false">'Dish Database'!E395</f>
        <v>Pan-India</v>
      </c>
      <c r="F1549" s="6" t="s">
        <v>2243</v>
      </c>
      <c r="G1549" s="6" t="s">
        <v>2430</v>
      </c>
      <c r="H1549" s="16" t="n">
        <v>100</v>
      </c>
      <c r="I1549" s="6" t="str">
        <f aca="false">'Dish Database'!I395</f>
        <v>g</v>
      </c>
      <c r="J1549" s="13" t="n">
        <f aca="false">'Dish Database'!J395*H1549/100</f>
        <v>236</v>
      </c>
      <c r="K1549" s="17" t="n">
        <f aca="false">'Dish Database'!K395*H1549/100</f>
        <v>16</v>
      </c>
      <c r="L1549" s="17" t="n">
        <f aca="false">'Dish Database'!L395*H1549/100</f>
        <v>12</v>
      </c>
      <c r="M1549" s="17" t="n">
        <f aca="false">'Dish Database'!M395*H1549/100</f>
        <v>14</v>
      </c>
      <c r="N1549" s="17" t="n">
        <f aca="false">'Dish Database'!N395*H1549/100</f>
        <v>1</v>
      </c>
      <c r="O1549" s="17" t="n">
        <f aca="false">'Dish Database'!O395*H1549/100</f>
        <v>1</v>
      </c>
      <c r="P1549" s="13" t="n">
        <f aca="false">'Dish Database'!P395*H1549/100</f>
        <v>420</v>
      </c>
    </row>
    <row r="1550" customFormat="false" ht="15" hidden="false" customHeight="false" outlineLevel="0" collapsed="false">
      <c r="A1550" s="6" t="str">
        <f aca="false">'Dish Database'!A395</f>
        <v>D394</v>
      </c>
      <c r="B1550" s="6" t="str">
        <f aca="false">'Dish Database'!B395</f>
        <v>Fish pakora</v>
      </c>
      <c r="C1550" s="6" t="str">
        <f aca="false">'Dish Database'!D395</f>
        <v>Non-Veg Starters &amp; Kebabs</v>
      </c>
      <c r="D1550" s="6" t="str">
        <f aca="false">'Dish Database'!F395</f>
        <v>Non-Veg</v>
      </c>
      <c r="E1550" s="6" t="str">
        <f aca="false">'Dish Database'!E395</f>
        <v>Pan-India</v>
      </c>
      <c r="F1550" s="6" t="s">
        <v>103</v>
      </c>
      <c r="G1550" s="6" t="s">
        <v>2431</v>
      </c>
      <c r="H1550" s="16" t="n">
        <v>150</v>
      </c>
      <c r="I1550" s="6" t="str">
        <f aca="false">'Dish Database'!I395</f>
        <v>g</v>
      </c>
      <c r="J1550" s="13" t="n">
        <f aca="false">'Dish Database'!J395*H1550/100</f>
        <v>354</v>
      </c>
      <c r="K1550" s="17" t="n">
        <f aca="false">'Dish Database'!K395*H1550/100</f>
        <v>24</v>
      </c>
      <c r="L1550" s="17" t="n">
        <f aca="false">'Dish Database'!L395*H1550/100</f>
        <v>18</v>
      </c>
      <c r="M1550" s="17" t="n">
        <f aca="false">'Dish Database'!M395*H1550/100</f>
        <v>21</v>
      </c>
      <c r="N1550" s="17" t="n">
        <f aca="false">'Dish Database'!N395*H1550/100</f>
        <v>1.5</v>
      </c>
      <c r="O1550" s="17" t="n">
        <f aca="false">'Dish Database'!O395*H1550/100</f>
        <v>1.5</v>
      </c>
      <c r="P1550" s="13" t="n">
        <f aca="false">'Dish Database'!P395*H1550/100</f>
        <v>630</v>
      </c>
    </row>
    <row r="1551" customFormat="false" ht="15" hidden="false" customHeight="false" outlineLevel="0" collapsed="false">
      <c r="A1551" s="6" t="str">
        <f aca="false">'Dish Database'!A395</f>
        <v>D394</v>
      </c>
      <c r="B1551" s="6" t="str">
        <f aca="false">'Dish Database'!B395</f>
        <v>Fish pakora</v>
      </c>
      <c r="C1551" s="6" t="str">
        <f aca="false">'Dish Database'!D395</f>
        <v>Non-Veg Starters &amp; Kebabs</v>
      </c>
      <c r="D1551" s="6" t="str">
        <f aca="false">'Dish Database'!F395</f>
        <v>Non-Veg</v>
      </c>
      <c r="E1551" s="6" t="str">
        <f aca="false">'Dish Database'!E395</f>
        <v>Pan-India</v>
      </c>
      <c r="F1551" s="6" t="s">
        <v>2246</v>
      </c>
      <c r="G1551" s="6" t="s">
        <v>2520</v>
      </c>
      <c r="H1551" s="16" t="n">
        <v>200</v>
      </c>
      <c r="I1551" s="6" t="str">
        <f aca="false">'Dish Database'!I395</f>
        <v>g</v>
      </c>
      <c r="J1551" s="13" t="n">
        <f aca="false">'Dish Database'!J395*H1551/100</f>
        <v>472</v>
      </c>
      <c r="K1551" s="17" t="n">
        <f aca="false">'Dish Database'!K395*H1551/100</f>
        <v>32</v>
      </c>
      <c r="L1551" s="17" t="n">
        <f aca="false">'Dish Database'!L395*H1551/100</f>
        <v>24</v>
      </c>
      <c r="M1551" s="17" t="n">
        <f aca="false">'Dish Database'!M395*H1551/100</f>
        <v>28</v>
      </c>
      <c r="N1551" s="17" t="n">
        <f aca="false">'Dish Database'!N395*H1551/100</f>
        <v>2</v>
      </c>
      <c r="O1551" s="17" t="n">
        <f aca="false">'Dish Database'!O395*H1551/100</f>
        <v>2</v>
      </c>
      <c r="P1551" s="13" t="n">
        <f aca="false">'Dish Database'!P395*H1551/100</f>
        <v>840</v>
      </c>
    </row>
    <row r="1552" customFormat="false" ht="15" hidden="false" customHeight="false" outlineLevel="0" collapsed="false">
      <c r="A1552" s="6" t="str">
        <f aca="false">'Dish Database'!A395</f>
        <v>D394</v>
      </c>
      <c r="B1552" s="6" t="str">
        <f aca="false">'Dish Database'!B395</f>
        <v>Fish pakora</v>
      </c>
      <c r="C1552" s="6" t="str">
        <f aca="false">'Dish Database'!D395</f>
        <v>Non-Veg Starters &amp; Kebabs</v>
      </c>
      <c r="D1552" s="6" t="str">
        <f aca="false">'Dish Database'!F395</f>
        <v>Non-Veg</v>
      </c>
      <c r="E1552" s="6" t="str">
        <f aca="false">'Dish Database'!E395</f>
        <v>Pan-India</v>
      </c>
      <c r="F1552" s="6" t="s">
        <v>2323</v>
      </c>
      <c r="G1552" s="6" t="s">
        <v>2324</v>
      </c>
      <c r="H1552" s="16" t="n">
        <v>180</v>
      </c>
      <c r="I1552" s="6" t="str">
        <f aca="false">'Dish Database'!I395</f>
        <v>g</v>
      </c>
      <c r="J1552" s="13" t="n">
        <f aca="false">'Dish Database'!J395*H1552/100</f>
        <v>424.8</v>
      </c>
      <c r="K1552" s="17" t="n">
        <f aca="false">'Dish Database'!K395*H1552/100</f>
        <v>28.8</v>
      </c>
      <c r="L1552" s="17" t="n">
        <f aca="false">'Dish Database'!L395*H1552/100</f>
        <v>21.6</v>
      </c>
      <c r="M1552" s="17" t="n">
        <f aca="false">'Dish Database'!M395*H1552/100</f>
        <v>25.2</v>
      </c>
      <c r="N1552" s="17" t="n">
        <f aca="false">'Dish Database'!N395*H1552/100</f>
        <v>1.8</v>
      </c>
      <c r="O1552" s="17" t="n">
        <f aca="false">'Dish Database'!O395*H1552/100</f>
        <v>1.8</v>
      </c>
      <c r="P1552" s="13" t="n">
        <f aca="false">'Dish Database'!P395*H1552/100</f>
        <v>756</v>
      </c>
    </row>
    <row r="1553" customFormat="false" ht="15" hidden="false" customHeight="false" outlineLevel="0" collapsed="false">
      <c r="A1553" s="6" t="str">
        <f aca="false">'Dish Database'!A395</f>
        <v>D394</v>
      </c>
      <c r="B1553" s="6" t="str">
        <f aca="false">'Dish Database'!B395</f>
        <v>Fish pakora</v>
      </c>
      <c r="C1553" s="6" t="str">
        <f aca="false">'Dish Database'!D395</f>
        <v>Non-Veg Starters &amp; Kebabs</v>
      </c>
      <c r="D1553" s="6" t="str">
        <f aca="false">'Dish Database'!F395</f>
        <v>Non-Veg</v>
      </c>
      <c r="E1553" s="6" t="str">
        <f aca="false">'Dish Database'!E395</f>
        <v>Pan-India</v>
      </c>
      <c r="F1553" s="6" t="s">
        <v>2325</v>
      </c>
      <c r="G1553" s="6" t="s">
        <v>2326</v>
      </c>
      <c r="H1553" s="16" t="n">
        <v>350</v>
      </c>
      <c r="I1553" s="6" t="str">
        <f aca="false">'Dish Database'!I395</f>
        <v>g</v>
      </c>
      <c r="J1553" s="13" t="n">
        <f aca="false">'Dish Database'!J395*H1553/100</f>
        <v>826</v>
      </c>
      <c r="K1553" s="17" t="n">
        <f aca="false">'Dish Database'!K395*H1553/100</f>
        <v>56</v>
      </c>
      <c r="L1553" s="17" t="n">
        <f aca="false">'Dish Database'!L395*H1553/100</f>
        <v>42</v>
      </c>
      <c r="M1553" s="17" t="n">
        <f aca="false">'Dish Database'!M395*H1553/100</f>
        <v>49</v>
      </c>
      <c r="N1553" s="17" t="n">
        <f aca="false">'Dish Database'!N395*H1553/100</f>
        <v>3.5</v>
      </c>
      <c r="O1553" s="17" t="n">
        <f aca="false">'Dish Database'!O395*H1553/100</f>
        <v>3.5</v>
      </c>
      <c r="P1553" s="13" t="n">
        <f aca="false">'Dish Database'!P395*H1553/100</f>
        <v>1470</v>
      </c>
    </row>
    <row r="1554" customFormat="false" ht="15" hidden="false" customHeight="false" outlineLevel="0" collapsed="false">
      <c r="A1554" s="6" t="str">
        <f aca="false">'Dish Database'!A396</f>
        <v>D395</v>
      </c>
      <c r="B1554" s="6" t="str">
        <f aca="false">'Dish Database'!B396</f>
        <v>Tandoori prawns</v>
      </c>
      <c r="C1554" s="6" t="str">
        <f aca="false">'Dish Database'!D396</f>
        <v>Non-Veg Starters &amp; Kebabs</v>
      </c>
      <c r="D1554" s="6" t="str">
        <f aca="false">'Dish Database'!F396</f>
        <v>Non-Veg</v>
      </c>
      <c r="E1554" s="6" t="str">
        <f aca="false">'Dish Database'!E396</f>
        <v>North</v>
      </c>
      <c r="F1554" s="6" t="s">
        <v>2243</v>
      </c>
      <c r="G1554" s="6" t="s">
        <v>2430</v>
      </c>
      <c r="H1554" s="16" t="n">
        <v>100</v>
      </c>
      <c r="I1554" s="6" t="str">
        <f aca="false">'Dish Database'!I396</f>
        <v>g</v>
      </c>
      <c r="J1554" s="13" t="n">
        <f aca="false">'Dish Database'!J396*H1554/100</f>
        <v>136.4</v>
      </c>
      <c r="K1554" s="17" t="n">
        <f aca="false">'Dish Database'!K396*H1554/100</f>
        <v>20</v>
      </c>
      <c r="L1554" s="17" t="n">
        <f aca="false">'Dish Database'!L396*H1554/100</f>
        <v>3</v>
      </c>
      <c r="M1554" s="17" t="n">
        <f aca="false">'Dish Database'!M396*H1554/100</f>
        <v>5</v>
      </c>
      <c r="N1554" s="17" t="n">
        <f aca="false">'Dish Database'!N396*H1554/100</f>
        <v>0.3</v>
      </c>
      <c r="O1554" s="17" t="n">
        <f aca="false">'Dish Database'!O396*H1554/100</f>
        <v>1</v>
      </c>
      <c r="P1554" s="13" t="n">
        <f aca="false">'Dish Database'!P396*H1554/100</f>
        <v>600</v>
      </c>
    </row>
    <row r="1555" customFormat="false" ht="15" hidden="false" customHeight="false" outlineLevel="0" collapsed="false">
      <c r="A1555" s="6" t="str">
        <f aca="false">'Dish Database'!A396</f>
        <v>D395</v>
      </c>
      <c r="B1555" s="6" t="str">
        <f aca="false">'Dish Database'!B396</f>
        <v>Tandoori prawns</v>
      </c>
      <c r="C1555" s="6" t="str">
        <f aca="false">'Dish Database'!D396</f>
        <v>Non-Veg Starters &amp; Kebabs</v>
      </c>
      <c r="D1555" s="6" t="str">
        <f aca="false">'Dish Database'!F396</f>
        <v>Non-Veg</v>
      </c>
      <c r="E1555" s="6" t="str">
        <f aca="false">'Dish Database'!E396</f>
        <v>North</v>
      </c>
      <c r="F1555" s="6" t="s">
        <v>103</v>
      </c>
      <c r="G1555" s="6" t="s">
        <v>2431</v>
      </c>
      <c r="H1555" s="16" t="n">
        <v>150</v>
      </c>
      <c r="I1555" s="6" t="str">
        <f aca="false">'Dish Database'!I396</f>
        <v>g</v>
      </c>
      <c r="J1555" s="13" t="n">
        <f aca="false">'Dish Database'!J396*H1555/100</f>
        <v>204.6</v>
      </c>
      <c r="K1555" s="17" t="n">
        <f aca="false">'Dish Database'!K396*H1555/100</f>
        <v>30</v>
      </c>
      <c r="L1555" s="17" t="n">
        <f aca="false">'Dish Database'!L396*H1555/100</f>
        <v>4.5</v>
      </c>
      <c r="M1555" s="17" t="n">
        <f aca="false">'Dish Database'!M396*H1555/100</f>
        <v>7.5</v>
      </c>
      <c r="N1555" s="17" t="n">
        <f aca="false">'Dish Database'!N396*H1555/100</f>
        <v>0.45</v>
      </c>
      <c r="O1555" s="17" t="n">
        <f aca="false">'Dish Database'!O396*H1555/100</f>
        <v>1.5</v>
      </c>
      <c r="P1555" s="13" t="n">
        <f aca="false">'Dish Database'!P396*H1555/100</f>
        <v>900</v>
      </c>
    </row>
    <row r="1556" customFormat="false" ht="15" hidden="false" customHeight="false" outlineLevel="0" collapsed="false">
      <c r="A1556" s="6" t="str">
        <f aca="false">'Dish Database'!A396</f>
        <v>D395</v>
      </c>
      <c r="B1556" s="6" t="str">
        <f aca="false">'Dish Database'!B396</f>
        <v>Tandoori prawns</v>
      </c>
      <c r="C1556" s="6" t="str">
        <f aca="false">'Dish Database'!D396</f>
        <v>Non-Veg Starters &amp; Kebabs</v>
      </c>
      <c r="D1556" s="6" t="str">
        <f aca="false">'Dish Database'!F396</f>
        <v>Non-Veg</v>
      </c>
      <c r="E1556" s="6" t="str">
        <f aca="false">'Dish Database'!E396</f>
        <v>North</v>
      </c>
      <c r="F1556" s="6" t="s">
        <v>2246</v>
      </c>
      <c r="G1556" s="6" t="s">
        <v>2520</v>
      </c>
      <c r="H1556" s="16" t="n">
        <v>200</v>
      </c>
      <c r="I1556" s="6" t="str">
        <f aca="false">'Dish Database'!I396</f>
        <v>g</v>
      </c>
      <c r="J1556" s="13" t="n">
        <f aca="false">'Dish Database'!J396*H1556/100</f>
        <v>272.8</v>
      </c>
      <c r="K1556" s="17" t="n">
        <f aca="false">'Dish Database'!K396*H1556/100</f>
        <v>40</v>
      </c>
      <c r="L1556" s="17" t="n">
        <f aca="false">'Dish Database'!L396*H1556/100</f>
        <v>6</v>
      </c>
      <c r="M1556" s="17" t="n">
        <f aca="false">'Dish Database'!M396*H1556/100</f>
        <v>10</v>
      </c>
      <c r="N1556" s="17" t="n">
        <f aca="false">'Dish Database'!N396*H1556/100</f>
        <v>0.6</v>
      </c>
      <c r="O1556" s="17" t="n">
        <f aca="false">'Dish Database'!O396*H1556/100</f>
        <v>2</v>
      </c>
      <c r="P1556" s="13" t="n">
        <f aca="false">'Dish Database'!P396*H1556/100</f>
        <v>1200</v>
      </c>
    </row>
    <row r="1557" customFormat="false" ht="15" hidden="false" customHeight="false" outlineLevel="0" collapsed="false">
      <c r="A1557" s="6" t="str">
        <f aca="false">'Dish Database'!A396</f>
        <v>D395</v>
      </c>
      <c r="B1557" s="6" t="str">
        <f aca="false">'Dish Database'!B396</f>
        <v>Tandoori prawns</v>
      </c>
      <c r="C1557" s="6" t="str">
        <f aca="false">'Dish Database'!D396</f>
        <v>Non-Veg Starters &amp; Kebabs</v>
      </c>
      <c r="D1557" s="6" t="str">
        <f aca="false">'Dish Database'!F396</f>
        <v>Non-Veg</v>
      </c>
      <c r="E1557" s="6" t="str">
        <f aca="false">'Dish Database'!E396</f>
        <v>North</v>
      </c>
      <c r="F1557" s="6" t="s">
        <v>2323</v>
      </c>
      <c r="G1557" s="6" t="s">
        <v>2324</v>
      </c>
      <c r="H1557" s="16" t="n">
        <v>180</v>
      </c>
      <c r="I1557" s="6" t="str">
        <f aca="false">'Dish Database'!I396</f>
        <v>g</v>
      </c>
      <c r="J1557" s="13" t="n">
        <f aca="false">'Dish Database'!J396*H1557/100</f>
        <v>245.52</v>
      </c>
      <c r="K1557" s="17" t="n">
        <f aca="false">'Dish Database'!K396*H1557/100</f>
        <v>36</v>
      </c>
      <c r="L1557" s="17" t="n">
        <f aca="false">'Dish Database'!L396*H1557/100</f>
        <v>5.4</v>
      </c>
      <c r="M1557" s="17" t="n">
        <f aca="false">'Dish Database'!M396*H1557/100</f>
        <v>9</v>
      </c>
      <c r="N1557" s="17" t="n">
        <f aca="false">'Dish Database'!N396*H1557/100</f>
        <v>0.54</v>
      </c>
      <c r="O1557" s="17" t="n">
        <f aca="false">'Dish Database'!O396*H1557/100</f>
        <v>1.8</v>
      </c>
      <c r="P1557" s="13" t="n">
        <f aca="false">'Dish Database'!P396*H1557/100</f>
        <v>1080</v>
      </c>
    </row>
    <row r="1558" customFormat="false" ht="15" hidden="false" customHeight="false" outlineLevel="0" collapsed="false">
      <c r="A1558" s="6" t="str">
        <f aca="false">'Dish Database'!A396</f>
        <v>D395</v>
      </c>
      <c r="B1558" s="6" t="str">
        <f aca="false">'Dish Database'!B396</f>
        <v>Tandoori prawns</v>
      </c>
      <c r="C1558" s="6" t="str">
        <f aca="false">'Dish Database'!D396</f>
        <v>Non-Veg Starters &amp; Kebabs</v>
      </c>
      <c r="D1558" s="6" t="str">
        <f aca="false">'Dish Database'!F396</f>
        <v>Non-Veg</v>
      </c>
      <c r="E1558" s="6" t="str">
        <f aca="false">'Dish Database'!E396</f>
        <v>North</v>
      </c>
      <c r="F1558" s="6" t="s">
        <v>2325</v>
      </c>
      <c r="G1558" s="6" t="s">
        <v>2326</v>
      </c>
      <c r="H1558" s="16" t="n">
        <v>350</v>
      </c>
      <c r="I1558" s="6" t="str">
        <f aca="false">'Dish Database'!I396</f>
        <v>g</v>
      </c>
      <c r="J1558" s="13" t="n">
        <f aca="false">'Dish Database'!J396*H1558/100</f>
        <v>477.4</v>
      </c>
      <c r="K1558" s="17" t="n">
        <f aca="false">'Dish Database'!K396*H1558/100</f>
        <v>70</v>
      </c>
      <c r="L1558" s="17" t="n">
        <f aca="false">'Dish Database'!L396*H1558/100</f>
        <v>10.5</v>
      </c>
      <c r="M1558" s="17" t="n">
        <f aca="false">'Dish Database'!M396*H1558/100</f>
        <v>17.5</v>
      </c>
      <c r="N1558" s="17" t="n">
        <f aca="false">'Dish Database'!N396*H1558/100</f>
        <v>1.05</v>
      </c>
      <c r="O1558" s="17" t="n">
        <f aca="false">'Dish Database'!O396*H1558/100</f>
        <v>3.5</v>
      </c>
      <c r="P1558" s="13" t="n">
        <f aca="false">'Dish Database'!P396*H1558/100</f>
        <v>2100</v>
      </c>
    </row>
    <row r="1559" customFormat="false" ht="15" hidden="false" customHeight="false" outlineLevel="0" collapsed="false">
      <c r="A1559" s="6" t="str">
        <f aca="false">'Dish Database'!A397</f>
        <v>D396</v>
      </c>
      <c r="B1559" s="6" t="str">
        <f aca="false">'Dish Database'!B397</f>
        <v>Prawn koliwada / prawn fry</v>
      </c>
      <c r="C1559" s="6" t="str">
        <f aca="false">'Dish Database'!D397</f>
        <v>Non-Veg Starters &amp; Kebabs</v>
      </c>
      <c r="D1559" s="6" t="str">
        <f aca="false">'Dish Database'!F397</f>
        <v>Non-Veg</v>
      </c>
      <c r="E1559" s="6" t="str">
        <f aca="false">'Dish Database'!E397</f>
        <v>West</v>
      </c>
      <c r="F1559" s="6" t="s">
        <v>2243</v>
      </c>
      <c r="G1559" s="6" t="s">
        <v>2430</v>
      </c>
      <c r="H1559" s="16" t="n">
        <v>100</v>
      </c>
      <c r="I1559" s="6" t="str">
        <f aca="false">'Dish Database'!I397</f>
        <v>g</v>
      </c>
      <c r="J1559" s="13" t="n">
        <f aca="false">'Dish Database'!J397*H1559/100</f>
        <v>235.4</v>
      </c>
      <c r="K1559" s="17" t="n">
        <f aca="false">'Dish Database'!K397*H1559/100</f>
        <v>16</v>
      </c>
      <c r="L1559" s="17" t="n">
        <f aca="false">'Dish Database'!L397*H1559/100</f>
        <v>14</v>
      </c>
      <c r="M1559" s="17" t="n">
        <f aca="false">'Dish Database'!M397*H1559/100</f>
        <v>13</v>
      </c>
      <c r="N1559" s="17" t="n">
        <f aca="false">'Dish Database'!N397*H1559/100</f>
        <v>0.8</v>
      </c>
      <c r="O1559" s="17" t="n">
        <f aca="false">'Dish Database'!O397*H1559/100</f>
        <v>1</v>
      </c>
      <c r="P1559" s="13" t="n">
        <f aca="false">'Dish Database'!P397*H1559/100</f>
        <v>650</v>
      </c>
    </row>
    <row r="1560" customFormat="false" ht="15" hidden="false" customHeight="false" outlineLevel="0" collapsed="false">
      <c r="A1560" s="6" t="str">
        <f aca="false">'Dish Database'!A397</f>
        <v>D396</v>
      </c>
      <c r="B1560" s="6" t="str">
        <f aca="false">'Dish Database'!B397</f>
        <v>Prawn koliwada / prawn fry</v>
      </c>
      <c r="C1560" s="6" t="str">
        <f aca="false">'Dish Database'!D397</f>
        <v>Non-Veg Starters &amp; Kebabs</v>
      </c>
      <c r="D1560" s="6" t="str">
        <f aca="false">'Dish Database'!F397</f>
        <v>Non-Veg</v>
      </c>
      <c r="E1560" s="6" t="str">
        <f aca="false">'Dish Database'!E397</f>
        <v>West</v>
      </c>
      <c r="F1560" s="6" t="s">
        <v>103</v>
      </c>
      <c r="G1560" s="6" t="s">
        <v>2431</v>
      </c>
      <c r="H1560" s="16" t="n">
        <v>150</v>
      </c>
      <c r="I1560" s="6" t="str">
        <f aca="false">'Dish Database'!I397</f>
        <v>g</v>
      </c>
      <c r="J1560" s="13" t="n">
        <f aca="false">'Dish Database'!J397*H1560/100</f>
        <v>353.1</v>
      </c>
      <c r="K1560" s="17" t="n">
        <f aca="false">'Dish Database'!K397*H1560/100</f>
        <v>24</v>
      </c>
      <c r="L1560" s="17" t="n">
        <f aca="false">'Dish Database'!L397*H1560/100</f>
        <v>21</v>
      </c>
      <c r="M1560" s="17" t="n">
        <f aca="false">'Dish Database'!M397*H1560/100</f>
        <v>19.5</v>
      </c>
      <c r="N1560" s="17" t="n">
        <f aca="false">'Dish Database'!N397*H1560/100</f>
        <v>1.2</v>
      </c>
      <c r="O1560" s="17" t="n">
        <f aca="false">'Dish Database'!O397*H1560/100</f>
        <v>1.5</v>
      </c>
      <c r="P1560" s="13" t="n">
        <f aca="false">'Dish Database'!P397*H1560/100</f>
        <v>975</v>
      </c>
    </row>
    <row r="1561" customFormat="false" ht="15" hidden="false" customHeight="false" outlineLevel="0" collapsed="false">
      <c r="A1561" s="6" t="str">
        <f aca="false">'Dish Database'!A397</f>
        <v>D396</v>
      </c>
      <c r="B1561" s="6" t="str">
        <f aca="false">'Dish Database'!B397</f>
        <v>Prawn koliwada / prawn fry</v>
      </c>
      <c r="C1561" s="6" t="str">
        <f aca="false">'Dish Database'!D397</f>
        <v>Non-Veg Starters &amp; Kebabs</v>
      </c>
      <c r="D1561" s="6" t="str">
        <f aca="false">'Dish Database'!F397</f>
        <v>Non-Veg</v>
      </c>
      <c r="E1561" s="6" t="str">
        <f aca="false">'Dish Database'!E397</f>
        <v>West</v>
      </c>
      <c r="F1561" s="6" t="s">
        <v>2246</v>
      </c>
      <c r="G1561" s="6" t="s">
        <v>2520</v>
      </c>
      <c r="H1561" s="16" t="n">
        <v>200</v>
      </c>
      <c r="I1561" s="6" t="str">
        <f aca="false">'Dish Database'!I397</f>
        <v>g</v>
      </c>
      <c r="J1561" s="13" t="n">
        <f aca="false">'Dish Database'!J397*H1561/100</f>
        <v>470.8</v>
      </c>
      <c r="K1561" s="17" t="n">
        <f aca="false">'Dish Database'!K397*H1561/100</f>
        <v>32</v>
      </c>
      <c r="L1561" s="17" t="n">
        <f aca="false">'Dish Database'!L397*H1561/100</f>
        <v>28</v>
      </c>
      <c r="M1561" s="17" t="n">
        <f aca="false">'Dish Database'!M397*H1561/100</f>
        <v>26</v>
      </c>
      <c r="N1561" s="17" t="n">
        <f aca="false">'Dish Database'!N397*H1561/100</f>
        <v>1.6</v>
      </c>
      <c r="O1561" s="17" t="n">
        <f aca="false">'Dish Database'!O397*H1561/100</f>
        <v>2</v>
      </c>
      <c r="P1561" s="13" t="n">
        <f aca="false">'Dish Database'!P397*H1561/100</f>
        <v>1300</v>
      </c>
    </row>
    <row r="1562" customFormat="false" ht="15" hidden="false" customHeight="false" outlineLevel="0" collapsed="false">
      <c r="A1562" s="6" t="str">
        <f aca="false">'Dish Database'!A397</f>
        <v>D396</v>
      </c>
      <c r="B1562" s="6" t="str">
        <f aca="false">'Dish Database'!B397</f>
        <v>Prawn koliwada / prawn fry</v>
      </c>
      <c r="C1562" s="6" t="str">
        <f aca="false">'Dish Database'!D397</f>
        <v>Non-Veg Starters &amp; Kebabs</v>
      </c>
      <c r="D1562" s="6" t="str">
        <f aca="false">'Dish Database'!F397</f>
        <v>Non-Veg</v>
      </c>
      <c r="E1562" s="6" t="str">
        <f aca="false">'Dish Database'!E397</f>
        <v>West</v>
      </c>
      <c r="F1562" s="6" t="s">
        <v>2323</v>
      </c>
      <c r="G1562" s="6" t="s">
        <v>2324</v>
      </c>
      <c r="H1562" s="16" t="n">
        <v>180</v>
      </c>
      <c r="I1562" s="6" t="str">
        <f aca="false">'Dish Database'!I397</f>
        <v>g</v>
      </c>
      <c r="J1562" s="13" t="n">
        <f aca="false">'Dish Database'!J397*H1562/100</f>
        <v>423.72</v>
      </c>
      <c r="K1562" s="17" t="n">
        <f aca="false">'Dish Database'!K397*H1562/100</f>
        <v>28.8</v>
      </c>
      <c r="L1562" s="17" t="n">
        <f aca="false">'Dish Database'!L397*H1562/100</f>
        <v>25.2</v>
      </c>
      <c r="M1562" s="17" t="n">
        <f aca="false">'Dish Database'!M397*H1562/100</f>
        <v>23.4</v>
      </c>
      <c r="N1562" s="17" t="n">
        <f aca="false">'Dish Database'!N397*H1562/100</f>
        <v>1.44</v>
      </c>
      <c r="O1562" s="17" t="n">
        <f aca="false">'Dish Database'!O397*H1562/100</f>
        <v>1.8</v>
      </c>
      <c r="P1562" s="13" t="n">
        <f aca="false">'Dish Database'!P397*H1562/100</f>
        <v>1170</v>
      </c>
    </row>
    <row r="1563" customFormat="false" ht="15" hidden="false" customHeight="false" outlineLevel="0" collapsed="false">
      <c r="A1563" s="6" t="str">
        <f aca="false">'Dish Database'!A397</f>
        <v>D396</v>
      </c>
      <c r="B1563" s="6" t="str">
        <f aca="false">'Dish Database'!B397</f>
        <v>Prawn koliwada / prawn fry</v>
      </c>
      <c r="C1563" s="6" t="str">
        <f aca="false">'Dish Database'!D397</f>
        <v>Non-Veg Starters &amp; Kebabs</v>
      </c>
      <c r="D1563" s="6" t="str">
        <f aca="false">'Dish Database'!F397</f>
        <v>Non-Veg</v>
      </c>
      <c r="E1563" s="6" t="str">
        <f aca="false">'Dish Database'!E397</f>
        <v>West</v>
      </c>
      <c r="F1563" s="6" t="s">
        <v>2325</v>
      </c>
      <c r="G1563" s="6" t="s">
        <v>2326</v>
      </c>
      <c r="H1563" s="16" t="n">
        <v>350</v>
      </c>
      <c r="I1563" s="6" t="str">
        <f aca="false">'Dish Database'!I397</f>
        <v>g</v>
      </c>
      <c r="J1563" s="13" t="n">
        <f aca="false">'Dish Database'!J397*H1563/100</f>
        <v>823.9</v>
      </c>
      <c r="K1563" s="17" t="n">
        <f aca="false">'Dish Database'!K397*H1563/100</f>
        <v>56</v>
      </c>
      <c r="L1563" s="17" t="n">
        <f aca="false">'Dish Database'!L397*H1563/100</f>
        <v>49</v>
      </c>
      <c r="M1563" s="17" t="n">
        <f aca="false">'Dish Database'!M397*H1563/100</f>
        <v>45.5</v>
      </c>
      <c r="N1563" s="17" t="n">
        <f aca="false">'Dish Database'!N397*H1563/100</f>
        <v>2.8</v>
      </c>
      <c r="O1563" s="17" t="n">
        <f aca="false">'Dish Database'!O397*H1563/100</f>
        <v>3.5</v>
      </c>
      <c r="P1563" s="13" t="n">
        <f aca="false">'Dish Database'!P397*H1563/100</f>
        <v>2275</v>
      </c>
    </row>
    <row r="1564" customFormat="false" ht="15" hidden="false" customHeight="false" outlineLevel="0" collapsed="false">
      <c r="A1564" s="6" t="str">
        <f aca="false">'Dish Database'!A398</f>
        <v>D397</v>
      </c>
      <c r="B1564" s="6" t="str">
        <f aca="false">'Dish Database'!B398</f>
        <v>Chicken cutlet</v>
      </c>
      <c r="C1564" s="6" t="str">
        <f aca="false">'Dish Database'!D398</f>
        <v>Non-Veg Starters &amp; Kebabs</v>
      </c>
      <c r="D1564" s="6" t="str">
        <f aca="false">'Dish Database'!F398</f>
        <v>Non-Veg</v>
      </c>
      <c r="E1564" s="6" t="str">
        <f aca="false">'Dish Database'!E398</f>
        <v>Pan-India</v>
      </c>
      <c r="F1564" s="6" t="s">
        <v>2243</v>
      </c>
      <c r="G1564" s="6" t="s">
        <v>2521</v>
      </c>
      <c r="H1564" s="16" t="n">
        <v>40</v>
      </c>
      <c r="I1564" s="6" t="str">
        <f aca="false">'Dish Database'!I398</f>
        <v>g</v>
      </c>
      <c r="J1564" s="13" t="n">
        <f aca="false">'Dish Database'!J398*H1564/100</f>
        <v>88.8</v>
      </c>
      <c r="K1564" s="17" t="n">
        <f aca="false">'Dish Database'!K398*H1564/100</f>
        <v>5.6</v>
      </c>
      <c r="L1564" s="17" t="n">
        <f aca="false">'Dish Database'!L398*H1564/100</f>
        <v>6</v>
      </c>
      <c r="M1564" s="17" t="n">
        <f aca="false">'Dish Database'!M398*H1564/100</f>
        <v>4.8</v>
      </c>
      <c r="N1564" s="17" t="n">
        <f aca="false">'Dish Database'!N398*H1564/100</f>
        <v>0.4</v>
      </c>
      <c r="O1564" s="17" t="n">
        <f aca="false">'Dish Database'!O398*H1564/100</f>
        <v>0.4</v>
      </c>
      <c r="P1564" s="13" t="n">
        <f aca="false">'Dish Database'!P398*H1564/100</f>
        <v>180</v>
      </c>
    </row>
    <row r="1565" customFormat="false" ht="15" hidden="false" customHeight="false" outlineLevel="0" collapsed="false">
      <c r="A1565" s="6" t="str">
        <f aca="false">'Dish Database'!A398</f>
        <v>D397</v>
      </c>
      <c r="B1565" s="6" t="str">
        <f aca="false">'Dish Database'!B398</f>
        <v>Chicken cutlet</v>
      </c>
      <c r="C1565" s="6" t="str">
        <f aca="false">'Dish Database'!D398</f>
        <v>Non-Veg Starters &amp; Kebabs</v>
      </c>
      <c r="D1565" s="6" t="str">
        <f aca="false">'Dish Database'!F398</f>
        <v>Non-Veg</v>
      </c>
      <c r="E1565" s="6" t="str">
        <f aca="false">'Dish Database'!E398</f>
        <v>Pan-India</v>
      </c>
      <c r="F1565" s="6" t="s">
        <v>103</v>
      </c>
      <c r="G1565" s="6" t="s">
        <v>2522</v>
      </c>
      <c r="H1565" s="16" t="n">
        <v>60</v>
      </c>
      <c r="I1565" s="6" t="str">
        <f aca="false">'Dish Database'!I398</f>
        <v>g</v>
      </c>
      <c r="J1565" s="13" t="n">
        <f aca="false">'Dish Database'!J398*H1565/100</f>
        <v>133.2</v>
      </c>
      <c r="K1565" s="17" t="n">
        <f aca="false">'Dish Database'!K398*H1565/100</f>
        <v>8.4</v>
      </c>
      <c r="L1565" s="17" t="n">
        <f aca="false">'Dish Database'!L398*H1565/100</f>
        <v>9</v>
      </c>
      <c r="M1565" s="17" t="n">
        <f aca="false">'Dish Database'!M398*H1565/100</f>
        <v>7.2</v>
      </c>
      <c r="N1565" s="17" t="n">
        <f aca="false">'Dish Database'!N398*H1565/100</f>
        <v>0.6</v>
      </c>
      <c r="O1565" s="17" t="n">
        <f aca="false">'Dish Database'!O398*H1565/100</f>
        <v>0.6</v>
      </c>
      <c r="P1565" s="13" t="n">
        <f aca="false">'Dish Database'!P398*H1565/100</f>
        <v>270</v>
      </c>
    </row>
    <row r="1566" customFormat="false" ht="15" hidden="false" customHeight="false" outlineLevel="0" collapsed="false">
      <c r="A1566" s="6" t="str">
        <f aca="false">'Dish Database'!A398</f>
        <v>D397</v>
      </c>
      <c r="B1566" s="6" t="str">
        <f aca="false">'Dish Database'!B398</f>
        <v>Chicken cutlet</v>
      </c>
      <c r="C1566" s="6" t="str">
        <f aca="false">'Dish Database'!D398</f>
        <v>Non-Veg Starters &amp; Kebabs</v>
      </c>
      <c r="D1566" s="6" t="str">
        <f aca="false">'Dish Database'!F398</f>
        <v>Non-Veg</v>
      </c>
      <c r="E1566" s="6" t="str">
        <f aca="false">'Dish Database'!E398</f>
        <v>Pan-India</v>
      </c>
      <c r="F1566" s="6" t="s">
        <v>2246</v>
      </c>
      <c r="G1566" s="6" t="s">
        <v>2523</v>
      </c>
      <c r="H1566" s="16" t="n">
        <v>80</v>
      </c>
      <c r="I1566" s="6" t="str">
        <f aca="false">'Dish Database'!I398</f>
        <v>g</v>
      </c>
      <c r="J1566" s="13" t="n">
        <f aca="false">'Dish Database'!J398*H1566/100</f>
        <v>177.6</v>
      </c>
      <c r="K1566" s="17" t="n">
        <f aca="false">'Dish Database'!K398*H1566/100</f>
        <v>11.2</v>
      </c>
      <c r="L1566" s="17" t="n">
        <f aca="false">'Dish Database'!L398*H1566/100</f>
        <v>12</v>
      </c>
      <c r="M1566" s="17" t="n">
        <f aca="false">'Dish Database'!M398*H1566/100</f>
        <v>9.6</v>
      </c>
      <c r="N1566" s="17" t="n">
        <f aca="false">'Dish Database'!N398*H1566/100</f>
        <v>0.8</v>
      </c>
      <c r="O1566" s="17" t="n">
        <f aca="false">'Dish Database'!O398*H1566/100</f>
        <v>0.8</v>
      </c>
      <c r="P1566" s="13" t="n">
        <f aca="false">'Dish Database'!P398*H1566/100</f>
        <v>360</v>
      </c>
    </row>
    <row r="1567" customFormat="false" ht="15" hidden="false" customHeight="false" outlineLevel="0" collapsed="false">
      <c r="A1567" s="6" t="str">
        <f aca="false">'Dish Database'!A399</f>
        <v>D398</v>
      </c>
      <c r="B1567" s="6" t="str">
        <f aca="false">'Dish Database'!B399</f>
        <v>Fish cutlet</v>
      </c>
      <c r="C1567" s="6" t="str">
        <f aca="false">'Dish Database'!D399</f>
        <v>Non-Veg Starters &amp; Kebabs</v>
      </c>
      <c r="D1567" s="6" t="str">
        <f aca="false">'Dish Database'!F399</f>
        <v>Non-Veg</v>
      </c>
      <c r="E1567" s="6" t="str">
        <f aca="false">'Dish Database'!E399</f>
        <v>East</v>
      </c>
      <c r="F1567" s="6" t="s">
        <v>2243</v>
      </c>
      <c r="G1567" s="6" t="s">
        <v>2521</v>
      </c>
      <c r="H1567" s="16" t="n">
        <v>40</v>
      </c>
      <c r="I1567" s="6" t="str">
        <f aca="false">'Dish Database'!I399</f>
        <v>g</v>
      </c>
      <c r="J1567" s="13" t="n">
        <f aca="false">'Dish Database'!J399*H1567/100</f>
        <v>82</v>
      </c>
      <c r="K1567" s="17" t="n">
        <f aca="false">'Dish Database'!K399*H1567/100</f>
        <v>4.8</v>
      </c>
      <c r="L1567" s="17" t="n">
        <f aca="false">'Dish Database'!L399*H1567/100</f>
        <v>6</v>
      </c>
      <c r="M1567" s="17" t="n">
        <f aca="false">'Dish Database'!M399*H1567/100</f>
        <v>4.4</v>
      </c>
      <c r="N1567" s="17" t="n">
        <f aca="false">'Dish Database'!N399*H1567/100</f>
        <v>0.4</v>
      </c>
      <c r="O1567" s="17" t="n">
        <f aca="false">'Dish Database'!O399*H1567/100</f>
        <v>0.4</v>
      </c>
      <c r="P1567" s="13" t="n">
        <f aca="false">'Dish Database'!P399*H1567/100</f>
        <v>180</v>
      </c>
    </row>
    <row r="1568" customFormat="false" ht="15" hidden="false" customHeight="false" outlineLevel="0" collapsed="false">
      <c r="A1568" s="6" t="str">
        <f aca="false">'Dish Database'!A399</f>
        <v>D398</v>
      </c>
      <c r="B1568" s="6" t="str">
        <f aca="false">'Dish Database'!B399</f>
        <v>Fish cutlet</v>
      </c>
      <c r="C1568" s="6" t="str">
        <f aca="false">'Dish Database'!D399</f>
        <v>Non-Veg Starters &amp; Kebabs</v>
      </c>
      <c r="D1568" s="6" t="str">
        <f aca="false">'Dish Database'!F399</f>
        <v>Non-Veg</v>
      </c>
      <c r="E1568" s="6" t="str">
        <f aca="false">'Dish Database'!E399</f>
        <v>East</v>
      </c>
      <c r="F1568" s="6" t="s">
        <v>103</v>
      </c>
      <c r="G1568" s="6" t="s">
        <v>2522</v>
      </c>
      <c r="H1568" s="16" t="n">
        <v>60</v>
      </c>
      <c r="I1568" s="6" t="str">
        <f aca="false">'Dish Database'!I399</f>
        <v>g</v>
      </c>
      <c r="J1568" s="13" t="n">
        <f aca="false">'Dish Database'!J399*H1568/100</f>
        <v>123</v>
      </c>
      <c r="K1568" s="17" t="n">
        <f aca="false">'Dish Database'!K399*H1568/100</f>
        <v>7.2</v>
      </c>
      <c r="L1568" s="17" t="n">
        <f aca="false">'Dish Database'!L399*H1568/100</f>
        <v>9</v>
      </c>
      <c r="M1568" s="17" t="n">
        <f aca="false">'Dish Database'!M399*H1568/100</f>
        <v>6.6</v>
      </c>
      <c r="N1568" s="17" t="n">
        <f aca="false">'Dish Database'!N399*H1568/100</f>
        <v>0.6</v>
      </c>
      <c r="O1568" s="17" t="n">
        <f aca="false">'Dish Database'!O399*H1568/100</f>
        <v>0.6</v>
      </c>
      <c r="P1568" s="13" t="n">
        <f aca="false">'Dish Database'!P399*H1568/100</f>
        <v>270</v>
      </c>
    </row>
    <row r="1569" customFormat="false" ht="15" hidden="false" customHeight="false" outlineLevel="0" collapsed="false">
      <c r="A1569" s="6" t="str">
        <f aca="false">'Dish Database'!A399</f>
        <v>D398</v>
      </c>
      <c r="B1569" s="6" t="str">
        <f aca="false">'Dish Database'!B399</f>
        <v>Fish cutlet</v>
      </c>
      <c r="C1569" s="6" t="str">
        <f aca="false">'Dish Database'!D399</f>
        <v>Non-Veg Starters &amp; Kebabs</v>
      </c>
      <c r="D1569" s="6" t="str">
        <f aca="false">'Dish Database'!F399</f>
        <v>Non-Veg</v>
      </c>
      <c r="E1569" s="6" t="str">
        <f aca="false">'Dish Database'!E399</f>
        <v>East</v>
      </c>
      <c r="F1569" s="6" t="s">
        <v>2246</v>
      </c>
      <c r="G1569" s="6" t="s">
        <v>2523</v>
      </c>
      <c r="H1569" s="16" t="n">
        <v>80</v>
      </c>
      <c r="I1569" s="6" t="str">
        <f aca="false">'Dish Database'!I399</f>
        <v>g</v>
      </c>
      <c r="J1569" s="13" t="n">
        <f aca="false">'Dish Database'!J399*H1569/100</f>
        <v>164</v>
      </c>
      <c r="K1569" s="17" t="n">
        <f aca="false">'Dish Database'!K399*H1569/100</f>
        <v>9.6</v>
      </c>
      <c r="L1569" s="17" t="n">
        <f aca="false">'Dish Database'!L399*H1569/100</f>
        <v>12</v>
      </c>
      <c r="M1569" s="17" t="n">
        <f aca="false">'Dish Database'!M399*H1569/100</f>
        <v>8.8</v>
      </c>
      <c r="N1569" s="17" t="n">
        <f aca="false">'Dish Database'!N399*H1569/100</f>
        <v>0.8</v>
      </c>
      <c r="O1569" s="17" t="n">
        <f aca="false">'Dish Database'!O399*H1569/100</f>
        <v>0.8</v>
      </c>
      <c r="P1569" s="13" t="n">
        <f aca="false">'Dish Database'!P399*H1569/100</f>
        <v>360</v>
      </c>
    </row>
    <row r="1570" customFormat="false" ht="15" hidden="false" customHeight="false" outlineLevel="0" collapsed="false">
      <c r="A1570" s="6" t="str">
        <f aca="false">'Dish Database'!A400</f>
        <v>D399</v>
      </c>
      <c r="B1570" s="6" t="str">
        <f aca="false">'Dish Database'!B400</f>
        <v>Egg pakora</v>
      </c>
      <c r="C1570" s="6" t="str">
        <f aca="false">'Dish Database'!D400</f>
        <v>Non-Veg Starters &amp; Kebabs</v>
      </c>
      <c r="D1570" s="6" t="str">
        <f aca="false">'Dish Database'!F400</f>
        <v>Egg</v>
      </c>
      <c r="E1570" s="6" t="str">
        <f aca="false">'Dish Database'!E400</f>
        <v>Pan-India</v>
      </c>
      <c r="F1570" s="6" t="s">
        <v>2243</v>
      </c>
      <c r="G1570" s="6" t="s">
        <v>2558</v>
      </c>
      <c r="H1570" s="16" t="n">
        <v>50</v>
      </c>
      <c r="I1570" s="6" t="str">
        <f aca="false">'Dish Database'!I400</f>
        <v>g</v>
      </c>
      <c r="J1570" s="13" t="n">
        <f aca="false">'Dish Database'!J400*H1570/100</f>
        <v>114</v>
      </c>
      <c r="K1570" s="17" t="n">
        <f aca="false">'Dish Database'!K400*H1570/100</f>
        <v>5</v>
      </c>
      <c r="L1570" s="17" t="n">
        <f aca="false">'Dish Database'!L400*H1570/100</f>
        <v>7</v>
      </c>
      <c r="M1570" s="17" t="n">
        <f aca="false">'Dish Database'!M400*H1570/100</f>
        <v>7.5</v>
      </c>
      <c r="N1570" s="17" t="n">
        <f aca="false">'Dish Database'!N400*H1570/100</f>
        <v>0.75</v>
      </c>
      <c r="O1570" s="17" t="n">
        <f aca="false">'Dish Database'!O400*H1570/100</f>
        <v>0.5</v>
      </c>
      <c r="P1570" s="13" t="n">
        <f aca="false">'Dish Database'!P400*H1570/100</f>
        <v>200</v>
      </c>
    </row>
    <row r="1571" customFormat="false" ht="15" hidden="false" customHeight="false" outlineLevel="0" collapsed="false">
      <c r="A1571" s="6" t="str">
        <f aca="false">'Dish Database'!A400</f>
        <v>D399</v>
      </c>
      <c r="B1571" s="6" t="str">
        <f aca="false">'Dish Database'!B400</f>
        <v>Egg pakora</v>
      </c>
      <c r="C1571" s="6" t="str">
        <f aca="false">'Dish Database'!D400</f>
        <v>Non-Veg Starters &amp; Kebabs</v>
      </c>
      <c r="D1571" s="6" t="str">
        <f aca="false">'Dish Database'!F400</f>
        <v>Egg</v>
      </c>
      <c r="E1571" s="6" t="str">
        <f aca="false">'Dish Database'!E400</f>
        <v>Pan-India</v>
      </c>
      <c r="F1571" s="6" t="s">
        <v>103</v>
      </c>
      <c r="G1571" s="6" t="s">
        <v>2559</v>
      </c>
      <c r="H1571" s="16" t="n">
        <v>100</v>
      </c>
      <c r="I1571" s="6" t="str">
        <f aca="false">'Dish Database'!I400</f>
        <v>g</v>
      </c>
      <c r="J1571" s="13" t="n">
        <f aca="false">'Dish Database'!J400*H1571/100</f>
        <v>228</v>
      </c>
      <c r="K1571" s="17" t="n">
        <f aca="false">'Dish Database'!K400*H1571/100</f>
        <v>10</v>
      </c>
      <c r="L1571" s="17" t="n">
        <f aca="false">'Dish Database'!L400*H1571/100</f>
        <v>14</v>
      </c>
      <c r="M1571" s="17" t="n">
        <f aca="false">'Dish Database'!M400*H1571/100</f>
        <v>15</v>
      </c>
      <c r="N1571" s="17" t="n">
        <f aca="false">'Dish Database'!N400*H1571/100</f>
        <v>1.5</v>
      </c>
      <c r="O1571" s="17" t="n">
        <f aca="false">'Dish Database'!O400*H1571/100</f>
        <v>1</v>
      </c>
      <c r="P1571" s="13" t="n">
        <f aca="false">'Dish Database'!P400*H1571/100</f>
        <v>400</v>
      </c>
    </row>
    <row r="1572" customFormat="false" ht="15" hidden="false" customHeight="false" outlineLevel="0" collapsed="false">
      <c r="A1572" s="6" t="str">
        <f aca="false">'Dish Database'!A400</f>
        <v>D399</v>
      </c>
      <c r="B1572" s="6" t="str">
        <f aca="false">'Dish Database'!B400</f>
        <v>Egg pakora</v>
      </c>
      <c r="C1572" s="6" t="str">
        <f aca="false">'Dish Database'!D400</f>
        <v>Non-Veg Starters &amp; Kebabs</v>
      </c>
      <c r="D1572" s="6" t="str">
        <f aca="false">'Dish Database'!F400</f>
        <v>Egg</v>
      </c>
      <c r="E1572" s="6" t="str">
        <f aca="false">'Dish Database'!E400</f>
        <v>Pan-India</v>
      </c>
      <c r="F1572" s="6" t="s">
        <v>2246</v>
      </c>
      <c r="G1572" s="6" t="s">
        <v>2560</v>
      </c>
      <c r="H1572" s="16" t="n">
        <v>150</v>
      </c>
      <c r="I1572" s="6" t="str">
        <f aca="false">'Dish Database'!I400</f>
        <v>g</v>
      </c>
      <c r="J1572" s="13" t="n">
        <f aca="false">'Dish Database'!J400*H1572/100</f>
        <v>342</v>
      </c>
      <c r="K1572" s="17" t="n">
        <f aca="false">'Dish Database'!K400*H1572/100</f>
        <v>15</v>
      </c>
      <c r="L1572" s="17" t="n">
        <f aca="false">'Dish Database'!L400*H1572/100</f>
        <v>21</v>
      </c>
      <c r="M1572" s="17" t="n">
        <f aca="false">'Dish Database'!M400*H1572/100</f>
        <v>22.5</v>
      </c>
      <c r="N1572" s="17" t="n">
        <f aca="false">'Dish Database'!N400*H1572/100</f>
        <v>2.25</v>
      </c>
      <c r="O1572" s="17" t="n">
        <f aca="false">'Dish Database'!O400*H1572/100</f>
        <v>1.5</v>
      </c>
      <c r="P1572" s="13" t="n">
        <f aca="false">'Dish Database'!P400*H1572/100</f>
        <v>600</v>
      </c>
    </row>
    <row r="1573" customFormat="false" ht="15" hidden="false" customHeight="false" outlineLevel="0" collapsed="false">
      <c r="A1573" s="6" t="str">
        <f aca="false">'Dish Database'!A401</f>
        <v>D400</v>
      </c>
      <c r="B1573" s="6" t="str">
        <f aca="false">'Dish Database'!B401</f>
        <v>Samosa (aloo)</v>
      </c>
      <c r="C1573" s="6" t="str">
        <f aca="false">'Dish Database'!D401</f>
        <v>Snacks &amp; Fritters</v>
      </c>
      <c r="D1573" s="6" t="str">
        <f aca="false">'Dish Database'!F401</f>
        <v>Veg</v>
      </c>
      <c r="E1573" s="6" t="str">
        <f aca="false">'Dish Database'!E401</f>
        <v>North</v>
      </c>
      <c r="F1573" s="6" t="s">
        <v>2243</v>
      </c>
      <c r="G1573" s="6" t="s">
        <v>2561</v>
      </c>
      <c r="H1573" s="16" t="n">
        <v>40</v>
      </c>
      <c r="I1573" s="6" t="str">
        <f aca="false">'Dish Database'!I401</f>
        <v>g</v>
      </c>
      <c r="J1573" s="13" t="n">
        <f aca="false">'Dish Database'!J401*H1573/100</f>
        <v>118</v>
      </c>
      <c r="K1573" s="17" t="n">
        <f aca="false">'Dish Database'!K401*H1573/100</f>
        <v>2</v>
      </c>
      <c r="L1573" s="17" t="n">
        <f aca="false">'Dish Database'!L401*H1573/100</f>
        <v>12.8</v>
      </c>
      <c r="M1573" s="17" t="n">
        <f aca="false">'Dish Database'!M401*H1573/100</f>
        <v>6.8</v>
      </c>
      <c r="N1573" s="17" t="n">
        <f aca="false">'Dish Database'!N401*H1573/100</f>
        <v>1.2</v>
      </c>
      <c r="O1573" s="17" t="n">
        <f aca="false">'Dish Database'!O401*H1573/100</f>
        <v>0.8</v>
      </c>
      <c r="P1573" s="13" t="n">
        <f aca="false">'Dish Database'!P401*H1573/100</f>
        <v>160</v>
      </c>
    </row>
    <row r="1574" customFormat="false" ht="15" hidden="false" customHeight="false" outlineLevel="0" collapsed="false">
      <c r="A1574" s="6" t="str">
        <f aca="false">'Dish Database'!A401</f>
        <v>D400</v>
      </c>
      <c r="B1574" s="6" t="str">
        <f aca="false">'Dish Database'!B401</f>
        <v>Samosa (aloo)</v>
      </c>
      <c r="C1574" s="6" t="str">
        <f aca="false">'Dish Database'!D401</f>
        <v>Snacks &amp; Fritters</v>
      </c>
      <c r="D1574" s="6" t="str">
        <f aca="false">'Dish Database'!F401</f>
        <v>Veg</v>
      </c>
      <c r="E1574" s="6" t="str">
        <f aca="false">'Dish Database'!E401</f>
        <v>North</v>
      </c>
      <c r="F1574" s="6" t="s">
        <v>103</v>
      </c>
      <c r="G1574" s="6" t="s">
        <v>2562</v>
      </c>
      <c r="H1574" s="16" t="n">
        <v>70</v>
      </c>
      <c r="I1574" s="6" t="str">
        <f aca="false">'Dish Database'!I401</f>
        <v>g</v>
      </c>
      <c r="J1574" s="13" t="n">
        <f aca="false">'Dish Database'!J401*H1574/100</f>
        <v>206.5</v>
      </c>
      <c r="K1574" s="17" t="n">
        <f aca="false">'Dish Database'!K401*H1574/100</f>
        <v>3.5</v>
      </c>
      <c r="L1574" s="17" t="n">
        <f aca="false">'Dish Database'!L401*H1574/100</f>
        <v>22.4</v>
      </c>
      <c r="M1574" s="17" t="n">
        <f aca="false">'Dish Database'!M401*H1574/100</f>
        <v>11.9</v>
      </c>
      <c r="N1574" s="17" t="n">
        <f aca="false">'Dish Database'!N401*H1574/100</f>
        <v>2.1</v>
      </c>
      <c r="O1574" s="17" t="n">
        <f aca="false">'Dish Database'!O401*H1574/100</f>
        <v>1.4</v>
      </c>
      <c r="P1574" s="13" t="n">
        <f aca="false">'Dish Database'!P401*H1574/100</f>
        <v>280</v>
      </c>
    </row>
    <row r="1575" customFormat="false" ht="15" hidden="false" customHeight="false" outlineLevel="0" collapsed="false">
      <c r="A1575" s="6" t="str">
        <f aca="false">'Dish Database'!A401</f>
        <v>D400</v>
      </c>
      <c r="B1575" s="6" t="str">
        <f aca="false">'Dish Database'!B401</f>
        <v>Samosa (aloo)</v>
      </c>
      <c r="C1575" s="6" t="str">
        <f aca="false">'Dish Database'!D401</f>
        <v>Snacks &amp; Fritters</v>
      </c>
      <c r="D1575" s="6" t="str">
        <f aca="false">'Dish Database'!F401</f>
        <v>Veg</v>
      </c>
      <c r="E1575" s="6" t="str">
        <f aca="false">'Dish Database'!E401</f>
        <v>North</v>
      </c>
      <c r="F1575" s="6" t="s">
        <v>2246</v>
      </c>
      <c r="G1575" s="6" t="s">
        <v>2563</v>
      </c>
      <c r="H1575" s="16" t="n">
        <v>100</v>
      </c>
      <c r="I1575" s="6" t="str">
        <f aca="false">'Dish Database'!I401</f>
        <v>g</v>
      </c>
      <c r="J1575" s="13" t="n">
        <f aca="false">'Dish Database'!J401*H1575/100</f>
        <v>295</v>
      </c>
      <c r="K1575" s="17" t="n">
        <f aca="false">'Dish Database'!K401*H1575/100</f>
        <v>5</v>
      </c>
      <c r="L1575" s="17" t="n">
        <f aca="false">'Dish Database'!L401*H1575/100</f>
        <v>32</v>
      </c>
      <c r="M1575" s="17" t="n">
        <f aca="false">'Dish Database'!M401*H1575/100</f>
        <v>17</v>
      </c>
      <c r="N1575" s="17" t="n">
        <f aca="false">'Dish Database'!N401*H1575/100</f>
        <v>3</v>
      </c>
      <c r="O1575" s="17" t="n">
        <f aca="false">'Dish Database'!O401*H1575/100</f>
        <v>2</v>
      </c>
      <c r="P1575" s="13" t="n">
        <f aca="false">'Dish Database'!P401*H1575/100</f>
        <v>400</v>
      </c>
    </row>
    <row r="1576" customFormat="false" ht="15" hidden="false" customHeight="false" outlineLevel="0" collapsed="false">
      <c r="A1576" s="6" t="str">
        <f aca="false">'Dish Database'!A402</f>
        <v>D401</v>
      </c>
      <c r="B1576" s="6" t="str">
        <f aca="false">'Dish Database'!B402</f>
        <v>Keema samosa</v>
      </c>
      <c r="C1576" s="6" t="str">
        <f aca="false">'Dish Database'!D402</f>
        <v>Snacks &amp; Fritters</v>
      </c>
      <c r="D1576" s="6" t="str">
        <f aca="false">'Dish Database'!F402</f>
        <v>Non-Veg</v>
      </c>
      <c r="E1576" s="6" t="str">
        <f aca="false">'Dish Database'!E402</f>
        <v>North</v>
      </c>
      <c r="F1576" s="6" t="s">
        <v>2243</v>
      </c>
      <c r="G1576" s="6" t="s">
        <v>2564</v>
      </c>
      <c r="H1576" s="16" t="n">
        <v>30</v>
      </c>
      <c r="I1576" s="6" t="str">
        <f aca="false">'Dish Database'!I402</f>
        <v>g</v>
      </c>
      <c r="J1576" s="13" t="n">
        <f aca="false">'Dish Database'!J402*H1576/100</f>
        <v>92.1</v>
      </c>
      <c r="K1576" s="17" t="n">
        <f aca="false">'Dish Database'!K402*H1576/100</f>
        <v>3</v>
      </c>
      <c r="L1576" s="17" t="n">
        <f aca="false">'Dish Database'!L402*H1576/100</f>
        <v>7.5</v>
      </c>
      <c r="M1576" s="17" t="n">
        <f aca="false">'Dish Database'!M402*H1576/100</f>
        <v>5.7</v>
      </c>
      <c r="N1576" s="17" t="n">
        <f aca="false">'Dish Database'!N402*H1576/100</f>
        <v>0.6</v>
      </c>
      <c r="O1576" s="17" t="n">
        <f aca="false">'Dish Database'!O402*H1576/100</f>
        <v>0.45</v>
      </c>
      <c r="P1576" s="13" t="n">
        <f aca="false">'Dish Database'!P402*H1576/100</f>
        <v>135</v>
      </c>
    </row>
    <row r="1577" customFormat="false" ht="15" hidden="false" customHeight="false" outlineLevel="0" collapsed="false">
      <c r="A1577" s="6" t="str">
        <f aca="false">'Dish Database'!A402</f>
        <v>D401</v>
      </c>
      <c r="B1577" s="6" t="str">
        <f aca="false">'Dish Database'!B402</f>
        <v>Keema samosa</v>
      </c>
      <c r="C1577" s="6" t="str">
        <f aca="false">'Dish Database'!D402</f>
        <v>Snacks &amp; Fritters</v>
      </c>
      <c r="D1577" s="6" t="str">
        <f aca="false">'Dish Database'!F402</f>
        <v>Non-Veg</v>
      </c>
      <c r="E1577" s="6" t="str">
        <f aca="false">'Dish Database'!E402</f>
        <v>North</v>
      </c>
      <c r="F1577" s="6" t="s">
        <v>103</v>
      </c>
      <c r="G1577" s="6" t="s">
        <v>2565</v>
      </c>
      <c r="H1577" s="16" t="n">
        <v>50</v>
      </c>
      <c r="I1577" s="6" t="str">
        <f aca="false">'Dish Database'!I402</f>
        <v>g</v>
      </c>
      <c r="J1577" s="13" t="n">
        <f aca="false">'Dish Database'!J402*H1577/100</f>
        <v>153.5</v>
      </c>
      <c r="K1577" s="17" t="n">
        <f aca="false">'Dish Database'!K402*H1577/100</f>
        <v>5</v>
      </c>
      <c r="L1577" s="17" t="n">
        <f aca="false">'Dish Database'!L402*H1577/100</f>
        <v>12.5</v>
      </c>
      <c r="M1577" s="17" t="n">
        <f aca="false">'Dish Database'!M402*H1577/100</f>
        <v>9.5</v>
      </c>
      <c r="N1577" s="17" t="n">
        <f aca="false">'Dish Database'!N402*H1577/100</f>
        <v>1</v>
      </c>
      <c r="O1577" s="17" t="n">
        <f aca="false">'Dish Database'!O402*H1577/100</f>
        <v>0.75</v>
      </c>
      <c r="P1577" s="13" t="n">
        <f aca="false">'Dish Database'!P402*H1577/100</f>
        <v>225</v>
      </c>
    </row>
    <row r="1578" customFormat="false" ht="15" hidden="false" customHeight="false" outlineLevel="0" collapsed="false">
      <c r="A1578" s="6" t="str">
        <f aca="false">'Dish Database'!A402</f>
        <v>D401</v>
      </c>
      <c r="B1578" s="6" t="str">
        <f aca="false">'Dish Database'!B402</f>
        <v>Keema samosa</v>
      </c>
      <c r="C1578" s="6" t="str">
        <f aca="false">'Dish Database'!D402</f>
        <v>Snacks &amp; Fritters</v>
      </c>
      <c r="D1578" s="6" t="str">
        <f aca="false">'Dish Database'!F402</f>
        <v>Non-Veg</v>
      </c>
      <c r="E1578" s="6" t="str">
        <f aca="false">'Dish Database'!E402</f>
        <v>North</v>
      </c>
      <c r="F1578" s="6" t="s">
        <v>2246</v>
      </c>
      <c r="G1578" s="6" t="s">
        <v>2566</v>
      </c>
      <c r="H1578" s="16" t="n">
        <v>70</v>
      </c>
      <c r="I1578" s="6" t="str">
        <f aca="false">'Dish Database'!I402</f>
        <v>g</v>
      </c>
      <c r="J1578" s="13" t="n">
        <f aca="false">'Dish Database'!J402*H1578/100</f>
        <v>214.9</v>
      </c>
      <c r="K1578" s="17" t="n">
        <f aca="false">'Dish Database'!K402*H1578/100</f>
        <v>7</v>
      </c>
      <c r="L1578" s="17" t="n">
        <f aca="false">'Dish Database'!L402*H1578/100</f>
        <v>17.5</v>
      </c>
      <c r="M1578" s="17" t="n">
        <f aca="false">'Dish Database'!M402*H1578/100</f>
        <v>13.3</v>
      </c>
      <c r="N1578" s="17" t="n">
        <f aca="false">'Dish Database'!N402*H1578/100</f>
        <v>1.4</v>
      </c>
      <c r="O1578" s="17" t="n">
        <f aca="false">'Dish Database'!O402*H1578/100</f>
        <v>1.05</v>
      </c>
      <c r="P1578" s="13" t="n">
        <f aca="false">'Dish Database'!P402*H1578/100</f>
        <v>315</v>
      </c>
    </row>
    <row r="1579" customFormat="false" ht="15" hidden="false" customHeight="false" outlineLevel="0" collapsed="false">
      <c r="A1579" s="6" t="str">
        <f aca="false">'Dish Database'!A403</f>
        <v>D402</v>
      </c>
      <c r="B1579" s="6" t="str">
        <f aca="false">'Dish Database'!B403</f>
        <v>Onion samosa (patti samosa)</v>
      </c>
      <c r="C1579" s="6" t="str">
        <f aca="false">'Dish Database'!D403</f>
        <v>Snacks &amp; Fritters</v>
      </c>
      <c r="D1579" s="6" t="str">
        <f aca="false">'Dish Database'!F403</f>
        <v>Veg</v>
      </c>
      <c r="E1579" s="6" t="str">
        <f aca="false">'Dish Database'!E403</f>
        <v>South</v>
      </c>
      <c r="F1579" s="6" t="s">
        <v>2243</v>
      </c>
      <c r="G1579" s="6" t="s">
        <v>2567</v>
      </c>
      <c r="H1579" s="16" t="n">
        <v>15</v>
      </c>
      <c r="I1579" s="6" t="str">
        <f aca="false">'Dish Database'!I403</f>
        <v>g</v>
      </c>
      <c r="J1579" s="13" t="n">
        <f aca="false">'Dish Database'!J403*H1579/100</f>
        <v>49.8</v>
      </c>
      <c r="K1579" s="17" t="n">
        <f aca="false">'Dish Database'!K403*H1579/100</f>
        <v>0.9</v>
      </c>
      <c r="L1579" s="17" t="n">
        <f aca="false">'Dish Database'!L403*H1579/100</f>
        <v>5.7</v>
      </c>
      <c r="M1579" s="17" t="n">
        <f aca="false">'Dish Database'!M403*H1579/100</f>
        <v>2.7</v>
      </c>
      <c r="N1579" s="17" t="n">
        <f aca="false">'Dish Database'!N403*H1579/100</f>
        <v>0.45</v>
      </c>
      <c r="O1579" s="17" t="n">
        <f aca="false">'Dish Database'!O403*H1579/100</f>
        <v>0.45</v>
      </c>
      <c r="P1579" s="13" t="n">
        <f aca="false">'Dish Database'!P403*H1579/100</f>
        <v>67.5</v>
      </c>
    </row>
    <row r="1580" customFormat="false" ht="15" hidden="false" customHeight="false" outlineLevel="0" collapsed="false">
      <c r="A1580" s="6" t="str">
        <f aca="false">'Dish Database'!A403</f>
        <v>D402</v>
      </c>
      <c r="B1580" s="6" t="str">
        <f aca="false">'Dish Database'!B403</f>
        <v>Onion samosa (patti samosa)</v>
      </c>
      <c r="C1580" s="6" t="str">
        <f aca="false">'Dish Database'!D403</f>
        <v>Snacks &amp; Fritters</v>
      </c>
      <c r="D1580" s="6" t="str">
        <f aca="false">'Dish Database'!F403</f>
        <v>Veg</v>
      </c>
      <c r="E1580" s="6" t="str">
        <f aca="false">'Dish Database'!E403</f>
        <v>South</v>
      </c>
      <c r="F1580" s="6" t="s">
        <v>103</v>
      </c>
      <c r="G1580" s="6" t="s">
        <v>2568</v>
      </c>
      <c r="H1580" s="16" t="n">
        <v>25</v>
      </c>
      <c r="I1580" s="6" t="str">
        <f aca="false">'Dish Database'!I403</f>
        <v>g</v>
      </c>
      <c r="J1580" s="13" t="n">
        <f aca="false">'Dish Database'!J403*H1580/100</f>
        <v>83</v>
      </c>
      <c r="K1580" s="17" t="n">
        <f aca="false">'Dish Database'!K403*H1580/100</f>
        <v>1.5</v>
      </c>
      <c r="L1580" s="17" t="n">
        <f aca="false">'Dish Database'!L403*H1580/100</f>
        <v>9.5</v>
      </c>
      <c r="M1580" s="17" t="n">
        <f aca="false">'Dish Database'!M403*H1580/100</f>
        <v>4.5</v>
      </c>
      <c r="N1580" s="17" t="n">
        <f aca="false">'Dish Database'!N403*H1580/100</f>
        <v>0.75</v>
      </c>
      <c r="O1580" s="17" t="n">
        <f aca="false">'Dish Database'!O403*H1580/100</f>
        <v>0.75</v>
      </c>
      <c r="P1580" s="13" t="n">
        <f aca="false">'Dish Database'!P403*H1580/100</f>
        <v>112.5</v>
      </c>
    </row>
    <row r="1581" customFormat="false" ht="15" hidden="false" customHeight="false" outlineLevel="0" collapsed="false">
      <c r="A1581" s="6" t="str">
        <f aca="false">'Dish Database'!A403</f>
        <v>D402</v>
      </c>
      <c r="B1581" s="6" t="str">
        <f aca="false">'Dish Database'!B403</f>
        <v>Onion samosa (patti samosa)</v>
      </c>
      <c r="C1581" s="6" t="str">
        <f aca="false">'Dish Database'!D403</f>
        <v>Snacks &amp; Fritters</v>
      </c>
      <c r="D1581" s="6" t="str">
        <f aca="false">'Dish Database'!F403</f>
        <v>Veg</v>
      </c>
      <c r="E1581" s="6" t="str">
        <f aca="false">'Dish Database'!E403</f>
        <v>South</v>
      </c>
      <c r="F1581" s="6" t="s">
        <v>2246</v>
      </c>
      <c r="G1581" s="6" t="s">
        <v>2569</v>
      </c>
      <c r="H1581" s="16" t="n">
        <v>35</v>
      </c>
      <c r="I1581" s="6" t="str">
        <f aca="false">'Dish Database'!I403</f>
        <v>g</v>
      </c>
      <c r="J1581" s="13" t="n">
        <f aca="false">'Dish Database'!J403*H1581/100</f>
        <v>116.2</v>
      </c>
      <c r="K1581" s="17" t="n">
        <f aca="false">'Dish Database'!K403*H1581/100</f>
        <v>2.1</v>
      </c>
      <c r="L1581" s="17" t="n">
        <f aca="false">'Dish Database'!L403*H1581/100</f>
        <v>13.3</v>
      </c>
      <c r="M1581" s="17" t="n">
        <f aca="false">'Dish Database'!M403*H1581/100</f>
        <v>6.3</v>
      </c>
      <c r="N1581" s="17" t="n">
        <f aca="false">'Dish Database'!N403*H1581/100</f>
        <v>1.05</v>
      </c>
      <c r="O1581" s="17" t="n">
        <f aca="false">'Dish Database'!O403*H1581/100</f>
        <v>1.05</v>
      </c>
      <c r="P1581" s="13" t="n">
        <f aca="false">'Dish Database'!P403*H1581/100</f>
        <v>157.5</v>
      </c>
    </row>
    <row r="1582" customFormat="false" ht="15" hidden="false" customHeight="false" outlineLevel="0" collapsed="false">
      <c r="A1582" s="6" t="str">
        <f aca="false">'Dish Database'!A404</f>
        <v>D403</v>
      </c>
      <c r="B1582" s="6" t="str">
        <f aca="false">'Dish Database'!B404</f>
        <v>Onion pakora / bhajji</v>
      </c>
      <c r="C1582" s="6" t="str">
        <f aca="false">'Dish Database'!D404</f>
        <v>Snacks &amp; Fritters</v>
      </c>
      <c r="D1582" s="6" t="str">
        <f aca="false">'Dish Database'!F404</f>
        <v>Veg</v>
      </c>
      <c r="E1582" s="6" t="str">
        <f aca="false">'Dish Database'!E404</f>
        <v>Pan-India</v>
      </c>
      <c r="F1582" s="6" t="s">
        <v>2243</v>
      </c>
      <c r="G1582" s="6" t="s">
        <v>2430</v>
      </c>
      <c r="H1582" s="16" t="n">
        <v>50</v>
      </c>
      <c r="I1582" s="6" t="str">
        <f aca="false">'Dish Database'!I404</f>
        <v>g</v>
      </c>
      <c r="J1582" s="13" t="n">
        <f aca="false">'Dish Database'!J404*H1582/100</f>
        <v>142.5</v>
      </c>
      <c r="K1582" s="17" t="n">
        <f aca="false">'Dish Database'!K404*H1582/100</f>
        <v>3</v>
      </c>
      <c r="L1582" s="17" t="n">
        <f aca="false">'Dish Database'!L404*H1582/100</f>
        <v>14.5</v>
      </c>
      <c r="M1582" s="17" t="n">
        <f aca="false">'Dish Database'!M404*H1582/100</f>
        <v>8.5</v>
      </c>
      <c r="N1582" s="17" t="n">
        <f aca="false">'Dish Database'!N404*H1582/100</f>
        <v>2</v>
      </c>
      <c r="O1582" s="17" t="n">
        <f aca="false">'Dish Database'!O404*H1582/100</f>
        <v>2</v>
      </c>
      <c r="P1582" s="13" t="n">
        <f aca="false">'Dish Database'!P404*H1582/100</f>
        <v>200</v>
      </c>
    </row>
    <row r="1583" customFormat="false" ht="15" hidden="false" customHeight="false" outlineLevel="0" collapsed="false">
      <c r="A1583" s="6" t="str">
        <f aca="false">'Dish Database'!A404</f>
        <v>D403</v>
      </c>
      <c r="B1583" s="6" t="str">
        <f aca="false">'Dish Database'!B404</f>
        <v>Onion pakora / bhajji</v>
      </c>
      <c r="C1583" s="6" t="str">
        <f aca="false">'Dish Database'!D404</f>
        <v>Snacks &amp; Fritters</v>
      </c>
      <c r="D1583" s="6" t="str">
        <f aca="false">'Dish Database'!F404</f>
        <v>Veg</v>
      </c>
      <c r="E1583" s="6" t="str">
        <f aca="false">'Dish Database'!E404</f>
        <v>Pan-India</v>
      </c>
      <c r="F1583" s="6" t="s">
        <v>103</v>
      </c>
      <c r="G1583" s="6" t="s">
        <v>2520</v>
      </c>
      <c r="H1583" s="16" t="n">
        <v>100</v>
      </c>
      <c r="I1583" s="6" t="str">
        <f aca="false">'Dish Database'!I404</f>
        <v>g</v>
      </c>
      <c r="J1583" s="13" t="n">
        <f aca="false">'Dish Database'!J404*H1583/100</f>
        <v>285</v>
      </c>
      <c r="K1583" s="17" t="n">
        <f aca="false">'Dish Database'!K404*H1583/100</f>
        <v>6</v>
      </c>
      <c r="L1583" s="17" t="n">
        <f aca="false">'Dish Database'!L404*H1583/100</f>
        <v>29</v>
      </c>
      <c r="M1583" s="17" t="n">
        <f aca="false">'Dish Database'!M404*H1583/100</f>
        <v>17</v>
      </c>
      <c r="N1583" s="17" t="n">
        <f aca="false">'Dish Database'!N404*H1583/100</f>
        <v>4</v>
      </c>
      <c r="O1583" s="17" t="n">
        <f aca="false">'Dish Database'!O404*H1583/100</f>
        <v>4</v>
      </c>
      <c r="P1583" s="13" t="n">
        <f aca="false">'Dish Database'!P404*H1583/100</f>
        <v>400</v>
      </c>
    </row>
    <row r="1584" customFormat="false" ht="15" hidden="false" customHeight="false" outlineLevel="0" collapsed="false">
      <c r="A1584" s="6" t="str">
        <f aca="false">'Dish Database'!A404</f>
        <v>D403</v>
      </c>
      <c r="B1584" s="6" t="str">
        <f aca="false">'Dish Database'!B404</f>
        <v>Onion pakora / bhajji</v>
      </c>
      <c r="C1584" s="6" t="str">
        <f aca="false">'Dish Database'!D404</f>
        <v>Snacks &amp; Fritters</v>
      </c>
      <c r="D1584" s="6" t="str">
        <f aca="false">'Dish Database'!F404</f>
        <v>Veg</v>
      </c>
      <c r="E1584" s="6" t="str">
        <f aca="false">'Dish Database'!E404</f>
        <v>Pan-India</v>
      </c>
      <c r="F1584" s="6" t="s">
        <v>2246</v>
      </c>
      <c r="G1584" s="6" t="s">
        <v>2266</v>
      </c>
      <c r="H1584" s="16" t="n">
        <v>150</v>
      </c>
      <c r="I1584" s="6" t="str">
        <f aca="false">'Dish Database'!I404</f>
        <v>g</v>
      </c>
      <c r="J1584" s="13" t="n">
        <f aca="false">'Dish Database'!J404*H1584/100</f>
        <v>427.5</v>
      </c>
      <c r="K1584" s="17" t="n">
        <f aca="false">'Dish Database'!K404*H1584/100</f>
        <v>9</v>
      </c>
      <c r="L1584" s="17" t="n">
        <f aca="false">'Dish Database'!L404*H1584/100</f>
        <v>43.5</v>
      </c>
      <c r="M1584" s="17" t="n">
        <f aca="false">'Dish Database'!M404*H1584/100</f>
        <v>25.5</v>
      </c>
      <c r="N1584" s="17" t="n">
        <f aca="false">'Dish Database'!N404*H1584/100</f>
        <v>6</v>
      </c>
      <c r="O1584" s="17" t="n">
        <f aca="false">'Dish Database'!O404*H1584/100</f>
        <v>6</v>
      </c>
      <c r="P1584" s="13" t="n">
        <f aca="false">'Dish Database'!P404*H1584/100</f>
        <v>600</v>
      </c>
    </row>
    <row r="1585" customFormat="false" ht="15" hidden="false" customHeight="false" outlineLevel="0" collapsed="false">
      <c r="A1585" s="6" t="str">
        <f aca="false">'Dish Database'!A405</f>
        <v>D404</v>
      </c>
      <c r="B1585" s="6" t="str">
        <f aca="false">'Dish Database'!B405</f>
        <v>Mixed veg pakora</v>
      </c>
      <c r="C1585" s="6" t="str">
        <f aca="false">'Dish Database'!D405</f>
        <v>Snacks &amp; Fritters</v>
      </c>
      <c r="D1585" s="6" t="str">
        <f aca="false">'Dish Database'!F405</f>
        <v>Veg</v>
      </c>
      <c r="E1585" s="6" t="str">
        <f aca="false">'Dish Database'!E405</f>
        <v>Pan-India</v>
      </c>
      <c r="F1585" s="6" t="s">
        <v>2243</v>
      </c>
      <c r="G1585" s="6" t="s">
        <v>2430</v>
      </c>
      <c r="H1585" s="16" t="n">
        <v>50</v>
      </c>
      <c r="I1585" s="6" t="str">
        <f aca="false">'Dish Database'!I405</f>
        <v>g</v>
      </c>
      <c r="J1585" s="13" t="n">
        <f aca="false">'Dish Database'!J405*H1585/100</f>
        <v>132.5</v>
      </c>
      <c r="K1585" s="17" t="n">
        <f aca="false">'Dish Database'!K405*H1585/100</f>
        <v>3</v>
      </c>
      <c r="L1585" s="17" t="n">
        <f aca="false">'Dish Database'!L405*H1585/100</f>
        <v>13</v>
      </c>
      <c r="M1585" s="17" t="n">
        <f aca="false">'Dish Database'!M405*H1585/100</f>
        <v>8</v>
      </c>
      <c r="N1585" s="17" t="n">
        <f aca="false">'Dish Database'!N405*H1585/100</f>
        <v>1.75</v>
      </c>
      <c r="O1585" s="17" t="n">
        <f aca="false">'Dish Database'!O405*H1585/100</f>
        <v>1.5</v>
      </c>
      <c r="P1585" s="13" t="n">
        <f aca="false">'Dish Database'!P405*H1585/100</f>
        <v>200</v>
      </c>
    </row>
    <row r="1586" customFormat="false" ht="15" hidden="false" customHeight="false" outlineLevel="0" collapsed="false">
      <c r="A1586" s="6" t="str">
        <f aca="false">'Dish Database'!A405</f>
        <v>D404</v>
      </c>
      <c r="B1586" s="6" t="str">
        <f aca="false">'Dish Database'!B405</f>
        <v>Mixed veg pakora</v>
      </c>
      <c r="C1586" s="6" t="str">
        <f aca="false">'Dish Database'!D405</f>
        <v>Snacks &amp; Fritters</v>
      </c>
      <c r="D1586" s="6" t="str">
        <f aca="false">'Dish Database'!F405</f>
        <v>Veg</v>
      </c>
      <c r="E1586" s="6" t="str">
        <f aca="false">'Dish Database'!E405</f>
        <v>Pan-India</v>
      </c>
      <c r="F1586" s="6" t="s">
        <v>103</v>
      </c>
      <c r="G1586" s="6" t="s">
        <v>2520</v>
      </c>
      <c r="H1586" s="16" t="n">
        <v>100</v>
      </c>
      <c r="I1586" s="6" t="str">
        <f aca="false">'Dish Database'!I405</f>
        <v>g</v>
      </c>
      <c r="J1586" s="13" t="n">
        <f aca="false">'Dish Database'!J405*H1586/100</f>
        <v>265</v>
      </c>
      <c r="K1586" s="17" t="n">
        <f aca="false">'Dish Database'!K405*H1586/100</f>
        <v>6</v>
      </c>
      <c r="L1586" s="17" t="n">
        <f aca="false">'Dish Database'!L405*H1586/100</f>
        <v>26</v>
      </c>
      <c r="M1586" s="17" t="n">
        <f aca="false">'Dish Database'!M405*H1586/100</f>
        <v>16</v>
      </c>
      <c r="N1586" s="17" t="n">
        <f aca="false">'Dish Database'!N405*H1586/100</f>
        <v>3.5</v>
      </c>
      <c r="O1586" s="17" t="n">
        <f aca="false">'Dish Database'!O405*H1586/100</f>
        <v>3</v>
      </c>
      <c r="P1586" s="13" t="n">
        <f aca="false">'Dish Database'!P405*H1586/100</f>
        <v>400</v>
      </c>
    </row>
    <row r="1587" customFormat="false" ht="15" hidden="false" customHeight="false" outlineLevel="0" collapsed="false">
      <c r="A1587" s="6" t="str">
        <f aca="false">'Dish Database'!A405</f>
        <v>D404</v>
      </c>
      <c r="B1587" s="6" t="str">
        <f aca="false">'Dish Database'!B405</f>
        <v>Mixed veg pakora</v>
      </c>
      <c r="C1587" s="6" t="str">
        <f aca="false">'Dish Database'!D405</f>
        <v>Snacks &amp; Fritters</v>
      </c>
      <c r="D1587" s="6" t="str">
        <f aca="false">'Dish Database'!F405</f>
        <v>Veg</v>
      </c>
      <c r="E1587" s="6" t="str">
        <f aca="false">'Dish Database'!E405</f>
        <v>Pan-India</v>
      </c>
      <c r="F1587" s="6" t="s">
        <v>2246</v>
      </c>
      <c r="G1587" s="6" t="s">
        <v>2266</v>
      </c>
      <c r="H1587" s="16" t="n">
        <v>150</v>
      </c>
      <c r="I1587" s="6" t="str">
        <f aca="false">'Dish Database'!I405</f>
        <v>g</v>
      </c>
      <c r="J1587" s="13" t="n">
        <f aca="false">'Dish Database'!J405*H1587/100</f>
        <v>397.5</v>
      </c>
      <c r="K1587" s="17" t="n">
        <f aca="false">'Dish Database'!K405*H1587/100</f>
        <v>9</v>
      </c>
      <c r="L1587" s="17" t="n">
        <f aca="false">'Dish Database'!L405*H1587/100</f>
        <v>39</v>
      </c>
      <c r="M1587" s="17" t="n">
        <f aca="false">'Dish Database'!M405*H1587/100</f>
        <v>24</v>
      </c>
      <c r="N1587" s="17" t="n">
        <f aca="false">'Dish Database'!N405*H1587/100</f>
        <v>5.25</v>
      </c>
      <c r="O1587" s="17" t="n">
        <f aca="false">'Dish Database'!O405*H1587/100</f>
        <v>4.5</v>
      </c>
      <c r="P1587" s="13" t="n">
        <f aca="false">'Dish Database'!P405*H1587/100</f>
        <v>600</v>
      </c>
    </row>
    <row r="1588" customFormat="false" ht="15" hidden="false" customHeight="false" outlineLevel="0" collapsed="false">
      <c r="A1588" s="6" t="str">
        <f aca="false">'Dish Database'!A406</f>
        <v>D405</v>
      </c>
      <c r="B1588" s="6" t="str">
        <f aca="false">'Dish Database'!B406</f>
        <v>Aloo pakora</v>
      </c>
      <c r="C1588" s="6" t="str">
        <f aca="false">'Dish Database'!D406</f>
        <v>Snacks &amp; Fritters</v>
      </c>
      <c r="D1588" s="6" t="str">
        <f aca="false">'Dish Database'!F406</f>
        <v>Veg</v>
      </c>
      <c r="E1588" s="6" t="str">
        <f aca="false">'Dish Database'!E406</f>
        <v>Pan-India</v>
      </c>
      <c r="F1588" s="6" t="s">
        <v>2243</v>
      </c>
      <c r="G1588" s="6" t="s">
        <v>2430</v>
      </c>
      <c r="H1588" s="16" t="n">
        <v>50</v>
      </c>
      <c r="I1588" s="6" t="str">
        <f aca="false">'Dish Database'!I406</f>
        <v>g</v>
      </c>
      <c r="J1588" s="13" t="n">
        <f aca="false">'Dish Database'!J406*H1588/100</f>
        <v>134.5</v>
      </c>
      <c r="K1588" s="17" t="n">
        <f aca="false">'Dish Database'!K406*H1588/100</f>
        <v>2.5</v>
      </c>
      <c r="L1588" s="17" t="n">
        <f aca="false">'Dish Database'!L406*H1588/100</f>
        <v>15</v>
      </c>
      <c r="M1588" s="17" t="n">
        <f aca="false">'Dish Database'!M406*H1588/100</f>
        <v>7.5</v>
      </c>
      <c r="N1588" s="17" t="n">
        <f aca="false">'Dish Database'!N406*H1588/100</f>
        <v>1.5</v>
      </c>
      <c r="O1588" s="17" t="n">
        <f aca="false">'Dish Database'!O406*H1588/100</f>
        <v>0.75</v>
      </c>
      <c r="P1588" s="13" t="n">
        <f aca="false">'Dish Database'!P406*H1588/100</f>
        <v>200</v>
      </c>
    </row>
    <row r="1589" customFormat="false" ht="15" hidden="false" customHeight="false" outlineLevel="0" collapsed="false">
      <c r="A1589" s="6" t="str">
        <f aca="false">'Dish Database'!A406</f>
        <v>D405</v>
      </c>
      <c r="B1589" s="6" t="str">
        <f aca="false">'Dish Database'!B406</f>
        <v>Aloo pakora</v>
      </c>
      <c r="C1589" s="6" t="str">
        <f aca="false">'Dish Database'!D406</f>
        <v>Snacks &amp; Fritters</v>
      </c>
      <c r="D1589" s="6" t="str">
        <f aca="false">'Dish Database'!F406</f>
        <v>Veg</v>
      </c>
      <c r="E1589" s="6" t="str">
        <f aca="false">'Dish Database'!E406</f>
        <v>Pan-India</v>
      </c>
      <c r="F1589" s="6" t="s">
        <v>103</v>
      </c>
      <c r="G1589" s="6" t="s">
        <v>2520</v>
      </c>
      <c r="H1589" s="16" t="n">
        <v>100</v>
      </c>
      <c r="I1589" s="6" t="str">
        <f aca="false">'Dish Database'!I406</f>
        <v>g</v>
      </c>
      <c r="J1589" s="13" t="n">
        <f aca="false">'Dish Database'!J406*H1589/100</f>
        <v>269</v>
      </c>
      <c r="K1589" s="17" t="n">
        <f aca="false">'Dish Database'!K406*H1589/100</f>
        <v>5</v>
      </c>
      <c r="L1589" s="17" t="n">
        <f aca="false">'Dish Database'!L406*H1589/100</f>
        <v>30</v>
      </c>
      <c r="M1589" s="17" t="n">
        <f aca="false">'Dish Database'!M406*H1589/100</f>
        <v>15</v>
      </c>
      <c r="N1589" s="17" t="n">
        <f aca="false">'Dish Database'!N406*H1589/100</f>
        <v>3</v>
      </c>
      <c r="O1589" s="17" t="n">
        <f aca="false">'Dish Database'!O406*H1589/100</f>
        <v>1.5</v>
      </c>
      <c r="P1589" s="13" t="n">
        <f aca="false">'Dish Database'!P406*H1589/100</f>
        <v>400</v>
      </c>
    </row>
    <row r="1590" customFormat="false" ht="15" hidden="false" customHeight="false" outlineLevel="0" collapsed="false">
      <c r="A1590" s="6" t="str">
        <f aca="false">'Dish Database'!A406</f>
        <v>D405</v>
      </c>
      <c r="B1590" s="6" t="str">
        <f aca="false">'Dish Database'!B406</f>
        <v>Aloo pakora</v>
      </c>
      <c r="C1590" s="6" t="str">
        <f aca="false">'Dish Database'!D406</f>
        <v>Snacks &amp; Fritters</v>
      </c>
      <c r="D1590" s="6" t="str">
        <f aca="false">'Dish Database'!F406</f>
        <v>Veg</v>
      </c>
      <c r="E1590" s="6" t="str">
        <f aca="false">'Dish Database'!E406</f>
        <v>Pan-India</v>
      </c>
      <c r="F1590" s="6" t="s">
        <v>2246</v>
      </c>
      <c r="G1590" s="6" t="s">
        <v>2266</v>
      </c>
      <c r="H1590" s="16" t="n">
        <v>150</v>
      </c>
      <c r="I1590" s="6" t="str">
        <f aca="false">'Dish Database'!I406</f>
        <v>g</v>
      </c>
      <c r="J1590" s="13" t="n">
        <f aca="false">'Dish Database'!J406*H1590/100</f>
        <v>403.5</v>
      </c>
      <c r="K1590" s="17" t="n">
        <f aca="false">'Dish Database'!K406*H1590/100</f>
        <v>7.5</v>
      </c>
      <c r="L1590" s="17" t="n">
        <f aca="false">'Dish Database'!L406*H1590/100</f>
        <v>45</v>
      </c>
      <c r="M1590" s="17" t="n">
        <f aca="false">'Dish Database'!M406*H1590/100</f>
        <v>22.5</v>
      </c>
      <c r="N1590" s="17" t="n">
        <f aca="false">'Dish Database'!N406*H1590/100</f>
        <v>4.5</v>
      </c>
      <c r="O1590" s="17" t="n">
        <f aca="false">'Dish Database'!O406*H1590/100</f>
        <v>2.25</v>
      </c>
      <c r="P1590" s="13" t="n">
        <f aca="false">'Dish Database'!P406*H1590/100</f>
        <v>600</v>
      </c>
    </row>
    <row r="1591" customFormat="false" ht="15" hidden="false" customHeight="false" outlineLevel="0" collapsed="false">
      <c r="A1591" s="6" t="str">
        <f aca="false">'Dish Database'!A407</f>
        <v>D406</v>
      </c>
      <c r="B1591" s="6" t="str">
        <f aca="false">'Dish Database'!B407</f>
        <v>Palak pakora</v>
      </c>
      <c r="C1591" s="6" t="str">
        <f aca="false">'Dish Database'!D407</f>
        <v>Snacks &amp; Fritters</v>
      </c>
      <c r="D1591" s="6" t="str">
        <f aca="false">'Dish Database'!F407</f>
        <v>Veg</v>
      </c>
      <c r="E1591" s="6" t="str">
        <f aca="false">'Dish Database'!E407</f>
        <v>North</v>
      </c>
      <c r="F1591" s="6" t="s">
        <v>2243</v>
      </c>
      <c r="G1591" s="6" t="s">
        <v>2430</v>
      </c>
      <c r="H1591" s="16" t="n">
        <v>50</v>
      </c>
      <c r="I1591" s="6" t="str">
        <f aca="false">'Dish Database'!I407</f>
        <v>g</v>
      </c>
      <c r="J1591" s="13" t="n">
        <f aca="false">'Dish Database'!J407*H1591/100</f>
        <v>124</v>
      </c>
      <c r="K1591" s="17" t="n">
        <f aca="false">'Dish Database'!K407*H1591/100</f>
        <v>3</v>
      </c>
      <c r="L1591" s="17" t="n">
        <f aca="false">'Dish Database'!L407*H1591/100</f>
        <v>11</v>
      </c>
      <c r="M1591" s="17" t="n">
        <f aca="false">'Dish Database'!M407*H1591/100</f>
        <v>8</v>
      </c>
      <c r="N1591" s="17" t="n">
        <f aca="false">'Dish Database'!N407*H1591/100</f>
        <v>2</v>
      </c>
      <c r="O1591" s="17" t="n">
        <f aca="false">'Dish Database'!O407*H1591/100</f>
        <v>0.75</v>
      </c>
      <c r="P1591" s="13" t="n">
        <f aca="false">'Dish Database'!P407*H1591/100</f>
        <v>200</v>
      </c>
    </row>
    <row r="1592" customFormat="false" ht="15" hidden="false" customHeight="false" outlineLevel="0" collapsed="false">
      <c r="A1592" s="6" t="str">
        <f aca="false">'Dish Database'!A407</f>
        <v>D406</v>
      </c>
      <c r="B1592" s="6" t="str">
        <f aca="false">'Dish Database'!B407</f>
        <v>Palak pakora</v>
      </c>
      <c r="C1592" s="6" t="str">
        <f aca="false">'Dish Database'!D407</f>
        <v>Snacks &amp; Fritters</v>
      </c>
      <c r="D1592" s="6" t="str">
        <f aca="false">'Dish Database'!F407</f>
        <v>Veg</v>
      </c>
      <c r="E1592" s="6" t="str">
        <f aca="false">'Dish Database'!E407</f>
        <v>North</v>
      </c>
      <c r="F1592" s="6" t="s">
        <v>103</v>
      </c>
      <c r="G1592" s="6" t="s">
        <v>2520</v>
      </c>
      <c r="H1592" s="16" t="n">
        <v>100</v>
      </c>
      <c r="I1592" s="6" t="str">
        <f aca="false">'Dish Database'!I407</f>
        <v>g</v>
      </c>
      <c r="J1592" s="13" t="n">
        <f aca="false">'Dish Database'!J407*H1592/100</f>
        <v>248</v>
      </c>
      <c r="K1592" s="17" t="n">
        <f aca="false">'Dish Database'!K407*H1592/100</f>
        <v>6</v>
      </c>
      <c r="L1592" s="17" t="n">
        <f aca="false">'Dish Database'!L407*H1592/100</f>
        <v>22</v>
      </c>
      <c r="M1592" s="17" t="n">
        <f aca="false">'Dish Database'!M407*H1592/100</f>
        <v>16</v>
      </c>
      <c r="N1592" s="17" t="n">
        <f aca="false">'Dish Database'!N407*H1592/100</f>
        <v>4</v>
      </c>
      <c r="O1592" s="17" t="n">
        <f aca="false">'Dish Database'!O407*H1592/100</f>
        <v>1.5</v>
      </c>
      <c r="P1592" s="13" t="n">
        <f aca="false">'Dish Database'!P407*H1592/100</f>
        <v>400</v>
      </c>
    </row>
    <row r="1593" customFormat="false" ht="15" hidden="false" customHeight="false" outlineLevel="0" collapsed="false">
      <c r="A1593" s="6" t="str">
        <f aca="false">'Dish Database'!A407</f>
        <v>D406</v>
      </c>
      <c r="B1593" s="6" t="str">
        <f aca="false">'Dish Database'!B407</f>
        <v>Palak pakora</v>
      </c>
      <c r="C1593" s="6" t="str">
        <f aca="false">'Dish Database'!D407</f>
        <v>Snacks &amp; Fritters</v>
      </c>
      <c r="D1593" s="6" t="str">
        <f aca="false">'Dish Database'!F407</f>
        <v>Veg</v>
      </c>
      <c r="E1593" s="6" t="str">
        <f aca="false">'Dish Database'!E407</f>
        <v>North</v>
      </c>
      <c r="F1593" s="6" t="s">
        <v>2246</v>
      </c>
      <c r="G1593" s="6" t="s">
        <v>2266</v>
      </c>
      <c r="H1593" s="16" t="n">
        <v>150</v>
      </c>
      <c r="I1593" s="6" t="str">
        <f aca="false">'Dish Database'!I407</f>
        <v>g</v>
      </c>
      <c r="J1593" s="13" t="n">
        <f aca="false">'Dish Database'!J407*H1593/100</f>
        <v>372</v>
      </c>
      <c r="K1593" s="17" t="n">
        <f aca="false">'Dish Database'!K407*H1593/100</f>
        <v>9</v>
      </c>
      <c r="L1593" s="17" t="n">
        <f aca="false">'Dish Database'!L407*H1593/100</f>
        <v>33</v>
      </c>
      <c r="M1593" s="17" t="n">
        <f aca="false">'Dish Database'!M407*H1593/100</f>
        <v>24</v>
      </c>
      <c r="N1593" s="17" t="n">
        <f aca="false">'Dish Database'!N407*H1593/100</f>
        <v>6</v>
      </c>
      <c r="O1593" s="17" t="n">
        <f aca="false">'Dish Database'!O407*H1593/100</f>
        <v>2.25</v>
      </c>
      <c r="P1593" s="13" t="n">
        <f aca="false">'Dish Database'!P407*H1593/100</f>
        <v>600</v>
      </c>
    </row>
    <row r="1594" customFormat="false" ht="15" hidden="false" customHeight="false" outlineLevel="0" collapsed="false">
      <c r="A1594" s="6" t="str">
        <f aca="false">'Dish Database'!A408</f>
        <v>D407</v>
      </c>
      <c r="B1594" s="6" t="str">
        <f aca="false">'Dish Database'!B408</f>
        <v>Gobi pakora</v>
      </c>
      <c r="C1594" s="6" t="str">
        <f aca="false">'Dish Database'!D408</f>
        <v>Snacks &amp; Fritters</v>
      </c>
      <c r="D1594" s="6" t="str">
        <f aca="false">'Dish Database'!F408</f>
        <v>Veg</v>
      </c>
      <c r="E1594" s="6" t="str">
        <f aca="false">'Dish Database'!E408</f>
        <v>North</v>
      </c>
      <c r="F1594" s="6" t="s">
        <v>2243</v>
      </c>
      <c r="G1594" s="6" t="s">
        <v>2430</v>
      </c>
      <c r="H1594" s="16" t="n">
        <v>50</v>
      </c>
      <c r="I1594" s="6" t="str">
        <f aca="false">'Dish Database'!I408</f>
        <v>g</v>
      </c>
      <c r="J1594" s="13" t="n">
        <f aca="false">'Dish Database'!J408*H1594/100</f>
        <v>119</v>
      </c>
      <c r="K1594" s="17" t="n">
        <f aca="false">'Dish Database'!K408*H1594/100</f>
        <v>2.75</v>
      </c>
      <c r="L1594" s="17" t="n">
        <f aca="false">'Dish Database'!L408*H1594/100</f>
        <v>11</v>
      </c>
      <c r="M1594" s="17" t="n">
        <f aca="false">'Dish Database'!M408*H1594/100</f>
        <v>7.5</v>
      </c>
      <c r="N1594" s="17" t="n">
        <f aca="false">'Dish Database'!N408*H1594/100</f>
        <v>1.75</v>
      </c>
      <c r="O1594" s="17" t="n">
        <f aca="false">'Dish Database'!O408*H1594/100</f>
        <v>1</v>
      </c>
      <c r="P1594" s="13" t="n">
        <f aca="false">'Dish Database'!P408*H1594/100</f>
        <v>200</v>
      </c>
    </row>
    <row r="1595" customFormat="false" ht="15" hidden="false" customHeight="false" outlineLevel="0" collapsed="false">
      <c r="A1595" s="6" t="str">
        <f aca="false">'Dish Database'!A408</f>
        <v>D407</v>
      </c>
      <c r="B1595" s="6" t="str">
        <f aca="false">'Dish Database'!B408</f>
        <v>Gobi pakora</v>
      </c>
      <c r="C1595" s="6" t="str">
        <f aca="false">'Dish Database'!D408</f>
        <v>Snacks &amp; Fritters</v>
      </c>
      <c r="D1595" s="6" t="str">
        <f aca="false">'Dish Database'!F408</f>
        <v>Veg</v>
      </c>
      <c r="E1595" s="6" t="str">
        <f aca="false">'Dish Database'!E408</f>
        <v>North</v>
      </c>
      <c r="F1595" s="6" t="s">
        <v>103</v>
      </c>
      <c r="G1595" s="6" t="s">
        <v>2520</v>
      </c>
      <c r="H1595" s="16" t="n">
        <v>100</v>
      </c>
      <c r="I1595" s="6" t="str">
        <f aca="false">'Dish Database'!I408</f>
        <v>g</v>
      </c>
      <c r="J1595" s="13" t="n">
        <f aca="false">'Dish Database'!J408*H1595/100</f>
        <v>238</v>
      </c>
      <c r="K1595" s="17" t="n">
        <f aca="false">'Dish Database'!K408*H1595/100</f>
        <v>5.5</v>
      </c>
      <c r="L1595" s="17" t="n">
        <f aca="false">'Dish Database'!L408*H1595/100</f>
        <v>22</v>
      </c>
      <c r="M1595" s="17" t="n">
        <f aca="false">'Dish Database'!M408*H1595/100</f>
        <v>15</v>
      </c>
      <c r="N1595" s="17" t="n">
        <f aca="false">'Dish Database'!N408*H1595/100</f>
        <v>3.5</v>
      </c>
      <c r="O1595" s="17" t="n">
        <f aca="false">'Dish Database'!O408*H1595/100</f>
        <v>2</v>
      </c>
      <c r="P1595" s="13" t="n">
        <f aca="false">'Dish Database'!P408*H1595/100</f>
        <v>400</v>
      </c>
    </row>
    <row r="1596" customFormat="false" ht="15" hidden="false" customHeight="false" outlineLevel="0" collapsed="false">
      <c r="A1596" s="6" t="str">
        <f aca="false">'Dish Database'!A408</f>
        <v>D407</v>
      </c>
      <c r="B1596" s="6" t="str">
        <f aca="false">'Dish Database'!B408</f>
        <v>Gobi pakora</v>
      </c>
      <c r="C1596" s="6" t="str">
        <f aca="false">'Dish Database'!D408</f>
        <v>Snacks &amp; Fritters</v>
      </c>
      <c r="D1596" s="6" t="str">
        <f aca="false">'Dish Database'!F408</f>
        <v>Veg</v>
      </c>
      <c r="E1596" s="6" t="str">
        <f aca="false">'Dish Database'!E408</f>
        <v>North</v>
      </c>
      <c r="F1596" s="6" t="s">
        <v>2246</v>
      </c>
      <c r="G1596" s="6" t="s">
        <v>2266</v>
      </c>
      <c r="H1596" s="16" t="n">
        <v>150</v>
      </c>
      <c r="I1596" s="6" t="str">
        <f aca="false">'Dish Database'!I408</f>
        <v>g</v>
      </c>
      <c r="J1596" s="13" t="n">
        <f aca="false">'Dish Database'!J408*H1596/100</f>
        <v>357</v>
      </c>
      <c r="K1596" s="17" t="n">
        <f aca="false">'Dish Database'!K408*H1596/100</f>
        <v>8.25</v>
      </c>
      <c r="L1596" s="17" t="n">
        <f aca="false">'Dish Database'!L408*H1596/100</f>
        <v>33</v>
      </c>
      <c r="M1596" s="17" t="n">
        <f aca="false">'Dish Database'!M408*H1596/100</f>
        <v>22.5</v>
      </c>
      <c r="N1596" s="17" t="n">
        <f aca="false">'Dish Database'!N408*H1596/100</f>
        <v>5.25</v>
      </c>
      <c r="O1596" s="17" t="n">
        <f aca="false">'Dish Database'!O408*H1596/100</f>
        <v>3</v>
      </c>
      <c r="P1596" s="13" t="n">
        <f aca="false">'Dish Database'!P408*H1596/100</f>
        <v>600</v>
      </c>
    </row>
    <row r="1597" customFormat="false" ht="15" hidden="false" customHeight="false" outlineLevel="0" collapsed="false">
      <c r="A1597" s="6" t="str">
        <f aca="false">'Dish Database'!A409</f>
        <v>D408</v>
      </c>
      <c r="B1597" s="6" t="str">
        <f aca="false">'Dish Database'!B409</f>
        <v>Mirchi bajji / mirchi vada</v>
      </c>
      <c r="C1597" s="6" t="str">
        <f aca="false">'Dish Database'!D409</f>
        <v>Snacks &amp; Fritters</v>
      </c>
      <c r="D1597" s="6" t="str">
        <f aca="false">'Dish Database'!F409</f>
        <v>Veg</v>
      </c>
      <c r="E1597" s="6" t="str">
        <f aca="false">'Dish Database'!E409</f>
        <v>South</v>
      </c>
      <c r="F1597" s="6" t="s">
        <v>2243</v>
      </c>
      <c r="G1597" s="6" t="s">
        <v>2570</v>
      </c>
      <c r="H1597" s="16" t="n">
        <v>30</v>
      </c>
      <c r="I1597" s="6" t="str">
        <f aca="false">'Dish Database'!I409</f>
        <v>g</v>
      </c>
      <c r="J1597" s="13" t="n">
        <f aca="false">'Dish Database'!J409*H1597/100</f>
        <v>69.3</v>
      </c>
      <c r="K1597" s="17" t="n">
        <f aca="false">'Dish Database'!K409*H1597/100</f>
        <v>1.05</v>
      </c>
      <c r="L1597" s="17" t="n">
        <f aca="false">'Dish Database'!L409*H1597/100</f>
        <v>6.6</v>
      </c>
      <c r="M1597" s="17" t="n">
        <f aca="false">'Dish Database'!M409*H1597/100</f>
        <v>4.5</v>
      </c>
      <c r="N1597" s="17" t="n">
        <f aca="false">'Dish Database'!N409*H1597/100</f>
        <v>0.9</v>
      </c>
      <c r="O1597" s="17" t="n">
        <f aca="false">'Dish Database'!O409*H1597/100</f>
        <v>0.6</v>
      </c>
      <c r="P1597" s="13" t="n">
        <f aca="false">'Dish Database'!P409*H1597/100</f>
        <v>114</v>
      </c>
    </row>
    <row r="1598" customFormat="false" ht="15" hidden="false" customHeight="false" outlineLevel="0" collapsed="false">
      <c r="A1598" s="6" t="str">
        <f aca="false">'Dish Database'!A409</f>
        <v>D408</v>
      </c>
      <c r="B1598" s="6" t="str">
        <f aca="false">'Dish Database'!B409</f>
        <v>Mirchi bajji / mirchi vada</v>
      </c>
      <c r="C1598" s="6" t="str">
        <f aca="false">'Dish Database'!D409</f>
        <v>Snacks &amp; Fritters</v>
      </c>
      <c r="D1598" s="6" t="str">
        <f aca="false">'Dish Database'!F409</f>
        <v>Veg</v>
      </c>
      <c r="E1598" s="6" t="str">
        <f aca="false">'Dish Database'!E409</f>
        <v>South</v>
      </c>
      <c r="F1598" s="6" t="s">
        <v>103</v>
      </c>
      <c r="G1598" s="6" t="s">
        <v>2571</v>
      </c>
      <c r="H1598" s="16" t="n">
        <v>45</v>
      </c>
      <c r="I1598" s="6" t="str">
        <f aca="false">'Dish Database'!I409</f>
        <v>g</v>
      </c>
      <c r="J1598" s="13" t="n">
        <f aca="false">'Dish Database'!J409*H1598/100</f>
        <v>103.95</v>
      </c>
      <c r="K1598" s="17" t="n">
        <f aca="false">'Dish Database'!K409*H1598/100</f>
        <v>1.575</v>
      </c>
      <c r="L1598" s="17" t="n">
        <f aca="false">'Dish Database'!L409*H1598/100</f>
        <v>9.9</v>
      </c>
      <c r="M1598" s="17" t="n">
        <f aca="false">'Dish Database'!M409*H1598/100</f>
        <v>6.75</v>
      </c>
      <c r="N1598" s="17" t="n">
        <f aca="false">'Dish Database'!N409*H1598/100</f>
        <v>1.35</v>
      </c>
      <c r="O1598" s="17" t="n">
        <f aca="false">'Dish Database'!O409*H1598/100</f>
        <v>0.9</v>
      </c>
      <c r="P1598" s="13" t="n">
        <f aca="false">'Dish Database'!P409*H1598/100</f>
        <v>171</v>
      </c>
    </row>
    <row r="1599" customFormat="false" ht="15" hidden="false" customHeight="false" outlineLevel="0" collapsed="false">
      <c r="A1599" s="6" t="str">
        <f aca="false">'Dish Database'!A409</f>
        <v>D408</v>
      </c>
      <c r="B1599" s="6" t="str">
        <f aca="false">'Dish Database'!B409</f>
        <v>Mirchi bajji / mirchi vada</v>
      </c>
      <c r="C1599" s="6" t="str">
        <f aca="false">'Dish Database'!D409</f>
        <v>Snacks &amp; Fritters</v>
      </c>
      <c r="D1599" s="6" t="str">
        <f aca="false">'Dish Database'!F409</f>
        <v>Veg</v>
      </c>
      <c r="E1599" s="6" t="str">
        <f aca="false">'Dish Database'!E409</f>
        <v>South</v>
      </c>
      <c r="F1599" s="6" t="s">
        <v>2246</v>
      </c>
      <c r="G1599" s="6" t="s">
        <v>2572</v>
      </c>
      <c r="H1599" s="16" t="n">
        <v>70</v>
      </c>
      <c r="I1599" s="6" t="str">
        <f aca="false">'Dish Database'!I409</f>
        <v>g</v>
      </c>
      <c r="J1599" s="13" t="n">
        <f aca="false">'Dish Database'!J409*H1599/100</f>
        <v>161.7</v>
      </c>
      <c r="K1599" s="17" t="n">
        <f aca="false">'Dish Database'!K409*H1599/100</f>
        <v>2.45</v>
      </c>
      <c r="L1599" s="17" t="n">
        <f aca="false">'Dish Database'!L409*H1599/100</f>
        <v>15.4</v>
      </c>
      <c r="M1599" s="17" t="n">
        <f aca="false">'Dish Database'!M409*H1599/100</f>
        <v>10.5</v>
      </c>
      <c r="N1599" s="17" t="n">
        <f aca="false">'Dish Database'!N409*H1599/100</f>
        <v>2.1</v>
      </c>
      <c r="O1599" s="17" t="n">
        <f aca="false">'Dish Database'!O409*H1599/100</f>
        <v>1.4</v>
      </c>
      <c r="P1599" s="13" t="n">
        <f aca="false">'Dish Database'!P409*H1599/100</f>
        <v>266</v>
      </c>
    </row>
    <row r="1600" customFormat="false" ht="15" hidden="false" customHeight="false" outlineLevel="0" collapsed="false">
      <c r="A1600" s="6" t="str">
        <f aca="false">'Dish Database'!A410</f>
        <v>D409</v>
      </c>
      <c r="B1600" s="6" t="str">
        <f aca="false">'Dish Database'!B410</f>
        <v>Bread pakora (aloo stuffed)</v>
      </c>
      <c r="C1600" s="6" t="str">
        <f aca="false">'Dish Database'!D410</f>
        <v>Snacks &amp; Fritters</v>
      </c>
      <c r="D1600" s="6" t="str">
        <f aca="false">'Dish Database'!F410</f>
        <v>Veg</v>
      </c>
      <c r="E1600" s="6" t="str">
        <f aca="false">'Dish Database'!E410</f>
        <v>North</v>
      </c>
      <c r="F1600" s="6" t="s">
        <v>2243</v>
      </c>
      <c r="G1600" s="6" t="s">
        <v>2573</v>
      </c>
      <c r="H1600" s="16" t="n">
        <v>70</v>
      </c>
      <c r="I1600" s="6" t="str">
        <f aca="false">'Dish Database'!I410</f>
        <v>g</v>
      </c>
      <c r="J1600" s="13" t="n">
        <f aca="false">'Dish Database'!J410*H1600/100</f>
        <v>200.9</v>
      </c>
      <c r="K1600" s="17" t="n">
        <f aca="false">'Dish Database'!K410*H1600/100</f>
        <v>4.55</v>
      </c>
      <c r="L1600" s="17" t="n">
        <f aca="false">'Dish Database'!L410*H1600/100</f>
        <v>23.1</v>
      </c>
      <c r="M1600" s="17" t="n">
        <f aca="false">'Dish Database'!M410*H1600/100</f>
        <v>10.5</v>
      </c>
      <c r="N1600" s="17" t="n">
        <f aca="false">'Dish Database'!N410*H1600/100</f>
        <v>2.1</v>
      </c>
      <c r="O1600" s="17" t="n">
        <f aca="false">'Dish Database'!O410*H1600/100</f>
        <v>1.75</v>
      </c>
      <c r="P1600" s="13" t="n">
        <f aca="false">'Dish Database'!P410*H1600/100</f>
        <v>315</v>
      </c>
    </row>
    <row r="1601" customFormat="false" ht="15" hidden="false" customHeight="false" outlineLevel="0" collapsed="false">
      <c r="A1601" s="6" t="str">
        <f aca="false">'Dish Database'!A410</f>
        <v>D409</v>
      </c>
      <c r="B1601" s="6" t="str">
        <f aca="false">'Dish Database'!B410</f>
        <v>Bread pakora (aloo stuffed)</v>
      </c>
      <c r="C1601" s="6" t="str">
        <f aca="false">'Dish Database'!D410</f>
        <v>Snacks &amp; Fritters</v>
      </c>
      <c r="D1601" s="6" t="str">
        <f aca="false">'Dish Database'!F410</f>
        <v>Veg</v>
      </c>
      <c r="E1601" s="6" t="str">
        <f aca="false">'Dish Database'!E410</f>
        <v>North</v>
      </c>
      <c r="F1601" s="6" t="s">
        <v>103</v>
      </c>
      <c r="G1601" s="6" t="s">
        <v>2574</v>
      </c>
      <c r="H1601" s="16" t="n">
        <v>100</v>
      </c>
      <c r="I1601" s="6" t="str">
        <f aca="false">'Dish Database'!I410</f>
        <v>g</v>
      </c>
      <c r="J1601" s="13" t="n">
        <f aca="false">'Dish Database'!J410*H1601/100</f>
        <v>287</v>
      </c>
      <c r="K1601" s="17" t="n">
        <f aca="false">'Dish Database'!K410*H1601/100</f>
        <v>6.5</v>
      </c>
      <c r="L1601" s="17" t="n">
        <f aca="false">'Dish Database'!L410*H1601/100</f>
        <v>33</v>
      </c>
      <c r="M1601" s="17" t="n">
        <f aca="false">'Dish Database'!M410*H1601/100</f>
        <v>15</v>
      </c>
      <c r="N1601" s="17" t="n">
        <f aca="false">'Dish Database'!N410*H1601/100</f>
        <v>3</v>
      </c>
      <c r="O1601" s="17" t="n">
        <f aca="false">'Dish Database'!O410*H1601/100</f>
        <v>2.5</v>
      </c>
      <c r="P1601" s="13" t="n">
        <f aca="false">'Dish Database'!P410*H1601/100</f>
        <v>450</v>
      </c>
    </row>
    <row r="1602" customFormat="false" ht="15" hidden="false" customHeight="false" outlineLevel="0" collapsed="false">
      <c r="A1602" s="6" t="str">
        <f aca="false">'Dish Database'!A410</f>
        <v>D409</v>
      </c>
      <c r="B1602" s="6" t="str">
        <f aca="false">'Dish Database'!B410</f>
        <v>Bread pakora (aloo stuffed)</v>
      </c>
      <c r="C1602" s="6" t="str">
        <f aca="false">'Dish Database'!D410</f>
        <v>Snacks &amp; Fritters</v>
      </c>
      <c r="D1602" s="6" t="str">
        <f aca="false">'Dish Database'!F410</f>
        <v>Veg</v>
      </c>
      <c r="E1602" s="6" t="str">
        <f aca="false">'Dish Database'!E410</f>
        <v>North</v>
      </c>
      <c r="F1602" s="6" t="s">
        <v>2246</v>
      </c>
      <c r="G1602" s="6" t="s">
        <v>2575</v>
      </c>
      <c r="H1602" s="16" t="n">
        <v>130</v>
      </c>
      <c r="I1602" s="6" t="str">
        <f aca="false">'Dish Database'!I410</f>
        <v>g</v>
      </c>
      <c r="J1602" s="13" t="n">
        <f aca="false">'Dish Database'!J410*H1602/100</f>
        <v>373.1</v>
      </c>
      <c r="K1602" s="17" t="n">
        <f aca="false">'Dish Database'!K410*H1602/100</f>
        <v>8.45</v>
      </c>
      <c r="L1602" s="17" t="n">
        <f aca="false">'Dish Database'!L410*H1602/100</f>
        <v>42.9</v>
      </c>
      <c r="M1602" s="17" t="n">
        <f aca="false">'Dish Database'!M410*H1602/100</f>
        <v>19.5</v>
      </c>
      <c r="N1602" s="17" t="n">
        <f aca="false">'Dish Database'!N410*H1602/100</f>
        <v>3.9</v>
      </c>
      <c r="O1602" s="17" t="n">
        <f aca="false">'Dish Database'!O410*H1602/100</f>
        <v>3.25</v>
      </c>
      <c r="P1602" s="13" t="n">
        <f aca="false">'Dish Database'!P410*H1602/100</f>
        <v>585</v>
      </c>
    </row>
    <row r="1603" customFormat="false" ht="15" hidden="false" customHeight="false" outlineLevel="0" collapsed="false">
      <c r="A1603" s="6" t="str">
        <f aca="false">'Dish Database'!A411</f>
        <v>D410</v>
      </c>
      <c r="B1603" s="6" t="str">
        <f aca="false">'Dish Database'!B411</f>
        <v>Batata vada / aloo bonda</v>
      </c>
      <c r="C1603" s="6" t="str">
        <f aca="false">'Dish Database'!D411</f>
        <v>Snacks &amp; Fritters</v>
      </c>
      <c r="D1603" s="6" t="str">
        <f aca="false">'Dish Database'!F411</f>
        <v>Veg</v>
      </c>
      <c r="E1603" s="6" t="str">
        <f aca="false">'Dish Database'!E411</f>
        <v>West</v>
      </c>
      <c r="F1603" s="6" t="s">
        <v>2243</v>
      </c>
      <c r="G1603" s="6" t="s">
        <v>2576</v>
      </c>
      <c r="H1603" s="16" t="n">
        <v>40</v>
      </c>
      <c r="I1603" s="6" t="str">
        <f aca="false">'Dish Database'!I411</f>
        <v>g</v>
      </c>
      <c r="J1603" s="13" t="n">
        <f aca="false">'Dish Database'!J411*H1603/100</f>
        <v>103.2</v>
      </c>
      <c r="K1603" s="17" t="n">
        <f aca="false">'Dish Database'!K411*H1603/100</f>
        <v>1.8</v>
      </c>
      <c r="L1603" s="17" t="n">
        <f aca="false">'Dish Database'!L411*H1603/100</f>
        <v>12</v>
      </c>
      <c r="M1603" s="17" t="n">
        <f aca="false">'Dish Database'!M411*H1603/100</f>
        <v>5.6</v>
      </c>
      <c r="N1603" s="17" t="n">
        <f aca="false">'Dish Database'!N411*H1603/100</f>
        <v>1.2</v>
      </c>
      <c r="O1603" s="17" t="n">
        <f aca="false">'Dish Database'!O411*H1603/100</f>
        <v>0.6</v>
      </c>
      <c r="P1603" s="13" t="n">
        <f aca="false">'Dish Database'!P411*H1603/100</f>
        <v>168</v>
      </c>
    </row>
    <row r="1604" customFormat="false" ht="15" hidden="false" customHeight="false" outlineLevel="0" collapsed="false">
      <c r="A1604" s="6" t="str">
        <f aca="false">'Dish Database'!A411</f>
        <v>D410</v>
      </c>
      <c r="B1604" s="6" t="str">
        <f aca="false">'Dish Database'!B411</f>
        <v>Batata vada / aloo bonda</v>
      </c>
      <c r="C1604" s="6" t="str">
        <f aca="false">'Dish Database'!D411</f>
        <v>Snacks &amp; Fritters</v>
      </c>
      <c r="D1604" s="6" t="str">
        <f aca="false">'Dish Database'!F411</f>
        <v>Veg</v>
      </c>
      <c r="E1604" s="6" t="str">
        <f aca="false">'Dish Database'!E411</f>
        <v>West</v>
      </c>
      <c r="F1604" s="6" t="s">
        <v>103</v>
      </c>
      <c r="G1604" s="6" t="s">
        <v>2577</v>
      </c>
      <c r="H1604" s="16" t="n">
        <v>60</v>
      </c>
      <c r="I1604" s="6" t="str">
        <f aca="false">'Dish Database'!I411</f>
        <v>g</v>
      </c>
      <c r="J1604" s="13" t="n">
        <f aca="false">'Dish Database'!J411*H1604/100</f>
        <v>154.8</v>
      </c>
      <c r="K1604" s="17" t="n">
        <f aca="false">'Dish Database'!K411*H1604/100</f>
        <v>2.7</v>
      </c>
      <c r="L1604" s="17" t="n">
        <f aca="false">'Dish Database'!L411*H1604/100</f>
        <v>18</v>
      </c>
      <c r="M1604" s="17" t="n">
        <f aca="false">'Dish Database'!M411*H1604/100</f>
        <v>8.4</v>
      </c>
      <c r="N1604" s="17" t="n">
        <f aca="false">'Dish Database'!N411*H1604/100</f>
        <v>1.8</v>
      </c>
      <c r="O1604" s="17" t="n">
        <f aca="false">'Dish Database'!O411*H1604/100</f>
        <v>0.9</v>
      </c>
      <c r="P1604" s="13" t="n">
        <f aca="false">'Dish Database'!P411*H1604/100</f>
        <v>252</v>
      </c>
    </row>
    <row r="1605" customFormat="false" ht="15" hidden="false" customHeight="false" outlineLevel="0" collapsed="false">
      <c r="A1605" s="6" t="str">
        <f aca="false">'Dish Database'!A411</f>
        <v>D410</v>
      </c>
      <c r="B1605" s="6" t="str">
        <f aca="false">'Dish Database'!B411</f>
        <v>Batata vada / aloo bonda</v>
      </c>
      <c r="C1605" s="6" t="str">
        <f aca="false">'Dish Database'!D411</f>
        <v>Snacks &amp; Fritters</v>
      </c>
      <c r="D1605" s="6" t="str">
        <f aca="false">'Dish Database'!F411</f>
        <v>Veg</v>
      </c>
      <c r="E1605" s="6" t="str">
        <f aca="false">'Dish Database'!E411</f>
        <v>West</v>
      </c>
      <c r="F1605" s="6" t="s">
        <v>2246</v>
      </c>
      <c r="G1605" s="6" t="s">
        <v>2578</v>
      </c>
      <c r="H1605" s="16" t="n">
        <v>80</v>
      </c>
      <c r="I1605" s="6" t="str">
        <f aca="false">'Dish Database'!I411</f>
        <v>g</v>
      </c>
      <c r="J1605" s="13" t="n">
        <f aca="false">'Dish Database'!J411*H1605/100</f>
        <v>206.4</v>
      </c>
      <c r="K1605" s="17" t="n">
        <f aca="false">'Dish Database'!K411*H1605/100</f>
        <v>3.6</v>
      </c>
      <c r="L1605" s="17" t="n">
        <f aca="false">'Dish Database'!L411*H1605/100</f>
        <v>24</v>
      </c>
      <c r="M1605" s="17" t="n">
        <f aca="false">'Dish Database'!M411*H1605/100</f>
        <v>11.2</v>
      </c>
      <c r="N1605" s="17" t="n">
        <f aca="false">'Dish Database'!N411*H1605/100</f>
        <v>2.4</v>
      </c>
      <c r="O1605" s="17" t="n">
        <f aca="false">'Dish Database'!O411*H1605/100</f>
        <v>1.2</v>
      </c>
      <c r="P1605" s="13" t="n">
        <f aca="false">'Dish Database'!P411*H1605/100</f>
        <v>336</v>
      </c>
    </row>
    <row r="1606" customFormat="false" ht="15" hidden="false" customHeight="false" outlineLevel="0" collapsed="false">
      <c r="A1606" s="6" t="str">
        <f aca="false">'Dish Database'!A412</f>
        <v>D411</v>
      </c>
      <c r="B1606" s="6" t="str">
        <f aca="false">'Dish Database'!B412</f>
        <v>Sabudana vada</v>
      </c>
      <c r="C1606" s="6" t="str">
        <f aca="false">'Dish Database'!D412</f>
        <v>Snacks &amp; Fritters</v>
      </c>
      <c r="D1606" s="6" t="str">
        <f aca="false">'Dish Database'!F412</f>
        <v>Veg</v>
      </c>
      <c r="E1606" s="6" t="str">
        <f aca="false">'Dish Database'!E412</f>
        <v>West</v>
      </c>
      <c r="F1606" s="6" t="s">
        <v>2243</v>
      </c>
      <c r="G1606" s="6" t="s">
        <v>2579</v>
      </c>
      <c r="H1606" s="16" t="n">
        <v>30</v>
      </c>
      <c r="I1606" s="6" t="str">
        <f aca="false">'Dish Database'!I412</f>
        <v>g</v>
      </c>
      <c r="J1606" s="13" t="n">
        <f aca="false">'Dish Database'!J412*H1606/100</f>
        <v>89.4</v>
      </c>
      <c r="K1606" s="17" t="n">
        <f aca="false">'Dish Database'!K412*H1606/100</f>
        <v>1.05</v>
      </c>
      <c r="L1606" s="17" t="n">
        <f aca="false">'Dish Database'!L412*H1606/100</f>
        <v>11.4</v>
      </c>
      <c r="M1606" s="17" t="n">
        <f aca="false">'Dish Database'!M412*H1606/100</f>
        <v>4.5</v>
      </c>
      <c r="N1606" s="17" t="n">
        <f aca="false">'Dish Database'!N412*H1606/100</f>
        <v>0.45</v>
      </c>
      <c r="O1606" s="17" t="n">
        <f aca="false">'Dish Database'!O412*H1606/100</f>
        <v>0.3</v>
      </c>
      <c r="P1606" s="13" t="n">
        <f aca="false">'Dish Database'!P412*H1606/100</f>
        <v>105</v>
      </c>
    </row>
    <row r="1607" customFormat="false" ht="15" hidden="false" customHeight="false" outlineLevel="0" collapsed="false">
      <c r="A1607" s="6" t="str">
        <f aca="false">'Dish Database'!A412</f>
        <v>D411</v>
      </c>
      <c r="B1607" s="6" t="str">
        <f aca="false">'Dish Database'!B412</f>
        <v>Sabudana vada</v>
      </c>
      <c r="C1607" s="6" t="str">
        <f aca="false">'Dish Database'!D412</f>
        <v>Snacks &amp; Fritters</v>
      </c>
      <c r="D1607" s="6" t="str">
        <f aca="false">'Dish Database'!F412</f>
        <v>Veg</v>
      </c>
      <c r="E1607" s="6" t="str">
        <f aca="false">'Dish Database'!E412</f>
        <v>West</v>
      </c>
      <c r="F1607" s="6" t="s">
        <v>103</v>
      </c>
      <c r="G1607" s="6" t="s">
        <v>2580</v>
      </c>
      <c r="H1607" s="16" t="n">
        <v>45</v>
      </c>
      <c r="I1607" s="6" t="str">
        <f aca="false">'Dish Database'!I412</f>
        <v>g</v>
      </c>
      <c r="J1607" s="13" t="n">
        <f aca="false">'Dish Database'!J412*H1607/100</f>
        <v>134.1</v>
      </c>
      <c r="K1607" s="17" t="n">
        <f aca="false">'Dish Database'!K412*H1607/100</f>
        <v>1.575</v>
      </c>
      <c r="L1607" s="17" t="n">
        <f aca="false">'Dish Database'!L412*H1607/100</f>
        <v>17.1</v>
      </c>
      <c r="M1607" s="17" t="n">
        <f aca="false">'Dish Database'!M412*H1607/100</f>
        <v>6.75</v>
      </c>
      <c r="N1607" s="17" t="n">
        <f aca="false">'Dish Database'!N412*H1607/100</f>
        <v>0.675</v>
      </c>
      <c r="O1607" s="17" t="n">
        <f aca="false">'Dish Database'!O412*H1607/100</f>
        <v>0.45</v>
      </c>
      <c r="P1607" s="13" t="n">
        <f aca="false">'Dish Database'!P412*H1607/100</f>
        <v>157.5</v>
      </c>
    </row>
    <row r="1608" customFormat="false" ht="15" hidden="false" customHeight="false" outlineLevel="0" collapsed="false">
      <c r="A1608" s="6" t="str">
        <f aca="false">'Dish Database'!A412</f>
        <v>D411</v>
      </c>
      <c r="B1608" s="6" t="str">
        <f aca="false">'Dish Database'!B412</f>
        <v>Sabudana vada</v>
      </c>
      <c r="C1608" s="6" t="str">
        <f aca="false">'Dish Database'!D412</f>
        <v>Snacks &amp; Fritters</v>
      </c>
      <c r="D1608" s="6" t="str">
        <f aca="false">'Dish Database'!F412</f>
        <v>Veg</v>
      </c>
      <c r="E1608" s="6" t="str">
        <f aca="false">'Dish Database'!E412</f>
        <v>West</v>
      </c>
      <c r="F1608" s="6" t="s">
        <v>2246</v>
      </c>
      <c r="G1608" s="6" t="s">
        <v>2581</v>
      </c>
      <c r="H1608" s="16" t="n">
        <v>60</v>
      </c>
      <c r="I1608" s="6" t="str">
        <f aca="false">'Dish Database'!I412</f>
        <v>g</v>
      </c>
      <c r="J1608" s="13" t="n">
        <f aca="false">'Dish Database'!J412*H1608/100</f>
        <v>178.8</v>
      </c>
      <c r="K1608" s="17" t="n">
        <f aca="false">'Dish Database'!K412*H1608/100</f>
        <v>2.1</v>
      </c>
      <c r="L1608" s="17" t="n">
        <f aca="false">'Dish Database'!L412*H1608/100</f>
        <v>22.8</v>
      </c>
      <c r="M1608" s="17" t="n">
        <f aca="false">'Dish Database'!M412*H1608/100</f>
        <v>9</v>
      </c>
      <c r="N1608" s="17" t="n">
        <f aca="false">'Dish Database'!N412*H1608/100</f>
        <v>0.9</v>
      </c>
      <c r="O1608" s="17" t="n">
        <f aca="false">'Dish Database'!O412*H1608/100</f>
        <v>0.6</v>
      </c>
      <c r="P1608" s="13" t="n">
        <f aca="false">'Dish Database'!P412*H1608/100</f>
        <v>210</v>
      </c>
    </row>
    <row r="1609" customFormat="false" ht="15" hidden="false" customHeight="false" outlineLevel="0" collapsed="false">
      <c r="A1609" s="6" t="str">
        <f aca="false">'Dish Database'!A413</f>
        <v>D412</v>
      </c>
      <c r="B1609" s="6" t="str">
        <f aca="false">'Dish Database'!B413</f>
        <v>Dahi vada / dahi bhalla</v>
      </c>
      <c r="C1609" s="6" t="str">
        <f aca="false">'Dish Database'!D413</f>
        <v>Snacks &amp; Fritters</v>
      </c>
      <c r="D1609" s="6" t="str">
        <f aca="false">'Dish Database'!F413</f>
        <v>Veg</v>
      </c>
      <c r="E1609" s="6" t="str">
        <f aca="false">'Dish Database'!E413</f>
        <v>North</v>
      </c>
      <c r="F1609" s="6" t="s">
        <v>2243</v>
      </c>
      <c r="G1609" s="6" t="s">
        <v>2582</v>
      </c>
      <c r="H1609" s="16" t="n">
        <v>100</v>
      </c>
      <c r="I1609" s="6" t="str">
        <f aca="false">'Dish Database'!I413</f>
        <v>g</v>
      </c>
      <c r="J1609" s="13" t="n">
        <f aca="false">'Dish Database'!J413*H1609/100</f>
        <v>153.9</v>
      </c>
      <c r="K1609" s="17" t="n">
        <f aca="false">'Dish Database'!K413*H1609/100</f>
        <v>5.5</v>
      </c>
      <c r="L1609" s="17" t="n">
        <f aca="false">'Dish Database'!L413*H1609/100</f>
        <v>17</v>
      </c>
      <c r="M1609" s="17" t="n">
        <f aca="false">'Dish Database'!M413*H1609/100</f>
        <v>7.5</v>
      </c>
      <c r="N1609" s="17" t="n">
        <f aca="false">'Dish Database'!N413*H1609/100</f>
        <v>1.8</v>
      </c>
      <c r="O1609" s="17" t="n">
        <f aca="false">'Dish Database'!O413*H1609/100</f>
        <v>6</v>
      </c>
      <c r="P1609" s="13" t="n">
        <f aca="false">'Dish Database'!P413*H1609/100</f>
        <v>320</v>
      </c>
    </row>
    <row r="1610" customFormat="false" ht="15" hidden="false" customHeight="false" outlineLevel="0" collapsed="false">
      <c r="A1610" s="6" t="str">
        <f aca="false">'Dish Database'!A413</f>
        <v>D412</v>
      </c>
      <c r="B1610" s="6" t="str">
        <f aca="false">'Dish Database'!B413</f>
        <v>Dahi vada / dahi bhalla</v>
      </c>
      <c r="C1610" s="6" t="str">
        <f aca="false">'Dish Database'!D413</f>
        <v>Snacks &amp; Fritters</v>
      </c>
      <c r="D1610" s="6" t="str">
        <f aca="false">'Dish Database'!F413</f>
        <v>Veg</v>
      </c>
      <c r="E1610" s="6" t="str">
        <f aca="false">'Dish Database'!E413</f>
        <v>North</v>
      </c>
      <c r="F1610" s="6" t="s">
        <v>103</v>
      </c>
      <c r="G1610" s="6" t="s">
        <v>2583</v>
      </c>
      <c r="H1610" s="16" t="n">
        <v>150</v>
      </c>
      <c r="I1610" s="6" t="str">
        <f aca="false">'Dish Database'!I413</f>
        <v>g</v>
      </c>
      <c r="J1610" s="13" t="n">
        <f aca="false">'Dish Database'!J413*H1610/100</f>
        <v>230.85</v>
      </c>
      <c r="K1610" s="17" t="n">
        <f aca="false">'Dish Database'!K413*H1610/100</f>
        <v>8.25</v>
      </c>
      <c r="L1610" s="17" t="n">
        <f aca="false">'Dish Database'!L413*H1610/100</f>
        <v>25.5</v>
      </c>
      <c r="M1610" s="17" t="n">
        <f aca="false">'Dish Database'!M413*H1610/100</f>
        <v>11.25</v>
      </c>
      <c r="N1610" s="17" t="n">
        <f aca="false">'Dish Database'!N413*H1610/100</f>
        <v>2.7</v>
      </c>
      <c r="O1610" s="17" t="n">
        <f aca="false">'Dish Database'!O413*H1610/100</f>
        <v>9</v>
      </c>
      <c r="P1610" s="13" t="n">
        <f aca="false">'Dish Database'!P413*H1610/100</f>
        <v>480</v>
      </c>
    </row>
    <row r="1611" customFormat="false" ht="15" hidden="false" customHeight="false" outlineLevel="0" collapsed="false">
      <c r="A1611" s="6" t="str">
        <f aca="false">'Dish Database'!A413</f>
        <v>D412</v>
      </c>
      <c r="B1611" s="6" t="str">
        <f aca="false">'Dish Database'!B413</f>
        <v>Dahi vada / dahi bhalla</v>
      </c>
      <c r="C1611" s="6" t="str">
        <f aca="false">'Dish Database'!D413</f>
        <v>Snacks &amp; Fritters</v>
      </c>
      <c r="D1611" s="6" t="str">
        <f aca="false">'Dish Database'!F413</f>
        <v>Veg</v>
      </c>
      <c r="E1611" s="6" t="str">
        <f aca="false">'Dish Database'!E413</f>
        <v>North</v>
      </c>
      <c r="F1611" s="6" t="s">
        <v>2246</v>
      </c>
      <c r="G1611" s="6" t="s">
        <v>2584</v>
      </c>
      <c r="H1611" s="16" t="n">
        <v>200</v>
      </c>
      <c r="I1611" s="6" t="str">
        <f aca="false">'Dish Database'!I413</f>
        <v>g</v>
      </c>
      <c r="J1611" s="13" t="n">
        <f aca="false">'Dish Database'!J413*H1611/100</f>
        <v>307.8</v>
      </c>
      <c r="K1611" s="17" t="n">
        <f aca="false">'Dish Database'!K413*H1611/100</f>
        <v>11</v>
      </c>
      <c r="L1611" s="17" t="n">
        <f aca="false">'Dish Database'!L413*H1611/100</f>
        <v>34</v>
      </c>
      <c r="M1611" s="17" t="n">
        <f aca="false">'Dish Database'!M413*H1611/100</f>
        <v>15</v>
      </c>
      <c r="N1611" s="17" t="n">
        <f aca="false">'Dish Database'!N413*H1611/100</f>
        <v>3.6</v>
      </c>
      <c r="O1611" s="17" t="n">
        <f aca="false">'Dish Database'!O413*H1611/100</f>
        <v>12</v>
      </c>
      <c r="P1611" s="13" t="n">
        <f aca="false">'Dish Database'!P413*H1611/100</f>
        <v>640</v>
      </c>
    </row>
    <row r="1612" customFormat="false" ht="15" hidden="false" customHeight="false" outlineLevel="0" collapsed="false">
      <c r="A1612" s="6" t="str">
        <f aca="false">'Dish Database'!A414</f>
        <v>D413</v>
      </c>
      <c r="B1612" s="6" t="str">
        <f aca="false">'Dish Database'!B414</f>
        <v>Veg puff (bakery)</v>
      </c>
      <c r="C1612" s="6" t="str">
        <f aca="false">'Dish Database'!D414</f>
        <v>Snacks &amp; Fritters</v>
      </c>
      <c r="D1612" s="6" t="str">
        <f aca="false">'Dish Database'!F414</f>
        <v>Veg</v>
      </c>
      <c r="E1612" s="6" t="str">
        <f aca="false">'Dish Database'!E414</f>
        <v>Pan-India</v>
      </c>
      <c r="F1612" s="6" t="s">
        <v>2243</v>
      </c>
      <c r="G1612" s="6" t="s">
        <v>2585</v>
      </c>
      <c r="H1612" s="16" t="n">
        <v>60</v>
      </c>
      <c r="I1612" s="6" t="str">
        <f aca="false">'Dish Database'!I414</f>
        <v>g</v>
      </c>
      <c r="J1612" s="13" t="n">
        <f aca="false">'Dish Database'!J414*H1612/100</f>
        <v>193.2</v>
      </c>
      <c r="K1612" s="17" t="n">
        <f aca="false">'Dish Database'!K414*H1612/100</f>
        <v>2.7</v>
      </c>
      <c r="L1612" s="17" t="n">
        <f aca="false">'Dish Database'!L414*H1612/100</f>
        <v>19.2</v>
      </c>
      <c r="M1612" s="17" t="n">
        <f aca="false">'Dish Database'!M414*H1612/100</f>
        <v>12</v>
      </c>
      <c r="N1612" s="17" t="n">
        <f aca="false">'Dish Database'!N414*H1612/100</f>
        <v>1.2</v>
      </c>
      <c r="O1612" s="17" t="n">
        <f aca="false">'Dish Database'!O414*H1612/100</f>
        <v>1.5</v>
      </c>
      <c r="P1612" s="13" t="n">
        <f aca="false">'Dish Database'!P414*H1612/100</f>
        <v>270</v>
      </c>
    </row>
    <row r="1613" customFormat="false" ht="15" hidden="false" customHeight="false" outlineLevel="0" collapsed="false">
      <c r="A1613" s="6" t="str">
        <f aca="false">'Dish Database'!A414</f>
        <v>D413</v>
      </c>
      <c r="B1613" s="6" t="str">
        <f aca="false">'Dish Database'!B414</f>
        <v>Veg puff (bakery)</v>
      </c>
      <c r="C1613" s="6" t="str">
        <f aca="false">'Dish Database'!D414</f>
        <v>Snacks &amp; Fritters</v>
      </c>
      <c r="D1613" s="6" t="str">
        <f aca="false">'Dish Database'!F414</f>
        <v>Veg</v>
      </c>
      <c r="E1613" s="6" t="str">
        <f aca="false">'Dish Database'!E414</f>
        <v>Pan-India</v>
      </c>
      <c r="F1613" s="6" t="s">
        <v>103</v>
      </c>
      <c r="G1613" s="6" t="s">
        <v>2586</v>
      </c>
      <c r="H1613" s="16" t="n">
        <v>80</v>
      </c>
      <c r="I1613" s="6" t="str">
        <f aca="false">'Dish Database'!I414</f>
        <v>g</v>
      </c>
      <c r="J1613" s="13" t="n">
        <f aca="false">'Dish Database'!J414*H1613/100</f>
        <v>257.6</v>
      </c>
      <c r="K1613" s="17" t="n">
        <f aca="false">'Dish Database'!K414*H1613/100</f>
        <v>3.6</v>
      </c>
      <c r="L1613" s="17" t="n">
        <f aca="false">'Dish Database'!L414*H1613/100</f>
        <v>25.6</v>
      </c>
      <c r="M1613" s="17" t="n">
        <f aca="false">'Dish Database'!M414*H1613/100</f>
        <v>16</v>
      </c>
      <c r="N1613" s="17" t="n">
        <f aca="false">'Dish Database'!N414*H1613/100</f>
        <v>1.6</v>
      </c>
      <c r="O1613" s="17" t="n">
        <f aca="false">'Dish Database'!O414*H1613/100</f>
        <v>2</v>
      </c>
      <c r="P1613" s="13" t="n">
        <f aca="false">'Dish Database'!P414*H1613/100</f>
        <v>360</v>
      </c>
    </row>
    <row r="1614" customFormat="false" ht="15" hidden="false" customHeight="false" outlineLevel="0" collapsed="false">
      <c r="A1614" s="6" t="str">
        <f aca="false">'Dish Database'!A414</f>
        <v>D413</v>
      </c>
      <c r="B1614" s="6" t="str">
        <f aca="false">'Dish Database'!B414</f>
        <v>Veg puff (bakery)</v>
      </c>
      <c r="C1614" s="6" t="str">
        <f aca="false">'Dish Database'!D414</f>
        <v>Snacks &amp; Fritters</v>
      </c>
      <c r="D1614" s="6" t="str">
        <f aca="false">'Dish Database'!F414</f>
        <v>Veg</v>
      </c>
      <c r="E1614" s="6" t="str">
        <f aca="false">'Dish Database'!E414</f>
        <v>Pan-India</v>
      </c>
      <c r="F1614" s="6" t="s">
        <v>2246</v>
      </c>
      <c r="G1614" s="6" t="s">
        <v>2587</v>
      </c>
      <c r="H1614" s="16" t="n">
        <v>100</v>
      </c>
      <c r="I1614" s="6" t="str">
        <f aca="false">'Dish Database'!I414</f>
        <v>g</v>
      </c>
      <c r="J1614" s="13" t="n">
        <f aca="false">'Dish Database'!J414*H1614/100</f>
        <v>322</v>
      </c>
      <c r="K1614" s="17" t="n">
        <f aca="false">'Dish Database'!K414*H1614/100</f>
        <v>4.5</v>
      </c>
      <c r="L1614" s="17" t="n">
        <f aca="false">'Dish Database'!L414*H1614/100</f>
        <v>32</v>
      </c>
      <c r="M1614" s="17" t="n">
        <f aca="false">'Dish Database'!M414*H1614/100</f>
        <v>20</v>
      </c>
      <c r="N1614" s="17" t="n">
        <f aca="false">'Dish Database'!N414*H1614/100</f>
        <v>2</v>
      </c>
      <c r="O1614" s="17" t="n">
        <f aca="false">'Dish Database'!O414*H1614/100</f>
        <v>2.5</v>
      </c>
      <c r="P1614" s="13" t="n">
        <f aca="false">'Dish Database'!P414*H1614/100</f>
        <v>450</v>
      </c>
    </row>
    <row r="1615" customFormat="false" ht="15" hidden="false" customHeight="false" outlineLevel="0" collapsed="false">
      <c r="A1615" s="6" t="str">
        <f aca="false">'Dish Database'!A415</f>
        <v>D414</v>
      </c>
      <c r="B1615" s="6" t="str">
        <f aca="false">'Dish Database'!B415</f>
        <v>Egg puff (bakery)</v>
      </c>
      <c r="C1615" s="6" t="str">
        <f aca="false">'Dish Database'!D415</f>
        <v>Snacks &amp; Fritters</v>
      </c>
      <c r="D1615" s="6" t="str">
        <f aca="false">'Dish Database'!F415</f>
        <v>Egg</v>
      </c>
      <c r="E1615" s="6" t="str">
        <f aca="false">'Dish Database'!E415</f>
        <v>Pan-India</v>
      </c>
      <c r="F1615" s="6" t="s">
        <v>2243</v>
      </c>
      <c r="G1615" s="6" t="s">
        <v>2588</v>
      </c>
      <c r="H1615" s="16" t="n">
        <v>70</v>
      </c>
      <c r="I1615" s="6" t="str">
        <f aca="false">'Dish Database'!I415</f>
        <v>g</v>
      </c>
      <c r="J1615" s="13" t="n">
        <f aca="false">'Dish Database'!J415*H1615/100</f>
        <v>232.4</v>
      </c>
      <c r="K1615" s="17" t="n">
        <f aca="false">'Dish Database'!K415*H1615/100</f>
        <v>4.9</v>
      </c>
      <c r="L1615" s="17" t="n">
        <f aca="false">'Dish Database'!L415*H1615/100</f>
        <v>18.9</v>
      </c>
      <c r="M1615" s="17" t="n">
        <f aca="false">'Dish Database'!M415*H1615/100</f>
        <v>15.4</v>
      </c>
      <c r="N1615" s="17" t="n">
        <f aca="false">'Dish Database'!N415*H1615/100</f>
        <v>0.7</v>
      </c>
      <c r="O1615" s="17" t="n">
        <f aca="false">'Dish Database'!O415*H1615/100</f>
        <v>1.4</v>
      </c>
      <c r="P1615" s="13" t="n">
        <f aca="false">'Dish Database'!P415*H1615/100</f>
        <v>315</v>
      </c>
    </row>
    <row r="1616" customFormat="false" ht="15" hidden="false" customHeight="false" outlineLevel="0" collapsed="false">
      <c r="A1616" s="6" t="str">
        <f aca="false">'Dish Database'!A415</f>
        <v>D414</v>
      </c>
      <c r="B1616" s="6" t="str">
        <f aca="false">'Dish Database'!B415</f>
        <v>Egg puff (bakery)</v>
      </c>
      <c r="C1616" s="6" t="str">
        <f aca="false">'Dish Database'!D415</f>
        <v>Snacks &amp; Fritters</v>
      </c>
      <c r="D1616" s="6" t="str">
        <f aca="false">'Dish Database'!F415</f>
        <v>Egg</v>
      </c>
      <c r="E1616" s="6" t="str">
        <f aca="false">'Dish Database'!E415</f>
        <v>Pan-India</v>
      </c>
      <c r="F1616" s="6" t="s">
        <v>103</v>
      </c>
      <c r="G1616" s="6" t="s">
        <v>2589</v>
      </c>
      <c r="H1616" s="16" t="n">
        <v>90</v>
      </c>
      <c r="I1616" s="6" t="str">
        <f aca="false">'Dish Database'!I415</f>
        <v>g</v>
      </c>
      <c r="J1616" s="13" t="n">
        <f aca="false">'Dish Database'!J415*H1616/100</f>
        <v>298.8</v>
      </c>
      <c r="K1616" s="17" t="n">
        <f aca="false">'Dish Database'!K415*H1616/100</f>
        <v>6.3</v>
      </c>
      <c r="L1616" s="17" t="n">
        <f aca="false">'Dish Database'!L415*H1616/100</f>
        <v>24.3</v>
      </c>
      <c r="M1616" s="17" t="n">
        <f aca="false">'Dish Database'!M415*H1616/100</f>
        <v>19.8</v>
      </c>
      <c r="N1616" s="17" t="n">
        <f aca="false">'Dish Database'!N415*H1616/100</f>
        <v>0.9</v>
      </c>
      <c r="O1616" s="17" t="n">
        <f aca="false">'Dish Database'!O415*H1616/100</f>
        <v>1.8</v>
      </c>
      <c r="P1616" s="13" t="n">
        <f aca="false">'Dish Database'!P415*H1616/100</f>
        <v>405</v>
      </c>
    </row>
    <row r="1617" customFormat="false" ht="15" hidden="false" customHeight="false" outlineLevel="0" collapsed="false">
      <c r="A1617" s="6" t="str">
        <f aca="false">'Dish Database'!A415</f>
        <v>D414</v>
      </c>
      <c r="B1617" s="6" t="str">
        <f aca="false">'Dish Database'!B415</f>
        <v>Egg puff (bakery)</v>
      </c>
      <c r="C1617" s="6" t="str">
        <f aca="false">'Dish Database'!D415</f>
        <v>Snacks &amp; Fritters</v>
      </c>
      <c r="D1617" s="6" t="str">
        <f aca="false">'Dish Database'!F415</f>
        <v>Egg</v>
      </c>
      <c r="E1617" s="6" t="str">
        <f aca="false">'Dish Database'!E415</f>
        <v>Pan-India</v>
      </c>
      <c r="F1617" s="6" t="s">
        <v>2246</v>
      </c>
      <c r="G1617" s="6" t="s">
        <v>2590</v>
      </c>
      <c r="H1617" s="16" t="n">
        <v>110</v>
      </c>
      <c r="I1617" s="6" t="str">
        <f aca="false">'Dish Database'!I415</f>
        <v>g</v>
      </c>
      <c r="J1617" s="13" t="n">
        <f aca="false">'Dish Database'!J415*H1617/100</f>
        <v>365.2</v>
      </c>
      <c r="K1617" s="17" t="n">
        <f aca="false">'Dish Database'!K415*H1617/100</f>
        <v>7.7</v>
      </c>
      <c r="L1617" s="17" t="n">
        <f aca="false">'Dish Database'!L415*H1617/100</f>
        <v>29.7</v>
      </c>
      <c r="M1617" s="17" t="n">
        <f aca="false">'Dish Database'!M415*H1617/100</f>
        <v>24.2</v>
      </c>
      <c r="N1617" s="17" t="n">
        <f aca="false">'Dish Database'!N415*H1617/100</f>
        <v>1.1</v>
      </c>
      <c r="O1617" s="17" t="n">
        <f aca="false">'Dish Database'!O415*H1617/100</f>
        <v>2.2</v>
      </c>
      <c r="P1617" s="13" t="n">
        <f aca="false">'Dish Database'!P415*H1617/100</f>
        <v>495</v>
      </c>
    </row>
    <row r="1618" customFormat="false" ht="15" hidden="false" customHeight="false" outlineLevel="0" collapsed="false">
      <c r="A1618" s="6" t="str">
        <f aca="false">'Dish Database'!A416</f>
        <v>D415</v>
      </c>
      <c r="B1618" s="6" t="str">
        <f aca="false">'Dish Database'!B416</f>
        <v>Chicken puff (bakery)</v>
      </c>
      <c r="C1618" s="6" t="str">
        <f aca="false">'Dish Database'!D416</f>
        <v>Snacks &amp; Fritters</v>
      </c>
      <c r="D1618" s="6" t="str">
        <f aca="false">'Dish Database'!F416</f>
        <v>Non-Veg</v>
      </c>
      <c r="E1618" s="6" t="str">
        <f aca="false">'Dish Database'!E416</f>
        <v>Pan-India</v>
      </c>
      <c r="F1618" s="6" t="s">
        <v>2243</v>
      </c>
      <c r="G1618" s="6" t="s">
        <v>2588</v>
      </c>
      <c r="H1618" s="16" t="n">
        <v>70</v>
      </c>
      <c r="I1618" s="6" t="str">
        <f aca="false">'Dish Database'!I416</f>
        <v>g</v>
      </c>
      <c r="J1618" s="13" t="n">
        <f aca="false">'Dish Database'!J416*H1618/100</f>
        <v>222.6</v>
      </c>
      <c r="K1618" s="17" t="n">
        <f aca="false">'Dish Database'!K416*H1618/100</f>
        <v>6.3</v>
      </c>
      <c r="L1618" s="17" t="n">
        <f aca="false">'Dish Database'!L416*H1618/100</f>
        <v>18.2</v>
      </c>
      <c r="M1618" s="17" t="n">
        <f aca="false">'Dish Database'!M416*H1618/100</f>
        <v>14</v>
      </c>
      <c r="N1618" s="17" t="n">
        <f aca="false">'Dish Database'!N416*H1618/100</f>
        <v>0.7</v>
      </c>
      <c r="O1618" s="17" t="n">
        <f aca="false">'Dish Database'!O416*H1618/100</f>
        <v>1.4</v>
      </c>
      <c r="P1618" s="13" t="n">
        <f aca="false">'Dish Database'!P416*H1618/100</f>
        <v>336</v>
      </c>
    </row>
    <row r="1619" customFormat="false" ht="15" hidden="false" customHeight="false" outlineLevel="0" collapsed="false">
      <c r="A1619" s="6" t="str">
        <f aca="false">'Dish Database'!A416</f>
        <v>D415</v>
      </c>
      <c r="B1619" s="6" t="str">
        <f aca="false">'Dish Database'!B416</f>
        <v>Chicken puff (bakery)</v>
      </c>
      <c r="C1619" s="6" t="str">
        <f aca="false">'Dish Database'!D416</f>
        <v>Snacks &amp; Fritters</v>
      </c>
      <c r="D1619" s="6" t="str">
        <f aca="false">'Dish Database'!F416</f>
        <v>Non-Veg</v>
      </c>
      <c r="E1619" s="6" t="str">
        <f aca="false">'Dish Database'!E416</f>
        <v>Pan-India</v>
      </c>
      <c r="F1619" s="6" t="s">
        <v>103</v>
      </c>
      <c r="G1619" s="6" t="s">
        <v>2589</v>
      </c>
      <c r="H1619" s="16" t="n">
        <v>90</v>
      </c>
      <c r="I1619" s="6" t="str">
        <f aca="false">'Dish Database'!I416</f>
        <v>g</v>
      </c>
      <c r="J1619" s="13" t="n">
        <f aca="false">'Dish Database'!J416*H1619/100</f>
        <v>286.2</v>
      </c>
      <c r="K1619" s="17" t="n">
        <f aca="false">'Dish Database'!K416*H1619/100</f>
        <v>8.1</v>
      </c>
      <c r="L1619" s="17" t="n">
        <f aca="false">'Dish Database'!L416*H1619/100</f>
        <v>23.4</v>
      </c>
      <c r="M1619" s="17" t="n">
        <f aca="false">'Dish Database'!M416*H1619/100</f>
        <v>18</v>
      </c>
      <c r="N1619" s="17" t="n">
        <f aca="false">'Dish Database'!N416*H1619/100</f>
        <v>0.9</v>
      </c>
      <c r="O1619" s="17" t="n">
        <f aca="false">'Dish Database'!O416*H1619/100</f>
        <v>1.8</v>
      </c>
      <c r="P1619" s="13" t="n">
        <f aca="false">'Dish Database'!P416*H1619/100</f>
        <v>432</v>
      </c>
    </row>
    <row r="1620" customFormat="false" ht="15" hidden="false" customHeight="false" outlineLevel="0" collapsed="false">
      <c r="A1620" s="6" t="str">
        <f aca="false">'Dish Database'!A416</f>
        <v>D415</v>
      </c>
      <c r="B1620" s="6" t="str">
        <f aca="false">'Dish Database'!B416</f>
        <v>Chicken puff (bakery)</v>
      </c>
      <c r="C1620" s="6" t="str">
        <f aca="false">'Dish Database'!D416</f>
        <v>Snacks &amp; Fritters</v>
      </c>
      <c r="D1620" s="6" t="str">
        <f aca="false">'Dish Database'!F416</f>
        <v>Non-Veg</v>
      </c>
      <c r="E1620" s="6" t="str">
        <f aca="false">'Dish Database'!E416</f>
        <v>Pan-India</v>
      </c>
      <c r="F1620" s="6" t="s">
        <v>2246</v>
      </c>
      <c r="G1620" s="6" t="s">
        <v>2590</v>
      </c>
      <c r="H1620" s="16" t="n">
        <v>110</v>
      </c>
      <c r="I1620" s="6" t="str">
        <f aca="false">'Dish Database'!I416</f>
        <v>g</v>
      </c>
      <c r="J1620" s="13" t="n">
        <f aca="false">'Dish Database'!J416*H1620/100</f>
        <v>349.8</v>
      </c>
      <c r="K1620" s="17" t="n">
        <f aca="false">'Dish Database'!K416*H1620/100</f>
        <v>9.9</v>
      </c>
      <c r="L1620" s="17" t="n">
        <f aca="false">'Dish Database'!L416*H1620/100</f>
        <v>28.6</v>
      </c>
      <c r="M1620" s="17" t="n">
        <f aca="false">'Dish Database'!M416*H1620/100</f>
        <v>22</v>
      </c>
      <c r="N1620" s="17" t="n">
        <f aca="false">'Dish Database'!N416*H1620/100</f>
        <v>1.1</v>
      </c>
      <c r="O1620" s="17" t="n">
        <f aca="false">'Dish Database'!O416*H1620/100</f>
        <v>2.2</v>
      </c>
      <c r="P1620" s="13" t="n">
        <f aca="false">'Dish Database'!P416*H1620/100</f>
        <v>528</v>
      </c>
    </row>
    <row r="1621" customFormat="false" ht="15" hidden="false" customHeight="false" outlineLevel="0" collapsed="false">
      <c r="A1621" s="6" t="str">
        <f aca="false">'Dish Database'!A417</f>
        <v>D416</v>
      </c>
      <c r="B1621" s="6" t="str">
        <f aca="false">'Dish Database'!B417</f>
        <v>Veg burger (aloo tikki burger)</v>
      </c>
      <c r="C1621" s="6" t="str">
        <f aca="false">'Dish Database'!D417</f>
        <v>Snacks &amp; Fritters</v>
      </c>
      <c r="D1621" s="6" t="str">
        <f aca="false">'Dish Database'!F417</f>
        <v>Veg</v>
      </c>
      <c r="E1621" s="6" t="str">
        <f aca="false">'Dish Database'!E417</f>
        <v>Pan-India</v>
      </c>
      <c r="F1621" s="6" t="s">
        <v>2243</v>
      </c>
      <c r="G1621" s="6" t="s">
        <v>2591</v>
      </c>
      <c r="H1621" s="16" t="n">
        <v>120</v>
      </c>
      <c r="I1621" s="6" t="str">
        <f aca="false">'Dish Database'!I417</f>
        <v>g</v>
      </c>
      <c r="J1621" s="13" t="n">
        <f aca="false">'Dish Database'!J417*H1621/100</f>
        <v>274.8</v>
      </c>
      <c r="K1621" s="17" t="n">
        <f aca="false">'Dish Database'!K417*H1621/100</f>
        <v>7.2</v>
      </c>
      <c r="L1621" s="17" t="n">
        <f aca="false">'Dish Database'!L417*H1621/100</f>
        <v>36</v>
      </c>
      <c r="M1621" s="17" t="n">
        <f aca="false">'Dish Database'!M417*H1621/100</f>
        <v>12</v>
      </c>
      <c r="N1621" s="17" t="n">
        <f aca="false">'Dish Database'!N417*H1621/100</f>
        <v>3</v>
      </c>
      <c r="O1621" s="17" t="n">
        <f aca="false">'Dish Database'!O417*H1621/100</f>
        <v>6</v>
      </c>
      <c r="P1621" s="13" t="n">
        <f aca="false">'Dish Database'!P417*H1621/100</f>
        <v>600</v>
      </c>
    </row>
    <row r="1622" customFormat="false" ht="15" hidden="false" customHeight="false" outlineLevel="0" collapsed="false">
      <c r="A1622" s="6" t="str">
        <f aca="false">'Dish Database'!A417</f>
        <v>D416</v>
      </c>
      <c r="B1622" s="6" t="str">
        <f aca="false">'Dish Database'!B417</f>
        <v>Veg burger (aloo tikki burger)</v>
      </c>
      <c r="C1622" s="6" t="str">
        <f aca="false">'Dish Database'!D417</f>
        <v>Snacks &amp; Fritters</v>
      </c>
      <c r="D1622" s="6" t="str">
        <f aca="false">'Dish Database'!F417</f>
        <v>Veg</v>
      </c>
      <c r="E1622" s="6" t="str">
        <f aca="false">'Dish Database'!E417</f>
        <v>Pan-India</v>
      </c>
      <c r="F1622" s="6" t="s">
        <v>103</v>
      </c>
      <c r="G1622" s="6" t="s">
        <v>2592</v>
      </c>
      <c r="H1622" s="16" t="n">
        <v>150</v>
      </c>
      <c r="I1622" s="6" t="str">
        <f aca="false">'Dish Database'!I417</f>
        <v>g</v>
      </c>
      <c r="J1622" s="13" t="n">
        <f aca="false">'Dish Database'!J417*H1622/100</f>
        <v>343.5</v>
      </c>
      <c r="K1622" s="17" t="n">
        <f aca="false">'Dish Database'!K417*H1622/100</f>
        <v>9</v>
      </c>
      <c r="L1622" s="17" t="n">
        <f aca="false">'Dish Database'!L417*H1622/100</f>
        <v>45</v>
      </c>
      <c r="M1622" s="17" t="n">
        <f aca="false">'Dish Database'!M417*H1622/100</f>
        <v>15</v>
      </c>
      <c r="N1622" s="17" t="n">
        <f aca="false">'Dish Database'!N417*H1622/100</f>
        <v>3.75</v>
      </c>
      <c r="O1622" s="17" t="n">
        <f aca="false">'Dish Database'!O417*H1622/100</f>
        <v>7.5</v>
      </c>
      <c r="P1622" s="13" t="n">
        <f aca="false">'Dish Database'!P417*H1622/100</f>
        <v>750</v>
      </c>
    </row>
    <row r="1623" customFormat="false" ht="15" hidden="false" customHeight="false" outlineLevel="0" collapsed="false">
      <c r="A1623" s="6" t="str">
        <f aca="false">'Dish Database'!A417</f>
        <v>D416</v>
      </c>
      <c r="B1623" s="6" t="str">
        <f aca="false">'Dish Database'!B417</f>
        <v>Veg burger (aloo tikki burger)</v>
      </c>
      <c r="C1623" s="6" t="str">
        <f aca="false">'Dish Database'!D417</f>
        <v>Snacks &amp; Fritters</v>
      </c>
      <c r="D1623" s="6" t="str">
        <f aca="false">'Dish Database'!F417</f>
        <v>Veg</v>
      </c>
      <c r="E1623" s="6" t="str">
        <f aca="false">'Dish Database'!E417</f>
        <v>Pan-India</v>
      </c>
      <c r="F1623" s="6" t="s">
        <v>2246</v>
      </c>
      <c r="G1623" s="6" t="s">
        <v>2593</v>
      </c>
      <c r="H1623" s="16" t="n">
        <v>200</v>
      </c>
      <c r="I1623" s="6" t="str">
        <f aca="false">'Dish Database'!I417</f>
        <v>g</v>
      </c>
      <c r="J1623" s="13" t="n">
        <f aca="false">'Dish Database'!J417*H1623/100</f>
        <v>458</v>
      </c>
      <c r="K1623" s="17" t="n">
        <f aca="false">'Dish Database'!K417*H1623/100</f>
        <v>12</v>
      </c>
      <c r="L1623" s="17" t="n">
        <f aca="false">'Dish Database'!L417*H1623/100</f>
        <v>60</v>
      </c>
      <c r="M1623" s="17" t="n">
        <f aca="false">'Dish Database'!M417*H1623/100</f>
        <v>20</v>
      </c>
      <c r="N1623" s="17" t="n">
        <f aca="false">'Dish Database'!N417*H1623/100</f>
        <v>5</v>
      </c>
      <c r="O1623" s="17" t="n">
        <f aca="false">'Dish Database'!O417*H1623/100</f>
        <v>10</v>
      </c>
      <c r="P1623" s="13" t="n">
        <f aca="false">'Dish Database'!P417*H1623/100</f>
        <v>1000</v>
      </c>
    </row>
    <row r="1624" customFormat="false" ht="15" hidden="false" customHeight="false" outlineLevel="0" collapsed="false">
      <c r="A1624" s="6" t="str">
        <f aca="false">'Dish Database'!A418</f>
        <v>D417</v>
      </c>
      <c r="B1624" s="6" t="str">
        <f aca="false">'Dish Database'!B418</f>
        <v>Pani puri / golgappa / puchka</v>
      </c>
      <c r="C1624" s="6" t="str">
        <f aca="false">'Dish Database'!D418</f>
        <v>Street Food &amp; Chaat</v>
      </c>
      <c r="D1624" s="6" t="str">
        <f aca="false">'Dish Database'!F418</f>
        <v>Veg</v>
      </c>
      <c r="E1624" s="6" t="str">
        <f aca="false">'Dish Database'!E418</f>
        <v>Pan-India</v>
      </c>
      <c r="F1624" s="6" t="s">
        <v>2243</v>
      </c>
      <c r="G1624" s="6" t="s">
        <v>2594</v>
      </c>
      <c r="H1624" s="16" t="n">
        <v>100</v>
      </c>
      <c r="I1624" s="6" t="str">
        <f aca="false">'Dish Database'!I418</f>
        <v>g</v>
      </c>
      <c r="J1624" s="13" t="n">
        <f aca="false">'Dish Database'!J418*H1624/100</f>
        <v>145.1</v>
      </c>
      <c r="K1624" s="17" t="n">
        <f aca="false">'Dish Database'!K418*H1624/100</f>
        <v>3</v>
      </c>
      <c r="L1624" s="17" t="n">
        <f aca="false">'Dish Database'!L418*H1624/100</f>
        <v>22</v>
      </c>
      <c r="M1624" s="17" t="n">
        <f aca="false">'Dish Database'!M418*H1624/100</f>
        <v>5.5</v>
      </c>
      <c r="N1624" s="17" t="n">
        <f aca="false">'Dish Database'!N418*H1624/100</f>
        <v>2.2</v>
      </c>
      <c r="O1624" s="17" t="n">
        <f aca="false">'Dish Database'!O418*H1624/100</f>
        <v>4</v>
      </c>
      <c r="P1624" s="13" t="n">
        <f aca="false">'Dish Database'!P418*H1624/100</f>
        <v>500</v>
      </c>
    </row>
    <row r="1625" customFormat="false" ht="15" hidden="false" customHeight="false" outlineLevel="0" collapsed="false">
      <c r="A1625" s="6" t="str">
        <f aca="false">'Dish Database'!A418</f>
        <v>D417</v>
      </c>
      <c r="B1625" s="6" t="str">
        <f aca="false">'Dish Database'!B418</f>
        <v>Pani puri / golgappa / puchka</v>
      </c>
      <c r="C1625" s="6" t="str">
        <f aca="false">'Dish Database'!D418</f>
        <v>Street Food &amp; Chaat</v>
      </c>
      <c r="D1625" s="6" t="str">
        <f aca="false">'Dish Database'!F418</f>
        <v>Veg</v>
      </c>
      <c r="E1625" s="6" t="str">
        <f aca="false">'Dish Database'!E418</f>
        <v>Pan-India</v>
      </c>
      <c r="F1625" s="6" t="s">
        <v>103</v>
      </c>
      <c r="G1625" s="6" t="s">
        <v>2595</v>
      </c>
      <c r="H1625" s="16" t="n">
        <v>150</v>
      </c>
      <c r="I1625" s="6" t="str">
        <f aca="false">'Dish Database'!I418</f>
        <v>g</v>
      </c>
      <c r="J1625" s="13" t="n">
        <f aca="false">'Dish Database'!J418*H1625/100</f>
        <v>217.65</v>
      </c>
      <c r="K1625" s="17" t="n">
        <f aca="false">'Dish Database'!K418*H1625/100</f>
        <v>4.5</v>
      </c>
      <c r="L1625" s="17" t="n">
        <f aca="false">'Dish Database'!L418*H1625/100</f>
        <v>33</v>
      </c>
      <c r="M1625" s="17" t="n">
        <f aca="false">'Dish Database'!M418*H1625/100</f>
        <v>8.25</v>
      </c>
      <c r="N1625" s="17" t="n">
        <f aca="false">'Dish Database'!N418*H1625/100</f>
        <v>3.3</v>
      </c>
      <c r="O1625" s="17" t="n">
        <f aca="false">'Dish Database'!O418*H1625/100</f>
        <v>6</v>
      </c>
      <c r="P1625" s="13" t="n">
        <f aca="false">'Dish Database'!P418*H1625/100</f>
        <v>750</v>
      </c>
    </row>
    <row r="1626" customFormat="false" ht="15" hidden="false" customHeight="false" outlineLevel="0" collapsed="false">
      <c r="A1626" s="6" t="str">
        <f aca="false">'Dish Database'!A418</f>
        <v>D417</v>
      </c>
      <c r="B1626" s="6" t="str">
        <f aca="false">'Dish Database'!B418</f>
        <v>Pani puri / golgappa / puchka</v>
      </c>
      <c r="C1626" s="6" t="str">
        <f aca="false">'Dish Database'!D418</f>
        <v>Street Food &amp; Chaat</v>
      </c>
      <c r="D1626" s="6" t="str">
        <f aca="false">'Dish Database'!F418</f>
        <v>Veg</v>
      </c>
      <c r="E1626" s="6" t="str">
        <f aca="false">'Dish Database'!E418</f>
        <v>Pan-India</v>
      </c>
      <c r="F1626" s="6" t="s">
        <v>2246</v>
      </c>
      <c r="G1626" s="6" t="s">
        <v>2596</v>
      </c>
      <c r="H1626" s="16" t="n">
        <v>250</v>
      </c>
      <c r="I1626" s="6" t="str">
        <f aca="false">'Dish Database'!I418</f>
        <v>g</v>
      </c>
      <c r="J1626" s="13" t="n">
        <f aca="false">'Dish Database'!J418*H1626/100</f>
        <v>362.75</v>
      </c>
      <c r="K1626" s="17" t="n">
        <f aca="false">'Dish Database'!K418*H1626/100</f>
        <v>7.5</v>
      </c>
      <c r="L1626" s="17" t="n">
        <f aca="false">'Dish Database'!L418*H1626/100</f>
        <v>55</v>
      </c>
      <c r="M1626" s="17" t="n">
        <f aca="false">'Dish Database'!M418*H1626/100</f>
        <v>13.75</v>
      </c>
      <c r="N1626" s="17" t="n">
        <f aca="false">'Dish Database'!N418*H1626/100</f>
        <v>5.5</v>
      </c>
      <c r="O1626" s="17" t="n">
        <f aca="false">'Dish Database'!O418*H1626/100</f>
        <v>10</v>
      </c>
      <c r="P1626" s="13" t="n">
        <f aca="false">'Dish Database'!P418*H1626/100</f>
        <v>1250</v>
      </c>
    </row>
    <row r="1627" customFormat="false" ht="15" hidden="false" customHeight="false" outlineLevel="0" collapsed="false">
      <c r="A1627" s="6" t="str">
        <f aca="false">'Dish Database'!A419</f>
        <v>D418</v>
      </c>
      <c r="B1627" s="6" t="str">
        <f aca="false">'Dish Database'!B419</f>
        <v>Bhel puri</v>
      </c>
      <c r="C1627" s="6" t="str">
        <f aca="false">'Dish Database'!D419</f>
        <v>Street Food &amp; Chaat</v>
      </c>
      <c r="D1627" s="6" t="str">
        <f aca="false">'Dish Database'!F419</f>
        <v>Veg</v>
      </c>
      <c r="E1627" s="6" t="str">
        <f aca="false">'Dish Database'!E419</f>
        <v>West</v>
      </c>
      <c r="F1627" s="6" t="s">
        <v>2243</v>
      </c>
      <c r="G1627" s="6" t="s">
        <v>2265</v>
      </c>
      <c r="H1627" s="16" t="n">
        <v>100</v>
      </c>
      <c r="I1627" s="6" t="str">
        <f aca="false">'Dish Database'!I419</f>
        <v>g</v>
      </c>
      <c r="J1627" s="13" t="n">
        <f aca="false">'Dish Database'!J419*H1627/100</f>
        <v>248.3</v>
      </c>
      <c r="K1627" s="17" t="n">
        <f aca="false">'Dish Database'!K419*H1627/100</f>
        <v>5.5</v>
      </c>
      <c r="L1627" s="17" t="n">
        <f aca="false">'Dish Database'!L419*H1627/100</f>
        <v>41</v>
      </c>
      <c r="M1627" s="17" t="n">
        <f aca="false">'Dish Database'!M419*H1627/100</f>
        <v>7.5</v>
      </c>
      <c r="N1627" s="17" t="n">
        <f aca="false">'Dish Database'!N419*H1627/100</f>
        <v>2.6</v>
      </c>
      <c r="O1627" s="17" t="n">
        <f aca="false">'Dish Database'!O419*H1627/100</f>
        <v>6</v>
      </c>
      <c r="P1627" s="13" t="n">
        <f aca="false">'Dish Database'!P419*H1627/100</f>
        <v>450</v>
      </c>
    </row>
    <row r="1628" customFormat="false" ht="15" hidden="false" customHeight="false" outlineLevel="0" collapsed="false">
      <c r="A1628" s="6" t="str">
        <f aca="false">'Dish Database'!A419</f>
        <v>D418</v>
      </c>
      <c r="B1628" s="6" t="str">
        <f aca="false">'Dish Database'!B419</f>
        <v>Bhel puri</v>
      </c>
      <c r="C1628" s="6" t="str">
        <f aca="false">'Dish Database'!D419</f>
        <v>Street Food &amp; Chaat</v>
      </c>
      <c r="D1628" s="6" t="str">
        <f aca="false">'Dish Database'!F419</f>
        <v>Veg</v>
      </c>
      <c r="E1628" s="6" t="str">
        <f aca="false">'Dish Database'!E419</f>
        <v>West</v>
      </c>
      <c r="F1628" s="6" t="s">
        <v>103</v>
      </c>
      <c r="G1628" s="6" t="s">
        <v>2266</v>
      </c>
      <c r="H1628" s="16" t="n">
        <v>150</v>
      </c>
      <c r="I1628" s="6" t="str">
        <f aca="false">'Dish Database'!I419</f>
        <v>g</v>
      </c>
      <c r="J1628" s="13" t="n">
        <f aca="false">'Dish Database'!J419*H1628/100</f>
        <v>372.45</v>
      </c>
      <c r="K1628" s="17" t="n">
        <f aca="false">'Dish Database'!K419*H1628/100</f>
        <v>8.25</v>
      </c>
      <c r="L1628" s="17" t="n">
        <f aca="false">'Dish Database'!L419*H1628/100</f>
        <v>61.5</v>
      </c>
      <c r="M1628" s="17" t="n">
        <f aca="false">'Dish Database'!M419*H1628/100</f>
        <v>11.25</v>
      </c>
      <c r="N1628" s="17" t="n">
        <f aca="false">'Dish Database'!N419*H1628/100</f>
        <v>3.9</v>
      </c>
      <c r="O1628" s="17" t="n">
        <f aca="false">'Dish Database'!O419*H1628/100</f>
        <v>9</v>
      </c>
      <c r="P1628" s="13" t="n">
        <f aca="false">'Dish Database'!P419*H1628/100</f>
        <v>675</v>
      </c>
    </row>
    <row r="1629" customFormat="false" ht="15" hidden="false" customHeight="false" outlineLevel="0" collapsed="false">
      <c r="A1629" s="6" t="str">
        <f aca="false">'Dish Database'!A419</f>
        <v>D418</v>
      </c>
      <c r="B1629" s="6" t="str">
        <f aca="false">'Dish Database'!B419</f>
        <v>Bhel puri</v>
      </c>
      <c r="C1629" s="6" t="str">
        <f aca="false">'Dish Database'!D419</f>
        <v>Street Food &amp; Chaat</v>
      </c>
      <c r="D1629" s="6" t="str">
        <f aca="false">'Dish Database'!F419</f>
        <v>Veg</v>
      </c>
      <c r="E1629" s="6" t="str">
        <f aca="false">'Dish Database'!E419</f>
        <v>West</v>
      </c>
      <c r="F1629" s="6" t="s">
        <v>2246</v>
      </c>
      <c r="G1629" s="6" t="s">
        <v>2267</v>
      </c>
      <c r="H1629" s="16" t="n">
        <v>200</v>
      </c>
      <c r="I1629" s="6" t="str">
        <f aca="false">'Dish Database'!I419</f>
        <v>g</v>
      </c>
      <c r="J1629" s="13" t="n">
        <f aca="false">'Dish Database'!J419*H1629/100</f>
        <v>496.6</v>
      </c>
      <c r="K1629" s="17" t="n">
        <f aca="false">'Dish Database'!K419*H1629/100</f>
        <v>11</v>
      </c>
      <c r="L1629" s="17" t="n">
        <f aca="false">'Dish Database'!L419*H1629/100</f>
        <v>82</v>
      </c>
      <c r="M1629" s="17" t="n">
        <f aca="false">'Dish Database'!M419*H1629/100</f>
        <v>15</v>
      </c>
      <c r="N1629" s="17" t="n">
        <f aca="false">'Dish Database'!N419*H1629/100</f>
        <v>5.2</v>
      </c>
      <c r="O1629" s="17" t="n">
        <f aca="false">'Dish Database'!O419*H1629/100</f>
        <v>12</v>
      </c>
      <c r="P1629" s="13" t="n">
        <f aca="false">'Dish Database'!P419*H1629/100</f>
        <v>900</v>
      </c>
    </row>
    <row r="1630" customFormat="false" ht="15" hidden="false" customHeight="false" outlineLevel="0" collapsed="false">
      <c r="A1630" s="6" t="str">
        <f aca="false">'Dish Database'!A420</f>
        <v>D419</v>
      </c>
      <c r="B1630" s="6" t="str">
        <f aca="false">'Dish Database'!B420</f>
        <v>Jhal muri</v>
      </c>
      <c r="C1630" s="6" t="str">
        <f aca="false">'Dish Database'!D420</f>
        <v>Street Food &amp; Chaat</v>
      </c>
      <c r="D1630" s="6" t="str">
        <f aca="false">'Dish Database'!F420</f>
        <v>Veg</v>
      </c>
      <c r="E1630" s="6" t="str">
        <f aca="false">'Dish Database'!E420</f>
        <v>East</v>
      </c>
      <c r="F1630" s="6" t="s">
        <v>2243</v>
      </c>
      <c r="G1630" s="6" t="s">
        <v>2597</v>
      </c>
      <c r="H1630" s="16" t="n">
        <v>50</v>
      </c>
      <c r="I1630" s="6" t="str">
        <f aca="false">'Dish Database'!I420</f>
        <v>g</v>
      </c>
      <c r="J1630" s="13" t="n">
        <f aca="false">'Dish Database'!J420*H1630/100</f>
        <v>150.05</v>
      </c>
      <c r="K1630" s="17" t="n">
        <f aca="false">'Dish Database'!K420*H1630/100</f>
        <v>3.25</v>
      </c>
      <c r="L1630" s="17" t="n">
        <f aca="false">'Dish Database'!L420*H1630/100</f>
        <v>22</v>
      </c>
      <c r="M1630" s="17" t="n">
        <f aca="false">'Dish Database'!M420*H1630/100</f>
        <v>5.75</v>
      </c>
      <c r="N1630" s="17" t="n">
        <f aca="false">'Dish Database'!N420*H1630/100</f>
        <v>1.35</v>
      </c>
      <c r="O1630" s="17" t="n">
        <f aca="false">'Dish Database'!O420*H1630/100</f>
        <v>1</v>
      </c>
      <c r="P1630" s="13" t="n">
        <f aca="false">'Dish Database'!P420*H1630/100</f>
        <v>200</v>
      </c>
    </row>
    <row r="1631" customFormat="false" ht="15" hidden="false" customHeight="false" outlineLevel="0" collapsed="false">
      <c r="A1631" s="6" t="str">
        <f aca="false">'Dish Database'!A420</f>
        <v>D419</v>
      </c>
      <c r="B1631" s="6" t="str">
        <f aca="false">'Dish Database'!B420</f>
        <v>Jhal muri</v>
      </c>
      <c r="C1631" s="6" t="str">
        <f aca="false">'Dish Database'!D420</f>
        <v>Street Food &amp; Chaat</v>
      </c>
      <c r="D1631" s="6" t="str">
        <f aca="false">'Dish Database'!F420</f>
        <v>Veg</v>
      </c>
      <c r="E1631" s="6" t="str">
        <f aca="false">'Dish Database'!E420</f>
        <v>East</v>
      </c>
      <c r="F1631" s="6" t="s">
        <v>103</v>
      </c>
      <c r="G1631" s="6" t="s">
        <v>2598</v>
      </c>
      <c r="H1631" s="16" t="n">
        <v>80</v>
      </c>
      <c r="I1631" s="6" t="str">
        <f aca="false">'Dish Database'!I420</f>
        <v>g</v>
      </c>
      <c r="J1631" s="13" t="n">
        <f aca="false">'Dish Database'!J420*H1631/100</f>
        <v>240.08</v>
      </c>
      <c r="K1631" s="17" t="n">
        <f aca="false">'Dish Database'!K420*H1631/100</f>
        <v>5.2</v>
      </c>
      <c r="L1631" s="17" t="n">
        <f aca="false">'Dish Database'!L420*H1631/100</f>
        <v>35.2</v>
      </c>
      <c r="M1631" s="17" t="n">
        <f aca="false">'Dish Database'!M420*H1631/100</f>
        <v>9.2</v>
      </c>
      <c r="N1631" s="17" t="n">
        <f aca="false">'Dish Database'!N420*H1631/100</f>
        <v>2.16</v>
      </c>
      <c r="O1631" s="17" t="n">
        <f aca="false">'Dish Database'!O420*H1631/100</f>
        <v>1.6</v>
      </c>
      <c r="P1631" s="13" t="n">
        <f aca="false">'Dish Database'!P420*H1631/100</f>
        <v>320</v>
      </c>
    </row>
    <row r="1632" customFormat="false" ht="15" hidden="false" customHeight="false" outlineLevel="0" collapsed="false">
      <c r="A1632" s="6" t="str">
        <f aca="false">'Dish Database'!A420</f>
        <v>D419</v>
      </c>
      <c r="B1632" s="6" t="str">
        <f aca="false">'Dish Database'!B420</f>
        <v>Jhal muri</v>
      </c>
      <c r="C1632" s="6" t="str">
        <f aca="false">'Dish Database'!D420</f>
        <v>Street Food &amp; Chaat</v>
      </c>
      <c r="D1632" s="6" t="str">
        <f aca="false">'Dish Database'!F420</f>
        <v>Veg</v>
      </c>
      <c r="E1632" s="6" t="str">
        <f aca="false">'Dish Database'!E420</f>
        <v>East</v>
      </c>
      <c r="F1632" s="6" t="s">
        <v>2246</v>
      </c>
      <c r="G1632" s="6" t="s">
        <v>2599</v>
      </c>
      <c r="H1632" s="16" t="n">
        <v>120</v>
      </c>
      <c r="I1632" s="6" t="str">
        <f aca="false">'Dish Database'!I420</f>
        <v>g</v>
      </c>
      <c r="J1632" s="13" t="n">
        <f aca="false">'Dish Database'!J420*H1632/100</f>
        <v>360.12</v>
      </c>
      <c r="K1632" s="17" t="n">
        <f aca="false">'Dish Database'!K420*H1632/100</f>
        <v>7.8</v>
      </c>
      <c r="L1632" s="17" t="n">
        <f aca="false">'Dish Database'!L420*H1632/100</f>
        <v>52.8</v>
      </c>
      <c r="M1632" s="17" t="n">
        <f aca="false">'Dish Database'!M420*H1632/100</f>
        <v>13.8</v>
      </c>
      <c r="N1632" s="17" t="n">
        <f aca="false">'Dish Database'!N420*H1632/100</f>
        <v>3.24</v>
      </c>
      <c r="O1632" s="17" t="n">
        <f aca="false">'Dish Database'!O420*H1632/100</f>
        <v>2.4</v>
      </c>
      <c r="P1632" s="13" t="n">
        <f aca="false">'Dish Database'!P420*H1632/100</f>
        <v>480</v>
      </c>
    </row>
    <row r="1633" customFormat="false" ht="15" hidden="false" customHeight="false" outlineLevel="0" collapsed="false">
      <c r="A1633" s="6" t="str">
        <f aca="false">'Dish Database'!A421</f>
        <v>D420</v>
      </c>
      <c r="B1633" s="6" t="str">
        <f aca="false">'Dish Database'!B421</f>
        <v>Sev puri</v>
      </c>
      <c r="C1633" s="6" t="str">
        <f aca="false">'Dish Database'!D421</f>
        <v>Street Food &amp; Chaat</v>
      </c>
      <c r="D1633" s="6" t="str">
        <f aca="false">'Dish Database'!F421</f>
        <v>Veg</v>
      </c>
      <c r="E1633" s="6" t="str">
        <f aca="false">'Dish Database'!E421</f>
        <v>West</v>
      </c>
      <c r="F1633" s="6" t="s">
        <v>2243</v>
      </c>
      <c r="G1633" s="6" t="s">
        <v>2594</v>
      </c>
      <c r="H1633" s="16" t="n">
        <v>80</v>
      </c>
      <c r="I1633" s="6" t="str">
        <f aca="false">'Dish Database'!I421</f>
        <v>g</v>
      </c>
      <c r="J1633" s="13" t="n">
        <f aca="false">'Dish Database'!J421*H1633/100</f>
        <v>195.2</v>
      </c>
      <c r="K1633" s="17" t="n">
        <f aca="false">'Dish Database'!K421*H1633/100</f>
        <v>4</v>
      </c>
      <c r="L1633" s="17" t="n">
        <f aca="false">'Dish Database'!L421*H1633/100</f>
        <v>22.4</v>
      </c>
      <c r="M1633" s="17" t="n">
        <f aca="false">'Dish Database'!M421*H1633/100</f>
        <v>10.4</v>
      </c>
      <c r="N1633" s="17" t="n">
        <f aca="false">'Dish Database'!N421*H1633/100</f>
        <v>2</v>
      </c>
      <c r="O1633" s="17" t="n">
        <f aca="false">'Dish Database'!O421*H1633/100</f>
        <v>4.8</v>
      </c>
      <c r="P1633" s="13" t="n">
        <f aca="false">'Dish Database'!P421*H1633/100</f>
        <v>400</v>
      </c>
    </row>
    <row r="1634" customFormat="false" ht="15" hidden="false" customHeight="false" outlineLevel="0" collapsed="false">
      <c r="A1634" s="6" t="str">
        <f aca="false">'Dish Database'!A421</f>
        <v>D420</v>
      </c>
      <c r="B1634" s="6" t="str">
        <f aca="false">'Dish Database'!B421</f>
        <v>Sev puri</v>
      </c>
      <c r="C1634" s="6" t="str">
        <f aca="false">'Dish Database'!D421</f>
        <v>Street Food &amp; Chaat</v>
      </c>
      <c r="D1634" s="6" t="str">
        <f aca="false">'Dish Database'!F421</f>
        <v>Veg</v>
      </c>
      <c r="E1634" s="6" t="str">
        <f aca="false">'Dish Database'!E421</f>
        <v>West</v>
      </c>
      <c r="F1634" s="6" t="s">
        <v>103</v>
      </c>
      <c r="G1634" s="6" t="s">
        <v>2595</v>
      </c>
      <c r="H1634" s="16" t="n">
        <v>120</v>
      </c>
      <c r="I1634" s="6" t="str">
        <f aca="false">'Dish Database'!I421</f>
        <v>g</v>
      </c>
      <c r="J1634" s="13" t="n">
        <f aca="false">'Dish Database'!J421*H1634/100</f>
        <v>292.8</v>
      </c>
      <c r="K1634" s="17" t="n">
        <f aca="false">'Dish Database'!K421*H1634/100</f>
        <v>6</v>
      </c>
      <c r="L1634" s="17" t="n">
        <f aca="false">'Dish Database'!L421*H1634/100</f>
        <v>33.6</v>
      </c>
      <c r="M1634" s="17" t="n">
        <f aca="false">'Dish Database'!M421*H1634/100</f>
        <v>15.6</v>
      </c>
      <c r="N1634" s="17" t="n">
        <f aca="false">'Dish Database'!N421*H1634/100</f>
        <v>3</v>
      </c>
      <c r="O1634" s="17" t="n">
        <f aca="false">'Dish Database'!O421*H1634/100</f>
        <v>7.2</v>
      </c>
      <c r="P1634" s="13" t="n">
        <f aca="false">'Dish Database'!P421*H1634/100</f>
        <v>600</v>
      </c>
    </row>
    <row r="1635" customFormat="false" ht="15" hidden="false" customHeight="false" outlineLevel="0" collapsed="false">
      <c r="A1635" s="6" t="str">
        <f aca="false">'Dish Database'!A421</f>
        <v>D420</v>
      </c>
      <c r="B1635" s="6" t="str">
        <f aca="false">'Dish Database'!B421</f>
        <v>Sev puri</v>
      </c>
      <c r="C1635" s="6" t="str">
        <f aca="false">'Dish Database'!D421</f>
        <v>Street Food &amp; Chaat</v>
      </c>
      <c r="D1635" s="6" t="str">
        <f aca="false">'Dish Database'!F421</f>
        <v>Veg</v>
      </c>
      <c r="E1635" s="6" t="str">
        <f aca="false">'Dish Database'!E421</f>
        <v>West</v>
      </c>
      <c r="F1635" s="6" t="s">
        <v>2246</v>
      </c>
      <c r="G1635" s="6" t="s">
        <v>2600</v>
      </c>
      <c r="H1635" s="16" t="n">
        <v>180</v>
      </c>
      <c r="I1635" s="6" t="str">
        <f aca="false">'Dish Database'!I421</f>
        <v>g</v>
      </c>
      <c r="J1635" s="13" t="n">
        <f aca="false">'Dish Database'!J421*H1635/100</f>
        <v>439.2</v>
      </c>
      <c r="K1635" s="17" t="n">
        <f aca="false">'Dish Database'!K421*H1635/100</f>
        <v>9</v>
      </c>
      <c r="L1635" s="17" t="n">
        <f aca="false">'Dish Database'!L421*H1635/100</f>
        <v>50.4</v>
      </c>
      <c r="M1635" s="17" t="n">
        <f aca="false">'Dish Database'!M421*H1635/100</f>
        <v>23.4</v>
      </c>
      <c r="N1635" s="17" t="n">
        <f aca="false">'Dish Database'!N421*H1635/100</f>
        <v>4.5</v>
      </c>
      <c r="O1635" s="17" t="n">
        <f aca="false">'Dish Database'!O421*H1635/100</f>
        <v>10.8</v>
      </c>
      <c r="P1635" s="13" t="n">
        <f aca="false">'Dish Database'!P421*H1635/100</f>
        <v>900</v>
      </c>
    </row>
    <row r="1636" customFormat="false" ht="15" hidden="false" customHeight="false" outlineLevel="0" collapsed="false">
      <c r="A1636" s="6" t="str">
        <f aca="false">'Dish Database'!A422</f>
        <v>D421</v>
      </c>
      <c r="B1636" s="6" t="str">
        <f aca="false">'Dish Database'!B422</f>
        <v>Dahi puri</v>
      </c>
      <c r="C1636" s="6" t="str">
        <f aca="false">'Dish Database'!D422</f>
        <v>Street Food &amp; Chaat</v>
      </c>
      <c r="D1636" s="6" t="str">
        <f aca="false">'Dish Database'!F422</f>
        <v>Veg</v>
      </c>
      <c r="E1636" s="6" t="str">
        <f aca="false">'Dish Database'!E422</f>
        <v>West</v>
      </c>
      <c r="F1636" s="6" t="s">
        <v>2243</v>
      </c>
      <c r="G1636" s="6" t="s">
        <v>2594</v>
      </c>
      <c r="H1636" s="16" t="n">
        <v>100</v>
      </c>
      <c r="I1636" s="6" t="str">
        <f aca="false">'Dish Database'!I422</f>
        <v>g</v>
      </c>
      <c r="J1636" s="13" t="n">
        <f aca="false">'Dish Database'!J422*H1636/100</f>
        <v>186</v>
      </c>
      <c r="K1636" s="17" t="n">
        <f aca="false">'Dish Database'!K422*H1636/100</f>
        <v>4.5</v>
      </c>
      <c r="L1636" s="17" t="n">
        <f aca="false">'Dish Database'!L422*H1636/100</f>
        <v>25</v>
      </c>
      <c r="M1636" s="17" t="n">
        <f aca="false">'Dish Database'!M422*H1636/100</f>
        <v>8</v>
      </c>
      <c r="N1636" s="17" t="n">
        <f aca="false">'Dish Database'!N422*H1636/100</f>
        <v>2</v>
      </c>
      <c r="O1636" s="17" t="n">
        <f aca="false">'Dish Database'!O422*H1636/100</f>
        <v>7</v>
      </c>
      <c r="P1636" s="13" t="n">
        <f aca="false">'Dish Database'!P422*H1636/100</f>
        <v>450</v>
      </c>
    </row>
    <row r="1637" customFormat="false" ht="15" hidden="false" customHeight="false" outlineLevel="0" collapsed="false">
      <c r="A1637" s="6" t="str">
        <f aca="false">'Dish Database'!A422</f>
        <v>D421</v>
      </c>
      <c r="B1637" s="6" t="str">
        <f aca="false">'Dish Database'!B422</f>
        <v>Dahi puri</v>
      </c>
      <c r="C1637" s="6" t="str">
        <f aca="false">'Dish Database'!D422</f>
        <v>Street Food &amp; Chaat</v>
      </c>
      <c r="D1637" s="6" t="str">
        <f aca="false">'Dish Database'!F422</f>
        <v>Veg</v>
      </c>
      <c r="E1637" s="6" t="str">
        <f aca="false">'Dish Database'!E422</f>
        <v>West</v>
      </c>
      <c r="F1637" s="6" t="s">
        <v>103</v>
      </c>
      <c r="G1637" s="6" t="s">
        <v>2595</v>
      </c>
      <c r="H1637" s="16" t="n">
        <v>150</v>
      </c>
      <c r="I1637" s="6" t="str">
        <f aca="false">'Dish Database'!I422</f>
        <v>g</v>
      </c>
      <c r="J1637" s="13" t="n">
        <f aca="false">'Dish Database'!J422*H1637/100</f>
        <v>279</v>
      </c>
      <c r="K1637" s="17" t="n">
        <f aca="false">'Dish Database'!K422*H1637/100</f>
        <v>6.75</v>
      </c>
      <c r="L1637" s="17" t="n">
        <f aca="false">'Dish Database'!L422*H1637/100</f>
        <v>37.5</v>
      </c>
      <c r="M1637" s="17" t="n">
        <f aca="false">'Dish Database'!M422*H1637/100</f>
        <v>12</v>
      </c>
      <c r="N1637" s="17" t="n">
        <f aca="false">'Dish Database'!N422*H1637/100</f>
        <v>3</v>
      </c>
      <c r="O1637" s="17" t="n">
        <f aca="false">'Dish Database'!O422*H1637/100</f>
        <v>10.5</v>
      </c>
      <c r="P1637" s="13" t="n">
        <f aca="false">'Dish Database'!P422*H1637/100</f>
        <v>675</v>
      </c>
    </row>
    <row r="1638" customFormat="false" ht="15" hidden="false" customHeight="false" outlineLevel="0" collapsed="false">
      <c r="A1638" s="6" t="str">
        <f aca="false">'Dish Database'!A422</f>
        <v>D421</v>
      </c>
      <c r="B1638" s="6" t="str">
        <f aca="false">'Dish Database'!B422</f>
        <v>Dahi puri</v>
      </c>
      <c r="C1638" s="6" t="str">
        <f aca="false">'Dish Database'!D422</f>
        <v>Street Food &amp; Chaat</v>
      </c>
      <c r="D1638" s="6" t="str">
        <f aca="false">'Dish Database'!F422</f>
        <v>Veg</v>
      </c>
      <c r="E1638" s="6" t="str">
        <f aca="false">'Dish Database'!E422</f>
        <v>West</v>
      </c>
      <c r="F1638" s="6" t="s">
        <v>2246</v>
      </c>
      <c r="G1638" s="6" t="s">
        <v>2600</v>
      </c>
      <c r="H1638" s="16" t="n">
        <v>225</v>
      </c>
      <c r="I1638" s="6" t="str">
        <f aca="false">'Dish Database'!I422</f>
        <v>g</v>
      </c>
      <c r="J1638" s="13" t="n">
        <f aca="false">'Dish Database'!J422*H1638/100</f>
        <v>418.5</v>
      </c>
      <c r="K1638" s="17" t="n">
        <f aca="false">'Dish Database'!K422*H1638/100</f>
        <v>10.125</v>
      </c>
      <c r="L1638" s="17" t="n">
        <f aca="false">'Dish Database'!L422*H1638/100</f>
        <v>56.25</v>
      </c>
      <c r="M1638" s="17" t="n">
        <f aca="false">'Dish Database'!M422*H1638/100</f>
        <v>18</v>
      </c>
      <c r="N1638" s="17" t="n">
        <f aca="false">'Dish Database'!N422*H1638/100</f>
        <v>4.5</v>
      </c>
      <c r="O1638" s="17" t="n">
        <f aca="false">'Dish Database'!O422*H1638/100</f>
        <v>15.75</v>
      </c>
      <c r="P1638" s="13" t="n">
        <f aca="false">'Dish Database'!P422*H1638/100</f>
        <v>1012.5</v>
      </c>
    </row>
    <row r="1639" customFormat="false" ht="15" hidden="false" customHeight="false" outlineLevel="0" collapsed="false">
      <c r="A1639" s="6" t="str">
        <f aca="false">'Dish Database'!A423</f>
        <v>D422</v>
      </c>
      <c r="B1639" s="6" t="str">
        <f aca="false">'Dish Database'!B423</f>
        <v>Papdi chaat</v>
      </c>
      <c r="C1639" s="6" t="str">
        <f aca="false">'Dish Database'!D423</f>
        <v>Street Food &amp; Chaat</v>
      </c>
      <c r="D1639" s="6" t="str">
        <f aca="false">'Dish Database'!F423</f>
        <v>Veg</v>
      </c>
      <c r="E1639" s="6" t="str">
        <f aca="false">'Dish Database'!E423</f>
        <v>North</v>
      </c>
      <c r="F1639" s="6" t="s">
        <v>2243</v>
      </c>
      <c r="G1639" s="6" t="s">
        <v>2265</v>
      </c>
      <c r="H1639" s="16" t="n">
        <v>100</v>
      </c>
      <c r="I1639" s="6" t="str">
        <f aca="false">'Dish Database'!I423</f>
        <v>g</v>
      </c>
      <c r="J1639" s="13" t="n">
        <f aca="false">'Dish Database'!J423*H1639/100</f>
        <v>209</v>
      </c>
      <c r="K1639" s="17" t="n">
        <f aca="false">'Dish Database'!K423*H1639/100</f>
        <v>5</v>
      </c>
      <c r="L1639" s="17" t="n">
        <f aca="false">'Dish Database'!L423*H1639/100</f>
        <v>26</v>
      </c>
      <c r="M1639" s="17" t="n">
        <f aca="false">'Dish Database'!M423*H1639/100</f>
        <v>10</v>
      </c>
      <c r="N1639" s="17" t="n">
        <f aca="false">'Dish Database'!N423*H1639/100</f>
        <v>2.5</v>
      </c>
      <c r="O1639" s="17" t="n">
        <f aca="false">'Dish Database'!O423*H1639/100</f>
        <v>7</v>
      </c>
      <c r="P1639" s="13" t="n">
        <f aca="false">'Dish Database'!P423*H1639/100</f>
        <v>500</v>
      </c>
    </row>
    <row r="1640" customFormat="false" ht="15" hidden="false" customHeight="false" outlineLevel="0" collapsed="false">
      <c r="A1640" s="6" t="str">
        <f aca="false">'Dish Database'!A423</f>
        <v>D422</v>
      </c>
      <c r="B1640" s="6" t="str">
        <f aca="false">'Dish Database'!B423</f>
        <v>Papdi chaat</v>
      </c>
      <c r="C1640" s="6" t="str">
        <f aca="false">'Dish Database'!D423</f>
        <v>Street Food &amp; Chaat</v>
      </c>
      <c r="D1640" s="6" t="str">
        <f aca="false">'Dish Database'!F423</f>
        <v>Veg</v>
      </c>
      <c r="E1640" s="6" t="str">
        <f aca="false">'Dish Database'!E423</f>
        <v>North</v>
      </c>
      <c r="F1640" s="6" t="s">
        <v>103</v>
      </c>
      <c r="G1640" s="6" t="s">
        <v>2266</v>
      </c>
      <c r="H1640" s="16" t="n">
        <v>150</v>
      </c>
      <c r="I1640" s="6" t="str">
        <f aca="false">'Dish Database'!I423</f>
        <v>g</v>
      </c>
      <c r="J1640" s="13" t="n">
        <f aca="false">'Dish Database'!J423*H1640/100</f>
        <v>313.5</v>
      </c>
      <c r="K1640" s="17" t="n">
        <f aca="false">'Dish Database'!K423*H1640/100</f>
        <v>7.5</v>
      </c>
      <c r="L1640" s="17" t="n">
        <f aca="false">'Dish Database'!L423*H1640/100</f>
        <v>39</v>
      </c>
      <c r="M1640" s="17" t="n">
        <f aca="false">'Dish Database'!M423*H1640/100</f>
        <v>15</v>
      </c>
      <c r="N1640" s="17" t="n">
        <f aca="false">'Dish Database'!N423*H1640/100</f>
        <v>3.75</v>
      </c>
      <c r="O1640" s="17" t="n">
        <f aca="false">'Dish Database'!O423*H1640/100</f>
        <v>10.5</v>
      </c>
      <c r="P1640" s="13" t="n">
        <f aca="false">'Dish Database'!P423*H1640/100</f>
        <v>750</v>
      </c>
    </row>
    <row r="1641" customFormat="false" ht="15" hidden="false" customHeight="false" outlineLevel="0" collapsed="false">
      <c r="A1641" s="6" t="str">
        <f aca="false">'Dish Database'!A423</f>
        <v>D422</v>
      </c>
      <c r="B1641" s="6" t="str">
        <f aca="false">'Dish Database'!B423</f>
        <v>Papdi chaat</v>
      </c>
      <c r="C1641" s="6" t="str">
        <f aca="false">'Dish Database'!D423</f>
        <v>Street Food &amp; Chaat</v>
      </c>
      <c r="D1641" s="6" t="str">
        <f aca="false">'Dish Database'!F423</f>
        <v>Veg</v>
      </c>
      <c r="E1641" s="6" t="str">
        <f aca="false">'Dish Database'!E423</f>
        <v>North</v>
      </c>
      <c r="F1641" s="6" t="s">
        <v>2246</v>
      </c>
      <c r="G1641" s="6" t="s">
        <v>2267</v>
      </c>
      <c r="H1641" s="16" t="n">
        <v>200</v>
      </c>
      <c r="I1641" s="6" t="str">
        <f aca="false">'Dish Database'!I423</f>
        <v>g</v>
      </c>
      <c r="J1641" s="13" t="n">
        <f aca="false">'Dish Database'!J423*H1641/100</f>
        <v>418</v>
      </c>
      <c r="K1641" s="17" t="n">
        <f aca="false">'Dish Database'!K423*H1641/100</f>
        <v>10</v>
      </c>
      <c r="L1641" s="17" t="n">
        <f aca="false">'Dish Database'!L423*H1641/100</f>
        <v>52</v>
      </c>
      <c r="M1641" s="17" t="n">
        <f aca="false">'Dish Database'!M423*H1641/100</f>
        <v>20</v>
      </c>
      <c r="N1641" s="17" t="n">
        <f aca="false">'Dish Database'!N423*H1641/100</f>
        <v>5</v>
      </c>
      <c r="O1641" s="17" t="n">
        <f aca="false">'Dish Database'!O423*H1641/100</f>
        <v>14</v>
      </c>
      <c r="P1641" s="13" t="n">
        <f aca="false">'Dish Database'!P423*H1641/100</f>
        <v>1000</v>
      </c>
    </row>
    <row r="1642" customFormat="false" ht="15" hidden="false" customHeight="false" outlineLevel="0" collapsed="false">
      <c r="A1642" s="6" t="str">
        <f aca="false">'Dish Database'!A424</f>
        <v>D423</v>
      </c>
      <c r="B1642" s="6" t="str">
        <f aca="false">'Dish Database'!B424</f>
        <v>Aloo tikki chaat</v>
      </c>
      <c r="C1642" s="6" t="str">
        <f aca="false">'Dish Database'!D424</f>
        <v>Street Food &amp; Chaat</v>
      </c>
      <c r="D1642" s="6" t="str">
        <f aca="false">'Dish Database'!F424</f>
        <v>Veg</v>
      </c>
      <c r="E1642" s="6" t="str">
        <f aca="false">'Dish Database'!E424</f>
        <v>North</v>
      </c>
      <c r="F1642" s="6" t="s">
        <v>2243</v>
      </c>
      <c r="G1642" s="6" t="s">
        <v>2265</v>
      </c>
      <c r="H1642" s="16" t="n">
        <v>100</v>
      </c>
      <c r="I1642" s="6" t="str">
        <f aca="false">'Dish Database'!I424</f>
        <v>g</v>
      </c>
      <c r="J1642" s="13" t="n">
        <f aca="false">'Dish Database'!J424*H1642/100</f>
        <v>171</v>
      </c>
      <c r="K1642" s="17" t="n">
        <f aca="false">'Dish Database'!K424*H1642/100</f>
        <v>4.5</v>
      </c>
      <c r="L1642" s="17" t="n">
        <f aca="false">'Dish Database'!L424*H1642/100</f>
        <v>22</v>
      </c>
      <c r="M1642" s="17" t="n">
        <f aca="false">'Dish Database'!M424*H1642/100</f>
        <v>8</v>
      </c>
      <c r="N1642" s="17" t="n">
        <f aca="false">'Dish Database'!N424*H1642/100</f>
        <v>3.5</v>
      </c>
      <c r="O1642" s="17" t="n">
        <f aca="false">'Dish Database'!O424*H1642/100</f>
        <v>5</v>
      </c>
      <c r="P1642" s="13" t="n">
        <f aca="false">'Dish Database'!P424*H1642/100</f>
        <v>450</v>
      </c>
    </row>
    <row r="1643" customFormat="false" ht="15" hidden="false" customHeight="false" outlineLevel="0" collapsed="false">
      <c r="A1643" s="6" t="str">
        <f aca="false">'Dish Database'!A424</f>
        <v>D423</v>
      </c>
      <c r="B1643" s="6" t="str">
        <f aca="false">'Dish Database'!B424</f>
        <v>Aloo tikki chaat</v>
      </c>
      <c r="C1643" s="6" t="str">
        <f aca="false">'Dish Database'!D424</f>
        <v>Street Food &amp; Chaat</v>
      </c>
      <c r="D1643" s="6" t="str">
        <f aca="false">'Dish Database'!F424</f>
        <v>Veg</v>
      </c>
      <c r="E1643" s="6" t="str">
        <f aca="false">'Dish Database'!E424</f>
        <v>North</v>
      </c>
      <c r="F1643" s="6" t="s">
        <v>103</v>
      </c>
      <c r="G1643" s="6" t="s">
        <v>2266</v>
      </c>
      <c r="H1643" s="16" t="n">
        <v>150</v>
      </c>
      <c r="I1643" s="6" t="str">
        <f aca="false">'Dish Database'!I424</f>
        <v>g</v>
      </c>
      <c r="J1643" s="13" t="n">
        <f aca="false">'Dish Database'!J424*H1643/100</f>
        <v>256.5</v>
      </c>
      <c r="K1643" s="17" t="n">
        <f aca="false">'Dish Database'!K424*H1643/100</f>
        <v>6.75</v>
      </c>
      <c r="L1643" s="17" t="n">
        <f aca="false">'Dish Database'!L424*H1643/100</f>
        <v>33</v>
      </c>
      <c r="M1643" s="17" t="n">
        <f aca="false">'Dish Database'!M424*H1643/100</f>
        <v>12</v>
      </c>
      <c r="N1643" s="17" t="n">
        <f aca="false">'Dish Database'!N424*H1643/100</f>
        <v>5.25</v>
      </c>
      <c r="O1643" s="17" t="n">
        <f aca="false">'Dish Database'!O424*H1643/100</f>
        <v>7.5</v>
      </c>
      <c r="P1643" s="13" t="n">
        <f aca="false">'Dish Database'!P424*H1643/100</f>
        <v>675</v>
      </c>
    </row>
    <row r="1644" customFormat="false" ht="15" hidden="false" customHeight="false" outlineLevel="0" collapsed="false">
      <c r="A1644" s="6" t="str">
        <f aca="false">'Dish Database'!A424</f>
        <v>D423</v>
      </c>
      <c r="B1644" s="6" t="str">
        <f aca="false">'Dish Database'!B424</f>
        <v>Aloo tikki chaat</v>
      </c>
      <c r="C1644" s="6" t="str">
        <f aca="false">'Dish Database'!D424</f>
        <v>Street Food &amp; Chaat</v>
      </c>
      <c r="D1644" s="6" t="str">
        <f aca="false">'Dish Database'!F424</f>
        <v>Veg</v>
      </c>
      <c r="E1644" s="6" t="str">
        <f aca="false">'Dish Database'!E424</f>
        <v>North</v>
      </c>
      <c r="F1644" s="6" t="s">
        <v>2246</v>
      </c>
      <c r="G1644" s="6" t="s">
        <v>2267</v>
      </c>
      <c r="H1644" s="16" t="n">
        <v>200</v>
      </c>
      <c r="I1644" s="6" t="str">
        <f aca="false">'Dish Database'!I424</f>
        <v>g</v>
      </c>
      <c r="J1644" s="13" t="n">
        <f aca="false">'Dish Database'!J424*H1644/100</f>
        <v>342</v>
      </c>
      <c r="K1644" s="17" t="n">
        <f aca="false">'Dish Database'!K424*H1644/100</f>
        <v>9</v>
      </c>
      <c r="L1644" s="17" t="n">
        <f aca="false">'Dish Database'!L424*H1644/100</f>
        <v>44</v>
      </c>
      <c r="M1644" s="17" t="n">
        <f aca="false">'Dish Database'!M424*H1644/100</f>
        <v>16</v>
      </c>
      <c r="N1644" s="17" t="n">
        <f aca="false">'Dish Database'!N424*H1644/100</f>
        <v>7</v>
      </c>
      <c r="O1644" s="17" t="n">
        <f aca="false">'Dish Database'!O424*H1644/100</f>
        <v>10</v>
      </c>
      <c r="P1644" s="13" t="n">
        <f aca="false">'Dish Database'!P424*H1644/100</f>
        <v>900</v>
      </c>
    </row>
    <row r="1645" customFormat="false" ht="15" hidden="false" customHeight="false" outlineLevel="0" collapsed="false">
      <c r="A1645" s="6" t="str">
        <f aca="false">'Dish Database'!A425</f>
        <v>D424</v>
      </c>
      <c r="B1645" s="6" t="str">
        <f aca="false">'Dish Database'!B425</f>
        <v>Samosa chaat</v>
      </c>
      <c r="C1645" s="6" t="str">
        <f aca="false">'Dish Database'!D425</f>
        <v>Street Food &amp; Chaat</v>
      </c>
      <c r="D1645" s="6" t="str">
        <f aca="false">'Dish Database'!F425</f>
        <v>Veg</v>
      </c>
      <c r="E1645" s="6" t="str">
        <f aca="false">'Dish Database'!E425</f>
        <v>North</v>
      </c>
      <c r="F1645" s="6" t="s">
        <v>2243</v>
      </c>
      <c r="G1645" s="6" t="s">
        <v>2265</v>
      </c>
      <c r="H1645" s="16" t="n">
        <v>100</v>
      </c>
      <c r="I1645" s="6" t="str">
        <f aca="false">'Dish Database'!I425</f>
        <v>g</v>
      </c>
      <c r="J1645" s="13" t="n">
        <f aca="false">'Dish Database'!J425*H1645/100</f>
        <v>208</v>
      </c>
      <c r="K1645" s="17" t="n">
        <f aca="false">'Dish Database'!K425*H1645/100</f>
        <v>5</v>
      </c>
      <c r="L1645" s="17" t="n">
        <f aca="false">'Dish Database'!L425*H1645/100</f>
        <v>24</v>
      </c>
      <c r="M1645" s="17" t="n">
        <f aca="false">'Dish Database'!M425*H1645/100</f>
        <v>11</v>
      </c>
      <c r="N1645" s="17" t="n">
        <f aca="false">'Dish Database'!N425*H1645/100</f>
        <v>3.5</v>
      </c>
      <c r="O1645" s="17" t="n">
        <f aca="false">'Dish Database'!O425*H1645/100</f>
        <v>5</v>
      </c>
      <c r="P1645" s="13" t="n">
        <f aca="false">'Dish Database'!P425*H1645/100</f>
        <v>450</v>
      </c>
    </row>
    <row r="1646" customFormat="false" ht="15" hidden="false" customHeight="false" outlineLevel="0" collapsed="false">
      <c r="A1646" s="6" t="str">
        <f aca="false">'Dish Database'!A425</f>
        <v>D424</v>
      </c>
      <c r="B1646" s="6" t="str">
        <f aca="false">'Dish Database'!B425</f>
        <v>Samosa chaat</v>
      </c>
      <c r="C1646" s="6" t="str">
        <f aca="false">'Dish Database'!D425</f>
        <v>Street Food &amp; Chaat</v>
      </c>
      <c r="D1646" s="6" t="str">
        <f aca="false">'Dish Database'!F425</f>
        <v>Veg</v>
      </c>
      <c r="E1646" s="6" t="str">
        <f aca="false">'Dish Database'!E425</f>
        <v>North</v>
      </c>
      <c r="F1646" s="6" t="s">
        <v>103</v>
      </c>
      <c r="G1646" s="6" t="s">
        <v>2266</v>
      </c>
      <c r="H1646" s="16" t="n">
        <v>150</v>
      </c>
      <c r="I1646" s="6" t="str">
        <f aca="false">'Dish Database'!I425</f>
        <v>g</v>
      </c>
      <c r="J1646" s="13" t="n">
        <f aca="false">'Dish Database'!J425*H1646/100</f>
        <v>312</v>
      </c>
      <c r="K1646" s="17" t="n">
        <f aca="false">'Dish Database'!K425*H1646/100</f>
        <v>7.5</v>
      </c>
      <c r="L1646" s="17" t="n">
        <f aca="false">'Dish Database'!L425*H1646/100</f>
        <v>36</v>
      </c>
      <c r="M1646" s="17" t="n">
        <f aca="false">'Dish Database'!M425*H1646/100</f>
        <v>16.5</v>
      </c>
      <c r="N1646" s="17" t="n">
        <f aca="false">'Dish Database'!N425*H1646/100</f>
        <v>5.25</v>
      </c>
      <c r="O1646" s="17" t="n">
        <f aca="false">'Dish Database'!O425*H1646/100</f>
        <v>7.5</v>
      </c>
      <c r="P1646" s="13" t="n">
        <f aca="false">'Dish Database'!P425*H1646/100</f>
        <v>675</v>
      </c>
    </row>
    <row r="1647" customFormat="false" ht="15" hidden="false" customHeight="false" outlineLevel="0" collapsed="false">
      <c r="A1647" s="6" t="str">
        <f aca="false">'Dish Database'!A425</f>
        <v>D424</v>
      </c>
      <c r="B1647" s="6" t="str">
        <f aca="false">'Dish Database'!B425</f>
        <v>Samosa chaat</v>
      </c>
      <c r="C1647" s="6" t="str">
        <f aca="false">'Dish Database'!D425</f>
        <v>Street Food &amp; Chaat</v>
      </c>
      <c r="D1647" s="6" t="str">
        <f aca="false">'Dish Database'!F425</f>
        <v>Veg</v>
      </c>
      <c r="E1647" s="6" t="str">
        <f aca="false">'Dish Database'!E425</f>
        <v>North</v>
      </c>
      <c r="F1647" s="6" t="s">
        <v>2246</v>
      </c>
      <c r="G1647" s="6" t="s">
        <v>2267</v>
      </c>
      <c r="H1647" s="16" t="n">
        <v>200</v>
      </c>
      <c r="I1647" s="6" t="str">
        <f aca="false">'Dish Database'!I425</f>
        <v>g</v>
      </c>
      <c r="J1647" s="13" t="n">
        <f aca="false">'Dish Database'!J425*H1647/100</f>
        <v>416</v>
      </c>
      <c r="K1647" s="17" t="n">
        <f aca="false">'Dish Database'!K425*H1647/100</f>
        <v>10</v>
      </c>
      <c r="L1647" s="17" t="n">
        <f aca="false">'Dish Database'!L425*H1647/100</f>
        <v>48</v>
      </c>
      <c r="M1647" s="17" t="n">
        <f aca="false">'Dish Database'!M425*H1647/100</f>
        <v>22</v>
      </c>
      <c r="N1647" s="17" t="n">
        <f aca="false">'Dish Database'!N425*H1647/100</f>
        <v>7</v>
      </c>
      <c r="O1647" s="17" t="n">
        <f aca="false">'Dish Database'!O425*H1647/100</f>
        <v>10</v>
      </c>
      <c r="P1647" s="13" t="n">
        <f aca="false">'Dish Database'!P425*H1647/100</f>
        <v>900</v>
      </c>
    </row>
    <row r="1648" customFormat="false" ht="15" hidden="false" customHeight="false" outlineLevel="0" collapsed="false">
      <c r="A1648" s="6" t="str">
        <f aca="false">'Dish Database'!A426</f>
        <v>D425</v>
      </c>
      <c r="B1648" s="6" t="str">
        <f aca="false">'Dish Database'!B426</f>
        <v>Raj kachori</v>
      </c>
      <c r="C1648" s="6" t="str">
        <f aca="false">'Dish Database'!D426</f>
        <v>Street Food &amp; Chaat</v>
      </c>
      <c r="D1648" s="6" t="str">
        <f aca="false">'Dish Database'!F426</f>
        <v>Veg</v>
      </c>
      <c r="E1648" s="6" t="str">
        <f aca="false">'Dish Database'!E426</f>
        <v>North</v>
      </c>
      <c r="F1648" s="6" t="s">
        <v>2243</v>
      </c>
      <c r="G1648" s="6" t="s">
        <v>2243</v>
      </c>
      <c r="H1648" s="16" t="n">
        <v>150</v>
      </c>
      <c r="I1648" s="6" t="str">
        <f aca="false">'Dish Database'!I426</f>
        <v>g</v>
      </c>
      <c r="J1648" s="13" t="n">
        <f aca="false">'Dish Database'!J426*H1648/100</f>
        <v>318</v>
      </c>
      <c r="K1648" s="17" t="n">
        <f aca="false">'Dish Database'!K426*H1648/100</f>
        <v>9</v>
      </c>
      <c r="L1648" s="17" t="n">
        <f aca="false">'Dish Database'!L426*H1648/100</f>
        <v>36</v>
      </c>
      <c r="M1648" s="17" t="n">
        <f aca="false">'Dish Database'!M426*H1648/100</f>
        <v>16.5</v>
      </c>
      <c r="N1648" s="17" t="n">
        <f aca="false">'Dish Database'!N426*H1648/100</f>
        <v>5.25</v>
      </c>
      <c r="O1648" s="17" t="n">
        <f aca="false">'Dish Database'!O426*H1648/100</f>
        <v>9</v>
      </c>
      <c r="P1648" s="13" t="n">
        <f aca="false">'Dish Database'!P426*H1648/100</f>
        <v>675</v>
      </c>
    </row>
    <row r="1649" customFormat="false" ht="15" hidden="false" customHeight="false" outlineLevel="0" collapsed="false">
      <c r="A1649" s="6" t="str">
        <f aca="false">'Dish Database'!A426</f>
        <v>D425</v>
      </c>
      <c r="B1649" s="6" t="str">
        <f aca="false">'Dish Database'!B426</f>
        <v>Raj kachori</v>
      </c>
      <c r="C1649" s="6" t="str">
        <f aca="false">'Dish Database'!D426</f>
        <v>Street Food &amp; Chaat</v>
      </c>
      <c r="D1649" s="6" t="str">
        <f aca="false">'Dish Database'!F426</f>
        <v>Veg</v>
      </c>
      <c r="E1649" s="6" t="str">
        <f aca="false">'Dish Database'!E426</f>
        <v>North</v>
      </c>
      <c r="F1649" s="6" t="s">
        <v>103</v>
      </c>
      <c r="G1649" s="6" t="s">
        <v>2266</v>
      </c>
      <c r="H1649" s="16" t="n">
        <v>200</v>
      </c>
      <c r="I1649" s="6" t="str">
        <f aca="false">'Dish Database'!I426</f>
        <v>g</v>
      </c>
      <c r="J1649" s="13" t="n">
        <f aca="false">'Dish Database'!J426*H1649/100</f>
        <v>424</v>
      </c>
      <c r="K1649" s="17" t="n">
        <f aca="false">'Dish Database'!K426*H1649/100</f>
        <v>12</v>
      </c>
      <c r="L1649" s="17" t="n">
        <f aca="false">'Dish Database'!L426*H1649/100</f>
        <v>48</v>
      </c>
      <c r="M1649" s="17" t="n">
        <f aca="false">'Dish Database'!M426*H1649/100</f>
        <v>22</v>
      </c>
      <c r="N1649" s="17" t="n">
        <f aca="false">'Dish Database'!N426*H1649/100</f>
        <v>7</v>
      </c>
      <c r="O1649" s="17" t="n">
        <f aca="false">'Dish Database'!O426*H1649/100</f>
        <v>12</v>
      </c>
      <c r="P1649" s="13" t="n">
        <f aca="false">'Dish Database'!P426*H1649/100</f>
        <v>900</v>
      </c>
    </row>
    <row r="1650" customFormat="false" ht="15" hidden="false" customHeight="false" outlineLevel="0" collapsed="false">
      <c r="A1650" s="6" t="str">
        <f aca="false">'Dish Database'!A426</f>
        <v>D425</v>
      </c>
      <c r="B1650" s="6" t="str">
        <f aca="false">'Dish Database'!B426</f>
        <v>Raj kachori</v>
      </c>
      <c r="C1650" s="6" t="str">
        <f aca="false">'Dish Database'!D426</f>
        <v>Street Food &amp; Chaat</v>
      </c>
      <c r="D1650" s="6" t="str">
        <f aca="false">'Dish Database'!F426</f>
        <v>Veg</v>
      </c>
      <c r="E1650" s="6" t="str">
        <f aca="false">'Dish Database'!E426</f>
        <v>North</v>
      </c>
      <c r="F1650" s="6" t="s">
        <v>2246</v>
      </c>
      <c r="G1650" s="6" t="s">
        <v>2246</v>
      </c>
      <c r="H1650" s="16" t="n">
        <v>250</v>
      </c>
      <c r="I1650" s="6" t="str">
        <f aca="false">'Dish Database'!I426</f>
        <v>g</v>
      </c>
      <c r="J1650" s="13" t="n">
        <f aca="false">'Dish Database'!J426*H1650/100</f>
        <v>530</v>
      </c>
      <c r="K1650" s="17" t="n">
        <f aca="false">'Dish Database'!K426*H1650/100</f>
        <v>15</v>
      </c>
      <c r="L1650" s="17" t="n">
        <f aca="false">'Dish Database'!L426*H1650/100</f>
        <v>60</v>
      </c>
      <c r="M1650" s="17" t="n">
        <f aca="false">'Dish Database'!M426*H1650/100</f>
        <v>27.5</v>
      </c>
      <c r="N1650" s="17" t="n">
        <f aca="false">'Dish Database'!N426*H1650/100</f>
        <v>8.75</v>
      </c>
      <c r="O1650" s="17" t="n">
        <f aca="false">'Dish Database'!O426*H1650/100</f>
        <v>15</v>
      </c>
      <c r="P1650" s="13" t="n">
        <f aca="false">'Dish Database'!P426*H1650/100</f>
        <v>1125</v>
      </c>
    </row>
    <row r="1651" customFormat="false" ht="15" hidden="false" customHeight="false" outlineLevel="0" collapsed="false">
      <c r="A1651" s="6" t="str">
        <f aca="false">'Dish Database'!A427</f>
        <v>D426</v>
      </c>
      <c r="B1651" s="6" t="str">
        <f aca="false">'Dish Database'!B427</f>
        <v>Ragda pattice</v>
      </c>
      <c r="C1651" s="6" t="str">
        <f aca="false">'Dish Database'!D427</f>
        <v>Street Food &amp; Chaat</v>
      </c>
      <c r="D1651" s="6" t="str">
        <f aca="false">'Dish Database'!F427</f>
        <v>Veg</v>
      </c>
      <c r="E1651" s="6" t="str">
        <f aca="false">'Dish Database'!E427</f>
        <v>West</v>
      </c>
      <c r="F1651" s="6" t="s">
        <v>2243</v>
      </c>
      <c r="G1651" s="6" t="s">
        <v>2265</v>
      </c>
      <c r="H1651" s="16" t="n">
        <v>100</v>
      </c>
      <c r="I1651" s="6" t="str">
        <f aca="false">'Dish Database'!I427</f>
        <v>g</v>
      </c>
      <c r="J1651" s="13" t="n">
        <f aca="false">'Dish Database'!J427*H1651/100</f>
        <v>145</v>
      </c>
      <c r="K1651" s="17" t="n">
        <f aca="false">'Dish Database'!K427*H1651/100</f>
        <v>4.5</v>
      </c>
      <c r="L1651" s="17" t="n">
        <f aca="false">'Dish Database'!L427*H1651/100</f>
        <v>20</v>
      </c>
      <c r="M1651" s="17" t="n">
        <f aca="false">'Dish Database'!M427*H1651/100</f>
        <v>6</v>
      </c>
      <c r="N1651" s="17" t="n">
        <f aca="false">'Dish Database'!N427*H1651/100</f>
        <v>3.5</v>
      </c>
      <c r="O1651" s="17" t="n">
        <f aca="false">'Dish Database'!O427*H1651/100</f>
        <v>3.5</v>
      </c>
      <c r="P1651" s="13" t="n">
        <f aca="false">'Dish Database'!P427*H1651/100</f>
        <v>420</v>
      </c>
    </row>
    <row r="1652" customFormat="false" ht="15" hidden="false" customHeight="false" outlineLevel="0" collapsed="false">
      <c r="A1652" s="6" t="str">
        <f aca="false">'Dish Database'!A427</f>
        <v>D426</v>
      </c>
      <c r="B1652" s="6" t="str">
        <f aca="false">'Dish Database'!B427</f>
        <v>Ragda pattice</v>
      </c>
      <c r="C1652" s="6" t="str">
        <f aca="false">'Dish Database'!D427</f>
        <v>Street Food &amp; Chaat</v>
      </c>
      <c r="D1652" s="6" t="str">
        <f aca="false">'Dish Database'!F427</f>
        <v>Veg</v>
      </c>
      <c r="E1652" s="6" t="str">
        <f aca="false">'Dish Database'!E427</f>
        <v>West</v>
      </c>
      <c r="F1652" s="6" t="s">
        <v>103</v>
      </c>
      <c r="G1652" s="6" t="s">
        <v>2266</v>
      </c>
      <c r="H1652" s="16" t="n">
        <v>150</v>
      </c>
      <c r="I1652" s="6" t="str">
        <f aca="false">'Dish Database'!I427</f>
        <v>g</v>
      </c>
      <c r="J1652" s="13" t="n">
        <f aca="false">'Dish Database'!J427*H1652/100</f>
        <v>217.5</v>
      </c>
      <c r="K1652" s="17" t="n">
        <f aca="false">'Dish Database'!K427*H1652/100</f>
        <v>6.75</v>
      </c>
      <c r="L1652" s="17" t="n">
        <f aca="false">'Dish Database'!L427*H1652/100</f>
        <v>30</v>
      </c>
      <c r="M1652" s="17" t="n">
        <f aca="false">'Dish Database'!M427*H1652/100</f>
        <v>9</v>
      </c>
      <c r="N1652" s="17" t="n">
        <f aca="false">'Dish Database'!N427*H1652/100</f>
        <v>5.25</v>
      </c>
      <c r="O1652" s="17" t="n">
        <f aca="false">'Dish Database'!O427*H1652/100</f>
        <v>5.25</v>
      </c>
      <c r="P1652" s="13" t="n">
        <f aca="false">'Dish Database'!P427*H1652/100</f>
        <v>630</v>
      </c>
    </row>
    <row r="1653" customFormat="false" ht="15" hidden="false" customHeight="false" outlineLevel="0" collapsed="false">
      <c r="A1653" s="6" t="str">
        <f aca="false">'Dish Database'!A427</f>
        <v>D426</v>
      </c>
      <c r="B1653" s="6" t="str">
        <f aca="false">'Dish Database'!B427</f>
        <v>Ragda pattice</v>
      </c>
      <c r="C1653" s="6" t="str">
        <f aca="false">'Dish Database'!D427</f>
        <v>Street Food &amp; Chaat</v>
      </c>
      <c r="D1653" s="6" t="str">
        <f aca="false">'Dish Database'!F427</f>
        <v>Veg</v>
      </c>
      <c r="E1653" s="6" t="str">
        <f aca="false">'Dish Database'!E427</f>
        <v>West</v>
      </c>
      <c r="F1653" s="6" t="s">
        <v>2246</v>
      </c>
      <c r="G1653" s="6" t="s">
        <v>2267</v>
      </c>
      <c r="H1653" s="16" t="n">
        <v>200</v>
      </c>
      <c r="I1653" s="6" t="str">
        <f aca="false">'Dish Database'!I427</f>
        <v>g</v>
      </c>
      <c r="J1653" s="13" t="n">
        <f aca="false">'Dish Database'!J427*H1653/100</f>
        <v>290</v>
      </c>
      <c r="K1653" s="17" t="n">
        <f aca="false">'Dish Database'!K427*H1653/100</f>
        <v>9</v>
      </c>
      <c r="L1653" s="17" t="n">
        <f aca="false">'Dish Database'!L427*H1653/100</f>
        <v>40</v>
      </c>
      <c r="M1653" s="17" t="n">
        <f aca="false">'Dish Database'!M427*H1653/100</f>
        <v>12</v>
      </c>
      <c r="N1653" s="17" t="n">
        <f aca="false">'Dish Database'!N427*H1653/100</f>
        <v>7</v>
      </c>
      <c r="O1653" s="17" t="n">
        <f aca="false">'Dish Database'!O427*H1653/100</f>
        <v>7</v>
      </c>
      <c r="P1653" s="13" t="n">
        <f aca="false">'Dish Database'!P427*H1653/100</f>
        <v>840</v>
      </c>
    </row>
    <row r="1654" customFormat="false" ht="15" hidden="false" customHeight="false" outlineLevel="0" collapsed="false">
      <c r="A1654" s="6" t="str">
        <f aca="false">'Dish Database'!A428</f>
        <v>D427</v>
      </c>
      <c r="B1654" s="6" t="str">
        <f aca="false">'Dish Database'!B428</f>
        <v>Vada pav</v>
      </c>
      <c r="C1654" s="6" t="str">
        <f aca="false">'Dish Database'!D428</f>
        <v>Street Food &amp; Chaat</v>
      </c>
      <c r="D1654" s="6" t="str">
        <f aca="false">'Dish Database'!F428</f>
        <v>Veg</v>
      </c>
      <c r="E1654" s="6" t="str">
        <f aca="false">'Dish Database'!E428</f>
        <v>West</v>
      </c>
      <c r="F1654" s="6" t="s">
        <v>2243</v>
      </c>
      <c r="G1654" s="6" t="s">
        <v>2601</v>
      </c>
      <c r="H1654" s="16" t="n">
        <v>110</v>
      </c>
      <c r="I1654" s="6" t="str">
        <f aca="false">'Dish Database'!I428</f>
        <v>g</v>
      </c>
      <c r="J1654" s="13" t="n">
        <f aca="false">'Dish Database'!J428*H1654/100</f>
        <v>275.99</v>
      </c>
      <c r="K1654" s="17" t="n">
        <f aca="false">'Dish Database'!K428*H1654/100</f>
        <v>6.27</v>
      </c>
      <c r="L1654" s="17" t="n">
        <f aca="false">'Dish Database'!L428*H1654/100</f>
        <v>37.84</v>
      </c>
      <c r="M1654" s="17" t="n">
        <f aca="false">'Dish Database'!M428*H1654/100</f>
        <v>11.77</v>
      </c>
      <c r="N1654" s="17" t="n">
        <f aca="false">'Dish Database'!N428*H1654/100</f>
        <v>3.19</v>
      </c>
      <c r="O1654" s="17" t="n">
        <f aca="false">'Dish Database'!O428*H1654/100</f>
        <v>3.3</v>
      </c>
      <c r="P1654" s="13" t="n">
        <f aca="false">'Dish Database'!P428*H1654/100</f>
        <v>550</v>
      </c>
    </row>
    <row r="1655" customFormat="false" ht="15" hidden="false" customHeight="false" outlineLevel="0" collapsed="false">
      <c r="A1655" s="6" t="str">
        <f aca="false">'Dish Database'!A428</f>
        <v>D427</v>
      </c>
      <c r="B1655" s="6" t="str">
        <f aca="false">'Dish Database'!B428</f>
        <v>Vada pav</v>
      </c>
      <c r="C1655" s="6" t="str">
        <f aca="false">'Dish Database'!D428</f>
        <v>Street Food &amp; Chaat</v>
      </c>
      <c r="D1655" s="6" t="str">
        <f aca="false">'Dish Database'!F428</f>
        <v>Veg</v>
      </c>
      <c r="E1655" s="6" t="str">
        <f aca="false">'Dish Database'!E428</f>
        <v>West</v>
      </c>
      <c r="F1655" s="6" t="s">
        <v>103</v>
      </c>
      <c r="G1655" s="6" t="s">
        <v>2602</v>
      </c>
      <c r="H1655" s="16" t="n">
        <v>140</v>
      </c>
      <c r="I1655" s="6" t="str">
        <f aca="false">'Dish Database'!I428</f>
        <v>g</v>
      </c>
      <c r="J1655" s="13" t="n">
        <f aca="false">'Dish Database'!J428*H1655/100</f>
        <v>351.26</v>
      </c>
      <c r="K1655" s="17" t="n">
        <f aca="false">'Dish Database'!K428*H1655/100</f>
        <v>7.98</v>
      </c>
      <c r="L1655" s="17" t="n">
        <f aca="false">'Dish Database'!L428*H1655/100</f>
        <v>48.16</v>
      </c>
      <c r="M1655" s="17" t="n">
        <f aca="false">'Dish Database'!M428*H1655/100</f>
        <v>14.98</v>
      </c>
      <c r="N1655" s="17" t="n">
        <f aca="false">'Dish Database'!N428*H1655/100</f>
        <v>4.06</v>
      </c>
      <c r="O1655" s="17" t="n">
        <f aca="false">'Dish Database'!O428*H1655/100</f>
        <v>4.2</v>
      </c>
      <c r="P1655" s="13" t="n">
        <f aca="false">'Dish Database'!P428*H1655/100</f>
        <v>700</v>
      </c>
    </row>
    <row r="1656" customFormat="false" ht="15" hidden="false" customHeight="false" outlineLevel="0" collapsed="false">
      <c r="A1656" s="6" t="str">
        <f aca="false">'Dish Database'!A428</f>
        <v>D427</v>
      </c>
      <c r="B1656" s="6" t="str">
        <f aca="false">'Dish Database'!B428</f>
        <v>Vada pav</v>
      </c>
      <c r="C1656" s="6" t="str">
        <f aca="false">'Dish Database'!D428</f>
        <v>Street Food &amp; Chaat</v>
      </c>
      <c r="D1656" s="6" t="str">
        <f aca="false">'Dish Database'!F428</f>
        <v>Veg</v>
      </c>
      <c r="E1656" s="6" t="str">
        <f aca="false">'Dish Database'!E428</f>
        <v>West</v>
      </c>
      <c r="F1656" s="6" t="s">
        <v>2246</v>
      </c>
      <c r="G1656" s="6" t="s">
        <v>2603</v>
      </c>
      <c r="H1656" s="16" t="n">
        <v>170</v>
      </c>
      <c r="I1656" s="6" t="str">
        <f aca="false">'Dish Database'!I428</f>
        <v>g</v>
      </c>
      <c r="J1656" s="13" t="n">
        <f aca="false">'Dish Database'!J428*H1656/100</f>
        <v>426.53</v>
      </c>
      <c r="K1656" s="17" t="n">
        <f aca="false">'Dish Database'!K428*H1656/100</f>
        <v>9.69</v>
      </c>
      <c r="L1656" s="17" t="n">
        <f aca="false">'Dish Database'!L428*H1656/100</f>
        <v>58.48</v>
      </c>
      <c r="M1656" s="17" t="n">
        <f aca="false">'Dish Database'!M428*H1656/100</f>
        <v>18.19</v>
      </c>
      <c r="N1656" s="17" t="n">
        <f aca="false">'Dish Database'!N428*H1656/100</f>
        <v>4.93</v>
      </c>
      <c r="O1656" s="17" t="n">
        <f aca="false">'Dish Database'!O428*H1656/100</f>
        <v>5.1</v>
      </c>
      <c r="P1656" s="13" t="n">
        <f aca="false">'Dish Database'!P428*H1656/100</f>
        <v>850</v>
      </c>
    </row>
    <row r="1657" customFormat="false" ht="15" hidden="false" customHeight="false" outlineLevel="0" collapsed="false">
      <c r="A1657" s="6" t="str">
        <f aca="false">'Dish Database'!A429</f>
        <v>D428</v>
      </c>
      <c r="B1657" s="6" t="str">
        <f aca="false">'Dish Database'!B429</f>
        <v>Dabeli</v>
      </c>
      <c r="C1657" s="6" t="str">
        <f aca="false">'Dish Database'!D429</f>
        <v>Street Food &amp; Chaat</v>
      </c>
      <c r="D1657" s="6" t="str">
        <f aca="false">'Dish Database'!F429</f>
        <v>Veg</v>
      </c>
      <c r="E1657" s="6" t="str">
        <f aca="false">'Dish Database'!E429</f>
        <v>West</v>
      </c>
      <c r="F1657" s="6" t="s">
        <v>2243</v>
      </c>
      <c r="G1657" s="6" t="s">
        <v>2604</v>
      </c>
      <c r="H1657" s="16" t="n">
        <v>100</v>
      </c>
      <c r="I1657" s="6" t="str">
        <f aca="false">'Dish Database'!I429</f>
        <v>g</v>
      </c>
      <c r="J1657" s="13" t="n">
        <f aca="false">'Dish Database'!J429*H1657/100</f>
        <v>239</v>
      </c>
      <c r="K1657" s="17" t="n">
        <f aca="false">'Dish Database'!K429*H1657/100</f>
        <v>5</v>
      </c>
      <c r="L1657" s="17" t="n">
        <f aca="false">'Dish Database'!L429*H1657/100</f>
        <v>36</v>
      </c>
      <c r="M1657" s="17" t="n">
        <f aca="false">'Dish Database'!M429*H1657/100</f>
        <v>9</v>
      </c>
      <c r="N1657" s="17" t="n">
        <f aca="false">'Dish Database'!N429*H1657/100</f>
        <v>3</v>
      </c>
      <c r="O1657" s="17" t="n">
        <f aca="false">'Dish Database'!O429*H1657/100</f>
        <v>9</v>
      </c>
      <c r="P1657" s="13" t="n">
        <f aca="false">'Dish Database'!P429*H1657/100</f>
        <v>450</v>
      </c>
    </row>
    <row r="1658" customFormat="false" ht="15" hidden="false" customHeight="false" outlineLevel="0" collapsed="false">
      <c r="A1658" s="6" t="str">
        <f aca="false">'Dish Database'!A429</f>
        <v>D428</v>
      </c>
      <c r="B1658" s="6" t="str">
        <f aca="false">'Dish Database'!B429</f>
        <v>Dabeli</v>
      </c>
      <c r="C1658" s="6" t="str">
        <f aca="false">'Dish Database'!D429</f>
        <v>Street Food &amp; Chaat</v>
      </c>
      <c r="D1658" s="6" t="str">
        <f aca="false">'Dish Database'!F429</f>
        <v>Veg</v>
      </c>
      <c r="E1658" s="6" t="str">
        <f aca="false">'Dish Database'!E429</f>
        <v>West</v>
      </c>
      <c r="F1658" s="6" t="s">
        <v>103</v>
      </c>
      <c r="G1658" s="6" t="s">
        <v>2605</v>
      </c>
      <c r="H1658" s="16" t="n">
        <v>130</v>
      </c>
      <c r="I1658" s="6" t="str">
        <f aca="false">'Dish Database'!I429</f>
        <v>g</v>
      </c>
      <c r="J1658" s="13" t="n">
        <f aca="false">'Dish Database'!J429*H1658/100</f>
        <v>310.7</v>
      </c>
      <c r="K1658" s="17" t="n">
        <f aca="false">'Dish Database'!K429*H1658/100</f>
        <v>6.5</v>
      </c>
      <c r="L1658" s="17" t="n">
        <f aca="false">'Dish Database'!L429*H1658/100</f>
        <v>46.8</v>
      </c>
      <c r="M1658" s="17" t="n">
        <f aca="false">'Dish Database'!M429*H1658/100</f>
        <v>11.7</v>
      </c>
      <c r="N1658" s="17" t="n">
        <f aca="false">'Dish Database'!N429*H1658/100</f>
        <v>3.9</v>
      </c>
      <c r="O1658" s="17" t="n">
        <f aca="false">'Dish Database'!O429*H1658/100</f>
        <v>11.7</v>
      </c>
      <c r="P1658" s="13" t="n">
        <f aca="false">'Dish Database'!P429*H1658/100</f>
        <v>585</v>
      </c>
    </row>
    <row r="1659" customFormat="false" ht="15" hidden="false" customHeight="false" outlineLevel="0" collapsed="false">
      <c r="A1659" s="6" t="str">
        <f aca="false">'Dish Database'!A429</f>
        <v>D428</v>
      </c>
      <c r="B1659" s="6" t="str">
        <f aca="false">'Dish Database'!B429</f>
        <v>Dabeli</v>
      </c>
      <c r="C1659" s="6" t="str">
        <f aca="false">'Dish Database'!D429</f>
        <v>Street Food &amp; Chaat</v>
      </c>
      <c r="D1659" s="6" t="str">
        <f aca="false">'Dish Database'!F429</f>
        <v>Veg</v>
      </c>
      <c r="E1659" s="6" t="str">
        <f aca="false">'Dish Database'!E429</f>
        <v>West</v>
      </c>
      <c r="F1659" s="6" t="s">
        <v>2246</v>
      </c>
      <c r="G1659" s="6" t="s">
        <v>2606</v>
      </c>
      <c r="H1659" s="16" t="n">
        <v>160</v>
      </c>
      <c r="I1659" s="6" t="str">
        <f aca="false">'Dish Database'!I429</f>
        <v>g</v>
      </c>
      <c r="J1659" s="13" t="n">
        <f aca="false">'Dish Database'!J429*H1659/100</f>
        <v>382.4</v>
      </c>
      <c r="K1659" s="17" t="n">
        <f aca="false">'Dish Database'!K429*H1659/100</f>
        <v>8</v>
      </c>
      <c r="L1659" s="17" t="n">
        <f aca="false">'Dish Database'!L429*H1659/100</f>
        <v>57.6</v>
      </c>
      <c r="M1659" s="17" t="n">
        <f aca="false">'Dish Database'!M429*H1659/100</f>
        <v>14.4</v>
      </c>
      <c r="N1659" s="17" t="n">
        <f aca="false">'Dish Database'!N429*H1659/100</f>
        <v>4.8</v>
      </c>
      <c r="O1659" s="17" t="n">
        <f aca="false">'Dish Database'!O429*H1659/100</f>
        <v>14.4</v>
      </c>
      <c r="P1659" s="13" t="n">
        <f aca="false">'Dish Database'!P429*H1659/100</f>
        <v>720</v>
      </c>
    </row>
    <row r="1660" customFormat="false" ht="15" hidden="false" customHeight="false" outlineLevel="0" collapsed="false">
      <c r="A1660" s="6" t="str">
        <f aca="false">'Dish Database'!A430</f>
        <v>D429</v>
      </c>
      <c r="B1660" s="6" t="str">
        <f aca="false">'Dish Database'!B430</f>
        <v>Paneer kathi roll</v>
      </c>
      <c r="C1660" s="6" t="str">
        <f aca="false">'Dish Database'!D430</f>
        <v>Street Food &amp; Chaat</v>
      </c>
      <c r="D1660" s="6" t="str">
        <f aca="false">'Dish Database'!F430</f>
        <v>Veg</v>
      </c>
      <c r="E1660" s="6" t="str">
        <f aca="false">'Dish Database'!E430</f>
        <v>East</v>
      </c>
      <c r="F1660" s="6" t="s">
        <v>2243</v>
      </c>
      <c r="G1660" s="6" t="s">
        <v>2607</v>
      </c>
      <c r="H1660" s="16" t="n">
        <v>150</v>
      </c>
      <c r="I1660" s="6" t="str">
        <f aca="false">'Dish Database'!I430</f>
        <v>g</v>
      </c>
      <c r="J1660" s="13" t="n">
        <f aca="false">'Dish Database'!J430*H1660/100</f>
        <v>346.5</v>
      </c>
      <c r="K1660" s="17" t="n">
        <f aca="false">'Dish Database'!K430*H1660/100</f>
        <v>13.5</v>
      </c>
      <c r="L1660" s="17" t="n">
        <f aca="false">'Dish Database'!L430*H1660/100</f>
        <v>37.5</v>
      </c>
      <c r="M1660" s="17" t="n">
        <f aca="false">'Dish Database'!M430*H1660/100</f>
        <v>16.5</v>
      </c>
      <c r="N1660" s="17" t="n">
        <f aca="false">'Dish Database'!N430*H1660/100</f>
        <v>3</v>
      </c>
      <c r="O1660" s="17" t="n">
        <f aca="false">'Dish Database'!O430*H1660/100</f>
        <v>3.75</v>
      </c>
      <c r="P1660" s="13" t="n">
        <f aca="false">'Dish Database'!P430*H1660/100</f>
        <v>750</v>
      </c>
    </row>
    <row r="1661" customFormat="false" ht="15" hidden="false" customHeight="false" outlineLevel="0" collapsed="false">
      <c r="A1661" s="6" t="str">
        <f aca="false">'Dish Database'!A430</f>
        <v>D429</v>
      </c>
      <c r="B1661" s="6" t="str">
        <f aca="false">'Dish Database'!B430</f>
        <v>Paneer kathi roll</v>
      </c>
      <c r="C1661" s="6" t="str">
        <f aca="false">'Dish Database'!D430</f>
        <v>Street Food &amp; Chaat</v>
      </c>
      <c r="D1661" s="6" t="str">
        <f aca="false">'Dish Database'!F430</f>
        <v>Veg</v>
      </c>
      <c r="E1661" s="6" t="str">
        <f aca="false">'Dish Database'!E430</f>
        <v>East</v>
      </c>
      <c r="F1661" s="6" t="s">
        <v>103</v>
      </c>
      <c r="G1661" s="6" t="s">
        <v>2608</v>
      </c>
      <c r="H1661" s="16" t="n">
        <v>200</v>
      </c>
      <c r="I1661" s="6" t="str">
        <f aca="false">'Dish Database'!I430</f>
        <v>g</v>
      </c>
      <c r="J1661" s="13" t="n">
        <f aca="false">'Dish Database'!J430*H1661/100</f>
        <v>462</v>
      </c>
      <c r="K1661" s="17" t="n">
        <f aca="false">'Dish Database'!K430*H1661/100</f>
        <v>18</v>
      </c>
      <c r="L1661" s="17" t="n">
        <f aca="false">'Dish Database'!L430*H1661/100</f>
        <v>50</v>
      </c>
      <c r="M1661" s="17" t="n">
        <f aca="false">'Dish Database'!M430*H1661/100</f>
        <v>22</v>
      </c>
      <c r="N1661" s="17" t="n">
        <f aca="false">'Dish Database'!N430*H1661/100</f>
        <v>4</v>
      </c>
      <c r="O1661" s="17" t="n">
        <f aca="false">'Dish Database'!O430*H1661/100</f>
        <v>5</v>
      </c>
      <c r="P1661" s="13" t="n">
        <f aca="false">'Dish Database'!P430*H1661/100</f>
        <v>1000</v>
      </c>
    </row>
    <row r="1662" customFormat="false" ht="15" hidden="false" customHeight="false" outlineLevel="0" collapsed="false">
      <c r="A1662" s="6" t="str">
        <f aca="false">'Dish Database'!A430</f>
        <v>D429</v>
      </c>
      <c r="B1662" s="6" t="str">
        <f aca="false">'Dish Database'!B430</f>
        <v>Paneer kathi roll</v>
      </c>
      <c r="C1662" s="6" t="str">
        <f aca="false">'Dish Database'!D430</f>
        <v>Street Food &amp; Chaat</v>
      </c>
      <c r="D1662" s="6" t="str">
        <f aca="false">'Dish Database'!F430</f>
        <v>Veg</v>
      </c>
      <c r="E1662" s="6" t="str">
        <f aca="false">'Dish Database'!E430</f>
        <v>East</v>
      </c>
      <c r="F1662" s="6" t="s">
        <v>2246</v>
      </c>
      <c r="G1662" s="6" t="s">
        <v>2609</v>
      </c>
      <c r="H1662" s="16" t="n">
        <v>250</v>
      </c>
      <c r="I1662" s="6" t="str">
        <f aca="false">'Dish Database'!I430</f>
        <v>g</v>
      </c>
      <c r="J1662" s="13" t="n">
        <f aca="false">'Dish Database'!J430*H1662/100</f>
        <v>577.5</v>
      </c>
      <c r="K1662" s="17" t="n">
        <f aca="false">'Dish Database'!K430*H1662/100</f>
        <v>22.5</v>
      </c>
      <c r="L1662" s="17" t="n">
        <f aca="false">'Dish Database'!L430*H1662/100</f>
        <v>62.5</v>
      </c>
      <c r="M1662" s="17" t="n">
        <f aca="false">'Dish Database'!M430*H1662/100</f>
        <v>27.5</v>
      </c>
      <c r="N1662" s="17" t="n">
        <f aca="false">'Dish Database'!N430*H1662/100</f>
        <v>5</v>
      </c>
      <c r="O1662" s="17" t="n">
        <f aca="false">'Dish Database'!O430*H1662/100</f>
        <v>6.25</v>
      </c>
      <c r="P1662" s="13" t="n">
        <f aca="false">'Dish Database'!P430*H1662/100</f>
        <v>1250</v>
      </c>
    </row>
    <row r="1663" customFormat="false" ht="15" hidden="false" customHeight="false" outlineLevel="0" collapsed="false">
      <c r="A1663" s="6" t="str">
        <f aca="false">'Dish Database'!A431</f>
        <v>D430</v>
      </c>
      <c r="B1663" s="6" t="str">
        <f aca="false">'Dish Database'!B431</f>
        <v>Chicken kathi roll</v>
      </c>
      <c r="C1663" s="6" t="str">
        <f aca="false">'Dish Database'!D431</f>
        <v>Street Food &amp; Chaat</v>
      </c>
      <c r="D1663" s="6" t="str">
        <f aca="false">'Dish Database'!F431</f>
        <v>Non-Veg</v>
      </c>
      <c r="E1663" s="6" t="str">
        <f aca="false">'Dish Database'!E431</f>
        <v>East</v>
      </c>
      <c r="F1663" s="6" t="s">
        <v>2243</v>
      </c>
      <c r="G1663" s="6" t="s">
        <v>2607</v>
      </c>
      <c r="H1663" s="16" t="n">
        <v>150</v>
      </c>
      <c r="I1663" s="6" t="str">
        <f aca="false">'Dish Database'!I431</f>
        <v>g</v>
      </c>
      <c r="J1663" s="13" t="n">
        <f aca="false">'Dish Database'!J431*H1663/100</f>
        <v>340.2</v>
      </c>
      <c r="K1663" s="17" t="n">
        <f aca="false">'Dish Database'!K431*H1663/100</f>
        <v>18</v>
      </c>
      <c r="L1663" s="17" t="n">
        <f aca="false">'Dish Database'!L431*H1663/100</f>
        <v>34.5</v>
      </c>
      <c r="M1663" s="17" t="n">
        <f aca="false">'Dish Database'!M431*H1663/100</f>
        <v>15</v>
      </c>
      <c r="N1663" s="17" t="n">
        <f aca="false">'Dish Database'!N431*H1663/100</f>
        <v>2.4</v>
      </c>
      <c r="O1663" s="17" t="n">
        <f aca="false">'Dish Database'!O431*H1663/100</f>
        <v>3</v>
      </c>
      <c r="P1663" s="13" t="n">
        <f aca="false">'Dish Database'!P431*H1663/100</f>
        <v>825</v>
      </c>
    </row>
    <row r="1664" customFormat="false" ht="15" hidden="false" customHeight="false" outlineLevel="0" collapsed="false">
      <c r="A1664" s="6" t="str">
        <f aca="false">'Dish Database'!A431</f>
        <v>D430</v>
      </c>
      <c r="B1664" s="6" t="str">
        <f aca="false">'Dish Database'!B431</f>
        <v>Chicken kathi roll</v>
      </c>
      <c r="C1664" s="6" t="str">
        <f aca="false">'Dish Database'!D431</f>
        <v>Street Food &amp; Chaat</v>
      </c>
      <c r="D1664" s="6" t="str">
        <f aca="false">'Dish Database'!F431</f>
        <v>Non-Veg</v>
      </c>
      <c r="E1664" s="6" t="str">
        <f aca="false">'Dish Database'!E431</f>
        <v>East</v>
      </c>
      <c r="F1664" s="6" t="s">
        <v>103</v>
      </c>
      <c r="G1664" s="6" t="s">
        <v>2608</v>
      </c>
      <c r="H1664" s="16" t="n">
        <v>200</v>
      </c>
      <c r="I1664" s="6" t="str">
        <f aca="false">'Dish Database'!I431</f>
        <v>g</v>
      </c>
      <c r="J1664" s="13" t="n">
        <f aca="false">'Dish Database'!J431*H1664/100</f>
        <v>453.6</v>
      </c>
      <c r="K1664" s="17" t="n">
        <f aca="false">'Dish Database'!K431*H1664/100</f>
        <v>24</v>
      </c>
      <c r="L1664" s="17" t="n">
        <f aca="false">'Dish Database'!L431*H1664/100</f>
        <v>46</v>
      </c>
      <c r="M1664" s="17" t="n">
        <f aca="false">'Dish Database'!M431*H1664/100</f>
        <v>20</v>
      </c>
      <c r="N1664" s="17" t="n">
        <f aca="false">'Dish Database'!N431*H1664/100</f>
        <v>3.2</v>
      </c>
      <c r="O1664" s="17" t="n">
        <f aca="false">'Dish Database'!O431*H1664/100</f>
        <v>4</v>
      </c>
      <c r="P1664" s="13" t="n">
        <f aca="false">'Dish Database'!P431*H1664/100</f>
        <v>1100</v>
      </c>
    </row>
    <row r="1665" customFormat="false" ht="15" hidden="false" customHeight="false" outlineLevel="0" collapsed="false">
      <c r="A1665" s="6" t="str">
        <f aca="false">'Dish Database'!A431</f>
        <v>D430</v>
      </c>
      <c r="B1665" s="6" t="str">
        <f aca="false">'Dish Database'!B431</f>
        <v>Chicken kathi roll</v>
      </c>
      <c r="C1665" s="6" t="str">
        <f aca="false">'Dish Database'!D431</f>
        <v>Street Food &amp; Chaat</v>
      </c>
      <c r="D1665" s="6" t="str">
        <f aca="false">'Dish Database'!F431</f>
        <v>Non-Veg</v>
      </c>
      <c r="E1665" s="6" t="str">
        <f aca="false">'Dish Database'!E431</f>
        <v>East</v>
      </c>
      <c r="F1665" s="6" t="s">
        <v>2246</v>
      </c>
      <c r="G1665" s="6" t="s">
        <v>2609</v>
      </c>
      <c r="H1665" s="16" t="n">
        <v>250</v>
      </c>
      <c r="I1665" s="6" t="str">
        <f aca="false">'Dish Database'!I431</f>
        <v>g</v>
      </c>
      <c r="J1665" s="13" t="n">
        <f aca="false">'Dish Database'!J431*H1665/100</f>
        <v>567</v>
      </c>
      <c r="K1665" s="17" t="n">
        <f aca="false">'Dish Database'!K431*H1665/100</f>
        <v>30</v>
      </c>
      <c r="L1665" s="17" t="n">
        <f aca="false">'Dish Database'!L431*H1665/100</f>
        <v>57.5</v>
      </c>
      <c r="M1665" s="17" t="n">
        <f aca="false">'Dish Database'!M431*H1665/100</f>
        <v>25</v>
      </c>
      <c r="N1665" s="17" t="n">
        <f aca="false">'Dish Database'!N431*H1665/100</f>
        <v>4</v>
      </c>
      <c r="O1665" s="17" t="n">
        <f aca="false">'Dish Database'!O431*H1665/100</f>
        <v>5</v>
      </c>
      <c r="P1665" s="13" t="n">
        <f aca="false">'Dish Database'!P431*H1665/100</f>
        <v>1375</v>
      </c>
    </row>
    <row r="1666" customFormat="false" ht="15" hidden="false" customHeight="false" outlineLevel="0" collapsed="false">
      <c r="A1666" s="6" t="str">
        <f aca="false">'Dish Database'!A432</f>
        <v>D431</v>
      </c>
      <c r="B1666" s="6" t="str">
        <f aca="false">'Dish Database'!B432</f>
        <v>Egg roll (Kolkata)</v>
      </c>
      <c r="C1666" s="6" t="str">
        <f aca="false">'Dish Database'!D432</f>
        <v>Street Food &amp; Chaat</v>
      </c>
      <c r="D1666" s="6" t="str">
        <f aca="false">'Dish Database'!F432</f>
        <v>Egg</v>
      </c>
      <c r="E1666" s="6" t="str">
        <f aca="false">'Dish Database'!E432</f>
        <v>East</v>
      </c>
      <c r="F1666" s="6" t="s">
        <v>2243</v>
      </c>
      <c r="G1666" s="6" t="s">
        <v>2610</v>
      </c>
      <c r="H1666" s="16" t="n">
        <v>120</v>
      </c>
      <c r="I1666" s="6" t="str">
        <f aca="false">'Dish Database'!I432</f>
        <v>g</v>
      </c>
      <c r="J1666" s="13" t="n">
        <f aca="false">'Dish Database'!J432*H1666/100</f>
        <v>286.8</v>
      </c>
      <c r="K1666" s="17" t="n">
        <f aca="false">'Dish Database'!K432*H1666/100</f>
        <v>10.2</v>
      </c>
      <c r="L1666" s="17" t="n">
        <f aca="false">'Dish Database'!L432*H1666/100</f>
        <v>30</v>
      </c>
      <c r="M1666" s="17" t="n">
        <f aca="false">'Dish Database'!M432*H1666/100</f>
        <v>14.4</v>
      </c>
      <c r="N1666" s="17" t="n">
        <f aca="false">'Dish Database'!N432*H1666/100</f>
        <v>1.8</v>
      </c>
      <c r="O1666" s="17" t="n">
        <f aca="false">'Dish Database'!O432*H1666/100</f>
        <v>2.4</v>
      </c>
      <c r="P1666" s="13" t="n">
        <f aca="false">'Dish Database'!P432*H1666/100</f>
        <v>540</v>
      </c>
    </row>
    <row r="1667" customFormat="false" ht="15" hidden="false" customHeight="false" outlineLevel="0" collapsed="false">
      <c r="A1667" s="6" t="str">
        <f aca="false">'Dish Database'!A432</f>
        <v>D431</v>
      </c>
      <c r="B1667" s="6" t="str">
        <f aca="false">'Dish Database'!B432</f>
        <v>Egg roll (Kolkata)</v>
      </c>
      <c r="C1667" s="6" t="str">
        <f aca="false">'Dish Database'!D432</f>
        <v>Street Food &amp; Chaat</v>
      </c>
      <c r="D1667" s="6" t="str">
        <f aca="false">'Dish Database'!F432</f>
        <v>Egg</v>
      </c>
      <c r="E1667" s="6" t="str">
        <f aca="false">'Dish Database'!E432</f>
        <v>East</v>
      </c>
      <c r="F1667" s="6" t="s">
        <v>103</v>
      </c>
      <c r="G1667" s="6" t="s">
        <v>2611</v>
      </c>
      <c r="H1667" s="16" t="n">
        <v>160</v>
      </c>
      <c r="I1667" s="6" t="str">
        <f aca="false">'Dish Database'!I432</f>
        <v>g</v>
      </c>
      <c r="J1667" s="13" t="n">
        <f aca="false">'Dish Database'!J432*H1667/100</f>
        <v>382.4</v>
      </c>
      <c r="K1667" s="17" t="n">
        <f aca="false">'Dish Database'!K432*H1667/100</f>
        <v>13.6</v>
      </c>
      <c r="L1667" s="17" t="n">
        <f aca="false">'Dish Database'!L432*H1667/100</f>
        <v>40</v>
      </c>
      <c r="M1667" s="17" t="n">
        <f aca="false">'Dish Database'!M432*H1667/100</f>
        <v>19.2</v>
      </c>
      <c r="N1667" s="17" t="n">
        <f aca="false">'Dish Database'!N432*H1667/100</f>
        <v>2.4</v>
      </c>
      <c r="O1667" s="17" t="n">
        <f aca="false">'Dish Database'!O432*H1667/100</f>
        <v>3.2</v>
      </c>
      <c r="P1667" s="13" t="n">
        <f aca="false">'Dish Database'!P432*H1667/100</f>
        <v>720</v>
      </c>
    </row>
    <row r="1668" customFormat="false" ht="15" hidden="false" customHeight="false" outlineLevel="0" collapsed="false">
      <c r="A1668" s="6" t="str">
        <f aca="false">'Dish Database'!A432</f>
        <v>D431</v>
      </c>
      <c r="B1668" s="6" t="str">
        <f aca="false">'Dish Database'!B432</f>
        <v>Egg roll (Kolkata)</v>
      </c>
      <c r="C1668" s="6" t="str">
        <f aca="false">'Dish Database'!D432</f>
        <v>Street Food &amp; Chaat</v>
      </c>
      <c r="D1668" s="6" t="str">
        <f aca="false">'Dish Database'!F432</f>
        <v>Egg</v>
      </c>
      <c r="E1668" s="6" t="str">
        <f aca="false">'Dish Database'!E432</f>
        <v>East</v>
      </c>
      <c r="F1668" s="6" t="s">
        <v>2246</v>
      </c>
      <c r="G1668" s="6" t="s">
        <v>2612</v>
      </c>
      <c r="H1668" s="16" t="n">
        <v>220</v>
      </c>
      <c r="I1668" s="6" t="str">
        <f aca="false">'Dish Database'!I432</f>
        <v>g</v>
      </c>
      <c r="J1668" s="13" t="n">
        <f aca="false">'Dish Database'!J432*H1668/100</f>
        <v>525.8</v>
      </c>
      <c r="K1668" s="17" t="n">
        <f aca="false">'Dish Database'!K432*H1668/100</f>
        <v>18.7</v>
      </c>
      <c r="L1668" s="17" t="n">
        <f aca="false">'Dish Database'!L432*H1668/100</f>
        <v>55</v>
      </c>
      <c r="M1668" s="17" t="n">
        <f aca="false">'Dish Database'!M432*H1668/100</f>
        <v>26.4</v>
      </c>
      <c r="N1668" s="17" t="n">
        <f aca="false">'Dish Database'!N432*H1668/100</f>
        <v>3.3</v>
      </c>
      <c r="O1668" s="17" t="n">
        <f aca="false">'Dish Database'!O432*H1668/100</f>
        <v>4.4</v>
      </c>
      <c r="P1668" s="13" t="n">
        <f aca="false">'Dish Database'!P432*H1668/100</f>
        <v>990</v>
      </c>
    </row>
    <row r="1669" customFormat="false" ht="15" hidden="false" customHeight="false" outlineLevel="0" collapsed="false">
      <c r="A1669" s="6" t="str">
        <f aca="false">'Dish Database'!A433</f>
        <v>D432</v>
      </c>
      <c r="B1669" s="6" t="str">
        <f aca="false">'Dish Database'!B433</f>
        <v>Chicken shawarma roll</v>
      </c>
      <c r="C1669" s="6" t="str">
        <f aca="false">'Dish Database'!D433</f>
        <v>Street Food &amp; Chaat</v>
      </c>
      <c r="D1669" s="6" t="str">
        <f aca="false">'Dish Database'!F433</f>
        <v>Non-Veg</v>
      </c>
      <c r="E1669" s="6" t="str">
        <f aca="false">'Dish Database'!E433</f>
        <v>Pan-India</v>
      </c>
      <c r="F1669" s="6" t="s">
        <v>2243</v>
      </c>
      <c r="G1669" s="6" t="s">
        <v>2607</v>
      </c>
      <c r="H1669" s="16" t="n">
        <v>150</v>
      </c>
      <c r="I1669" s="6" t="str">
        <f aca="false">'Dish Database'!I433</f>
        <v>g</v>
      </c>
      <c r="J1669" s="13" t="n">
        <f aca="false">'Dish Database'!J433*H1669/100</f>
        <v>336</v>
      </c>
      <c r="K1669" s="17" t="n">
        <f aca="false">'Dish Database'!K433*H1669/100</f>
        <v>18</v>
      </c>
      <c r="L1669" s="17" t="n">
        <f aca="false">'Dish Database'!L433*H1669/100</f>
        <v>30</v>
      </c>
      <c r="M1669" s="17" t="n">
        <f aca="false">'Dish Database'!M433*H1669/100</f>
        <v>16.5</v>
      </c>
      <c r="N1669" s="17" t="n">
        <f aca="false">'Dish Database'!N433*H1669/100</f>
        <v>2.25</v>
      </c>
      <c r="O1669" s="17" t="n">
        <f aca="false">'Dish Database'!O433*H1669/100</f>
        <v>3</v>
      </c>
      <c r="P1669" s="13" t="n">
        <f aca="false">'Dish Database'!P433*H1669/100</f>
        <v>900</v>
      </c>
    </row>
    <row r="1670" customFormat="false" ht="15" hidden="false" customHeight="false" outlineLevel="0" collapsed="false">
      <c r="A1670" s="6" t="str">
        <f aca="false">'Dish Database'!A433</f>
        <v>D432</v>
      </c>
      <c r="B1670" s="6" t="str">
        <f aca="false">'Dish Database'!B433</f>
        <v>Chicken shawarma roll</v>
      </c>
      <c r="C1670" s="6" t="str">
        <f aca="false">'Dish Database'!D433</f>
        <v>Street Food &amp; Chaat</v>
      </c>
      <c r="D1670" s="6" t="str">
        <f aca="false">'Dish Database'!F433</f>
        <v>Non-Veg</v>
      </c>
      <c r="E1670" s="6" t="str">
        <f aca="false">'Dish Database'!E433</f>
        <v>Pan-India</v>
      </c>
      <c r="F1670" s="6" t="s">
        <v>103</v>
      </c>
      <c r="G1670" s="6" t="s">
        <v>2608</v>
      </c>
      <c r="H1670" s="16" t="n">
        <v>200</v>
      </c>
      <c r="I1670" s="6" t="str">
        <f aca="false">'Dish Database'!I433</f>
        <v>g</v>
      </c>
      <c r="J1670" s="13" t="n">
        <f aca="false">'Dish Database'!J433*H1670/100</f>
        <v>448</v>
      </c>
      <c r="K1670" s="17" t="n">
        <f aca="false">'Dish Database'!K433*H1670/100</f>
        <v>24</v>
      </c>
      <c r="L1670" s="17" t="n">
        <f aca="false">'Dish Database'!L433*H1670/100</f>
        <v>40</v>
      </c>
      <c r="M1670" s="17" t="n">
        <f aca="false">'Dish Database'!M433*H1670/100</f>
        <v>22</v>
      </c>
      <c r="N1670" s="17" t="n">
        <f aca="false">'Dish Database'!N433*H1670/100</f>
        <v>3</v>
      </c>
      <c r="O1670" s="17" t="n">
        <f aca="false">'Dish Database'!O433*H1670/100</f>
        <v>4</v>
      </c>
      <c r="P1670" s="13" t="n">
        <f aca="false">'Dish Database'!P433*H1670/100</f>
        <v>1200</v>
      </c>
    </row>
    <row r="1671" customFormat="false" ht="15" hidden="false" customHeight="false" outlineLevel="0" collapsed="false">
      <c r="A1671" s="6" t="str">
        <f aca="false">'Dish Database'!A433</f>
        <v>D432</v>
      </c>
      <c r="B1671" s="6" t="str">
        <f aca="false">'Dish Database'!B433</f>
        <v>Chicken shawarma roll</v>
      </c>
      <c r="C1671" s="6" t="str">
        <f aca="false">'Dish Database'!D433</f>
        <v>Street Food &amp; Chaat</v>
      </c>
      <c r="D1671" s="6" t="str">
        <f aca="false">'Dish Database'!F433</f>
        <v>Non-Veg</v>
      </c>
      <c r="E1671" s="6" t="str">
        <f aca="false">'Dish Database'!E433</f>
        <v>Pan-India</v>
      </c>
      <c r="F1671" s="6" t="s">
        <v>2246</v>
      </c>
      <c r="G1671" s="6" t="s">
        <v>2613</v>
      </c>
      <c r="H1671" s="16" t="n">
        <v>280</v>
      </c>
      <c r="I1671" s="6" t="str">
        <f aca="false">'Dish Database'!I433</f>
        <v>g</v>
      </c>
      <c r="J1671" s="13" t="n">
        <f aca="false">'Dish Database'!J433*H1671/100</f>
        <v>627.2</v>
      </c>
      <c r="K1671" s="17" t="n">
        <f aca="false">'Dish Database'!K433*H1671/100</f>
        <v>33.6</v>
      </c>
      <c r="L1671" s="17" t="n">
        <f aca="false">'Dish Database'!L433*H1671/100</f>
        <v>56</v>
      </c>
      <c r="M1671" s="17" t="n">
        <f aca="false">'Dish Database'!M433*H1671/100</f>
        <v>30.8</v>
      </c>
      <c r="N1671" s="17" t="n">
        <f aca="false">'Dish Database'!N433*H1671/100</f>
        <v>4.2</v>
      </c>
      <c r="O1671" s="17" t="n">
        <f aca="false">'Dish Database'!O433*H1671/100</f>
        <v>5.6</v>
      </c>
      <c r="P1671" s="13" t="n">
        <f aca="false">'Dish Database'!P433*H1671/100</f>
        <v>1680</v>
      </c>
    </row>
    <row r="1672" customFormat="false" ht="15" hidden="false" customHeight="false" outlineLevel="0" collapsed="false">
      <c r="A1672" s="6" t="str">
        <f aca="false">'Dish Database'!A434</f>
        <v>D433</v>
      </c>
      <c r="B1672" s="6" t="str">
        <f aca="false">'Dish Database'!B434</f>
        <v>Corn chaat / masala bhutta</v>
      </c>
      <c r="C1672" s="6" t="str">
        <f aca="false">'Dish Database'!D434</f>
        <v>Street Food &amp; Chaat</v>
      </c>
      <c r="D1672" s="6" t="str">
        <f aca="false">'Dish Database'!F434</f>
        <v>Veg</v>
      </c>
      <c r="E1672" s="6" t="str">
        <f aca="false">'Dish Database'!E434</f>
        <v>Pan-India</v>
      </c>
      <c r="F1672" s="6" t="s">
        <v>2243</v>
      </c>
      <c r="G1672" s="6" t="s">
        <v>2265</v>
      </c>
      <c r="H1672" s="16" t="n">
        <v>100</v>
      </c>
      <c r="I1672" s="6" t="str">
        <f aca="false">'Dish Database'!I434</f>
        <v>g</v>
      </c>
      <c r="J1672" s="13" t="n">
        <f aca="false">'Dish Database'!J434*H1672/100</f>
        <v>124.1</v>
      </c>
      <c r="K1672" s="17" t="n">
        <f aca="false">'Dish Database'!K434*H1672/100</f>
        <v>3.4</v>
      </c>
      <c r="L1672" s="17" t="n">
        <f aca="false">'Dish Database'!L434*H1672/100</f>
        <v>21</v>
      </c>
      <c r="M1672" s="17" t="n">
        <f aca="false">'Dish Database'!M434*H1672/100</f>
        <v>3.5</v>
      </c>
      <c r="N1672" s="17" t="n">
        <f aca="false">'Dish Database'!N434*H1672/100</f>
        <v>2.5</v>
      </c>
      <c r="O1672" s="17" t="n">
        <f aca="false">'Dish Database'!O434*H1672/100</f>
        <v>4.5</v>
      </c>
      <c r="P1672" s="13" t="n">
        <f aca="false">'Dish Database'!P434*H1672/100</f>
        <v>250</v>
      </c>
    </row>
    <row r="1673" customFormat="false" ht="15" hidden="false" customHeight="false" outlineLevel="0" collapsed="false">
      <c r="A1673" s="6" t="str">
        <f aca="false">'Dish Database'!A434</f>
        <v>D433</v>
      </c>
      <c r="B1673" s="6" t="str">
        <f aca="false">'Dish Database'!B434</f>
        <v>Corn chaat / masala bhutta</v>
      </c>
      <c r="C1673" s="6" t="str">
        <f aca="false">'Dish Database'!D434</f>
        <v>Street Food &amp; Chaat</v>
      </c>
      <c r="D1673" s="6" t="str">
        <f aca="false">'Dish Database'!F434</f>
        <v>Veg</v>
      </c>
      <c r="E1673" s="6" t="str">
        <f aca="false">'Dish Database'!E434</f>
        <v>Pan-India</v>
      </c>
      <c r="F1673" s="6" t="s">
        <v>103</v>
      </c>
      <c r="G1673" s="6" t="s">
        <v>2266</v>
      </c>
      <c r="H1673" s="16" t="n">
        <v>150</v>
      </c>
      <c r="I1673" s="6" t="str">
        <f aca="false">'Dish Database'!I434</f>
        <v>g</v>
      </c>
      <c r="J1673" s="13" t="n">
        <f aca="false">'Dish Database'!J434*H1673/100</f>
        <v>186.15</v>
      </c>
      <c r="K1673" s="17" t="n">
        <f aca="false">'Dish Database'!K434*H1673/100</f>
        <v>5.1</v>
      </c>
      <c r="L1673" s="17" t="n">
        <f aca="false">'Dish Database'!L434*H1673/100</f>
        <v>31.5</v>
      </c>
      <c r="M1673" s="17" t="n">
        <f aca="false">'Dish Database'!M434*H1673/100</f>
        <v>5.25</v>
      </c>
      <c r="N1673" s="17" t="n">
        <f aca="false">'Dish Database'!N434*H1673/100</f>
        <v>3.75</v>
      </c>
      <c r="O1673" s="17" t="n">
        <f aca="false">'Dish Database'!O434*H1673/100</f>
        <v>6.75</v>
      </c>
      <c r="P1673" s="13" t="n">
        <f aca="false">'Dish Database'!P434*H1673/100</f>
        <v>375</v>
      </c>
    </row>
    <row r="1674" customFormat="false" ht="15" hidden="false" customHeight="false" outlineLevel="0" collapsed="false">
      <c r="A1674" s="6" t="str">
        <f aca="false">'Dish Database'!A434</f>
        <v>D433</v>
      </c>
      <c r="B1674" s="6" t="str">
        <f aca="false">'Dish Database'!B434</f>
        <v>Corn chaat / masala bhutta</v>
      </c>
      <c r="C1674" s="6" t="str">
        <f aca="false">'Dish Database'!D434</f>
        <v>Street Food &amp; Chaat</v>
      </c>
      <c r="D1674" s="6" t="str">
        <f aca="false">'Dish Database'!F434</f>
        <v>Veg</v>
      </c>
      <c r="E1674" s="6" t="str">
        <f aca="false">'Dish Database'!E434</f>
        <v>Pan-India</v>
      </c>
      <c r="F1674" s="6" t="s">
        <v>2246</v>
      </c>
      <c r="G1674" s="6" t="s">
        <v>2267</v>
      </c>
      <c r="H1674" s="16" t="n">
        <v>200</v>
      </c>
      <c r="I1674" s="6" t="str">
        <f aca="false">'Dish Database'!I434</f>
        <v>g</v>
      </c>
      <c r="J1674" s="13" t="n">
        <f aca="false">'Dish Database'!J434*H1674/100</f>
        <v>248.2</v>
      </c>
      <c r="K1674" s="17" t="n">
        <f aca="false">'Dish Database'!K434*H1674/100</f>
        <v>6.8</v>
      </c>
      <c r="L1674" s="17" t="n">
        <f aca="false">'Dish Database'!L434*H1674/100</f>
        <v>42</v>
      </c>
      <c r="M1674" s="17" t="n">
        <f aca="false">'Dish Database'!M434*H1674/100</f>
        <v>7</v>
      </c>
      <c r="N1674" s="17" t="n">
        <f aca="false">'Dish Database'!N434*H1674/100</f>
        <v>5</v>
      </c>
      <c r="O1674" s="17" t="n">
        <f aca="false">'Dish Database'!O434*H1674/100</f>
        <v>9</v>
      </c>
      <c r="P1674" s="13" t="n">
        <f aca="false">'Dish Database'!P434*H1674/100</f>
        <v>500</v>
      </c>
    </row>
    <row r="1675" customFormat="false" ht="15" hidden="false" customHeight="false" outlineLevel="0" collapsed="false">
      <c r="A1675" s="6" t="str">
        <f aca="false">'Dish Database'!A435</f>
        <v>D434</v>
      </c>
      <c r="B1675" s="6" t="str">
        <f aca="false">'Dish Database'!B435</f>
        <v>Sprouts chaat</v>
      </c>
      <c r="C1675" s="6" t="str">
        <f aca="false">'Dish Database'!D435</f>
        <v>Street Food &amp; Chaat</v>
      </c>
      <c r="D1675" s="6" t="str">
        <f aca="false">'Dish Database'!F435</f>
        <v>Veg</v>
      </c>
      <c r="E1675" s="6" t="str">
        <f aca="false">'Dish Database'!E435</f>
        <v>Pan-India</v>
      </c>
      <c r="F1675" s="6" t="s">
        <v>2243</v>
      </c>
      <c r="G1675" s="6" t="s">
        <v>2265</v>
      </c>
      <c r="H1675" s="16" t="n">
        <v>100</v>
      </c>
      <c r="I1675" s="6" t="str">
        <f aca="false">'Dish Database'!I435</f>
        <v>g</v>
      </c>
      <c r="J1675" s="13" t="n">
        <f aca="false">'Dish Database'!J435*H1675/100</f>
        <v>69</v>
      </c>
      <c r="K1675" s="17" t="n">
        <f aca="false">'Dish Database'!K435*H1675/100</f>
        <v>4.5</v>
      </c>
      <c r="L1675" s="17" t="n">
        <f aca="false">'Dish Database'!L435*H1675/100</f>
        <v>12</v>
      </c>
      <c r="M1675" s="17" t="n">
        <f aca="false">'Dish Database'!M435*H1675/100</f>
        <v>1</v>
      </c>
      <c r="N1675" s="17" t="n">
        <f aca="false">'Dish Database'!N435*H1675/100</f>
        <v>3</v>
      </c>
      <c r="O1675" s="17" t="n">
        <f aca="false">'Dish Database'!O435*H1675/100</f>
        <v>3</v>
      </c>
      <c r="P1675" s="13" t="n">
        <f aca="false">'Dish Database'!P435*H1675/100</f>
        <v>250</v>
      </c>
    </row>
    <row r="1676" customFormat="false" ht="15" hidden="false" customHeight="false" outlineLevel="0" collapsed="false">
      <c r="A1676" s="6" t="str">
        <f aca="false">'Dish Database'!A435</f>
        <v>D434</v>
      </c>
      <c r="B1676" s="6" t="str">
        <f aca="false">'Dish Database'!B435</f>
        <v>Sprouts chaat</v>
      </c>
      <c r="C1676" s="6" t="str">
        <f aca="false">'Dish Database'!D435</f>
        <v>Street Food &amp; Chaat</v>
      </c>
      <c r="D1676" s="6" t="str">
        <f aca="false">'Dish Database'!F435</f>
        <v>Veg</v>
      </c>
      <c r="E1676" s="6" t="str">
        <f aca="false">'Dish Database'!E435</f>
        <v>Pan-India</v>
      </c>
      <c r="F1676" s="6" t="s">
        <v>103</v>
      </c>
      <c r="G1676" s="6" t="s">
        <v>2266</v>
      </c>
      <c r="H1676" s="16" t="n">
        <v>150</v>
      </c>
      <c r="I1676" s="6" t="str">
        <f aca="false">'Dish Database'!I435</f>
        <v>g</v>
      </c>
      <c r="J1676" s="13" t="n">
        <f aca="false">'Dish Database'!J435*H1676/100</f>
        <v>103.5</v>
      </c>
      <c r="K1676" s="17" t="n">
        <f aca="false">'Dish Database'!K435*H1676/100</f>
        <v>6.75</v>
      </c>
      <c r="L1676" s="17" t="n">
        <f aca="false">'Dish Database'!L435*H1676/100</f>
        <v>18</v>
      </c>
      <c r="M1676" s="17" t="n">
        <f aca="false">'Dish Database'!M435*H1676/100</f>
        <v>1.5</v>
      </c>
      <c r="N1676" s="17" t="n">
        <f aca="false">'Dish Database'!N435*H1676/100</f>
        <v>4.5</v>
      </c>
      <c r="O1676" s="17" t="n">
        <f aca="false">'Dish Database'!O435*H1676/100</f>
        <v>4.5</v>
      </c>
      <c r="P1676" s="13" t="n">
        <f aca="false">'Dish Database'!P435*H1676/100</f>
        <v>375</v>
      </c>
    </row>
    <row r="1677" customFormat="false" ht="15" hidden="false" customHeight="false" outlineLevel="0" collapsed="false">
      <c r="A1677" s="6" t="str">
        <f aca="false">'Dish Database'!A435</f>
        <v>D434</v>
      </c>
      <c r="B1677" s="6" t="str">
        <f aca="false">'Dish Database'!B435</f>
        <v>Sprouts chaat</v>
      </c>
      <c r="C1677" s="6" t="str">
        <f aca="false">'Dish Database'!D435</f>
        <v>Street Food &amp; Chaat</v>
      </c>
      <c r="D1677" s="6" t="str">
        <f aca="false">'Dish Database'!F435</f>
        <v>Veg</v>
      </c>
      <c r="E1677" s="6" t="str">
        <f aca="false">'Dish Database'!E435</f>
        <v>Pan-India</v>
      </c>
      <c r="F1677" s="6" t="s">
        <v>2246</v>
      </c>
      <c r="G1677" s="6" t="s">
        <v>2267</v>
      </c>
      <c r="H1677" s="16" t="n">
        <v>200</v>
      </c>
      <c r="I1677" s="6" t="str">
        <f aca="false">'Dish Database'!I435</f>
        <v>g</v>
      </c>
      <c r="J1677" s="13" t="n">
        <f aca="false">'Dish Database'!J435*H1677/100</f>
        <v>138</v>
      </c>
      <c r="K1677" s="17" t="n">
        <f aca="false">'Dish Database'!K435*H1677/100</f>
        <v>9</v>
      </c>
      <c r="L1677" s="17" t="n">
        <f aca="false">'Dish Database'!L435*H1677/100</f>
        <v>24</v>
      </c>
      <c r="M1677" s="17" t="n">
        <f aca="false">'Dish Database'!M435*H1677/100</f>
        <v>2</v>
      </c>
      <c r="N1677" s="17" t="n">
        <f aca="false">'Dish Database'!N435*H1677/100</f>
        <v>6</v>
      </c>
      <c r="O1677" s="17" t="n">
        <f aca="false">'Dish Database'!O435*H1677/100</f>
        <v>6</v>
      </c>
      <c r="P1677" s="13" t="n">
        <f aca="false">'Dish Database'!P435*H1677/100</f>
        <v>500</v>
      </c>
    </row>
    <row r="1678" customFormat="false" ht="15" hidden="false" customHeight="false" outlineLevel="0" collapsed="false">
      <c r="A1678" s="6" t="str">
        <f aca="false">'Dish Database'!A436</f>
        <v>D435</v>
      </c>
      <c r="B1678" s="6" t="str">
        <f aca="false">'Dish Database'!B436</f>
        <v>Chana chaat (kabuli)</v>
      </c>
      <c r="C1678" s="6" t="str">
        <f aca="false">'Dish Database'!D436</f>
        <v>Street Food &amp; Chaat</v>
      </c>
      <c r="D1678" s="6" t="str">
        <f aca="false">'Dish Database'!F436</f>
        <v>Veg</v>
      </c>
      <c r="E1678" s="6" t="str">
        <f aca="false">'Dish Database'!E436</f>
        <v>North</v>
      </c>
      <c r="F1678" s="6" t="s">
        <v>2243</v>
      </c>
      <c r="G1678" s="6" t="s">
        <v>2265</v>
      </c>
      <c r="H1678" s="16" t="n">
        <v>100</v>
      </c>
      <c r="I1678" s="6" t="str">
        <f aca="false">'Dish Database'!I436</f>
        <v>g</v>
      </c>
      <c r="J1678" s="13" t="n">
        <f aca="false">'Dish Database'!J436*H1678/100</f>
        <v>122.5</v>
      </c>
      <c r="K1678" s="17" t="n">
        <f aca="false">'Dish Database'!K436*H1678/100</f>
        <v>7</v>
      </c>
      <c r="L1678" s="17" t="n">
        <f aca="false">'Dish Database'!L436*H1678/100</f>
        <v>21</v>
      </c>
      <c r="M1678" s="17" t="n">
        <f aca="false">'Dish Database'!M436*H1678/100</f>
        <v>2.5</v>
      </c>
      <c r="N1678" s="17" t="n">
        <f aca="false">'Dish Database'!N436*H1678/100</f>
        <v>6</v>
      </c>
      <c r="O1678" s="17" t="n">
        <f aca="false">'Dish Database'!O436*H1678/100</f>
        <v>3</v>
      </c>
      <c r="P1678" s="13" t="n">
        <f aca="false">'Dish Database'!P436*H1678/100</f>
        <v>300</v>
      </c>
    </row>
    <row r="1679" customFormat="false" ht="15" hidden="false" customHeight="false" outlineLevel="0" collapsed="false">
      <c r="A1679" s="6" t="str">
        <f aca="false">'Dish Database'!A436</f>
        <v>D435</v>
      </c>
      <c r="B1679" s="6" t="str">
        <f aca="false">'Dish Database'!B436</f>
        <v>Chana chaat (kabuli)</v>
      </c>
      <c r="C1679" s="6" t="str">
        <f aca="false">'Dish Database'!D436</f>
        <v>Street Food &amp; Chaat</v>
      </c>
      <c r="D1679" s="6" t="str">
        <f aca="false">'Dish Database'!F436</f>
        <v>Veg</v>
      </c>
      <c r="E1679" s="6" t="str">
        <f aca="false">'Dish Database'!E436</f>
        <v>North</v>
      </c>
      <c r="F1679" s="6" t="s">
        <v>103</v>
      </c>
      <c r="G1679" s="6" t="s">
        <v>2266</v>
      </c>
      <c r="H1679" s="16" t="n">
        <v>150</v>
      </c>
      <c r="I1679" s="6" t="str">
        <f aca="false">'Dish Database'!I436</f>
        <v>g</v>
      </c>
      <c r="J1679" s="13" t="n">
        <f aca="false">'Dish Database'!J436*H1679/100</f>
        <v>183.75</v>
      </c>
      <c r="K1679" s="17" t="n">
        <f aca="false">'Dish Database'!K436*H1679/100</f>
        <v>10.5</v>
      </c>
      <c r="L1679" s="17" t="n">
        <f aca="false">'Dish Database'!L436*H1679/100</f>
        <v>31.5</v>
      </c>
      <c r="M1679" s="17" t="n">
        <f aca="false">'Dish Database'!M436*H1679/100</f>
        <v>3.75</v>
      </c>
      <c r="N1679" s="17" t="n">
        <f aca="false">'Dish Database'!N436*H1679/100</f>
        <v>9</v>
      </c>
      <c r="O1679" s="17" t="n">
        <f aca="false">'Dish Database'!O436*H1679/100</f>
        <v>4.5</v>
      </c>
      <c r="P1679" s="13" t="n">
        <f aca="false">'Dish Database'!P436*H1679/100</f>
        <v>450</v>
      </c>
    </row>
    <row r="1680" customFormat="false" ht="15" hidden="false" customHeight="false" outlineLevel="0" collapsed="false">
      <c r="A1680" s="6" t="str">
        <f aca="false">'Dish Database'!A436</f>
        <v>D435</v>
      </c>
      <c r="B1680" s="6" t="str">
        <f aca="false">'Dish Database'!B436</f>
        <v>Chana chaat (kabuli)</v>
      </c>
      <c r="C1680" s="6" t="str">
        <f aca="false">'Dish Database'!D436</f>
        <v>Street Food &amp; Chaat</v>
      </c>
      <c r="D1680" s="6" t="str">
        <f aca="false">'Dish Database'!F436</f>
        <v>Veg</v>
      </c>
      <c r="E1680" s="6" t="str">
        <f aca="false">'Dish Database'!E436</f>
        <v>North</v>
      </c>
      <c r="F1680" s="6" t="s">
        <v>2246</v>
      </c>
      <c r="G1680" s="6" t="s">
        <v>2267</v>
      </c>
      <c r="H1680" s="16" t="n">
        <v>200</v>
      </c>
      <c r="I1680" s="6" t="str">
        <f aca="false">'Dish Database'!I436</f>
        <v>g</v>
      </c>
      <c r="J1680" s="13" t="n">
        <f aca="false">'Dish Database'!J436*H1680/100</f>
        <v>245</v>
      </c>
      <c r="K1680" s="17" t="n">
        <f aca="false">'Dish Database'!K436*H1680/100</f>
        <v>14</v>
      </c>
      <c r="L1680" s="17" t="n">
        <f aca="false">'Dish Database'!L436*H1680/100</f>
        <v>42</v>
      </c>
      <c r="M1680" s="17" t="n">
        <f aca="false">'Dish Database'!M436*H1680/100</f>
        <v>5</v>
      </c>
      <c r="N1680" s="17" t="n">
        <f aca="false">'Dish Database'!N436*H1680/100</f>
        <v>12</v>
      </c>
      <c r="O1680" s="17" t="n">
        <f aca="false">'Dish Database'!O436*H1680/100</f>
        <v>6</v>
      </c>
      <c r="P1680" s="13" t="n">
        <f aca="false">'Dish Database'!P436*H1680/100</f>
        <v>600</v>
      </c>
    </row>
    <row r="1681" customFormat="false" ht="15" hidden="false" customHeight="false" outlineLevel="0" collapsed="false">
      <c r="A1681" s="6" t="str">
        <f aca="false">'Dish Database'!A437</f>
        <v>D436</v>
      </c>
      <c r="B1681" s="6" t="str">
        <f aca="false">'Dish Database'!B437</f>
        <v>Boiled peanut chaat</v>
      </c>
      <c r="C1681" s="6" t="str">
        <f aca="false">'Dish Database'!D437</f>
        <v>Street Food &amp; Chaat</v>
      </c>
      <c r="D1681" s="6" t="str">
        <f aca="false">'Dish Database'!F437</f>
        <v>Veg</v>
      </c>
      <c r="E1681" s="6" t="str">
        <f aca="false">'Dish Database'!E437</f>
        <v>Pan-India</v>
      </c>
      <c r="F1681" s="6" t="s">
        <v>2243</v>
      </c>
      <c r="G1681" s="6" t="s">
        <v>2265</v>
      </c>
      <c r="H1681" s="16" t="n">
        <v>100</v>
      </c>
      <c r="I1681" s="6" t="str">
        <f aca="false">'Dish Database'!I437</f>
        <v>g</v>
      </c>
      <c r="J1681" s="13" t="n">
        <f aca="false">'Dish Database'!J437*H1681/100</f>
        <v>214</v>
      </c>
      <c r="K1681" s="17" t="n">
        <f aca="false">'Dish Database'!K437*H1681/100</f>
        <v>10</v>
      </c>
      <c r="L1681" s="17" t="n">
        <f aca="false">'Dish Database'!L437*H1681/100</f>
        <v>12</v>
      </c>
      <c r="M1681" s="17" t="n">
        <f aca="false">'Dish Database'!M437*H1681/100</f>
        <v>15</v>
      </c>
      <c r="N1681" s="17" t="n">
        <f aca="false">'Dish Database'!N437*H1681/100</f>
        <v>4.5</v>
      </c>
      <c r="O1681" s="17" t="n">
        <f aca="false">'Dish Database'!O437*H1681/100</f>
        <v>2.5</v>
      </c>
      <c r="P1681" s="13" t="n">
        <f aca="false">'Dish Database'!P437*H1681/100</f>
        <v>250</v>
      </c>
    </row>
    <row r="1682" customFormat="false" ht="15" hidden="false" customHeight="false" outlineLevel="0" collapsed="false">
      <c r="A1682" s="6" t="str">
        <f aca="false">'Dish Database'!A437</f>
        <v>D436</v>
      </c>
      <c r="B1682" s="6" t="str">
        <f aca="false">'Dish Database'!B437</f>
        <v>Boiled peanut chaat</v>
      </c>
      <c r="C1682" s="6" t="str">
        <f aca="false">'Dish Database'!D437</f>
        <v>Street Food &amp; Chaat</v>
      </c>
      <c r="D1682" s="6" t="str">
        <f aca="false">'Dish Database'!F437</f>
        <v>Veg</v>
      </c>
      <c r="E1682" s="6" t="str">
        <f aca="false">'Dish Database'!E437</f>
        <v>Pan-India</v>
      </c>
      <c r="F1682" s="6" t="s">
        <v>103</v>
      </c>
      <c r="G1682" s="6" t="s">
        <v>2266</v>
      </c>
      <c r="H1682" s="16" t="n">
        <v>150</v>
      </c>
      <c r="I1682" s="6" t="str">
        <f aca="false">'Dish Database'!I437</f>
        <v>g</v>
      </c>
      <c r="J1682" s="13" t="n">
        <f aca="false">'Dish Database'!J437*H1682/100</f>
        <v>321</v>
      </c>
      <c r="K1682" s="17" t="n">
        <f aca="false">'Dish Database'!K437*H1682/100</f>
        <v>15</v>
      </c>
      <c r="L1682" s="17" t="n">
        <f aca="false">'Dish Database'!L437*H1682/100</f>
        <v>18</v>
      </c>
      <c r="M1682" s="17" t="n">
        <f aca="false">'Dish Database'!M437*H1682/100</f>
        <v>22.5</v>
      </c>
      <c r="N1682" s="17" t="n">
        <f aca="false">'Dish Database'!N437*H1682/100</f>
        <v>6.75</v>
      </c>
      <c r="O1682" s="17" t="n">
        <f aca="false">'Dish Database'!O437*H1682/100</f>
        <v>3.75</v>
      </c>
      <c r="P1682" s="13" t="n">
        <f aca="false">'Dish Database'!P437*H1682/100</f>
        <v>375</v>
      </c>
    </row>
    <row r="1683" customFormat="false" ht="15" hidden="false" customHeight="false" outlineLevel="0" collapsed="false">
      <c r="A1683" s="6" t="str">
        <f aca="false">'Dish Database'!A437</f>
        <v>D436</v>
      </c>
      <c r="B1683" s="6" t="str">
        <f aca="false">'Dish Database'!B437</f>
        <v>Boiled peanut chaat</v>
      </c>
      <c r="C1683" s="6" t="str">
        <f aca="false">'Dish Database'!D437</f>
        <v>Street Food &amp; Chaat</v>
      </c>
      <c r="D1683" s="6" t="str">
        <f aca="false">'Dish Database'!F437</f>
        <v>Veg</v>
      </c>
      <c r="E1683" s="6" t="str">
        <f aca="false">'Dish Database'!E437</f>
        <v>Pan-India</v>
      </c>
      <c r="F1683" s="6" t="s">
        <v>2246</v>
      </c>
      <c r="G1683" s="6" t="s">
        <v>2267</v>
      </c>
      <c r="H1683" s="16" t="n">
        <v>200</v>
      </c>
      <c r="I1683" s="6" t="str">
        <f aca="false">'Dish Database'!I437</f>
        <v>g</v>
      </c>
      <c r="J1683" s="13" t="n">
        <f aca="false">'Dish Database'!J437*H1683/100</f>
        <v>428</v>
      </c>
      <c r="K1683" s="17" t="n">
        <f aca="false">'Dish Database'!K437*H1683/100</f>
        <v>20</v>
      </c>
      <c r="L1683" s="17" t="n">
        <f aca="false">'Dish Database'!L437*H1683/100</f>
        <v>24</v>
      </c>
      <c r="M1683" s="17" t="n">
        <f aca="false">'Dish Database'!M437*H1683/100</f>
        <v>30</v>
      </c>
      <c r="N1683" s="17" t="n">
        <f aca="false">'Dish Database'!N437*H1683/100</f>
        <v>9</v>
      </c>
      <c r="O1683" s="17" t="n">
        <f aca="false">'Dish Database'!O437*H1683/100</f>
        <v>5</v>
      </c>
      <c r="P1683" s="13" t="n">
        <f aca="false">'Dish Database'!P437*H1683/100</f>
        <v>500</v>
      </c>
    </row>
    <row r="1684" customFormat="false" ht="15" hidden="false" customHeight="false" outlineLevel="0" collapsed="false">
      <c r="A1684" s="6" t="str">
        <f aca="false">'Dish Database'!A438</f>
        <v>D437</v>
      </c>
      <c r="B1684" s="6" t="str">
        <f aca="false">'Dish Database'!B438</f>
        <v>Fruit chaat</v>
      </c>
      <c r="C1684" s="6" t="str">
        <f aca="false">'Dish Database'!D438</f>
        <v>Street Food &amp; Chaat</v>
      </c>
      <c r="D1684" s="6" t="str">
        <f aca="false">'Dish Database'!F438</f>
        <v>Veg</v>
      </c>
      <c r="E1684" s="6" t="str">
        <f aca="false">'Dish Database'!E438</f>
        <v>North</v>
      </c>
      <c r="F1684" s="6" t="s">
        <v>2243</v>
      </c>
      <c r="G1684" s="6" t="s">
        <v>2265</v>
      </c>
      <c r="H1684" s="16" t="n">
        <v>100</v>
      </c>
      <c r="I1684" s="6" t="str">
        <f aca="false">'Dish Database'!I438</f>
        <v>g</v>
      </c>
      <c r="J1684" s="13" t="n">
        <f aca="false">'Dish Database'!J438*H1684/100</f>
        <v>61.5</v>
      </c>
      <c r="K1684" s="17" t="n">
        <f aca="false">'Dish Database'!K438*H1684/100</f>
        <v>0.7</v>
      </c>
      <c r="L1684" s="17" t="n">
        <f aca="false">'Dish Database'!L438*H1684/100</f>
        <v>15</v>
      </c>
      <c r="M1684" s="17" t="n">
        <f aca="false">'Dish Database'!M438*H1684/100</f>
        <v>0.3</v>
      </c>
      <c r="N1684" s="17" t="n">
        <f aca="false">'Dish Database'!N438*H1684/100</f>
        <v>2</v>
      </c>
      <c r="O1684" s="17" t="n">
        <f aca="false">'Dish Database'!O438*H1684/100</f>
        <v>11.5</v>
      </c>
      <c r="P1684" s="13" t="n">
        <f aca="false">'Dish Database'!P438*H1684/100</f>
        <v>250</v>
      </c>
    </row>
    <row r="1685" customFormat="false" ht="15" hidden="false" customHeight="false" outlineLevel="0" collapsed="false">
      <c r="A1685" s="6" t="str">
        <f aca="false">'Dish Database'!A438</f>
        <v>D437</v>
      </c>
      <c r="B1685" s="6" t="str">
        <f aca="false">'Dish Database'!B438</f>
        <v>Fruit chaat</v>
      </c>
      <c r="C1685" s="6" t="str">
        <f aca="false">'Dish Database'!D438</f>
        <v>Street Food &amp; Chaat</v>
      </c>
      <c r="D1685" s="6" t="str">
        <f aca="false">'Dish Database'!F438</f>
        <v>Veg</v>
      </c>
      <c r="E1685" s="6" t="str">
        <f aca="false">'Dish Database'!E438</f>
        <v>North</v>
      </c>
      <c r="F1685" s="6" t="s">
        <v>103</v>
      </c>
      <c r="G1685" s="6" t="s">
        <v>2266</v>
      </c>
      <c r="H1685" s="16" t="n">
        <v>150</v>
      </c>
      <c r="I1685" s="6" t="str">
        <f aca="false">'Dish Database'!I438</f>
        <v>g</v>
      </c>
      <c r="J1685" s="13" t="n">
        <f aca="false">'Dish Database'!J438*H1685/100</f>
        <v>92.25</v>
      </c>
      <c r="K1685" s="17" t="n">
        <f aca="false">'Dish Database'!K438*H1685/100</f>
        <v>1.05</v>
      </c>
      <c r="L1685" s="17" t="n">
        <f aca="false">'Dish Database'!L438*H1685/100</f>
        <v>22.5</v>
      </c>
      <c r="M1685" s="17" t="n">
        <f aca="false">'Dish Database'!M438*H1685/100</f>
        <v>0.45</v>
      </c>
      <c r="N1685" s="17" t="n">
        <f aca="false">'Dish Database'!N438*H1685/100</f>
        <v>3</v>
      </c>
      <c r="O1685" s="17" t="n">
        <f aca="false">'Dish Database'!O438*H1685/100</f>
        <v>17.25</v>
      </c>
      <c r="P1685" s="13" t="n">
        <f aca="false">'Dish Database'!P438*H1685/100</f>
        <v>375</v>
      </c>
    </row>
    <row r="1686" customFormat="false" ht="15" hidden="false" customHeight="false" outlineLevel="0" collapsed="false">
      <c r="A1686" s="6" t="str">
        <f aca="false">'Dish Database'!A438</f>
        <v>D437</v>
      </c>
      <c r="B1686" s="6" t="str">
        <f aca="false">'Dish Database'!B438</f>
        <v>Fruit chaat</v>
      </c>
      <c r="C1686" s="6" t="str">
        <f aca="false">'Dish Database'!D438</f>
        <v>Street Food &amp; Chaat</v>
      </c>
      <c r="D1686" s="6" t="str">
        <f aca="false">'Dish Database'!F438</f>
        <v>Veg</v>
      </c>
      <c r="E1686" s="6" t="str">
        <f aca="false">'Dish Database'!E438</f>
        <v>North</v>
      </c>
      <c r="F1686" s="6" t="s">
        <v>2246</v>
      </c>
      <c r="G1686" s="6" t="s">
        <v>2267</v>
      </c>
      <c r="H1686" s="16" t="n">
        <v>200</v>
      </c>
      <c r="I1686" s="6" t="str">
        <f aca="false">'Dish Database'!I438</f>
        <v>g</v>
      </c>
      <c r="J1686" s="13" t="n">
        <f aca="false">'Dish Database'!J438*H1686/100</f>
        <v>123</v>
      </c>
      <c r="K1686" s="17" t="n">
        <f aca="false">'Dish Database'!K438*H1686/100</f>
        <v>1.4</v>
      </c>
      <c r="L1686" s="17" t="n">
        <f aca="false">'Dish Database'!L438*H1686/100</f>
        <v>30</v>
      </c>
      <c r="M1686" s="17" t="n">
        <f aca="false">'Dish Database'!M438*H1686/100</f>
        <v>0.6</v>
      </c>
      <c r="N1686" s="17" t="n">
        <f aca="false">'Dish Database'!N438*H1686/100</f>
        <v>4</v>
      </c>
      <c r="O1686" s="17" t="n">
        <f aca="false">'Dish Database'!O438*H1686/100</f>
        <v>23</v>
      </c>
      <c r="P1686" s="13" t="n">
        <f aca="false">'Dish Database'!P438*H1686/100</f>
        <v>500</v>
      </c>
    </row>
    <row r="1687" customFormat="false" ht="15" hidden="false" customHeight="false" outlineLevel="0" collapsed="false">
      <c r="A1687" s="6" t="str">
        <f aca="false">'Dish Database'!A439</f>
        <v>D438</v>
      </c>
      <c r="B1687" s="6" t="str">
        <f aca="false">'Dish Database'!B439</f>
        <v>Momos - veg, steamed</v>
      </c>
      <c r="C1687" s="6" t="str">
        <f aca="false">'Dish Database'!D439</f>
        <v>Street Food &amp; Chaat</v>
      </c>
      <c r="D1687" s="6" t="str">
        <f aca="false">'Dish Database'!F439</f>
        <v>Veg</v>
      </c>
      <c r="E1687" s="6" t="str">
        <f aca="false">'Dish Database'!E439</f>
        <v>Pan-India</v>
      </c>
      <c r="F1687" s="6" t="s">
        <v>2243</v>
      </c>
      <c r="G1687" s="6" t="s">
        <v>2594</v>
      </c>
      <c r="H1687" s="16" t="n">
        <v>100</v>
      </c>
      <c r="I1687" s="6" t="str">
        <f aca="false">'Dish Database'!I439</f>
        <v>g</v>
      </c>
      <c r="J1687" s="13" t="n">
        <f aca="false">'Dish Database'!J439*H1687/100</f>
        <v>142.6</v>
      </c>
      <c r="K1687" s="17" t="n">
        <f aca="false">'Dish Database'!K439*H1687/100</f>
        <v>5</v>
      </c>
      <c r="L1687" s="17" t="n">
        <f aca="false">'Dish Database'!L439*H1687/100</f>
        <v>25</v>
      </c>
      <c r="M1687" s="17" t="n">
        <f aca="false">'Dish Database'!M439*H1687/100</f>
        <v>3</v>
      </c>
      <c r="N1687" s="17" t="n">
        <f aca="false">'Dish Database'!N439*H1687/100</f>
        <v>2.2</v>
      </c>
      <c r="O1687" s="17" t="n">
        <f aca="false">'Dish Database'!O439*H1687/100</f>
        <v>1.5</v>
      </c>
      <c r="P1687" s="13" t="n">
        <f aca="false">'Dish Database'!P439*H1687/100</f>
        <v>400</v>
      </c>
    </row>
    <row r="1688" customFormat="false" ht="15" hidden="false" customHeight="false" outlineLevel="0" collapsed="false">
      <c r="A1688" s="6" t="str">
        <f aca="false">'Dish Database'!A439</f>
        <v>D438</v>
      </c>
      <c r="B1688" s="6" t="str">
        <f aca="false">'Dish Database'!B439</f>
        <v>Momos - veg, steamed</v>
      </c>
      <c r="C1688" s="6" t="str">
        <f aca="false">'Dish Database'!D439</f>
        <v>Street Food &amp; Chaat</v>
      </c>
      <c r="D1688" s="6" t="str">
        <f aca="false">'Dish Database'!F439</f>
        <v>Veg</v>
      </c>
      <c r="E1688" s="6" t="str">
        <f aca="false">'Dish Database'!E439</f>
        <v>Pan-India</v>
      </c>
      <c r="F1688" s="6" t="s">
        <v>103</v>
      </c>
      <c r="G1688" s="6" t="s">
        <v>2614</v>
      </c>
      <c r="H1688" s="16" t="n">
        <v>150</v>
      </c>
      <c r="I1688" s="6" t="str">
        <f aca="false">'Dish Database'!I439</f>
        <v>g</v>
      </c>
      <c r="J1688" s="13" t="n">
        <f aca="false">'Dish Database'!J439*H1688/100</f>
        <v>213.9</v>
      </c>
      <c r="K1688" s="17" t="n">
        <f aca="false">'Dish Database'!K439*H1688/100</f>
        <v>7.5</v>
      </c>
      <c r="L1688" s="17" t="n">
        <f aca="false">'Dish Database'!L439*H1688/100</f>
        <v>37.5</v>
      </c>
      <c r="M1688" s="17" t="n">
        <f aca="false">'Dish Database'!M439*H1688/100</f>
        <v>4.5</v>
      </c>
      <c r="N1688" s="17" t="n">
        <f aca="false">'Dish Database'!N439*H1688/100</f>
        <v>3.3</v>
      </c>
      <c r="O1688" s="17" t="n">
        <f aca="false">'Dish Database'!O439*H1688/100</f>
        <v>2.25</v>
      </c>
      <c r="P1688" s="13" t="n">
        <f aca="false">'Dish Database'!P439*H1688/100</f>
        <v>600</v>
      </c>
    </row>
    <row r="1689" customFormat="false" ht="15" hidden="false" customHeight="false" outlineLevel="0" collapsed="false">
      <c r="A1689" s="6" t="str">
        <f aca="false">'Dish Database'!A439</f>
        <v>D438</v>
      </c>
      <c r="B1689" s="6" t="str">
        <f aca="false">'Dish Database'!B439</f>
        <v>Momos - veg, steamed</v>
      </c>
      <c r="C1689" s="6" t="str">
        <f aca="false">'Dish Database'!D439</f>
        <v>Street Food &amp; Chaat</v>
      </c>
      <c r="D1689" s="6" t="str">
        <f aca="false">'Dish Database'!F439</f>
        <v>Veg</v>
      </c>
      <c r="E1689" s="6" t="str">
        <f aca="false">'Dish Database'!E439</f>
        <v>Pan-India</v>
      </c>
      <c r="F1689" s="6" t="s">
        <v>2246</v>
      </c>
      <c r="G1689" s="6" t="s">
        <v>2615</v>
      </c>
      <c r="H1689" s="16" t="n">
        <v>250</v>
      </c>
      <c r="I1689" s="6" t="str">
        <f aca="false">'Dish Database'!I439</f>
        <v>g</v>
      </c>
      <c r="J1689" s="13" t="n">
        <f aca="false">'Dish Database'!J439*H1689/100</f>
        <v>356.5</v>
      </c>
      <c r="K1689" s="17" t="n">
        <f aca="false">'Dish Database'!K439*H1689/100</f>
        <v>12.5</v>
      </c>
      <c r="L1689" s="17" t="n">
        <f aca="false">'Dish Database'!L439*H1689/100</f>
        <v>62.5</v>
      </c>
      <c r="M1689" s="17" t="n">
        <f aca="false">'Dish Database'!M439*H1689/100</f>
        <v>7.5</v>
      </c>
      <c r="N1689" s="17" t="n">
        <f aca="false">'Dish Database'!N439*H1689/100</f>
        <v>5.5</v>
      </c>
      <c r="O1689" s="17" t="n">
        <f aca="false">'Dish Database'!O439*H1689/100</f>
        <v>3.75</v>
      </c>
      <c r="P1689" s="13" t="n">
        <f aca="false">'Dish Database'!P439*H1689/100</f>
        <v>1000</v>
      </c>
    </row>
    <row r="1690" customFormat="false" ht="15" hidden="false" customHeight="false" outlineLevel="0" collapsed="false">
      <c r="A1690" s="6" t="str">
        <f aca="false">'Dish Database'!A440</f>
        <v>D439</v>
      </c>
      <c r="B1690" s="6" t="str">
        <f aca="false">'Dish Database'!B440</f>
        <v>Momos - veg, fried</v>
      </c>
      <c r="C1690" s="6" t="str">
        <f aca="false">'Dish Database'!D440</f>
        <v>Street Food &amp; Chaat</v>
      </c>
      <c r="D1690" s="6" t="str">
        <f aca="false">'Dish Database'!F440</f>
        <v>Veg</v>
      </c>
      <c r="E1690" s="6" t="str">
        <f aca="false">'Dish Database'!E440</f>
        <v>Pan-India</v>
      </c>
      <c r="F1690" s="6" t="s">
        <v>2243</v>
      </c>
      <c r="G1690" s="6" t="s">
        <v>2594</v>
      </c>
      <c r="H1690" s="16" t="n">
        <v>100</v>
      </c>
      <c r="I1690" s="6" t="str">
        <f aca="false">'Dish Database'!I440</f>
        <v>g</v>
      </c>
      <c r="J1690" s="13" t="n">
        <f aca="false">'Dish Database'!J440*H1690/100</f>
        <v>218.6</v>
      </c>
      <c r="K1690" s="17" t="n">
        <f aca="false">'Dish Database'!K440*H1690/100</f>
        <v>5</v>
      </c>
      <c r="L1690" s="17" t="n">
        <f aca="false">'Dish Database'!L440*H1690/100</f>
        <v>26</v>
      </c>
      <c r="M1690" s="17" t="n">
        <f aca="false">'Dish Database'!M440*H1690/100</f>
        <v>11</v>
      </c>
      <c r="N1690" s="17" t="n">
        <f aca="false">'Dish Database'!N440*H1690/100</f>
        <v>2.2</v>
      </c>
      <c r="O1690" s="17" t="n">
        <f aca="false">'Dish Database'!O440*H1690/100</f>
        <v>1.5</v>
      </c>
      <c r="P1690" s="13" t="n">
        <f aca="false">'Dish Database'!P440*H1690/100</f>
        <v>420</v>
      </c>
    </row>
    <row r="1691" customFormat="false" ht="15" hidden="false" customHeight="false" outlineLevel="0" collapsed="false">
      <c r="A1691" s="6" t="str">
        <f aca="false">'Dish Database'!A440</f>
        <v>D439</v>
      </c>
      <c r="B1691" s="6" t="str">
        <f aca="false">'Dish Database'!B440</f>
        <v>Momos - veg, fried</v>
      </c>
      <c r="C1691" s="6" t="str">
        <f aca="false">'Dish Database'!D440</f>
        <v>Street Food &amp; Chaat</v>
      </c>
      <c r="D1691" s="6" t="str">
        <f aca="false">'Dish Database'!F440</f>
        <v>Veg</v>
      </c>
      <c r="E1691" s="6" t="str">
        <f aca="false">'Dish Database'!E440</f>
        <v>Pan-India</v>
      </c>
      <c r="F1691" s="6" t="s">
        <v>103</v>
      </c>
      <c r="G1691" s="6" t="s">
        <v>2614</v>
      </c>
      <c r="H1691" s="16" t="n">
        <v>150</v>
      </c>
      <c r="I1691" s="6" t="str">
        <f aca="false">'Dish Database'!I440</f>
        <v>g</v>
      </c>
      <c r="J1691" s="13" t="n">
        <f aca="false">'Dish Database'!J440*H1691/100</f>
        <v>327.9</v>
      </c>
      <c r="K1691" s="17" t="n">
        <f aca="false">'Dish Database'!K440*H1691/100</f>
        <v>7.5</v>
      </c>
      <c r="L1691" s="17" t="n">
        <f aca="false">'Dish Database'!L440*H1691/100</f>
        <v>39</v>
      </c>
      <c r="M1691" s="17" t="n">
        <f aca="false">'Dish Database'!M440*H1691/100</f>
        <v>16.5</v>
      </c>
      <c r="N1691" s="17" t="n">
        <f aca="false">'Dish Database'!N440*H1691/100</f>
        <v>3.3</v>
      </c>
      <c r="O1691" s="17" t="n">
        <f aca="false">'Dish Database'!O440*H1691/100</f>
        <v>2.25</v>
      </c>
      <c r="P1691" s="13" t="n">
        <f aca="false">'Dish Database'!P440*H1691/100</f>
        <v>630</v>
      </c>
    </row>
    <row r="1692" customFormat="false" ht="15" hidden="false" customHeight="false" outlineLevel="0" collapsed="false">
      <c r="A1692" s="6" t="str">
        <f aca="false">'Dish Database'!A440</f>
        <v>D439</v>
      </c>
      <c r="B1692" s="6" t="str">
        <f aca="false">'Dish Database'!B440</f>
        <v>Momos - veg, fried</v>
      </c>
      <c r="C1692" s="6" t="str">
        <f aca="false">'Dish Database'!D440</f>
        <v>Street Food &amp; Chaat</v>
      </c>
      <c r="D1692" s="6" t="str">
        <f aca="false">'Dish Database'!F440</f>
        <v>Veg</v>
      </c>
      <c r="E1692" s="6" t="str">
        <f aca="false">'Dish Database'!E440</f>
        <v>Pan-India</v>
      </c>
      <c r="F1692" s="6" t="s">
        <v>2246</v>
      </c>
      <c r="G1692" s="6" t="s">
        <v>2615</v>
      </c>
      <c r="H1692" s="16" t="n">
        <v>250</v>
      </c>
      <c r="I1692" s="6" t="str">
        <f aca="false">'Dish Database'!I440</f>
        <v>g</v>
      </c>
      <c r="J1692" s="13" t="n">
        <f aca="false">'Dish Database'!J440*H1692/100</f>
        <v>546.5</v>
      </c>
      <c r="K1692" s="17" t="n">
        <f aca="false">'Dish Database'!K440*H1692/100</f>
        <v>12.5</v>
      </c>
      <c r="L1692" s="17" t="n">
        <f aca="false">'Dish Database'!L440*H1692/100</f>
        <v>65</v>
      </c>
      <c r="M1692" s="17" t="n">
        <f aca="false">'Dish Database'!M440*H1692/100</f>
        <v>27.5</v>
      </c>
      <c r="N1692" s="17" t="n">
        <f aca="false">'Dish Database'!N440*H1692/100</f>
        <v>5.5</v>
      </c>
      <c r="O1692" s="17" t="n">
        <f aca="false">'Dish Database'!O440*H1692/100</f>
        <v>3.75</v>
      </c>
      <c r="P1692" s="13" t="n">
        <f aca="false">'Dish Database'!P440*H1692/100</f>
        <v>1050</v>
      </c>
    </row>
    <row r="1693" customFormat="false" ht="15" hidden="false" customHeight="false" outlineLevel="0" collapsed="false">
      <c r="A1693" s="6" t="str">
        <f aca="false">'Dish Database'!A441</f>
        <v>D440</v>
      </c>
      <c r="B1693" s="6" t="str">
        <f aca="false">'Dish Database'!B441</f>
        <v>Momos - paneer, steamed</v>
      </c>
      <c r="C1693" s="6" t="str">
        <f aca="false">'Dish Database'!D441</f>
        <v>Street Food &amp; Chaat</v>
      </c>
      <c r="D1693" s="6" t="str">
        <f aca="false">'Dish Database'!F441</f>
        <v>Veg</v>
      </c>
      <c r="E1693" s="6" t="str">
        <f aca="false">'Dish Database'!E441</f>
        <v>Pan-India</v>
      </c>
      <c r="F1693" s="6" t="s">
        <v>2243</v>
      </c>
      <c r="G1693" s="6" t="s">
        <v>2594</v>
      </c>
      <c r="H1693" s="16" t="n">
        <v>100</v>
      </c>
      <c r="I1693" s="6" t="str">
        <f aca="false">'Dish Database'!I441</f>
        <v>g</v>
      </c>
      <c r="J1693" s="13" t="n">
        <f aca="false">'Dish Database'!J441*H1693/100</f>
        <v>175</v>
      </c>
      <c r="K1693" s="17" t="n">
        <f aca="false">'Dish Database'!K441*H1693/100</f>
        <v>8</v>
      </c>
      <c r="L1693" s="17" t="n">
        <f aca="false">'Dish Database'!L441*H1693/100</f>
        <v>23</v>
      </c>
      <c r="M1693" s="17" t="n">
        <f aca="false">'Dish Database'!M441*H1693/100</f>
        <v>6</v>
      </c>
      <c r="N1693" s="17" t="n">
        <f aca="false">'Dish Database'!N441*H1693/100</f>
        <v>1.5</v>
      </c>
      <c r="O1693" s="17" t="n">
        <f aca="false">'Dish Database'!O441*H1693/100</f>
        <v>1.5</v>
      </c>
      <c r="P1693" s="13" t="n">
        <f aca="false">'Dish Database'!P441*H1693/100</f>
        <v>420</v>
      </c>
    </row>
    <row r="1694" customFormat="false" ht="15" hidden="false" customHeight="false" outlineLevel="0" collapsed="false">
      <c r="A1694" s="6" t="str">
        <f aca="false">'Dish Database'!A441</f>
        <v>D440</v>
      </c>
      <c r="B1694" s="6" t="str">
        <f aca="false">'Dish Database'!B441</f>
        <v>Momos - paneer, steamed</v>
      </c>
      <c r="C1694" s="6" t="str">
        <f aca="false">'Dish Database'!D441</f>
        <v>Street Food &amp; Chaat</v>
      </c>
      <c r="D1694" s="6" t="str">
        <f aca="false">'Dish Database'!F441</f>
        <v>Veg</v>
      </c>
      <c r="E1694" s="6" t="str">
        <f aca="false">'Dish Database'!E441</f>
        <v>Pan-India</v>
      </c>
      <c r="F1694" s="6" t="s">
        <v>103</v>
      </c>
      <c r="G1694" s="6" t="s">
        <v>2614</v>
      </c>
      <c r="H1694" s="16" t="n">
        <v>150</v>
      </c>
      <c r="I1694" s="6" t="str">
        <f aca="false">'Dish Database'!I441</f>
        <v>g</v>
      </c>
      <c r="J1694" s="13" t="n">
        <f aca="false">'Dish Database'!J441*H1694/100</f>
        <v>262.5</v>
      </c>
      <c r="K1694" s="17" t="n">
        <f aca="false">'Dish Database'!K441*H1694/100</f>
        <v>12</v>
      </c>
      <c r="L1694" s="17" t="n">
        <f aca="false">'Dish Database'!L441*H1694/100</f>
        <v>34.5</v>
      </c>
      <c r="M1694" s="17" t="n">
        <f aca="false">'Dish Database'!M441*H1694/100</f>
        <v>9</v>
      </c>
      <c r="N1694" s="17" t="n">
        <f aca="false">'Dish Database'!N441*H1694/100</f>
        <v>2.25</v>
      </c>
      <c r="O1694" s="17" t="n">
        <f aca="false">'Dish Database'!O441*H1694/100</f>
        <v>2.25</v>
      </c>
      <c r="P1694" s="13" t="n">
        <f aca="false">'Dish Database'!P441*H1694/100</f>
        <v>630</v>
      </c>
    </row>
    <row r="1695" customFormat="false" ht="15" hidden="false" customHeight="false" outlineLevel="0" collapsed="false">
      <c r="A1695" s="6" t="str">
        <f aca="false">'Dish Database'!A441</f>
        <v>D440</v>
      </c>
      <c r="B1695" s="6" t="str">
        <f aca="false">'Dish Database'!B441</f>
        <v>Momos - paneer, steamed</v>
      </c>
      <c r="C1695" s="6" t="str">
        <f aca="false">'Dish Database'!D441</f>
        <v>Street Food &amp; Chaat</v>
      </c>
      <c r="D1695" s="6" t="str">
        <f aca="false">'Dish Database'!F441</f>
        <v>Veg</v>
      </c>
      <c r="E1695" s="6" t="str">
        <f aca="false">'Dish Database'!E441</f>
        <v>Pan-India</v>
      </c>
      <c r="F1695" s="6" t="s">
        <v>2246</v>
      </c>
      <c r="G1695" s="6" t="s">
        <v>2615</v>
      </c>
      <c r="H1695" s="16" t="n">
        <v>250</v>
      </c>
      <c r="I1695" s="6" t="str">
        <f aca="false">'Dish Database'!I441</f>
        <v>g</v>
      </c>
      <c r="J1695" s="13" t="n">
        <f aca="false">'Dish Database'!J441*H1695/100</f>
        <v>437.5</v>
      </c>
      <c r="K1695" s="17" t="n">
        <f aca="false">'Dish Database'!K441*H1695/100</f>
        <v>20</v>
      </c>
      <c r="L1695" s="17" t="n">
        <f aca="false">'Dish Database'!L441*H1695/100</f>
        <v>57.5</v>
      </c>
      <c r="M1695" s="17" t="n">
        <f aca="false">'Dish Database'!M441*H1695/100</f>
        <v>15</v>
      </c>
      <c r="N1695" s="17" t="n">
        <f aca="false">'Dish Database'!N441*H1695/100</f>
        <v>3.75</v>
      </c>
      <c r="O1695" s="17" t="n">
        <f aca="false">'Dish Database'!O441*H1695/100</f>
        <v>3.75</v>
      </c>
      <c r="P1695" s="13" t="n">
        <f aca="false">'Dish Database'!P441*H1695/100</f>
        <v>1050</v>
      </c>
    </row>
    <row r="1696" customFormat="false" ht="15" hidden="false" customHeight="false" outlineLevel="0" collapsed="false">
      <c r="A1696" s="6" t="str">
        <f aca="false">'Dish Database'!A442</f>
        <v>D441</v>
      </c>
      <c r="B1696" s="6" t="str">
        <f aca="false">'Dish Database'!B442</f>
        <v>Momos - chicken, steamed</v>
      </c>
      <c r="C1696" s="6" t="str">
        <f aca="false">'Dish Database'!D442</f>
        <v>Street Food &amp; Chaat</v>
      </c>
      <c r="D1696" s="6" t="str">
        <f aca="false">'Dish Database'!F442</f>
        <v>Non-Veg</v>
      </c>
      <c r="E1696" s="6" t="str">
        <f aca="false">'Dish Database'!E442</f>
        <v>Pan-India</v>
      </c>
      <c r="F1696" s="6" t="s">
        <v>2243</v>
      </c>
      <c r="G1696" s="6" t="s">
        <v>2594</v>
      </c>
      <c r="H1696" s="16" t="n">
        <v>100</v>
      </c>
      <c r="I1696" s="6" t="str">
        <f aca="false">'Dish Database'!I442</f>
        <v>g</v>
      </c>
      <c r="J1696" s="13" t="n">
        <f aca="false">'Dish Database'!J442*H1696/100</f>
        <v>170.6</v>
      </c>
      <c r="K1696" s="17" t="n">
        <f aca="false">'Dish Database'!K442*H1696/100</f>
        <v>10</v>
      </c>
      <c r="L1696" s="17" t="n">
        <f aca="false">'Dish Database'!L442*H1696/100</f>
        <v>22</v>
      </c>
      <c r="M1696" s="17" t="n">
        <f aca="false">'Dish Database'!M442*H1696/100</f>
        <v>5</v>
      </c>
      <c r="N1696" s="17" t="n">
        <f aca="false">'Dish Database'!N442*H1696/100</f>
        <v>1.2</v>
      </c>
      <c r="O1696" s="17" t="n">
        <f aca="false">'Dish Database'!O442*H1696/100</f>
        <v>1</v>
      </c>
      <c r="P1696" s="13" t="n">
        <f aca="false">'Dish Database'!P442*H1696/100</f>
        <v>450</v>
      </c>
    </row>
    <row r="1697" customFormat="false" ht="15" hidden="false" customHeight="false" outlineLevel="0" collapsed="false">
      <c r="A1697" s="6" t="str">
        <f aca="false">'Dish Database'!A442</f>
        <v>D441</v>
      </c>
      <c r="B1697" s="6" t="str">
        <f aca="false">'Dish Database'!B442</f>
        <v>Momos - chicken, steamed</v>
      </c>
      <c r="C1697" s="6" t="str">
        <f aca="false">'Dish Database'!D442</f>
        <v>Street Food &amp; Chaat</v>
      </c>
      <c r="D1697" s="6" t="str">
        <f aca="false">'Dish Database'!F442</f>
        <v>Non-Veg</v>
      </c>
      <c r="E1697" s="6" t="str">
        <f aca="false">'Dish Database'!E442</f>
        <v>Pan-India</v>
      </c>
      <c r="F1697" s="6" t="s">
        <v>103</v>
      </c>
      <c r="G1697" s="6" t="s">
        <v>2614</v>
      </c>
      <c r="H1697" s="16" t="n">
        <v>150</v>
      </c>
      <c r="I1697" s="6" t="str">
        <f aca="false">'Dish Database'!I442</f>
        <v>g</v>
      </c>
      <c r="J1697" s="13" t="n">
        <f aca="false">'Dish Database'!J442*H1697/100</f>
        <v>255.9</v>
      </c>
      <c r="K1697" s="17" t="n">
        <f aca="false">'Dish Database'!K442*H1697/100</f>
        <v>15</v>
      </c>
      <c r="L1697" s="17" t="n">
        <f aca="false">'Dish Database'!L442*H1697/100</f>
        <v>33</v>
      </c>
      <c r="M1697" s="17" t="n">
        <f aca="false">'Dish Database'!M442*H1697/100</f>
        <v>7.5</v>
      </c>
      <c r="N1697" s="17" t="n">
        <f aca="false">'Dish Database'!N442*H1697/100</f>
        <v>1.8</v>
      </c>
      <c r="O1697" s="17" t="n">
        <f aca="false">'Dish Database'!O442*H1697/100</f>
        <v>1.5</v>
      </c>
      <c r="P1697" s="13" t="n">
        <f aca="false">'Dish Database'!P442*H1697/100</f>
        <v>675</v>
      </c>
    </row>
    <row r="1698" customFormat="false" ht="15" hidden="false" customHeight="false" outlineLevel="0" collapsed="false">
      <c r="A1698" s="6" t="str">
        <f aca="false">'Dish Database'!A442</f>
        <v>D441</v>
      </c>
      <c r="B1698" s="6" t="str">
        <f aca="false">'Dish Database'!B442</f>
        <v>Momos - chicken, steamed</v>
      </c>
      <c r="C1698" s="6" t="str">
        <f aca="false">'Dish Database'!D442</f>
        <v>Street Food &amp; Chaat</v>
      </c>
      <c r="D1698" s="6" t="str">
        <f aca="false">'Dish Database'!F442</f>
        <v>Non-Veg</v>
      </c>
      <c r="E1698" s="6" t="str">
        <f aca="false">'Dish Database'!E442</f>
        <v>Pan-India</v>
      </c>
      <c r="F1698" s="6" t="s">
        <v>2246</v>
      </c>
      <c r="G1698" s="6" t="s">
        <v>2615</v>
      </c>
      <c r="H1698" s="16" t="n">
        <v>250</v>
      </c>
      <c r="I1698" s="6" t="str">
        <f aca="false">'Dish Database'!I442</f>
        <v>g</v>
      </c>
      <c r="J1698" s="13" t="n">
        <f aca="false">'Dish Database'!J442*H1698/100</f>
        <v>426.5</v>
      </c>
      <c r="K1698" s="17" t="n">
        <f aca="false">'Dish Database'!K442*H1698/100</f>
        <v>25</v>
      </c>
      <c r="L1698" s="17" t="n">
        <f aca="false">'Dish Database'!L442*H1698/100</f>
        <v>55</v>
      </c>
      <c r="M1698" s="17" t="n">
        <f aca="false">'Dish Database'!M442*H1698/100</f>
        <v>12.5</v>
      </c>
      <c r="N1698" s="17" t="n">
        <f aca="false">'Dish Database'!N442*H1698/100</f>
        <v>3</v>
      </c>
      <c r="O1698" s="17" t="n">
        <f aca="false">'Dish Database'!O442*H1698/100</f>
        <v>2.5</v>
      </c>
      <c r="P1698" s="13" t="n">
        <f aca="false">'Dish Database'!P442*H1698/100</f>
        <v>1125</v>
      </c>
    </row>
    <row r="1699" customFormat="false" ht="15" hidden="false" customHeight="false" outlineLevel="0" collapsed="false">
      <c r="A1699" s="6" t="str">
        <f aca="false">'Dish Database'!A443</f>
        <v>D442</v>
      </c>
      <c r="B1699" s="6" t="str">
        <f aca="false">'Dish Database'!B443</f>
        <v>Momos - chicken, fried</v>
      </c>
      <c r="C1699" s="6" t="str">
        <f aca="false">'Dish Database'!D443</f>
        <v>Street Food &amp; Chaat</v>
      </c>
      <c r="D1699" s="6" t="str">
        <f aca="false">'Dish Database'!F443</f>
        <v>Non-Veg</v>
      </c>
      <c r="E1699" s="6" t="str">
        <f aca="false">'Dish Database'!E443</f>
        <v>Pan-India</v>
      </c>
      <c r="F1699" s="6" t="s">
        <v>2243</v>
      </c>
      <c r="G1699" s="6" t="s">
        <v>2594</v>
      </c>
      <c r="H1699" s="16" t="n">
        <v>100</v>
      </c>
      <c r="I1699" s="6" t="str">
        <f aca="false">'Dish Database'!I443</f>
        <v>g</v>
      </c>
      <c r="J1699" s="13" t="n">
        <f aca="false">'Dish Database'!J443*H1699/100</f>
        <v>237.6</v>
      </c>
      <c r="K1699" s="17" t="n">
        <f aca="false">'Dish Database'!K443*H1699/100</f>
        <v>10</v>
      </c>
      <c r="L1699" s="17" t="n">
        <f aca="false">'Dish Database'!L443*H1699/100</f>
        <v>23</v>
      </c>
      <c r="M1699" s="17" t="n">
        <f aca="false">'Dish Database'!M443*H1699/100</f>
        <v>12</v>
      </c>
      <c r="N1699" s="17" t="n">
        <f aca="false">'Dish Database'!N443*H1699/100</f>
        <v>1.2</v>
      </c>
      <c r="O1699" s="17" t="n">
        <f aca="false">'Dish Database'!O443*H1699/100</f>
        <v>1</v>
      </c>
      <c r="P1699" s="13" t="n">
        <f aca="false">'Dish Database'!P443*H1699/100</f>
        <v>470</v>
      </c>
    </row>
    <row r="1700" customFormat="false" ht="15" hidden="false" customHeight="false" outlineLevel="0" collapsed="false">
      <c r="A1700" s="6" t="str">
        <f aca="false">'Dish Database'!A443</f>
        <v>D442</v>
      </c>
      <c r="B1700" s="6" t="str">
        <f aca="false">'Dish Database'!B443</f>
        <v>Momos - chicken, fried</v>
      </c>
      <c r="C1700" s="6" t="str">
        <f aca="false">'Dish Database'!D443</f>
        <v>Street Food &amp; Chaat</v>
      </c>
      <c r="D1700" s="6" t="str">
        <f aca="false">'Dish Database'!F443</f>
        <v>Non-Veg</v>
      </c>
      <c r="E1700" s="6" t="str">
        <f aca="false">'Dish Database'!E443</f>
        <v>Pan-India</v>
      </c>
      <c r="F1700" s="6" t="s">
        <v>103</v>
      </c>
      <c r="G1700" s="6" t="s">
        <v>2614</v>
      </c>
      <c r="H1700" s="16" t="n">
        <v>150</v>
      </c>
      <c r="I1700" s="6" t="str">
        <f aca="false">'Dish Database'!I443</f>
        <v>g</v>
      </c>
      <c r="J1700" s="13" t="n">
        <f aca="false">'Dish Database'!J443*H1700/100</f>
        <v>356.4</v>
      </c>
      <c r="K1700" s="17" t="n">
        <f aca="false">'Dish Database'!K443*H1700/100</f>
        <v>15</v>
      </c>
      <c r="L1700" s="17" t="n">
        <f aca="false">'Dish Database'!L443*H1700/100</f>
        <v>34.5</v>
      </c>
      <c r="M1700" s="17" t="n">
        <f aca="false">'Dish Database'!M443*H1700/100</f>
        <v>18</v>
      </c>
      <c r="N1700" s="17" t="n">
        <f aca="false">'Dish Database'!N443*H1700/100</f>
        <v>1.8</v>
      </c>
      <c r="O1700" s="17" t="n">
        <f aca="false">'Dish Database'!O443*H1700/100</f>
        <v>1.5</v>
      </c>
      <c r="P1700" s="13" t="n">
        <f aca="false">'Dish Database'!P443*H1700/100</f>
        <v>705</v>
      </c>
    </row>
    <row r="1701" customFormat="false" ht="15" hidden="false" customHeight="false" outlineLevel="0" collapsed="false">
      <c r="A1701" s="6" t="str">
        <f aca="false">'Dish Database'!A443</f>
        <v>D442</v>
      </c>
      <c r="B1701" s="6" t="str">
        <f aca="false">'Dish Database'!B443</f>
        <v>Momos - chicken, fried</v>
      </c>
      <c r="C1701" s="6" t="str">
        <f aca="false">'Dish Database'!D443</f>
        <v>Street Food &amp; Chaat</v>
      </c>
      <c r="D1701" s="6" t="str">
        <f aca="false">'Dish Database'!F443</f>
        <v>Non-Veg</v>
      </c>
      <c r="E1701" s="6" t="str">
        <f aca="false">'Dish Database'!E443</f>
        <v>Pan-India</v>
      </c>
      <c r="F1701" s="6" t="s">
        <v>2246</v>
      </c>
      <c r="G1701" s="6" t="s">
        <v>2615</v>
      </c>
      <c r="H1701" s="16" t="n">
        <v>250</v>
      </c>
      <c r="I1701" s="6" t="str">
        <f aca="false">'Dish Database'!I443</f>
        <v>g</v>
      </c>
      <c r="J1701" s="13" t="n">
        <f aca="false">'Dish Database'!J443*H1701/100</f>
        <v>594</v>
      </c>
      <c r="K1701" s="17" t="n">
        <f aca="false">'Dish Database'!K443*H1701/100</f>
        <v>25</v>
      </c>
      <c r="L1701" s="17" t="n">
        <f aca="false">'Dish Database'!L443*H1701/100</f>
        <v>57.5</v>
      </c>
      <c r="M1701" s="17" t="n">
        <f aca="false">'Dish Database'!M443*H1701/100</f>
        <v>30</v>
      </c>
      <c r="N1701" s="17" t="n">
        <f aca="false">'Dish Database'!N443*H1701/100</f>
        <v>3</v>
      </c>
      <c r="O1701" s="17" t="n">
        <f aca="false">'Dish Database'!O443*H1701/100</f>
        <v>2.5</v>
      </c>
      <c r="P1701" s="13" t="n">
        <f aca="false">'Dish Database'!P443*H1701/100</f>
        <v>1175</v>
      </c>
    </row>
    <row r="1702" customFormat="false" ht="15" hidden="false" customHeight="false" outlineLevel="0" collapsed="false">
      <c r="A1702" s="6" t="str">
        <f aca="false">'Dish Database'!A444</f>
        <v>D443</v>
      </c>
      <c r="B1702" s="6" t="str">
        <f aca="false">'Dish Database'!B444</f>
        <v>Maggi / instant masala noodles (cooked)</v>
      </c>
      <c r="C1702" s="6" t="str">
        <f aca="false">'Dish Database'!D444</f>
        <v>Street Food &amp; Chaat</v>
      </c>
      <c r="D1702" s="6" t="str">
        <f aca="false">'Dish Database'!F444</f>
        <v>Veg</v>
      </c>
      <c r="E1702" s="6" t="str">
        <f aca="false">'Dish Database'!E444</f>
        <v>Pan-India</v>
      </c>
      <c r="F1702" s="6" t="s">
        <v>2243</v>
      </c>
      <c r="G1702" s="6" t="s">
        <v>2616</v>
      </c>
      <c r="H1702" s="16" t="n">
        <v>120</v>
      </c>
      <c r="I1702" s="6" t="str">
        <f aca="false">'Dish Database'!I444</f>
        <v>g</v>
      </c>
      <c r="J1702" s="13" t="n">
        <f aca="false">'Dish Database'!J444*H1702/100</f>
        <v>151.68</v>
      </c>
      <c r="K1702" s="17" t="n">
        <f aca="false">'Dish Database'!K444*H1702/100</f>
        <v>3.36</v>
      </c>
      <c r="L1702" s="17" t="n">
        <f aca="false">'Dish Database'!L444*H1702/100</f>
        <v>21</v>
      </c>
      <c r="M1702" s="17" t="n">
        <f aca="false">'Dish Database'!M444*H1702/100</f>
        <v>6.24</v>
      </c>
      <c r="N1702" s="17" t="n">
        <f aca="false">'Dish Database'!N444*H1702/100</f>
        <v>0.96</v>
      </c>
      <c r="O1702" s="17" t="n">
        <f aca="false">'Dish Database'!O444*H1702/100</f>
        <v>0.72</v>
      </c>
      <c r="P1702" s="13" t="n">
        <f aca="false">'Dish Database'!P444*H1702/100</f>
        <v>576</v>
      </c>
    </row>
    <row r="1703" customFormat="false" ht="15" hidden="false" customHeight="false" outlineLevel="0" collapsed="false">
      <c r="A1703" s="6" t="str">
        <f aca="false">'Dish Database'!A444</f>
        <v>D443</v>
      </c>
      <c r="B1703" s="6" t="str">
        <f aca="false">'Dish Database'!B444</f>
        <v>Maggi / instant masala noodles (cooked)</v>
      </c>
      <c r="C1703" s="6" t="str">
        <f aca="false">'Dish Database'!D444</f>
        <v>Street Food &amp; Chaat</v>
      </c>
      <c r="D1703" s="6" t="str">
        <f aca="false">'Dish Database'!F444</f>
        <v>Veg</v>
      </c>
      <c r="E1703" s="6" t="str">
        <f aca="false">'Dish Database'!E444</f>
        <v>Pan-India</v>
      </c>
      <c r="F1703" s="6" t="s">
        <v>103</v>
      </c>
      <c r="G1703" s="6" t="s">
        <v>2617</v>
      </c>
      <c r="H1703" s="16" t="n">
        <v>240</v>
      </c>
      <c r="I1703" s="6" t="str">
        <f aca="false">'Dish Database'!I444</f>
        <v>g</v>
      </c>
      <c r="J1703" s="13" t="n">
        <f aca="false">'Dish Database'!J444*H1703/100</f>
        <v>303.36</v>
      </c>
      <c r="K1703" s="17" t="n">
        <f aca="false">'Dish Database'!K444*H1703/100</f>
        <v>6.72</v>
      </c>
      <c r="L1703" s="17" t="n">
        <f aca="false">'Dish Database'!L444*H1703/100</f>
        <v>42</v>
      </c>
      <c r="M1703" s="17" t="n">
        <f aca="false">'Dish Database'!M444*H1703/100</f>
        <v>12.48</v>
      </c>
      <c r="N1703" s="17" t="n">
        <f aca="false">'Dish Database'!N444*H1703/100</f>
        <v>1.92</v>
      </c>
      <c r="O1703" s="17" t="n">
        <f aca="false">'Dish Database'!O444*H1703/100</f>
        <v>1.44</v>
      </c>
      <c r="P1703" s="13" t="n">
        <f aca="false">'Dish Database'!P444*H1703/100</f>
        <v>1152</v>
      </c>
    </row>
    <row r="1704" customFormat="false" ht="15" hidden="false" customHeight="false" outlineLevel="0" collapsed="false">
      <c r="A1704" s="6" t="str">
        <f aca="false">'Dish Database'!A444</f>
        <v>D443</v>
      </c>
      <c r="B1704" s="6" t="str">
        <f aca="false">'Dish Database'!B444</f>
        <v>Maggi / instant masala noodles (cooked)</v>
      </c>
      <c r="C1704" s="6" t="str">
        <f aca="false">'Dish Database'!D444</f>
        <v>Street Food &amp; Chaat</v>
      </c>
      <c r="D1704" s="6" t="str">
        <f aca="false">'Dish Database'!F444</f>
        <v>Veg</v>
      </c>
      <c r="E1704" s="6" t="str">
        <f aca="false">'Dish Database'!E444</f>
        <v>Pan-India</v>
      </c>
      <c r="F1704" s="6" t="s">
        <v>2246</v>
      </c>
      <c r="G1704" s="6" t="s">
        <v>2618</v>
      </c>
      <c r="H1704" s="16" t="n">
        <v>480</v>
      </c>
      <c r="I1704" s="6" t="str">
        <f aca="false">'Dish Database'!I444</f>
        <v>g</v>
      </c>
      <c r="J1704" s="13" t="n">
        <f aca="false">'Dish Database'!J444*H1704/100</f>
        <v>606.72</v>
      </c>
      <c r="K1704" s="17" t="n">
        <f aca="false">'Dish Database'!K444*H1704/100</f>
        <v>13.44</v>
      </c>
      <c r="L1704" s="17" t="n">
        <f aca="false">'Dish Database'!L444*H1704/100</f>
        <v>84</v>
      </c>
      <c r="M1704" s="17" t="n">
        <f aca="false">'Dish Database'!M444*H1704/100</f>
        <v>24.96</v>
      </c>
      <c r="N1704" s="17" t="n">
        <f aca="false">'Dish Database'!N444*H1704/100</f>
        <v>3.84</v>
      </c>
      <c r="O1704" s="17" t="n">
        <f aca="false">'Dish Database'!O444*H1704/100</f>
        <v>2.88</v>
      </c>
      <c r="P1704" s="13" t="n">
        <f aca="false">'Dish Database'!P444*H1704/100</f>
        <v>2304</v>
      </c>
    </row>
    <row r="1705" customFormat="false" ht="15" hidden="false" customHeight="false" outlineLevel="0" collapsed="false">
      <c r="A1705" s="6" t="str">
        <f aca="false">'Dish Database'!A445</f>
        <v>D444</v>
      </c>
      <c r="B1705" s="6" t="str">
        <f aca="false">'Dish Database'!B445</f>
        <v>Thukpa (veg / chicken)</v>
      </c>
      <c r="C1705" s="6" t="str">
        <f aca="false">'Dish Database'!D445</f>
        <v>Street Food &amp; Chaat</v>
      </c>
      <c r="D1705" s="6" t="str">
        <f aca="false">'Dish Database'!F445</f>
        <v>Non-Veg</v>
      </c>
      <c r="E1705" s="6" t="str">
        <f aca="false">'Dish Database'!E445</f>
        <v>East</v>
      </c>
      <c r="F1705" s="6" t="s">
        <v>2243</v>
      </c>
      <c r="G1705" s="6" t="s">
        <v>2505</v>
      </c>
      <c r="H1705" s="16" t="n">
        <v>150</v>
      </c>
      <c r="I1705" s="6" t="str">
        <f aca="false">'Dish Database'!I445</f>
        <v>ml</v>
      </c>
      <c r="J1705" s="13" t="n">
        <f aca="false">'Dish Database'!J445*H1705/100</f>
        <v>98.85</v>
      </c>
      <c r="K1705" s="17" t="n">
        <f aca="false">'Dish Database'!K445*H1705/100</f>
        <v>5.25</v>
      </c>
      <c r="L1705" s="17" t="n">
        <f aca="false">'Dish Database'!L445*H1705/100</f>
        <v>15</v>
      </c>
      <c r="M1705" s="17" t="n">
        <f aca="false">'Dish Database'!M445*H1705/100</f>
        <v>2.25</v>
      </c>
      <c r="N1705" s="17" t="n">
        <f aca="false">'Dish Database'!N445*H1705/100</f>
        <v>1.2</v>
      </c>
      <c r="O1705" s="17" t="n">
        <f aca="false">'Dish Database'!O445*H1705/100</f>
        <v>1.5</v>
      </c>
      <c r="P1705" s="13" t="n">
        <f aca="false">'Dish Database'!P445*H1705/100</f>
        <v>675</v>
      </c>
    </row>
    <row r="1706" customFormat="false" ht="15" hidden="false" customHeight="false" outlineLevel="0" collapsed="false">
      <c r="A1706" s="6" t="str">
        <f aca="false">'Dish Database'!A445</f>
        <v>D444</v>
      </c>
      <c r="B1706" s="6" t="str">
        <f aca="false">'Dish Database'!B445</f>
        <v>Thukpa (veg / chicken)</v>
      </c>
      <c r="C1706" s="6" t="str">
        <f aca="false">'Dish Database'!D445</f>
        <v>Street Food &amp; Chaat</v>
      </c>
      <c r="D1706" s="6" t="str">
        <f aca="false">'Dish Database'!F445</f>
        <v>Non-Veg</v>
      </c>
      <c r="E1706" s="6" t="str">
        <f aca="false">'Dish Database'!E445</f>
        <v>East</v>
      </c>
      <c r="F1706" s="6" t="s">
        <v>103</v>
      </c>
      <c r="G1706" s="6" t="s">
        <v>2506</v>
      </c>
      <c r="H1706" s="16" t="n">
        <v>250</v>
      </c>
      <c r="I1706" s="6" t="str">
        <f aca="false">'Dish Database'!I445</f>
        <v>ml</v>
      </c>
      <c r="J1706" s="13" t="n">
        <f aca="false">'Dish Database'!J445*H1706/100</f>
        <v>164.75</v>
      </c>
      <c r="K1706" s="17" t="n">
        <f aca="false">'Dish Database'!K445*H1706/100</f>
        <v>8.75</v>
      </c>
      <c r="L1706" s="17" t="n">
        <f aca="false">'Dish Database'!L445*H1706/100</f>
        <v>25</v>
      </c>
      <c r="M1706" s="17" t="n">
        <f aca="false">'Dish Database'!M445*H1706/100</f>
        <v>3.75</v>
      </c>
      <c r="N1706" s="17" t="n">
        <f aca="false">'Dish Database'!N445*H1706/100</f>
        <v>2</v>
      </c>
      <c r="O1706" s="17" t="n">
        <f aca="false">'Dish Database'!O445*H1706/100</f>
        <v>2.5</v>
      </c>
      <c r="P1706" s="13" t="n">
        <f aca="false">'Dish Database'!P445*H1706/100</f>
        <v>1125</v>
      </c>
    </row>
    <row r="1707" customFormat="false" ht="15" hidden="false" customHeight="false" outlineLevel="0" collapsed="false">
      <c r="A1707" s="6" t="str">
        <f aca="false">'Dish Database'!A445</f>
        <v>D444</v>
      </c>
      <c r="B1707" s="6" t="str">
        <f aca="false">'Dish Database'!B445</f>
        <v>Thukpa (veg / chicken)</v>
      </c>
      <c r="C1707" s="6" t="str">
        <f aca="false">'Dish Database'!D445</f>
        <v>Street Food &amp; Chaat</v>
      </c>
      <c r="D1707" s="6" t="str">
        <f aca="false">'Dish Database'!F445</f>
        <v>Non-Veg</v>
      </c>
      <c r="E1707" s="6" t="str">
        <f aca="false">'Dish Database'!E445</f>
        <v>East</v>
      </c>
      <c r="F1707" s="6" t="s">
        <v>2246</v>
      </c>
      <c r="G1707" s="6" t="s">
        <v>2507</v>
      </c>
      <c r="H1707" s="16" t="n">
        <v>350</v>
      </c>
      <c r="I1707" s="6" t="str">
        <f aca="false">'Dish Database'!I445</f>
        <v>ml</v>
      </c>
      <c r="J1707" s="13" t="n">
        <f aca="false">'Dish Database'!J445*H1707/100</f>
        <v>230.65</v>
      </c>
      <c r="K1707" s="17" t="n">
        <f aca="false">'Dish Database'!K445*H1707/100</f>
        <v>12.25</v>
      </c>
      <c r="L1707" s="17" t="n">
        <f aca="false">'Dish Database'!L445*H1707/100</f>
        <v>35</v>
      </c>
      <c r="M1707" s="17" t="n">
        <f aca="false">'Dish Database'!M445*H1707/100</f>
        <v>5.25</v>
      </c>
      <c r="N1707" s="17" t="n">
        <f aca="false">'Dish Database'!N445*H1707/100</f>
        <v>2.8</v>
      </c>
      <c r="O1707" s="17" t="n">
        <f aca="false">'Dish Database'!O445*H1707/100</f>
        <v>3.5</v>
      </c>
      <c r="P1707" s="13" t="n">
        <f aca="false">'Dish Database'!P445*H1707/100</f>
        <v>1575</v>
      </c>
    </row>
    <row r="1708" customFormat="false" ht="15" hidden="false" customHeight="false" outlineLevel="0" collapsed="false">
      <c r="A1708" s="6" t="str">
        <f aca="false">'Dish Database'!A446</f>
        <v>D445</v>
      </c>
      <c r="B1708" s="6" t="str">
        <f aca="false">'Dish Database'!B446</f>
        <v>Veg fried rice</v>
      </c>
      <c r="C1708" s="6" t="str">
        <f aca="false">'Dish Database'!D446</f>
        <v>Indo-Chinese</v>
      </c>
      <c r="D1708" s="6" t="str">
        <f aca="false">'Dish Database'!F446</f>
        <v>Veg</v>
      </c>
      <c r="E1708" s="6" t="str">
        <f aca="false">'Dish Database'!E446</f>
        <v>Indo-Chinese</v>
      </c>
      <c r="F1708" s="6" t="s">
        <v>2243</v>
      </c>
      <c r="G1708" s="6" t="s">
        <v>2265</v>
      </c>
      <c r="H1708" s="16" t="n">
        <v>150</v>
      </c>
      <c r="I1708" s="6" t="str">
        <f aca="false">'Dish Database'!I446</f>
        <v>g</v>
      </c>
      <c r="J1708" s="13" t="n">
        <f aca="false">'Dish Database'!J446*H1708/100</f>
        <v>266.1</v>
      </c>
      <c r="K1708" s="17" t="n">
        <f aca="false">'Dish Database'!K446*H1708/100</f>
        <v>5.25</v>
      </c>
      <c r="L1708" s="17" t="n">
        <f aca="false">'Dish Database'!L446*H1708/100</f>
        <v>42</v>
      </c>
      <c r="M1708" s="17" t="n">
        <f aca="false">'Dish Database'!M446*H1708/100</f>
        <v>9</v>
      </c>
      <c r="N1708" s="17" t="n">
        <f aca="false">'Dish Database'!N446*H1708/100</f>
        <v>1.95</v>
      </c>
      <c r="O1708" s="17" t="n">
        <f aca="false">'Dish Database'!O446*H1708/100</f>
        <v>2.25</v>
      </c>
      <c r="P1708" s="13" t="n">
        <f aca="false">'Dish Database'!P446*H1708/100</f>
        <v>675</v>
      </c>
    </row>
    <row r="1709" customFormat="false" ht="15" hidden="false" customHeight="false" outlineLevel="0" collapsed="false">
      <c r="A1709" s="6" t="str">
        <f aca="false">'Dish Database'!A446</f>
        <v>D445</v>
      </c>
      <c r="B1709" s="6" t="str">
        <f aca="false">'Dish Database'!B446</f>
        <v>Veg fried rice</v>
      </c>
      <c r="C1709" s="6" t="str">
        <f aca="false">'Dish Database'!D446</f>
        <v>Indo-Chinese</v>
      </c>
      <c r="D1709" s="6" t="str">
        <f aca="false">'Dish Database'!F446</f>
        <v>Veg</v>
      </c>
      <c r="E1709" s="6" t="str">
        <f aca="false">'Dish Database'!E446</f>
        <v>Indo-Chinese</v>
      </c>
      <c r="F1709" s="6" t="s">
        <v>103</v>
      </c>
      <c r="G1709" s="6" t="s">
        <v>2423</v>
      </c>
      <c r="H1709" s="16" t="n">
        <v>250</v>
      </c>
      <c r="I1709" s="6" t="str">
        <f aca="false">'Dish Database'!I446</f>
        <v>g</v>
      </c>
      <c r="J1709" s="13" t="n">
        <f aca="false">'Dish Database'!J446*H1709/100</f>
        <v>443.5</v>
      </c>
      <c r="K1709" s="17" t="n">
        <f aca="false">'Dish Database'!K446*H1709/100</f>
        <v>8.75</v>
      </c>
      <c r="L1709" s="17" t="n">
        <f aca="false">'Dish Database'!L446*H1709/100</f>
        <v>70</v>
      </c>
      <c r="M1709" s="17" t="n">
        <f aca="false">'Dish Database'!M446*H1709/100</f>
        <v>15</v>
      </c>
      <c r="N1709" s="17" t="n">
        <f aca="false">'Dish Database'!N446*H1709/100</f>
        <v>3.25</v>
      </c>
      <c r="O1709" s="17" t="n">
        <f aca="false">'Dish Database'!O446*H1709/100</f>
        <v>3.75</v>
      </c>
      <c r="P1709" s="13" t="n">
        <f aca="false">'Dish Database'!P446*H1709/100</f>
        <v>1125</v>
      </c>
    </row>
    <row r="1710" customFormat="false" ht="15" hidden="false" customHeight="false" outlineLevel="0" collapsed="false">
      <c r="A1710" s="6" t="str">
        <f aca="false">'Dish Database'!A446</f>
        <v>D445</v>
      </c>
      <c r="B1710" s="6" t="str">
        <f aca="false">'Dish Database'!B446</f>
        <v>Veg fried rice</v>
      </c>
      <c r="C1710" s="6" t="str">
        <f aca="false">'Dish Database'!D446</f>
        <v>Indo-Chinese</v>
      </c>
      <c r="D1710" s="6" t="str">
        <f aca="false">'Dish Database'!F446</f>
        <v>Veg</v>
      </c>
      <c r="E1710" s="6" t="str">
        <f aca="false">'Dish Database'!E446</f>
        <v>Indo-Chinese</v>
      </c>
      <c r="F1710" s="6" t="s">
        <v>2246</v>
      </c>
      <c r="G1710" s="6" t="s">
        <v>2267</v>
      </c>
      <c r="H1710" s="16" t="n">
        <v>350</v>
      </c>
      <c r="I1710" s="6" t="str">
        <f aca="false">'Dish Database'!I446</f>
        <v>g</v>
      </c>
      <c r="J1710" s="13" t="n">
        <f aca="false">'Dish Database'!J446*H1710/100</f>
        <v>620.9</v>
      </c>
      <c r="K1710" s="17" t="n">
        <f aca="false">'Dish Database'!K446*H1710/100</f>
        <v>12.25</v>
      </c>
      <c r="L1710" s="17" t="n">
        <f aca="false">'Dish Database'!L446*H1710/100</f>
        <v>98</v>
      </c>
      <c r="M1710" s="17" t="n">
        <f aca="false">'Dish Database'!M446*H1710/100</f>
        <v>21</v>
      </c>
      <c r="N1710" s="17" t="n">
        <f aca="false">'Dish Database'!N446*H1710/100</f>
        <v>4.55</v>
      </c>
      <c r="O1710" s="17" t="n">
        <f aca="false">'Dish Database'!O446*H1710/100</f>
        <v>5.25</v>
      </c>
      <c r="P1710" s="13" t="n">
        <f aca="false">'Dish Database'!P446*H1710/100</f>
        <v>1575</v>
      </c>
    </row>
    <row r="1711" customFormat="false" ht="15" hidden="false" customHeight="false" outlineLevel="0" collapsed="false">
      <c r="A1711" s="6" t="str">
        <f aca="false">'Dish Database'!A446</f>
        <v>D445</v>
      </c>
      <c r="B1711" s="6" t="str">
        <f aca="false">'Dish Database'!B446</f>
        <v>Veg fried rice</v>
      </c>
      <c r="C1711" s="6" t="str">
        <f aca="false">'Dish Database'!D446</f>
        <v>Indo-Chinese</v>
      </c>
      <c r="D1711" s="6" t="str">
        <f aca="false">'Dish Database'!F446</f>
        <v>Veg</v>
      </c>
      <c r="E1711" s="6" t="str">
        <f aca="false">'Dish Database'!E446</f>
        <v>Indo-Chinese</v>
      </c>
      <c r="F1711" s="6" t="s">
        <v>2323</v>
      </c>
      <c r="G1711" s="6" t="s">
        <v>2324</v>
      </c>
      <c r="H1711" s="16" t="n">
        <v>300</v>
      </c>
      <c r="I1711" s="6" t="str">
        <f aca="false">'Dish Database'!I446</f>
        <v>g</v>
      </c>
      <c r="J1711" s="13" t="n">
        <f aca="false">'Dish Database'!J446*H1711/100</f>
        <v>532.2</v>
      </c>
      <c r="K1711" s="17" t="n">
        <f aca="false">'Dish Database'!K446*H1711/100</f>
        <v>10.5</v>
      </c>
      <c r="L1711" s="17" t="n">
        <f aca="false">'Dish Database'!L446*H1711/100</f>
        <v>84</v>
      </c>
      <c r="M1711" s="17" t="n">
        <f aca="false">'Dish Database'!M446*H1711/100</f>
        <v>18</v>
      </c>
      <c r="N1711" s="17" t="n">
        <f aca="false">'Dish Database'!N446*H1711/100</f>
        <v>3.9</v>
      </c>
      <c r="O1711" s="17" t="n">
        <f aca="false">'Dish Database'!O446*H1711/100</f>
        <v>4.5</v>
      </c>
      <c r="P1711" s="13" t="n">
        <f aca="false">'Dish Database'!P446*H1711/100</f>
        <v>1350</v>
      </c>
    </row>
    <row r="1712" customFormat="false" ht="15" hidden="false" customHeight="false" outlineLevel="0" collapsed="false">
      <c r="A1712" s="6" t="str">
        <f aca="false">'Dish Database'!A446</f>
        <v>D445</v>
      </c>
      <c r="B1712" s="6" t="str">
        <f aca="false">'Dish Database'!B446</f>
        <v>Veg fried rice</v>
      </c>
      <c r="C1712" s="6" t="str">
        <f aca="false">'Dish Database'!D446</f>
        <v>Indo-Chinese</v>
      </c>
      <c r="D1712" s="6" t="str">
        <f aca="false">'Dish Database'!F446</f>
        <v>Veg</v>
      </c>
      <c r="E1712" s="6" t="str">
        <f aca="false">'Dish Database'!E446</f>
        <v>Indo-Chinese</v>
      </c>
      <c r="F1712" s="6" t="s">
        <v>2325</v>
      </c>
      <c r="G1712" s="6" t="s">
        <v>2326</v>
      </c>
      <c r="H1712" s="16" t="n">
        <v>550</v>
      </c>
      <c r="I1712" s="6" t="str">
        <f aca="false">'Dish Database'!I446</f>
        <v>g</v>
      </c>
      <c r="J1712" s="13" t="n">
        <f aca="false">'Dish Database'!J446*H1712/100</f>
        <v>975.7</v>
      </c>
      <c r="K1712" s="17" t="n">
        <f aca="false">'Dish Database'!K446*H1712/100</f>
        <v>19.25</v>
      </c>
      <c r="L1712" s="17" t="n">
        <f aca="false">'Dish Database'!L446*H1712/100</f>
        <v>154</v>
      </c>
      <c r="M1712" s="17" t="n">
        <f aca="false">'Dish Database'!M446*H1712/100</f>
        <v>33</v>
      </c>
      <c r="N1712" s="17" t="n">
        <f aca="false">'Dish Database'!N446*H1712/100</f>
        <v>7.15</v>
      </c>
      <c r="O1712" s="17" t="n">
        <f aca="false">'Dish Database'!O446*H1712/100</f>
        <v>8.25</v>
      </c>
      <c r="P1712" s="13" t="n">
        <f aca="false">'Dish Database'!P446*H1712/100</f>
        <v>2475</v>
      </c>
    </row>
    <row r="1713" customFormat="false" ht="15" hidden="false" customHeight="false" outlineLevel="0" collapsed="false">
      <c r="A1713" s="6" t="str">
        <f aca="false">'Dish Database'!A447</f>
        <v>D446</v>
      </c>
      <c r="B1713" s="6" t="str">
        <f aca="false">'Dish Database'!B447</f>
        <v>Egg fried rice</v>
      </c>
      <c r="C1713" s="6" t="str">
        <f aca="false">'Dish Database'!D447</f>
        <v>Indo-Chinese</v>
      </c>
      <c r="D1713" s="6" t="str">
        <f aca="false">'Dish Database'!F447</f>
        <v>Egg</v>
      </c>
      <c r="E1713" s="6" t="str">
        <f aca="false">'Dish Database'!E447</f>
        <v>Indo-Chinese</v>
      </c>
      <c r="F1713" s="6" t="s">
        <v>2243</v>
      </c>
      <c r="G1713" s="6" t="s">
        <v>2265</v>
      </c>
      <c r="H1713" s="16" t="n">
        <v>150</v>
      </c>
      <c r="I1713" s="6" t="str">
        <f aca="false">'Dish Database'!I447</f>
        <v>g</v>
      </c>
      <c r="J1713" s="13" t="n">
        <f aca="false">'Dish Database'!J447*H1713/100</f>
        <v>277.5</v>
      </c>
      <c r="K1713" s="17" t="n">
        <f aca="false">'Dish Database'!K447*H1713/100</f>
        <v>7.5</v>
      </c>
      <c r="L1713" s="17" t="n">
        <f aca="false">'Dish Database'!L447*H1713/100</f>
        <v>39</v>
      </c>
      <c r="M1713" s="17" t="n">
        <f aca="false">'Dish Database'!M447*H1713/100</f>
        <v>10.5</v>
      </c>
      <c r="N1713" s="17" t="n">
        <f aca="false">'Dish Database'!N447*H1713/100</f>
        <v>1.5</v>
      </c>
      <c r="O1713" s="17" t="n">
        <f aca="false">'Dish Database'!O447*H1713/100</f>
        <v>1.8</v>
      </c>
      <c r="P1713" s="13" t="n">
        <f aca="false">'Dish Database'!P447*H1713/100</f>
        <v>720</v>
      </c>
    </row>
    <row r="1714" customFormat="false" ht="15" hidden="false" customHeight="false" outlineLevel="0" collapsed="false">
      <c r="A1714" s="6" t="str">
        <f aca="false">'Dish Database'!A447</f>
        <v>D446</v>
      </c>
      <c r="B1714" s="6" t="str">
        <f aca="false">'Dish Database'!B447</f>
        <v>Egg fried rice</v>
      </c>
      <c r="C1714" s="6" t="str">
        <f aca="false">'Dish Database'!D447</f>
        <v>Indo-Chinese</v>
      </c>
      <c r="D1714" s="6" t="str">
        <f aca="false">'Dish Database'!F447</f>
        <v>Egg</v>
      </c>
      <c r="E1714" s="6" t="str">
        <f aca="false">'Dish Database'!E447</f>
        <v>Indo-Chinese</v>
      </c>
      <c r="F1714" s="6" t="s">
        <v>103</v>
      </c>
      <c r="G1714" s="6" t="s">
        <v>2423</v>
      </c>
      <c r="H1714" s="16" t="n">
        <v>250</v>
      </c>
      <c r="I1714" s="6" t="str">
        <f aca="false">'Dish Database'!I447</f>
        <v>g</v>
      </c>
      <c r="J1714" s="13" t="n">
        <f aca="false">'Dish Database'!J447*H1714/100</f>
        <v>462.5</v>
      </c>
      <c r="K1714" s="17" t="n">
        <f aca="false">'Dish Database'!K447*H1714/100</f>
        <v>12.5</v>
      </c>
      <c r="L1714" s="17" t="n">
        <f aca="false">'Dish Database'!L447*H1714/100</f>
        <v>65</v>
      </c>
      <c r="M1714" s="17" t="n">
        <f aca="false">'Dish Database'!M447*H1714/100</f>
        <v>17.5</v>
      </c>
      <c r="N1714" s="17" t="n">
        <f aca="false">'Dish Database'!N447*H1714/100</f>
        <v>2.5</v>
      </c>
      <c r="O1714" s="17" t="n">
        <f aca="false">'Dish Database'!O447*H1714/100</f>
        <v>3</v>
      </c>
      <c r="P1714" s="13" t="n">
        <f aca="false">'Dish Database'!P447*H1714/100</f>
        <v>1200</v>
      </c>
    </row>
    <row r="1715" customFormat="false" ht="15" hidden="false" customHeight="false" outlineLevel="0" collapsed="false">
      <c r="A1715" s="6" t="str">
        <f aca="false">'Dish Database'!A447</f>
        <v>D446</v>
      </c>
      <c r="B1715" s="6" t="str">
        <f aca="false">'Dish Database'!B447</f>
        <v>Egg fried rice</v>
      </c>
      <c r="C1715" s="6" t="str">
        <f aca="false">'Dish Database'!D447</f>
        <v>Indo-Chinese</v>
      </c>
      <c r="D1715" s="6" t="str">
        <f aca="false">'Dish Database'!F447</f>
        <v>Egg</v>
      </c>
      <c r="E1715" s="6" t="str">
        <f aca="false">'Dish Database'!E447</f>
        <v>Indo-Chinese</v>
      </c>
      <c r="F1715" s="6" t="s">
        <v>2246</v>
      </c>
      <c r="G1715" s="6" t="s">
        <v>2267</v>
      </c>
      <c r="H1715" s="16" t="n">
        <v>350</v>
      </c>
      <c r="I1715" s="6" t="str">
        <f aca="false">'Dish Database'!I447</f>
        <v>g</v>
      </c>
      <c r="J1715" s="13" t="n">
        <f aca="false">'Dish Database'!J447*H1715/100</f>
        <v>647.5</v>
      </c>
      <c r="K1715" s="17" t="n">
        <f aca="false">'Dish Database'!K447*H1715/100</f>
        <v>17.5</v>
      </c>
      <c r="L1715" s="17" t="n">
        <f aca="false">'Dish Database'!L447*H1715/100</f>
        <v>91</v>
      </c>
      <c r="M1715" s="17" t="n">
        <f aca="false">'Dish Database'!M447*H1715/100</f>
        <v>24.5</v>
      </c>
      <c r="N1715" s="17" t="n">
        <f aca="false">'Dish Database'!N447*H1715/100</f>
        <v>3.5</v>
      </c>
      <c r="O1715" s="17" t="n">
        <f aca="false">'Dish Database'!O447*H1715/100</f>
        <v>4.2</v>
      </c>
      <c r="P1715" s="13" t="n">
        <f aca="false">'Dish Database'!P447*H1715/100</f>
        <v>1680</v>
      </c>
    </row>
    <row r="1716" customFormat="false" ht="15" hidden="false" customHeight="false" outlineLevel="0" collapsed="false">
      <c r="A1716" s="6" t="str">
        <f aca="false">'Dish Database'!A447</f>
        <v>D446</v>
      </c>
      <c r="B1716" s="6" t="str">
        <f aca="false">'Dish Database'!B447</f>
        <v>Egg fried rice</v>
      </c>
      <c r="C1716" s="6" t="str">
        <f aca="false">'Dish Database'!D447</f>
        <v>Indo-Chinese</v>
      </c>
      <c r="D1716" s="6" t="str">
        <f aca="false">'Dish Database'!F447</f>
        <v>Egg</v>
      </c>
      <c r="E1716" s="6" t="str">
        <f aca="false">'Dish Database'!E447</f>
        <v>Indo-Chinese</v>
      </c>
      <c r="F1716" s="6" t="s">
        <v>2323</v>
      </c>
      <c r="G1716" s="6" t="s">
        <v>2324</v>
      </c>
      <c r="H1716" s="16" t="n">
        <v>300</v>
      </c>
      <c r="I1716" s="6" t="str">
        <f aca="false">'Dish Database'!I447</f>
        <v>g</v>
      </c>
      <c r="J1716" s="13" t="n">
        <f aca="false">'Dish Database'!J447*H1716/100</f>
        <v>555</v>
      </c>
      <c r="K1716" s="17" t="n">
        <f aca="false">'Dish Database'!K447*H1716/100</f>
        <v>15</v>
      </c>
      <c r="L1716" s="17" t="n">
        <f aca="false">'Dish Database'!L447*H1716/100</f>
        <v>78</v>
      </c>
      <c r="M1716" s="17" t="n">
        <f aca="false">'Dish Database'!M447*H1716/100</f>
        <v>21</v>
      </c>
      <c r="N1716" s="17" t="n">
        <f aca="false">'Dish Database'!N447*H1716/100</f>
        <v>3</v>
      </c>
      <c r="O1716" s="17" t="n">
        <f aca="false">'Dish Database'!O447*H1716/100</f>
        <v>3.6</v>
      </c>
      <c r="P1716" s="13" t="n">
        <f aca="false">'Dish Database'!P447*H1716/100</f>
        <v>1440</v>
      </c>
    </row>
    <row r="1717" customFormat="false" ht="15" hidden="false" customHeight="false" outlineLevel="0" collapsed="false">
      <c r="A1717" s="6" t="str">
        <f aca="false">'Dish Database'!A447</f>
        <v>D446</v>
      </c>
      <c r="B1717" s="6" t="str">
        <f aca="false">'Dish Database'!B447</f>
        <v>Egg fried rice</v>
      </c>
      <c r="C1717" s="6" t="str">
        <f aca="false">'Dish Database'!D447</f>
        <v>Indo-Chinese</v>
      </c>
      <c r="D1717" s="6" t="str">
        <f aca="false">'Dish Database'!F447</f>
        <v>Egg</v>
      </c>
      <c r="E1717" s="6" t="str">
        <f aca="false">'Dish Database'!E447</f>
        <v>Indo-Chinese</v>
      </c>
      <c r="F1717" s="6" t="s">
        <v>2325</v>
      </c>
      <c r="G1717" s="6" t="s">
        <v>2326</v>
      </c>
      <c r="H1717" s="16" t="n">
        <v>550</v>
      </c>
      <c r="I1717" s="6" t="str">
        <f aca="false">'Dish Database'!I447</f>
        <v>g</v>
      </c>
      <c r="J1717" s="13" t="n">
        <f aca="false">'Dish Database'!J447*H1717/100</f>
        <v>1017.5</v>
      </c>
      <c r="K1717" s="17" t="n">
        <f aca="false">'Dish Database'!K447*H1717/100</f>
        <v>27.5</v>
      </c>
      <c r="L1717" s="17" t="n">
        <f aca="false">'Dish Database'!L447*H1717/100</f>
        <v>143</v>
      </c>
      <c r="M1717" s="17" t="n">
        <f aca="false">'Dish Database'!M447*H1717/100</f>
        <v>38.5</v>
      </c>
      <c r="N1717" s="17" t="n">
        <f aca="false">'Dish Database'!N447*H1717/100</f>
        <v>5.5</v>
      </c>
      <c r="O1717" s="17" t="n">
        <f aca="false">'Dish Database'!O447*H1717/100</f>
        <v>6.6</v>
      </c>
      <c r="P1717" s="13" t="n">
        <f aca="false">'Dish Database'!P447*H1717/100</f>
        <v>2640</v>
      </c>
    </row>
    <row r="1718" customFormat="false" ht="15" hidden="false" customHeight="false" outlineLevel="0" collapsed="false">
      <c r="A1718" s="6" t="str">
        <f aca="false">'Dish Database'!A448</f>
        <v>D447</v>
      </c>
      <c r="B1718" s="6" t="str">
        <f aca="false">'Dish Database'!B448</f>
        <v>Chicken fried rice</v>
      </c>
      <c r="C1718" s="6" t="str">
        <f aca="false">'Dish Database'!D448</f>
        <v>Indo-Chinese</v>
      </c>
      <c r="D1718" s="6" t="str">
        <f aca="false">'Dish Database'!F448</f>
        <v>Non-Veg</v>
      </c>
      <c r="E1718" s="6" t="str">
        <f aca="false">'Dish Database'!E448</f>
        <v>Indo-Chinese</v>
      </c>
      <c r="F1718" s="6" t="s">
        <v>2243</v>
      </c>
      <c r="G1718" s="6" t="s">
        <v>2265</v>
      </c>
      <c r="H1718" s="16" t="n">
        <v>150</v>
      </c>
      <c r="I1718" s="6" t="str">
        <f aca="false">'Dish Database'!I448</f>
        <v>g</v>
      </c>
      <c r="J1718" s="13" t="n">
        <f aca="false">'Dish Database'!J448*H1718/100</f>
        <v>286.5</v>
      </c>
      <c r="K1718" s="17" t="n">
        <f aca="false">'Dish Database'!K448*H1718/100</f>
        <v>11.25</v>
      </c>
      <c r="L1718" s="17" t="n">
        <f aca="false">'Dish Database'!L448*H1718/100</f>
        <v>37.5</v>
      </c>
      <c r="M1718" s="17" t="n">
        <f aca="false">'Dish Database'!M448*H1718/100</f>
        <v>10.5</v>
      </c>
      <c r="N1718" s="17" t="n">
        <f aca="false">'Dish Database'!N448*H1718/100</f>
        <v>1.5</v>
      </c>
      <c r="O1718" s="17" t="n">
        <f aca="false">'Dish Database'!O448*H1718/100</f>
        <v>1.8</v>
      </c>
      <c r="P1718" s="13" t="n">
        <f aca="false">'Dish Database'!P448*H1718/100</f>
        <v>750</v>
      </c>
    </row>
    <row r="1719" customFormat="false" ht="15" hidden="false" customHeight="false" outlineLevel="0" collapsed="false">
      <c r="A1719" s="6" t="str">
        <f aca="false">'Dish Database'!A448</f>
        <v>D447</v>
      </c>
      <c r="B1719" s="6" t="str">
        <f aca="false">'Dish Database'!B448</f>
        <v>Chicken fried rice</v>
      </c>
      <c r="C1719" s="6" t="str">
        <f aca="false">'Dish Database'!D448</f>
        <v>Indo-Chinese</v>
      </c>
      <c r="D1719" s="6" t="str">
        <f aca="false">'Dish Database'!F448</f>
        <v>Non-Veg</v>
      </c>
      <c r="E1719" s="6" t="str">
        <f aca="false">'Dish Database'!E448</f>
        <v>Indo-Chinese</v>
      </c>
      <c r="F1719" s="6" t="s">
        <v>103</v>
      </c>
      <c r="G1719" s="6" t="s">
        <v>2423</v>
      </c>
      <c r="H1719" s="16" t="n">
        <v>250</v>
      </c>
      <c r="I1719" s="6" t="str">
        <f aca="false">'Dish Database'!I448</f>
        <v>g</v>
      </c>
      <c r="J1719" s="13" t="n">
        <f aca="false">'Dish Database'!J448*H1719/100</f>
        <v>477.5</v>
      </c>
      <c r="K1719" s="17" t="n">
        <f aca="false">'Dish Database'!K448*H1719/100</f>
        <v>18.75</v>
      </c>
      <c r="L1719" s="17" t="n">
        <f aca="false">'Dish Database'!L448*H1719/100</f>
        <v>62.5</v>
      </c>
      <c r="M1719" s="17" t="n">
        <f aca="false">'Dish Database'!M448*H1719/100</f>
        <v>17.5</v>
      </c>
      <c r="N1719" s="17" t="n">
        <f aca="false">'Dish Database'!N448*H1719/100</f>
        <v>2.5</v>
      </c>
      <c r="O1719" s="17" t="n">
        <f aca="false">'Dish Database'!O448*H1719/100</f>
        <v>3</v>
      </c>
      <c r="P1719" s="13" t="n">
        <f aca="false">'Dish Database'!P448*H1719/100</f>
        <v>1250</v>
      </c>
    </row>
    <row r="1720" customFormat="false" ht="15" hidden="false" customHeight="false" outlineLevel="0" collapsed="false">
      <c r="A1720" s="6" t="str">
        <f aca="false">'Dish Database'!A448</f>
        <v>D447</v>
      </c>
      <c r="B1720" s="6" t="str">
        <f aca="false">'Dish Database'!B448</f>
        <v>Chicken fried rice</v>
      </c>
      <c r="C1720" s="6" t="str">
        <f aca="false">'Dish Database'!D448</f>
        <v>Indo-Chinese</v>
      </c>
      <c r="D1720" s="6" t="str">
        <f aca="false">'Dish Database'!F448</f>
        <v>Non-Veg</v>
      </c>
      <c r="E1720" s="6" t="str">
        <f aca="false">'Dish Database'!E448</f>
        <v>Indo-Chinese</v>
      </c>
      <c r="F1720" s="6" t="s">
        <v>2246</v>
      </c>
      <c r="G1720" s="6" t="s">
        <v>2267</v>
      </c>
      <c r="H1720" s="16" t="n">
        <v>350</v>
      </c>
      <c r="I1720" s="6" t="str">
        <f aca="false">'Dish Database'!I448</f>
        <v>g</v>
      </c>
      <c r="J1720" s="13" t="n">
        <f aca="false">'Dish Database'!J448*H1720/100</f>
        <v>668.5</v>
      </c>
      <c r="K1720" s="17" t="n">
        <f aca="false">'Dish Database'!K448*H1720/100</f>
        <v>26.25</v>
      </c>
      <c r="L1720" s="17" t="n">
        <f aca="false">'Dish Database'!L448*H1720/100</f>
        <v>87.5</v>
      </c>
      <c r="M1720" s="17" t="n">
        <f aca="false">'Dish Database'!M448*H1720/100</f>
        <v>24.5</v>
      </c>
      <c r="N1720" s="17" t="n">
        <f aca="false">'Dish Database'!N448*H1720/100</f>
        <v>3.5</v>
      </c>
      <c r="O1720" s="17" t="n">
        <f aca="false">'Dish Database'!O448*H1720/100</f>
        <v>4.2</v>
      </c>
      <c r="P1720" s="13" t="n">
        <f aca="false">'Dish Database'!P448*H1720/100</f>
        <v>1750</v>
      </c>
    </row>
    <row r="1721" customFormat="false" ht="15" hidden="false" customHeight="false" outlineLevel="0" collapsed="false">
      <c r="A1721" s="6" t="str">
        <f aca="false">'Dish Database'!A448</f>
        <v>D447</v>
      </c>
      <c r="B1721" s="6" t="str">
        <f aca="false">'Dish Database'!B448</f>
        <v>Chicken fried rice</v>
      </c>
      <c r="C1721" s="6" t="str">
        <f aca="false">'Dish Database'!D448</f>
        <v>Indo-Chinese</v>
      </c>
      <c r="D1721" s="6" t="str">
        <f aca="false">'Dish Database'!F448</f>
        <v>Non-Veg</v>
      </c>
      <c r="E1721" s="6" t="str">
        <f aca="false">'Dish Database'!E448</f>
        <v>Indo-Chinese</v>
      </c>
      <c r="F1721" s="6" t="s">
        <v>2323</v>
      </c>
      <c r="G1721" s="6" t="s">
        <v>2324</v>
      </c>
      <c r="H1721" s="16" t="n">
        <v>300</v>
      </c>
      <c r="I1721" s="6" t="str">
        <f aca="false">'Dish Database'!I448</f>
        <v>g</v>
      </c>
      <c r="J1721" s="13" t="n">
        <f aca="false">'Dish Database'!J448*H1721/100</f>
        <v>573</v>
      </c>
      <c r="K1721" s="17" t="n">
        <f aca="false">'Dish Database'!K448*H1721/100</f>
        <v>22.5</v>
      </c>
      <c r="L1721" s="17" t="n">
        <f aca="false">'Dish Database'!L448*H1721/100</f>
        <v>75</v>
      </c>
      <c r="M1721" s="17" t="n">
        <f aca="false">'Dish Database'!M448*H1721/100</f>
        <v>21</v>
      </c>
      <c r="N1721" s="17" t="n">
        <f aca="false">'Dish Database'!N448*H1721/100</f>
        <v>3</v>
      </c>
      <c r="O1721" s="17" t="n">
        <f aca="false">'Dish Database'!O448*H1721/100</f>
        <v>3.6</v>
      </c>
      <c r="P1721" s="13" t="n">
        <f aca="false">'Dish Database'!P448*H1721/100</f>
        <v>1500</v>
      </c>
    </row>
    <row r="1722" customFormat="false" ht="15" hidden="false" customHeight="false" outlineLevel="0" collapsed="false">
      <c r="A1722" s="6" t="str">
        <f aca="false">'Dish Database'!A448</f>
        <v>D447</v>
      </c>
      <c r="B1722" s="6" t="str">
        <f aca="false">'Dish Database'!B448</f>
        <v>Chicken fried rice</v>
      </c>
      <c r="C1722" s="6" t="str">
        <f aca="false">'Dish Database'!D448</f>
        <v>Indo-Chinese</v>
      </c>
      <c r="D1722" s="6" t="str">
        <f aca="false">'Dish Database'!F448</f>
        <v>Non-Veg</v>
      </c>
      <c r="E1722" s="6" t="str">
        <f aca="false">'Dish Database'!E448</f>
        <v>Indo-Chinese</v>
      </c>
      <c r="F1722" s="6" t="s">
        <v>2325</v>
      </c>
      <c r="G1722" s="6" t="s">
        <v>2326</v>
      </c>
      <c r="H1722" s="16" t="n">
        <v>550</v>
      </c>
      <c r="I1722" s="6" t="str">
        <f aca="false">'Dish Database'!I448</f>
        <v>g</v>
      </c>
      <c r="J1722" s="13" t="n">
        <f aca="false">'Dish Database'!J448*H1722/100</f>
        <v>1050.5</v>
      </c>
      <c r="K1722" s="17" t="n">
        <f aca="false">'Dish Database'!K448*H1722/100</f>
        <v>41.25</v>
      </c>
      <c r="L1722" s="17" t="n">
        <f aca="false">'Dish Database'!L448*H1722/100</f>
        <v>137.5</v>
      </c>
      <c r="M1722" s="17" t="n">
        <f aca="false">'Dish Database'!M448*H1722/100</f>
        <v>38.5</v>
      </c>
      <c r="N1722" s="17" t="n">
        <f aca="false">'Dish Database'!N448*H1722/100</f>
        <v>5.5</v>
      </c>
      <c r="O1722" s="17" t="n">
        <f aca="false">'Dish Database'!O448*H1722/100</f>
        <v>6.6</v>
      </c>
      <c r="P1722" s="13" t="n">
        <f aca="false">'Dish Database'!P448*H1722/100</f>
        <v>2750</v>
      </c>
    </row>
    <row r="1723" customFormat="false" ht="15" hidden="false" customHeight="false" outlineLevel="0" collapsed="false">
      <c r="A1723" s="6" t="str">
        <f aca="false">'Dish Database'!A449</f>
        <v>D448</v>
      </c>
      <c r="B1723" s="6" t="str">
        <f aca="false">'Dish Database'!B449</f>
        <v>Schezwan fried rice (veg)</v>
      </c>
      <c r="C1723" s="6" t="str">
        <f aca="false">'Dish Database'!D449</f>
        <v>Indo-Chinese</v>
      </c>
      <c r="D1723" s="6" t="str">
        <f aca="false">'Dish Database'!F449</f>
        <v>Veg</v>
      </c>
      <c r="E1723" s="6" t="str">
        <f aca="false">'Dish Database'!E449</f>
        <v>Indo-Chinese</v>
      </c>
      <c r="F1723" s="6" t="s">
        <v>2243</v>
      </c>
      <c r="G1723" s="6" t="s">
        <v>2265</v>
      </c>
      <c r="H1723" s="16" t="n">
        <v>150</v>
      </c>
      <c r="I1723" s="6" t="str">
        <f aca="false">'Dish Database'!I449</f>
        <v>g</v>
      </c>
      <c r="J1723" s="13" t="n">
        <f aca="false">'Dish Database'!J449*H1723/100</f>
        <v>285.75</v>
      </c>
      <c r="K1723" s="17" t="n">
        <f aca="false">'Dish Database'!K449*H1723/100</f>
        <v>5.25</v>
      </c>
      <c r="L1723" s="17" t="n">
        <f aca="false">'Dish Database'!L449*H1723/100</f>
        <v>42</v>
      </c>
      <c r="M1723" s="17" t="n">
        <f aca="false">'Dish Database'!M449*H1723/100</f>
        <v>11.25</v>
      </c>
      <c r="N1723" s="17" t="n">
        <f aca="false">'Dish Database'!N449*H1723/100</f>
        <v>2.25</v>
      </c>
      <c r="O1723" s="17" t="n">
        <f aca="false">'Dish Database'!O449*H1723/100</f>
        <v>3.75</v>
      </c>
      <c r="P1723" s="13" t="n">
        <f aca="false">'Dish Database'!P449*H1723/100</f>
        <v>900</v>
      </c>
    </row>
    <row r="1724" customFormat="false" ht="15" hidden="false" customHeight="false" outlineLevel="0" collapsed="false">
      <c r="A1724" s="6" t="str">
        <f aca="false">'Dish Database'!A449</f>
        <v>D448</v>
      </c>
      <c r="B1724" s="6" t="str">
        <f aca="false">'Dish Database'!B449</f>
        <v>Schezwan fried rice (veg)</v>
      </c>
      <c r="C1724" s="6" t="str">
        <f aca="false">'Dish Database'!D449</f>
        <v>Indo-Chinese</v>
      </c>
      <c r="D1724" s="6" t="str">
        <f aca="false">'Dish Database'!F449</f>
        <v>Veg</v>
      </c>
      <c r="E1724" s="6" t="str">
        <f aca="false">'Dish Database'!E449</f>
        <v>Indo-Chinese</v>
      </c>
      <c r="F1724" s="6" t="s">
        <v>103</v>
      </c>
      <c r="G1724" s="6" t="s">
        <v>2423</v>
      </c>
      <c r="H1724" s="16" t="n">
        <v>250</v>
      </c>
      <c r="I1724" s="6" t="str">
        <f aca="false">'Dish Database'!I449</f>
        <v>g</v>
      </c>
      <c r="J1724" s="13" t="n">
        <f aca="false">'Dish Database'!J449*H1724/100</f>
        <v>476.25</v>
      </c>
      <c r="K1724" s="17" t="n">
        <f aca="false">'Dish Database'!K449*H1724/100</f>
        <v>8.75</v>
      </c>
      <c r="L1724" s="17" t="n">
        <f aca="false">'Dish Database'!L449*H1724/100</f>
        <v>70</v>
      </c>
      <c r="M1724" s="17" t="n">
        <f aca="false">'Dish Database'!M449*H1724/100</f>
        <v>18.75</v>
      </c>
      <c r="N1724" s="17" t="n">
        <f aca="false">'Dish Database'!N449*H1724/100</f>
        <v>3.75</v>
      </c>
      <c r="O1724" s="17" t="n">
        <f aca="false">'Dish Database'!O449*H1724/100</f>
        <v>6.25</v>
      </c>
      <c r="P1724" s="13" t="n">
        <f aca="false">'Dish Database'!P449*H1724/100</f>
        <v>1500</v>
      </c>
    </row>
    <row r="1725" customFormat="false" ht="15" hidden="false" customHeight="false" outlineLevel="0" collapsed="false">
      <c r="A1725" s="6" t="str">
        <f aca="false">'Dish Database'!A449</f>
        <v>D448</v>
      </c>
      <c r="B1725" s="6" t="str">
        <f aca="false">'Dish Database'!B449</f>
        <v>Schezwan fried rice (veg)</v>
      </c>
      <c r="C1725" s="6" t="str">
        <f aca="false">'Dish Database'!D449</f>
        <v>Indo-Chinese</v>
      </c>
      <c r="D1725" s="6" t="str">
        <f aca="false">'Dish Database'!F449</f>
        <v>Veg</v>
      </c>
      <c r="E1725" s="6" t="str">
        <f aca="false">'Dish Database'!E449</f>
        <v>Indo-Chinese</v>
      </c>
      <c r="F1725" s="6" t="s">
        <v>2246</v>
      </c>
      <c r="G1725" s="6" t="s">
        <v>2267</v>
      </c>
      <c r="H1725" s="16" t="n">
        <v>350</v>
      </c>
      <c r="I1725" s="6" t="str">
        <f aca="false">'Dish Database'!I449</f>
        <v>g</v>
      </c>
      <c r="J1725" s="13" t="n">
        <f aca="false">'Dish Database'!J449*H1725/100</f>
        <v>666.75</v>
      </c>
      <c r="K1725" s="17" t="n">
        <f aca="false">'Dish Database'!K449*H1725/100</f>
        <v>12.25</v>
      </c>
      <c r="L1725" s="17" t="n">
        <f aca="false">'Dish Database'!L449*H1725/100</f>
        <v>98</v>
      </c>
      <c r="M1725" s="17" t="n">
        <f aca="false">'Dish Database'!M449*H1725/100</f>
        <v>26.25</v>
      </c>
      <c r="N1725" s="17" t="n">
        <f aca="false">'Dish Database'!N449*H1725/100</f>
        <v>5.25</v>
      </c>
      <c r="O1725" s="17" t="n">
        <f aca="false">'Dish Database'!O449*H1725/100</f>
        <v>8.75</v>
      </c>
      <c r="P1725" s="13" t="n">
        <f aca="false">'Dish Database'!P449*H1725/100</f>
        <v>2100</v>
      </c>
    </row>
    <row r="1726" customFormat="false" ht="15" hidden="false" customHeight="false" outlineLevel="0" collapsed="false">
      <c r="A1726" s="6" t="str">
        <f aca="false">'Dish Database'!A449</f>
        <v>D448</v>
      </c>
      <c r="B1726" s="6" t="str">
        <f aca="false">'Dish Database'!B449</f>
        <v>Schezwan fried rice (veg)</v>
      </c>
      <c r="C1726" s="6" t="str">
        <f aca="false">'Dish Database'!D449</f>
        <v>Indo-Chinese</v>
      </c>
      <c r="D1726" s="6" t="str">
        <f aca="false">'Dish Database'!F449</f>
        <v>Veg</v>
      </c>
      <c r="E1726" s="6" t="str">
        <f aca="false">'Dish Database'!E449</f>
        <v>Indo-Chinese</v>
      </c>
      <c r="F1726" s="6" t="s">
        <v>2323</v>
      </c>
      <c r="G1726" s="6" t="s">
        <v>2324</v>
      </c>
      <c r="H1726" s="16" t="n">
        <v>300</v>
      </c>
      <c r="I1726" s="6" t="str">
        <f aca="false">'Dish Database'!I449</f>
        <v>g</v>
      </c>
      <c r="J1726" s="13" t="n">
        <f aca="false">'Dish Database'!J449*H1726/100</f>
        <v>571.5</v>
      </c>
      <c r="K1726" s="17" t="n">
        <f aca="false">'Dish Database'!K449*H1726/100</f>
        <v>10.5</v>
      </c>
      <c r="L1726" s="17" t="n">
        <f aca="false">'Dish Database'!L449*H1726/100</f>
        <v>84</v>
      </c>
      <c r="M1726" s="17" t="n">
        <f aca="false">'Dish Database'!M449*H1726/100</f>
        <v>22.5</v>
      </c>
      <c r="N1726" s="17" t="n">
        <f aca="false">'Dish Database'!N449*H1726/100</f>
        <v>4.5</v>
      </c>
      <c r="O1726" s="17" t="n">
        <f aca="false">'Dish Database'!O449*H1726/100</f>
        <v>7.5</v>
      </c>
      <c r="P1726" s="13" t="n">
        <f aca="false">'Dish Database'!P449*H1726/100</f>
        <v>1800</v>
      </c>
    </row>
    <row r="1727" customFormat="false" ht="15" hidden="false" customHeight="false" outlineLevel="0" collapsed="false">
      <c r="A1727" s="6" t="str">
        <f aca="false">'Dish Database'!A449</f>
        <v>D448</v>
      </c>
      <c r="B1727" s="6" t="str">
        <f aca="false">'Dish Database'!B449</f>
        <v>Schezwan fried rice (veg)</v>
      </c>
      <c r="C1727" s="6" t="str">
        <f aca="false">'Dish Database'!D449</f>
        <v>Indo-Chinese</v>
      </c>
      <c r="D1727" s="6" t="str">
        <f aca="false">'Dish Database'!F449</f>
        <v>Veg</v>
      </c>
      <c r="E1727" s="6" t="str">
        <f aca="false">'Dish Database'!E449</f>
        <v>Indo-Chinese</v>
      </c>
      <c r="F1727" s="6" t="s">
        <v>2325</v>
      </c>
      <c r="G1727" s="6" t="s">
        <v>2326</v>
      </c>
      <c r="H1727" s="16" t="n">
        <v>550</v>
      </c>
      <c r="I1727" s="6" t="str">
        <f aca="false">'Dish Database'!I449</f>
        <v>g</v>
      </c>
      <c r="J1727" s="13" t="n">
        <f aca="false">'Dish Database'!J449*H1727/100</f>
        <v>1047.75</v>
      </c>
      <c r="K1727" s="17" t="n">
        <f aca="false">'Dish Database'!K449*H1727/100</f>
        <v>19.25</v>
      </c>
      <c r="L1727" s="17" t="n">
        <f aca="false">'Dish Database'!L449*H1727/100</f>
        <v>154</v>
      </c>
      <c r="M1727" s="17" t="n">
        <f aca="false">'Dish Database'!M449*H1727/100</f>
        <v>41.25</v>
      </c>
      <c r="N1727" s="17" t="n">
        <f aca="false">'Dish Database'!N449*H1727/100</f>
        <v>8.25</v>
      </c>
      <c r="O1727" s="17" t="n">
        <f aca="false">'Dish Database'!O449*H1727/100</f>
        <v>13.75</v>
      </c>
      <c r="P1727" s="13" t="n">
        <f aca="false">'Dish Database'!P449*H1727/100</f>
        <v>3300</v>
      </c>
    </row>
    <row r="1728" customFormat="false" ht="15" hidden="false" customHeight="false" outlineLevel="0" collapsed="false">
      <c r="A1728" s="6" t="str">
        <f aca="false">'Dish Database'!A450</f>
        <v>D449</v>
      </c>
      <c r="B1728" s="6" t="str">
        <f aca="false">'Dish Database'!B450</f>
        <v>Veg hakka noodles</v>
      </c>
      <c r="C1728" s="6" t="str">
        <f aca="false">'Dish Database'!D450</f>
        <v>Indo-Chinese</v>
      </c>
      <c r="D1728" s="6" t="str">
        <f aca="false">'Dish Database'!F450</f>
        <v>Veg</v>
      </c>
      <c r="E1728" s="6" t="str">
        <f aca="false">'Dish Database'!E450</f>
        <v>Indo-Chinese</v>
      </c>
      <c r="F1728" s="6" t="s">
        <v>2243</v>
      </c>
      <c r="G1728" s="6" t="s">
        <v>2265</v>
      </c>
      <c r="H1728" s="16" t="n">
        <v>150</v>
      </c>
      <c r="I1728" s="6" t="str">
        <f aca="false">'Dish Database'!I450</f>
        <v>g</v>
      </c>
      <c r="J1728" s="13" t="n">
        <f aca="false">'Dish Database'!J450*H1728/100</f>
        <v>271.35</v>
      </c>
      <c r="K1728" s="17" t="n">
        <f aca="false">'Dish Database'!K450*H1728/100</f>
        <v>6.75</v>
      </c>
      <c r="L1728" s="17" t="n">
        <f aca="false">'Dish Database'!L450*H1728/100</f>
        <v>40.5</v>
      </c>
      <c r="M1728" s="17" t="n">
        <f aca="false">'Dish Database'!M450*H1728/100</f>
        <v>9.75</v>
      </c>
      <c r="N1728" s="17" t="n">
        <f aca="false">'Dish Database'!N450*H1728/100</f>
        <v>2.7</v>
      </c>
      <c r="O1728" s="17" t="n">
        <f aca="false">'Dish Database'!O450*H1728/100</f>
        <v>3</v>
      </c>
      <c r="P1728" s="13" t="n">
        <f aca="false">'Dish Database'!P450*H1728/100</f>
        <v>750</v>
      </c>
    </row>
    <row r="1729" customFormat="false" ht="15" hidden="false" customHeight="false" outlineLevel="0" collapsed="false">
      <c r="A1729" s="6" t="str">
        <f aca="false">'Dish Database'!A450</f>
        <v>D449</v>
      </c>
      <c r="B1729" s="6" t="str">
        <f aca="false">'Dish Database'!B450</f>
        <v>Veg hakka noodles</v>
      </c>
      <c r="C1729" s="6" t="str">
        <f aca="false">'Dish Database'!D450</f>
        <v>Indo-Chinese</v>
      </c>
      <c r="D1729" s="6" t="str">
        <f aca="false">'Dish Database'!F450</f>
        <v>Veg</v>
      </c>
      <c r="E1729" s="6" t="str">
        <f aca="false">'Dish Database'!E450</f>
        <v>Indo-Chinese</v>
      </c>
      <c r="F1729" s="6" t="s">
        <v>103</v>
      </c>
      <c r="G1729" s="6" t="s">
        <v>2266</v>
      </c>
      <c r="H1729" s="16" t="n">
        <v>250</v>
      </c>
      <c r="I1729" s="6" t="str">
        <f aca="false">'Dish Database'!I450</f>
        <v>g</v>
      </c>
      <c r="J1729" s="13" t="n">
        <f aca="false">'Dish Database'!J450*H1729/100</f>
        <v>452.25</v>
      </c>
      <c r="K1729" s="17" t="n">
        <f aca="false">'Dish Database'!K450*H1729/100</f>
        <v>11.25</v>
      </c>
      <c r="L1729" s="17" t="n">
        <f aca="false">'Dish Database'!L450*H1729/100</f>
        <v>67.5</v>
      </c>
      <c r="M1729" s="17" t="n">
        <f aca="false">'Dish Database'!M450*H1729/100</f>
        <v>16.25</v>
      </c>
      <c r="N1729" s="17" t="n">
        <f aca="false">'Dish Database'!N450*H1729/100</f>
        <v>4.5</v>
      </c>
      <c r="O1729" s="17" t="n">
        <f aca="false">'Dish Database'!O450*H1729/100</f>
        <v>5</v>
      </c>
      <c r="P1729" s="13" t="n">
        <f aca="false">'Dish Database'!P450*H1729/100</f>
        <v>1250</v>
      </c>
    </row>
    <row r="1730" customFormat="false" ht="15" hidden="false" customHeight="false" outlineLevel="0" collapsed="false">
      <c r="A1730" s="6" t="str">
        <f aca="false">'Dish Database'!A450</f>
        <v>D449</v>
      </c>
      <c r="B1730" s="6" t="str">
        <f aca="false">'Dish Database'!B450</f>
        <v>Veg hakka noodles</v>
      </c>
      <c r="C1730" s="6" t="str">
        <f aca="false">'Dish Database'!D450</f>
        <v>Indo-Chinese</v>
      </c>
      <c r="D1730" s="6" t="str">
        <f aca="false">'Dish Database'!F450</f>
        <v>Veg</v>
      </c>
      <c r="E1730" s="6" t="str">
        <f aca="false">'Dish Database'!E450</f>
        <v>Indo-Chinese</v>
      </c>
      <c r="F1730" s="6" t="s">
        <v>2246</v>
      </c>
      <c r="G1730" s="6" t="s">
        <v>2267</v>
      </c>
      <c r="H1730" s="16" t="n">
        <v>350</v>
      </c>
      <c r="I1730" s="6" t="str">
        <f aca="false">'Dish Database'!I450</f>
        <v>g</v>
      </c>
      <c r="J1730" s="13" t="n">
        <f aca="false">'Dish Database'!J450*H1730/100</f>
        <v>633.15</v>
      </c>
      <c r="K1730" s="17" t="n">
        <f aca="false">'Dish Database'!K450*H1730/100</f>
        <v>15.75</v>
      </c>
      <c r="L1730" s="17" t="n">
        <f aca="false">'Dish Database'!L450*H1730/100</f>
        <v>94.5</v>
      </c>
      <c r="M1730" s="17" t="n">
        <f aca="false">'Dish Database'!M450*H1730/100</f>
        <v>22.75</v>
      </c>
      <c r="N1730" s="17" t="n">
        <f aca="false">'Dish Database'!N450*H1730/100</f>
        <v>6.3</v>
      </c>
      <c r="O1730" s="17" t="n">
        <f aca="false">'Dish Database'!O450*H1730/100</f>
        <v>7</v>
      </c>
      <c r="P1730" s="13" t="n">
        <f aca="false">'Dish Database'!P450*H1730/100</f>
        <v>1750</v>
      </c>
    </row>
    <row r="1731" customFormat="false" ht="15" hidden="false" customHeight="false" outlineLevel="0" collapsed="false">
      <c r="A1731" s="6" t="str">
        <f aca="false">'Dish Database'!A450</f>
        <v>D449</v>
      </c>
      <c r="B1731" s="6" t="str">
        <f aca="false">'Dish Database'!B450</f>
        <v>Veg hakka noodles</v>
      </c>
      <c r="C1731" s="6" t="str">
        <f aca="false">'Dish Database'!D450</f>
        <v>Indo-Chinese</v>
      </c>
      <c r="D1731" s="6" t="str">
        <f aca="false">'Dish Database'!F450</f>
        <v>Veg</v>
      </c>
      <c r="E1731" s="6" t="str">
        <f aca="false">'Dish Database'!E450</f>
        <v>Indo-Chinese</v>
      </c>
      <c r="F1731" s="6" t="s">
        <v>2323</v>
      </c>
      <c r="G1731" s="6" t="s">
        <v>2324</v>
      </c>
      <c r="H1731" s="16" t="n">
        <v>250</v>
      </c>
      <c r="I1731" s="6" t="str">
        <f aca="false">'Dish Database'!I450</f>
        <v>g</v>
      </c>
      <c r="J1731" s="13" t="n">
        <f aca="false">'Dish Database'!J450*H1731/100</f>
        <v>452.25</v>
      </c>
      <c r="K1731" s="17" t="n">
        <f aca="false">'Dish Database'!K450*H1731/100</f>
        <v>11.25</v>
      </c>
      <c r="L1731" s="17" t="n">
        <f aca="false">'Dish Database'!L450*H1731/100</f>
        <v>67.5</v>
      </c>
      <c r="M1731" s="17" t="n">
        <f aca="false">'Dish Database'!M450*H1731/100</f>
        <v>16.25</v>
      </c>
      <c r="N1731" s="17" t="n">
        <f aca="false">'Dish Database'!N450*H1731/100</f>
        <v>4.5</v>
      </c>
      <c r="O1731" s="17" t="n">
        <f aca="false">'Dish Database'!O450*H1731/100</f>
        <v>5</v>
      </c>
      <c r="P1731" s="13" t="n">
        <f aca="false">'Dish Database'!P450*H1731/100</f>
        <v>1250</v>
      </c>
    </row>
    <row r="1732" customFormat="false" ht="15" hidden="false" customHeight="false" outlineLevel="0" collapsed="false">
      <c r="A1732" s="6" t="str">
        <f aca="false">'Dish Database'!A450</f>
        <v>D449</v>
      </c>
      <c r="B1732" s="6" t="str">
        <f aca="false">'Dish Database'!B450</f>
        <v>Veg hakka noodles</v>
      </c>
      <c r="C1732" s="6" t="str">
        <f aca="false">'Dish Database'!D450</f>
        <v>Indo-Chinese</v>
      </c>
      <c r="D1732" s="6" t="str">
        <f aca="false">'Dish Database'!F450</f>
        <v>Veg</v>
      </c>
      <c r="E1732" s="6" t="str">
        <f aca="false">'Dish Database'!E450</f>
        <v>Indo-Chinese</v>
      </c>
      <c r="F1732" s="6" t="s">
        <v>2325</v>
      </c>
      <c r="G1732" s="6" t="s">
        <v>2326</v>
      </c>
      <c r="H1732" s="16" t="n">
        <v>450</v>
      </c>
      <c r="I1732" s="6" t="str">
        <f aca="false">'Dish Database'!I450</f>
        <v>g</v>
      </c>
      <c r="J1732" s="13" t="n">
        <f aca="false">'Dish Database'!J450*H1732/100</f>
        <v>814.05</v>
      </c>
      <c r="K1732" s="17" t="n">
        <f aca="false">'Dish Database'!K450*H1732/100</f>
        <v>20.25</v>
      </c>
      <c r="L1732" s="17" t="n">
        <f aca="false">'Dish Database'!L450*H1732/100</f>
        <v>121.5</v>
      </c>
      <c r="M1732" s="17" t="n">
        <f aca="false">'Dish Database'!M450*H1732/100</f>
        <v>29.25</v>
      </c>
      <c r="N1732" s="17" t="n">
        <f aca="false">'Dish Database'!N450*H1732/100</f>
        <v>8.1</v>
      </c>
      <c r="O1732" s="17" t="n">
        <f aca="false">'Dish Database'!O450*H1732/100</f>
        <v>9</v>
      </c>
      <c r="P1732" s="13" t="n">
        <f aca="false">'Dish Database'!P450*H1732/100</f>
        <v>2250</v>
      </c>
    </row>
    <row r="1733" customFormat="false" ht="15" hidden="false" customHeight="false" outlineLevel="0" collapsed="false">
      <c r="A1733" s="6" t="str">
        <f aca="false">'Dish Database'!A451</f>
        <v>D450</v>
      </c>
      <c r="B1733" s="6" t="str">
        <f aca="false">'Dish Database'!B451</f>
        <v>Chicken hakka noodles</v>
      </c>
      <c r="C1733" s="6" t="str">
        <f aca="false">'Dish Database'!D451</f>
        <v>Indo-Chinese</v>
      </c>
      <c r="D1733" s="6" t="str">
        <f aca="false">'Dish Database'!F451</f>
        <v>Non-Veg</v>
      </c>
      <c r="E1733" s="6" t="str">
        <f aca="false">'Dish Database'!E451</f>
        <v>Indo-Chinese</v>
      </c>
      <c r="F1733" s="6" t="s">
        <v>2243</v>
      </c>
      <c r="G1733" s="6" t="s">
        <v>2265</v>
      </c>
      <c r="H1733" s="16" t="n">
        <v>150</v>
      </c>
      <c r="I1733" s="6" t="str">
        <f aca="false">'Dish Database'!I451</f>
        <v>g</v>
      </c>
      <c r="J1733" s="13" t="n">
        <f aca="false">'Dish Database'!J451*H1733/100</f>
        <v>282</v>
      </c>
      <c r="K1733" s="17" t="n">
        <f aca="false">'Dish Database'!K451*H1733/100</f>
        <v>12</v>
      </c>
      <c r="L1733" s="17" t="n">
        <f aca="false">'Dish Database'!L451*H1733/100</f>
        <v>36</v>
      </c>
      <c r="M1733" s="17" t="n">
        <f aca="false">'Dish Database'!M451*H1733/100</f>
        <v>10.5</v>
      </c>
      <c r="N1733" s="17" t="n">
        <f aca="false">'Dish Database'!N451*H1733/100</f>
        <v>2.25</v>
      </c>
      <c r="O1733" s="17" t="n">
        <f aca="false">'Dish Database'!O451*H1733/100</f>
        <v>3</v>
      </c>
      <c r="P1733" s="13" t="n">
        <f aca="false">'Dish Database'!P451*H1733/100</f>
        <v>825</v>
      </c>
    </row>
    <row r="1734" customFormat="false" ht="15" hidden="false" customHeight="false" outlineLevel="0" collapsed="false">
      <c r="A1734" s="6" t="str">
        <f aca="false">'Dish Database'!A451</f>
        <v>D450</v>
      </c>
      <c r="B1734" s="6" t="str">
        <f aca="false">'Dish Database'!B451</f>
        <v>Chicken hakka noodles</v>
      </c>
      <c r="C1734" s="6" t="str">
        <f aca="false">'Dish Database'!D451</f>
        <v>Indo-Chinese</v>
      </c>
      <c r="D1734" s="6" t="str">
        <f aca="false">'Dish Database'!F451</f>
        <v>Non-Veg</v>
      </c>
      <c r="E1734" s="6" t="str">
        <f aca="false">'Dish Database'!E451</f>
        <v>Indo-Chinese</v>
      </c>
      <c r="F1734" s="6" t="s">
        <v>103</v>
      </c>
      <c r="G1734" s="6" t="s">
        <v>2266</v>
      </c>
      <c r="H1734" s="16" t="n">
        <v>250</v>
      </c>
      <c r="I1734" s="6" t="str">
        <f aca="false">'Dish Database'!I451</f>
        <v>g</v>
      </c>
      <c r="J1734" s="13" t="n">
        <f aca="false">'Dish Database'!J451*H1734/100</f>
        <v>470</v>
      </c>
      <c r="K1734" s="17" t="n">
        <f aca="false">'Dish Database'!K451*H1734/100</f>
        <v>20</v>
      </c>
      <c r="L1734" s="17" t="n">
        <f aca="false">'Dish Database'!L451*H1734/100</f>
        <v>60</v>
      </c>
      <c r="M1734" s="17" t="n">
        <f aca="false">'Dish Database'!M451*H1734/100</f>
        <v>17.5</v>
      </c>
      <c r="N1734" s="17" t="n">
        <f aca="false">'Dish Database'!N451*H1734/100</f>
        <v>3.75</v>
      </c>
      <c r="O1734" s="17" t="n">
        <f aca="false">'Dish Database'!O451*H1734/100</f>
        <v>5</v>
      </c>
      <c r="P1734" s="13" t="n">
        <f aca="false">'Dish Database'!P451*H1734/100</f>
        <v>1375</v>
      </c>
    </row>
    <row r="1735" customFormat="false" ht="15" hidden="false" customHeight="false" outlineLevel="0" collapsed="false">
      <c r="A1735" s="6" t="str">
        <f aca="false">'Dish Database'!A451</f>
        <v>D450</v>
      </c>
      <c r="B1735" s="6" t="str">
        <f aca="false">'Dish Database'!B451</f>
        <v>Chicken hakka noodles</v>
      </c>
      <c r="C1735" s="6" t="str">
        <f aca="false">'Dish Database'!D451</f>
        <v>Indo-Chinese</v>
      </c>
      <c r="D1735" s="6" t="str">
        <f aca="false">'Dish Database'!F451</f>
        <v>Non-Veg</v>
      </c>
      <c r="E1735" s="6" t="str">
        <f aca="false">'Dish Database'!E451</f>
        <v>Indo-Chinese</v>
      </c>
      <c r="F1735" s="6" t="s">
        <v>2246</v>
      </c>
      <c r="G1735" s="6" t="s">
        <v>2267</v>
      </c>
      <c r="H1735" s="16" t="n">
        <v>350</v>
      </c>
      <c r="I1735" s="6" t="str">
        <f aca="false">'Dish Database'!I451</f>
        <v>g</v>
      </c>
      <c r="J1735" s="13" t="n">
        <f aca="false">'Dish Database'!J451*H1735/100</f>
        <v>658</v>
      </c>
      <c r="K1735" s="17" t="n">
        <f aca="false">'Dish Database'!K451*H1735/100</f>
        <v>28</v>
      </c>
      <c r="L1735" s="17" t="n">
        <f aca="false">'Dish Database'!L451*H1735/100</f>
        <v>84</v>
      </c>
      <c r="M1735" s="17" t="n">
        <f aca="false">'Dish Database'!M451*H1735/100</f>
        <v>24.5</v>
      </c>
      <c r="N1735" s="17" t="n">
        <f aca="false">'Dish Database'!N451*H1735/100</f>
        <v>5.25</v>
      </c>
      <c r="O1735" s="17" t="n">
        <f aca="false">'Dish Database'!O451*H1735/100</f>
        <v>7</v>
      </c>
      <c r="P1735" s="13" t="n">
        <f aca="false">'Dish Database'!P451*H1735/100</f>
        <v>1925</v>
      </c>
    </row>
    <row r="1736" customFormat="false" ht="15" hidden="false" customHeight="false" outlineLevel="0" collapsed="false">
      <c r="A1736" s="6" t="str">
        <f aca="false">'Dish Database'!A451</f>
        <v>D450</v>
      </c>
      <c r="B1736" s="6" t="str">
        <f aca="false">'Dish Database'!B451</f>
        <v>Chicken hakka noodles</v>
      </c>
      <c r="C1736" s="6" t="str">
        <f aca="false">'Dish Database'!D451</f>
        <v>Indo-Chinese</v>
      </c>
      <c r="D1736" s="6" t="str">
        <f aca="false">'Dish Database'!F451</f>
        <v>Non-Veg</v>
      </c>
      <c r="E1736" s="6" t="str">
        <f aca="false">'Dish Database'!E451</f>
        <v>Indo-Chinese</v>
      </c>
      <c r="F1736" s="6" t="s">
        <v>2323</v>
      </c>
      <c r="G1736" s="6" t="s">
        <v>2324</v>
      </c>
      <c r="H1736" s="16" t="n">
        <v>250</v>
      </c>
      <c r="I1736" s="6" t="str">
        <f aca="false">'Dish Database'!I451</f>
        <v>g</v>
      </c>
      <c r="J1736" s="13" t="n">
        <f aca="false">'Dish Database'!J451*H1736/100</f>
        <v>470</v>
      </c>
      <c r="K1736" s="17" t="n">
        <f aca="false">'Dish Database'!K451*H1736/100</f>
        <v>20</v>
      </c>
      <c r="L1736" s="17" t="n">
        <f aca="false">'Dish Database'!L451*H1736/100</f>
        <v>60</v>
      </c>
      <c r="M1736" s="17" t="n">
        <f aca="false">'Dish Database'!M451*H1736/100</f>
        <v>17.5</v>
      </c>
      <c r="N1736" s="17" t="n">
        <f aca="false">'Dish Database'!N451*H1736/100</f>
        <v>3.75</v>
      </c>
      <c r="O1736" s="17" t="n">
        <f aca="false">'Dish Database'!O451*H1736/100</f>
        <v>5</v>
      </c>
      <c r="P1736" s="13" t="n">
        <f aca="false">'Dish Database'!P451*H1736/100</f>
        <v>1375</v>
      </c>
    </row>
    <row r="1737" customFormat="false" ht="15" hidden="false" customHeight="false" outlineLevel="0" collapsed="false">
      <c r="A1737" s="6" t="str">
        <f aca="false">'Dish Database'!A451</f>
        <v>D450</v>
      </c>
      <c r="B1737" s="6" t="str">
        <f aca="false">'Dish Database'!B451</f>
        <v>Chicken hakka noodles</v>
      </c>
      <c r="C1737" s="6" t="str">
        <f aca="false">'Dish Database'!D451</f>
        <v>Indo-Chinese</v>
      </c>
      <c r="D1737" s="6" t="str">
        <f aca="false">'Dish Database'!F451</f>
        <v>Non-Veg</v>
      </c>
      <c r="E1737" s="6" t="str">
        <f aca="false">'Dish Database'!E451</f>
        <v>Indo-Chinese</v>
      </c>
      <c r="F1737" s="6" t="s">
        <v>2325</v>
      </c>
      <c r="G1737" s="6" t="s">
        <v>2326</v>
      </c>
      <c r="H1737" s="16" t="n">
        <v>450</v>
      </c>
      <c r="I1737" s="6" t="str">
        <f aca="false">'Dish Database'!I451</f>
        <v>g</v>
      </c>
      <c r="J1737" s="13" t="n">
        <f aca="false">'Dish Database'!J451*H1737/100</f>
        <v>846</v>
      </c>
      <c r="K1737" s="17" t="n">
        <f aca="false">'Dish Database'!K451*H1737/100</f>
        <v>36</v>
      </c>
      <c r="L1737" s="17" t="n">
        <f aca="false">'Dish Database'!L451*H1737/100</f>
        <v>108</v>
      </c>
      <c r="M1737" s="17" t="n">
        <f aca="false">'Dish Database'!M451*H1737/100</f>
        <v>31.5</v>
      </c>
      <c r="N1737" s="17" t="n">
        <f aca="false">'Dish Database'!N451*H1737/100</f>
        <v>6.75</v>
      </c>
      <c r="O1737" s="17" t="n">
        <f aca="false">'Dish Database'!O451*H1737/100</f>
        <v>9</v>
      </c>
      <c r="P1737" s="13" t="n">
        <f aca="false">'Dish Database'!P451*H1737/100</f>
        <v>2475</v>
      </c>
    </row>
    <row r="1738" customFormat="false" ht="15" hidden="false" customHeight="false" outlineLevel="0" collapsed="false">
      <c r="A1738" s="6" t="str">
        <f aca="false">'Dish Database'!A452</f>
        <v>D451</v>
      </c>
      <c r="B1738" s="6" t="str">
        <f aca="false">'Dish Database'!B452</f>
        <v>Egg noodles</v>
      </c>
      <c r="C1738" s="6" t="str">
        <f aca="false">'Dish Database'!D452</f>
        <v>Indo-Chinese</v>
      </c>
      <c r="D1738" s="6" t="str">
        <f aca="false">'Dish Database'!F452</f>
        <v>Egg</v>
      </c>
      <c r="E1738" s="6" t="str">
        <f aca="false">'Dish Database'!E452</f>
        <v>Indo-Chinese</v>
      </c>
      <c r="F1738" s="6" t="s">
        <v>2243</v>
      </c>
      <c r="G1738" s="6" t="s">
        <v>2265</v>
      </c>
      <c r="H1738" s="16" t="n">
        <v>150</v>
      </c>
      <c r="I1738" s="6" t="str">
        <f aca="false">'Dish Database'!I452</f>
        <v>g</v>
      </c>
      <c r="J1738" s="13" t="n">
        <f aca="false">'Dish Database'!J452*H1738/100</f>
        <v>279</v>
      </c>
      <c r="K1738" s="17" t="n">
        <f aca="false">'Dish Database'!K452*H1738/100</f>
        <v>9.75</v>
      </c>
      <c r="L1738" s="17" t="n">
        <f aca="false">'Dish Database'!L452*H1738/100</f>
        <v>37.5</v>
      </c>
      <c r="M1738" s="17" t="n">
        <f aca="false">'Dish Database'!M452*H1738/100</f>
        <v>10.5</v>
      </c>
      <c r="N1738" s="17" t="n">
        <f aca="false">'Dish Database'!N452*H1738/100</f>
        <v>2.25</v>
      </c>
      <c r="O1738" s="17" t="n">
        <f aca="false">'Dish Database'!O452*H1738/100</f>
        <v>3</v>
      </c>
      <c r="P1738" s="13" t="n">
        <f aca="false">'Dish Database'!P452*H1738/100</f>
        <v>780</v>
      </c>
    </row>
    <row r="1739" customFormat="false" ht="15" hidden="false" customHeight="false" outlineLevel="0" collapsed="false">
      <c r="A1739" s="6" t="str">
        <f aca="false">'Dish Database'!A452</f>
        <v>D451</v>
      </c>
      <c r="B1739" s="6" t="str">
        <f aca="false">'Dish Database'!B452</f>
        <v>Egg noodles</v>
      </c>
      <c r="C1739" s="6" t="str">
        <f aca="false">'Dish Database'!D452</f>
        <v>Indo-Chinese</v>
      </c>
      <c r="D1739" s="6" t="str">
        <f aca="false">'Dish Database'!F452</f>
        <v>Egg</v>
      </c>
      <c r="E1739" s="6" t="str">
        <f aca="false">'Dish Database'!E452</f>
        <v>Indo-Chinese</v>
      </c>
      <c r="F1739" s="6" t="s">
        <v>103</v>
      </c>
      <c r="G1739" s="6" t="s">
        <v>2266</v>
      </c>
      <c r="H1739" s="16" t="n">
        <v>250</v>
      </c>
      <c r="I1739" s="6" t="str">
        <f aca="false">'Dish Database'!I452</f>
        <v>g</v>
      </c>
      <c r="J1739" s="13" t="n">
        <f aca="false">'Dish Database'!J452*H1739/100</f>
        <v>465</v>
      </c>
      <c r="K1739" s="17" t="n">
        <f aca="false">'Dish Database'!K452*H1739/100</f>
        <v>16.25</v>
      </c>
      <c r="L1739" s="17" t="n">
        <f aca="false">'Dish Database'!L452*H1739/100</f>
        <v>62.5</v>
      </c>
      <c r="M1739" s="17" t="n">
        <f aca="false">'Dish Database'!M452*H1739/100</f>
        <v>17.5</v>
      </c>
      <c r="N1739" s="17" t="n">
        <f aca="false">'Dish Database'!N452*H1739/100</f>
        <v>3.75</v>
      </c>
      <c r="O1739" s="17" t="n">
        <f aca="false">'Dish Database'!O452*H1739/100</f>
        <v>5</v>
      </c>
      <c r="P1739" s="13" t="n">
        <f aca="false">'Dish Database'!P452*H1739/100</f>
        <v>1300</v>
      </c>
    </row>
    <row r="1740" customFormat="false" ht="15" hidden="false" customHeight="false" outlineLevel="0" collapsed="false">
      <c r="A1740" s="6" t="str">
        <f aca="false">'Dish Database'!A452</f>
        <v>D451</v>
      </c>
      <c r="B1740" s="6" t="str">
        <f aca="false">'Dish Database'!B452</f>
        <v>Egg noodles</v>
      </c>
      <c r="C1740" s="6" t="str">
        <f aca="false">'Dish Database'!D452</f>
        <v>Indo-Chinese</v>
      </c>
      <c r="D1740" s="6" t="str">
        <f aca="false">'Dish Database'!F452</f>
        <v>Egg</v>
      </c>
      <c r="E1740" s="6" t="str">
        <f aca="false">'Dish Database'!E452</f>
        <v>Indo-Chinese</v>
      </c>
      <c r="F1740" s="6" t="s">
        <v>2246</v>
      </c>
      <c r="G1740" s="6" t="s">
        <v>2267</v>
      </c>
      <c r="H1740" s="16" t="n">
        <v>350</v>
      </c>
      <c r="I1740" s="6" t="str">
        <f aca="false">'Dish Database'!I452</f>
        <v>g</v>
      </c>
      <c r="J1740" s="13" t="n">
        <f aca="false">'Dish Database'!J452*H1740/100</f>
        <v>651</v>
      </c>
      <c r="K1740" s="17" t="n">
        <f aca="false">'Dish Database'!K452*H1740/100</f>
        <v>22.75</v>
      </c>
      <c r="L1740" s="17" t="n">
        <f aca="false">'Dish Database'!L452*H1740/100</f>
        <v>87.5</v>
      </c>
      <c r="M1740" s="17" t="n">
        <f aca="false">'Dish Database'!M452*H1740/100</f>
        <v>24.5</v>
      </c>
      <c r="N1740" s="17" t="n">
        <f aca="false">'Dish Database'!N452*H1740/100</f>
        <v>5.25</v>
      </c>
      <c r="O1740" s="17" t="n">
        <f aca="false">'Dish Database'!O452*H1740/100</f>
        <v>7</v>
      </c>
      <c r="P1740" s="13" t="n">
        <f aca="false">'Dish Database'!P452*H1740/100</f>
        <v>1820</v>
      </c>
    </row>
    <row r="1741" customFormat="false" ht="15" hidden="false" customHeight="false" outlineLevel="0" collapsed="false">
      <c r="A1741" s="6" t="str">
        <f aca="false">'Dish Database'!A452</f>
        <v>D451</v>
      </c>
      <c r="B1741" s="6" t="str">
        <f aca="false">'Dish Database'!B452</f>
        <v>Egg noodles</v>
      </c>
      <c r="C1741" s="6" t="str">
        <f aca="false">'Dish Database'!D452</f>
        <v>Indo-Chinese</v>
      </c>
      <c r="D1741" s="6" t="str">
        <f aca="false">'Dish Database'!F452</f>
        <v>Egg</v>
      </c>
      <c r="E1741" s="6" t="str">
        <f aca="false">'Dish Database'!E452</f>
        <v>Indo-Chinese</v>
      </c>
      <c r="F1741" s="6" t="s">
        <v>2323</v>
      </c>
      <c r="G1741" s="6" t="s">
        <v>2324</v>
      </c>
      <c r="H1741" s="16" t="n">
        <v>250</v>
      </c>
      <c r="I1741" s="6" t="str">
        <f aca="false">'Dish Database'!I452</f>
        <v>g</v>
      </c>
      <c r="J1741" s="13" t="n">
        <f aca="false">'Dish Database'!J452*H1741/100</f>
        <v>465</v>
      </c>
      <c r="K1741" s="17" t="n">
        <f aca="false">'Dish Database'!K452*H1741/100</f>
        <v>16.25</v>
      </c>
      <c r="L1741" s="17" t="n">
        <f aca="false">'Dish Database'!L452*H1741/100</f>
        <v>62.5</v>
      </c>
      <c r="M1741" s="17" t="n">
        <f aca="false">'Dish Database'!M452*H1741/100</f>
        <v>17.5</v>
      </c>
      <c r="N1741" s="17" t="n">
        <f aca="false">'Dish Database'!N452*H1741/100</f>
        <v>3.75</v>
      </c>
      <c r="O1741" s="17" t="n">
        <f aca="false">'Dish Database'!O452*H1741/100</f>
        <v>5</v>
      </c>
      <c r="P1741" s="13" t="n">
        <f aca="false">'Dish Database'!P452*H1741/100</f>
        <v>1300</v>
      </c>
    </row>
    <row r="1742" customFormat="false" ht="15" hidden="false" customHeight="false" outlineLevel="0" collapsed="false">
      <c r="A1742" s="6" t="str">
        <f aca="false">'Dish Database'!A452</f>
        <v>D451</v>
      </c>
      <c r="B1742" s="6" t="str">
        <f aca="false">'Dish Database'!B452</f>
        <v>Egg noodles</v>
      </c>
      <c r="C1742" s="6" t="str">
        <f aca="false">'Dish Database'!D452</f>
        <v>Indo-Chinese</v>
      </c>
      <c r="D1742" s="6" t="str">
        <f aca="false">'Dish Database'!F452</f>
        <v>Egg</v>
      </c>
      <c r="E1742" s="6" t="str">
        <f aca="false">'Dish Database'!E452</f>
        <v>Indo-Chinese</v>
      </c>
      <c r="F1742" s="6" t="s">
        <v>2325</v>
      </c>
      <c r="G1742" s="6" t="s">
        <v>2326</v>
      </c>
      <c r="H1742" s="16" t="n">
        <v>450</v>
      </c>
      <c r="I1742" s="6" t="str">
        <f aca="false">'Dish Database'!I452</f>
        <v>g</v>
      </c>
      <c r="J1742" s="13" t="n">
        <f aca="false">'Dish Database'!J452*H1742/100</f>
        <v>837</v>
      </c>
      <c r="K1742" s="17" t="n">
        <f aca="false">'Dish Database'!K452*H1742/100</f>
        <v>29.25</v>
      </c>
      <c r="L1742" s="17" t="n">
        <f aca="false">'Dish Database'!L452*H1742/100</f>
        <v>112.5</v>
      </c>
      <c r="M1742" s="17" t="n">
        <f aca="false">'Dish Database'!M452*H1742/100</f>
        <v>31.5</v>
      </c>
      <c r="N1742" s="17" t="n">
        <f aca="false">'Dish Database'!N452*H1742/100</f>
        <v>6.75</v>
      </c>
      <c r="O1742" s="17" t="n">
        <f aca="false">'Dish Database'!O452*H1742/100</f>
        <v>9</v>
      </c>
      <c r="P1742" s="13" t="n">
        <f aca="false">'Dish Database'!P452*H1742/100</f>
        <v>2340</v>
      </c>
    </row>
    <row r="1743" customFormat="false" ht="15" hidden="false" customHeight="false" outlineLevel="0" collapsed="false">
      <c r="A1743" s="6" t="str">
        <f aca="false">'Dish Database'!A453</f>
        <v>D452</v>
      </c>
      <c r="B1743" s="6" t="str">
        <f aca="false">'Dish Database'!B453</f>
        <v>Schezwan noodles (veg)</v>
      </c>
      <c r="C1743" s="6" t="str">
        <f aca="false">'Dish Database'!D453</f>
        <v>Indo-Chinese</v>
      </c>
      <c r="D1743" s="6" t="str">
        <f aca="false">'Dish Database'!F453</f>
        <v>Veg</v>
      </c>
      <c r="E1743" s="6" t="str">
        <f aca="false">'Dish Database'!E453</f>
        <v>Indo-Chinese</v>
      </c>
      <c r="F1743" s="6" t="s">
        <v>2243</v>
      </c>
      <c r="G1743" s="6" t="s">
        <v>2265</v>
      </c>
      <c r="H1743" s="16" t="n">
        <v>150</v>
      </c>
      <c r="I1743" s="6" t="str">
        <f aca="false">'Dish Database'!I453</f>
        <v>g</v>
      </c>
      <c r="J1743" s="13" t="n">
        <f aca="false">'Dish Database'!J453*H1743/100</f>
        <v>291.6</v>
      </c>
      <c r="K1743" s="17" t="n">
        <f aca="false">'Dish Database'!K453*H1743/100</f>
        <v>6.75</v>
      </c>
      <c r="L1743" s="17" t="n">
        <f aca="false">'Dish Database'!L453*H1743/100</f>
        <v>40.5</v>
      </c>
      <c r="M1743" s="17" t="n">
        <f aca="false">'Dish Database'!M453*H1743/100</f>
        <v>12</v>
      </c>
      <c r="N1743" s="17" t="n">
        <f aca="false">'Dish Database'!N453*H1743/100</f>
        <v>2.7</v>
      </c>
      <c r="O1743" s="17" t="n">
        <f aca="false">'Dish Database'!O453*H1743/100</f>
        <v>4.5</v>
      </c>
      <c r="P1743" s="13" t="n">
        <f aca="false">'Dish Database'!P453*H1743/100</f>
        <v>975</v>
      </c>
    </row>
    <row r="1744" customFormat="false" ht="15" hidden="false" customHeight="false" outlineLevel="0" collapsed="false">
      <c r="A1744" s="6" t="str">
        <f aca="false">'Dish Database'!A453</f>
        <v>D452</v>
      </c>
      <c r="B1744" s="6" t="str">
        <f aca="false">'Dish Database'!B453</f>
        <v>Schezwan noodles (veg)</v>
      </c>
      <c r="C1744" s="6" t="str">
        <f aca="false">'Dish Database'!D453</f>
        <v>Indo-Chinese</v>
      </c>
      <c r="D1744" s="6" t="str">
        <f aca="false">'Dish Database'!F453</f>
        <v>Veg</v>
      </c>
      <c r="E1744" s="6" t="str">
        <f aca="false">'Dish Database'!E453</f>
        <v>Indo-Chinese</v>
      </c>
      <c r="F1744" s="6" t="s">
        <v>103</v>
      </c>
      <c r="G1744" s="6" t="s">
        <v>2266</v>
      </c>
      <c r="H1744" s="16" t="n">
        <v>250</v>
      </c>
      <c r="I1744" s="6" t="str">
        <f aca="false">'Dish Database'!I453</f>
        <v>g</v>
      </c>
      <c r="J1744" s="13" t="n">
        <f aca="false">'Dish Database'!J453*H1744/100</f>
        <v>486</v>
      </c>
      <c r="K1744" s="17" t="n">
        <f aca="false">'Dish Database'!K453*H1744/100</f>
        <v>11.25</v>
      </c>
      <c r="L1744" s="17" t="n">
        <f aca="false">'Dish Database'!L453*H1744/100</f>
        <v>67.5</v>
      </c>
      <c r="M1744" s="17" t="n">
        <f aca="false">'Dish Database'!M453*H1744/100</f>
        <v>20</v>
      </c>
      <c r="N1744" s="17" t="n">
        <f aca="false">'Dish Database'!N453*H1744/100</f>
        <v>4.5</v>
      </c>
      <c r="O1744" s="17" t="n">
        <f aca="false">'Dish Database'!O453*H1744/100</f>
        <v>7.5</v>
      </c>
      <c r="P1744" s="13" t="n">
        <f aca="false">'Dish Database'!P453*H1744/100</f>
        <v>1625</v>
      </c>
    </row>
    <row r="1745" customFormat="false" ht="15" hidden="false" customHeight="false" outlineLevel="0" collapsed="false">
      <c r="A1745" s="6" t="str">
        <f aca="false">'Dish Database'!A453</f>
        <v>D452</v>
      </c>
      <c r="B1745" s="6" t="str">
        <f aca="false">'Dish Database'!B453</f>
        <v>Schezwan noodles (veg)</v>
      </c>
      <c r="C1745" s="6" t="str">
        <f aca="false">'Dish Database'!D453</f>
        <v>Indo-Chinese</v>
      </c>
      <c r="D1745" s="6" t="str">
        <f aca="false">'Dish Database'!F453</f>
        <v>Veg</v>
      </c>
      <c r="E1745" s="6" t="str">
        <f aca="false">'Dish Database'!E453</f>
        <v>Indo-Chinese</v>
      </c>
      <c r="F1745" s="6" t="s">
        <v>2246</v>
      </c>
      <c r="G1745" s="6" t="s">
        <v>2267</v>
      </c>
      <c r="H1745" s="16" t="n">
        <v>350</v>
      </c>
      <c r="I1745" s="6" t="str">
        <f aca="false">'Dish Database'!I453</f>
        <v>g</v>
      </c>
      <c r="J1745" s="13" t="n">
        <f aca="false">'Dish Database'!J453*H1745/100</f>
        <v>680.4</v>
      </c>
      <c r="K1745" s="17" t="n">
        <f aca="false">'Dish Database'!K453*H1745/100</f>
        <v>15.75</v>
      </c>
      <c r="L1745" s="17" t="n">
        <f aca="false">'Dish Database'!L453*H1745/100</f>
        <v>94.5</v>
      </c>
      <c r="M1745" s="17" t="n">
        <f aca="false">'Dish Database'!M453*H1745/100</f>
        <v>28</v>
      </c>
      <c r="N1745" s="17" t="n">
        <f aca="false">'Dish Database'!N453*H1745/100</f>
        <v>6.3</v>
      </c>
      <c r="O1745" s="17" t="n">
        <f aca="false">'Dish Database'!O453*H1745/100</f>
        <v>10.5</v>
      </c>
      <c r="P1745" s="13" t="n">
        <f aca="false">'Dish Database'!P453*H1745/100</f>
        <v>2275</v>
      </c>
    </row>
    <row r="1746" customFormat="false" ht="15" hidden="false" customHeight="false" outlineLevel="0" collapsed="false">
      <c r="A1746" s="6" t="str">
        <f aca="false">'Dish Database'!A453</f>
        <v>D452</v>
      </c>
      <c r="B1746" s="6" t="str">
        <f aca="false">'Dish Database'!B453</f>
        <v>Schezwan noodles (veg)</v>
      </c>
      <c r="C1746" s="6" t="str">
        <f aca="false">'Dish Database'!D453</f>
        <v>Indo-Chinese</v>
      </c>
      <c r="D1746" s="6" t="str">
        <f aca="false">'Dish Database'!F453</f>
        <v>Veg</v>
      </c>
      <c r="E1746" s="6" t="str">
        <f aca="false">'Dish Database'!E453</f>
        <v>Indo-Chinese</v>
      </c>
      <c r="F1746" s="6" t="s">
        <v>2323</v>
      </c>
      <c r="G1746" s="6" t="s">
        <v>2324</v>
      </c>
      <c r="H1746" s="16" t="n">
        <v>250</v>
      </c>
      <c r="I1746" s="6" t="str">
        <f aca="false">'Dish Database'!I453</f>
        <v>g</v>
      </c>
      <c r="J1746" s="13" t="n">
        <f aca="false">'Dish Database'!J453*H1746/100</f>
        <v>486</v>
      </c>
      <c r="K1746" s="17" t="n">
        <f aca="false">'Dish Database'!K453*H1746/100</f>
        <v>11.25</v>
      </c>
      <c r="L1746" s="17" t="n">
        <f aca="false">'Dish Database'!L453*H1746/100</f>
        <v>67.5</v>
      </c>
      <c r="M1746" s="17" t="n">
        <f aca="false">'Dish Database'!M453*H1746/100</f>
        <v>20</v>
      </c>
      <c r="N1746" s="17" t="n">
        <f aca="false">'Dish Database'!N453*H1746/100</f>
        <v>4.5</v>
      </c>
      <c r="O1746" s="17" t="n">
        <f aca="false">'Dish Database'!O453*H1746/100</f>
        <v>7.5</v>
      </c>
      <c r="P1746" s="13" t="n">
        <f aca="false">'Dish Database'!P453*H1746/100</f>
        <v>1625</v>
      </c>
    </row>
    <row r="1747" customFormat="false" ht="15" hidden="false" customHeight="false" outlineLevel="0" collapsed="false">
      <c r="A1747" s="6" t="str">
        <f aca="false">'Dish Database'!A453</f>
        <v>D452</v>
      </c>
      <c r="B1747" s="6" t="str">
        <f aca="false">'Dish Database'!B453</f>
        <v>Schezwan noodles (veg)</v>
      </c>
      <c r="C1747" s="6" t="str">
        <f aca="false">'Dish Database'!D453</f>
        <v>Indo-Chinese</v>
      </c>
      <c r="D1747" s="6" t="str">
        <f aca="false">'Dish Database'!F453</f>
        <v>Veg</v>
      </c>
      <c r="E1747" s="6" t="str">
        <f aca="false">'Dish Database'!E453</f>
        <v>Indo-Chinese</v>
      </c>
      <c r="F1747" s="6" t="s">
        <v>2325</v>
      </c>
      <c r="G1747" s="6" t="s">
        <v>2326</v>
      </c>
      <c r="H1747" s="16" t="n">
        <v>450</v>
      </c>
      <c r="I1747" s="6" t="str">
        <f aca="false">'Dish Database'!I453</f>
        <v>g</v>
      </c>
      <c r="J1747" s="13" t="n">
        <f aca="false">'Dish Database'!J453*H1747/100</f>
        <v>874.8</v>
      </c>
      <c r="K1747" s="17" t="n">
        <f aca="false">'Dish Database'!K453*H1747/100</f>
        <v>20.25</v>
      </c>
      <c r="L1747" s="17" t="n">
        <f aca="false">'Dish Database'!L453*H1747/100</f>
        <v>121.5</v>
      </c>
      <c r="M1747" s="17" t="n">
        <f aca="false">'Dish Database'!M453*H1747/100</f>
        <v>36</v>
      </c>
      <c r="N1747" s="17" t="n">
        <f aca="false">'Dish Database'!N453*H1747/100</f>
        <v>8.1</v>
      </c>
      <c r="O1747" s="17" t="n">
        <f aca="false">'Dish Database'!O453*H1747/100</f>
        <v>13.5</v>
      </c>
      <c r="P1747" s="13" t="n">
        <f aca="false">'Dish Database'!P453*H1747/100</f>
        <v>2925</v>
      </c>
    </row>
    <row r="1748" customFormat="false" ht="15" hidden="false" customHeight="false" outlineLevel="0" collapsed="false">
      <c r="A1748" s="6" t="str">
        <f aca="false">'Dish Database'!A454</f>
        <v>D453</v>
      </c>
      <c r="B1748" s="6" t="str">
        <f aca="false">'Dish Database'!B454</f>
        <v>American chopsuey</v>
      </c>
      <c r="C1748" s="6" t="str">
        <f aca="false">'Dish Database'!D454</f>
        <v>Indo-Chinese</v>
      </c>
      <c r="D1748" s="6" t="str">
        <f aca="false">'Dish Database'!F454</f>
        <v>Veg</v>
      </c>
      <c r="E1748" s="6" t="str">
        <f aca="false">'Dish Database'!E454</f>
        <v>Indo-Chinese</v>
      </c>
      <c r="F1748" s="6" t="s">
        <v>2243</v>
      </c>
      <c r="G1748" s="6" t="s">
        <v>2265</v>
      </c>
      <c r="H1748" s="16" t="n">
        <v>150</v>
      </c>
      <c r="I1748" s="6" t="str">
        <f aca="false">'Dish Database'!I454</f>
        <v>g</v>
      </c>
      <c r="J1748" s="13" t="n">
        <f aca="false">'Dish Database'!J454*H1748/100</f>
        <v>281.25</v>
      </c>
      <c r="K1748" s="17" t="n">
        <f aca="false">'Dish Database'!K454*H1748/100</f>
        <v>5.25</v>
      </c>
      <c r="L1748" s="17" t="n">
        <f aca="false">'Dish Database'!L454*H1748/100</f>
        <v>37.5</v>
      </c>
      <c r="M1748" s="17" t="n">
        <f aca="false">'Dish Database'!M454*H1748/100</f>
        <v>12.75</v>
      </c>
      <c r="N1748" s="17" t="n">
        <f aca="false">'Dish Database'!N454*H1748/100</f>
        <v>2.25</v>
      </c>
      <c r="O1748" s="17" t="n">
        <f aca="false">'Dish Database'!O454*H1748/100</f>
        <v>9</v>
      </c>
      <c r="P1748" s="13" t="n">
        <f aca="false">'Dish Database'!P454*H1748/100</f>
        <v>675</v>
      </c>
    </row>
    <row r="1749" customFormat="false" ht="15" hidden="false" customHeight="false" outlineLevel="0" collapsed="false">
      <c r="A1749" s="6" t="str">
        <f aca="false">'Dish Database'!A454</f>
        <v>D453</v>
      </c>
      <c r="B1749" s="6" t="str">
        <f aca="false">'Dish Database'!B454</f>
        <v>American chopsuey</v>
      </c>
      <c r="C1749" s="6" t="str">
        <f aca="false">'Dish Database'!D454</f>
        <v>Indo-Chinese</v>
      </c>
      <c r="D1749" s="6" t="str">
        <f aca="false">'Dish Database'!F454</f>
        <v>Veg</v>
      </c>
      <c r="E1749" s="6" t="str">
        <f aca="false">'Dish Database'!E454</f>
        <v>Indo-Chinese</v>
      </c>
      <c r="F1749" s="6" t="s">
        <v>103</v>
      </c>
      <c r="G1749" s="6" t="s">
        <v>2266</v>
      </c>
      <c r="H1749" s="16" t="n">
        <v>250</v>
      </c>
      <c r="I1749" s="6" t="str">
        <f aca="false">'Dish Database'!I454</f>
        <v>g</v>
      </c>
      <c r="J1749" s="13" t="n">
        <f aca="false">'Dish Database'!J454*H1749/100</f>
        <v>468.75</v>
      </c>
      <c r="K1749" s="17" t="n">
        <f aca="false">'Dish Database'!K454*H1749/100</f>
        <v>8.75</v>
      </c>
      <c r="L1749" s="17" t="n">
        <f aca="false">'Dish Database'!L454*H1749/100</f>
        <v>62.5</v>
      </c>
      <c r="M1749" s="17" t="n">
        <f aca="false">'Dish Database'!M454*H1749/100</f>
        <v>21.25</v>
      </c>
      <c r="N1749" s="17" t="n">
        <f aca="false">'Dish Database'!N454*H1749/100</f>
        <v>3.75</v>
      </c>
      <c r="O1749" s="17" t="n">
        <f aca="false">'Dish Database'!O454*H1749/100</f>
        <v>15</v>
      </c>
      <c r="P1749" s="13" t="n">
        <f aca="false">'Dish Database'!P454*H1749/100</f>
        <v>1125</v>
      </c>
    </row>
    <row r="1750" customFormat="false" ht="15" hidden="false" customHeight="false" outlineLevel="0" collapsed="false">
      <c r="A1750" s="6" t="str">
        <f aca="false">'Dish Database'!A454</f>
        <v>D453</v>
      </c>
      <c r="B1750" s="6" t="str">
        <f aca="false">'Dish Database'!B454</f>
        <v>American chopsuey</v>
      </c>
      <c r="C1750" s="6" t="str">
        <f aca="false">'Dish Database'!D454</f>
        <v>Indo-Chinese</v>
      </c>
      <c r="D1750" s="6" t="str">
        <f aca="false">'Dish Database'!F454</f>
        <v>Veg</v>
      </c>
      <c r="E1750" s="6" t="str">
        <f aca="false">'Dish Database'!E454</f>
        <v>Indo-Chinese</v>
      </c>
      <c r="F1750" s="6" t="s">
        <v>2246</v>
      </c>
      <c r="G1750" s="6" t="s">
        <v>2267</v>
      </c>
      <c r="H1750" s="16" t="n">
        <v>350</v>
      </c>
      <c r="I1750" s="6" t="str">
        <f aca="false">'Dish Database'!I454</f>
        <v>g</v>
      </c>
      <c r="J1750" s="13" t="n">
        <f aca="false">'Dish Database'!J454*H1750/100</f>
        <v>656.25</v>
      </c>
      <c r="K1750" s="17" t="n">
        <f aca="false">'Dish Database'!K454*H1750/100</f>
        <v>12.25</v>
      </c>
      <c r="L1750" s="17" t="n">
        <f aca="false">'Dish Database'!L454*H1750/100</f>
        <v>87.5</v>
      </c>
      <c r="M1750" s="17" t="n">
        <f aca="false">'Dish Database'!M454*H1750/100</f>
        <v>29.75</v>
      </c>
      <c r="N1750" s="17" t="n">
        <f aca="false">'Dish Database'!N454*H1750/100</f>
        <v>5.25</v>
      </c>
      <c r="O1750" s="17" t="n">
        <f aca="false">'Dish Database'!O454*H1750/100</f>
        <v>21</v>
      </c>
      <c r="P1750" s="13" t="n">
        <f aca="false">'Dish Database'!P454*H1750/100</f>
        <v>1575</v>
      </c>
    </row>
    <row r="1751" customFormat="false" ht="15" hidden="false" customHeight="false" outlineLevel="0" collapsed="false">
      <c r="A1751" s="6" t="str">
        <f aca="false">'Dish Database'!A454</f>
        <v>D453</v>
      </c>
      <c r="B1751" s="6" t="str">
        <f aca="false">'Dish Database'!B454</f>
        <v>American chopsuey</v>
      </c>
      <c r="C1751" s="6" t="str">
        <f aca="false">'Dish Database'!D454</f>
        <v>Indo-Chinese</v>
      </c>
      <c r="D1751" s="6" t="str">
        <f aca="false">'Dish Database'!F454</f>
        <v>Veg</v>
      </c>
      <c r="E1751" s="6" t="str">
        <f aca="false">'Dish Database'!E454</f>
        <v>Indo-Chinese</v>
      </c>
      <c r="F1751" s="6" t="s">
        <v>2323</v>
      </c>
      <c r="G1751" s="6" t="s">
        <v>2324</v>
      </c>
      <c r="H1751" s="16" t="n">
        <v>250</v>
      </c>
      <c r="I1751" s="6" t="str">
        <f aca="false">'Dish Database'!I454</f>
        <v>g</v>
      </c>
      <c r="J1751" s="13" t="n">
        <f aca="false">'Dish Database'!J454*H1751/100</f>
        <v>468.75</v>
      </c>
      <c r="K1751" s="17" t="n">
        <f aca="false">'Dish Database'!K454*H1751/100</f>
        <v>8.75</v>
      </c>
      <c r="L1751" s="17" t="n">
        <f aca="false">'Dish Database'!L454*H1751/100</f>
        <v>62.5</v>
      </c>
      <c r="M1751" s="17" t="n">
        <f aca="false">'Dish Database'!M454*H1751/100</f>
        <v>21.25</v>
      </c>
      <c r="N1751" s="17" t="n">
        <f aca="false">'Dish Database'!N454*H1751/100</f>
        <v>3.75</v>
      </c>
      <c r="O1751" s="17" t="n">
        <f aca="false">'Dish Database'!O454*H1751/100</f>
        <v>15</v>
      </c>
      <c r="P1751" s="13" t="n">
        <f aca="false">'Dish Database'!P454*H1751/100</f>
        <v>1125</v>
      </c>
    </row>
    <row r="1752" customFormat="false" ht="15" hidden="false" customHeight="false" outlineLevel="0" collapsed="false">
      <c r="A1752" s="6" t="str">
        <f aca="false">'Dish Database'!A454</f>
        <v>D453</v>
      </c>
      <c r="B1752" s="6" t="str">
        <f aca="false">'Dish Database'!B454</f>
        <v>American chopsuey</v>
      </c>
      <c r="C1752" s="6" t="str">
        <f aca="false">'Dish Database'!D454</f>
        <v>Indo-Chinese</v>
      </c>
      <c r="D1752" s="6" t="str">
        <f aca="false">'Dish Database'!F454</f>
        <v>Veg</v>
      </c>
      <c r="E1752" s="6" t="str">
        <f aca="false">'Dish Database'!E454</f>
        <v>Indo-Chinese</v>
      </c>
      <c r="F1752" s="6" t="s">
        <v>2325</v>
      </c>
      <c r="G1752" s="6" t="s">
        <v>2326</v>
      </c>
      <c r="H1752" s="16" t="n">
        <v>450</v>
      </c>
      <c r="I1752" s="6" t="str">
        <f aca="false">'Dish Database'!I454</f>
        <v>g</v>
      </c>
      <c r="J1752" s="13" t="n">
        <f aca="false">'Dish Database'!J454*H1752/100</f>
        <v>843.75</v>
      </c>
      <c r="K1752" s="17" t="n">
        <f aca="false">'Dish Database'!K454*H1752/100</f>
        <v>15.75</v>
      </c>
      <c r="L1752" s="17" t="n">
        <f aca="false">'Dish Database'!L454*H1752/100</f>
        <v>112.5</v>
      </c>
      <c r="M1752" s="17" t="n">
        <f aca="false">'Dish Database'!M454*H1752/100</f>
        <v>38.25</v>
      </c>
      <c r="N1752" s="17" t="n">
        <f aca="false">'Dish Database'!N454*H1752/100</f>
        <v>6.75</v>
      </c>
      <c r="O1752" s="17" t="n">
        <f aca="false">'Dish Database'!O454*H1752/100</f>
        <v>27</v>
      </c>
      <c r="P1752" s="13" t="n">
        <f aca="false">'Dish Database'!P454*H1752/100</f>
        <v>2025</v>
      </c>
    </row>
    <row r="1753" customFormat="false" ht="15" hidden="false" customHeight="false" outlineLevel="0" collapsed="false">
      <c r="A1753" s="6" t="str">
        <f aca="false">'Dish Database'!A455</f>
        <v>D454</v>
      </c>
      <c r="B1753" s="6" t="str">
        <f aca="false">'Dish Database'!B455</f>
        <v>Gobi manchurian (dry)</v>
      </c>
      <c r="C1753" s="6" t="str">
        <f aca="false">'Dish Database'!D455</f>
        <v>Indo-Chinese</v>
      </c>
      <c r="D1753" s="6" t="str">
        <f aca="false">'Dish Database'!F455</f>
        <v>Veg</v>
      </c>
      <c r="E1753" s="6" t="str">
        <f aca="false">'Dish Database'!E455</f>
        <v>Indo-Chinese</v>
      </c>
      <c r="F1753" s="6" t="s">
        <v>2243</v>
      </c>
      <c r="G1753" s="6" t="s">
        <v>2430</v>
      </c>
      <c r="H1753" s="16" t="n">
        <v>100</v>
      </c>
      <c r="I1753" s="6" t="str">
        <f aca="false">'Dish Database'!I455</f>
        <v>g</v>
      </c>
      <c r="J1753" s="13" t="n">
        <f aca="false">'Dish Database'!J455*H1753/100</f>
        <v>207</v>
      </c>
      <c r="K1753" s="17" t="n">
        <f aca="false">'Dish Database'!K455*H1753/100</f>
        <v>4</v>
      </c>
      <c r="L1753" s="17" t="n">
        <f aca="false">'Dish Database'!L455*H1753/100</f>
        <v>22</v>
      </c>
      <c r="M1753" s="17" t="n">
        <f aca="false">'Dish Database'!M455*H1753/100</f>
        <v>12</v>
      </c>
      <c r="N1753" s="17" t="n">
        <f aca="false">'Dish Database'!N455*H1753/100</f>
        <v>2.5</v>
      </c>
      <c r="O1753" s="17" t="n">
        <f aca="false">'Dish Database'!O455*H1753/100</f>
        <v>5</v>
      </c>
      <c r="P1753" s="13" t="n">
        <f aca="false">'Dish Database'!P455*H1753/100</f>
        <v>700</v>
      </c>
    </row>
    <row r="1754" customFormat="false" ht="15" hidden="false" customHeight="false" outlineLevel="0" collapsed="false">
      <c r="A1754" s="6" t="str">
        <f aca="false">'Dish Database'!A455</f>
        <v>D454</v>
      </c>
      <c r="B1754" s="6" t="str">
        <f aca="false">'Dish Database'!B455</f>
        <v>Gobi manchurian (dry)</v>
      </c>
      <c r="C1754" s="6" t="str">
        <f aca="false">'Dish Database'!D455</f>
        <v>Indo-Chinese</v>
      </c>
      <c r="D1754" s="6" t="str">
        <f aca="false">'Dish Database'!F455</f>
        <v>Veg</v>
      </c>
      <c r="E1754" s="6" t="str">
        <f aca="false">'Dish Database'!E455</f>
        <v>Indo-Chinese</v>
      </c>
      <c r="F1754" s="6" t="s">
        <v>103</v>
      </c>
      <c r="G1754" s="6" t="s">
        <v>2431</v>
      </c>
      <c r="H1754" s="16" t="n">
        <v>150</v>
      </c>
      <c r="I1754" s="6" t="str">
        <f aca="false">'Dish Database'!I455</f>
        <v>g</v>
      </c>
      <c r="J1754" s="13" t="n">
        <f aca="false">'Dish Database'!J455*H1754/100</f>
        <v>310.5</v>
      </c>
      <c r="K1754" s="17" t="n">
        <f aca="false">'Dish Database'!K455*H1754/100</f>
        <v>6</v>
      </c>
      <c r="L1754" s="17" t="n">
        <f aca="false">'Dish Database'!L455*H1754/100</f>
        <v>33</v>
      </c>
      <c r="M1754" s="17" t="n">
        <f aca="false">'Dish Database'!M455*H1754/100</f>
        <v>18</v>
      </c>
      <c r="N1754" s="17" t="n">
        <f aca="false">'Dish Database'!N455*H1754/100</f>
        <v>3.75</v>
      </c>
      <c r="O1754" s="17" t="n">
        <f aca="false">'Dish Database'!O455*H1754/100</f>
        <v>7.5</v>
      </c>
      <c r="P1754" s="13" t="n">
        <f aca="false">'Dish Database'!P455*H1754/100</f>
        <v>1050</v>
      </c>
    </row>
    <row r="1755" customFormat="false" ht="15" hidden="false" customHeight="false" outlineLevel="0" collapsed="false">
      <c r="A1755" s="6" t="str">
        <f aca="false">'Dish Database'!A455</f>
        <v>D454</v>
      </c>
      <c r="B1755" s="6" t="str">
        <f aca="false">'Dish Database'!B455</f>
        <v>Gobi manchurian (dry)</v>
      </c>
      <c r="C1755" s="6" t="str">
        <f aca="false">'Dish Database'!D455</f>
        <v>Indo-Chinese</v>
      </c>
      <c r="D1755" s="6" t="str">
        <f aca="false">'Dish Database'!F455</f>
        <v>Veg</v>
      </c>
      <c r="E1755" s="6" t="str">
        <f aca="false">'Dish Database'!E455</f>
        <v>Indo-Chinese</v>
      </c>
      <c r="F1755" s="6" t="s">
        <v>2246</v>
      </c>
      <c r="G1755" s="6" t="s">
        <v>2520</v>
      </c>
      <c r="H1755" s="16" t="n">
        <v>200</v>
      </c>
      <c r="I1755" s="6" t="str">
        <f aca="false">'Dish Database'!I455</f>
        <v>g</v>
      </c>
      <c r="J1755" s="13" t="n">
        <f aca="false">'Dish Database'!J455*H1755/100</f>
        <v>414</v>
      </c>
      <c r="K1755" s="17" t="n">
        <f aca="false">'Dish Database'!K455*H1755/100</f>
        <v>8</v>
      </c>
      <c r="L1755" s="17" t="n">
        <f aca="false">'Dish Database'!L455*H1755/100</f>
        <v>44</v>
      </c>
      <c r="M1755" s="17" t="n">
        <f aca="false">'Dish Database'!M455*H1755/100</f>
        <v>24</v>
      </c>
      <c r="N1755" s="17" t="n">
        <f aca="false">'Dish Database'!N455*H1755/100</f>
        <v>5</v>
      </c>
      <c r="O1755" s="17" t="n">
        <f aca="false">'Dish Database'!O455*H1755/100</f>
        <v>10</v>
      </c>
      <c r="P1755" s="13" t="n">
        <f aca="false">'Dish Database'!P455*H1755/100</f>
        <v>1400</v>
      </c>
    </row>
    <row r="1756" customFormat="false" ht="15" hidden="false" customHeight="false" outlineLevel="0" collapsed="false">
      <c r="A1756" s="6" t="str">
        <f aca="false">'Dish Database'!A455</f>
        <v>D454</v>
      </c>
      <c r="B1756" s="6" t="str">
        <f aca="false">'Dish Database'!B455</f>
        <v>Gobi manchurian (dry)</v>
      </c>
      <c r="C1756" s="6" t="str">
        <f aca="false">'Dish Database'!D455</f>
        <v>Indo-Chinese</v>
      </c>
      <c r="D1756" s="6" t="str">
        <f aca="false">'Dish Database'!F455</f>
        <v>Veg</v>
      </c>
      <c r="E1756" s="6" t="str">
        <f aca="false">'Dish Database'!E455</f>
        <v>Indo-Chinese</v>
      </c>
      <c r="F1756" s="6" t="s">
        <v>2323</v>
      </c>
      <c r="G1756" s="6" t="s">
        <v>2324</v>
      </c>
      <c r="H1756" s="16" t="n">
        <v>180</v>
      </c>
      <c r="I1756" s="6" t="str">
        <f aca="false">'Dish Database'!I455</f>
        <v>g</v>
      </c>
      <c r="J1756" s="13" t="n">
        <f aca="false">'Dish Database'!J455*H1756/100</f>
        <v>372.6</v>
      </c>
      <c r="K1756" s="17" t="n">
        <f aca="false">'Dish Database'!K455*H1756/100</f>
        <v>7.2</v>
      </c>
      <c r="L1756" s="17" t="n">
        <f aca="false">'Dish Database'!L455*H1756/100</f>
        <v>39.6</v>
      </c>
      <c r="M1756" s="17" t="n">
        <f aca="false">'Dish Database'!M455*H1756/100</f>
        <v>21.6</v>
      </c>
      <c r="N1756" s="17" t="n">
        <f aca="false">'Dish Database'!N455*H1756/100</f>
        <v>4.5</v>
      </c>
      <c r="O1756" s="17" t="n">
        <f aca="false">'Dish Database'!O455*H1756/100</f>
        <v>9</v>
      </c>
      <c r="P1756" s="13" t="n">
        <f aca="false">'Dish Database'!P455*H1756/100</f>
        <v>1260</v>
      </c>
    </row>
    <row r="1757" customFormat="false" ht="15" hidden="false" customHeight="false" outlineLevel="0" collapsed="false">
      <c r="A1757" s="6" t="str">
        <f aca="false">'Dish Database'!A455</f>
        <v>D454</v>
      </c>
      <c r="B1757" s="6" t="str">
        <f aca="false">'Dish Database'!B455</f>
        <v>Gobi manchurian (dry)</v>
      </c>
      <c r="C1757" s="6" t="str">
        <f aca="false">'Dish Database'!D455</f>
        <v>Indo-Chinese</v>
      </c>
      <c r="D1757" s="6" t="str">
        <f aca="false">'Dish Database'!F455</f>
        <v>Veg</v>
      </c>
      <c r="E1757" s="6" t="str">
        <f aca="false">'Dish Database'!E455</f>
        <v>Indo-Chinese</v>
      </c>
      <c r="F1757" s="6" t="s">
        <v>2325</v>
      </c>
      <c r="G1757" s="6" t="s">
        <v>2326</v>
      </c>
      <c r="H1757" s="16" t="n">
        <v>350</v>
      </c>
      <c r="I1757" s="6" t="str">
        <f aca="false">'Dish Database'!I455</f>
        <v>g</v>
      </c>
      <c r="J1757" s="13" t="n">
        <f aca="false">'Dish Database'!J455*H1757/100</f>
        <v>724.5</v>
      </c>
      <c r="K1757" s="17" t="n">
        <f aca="false">'Dish Database'!K455*H1757/100</f>
        <v>14</v>
      </c>
      <c r="L1757" s="17" t="n">
        <f aca="false">'Dish Database'!L455*H1757/100</f>
        <v>77</v>
      </c>
      <c r="M1757" s="17" t="n">
        <f aca="false">'Dish Database'!M455*H1757/100</f>
        <v>42</v>
      </c>
      <c r="N1757" s="17" t="n">
        <f aca="false">'Dish Database'!N455*H1757/100</f>
        <v>8.75</v>
      </c>
      <c r="O1757" s="17" t="n">
        <f aca="false">'Dish Database'!O455*H1757/100</f>
        <v>17.5</v>
      </c>
      <c r="P1757" s="13" t="n">
        <f aca="false">'Dish Database'!P455*H1757/100</f>
        <v>2450</v>
      </c>
    </row>
    <row r="1758" customFormat="false" ht="15" hidden="false" customHeight="false" outlineLevel="0" collapsed="false">
      <c r="A1758" s="6" t="str">
        <f aca="false">'Dish Database'!A456</f>
        <v>D455</v>
      </c>
      <c r="B1758" s="6" t="str">
        <f aca="false">'Dish Database'!B456</f>
        <v>Veg manchurian (dry)</v>
      </c>
      <c r="C1758" s="6" t="str">
        <f aca="false">'Dish Database'!D456</f>
        <v>Indo-Chinese</v>
      </c>
      <c r="D1758" s="6" t="str">
        <f aca="false">'Dish Database'!F456</f>
        <v>Veg</v>
      </c>
      <c r="E1758" s="6" t="str">
        <f aca="false">'Dish Database'!E456</f>
        <v>Indo-Chinese</v>
      </c>
      <c r="F1758" s="6" t="s">
        <v>2243</v>
      </c>
      <c r="G1758" s="6" t="s">
        <v>2430</v>
      </c>
      <c r="H1758" s="16" t="n">
        <v>100</v>
      </c>
      <c r="I1758" s="6" t="str">
        <f aca="false">'Dish Database'!I456</f>
        <v>g</v>
      </c>
      <c r="J1758" s="13" t="n">
        <f aca="false">'Dish Database'!J456*H1758/100</f>
        <v>217</v>
      </c>
      <c r="K1758" s="17" t="n">
        <f aca="false">'Dish Database'!K456*H1758/100</f>
        <v>4.5</v>
      </c>
      <c r="L1758" s="17" t="n">
        <f aca="false">'Dish Database'!L456*H1758/100</f>
        <v>22</v>
      </c>
      <c r="M1758" s="17" t="n">
        <f aca="false">'Dish Database'!M456*H1758/100</f>
        <v>13</v>
      </c>
      <c r="N1758" s="17" t="n">
        <f aca="false">'Dish Database'!N456*H1758/100</f>
        <v>3</v>
      </c>
      <c r="O1758" s="17" t="n">
        <f aca="false">'Dish Database'!O456*H1758/100</f>
        <v>4.5</v>
      </c>
      <c r="P1758" s="13" t="n">
        <f aca="false">'Dish Database'!P456*H1758/100</f>
        <v>700</v>
      </c>
    </row>
    <row r="1759" customFormat="false" ht="15" hidden="false" customHeight="false" outlineLevel="0" collapsed="false">
      <c r="A1759" s="6" t="str">
        <f aca="false">'Dish Database'!A456</f>
        <v>D455</v>
      </c>
      <c r="B1759" s="6" t="str">
        <f aca="false">'Dish Database'!B456</f>
        <v>Veg manchurian (dry)</v>
      </c>
      <c r="C1759" s="6" t="str">
        <f aca="false">'Dish Database'!D456</f>
        <v>Indo-Chinese</v>
      </c>
      <c r="D1759" s="6" t="str">
        <f aca="false">'Dish Database'!F456</f>
        <v>Veg</v>
      </c>
      <c r="E1759" s="6" t="str">
        <f aca="false">'Dish Database'!E456</f>
        <v>Indo-Chinese</v>
      </c>
      <c r="F1759" s="6" t="s">
        <v>103</v>
      </c>
      <c r="G1759" s="6" t="s">
        <v>2431</v>
      </c>
      <c r="H1759" s="16" t="n">
        <v>150</v>
      </c>
      <c r="I1759" s="6" t="str">
        <f aca="false">'Dish Database'!I456</f>
        <v>g</v>
      </c>
      <c r="J1759" s="13" t="n">
        <f aca="false">'Dish Database'!J456*H1759/100</f>
        <v>325.5</v>
      </c>
      <c r="K1759" s="17" t="n">
        <f aca="false">'Dish Database'!K456*H1759/100</f>
        <v>6.75</v>
      </c>
      <c r="L1759" s="17" t="n">
        <f aca="false">'Dish Database'!L456*H1759/100</f>
        <v>33</v>
      </c>
      <c r="M1759" s="17" t="n">
        <f aca="false">'Dish Database'!M456*H1759/100</f>
        <v>19.5</v>
      </c>
      <c r="N1759" s="17" t="n">
        <f aca="false">'Dish Database'!N456*H1759/100</f>
        <v>4.5</v>
      </c>
      <c r="O1759" s="17" t="n">
        <f aca="false">'Dish Database'!O456*H1759/100</f>
        <v>6.75</v>
      </c>
      <c r="P1759" s="13" t="n">
        <f aca="false">'Dish Database'!P456*H1759/100</f>
        <v>1050</v>
      </c>
    </row>
    <row r="1760" customFormat="false" ht="15" hidden="false" customHeight="false" outlineLevel="0" collapsed="false">
      <c r="A1760" s="6" t="str">
        <f aca="false">'Dish Database'!A456</f>
        <v>D455</v>
      </c>
      <c r="B1760" s="6" t="str">
        <f aca="false">'Dish Database'!B456</f>
        <v>Veg manchurian (dry)</v>
      </c>
      <c r="C1760" s="6" t="str">
        <f aca="false">'Dish Database'!D456</f>
        <v>Indo-Chinese</v>
      </c>
      <c r="D1760" s="6" t="str">
        <f aca="false">'Dish Database'!F456</f>
        <v>Veg</v>
      </c>
      <c r="E1760" s="6" t="str">
        <f aca="false">'Dish Database'!E456</f>
        <v>Indo-Chinese</v>
      </c>
      <c r="F1760" s="6" t="s">
        <v>2246</v>
      </c>
      <c r="G1760" s="6" t="s">
        <v>2520</v>
      </c>
      <c r="H1760" s="16" t="n">
        <v>200</v>
      </c>
      <c r="I1760" s="6" t="str">
        <f aca="false">'Dish Database'!I456</f>
        <v>g</v>
      </c>
      <c r="J1760" s="13" t="n">
        <f aca="false">'Dish Database'!J456*H1760/100</f>
        <v>434</v>
      </c>
      <c r="K1760" s="17" t="n">
        <f aca="false">'Dish Database'!K456*H1760/100</f>
        <v>9</v>
      </c>
      <c r="L1760" s="17" t="n">
        <f aca="false">'Dish Database'!L456*H1760/100</f>
        <v>44</v>
      </c>
      <c r="M1760" s="17" t="n">
        <f aca="false">'Dish Database'!M456*H1760/100</f>
        <v>26</v>
      </c>
      <c r="N1760" s="17" t="n">
        <f aca="false">'Dish Database'!N456*H1760/100</f>
        <v>6</v>
      </c>
      <c r="O1760" s="17" t="n">
        <f aca="false">'Dish Database'!O456*H1760/100</f>
        <v>9</v>
      </c>
      <c r="P1760" s="13" t="n">
        <f aca="false">'Dish Database'!P456*H1760/100</f>
        <v>1400</v>
      </c>
    </row>
    <row r="1761" customFormat="false" ht="15" hidden="false" customHeight="false" outlineLevel="0" collapsed="false">
      <c r="A1761" s="6" t="str">
        <f aca="false">'Dish Database'!A456</f>
        <v>D455</v>
      </c>
      <c r="B1761" s="6" t="str">
        <f aca="false">'Dish Database'!B456</f>
        <v>Veg manchurian (dry)</v>
      </c>
      <c r="C1761" s="6" t="str">
        <f aca="false">'Dish Database'!D456</f>
        <v>Indo-Chinese</v>
      </c>
      <c r="D1761" s="6" t="str">
        <f aca="false">'Dish Database'!F456</f>
        <v>Veg</v>
      </c>
      <c r="E1761" s="6" t="str">
        <f aca="false">'Dish Database'!E456</f>
        <v>Indo-Chinese</v>
      </c>
      <c r="F1761" s="6" t="s">
        <v>2323</v>
      </c>
      <c r="G1761" s="6" t="s">
        <v>2324</v>
      </c>
      <c r="H1761" s="16" t="n">
        <v>180</v>
      </c>
      <c r="I1761" s="6" t="str">
        <f aca="false">'Dish Database'!I456</f>
        <v>g</v>
      </c>
      <c r="J1761" s="13" t="n">
        <f aca="false">'Dish Database'!J456*H1761/100</f>
        <v>390.6</v>
      </c>
      <c r="K1761" s="17" t="n">
        <f aca="false">'Dish Database'!K456*H1761/100</f>
        <v>8.1</v>
      </c>
      <c r="L1761" s="17" t="n">
        <f aca="false">'Dish Database'!L456*H1761/100</f>
        <v>39.6</v>
      </c>
      <c r="M1761" s="17" t="n">
        <f aca="false">'Dish Database'!M456*H1761/100</f>
        <v>23.4</v>
      </c>
      <c r="N1761" s="17" t="n">
        <f aca="false">'Dish Database'!N456*H1761/100</f>
        <v>5.4</v>
      </c>
      <c r="O1761" s="17" t="n">
        <f aca="false">'Dish Database'!O456*H1761/100</f>
        <v>8.1</v>
      </c>
      <c r="P1761" s="13" t="n">
        <f aca="false">'Dish Database'!P456*H1761/100</f>
        <v>1260</v>
      </c>
    </row>
    <row r="1762" customFormat="false" ht="15" hidden="false" customHeight="false" outlineLevel="0" collapsed="false">
      <c r="A1762" s="6" t="str">
        <f aca="false">'Dish Database'!A456</f>
        <v>D455</v>
      </c>
      <c r="B1762" s="6" t="str">
        <f aca="false">'Dish Database'!B456</f>
        <v>Veg manchurian (dry)</v>
      </c>
      <c r="C1762" s="6" t="str">
        <f aca="false">'Dish Database'!D456</f>
        <v>Indo-Chinese</v>
      </c>
      <c r="D1762" s="6" t="str">
        <f aca="false">'Dish Database'!F456</f>
        <v>Veg</v>
      </c>
      <c r="E1762" s="6" t="str">
        <f aca="false">'Dish Database'!E456</f>
        <v>Indo-Chinese</v>
      </c>
      <c r="F1762" s="6" t="s">
        <v>2325</v>
      </c>
      <c r="G1762" s="6" t="s">
        <v>2326</v>
      </c>
      <c r="H1762" s="16" t="n">
        <v>350</v>
      </c>
      <c r="I1762" s="6" t="str">
        <f aca="false">'Dish Database'!I456</f>
        <v>g</v>
      </c>
      <c r="J1762" s="13" t="n">
        <f aca="false">'Dish Database'!J456*H1762/100</f>
        <v>759.5</v>
      </c>
      <c r="K1762" s="17" t="n">
        <f aca="false">'Dish Database'!K456*H1762/100</f>
        <v>15.75</v>
      </c>
      <c r="L1762" s="17" t="n">
        <f aca="false">'Dish Database'!L456*H1762/100</f>
        <v>77</v>
      </c>
      <c r="M1762" s="17" t="n">
        <f aca="false">'Dish Database'!M456*H1762/100</f>
        <v>45.5</v>
      </c>
      <c r="N1762" s="17" t="n">
        <f aca="false">'Dish Database'!N456*H1762/100</f>
        <v>10.5</v>
      </c>
      <c r="O1762" s="17" t="n">
        <f aca="false">'Dish Database'!O456*H1762/100</f>
        <v>15.75</v>
      </c>
      <c r="P1762" s="13" t="n">
        <f aca="false">'Dish Database'!P456*H1762/100</f>
        <v>2450</v>
      </c>
    </row>
    <row r="1763" customFormat="false" ht="15" hidden="false" customHeight="false" outlineLevel="0" collapsed="false">
      <c r="A1763" s="6" t="str">
        <f aca="false">'Dish Database'!A457</f>
        <v>D456</v>
      </c>
      <c r="B1763" s="6" t="str">
        <f aca="false">'Dish Database'!B457</f>
        <v>Veg manchurian (gravy)</v>
      </c>
      <c r="C1763" s="6" t="str">
        <f aca="false">'Dish Database'!D457</f>
        <v>Indo-Chinese</v>
      </c>
      <c r="D1763" s="6" t="str">
        <f aca="false">'Dish Database'!F457</f>
        <v>Veg</v>
      </c>
      <c r="E1763" s="6" t="str">
        <f aca="false">'Dish Database'!E457</f>
        <v>Indo-Chinese</v>
      </c>
      <c r="F1763" s="6" t="s">
        <v>2243</v>
      </c>
      <c r="G1763" s="6" t="s">
        <v>2500</v>
      </c>
      <c r="H1763" s="16" t="n">
        <v>100</v>
      </c>
      <c r="I1763" s="6" t="str">
        <f aca="false">'Dish Database'!I457</f>
        <v>g</v>
      </c>
      <c r="J1763" s="13" t="n">
        <f aca="false">'Dish Database'!J457*H1763/100</f>
        <v>138</v>
      </c>
      <c r="K1763" s="17" t="n">
        <f aca="false">'Dish Database'!K457*H1763/100</f>
        <v>3.5</v>
      </c>
      <c r="L1763" s="17" t="n">
        <f aca="false">'Dish Database'!L457*H1763/100</f>
        <v>14</v>
      </c>
      <c r="M1763" s="17" t="n">
        <f aca="false">'Dish Database'!M457*H1763/100</f>
        <v>8</v>
      </c>
      <c r="N1763" s="17" t="n">
        <f aca="false">'Dish Database'!N457*H1763/100</f>
        <v>2</v>
      </c>
      <c r="O1763" s="17" t="n">
        <f aca="false">'Dish Database'!O457*H1763/100</f>
        <v>4</v>
      </c>
      <c r="P1763" s="13" t="n">
        <f aca="false">'Dish Database'!P457*H1763/100</f>
        <v>650</v>
      </c>
    </row>
    <row r="1764" customFormat="false" ht="15" hidden="false" customHeight="false" outlineLevel="0" collapsed="false">
      <c r="A1764" s="6" t="str">
        <f aca="false">'Dish Database'!A457</f>
        <v>D456</v>
      </c>
      <c r="B1764" s="6" t="str">
        <f aca="false">'Dish Database'!B457</f>
        <v>Veg manchurian (gravy)</v>
      </c>
      <c r="C1764" s="6" t="str">
        <f aca="false">'Dish Database'!D457</f>
        <v>Indo-Chinese</v>
      </c>
      <c r="D1764" s="6" t="str">
        <f aca="false">'Dish Database'!F457</f>
        <v>Veg</v>
      </c>
      <c r="E1764" s="6" t="str">
        <f aca="false">'Dish Database'!E457</f>
        <v>Indo-Chinese</v>
      </c>
      <c r="F1764" s="6" t="s">
        <v>103</v>
      </c>
      <c r="G1764" s="6" t="s">
        <v>2501</v>
      </c>
      <c r="H1764" s="16" t="n">
        <v>150</v>
      </c>
      <c r="I1764" s="6" t="str">
        <f aca="false">'Dish Database'!I457</f>
        <v>g</v>
      </c>
      <c r="J1764" s="13" t="n">
        <f aca="false">'Dish Database'!J457*H1764/100</f>
        <v>207</v>
      </c>
      <c r="K1764" s="17" t="n">
        <f aca="false">'Dish Database'!K457*H1764/100</f>
        <v>5.25</v>
      </c>
      <c r="L1764" s="17" t="n">
        <f aca="false">'Dish Database'!L457*H1764/100</f>
        <v>21</v>
      </c>
      <c r="M1764" s="17" t="n">
        <f aca="false">'Dish Database'!M457*H1764/100</f>
        <v>12</v>
      </c>
      <c r="N1764" s="17" t="n">
        <f aca="false">'Dish Database'!N457*H1764/100</f>
        <v>3</v>
      </c>
      <c r="O1764" s="17" t="n">
        <f aca="false">'Dish Database'!O457*H1764/100</f>
        <v>6</v>
      </c>
      <c r="P1764" s="13" t="n">
        <f aca="false">'Dish Database'!P457*H1764/100</f>
        <v>975</v>
      </c>
    </row>
    <row r="1765" customFormat="false" ht="15" hidden="false" customHeight="false" outlineLevel="0" collapsed="false">
      <c r="A1765" s="6" t="str">
        <f aca="false">'Dish Database'!A457</f>
        <v>D456</v>
      </c>
      <c r="B1765" s="6" t="str">
        <f aca="false">'Dish Database'!B457</f>
        <v>Veg manchurian (gravy)</v>
      </c>
      <c r="C1765" s="6" t="str">
        <f aca="false">'Dish Database'!D457</f>
        <v>Indo-Chinese</v>
      </c>
      <c r="D1765" s="6" t="str">
        <f aca="false">'Dish Database'!F457</f>
        <v>Veg</v>
      </c>
      <c r="E1765" s="6" t="str">
        <f aca="false">'Dish Database'!E457</f>
        <v>Indo-Chinese</v>
      </c>
      <c r="F1765" s="6" t="s">
        <v>2246</v>
      </c>
      <c r="G1765" s="6" t="s">
        <v>2502</v>
      </c>
      <c r="H1765" s="16" t="n">
        <v>200</v>
      </c>
      <c r="I1765" s="6" t="str">
        <f aca="false">'Dish Database'!I457</f>
        <v>g</v>
      </c>
      <c r="J1765" s="13" t="n">
        <f aca="false">'Dish Database'!J457*H1765/100</f>
        <v>276</v>
      </c>
      <c r="K1765" s="17" t="n">
        <f aca="false">'Dish Database'!K457*H1765/100</f>
        <v>7</v>
      </c>
      <c r="L1765" s="17" t="n">
        <f aca="false">'Dish Database'!L457*H1765/100</f>
        <v>28</v>
      </c>
      <c r="M1765" s="17" t="n">
        <f aca="false">'Dish Database'!M457*H1765/100</f>
        <v>16</v>
      </c>
      <c r="N1765" s="17" t="n">
        <f aca="false">'Dish Database'!N457*H1765/100</f>
        <v>4</v>
      </c>
      <c r="O1765" s="17" t="n">
        <f aca="false">'Dish Database'!O457*H1765/100</f>
        <v>8</v>
      </c>
      <c r="P1765" s="13" t="n">
        <f aca="false">'Dish Database'!P457*H1765/100</f>
        <v>1300</v>
      </c>
    </row>
    <row r="1766" customFormat="false" ht="15" hidden="false" customHeight="false" outlineLevel="0" collapsed="false">
      <c r="A1766" s="6" t="str">
        <f aca="false">'Dish Database'!A457</f>
        <v>D456</v>
      </c>
      <c r="B1766" s="6" t="str">
        <f aca="false">'Dish Database'!B457</f>
        <v>Veg manchurian (gravy)</v>
      </c>
      <c r="C1766" s="6" t="str">
        <f aca="false">'Dish Database'!D457</f>
        <v>Indo-Chinese</v>
      </c>
      <c r="D1766" s="6" t="str">
        <f aca="false">'Dish Database'!F457</f>
        <v>Veg</v>
      </c>
      <c r="E1766" s="6" t="str">
        <f aca="false">'Dish Database'!E457</f>
        <v>Indo-Chinese</v>
      </c>
      <c r="F1766" s="6" t="s">
        <v>2323</v>
      </c>
      <c r="G1766" s="6" t="s">
        <v>2503</v>
      </c>
      <c r="H1766" s="16" t="n">
        <v>250</v>
      </c>
      <c r="I1766" s="6" t="str">
        <f aca="false">'Dish Database'!I457</f>
        <v>g</v>
      </c>
      <c r="J1766" s="13" t="n">
        <f aca="false">'Dish Database'!J457*H1766/100</f>
        <v>345</v>
      </c>
      <c r="K1766" s="17" t="n">
        <f aca="false">'Dish Database'!K457*H1766/100</f>
        <v>8.75</v>
      </c>
      <c r="L1766" s="17" t="n">
        <f aca="false">'Dish Database'!L457*H1766/100</f>
        <v>35</v>
      </c>
      <c r="M1766" s="17" t="n">
        <f aca="false">'Dish Database'!M457*H1766/100</f>
        <v>20</v>
      </c>
      <c r="N1766" s="17" t="n">
        <f aca="false">'Dish Database'!N457*H1766/100</f>
        <v>5</v>
      </c>
      <c r="O1766" s="17" t="n">
        <f aca="false">'Dish Database'!O457*H1766/100</f>
        <v>10</v>
      </c>
      <c r="P1766" s="13" t="n">
        <f aca="false">'Dish Database'!P457*H1766/100</f>
        <v>1625</v>
      </c>
    </row>
    <row r="1767" customFormat="false" ht="15" hidden="false" customHeight="false" outlineLevel="0" collapsed="false">
      <c r="A1767" s="6" t="str">
        <f aca="false">'Dish Database'!A457</f>
        <v>D456</v>
      </c>
      <c r="B1767" s="6" t="str">
        <f aca="false">'Dish Database'!B457</f>
        <v>Veg manchurian (gravy)</v>
      </c>
      <c r="C1767" s="6" t="str">
        <f aca="false">'Dish Database'!D457</f>
        <v>Indo-Chinese</v>
      </c>
      <c r="D1767" s="6" t="str">
        <f aca="false">'Dish Database'!F457</f>
        <v>Veg</v>
      </c>
      <c r="E1767" s="6" t="str">
        <f aca="false">'Dish Database'!E457</f>
        <v>Indo-Chinese</v>
      </c>
      <c r="F1767" s="6" t="s">
        <v>2325</v>
      </c>
      <c r="G1767" s="6" t="s">
        <v>2504</v>
      </c>
      <c r="H1767" s="16" t="n">
        <v>500</v>
      </c>
      <c r="I1767" s="6" t="str">
        <f aca="false">'Dish Database'!I457</f>
        <v>g</v>
      </c>
      <c r="J1767" s="13" t="n">
        <f aca="false">'Dish Database'!J457*H1767/100</f>
        <v>690</v>
      </c>
      <c r="K1767" s="17" t="n">
        <f aca="false">'Dish Database'!K457*H1767/100</f>
        <v>17.5</v>
      </c>
      <c r="L1767" s="17" t="n">
        <f aca="false">'Dish Database'!L457*H1767/100</f>
        <v>70</v>
      </c>
      <c r="M1767" s="17" t="n">
        <f aca="false">'Dish Database'!M457*H1767/100</f>
        <v>40</v>
      </c>
      <c r="N1767" s="17" t="n">
        <f aca="false">'Dish Database'!N457*H1767/100</f>
        <v>10</v>
      </c>
      <c r="O1767" s="17" t="n">
        <f aca="false">'Dish Database'!O457*H1767/100</f>
        <v>20</v>
      </c>
      <c r="P1767" s="13" t="n">
        <f aca="false">'Dish Database'!P457*H1767/100</f>
        <v>3250</v>
      </c>
    </row>
    <row r="1768" customFormat="false" ht="15" hidden="false" customHeight="false" outlineLevel="0" collapsed="false">
      <c r="A1768" s="6" t="str">
        <f aca="false">'Dish Database'!A458</f>
        <v>D457</v>
      </c>
      <c r="B1768" s="6" t="str">
        <f aca="false">'Dish Database'!B458</f>
        <v>Chilli paneer (dry)</v>
      </c>
      <c r="C1768" s="6" t="str">
        <f aca="false">'Dish Database'!D458</f>
        <v>Indo-Chinese</v>
      </c>
      <c r="D1768" s="6" t="str">
        <f aca="false">'Dish Database'!F458</f>
        <v>Veg</v>
      </c>
      <c r="E1768" s="6" t="str">
        <f aca="false">'Dish Database'!E458</f>
        <v>Indo-Chinese</v>
      </c>
      <c r="F1768" s="6" t="s">
        <v>2243</v>
      </c>
      <c r="G1768" s="6" t="s">
        <v>2430</v>
      </c>
      <c r="H1768" s="16" t="n">
        <v>100</v>
      </c>
      <c r="I1768" s="6" t="str">
        <f aca="false">'Dish Database'!I458</f>
        <v>g</v>
      </c>
      <c r="J1768" s="13" t="n">
        <f aca="false">'Dish Database'!J458*H1768/100</f>
        <v>233.6</v>
      </c>
      <c r="K1768" s="17" t="n">
        <f aca="false">'Dish Database'!K458*H1768/100</f>
        <v>11</v>
      </c>
      <c r="L1768" s="17" t="n">
        <f aca="false">'Dish Database'!L458*H1768/100</f>
        <v>12</v>
      </c>
      <c r="M1768" s="17" t="n">
        <f aca="false">'Dish Database'!M458*H1768/100</f>
        <v>16</v>
      </c>
      <c r="N1768" s="17" t="n">
        <f aca="false">'Dish Database'!N458*H1768/100</f>
        <v>1.2</v>
      </c>
      <c r="O1768" s="17" t="n">
        <f aca="false">'Dish Database'!O458*H1768/100</f>
        <v>4.5</v>
      </c>
      <c r="P1768" s="13" t="n">
        <f aca="false">'Dish Database'!P458*H1768/100</f>
        <v>700</v>
      </c>
    </row>
    <row r="1769" customFormat="false" ht="15" hidden="false" customHeight="false" outlineLevel="0" collapsed="false">
      <c r="A1769" s="6" t="str">
        <f aca="false">'Dish Database'!A458</f>
        <v>D457</v>
      </c>
      <c r="B1769" s="6" t="str">
        <f aca="false">'Dish Database'!B458</f>
        <v>Chilli paneer (dry)</v>
      </c>
      <c r="C1769" s="6" t="str">
        <f aca="false">'Dish Database'!D458</f>
        <v>Indo-Chinese</v>
      </c>
      <c r="D1769" s="6" t="str">
        <f aca="false">'Dish Database'!F458</f>
        <v>Veg</v>
      </c>
      <c r="E1769" s="6" t="str">
        <f aca="false">'Dish Database'!E458</f>
        <v>Indo-Chinese</v>
      </c>
      <c r="F1769" s="6" t="s">
        <v>103</v>
      </c>
      <c r="G1769" s="6" t="s">
        <v>2431</v>
      </c>
      <c r="H1769" s="16" t="n">
        <v>150</v>
      </c>
      <c r="I1769" s="6" t="str">
        <f aca="false">'Dish Database'!I458</f>
        <v>g</v>
      </c>
      <c r="J1769" s="13" t="n">
        <f aca="false">'Dish Database'!J458*H1769/100</f>
        <v>350.4</v>
      </c>
      <c r="K1769" s="17" t="n">
        <f aca="false">'Dish Database'!K458*H1769/100</f>
        <v>16.5</v>
      </c>
      <c r="L1769" s="17" t="n">
        <f aca="false">'Dish Database'!L458*H1769/100</f>
        <v>18</v>
      </c>
      <c r="M1769" s="17" t="n">
        <f aca="false">'Dish Database'!M458*H1769/100</f>
        <v>24</v>
      </c>
      <c r="N1769" s="17" t="n">
        <f aca="false">'Dish Database'!N458*H1769/100</f>
        <v>1.8</v>
      </c>
      <c r="O1769" s="17" t="n">
        <f aca="false">'Dish Database'!O458*H1769/100</f>
        <v>6.75</v>
      </c>
      <c r="P1769" s="13" t="n">
        <f aca="false">'Dish Database'!P458*H1769/100</f>
        <v>1050</v>
      </c>
    </row>
    <row r="1770" customFormat="false" ht="15" hidden="false" customHeight="false" outlineLevel="0" collapsed="false">
      <c r="A1770" s="6" t="str">
        <f aca="false">'Dish Database'!A458</f>
        <v>D457</v>
      </c>
      <c r="B1770" s="6" t="str">
        <f aca="false">'Dish Database'!B458</f>
        <v>Chilli paneer (dry)</v>
      </c>
      <c r="C1770" s="6" t="str">
        <f aca="false">'Dish Database'!D458</f>
        <v>Indo-Chinese</v>
      </c>
      <c r="D1770" s="6" t="str">
        <f aca="false">'Dish Database'!F458</f>
        <v>Veg</v>
      </c>
      <c r="E1770" s="6" t="str">
        <f aca="false">'Dish Database'!E458</f>
        <v>Indo-Chinese</v>
      </c>
      <c r="F1770" s="6" t="s">
        <v>2246</v>
      </c>
      <c r="G1770" s="6" t="s">
        <v>2520</v>
      </c>
      <c r="H1770" s="16" t="n">
        <v>200</v>
      </c>
      <c r="I1770" s="6" t="str">
        <f aca="false">'Dish Database'!I458</f>
        <v>g</v>
      </c>
      <c r="J1770" s="13" t="n">
        <f aca="false">'Dish Database'!J458*H1770/100</f>
        <v>467.2</v>
      </c>
      <c r="K1770" s="17" t="n">
        <f aca="false">'Dish Database'!K458*H1770/100</f>
        <v>22</v>
      </c>
      <c r="L1770" s="17" t="n">
        <f aca="false">'Dish Database'!L458*H1770/100</f>
        <v>24</v>
      </c>
      <c r="M1770" s="17" t="n">
        <f aca="false">'Dish Database'!M458*H1770/100</f>
        <v>32</v>
      </c>
      <c r="N1770" s="17" t="n">
        <f aca="false">'Dish Database'!N458*H1770/100</f>
        <v>2.4</v>
      </c>
      <c r="O1770" s="17" t="n">
        <f aca="false">'Dish Database'!O458*H1770/100</f>
        <v>9</v>
      </c>
      <c r="P1770" s="13" t="n">
        <f aca="false">'Dish Database'!P458*H1770/100</f>
        <v>1400</v>
      </c>
    </row>
    <row r="1771" customFormat="false" ht="15" hidden="false" customHeight="false" outlineLevel="0" collapsed="false">
      <c r="A1771" s="6" t="str">
        <f aca="false">'Dish Database'!A458</f>
        <v>D457</v>
      </c>
      <c r="B1771" s="6" t="str">
        <f aca="false">'Dish Database'!B458</f>
        <v>Chilli paneer (dry)</v>
      </c>
      <c r="C1771" s="6" t="str">
        <f aca="false">'Dish Database'!D458</f>
        <v>Indo-Chinese</v>
      </c>
      <c r="D1771" s="6" t="str">
        <f aca="false">'Dish Database'!F458</f>
        <v>Veg</v>
      </c>
      <c r="E1771" s="6" t="str">
        <f aca="false">'Dish Database'!E458</f>
        <v>Indo-Chinese</v>
      </c>
      <c r="F1771" s="6" t="s">
        <v>2323</v>
      </c>
      <c r="G1771" s="6" t="s">
        <v>2324</v>
      </c>
      <c r="H1771" s="16" t="n">
        <v>180</v>
      </c>
      <c r="I1771" s="6" t="str">
        <f aca="false">'Dish Database'!I458</f>
        <v>g</v>
      </c>
      <c r="J1771" s="13" t="n">
        <f aca="false">'Dish Database'!J458*H1771/100</f>
        <v>420.48</v>
      </c>
      <c r="K1771" s="17" t="n">
        <f aca="false">'Dish Database'!K458*H1771/100</f>
        <v>19.8</v>
      </c>
      <c r="L1771" s="17" t="n">
        <f aca="false">'Dish Database'!L458*H1771/100</f>
        <v>21.6</v>
      </c>
      <c r="M1771" s="17" t="n">
        <f aca="false">'Dish Database'!M458*H1771/100</f>
        <v>28.8</v>
      </c>
      <c r="N1771" s="17" t="n">
        <f aca="false">'Dish Database'!N458*H1771/100</f>
        <v>2.16</v>
      </c>
      <c r="O1771" s="17" t="n">
        <f aca="false">'Dish Database'!O458*H1771/100</f>
        <v>8.1</v>
      </c>
      <c r="P1771" s="13" t="n">
        <f aca="false">'Dish Database'!P458*H1771/100</f>
        <v>1260</v>
      </c>
    </row>
    <row r="1772" customFormat="false" ht="15" hidden="false" customHeight="false" outlineLevel="0" collapsed="false">
      <c r="A1772" s="6" t="str">
        <f aca="false">'Dish Database'!A458</f>
        <v>D457</v>
      </c>
      <c r="B1772" s="6" t="str">
        <f aca="false">'Dish Database'!B458</f>
        <v>Chilli paneer (dry)</v>
      </c>
      <c r="C1772" s="6" t="str">
        <f aca="false">'Dish Database'!D458</f>
        <v>Indo-Chinese</v>
      </c>
      <c r="D1772" s="6" t="str">
        <f aca="false">'Dish Database'!F458</f>
        <v>Veg</v>
      </c>
      <c r="E1772" s="6" t="str">
        <f aca="false">'Dish Database'!E458</f>
        <v>Indo-Chinese</v>
      </c>
      <c r="F1772" s="6" t="s">
        <v>2325</v>
      </c>
      <c r="G1772" s="6" t="s">
        <v>2326</v>
      </c>
      <c r="H1772" s="16" t="n">
        <v>350</v>
      </c>
      <c r="I1772" s="6" t="str">
        <f aca="false">'Dish Database'!I458</f>
        <v>g</v>
      </c>
      <c r="J1772" s="13" t="n">
        <f aca="false">'Dish Database'!J458*H1772/100</f>
        <v>817.6</v>
      </c>
      <c r="K1772" s="17" t="n">
        <f aca="false">'Dish Database'!K458*H1772/100</f>
        <v>38.5</v>
      </c>
      <c r="L1772" s="17" t="n">
        <f aca="false">'Dish Database'!L458*H1772/100</f>
        <v>42</v>
      </c>
      <c r="M1772" s="17" t="n">
        <f aca="false">'Dish Database'!M458*H1772/100</f>
        <v>56</v>
      </c>
      <c r="N1772" s="17" t="n">
        <f aca="false">'Dish Database'!N458*H1772/100</f>
        <v>4.2</v>
      </c>
      <c r="O1772" s="17" t="n">
        <f aca="false">'Dish Database'!O458*H1772/100</f>
        <v>15.75</v>
      </c>
      <c r="P1772" s="13" t="n">
        <f aca="false">'Dish Database'!P458*H1772/100</f>
        <v>2450</v>
      </c>
    </row>
    <row r="1773" customFormat="false" ht="15" hidden="false" customHeight="false" outlineLevel="0" collapsed="false">
      <c r="A1773" s="6" t="str">
        <f aca="false">'Dish Database'!A459</f>
        <v>D458</v>
      </c>
      <c r="B1773" s="6" t="str">
        <f aca="false">'Dish Database'!B459</f>
        <v>Chilli paneer (gravy)</v>
      </c>
      <c r="C1773" s="6" t="str">
        <f aca="false">'Dish Database'!D459</f>
        <v>Indo-Chinese</v>
      </c>
      <c r="D1773" s="6" t="str">
        <f aca="false">'Dish Database'!F459</f>
        <v>Veg</v>
      </c>
      <c r="E1773" s="6" t="str">
        <f aca="false">'Dish Database'!E459</f>
        <v>Indo-Chinese</v>
      </c>
      <c r="F1773" s="6" t="s">
        <v>2243</v>
      </c>
      <c r="G1773" s="6" t="s">
        <v>2500</v>
      </c>
      <c r="H1773" s="16" t="n">
        <v>100</v>
      </c>
      <c r="I1773" s="6" t="str">
        <f aca="false">'Dish Database'!I459</f>
        <v>g</v>
      </c>
      <c r="J1773" s="13" t="n">
        <f aca="false">'Dish Database'!J459*H1773/100</f>
        <v>178</v>
      </c>
      <c r="K1773" s="17" t="n">
        <f aca="false">'Dish Database'!K459*H1773/100</f>
        <v>8</v>
      </c>
      <c r="L1773" s="17" t="n">
        <f aca="false">'Dish Database'!L459*H1773/100</f>
        <v>10</v>
      </c>
      <c r="M1773" s="17" t="n">
        <f aca="false">'Dish Database'!M459*H1773/100</f>
        <v>12</v>
      </c>
      <c r="N1773" s="17" t="n">
        <f aca="false">'Dish Database'!N459*H1773/100</f>
        <v>1</v>
      </c>
      <c r="O1773" s="17" t="n">
        <f aca="false">'Dish Database'!O459*H1773/100</f>
        <v>4</v>
      </c>
      <c r="P1773" s="13" t="n">
        <f aca="false">'Dish Database'!P459*H1773/100</f>
        <v>650</v>
      </c>
    </row>
    <row r="1774" customFormat="false" ht="15" hidden="false" customHeight="false" outlineLevel="0" collapsed="false">
      <c r="A1774" s="6" t="str">
        <f aca="false">'Dish Database'!A459</f>
        <v>D458</v>
      </c>
      <c r="B1774" s="6" t="str">
        <f aca="false">'Dish Database'!B459</f>
        <v>Chilli paneer (gravy)</v>
      </c>
      <c r="C1774" s="6" t="str">
        <f aca="false">'Dish Database'!D459</f>
        <v>Indo-Chinese</v>
      </c>
      <c r="D1774" s="6" t="str">
        <f aca="false">'Dish Database'!F459</f>
        <v>Veg</v>
      </c>
      <c r="E1774" s="6" t="str">
        <f aca="false">'Dish Database'!E459</f>
        <v>Indo-Chinese</v>
      </c>
      <c r="F1774" s="6" t="s">
        <v>103</v>
      </c>
      <c r="G1774" s="6" t="s">
        <v>2501</v>
      </c>
      <c r="H1774" s="16" t="n">
        <v>150</v>
      </c>
      <c r="I1774" s="6" t="str">
        <f aca="false">'Dish Database'!I459</f>
        <v>g</v>
      </c>
      <c r="J1774" s="13" t="n">
        <f aca="false">'Dish Database'!J459*H1774/100</f>
        <v>267</v>
      </c>
      <c r="K1774" s="17" t="n">
        <f aca="false">'Dish Database'!K459*H1774/100</f>
        <v>12</v>
      </c>
      <c r="L1774" s="17" t="n">
        <f aca="false">'Dish Database'!L459*H1774/100</f>
        <v>15</v>
      </c>
      <c r="M1774" s="17" t="n">
        <f aca="false">'Dish Database'!M459*H1774/100</f>
        <v>18</v>
      </c>
      <c r="N1774" s="17" t="n">
        <f aca="false">'Dish Database'!N459*H1774/100</f>
        <v>1.5</v>
      </c>
      <c r="O1774" s="17" t="n">
        <f aca="false">'Dish Database'!O459*H1774/100</f>
        <v>6</v>
      </c>
      <c r="P1774" s="13" t="n">
        <f aca="false">'Dish Database'!P459*H1774/100</f>
        <v>975</v>
      </c>
    </row>
    <row r="1775" customFormat="false" ht="15" hidden="false" customHeight="false" outlineLevel="0" collapsed="false">
      <c r="A1775" s="6" t="str">
        <f aca="false">'Dish Database'!A459</f>
        <v>D458</v>
      </c>
      <c r="B1775" s="6" t="str">
        <f aca="false">'Dish Database'!B459</f>
        <v>Chilli paneer (gravy)</v>
      </c>
      <c r="C1775" s="6" t="str">
        <f aca="false">'Dish Database'!D459</f>
        <v>Indo-Chinese</v>
      </c>
      <c r="D1775" s="6" t="str">
        <f aca="false">'Dish Database'!F459</f>
        <v>Veg</v>
      </c>
      <c r="E1775" s="6" t="str">
        <f aca="false">'Dish Database'!E459</f>
        <v>Indo-Chinese</v>
      </c>
      <c r="F1775" s="6" t="s">
        <v>2246</v>
      </c>
      <c r="G1775" s="6" t="s">
        <v>2502</v>
      </c>
      <c r="H1775" s="16" t="n">
        <v>200</v>
      </c>
      <c r="I1775" s="6" t="str">
        <f aca="false">'Dish Database'!I459</f>
        <v>g</v>
      </c>
      <c r="J1775" s="13" t="n">
        <f aca="false">'Dish Database'!J459*H1775/100</f>
        <v>356</v>
      </c>
      <c r="K1775" s="17" t="n">
        <f aca="false">'Dish Database'!K459*H1775/100</f>
        <v>16</v>
      </c>
      <c r="L1775" s="17" t="n">
        <f aca="false">'Dish Database'!L459*H1775/100</f>
        <v>20</v>
      </c>
      <c r="M1775" s="17" t="n">
        <f aca="false">'Dish Database'!M459*H1775/100</f>
        <v>24</v>
      </c>
      <c r="N1775" s="17" t="n">
        <f aca="false">'Dish Database'!N459*H1775/100</f>
        <v>2</v>
      </c>
      <c r="O1775" s="17" t="n">
        <f aca="false">'Dish Database'!O459*H1775/100</f>
        <v>8</v>
      </c>
      <c r="P1775" s="13" t="n">
        <f aca="false">'Dish Database'!P459*H1775/100</f>
        <v>1300</v>
      </c>
    </row>
    <row r="1776" customFormat="false" ht="15" hidden="false" customHeight="false" outlineLevel="0" collapsed="false">
      <c r="A1776" s="6" t="str">
        <f aca="false">'Dish Database'!A459</f>
        <v>D458</v>
      </c>
      <c r="B1776" s="6" t="str">
        <f aca="false">'Dish Database'!B459</f>
        <v>Chilli paneer (gravy)</v>
      </c>
      <c r="C1776" s="6" t="str">
        <f aca="false">'Dish Database'!D459</f>
        <v>Indo-Chinese</v>
      </c>
      <c r="D1776" s="6" t="str">
        <f aca="false">'Dish Database'!F459</f>
        <v>Veg</v>
      </c>
      <c r="E1776" s="6" t="str">
        <f aca="false">'Dish Database'!E459</f>
        <v>Indo-Chinese</v>
      </c>
      <c r="F1776" s="6" t="s">
        <v>2323</v>
      </c>
      <c r="G1776" s="6" t="s">
        <v>2503</v>
      </c>
      <c r="H1776" s="16" t="n">
        <v>250</v>
      </c>
      <c r="I1776" s="6" t="str">
        <f aca="false">'Dish Database'!I459</f>
        <v>g</v>
      </c>
      <c r="J1776" s="13" t="n">
        <f aca="false">'Dish Database'!J459*H1776/100</f>
        <v>445</v>
      </c>
      <c r="K1776" s="17" t="n">
        <f aca="false">'Dish Database'!K459*H1776/100</f>
        <v>20</v>
      </c>
      <c r="L1776" s="17" t="n">
        <f aca="false">'Dish Database'!L459*H1776/100</f>
        <v>25</v>
      </c>
      <c r="M1776" s="17" t="n">
        <f aca="false">'Dish Database'!M459*H1776/100</f>
        <v>30</v>
      </c>
      <c r="N1776" s="17" t="n">
        <f aca="false">'Dish Database'!N459*H1776/100</f>
        <v>2.5</v>
      </c>
      <c r="O1776" s="17" t="n">
        <f aca="false">'Dish Database'!O459*H1776/100</f>
        <v>10</v>
      </c>
      <c r="P1776" s="13" t="n">
        <f aca="false">'Dish Database'!P459*H1776/100</f>
        <v>1625</v>
      </c>
    </row>
    <row r="1777" customFormat="false" ht="15" hidden="false" customHeight="false" outlineLevel="0" collapsed="false">
      <c r="A1777" s="6" t="str">
        <f aca="false">'Dish Database'!A459</f>
        <v>D458</v>
      </c>
      <c r="B1777" s="6" t="str">
        <f aca="false">'Dish Database'!B459</f>
        <v>Chilli paneer (gravy)</v>
      </c>
      <c r="C1777" s="6" t="str">
        <f aca="false">'Dish Database'!D459</f>
        <v>Indo-Chinese</v>
      </c>
      <c r="D1777" s="6" t="str">
        <f aca="false">'Dish Database'!F459</f>
        <v>Veg</v>
      </c>
      <c r="E1777" s="6" t="str">
        <f aca="false">'Dish Database'!E459</f>
        <v>Indo-Chinese</v>
      </c>
      <c r="F1777" s="6" t="s">
        <v>2325</v>
      </c>
      <c r="G1777" s="6" t="s">
        <v>2504</v>
      </c>
      <c r="H1777" s="16" t="n">
        <v>500</v>
      </c>
      <c r="I1777" s="6" t="str">
        <f aca="false">'Dish Database'!I459</f>
        <v>g</v>
      </c>
      <c r="J1777" s="13" t="n">
        <f aca="false">'Dish Database'!J459*H1777/100</f>
        <v>890</v>
      </c>
      <c r="K1777" s="17" t="n">
        <f aca="false">'Dish Database'!K459*H1777/100</f>
        <v>40</v>
      </c>
      <c r="L1777" s="17" t="n">
        <f aca="false">'Dish Database'!L459*H1777/100</f>
        <v>50</v>
      </c>
      <c r="M1777" s="17" t="n">
        <f aca="false">'Dish Database'!M459*H1777/100</f>
        <v>60</v>
      </c>
      <c r="N1777" s="17" t="n">
        <f aca="false">'Dish Database'!N459*H1777/100</f>
        <v>5</v>
      </c>
      <c r="O1777" s="17" t="n">
        <f aca="false">'Dish Database'!O459*H1777/100</f>
        <v>20</v>
      </c>
      <c r="P1777" s="13" t="n">
        <f aca="false">'Dish Database'!P459*H1777/100</f>
        <v>3250</v>
      </c>
    </row>
    <row r="1778" customFormat="false" ht="15" hidden="false" customHeight="false" outlineLevel="0" collapsed="false">
      <c r="A1778" s="6" t="str">
        <f aca="false">'Dish Database'!A460</f>
        <v>D459</v>
      </c>
      <c r="B1778" s="6" t="str">
        <f aca="false">'Dish Database'!B460</f>
        <v>Chilli chicken (gravy)</v>
      </c>
      <c r="C1778" s="6" t="str">
        <f aca="false">'Dish Database'!D460</f>
        <v>Indo-Chinese</v>
      </c>
      <c r="D1778" s="6" t="str">
        <f aca="false">'Dish Database'!F460</f>
        <v>Non-Veg</v>
      </c>
      <c r="E1778" s="6" t="str">
        <f aca="false">'Dish Database'!E460</f>
        <v>Indo-Chinese</v>
      </c>
      <c r="F1778" s="6" t="s">
        <v>2243</v>
      </c>
      <c r="G1778" s="6" t="s">
        <v>2500</v>
      </c>
      <c r="H1778" s="16" t="n">
        <v>100</v>
      </c>
      <c r="I1778" s="6" t="str">
        <f aca="false">'Dish Database'!I460</f>
        <v>g</v>
      </c>
      <c r="J1778" s="13" t="n">
        <f aca="false">'Dish Database'!J460*H1778/100</f>
        <v>163.4</v>
      </c>
      <c r="K1778" s="17" t="n">
        <f aca="false">'Dish Database'!K460*H1778/100</f>
        <v>11</v>
      </c>
      <c r="L1778" s="17" t="n">
        <f aca="false">'Dish Database'!L460*H1778/100</f>
        <v>10</v>
      </c>
      <c r="M1778" s="17" t="n">
        <f aca="false">'Dish Database'!M460*H1778/100</f>
        <v>9</v>
      </c>
      <c r="N1778" s="17" t="n">
        <f aca="false">'Dish Database'!N460*H1778/100</f>
        <v>0.8</v>
      </c>
      <c r="O1778" s="17" t="n">
        <f aca="false">'Dish Database'!O460*H1778/100</f>
        <v>4</v>
      </c>
      <c r="P1778" s="13" t="n">
        <f aca="false">'Dish Database'!P460*H1778/100</f>
        <v>700</v>
      </c>
    </row>
    <row r="1779" customFormat="false" ht="15" hidden="false" customHeight="false" outlineLevel="0" collapsed="false">
      <c r="A1779" s="6" t="str">
        <f aca="false">'Dish Database'!A460</f>
        <v>D459</v>
      </c>
      <c r="B1779" s="6" t="str">
        <f aca="false">'Dish Database'!B460</f>
        <v>Chilli chicken (gravy)</v>
      </c>
      <c r="C1779" s="6" t="str">
        <f aca="false">'Dish Database'!D460</f>
        <v>Indo-Chinese</v>
      </c>
      <c r="D1779" s="6" t="str">
        <f aca="false">'Dish Database'!F460</f>
        <v>Non-Veg</v>
      </c>
      <c r="E1779" s="6" t="str">
        <f aca="false">'Dish Database'!E460</f>
        <v>Indo-Chinese</v>
      </c>
      <c r="F1779" s="6" t="s">
        <v>103</v>
      </c>
      <c r="G1779" s="6" t="s">
        <v>2501</v>
      </c>
      <c r="H1779" s="16" t="n">
        <v>150</v>
      </c>
      <c r="I1779" s="6" t="str">
        <f aca="false">'Dish Database'!I460</f>
        <v>g</v>
      </c>
      <c r="J1779" s="13" t="n">
        <f aca="false">'Dish Database'!J460*H1779/100</f>
        <v>245.1</v>
      </c>
      <c r="K1779" s="17" t="n">
        <f aca="false">'Dish Database'!K460*H1779/100</f>
        <v>16.5</v>
      </c>
      <c r="L1779" s="17" t="n">
        <f aca="false">'Dish Database'!L460*H1779/100</f>
        <v>15</v>
      </c>
      <c r="M1779" s="17" t="n">
        <f aca="false">'Dish Database'!M460*H1779/100</f>
        <v>13.5</v>
      </c>
      <c r="N1779" s="17" t="n">
        <f aca="false">'Dish Database'!N460*H1779/100</f>
        <v>1.2</v>
      </c>
      <c r="O1779" s="17" t="n">
        <f aca="false">'Dish Database'!O460*H1779/100</f>
        <v>6</v>
      </c>
      <c r="P1779" s="13" t="n">
        <f aca="false">'Dish Database'!P460*H1779/100</f>
        <v>1050</v>
      </c>
    </row>
    <row r="1780" customFormat="false" ht="15" hidden="false" customHeight="false" outlineLevel="0" collapsed="false">
      <c r="A1780" s="6" t="str">
        <f aca="false">'Dish Database'!A460</f>
        <v>D459</v>
      </c>
      <c r="B1780" s="6" t="str">
        <f aca="false">'Dish Database'!B460</f>
        <v>Chilli chicken (gravy)</v>
      </c>
      <c r="C1780" s="6" t="str">
        <f aca="false">'Dish Database'!D460</f>
        <v>Indo-Chinese</v>
      </c>
      <c r="D1780" s="6" t="str">
        <f aca="false">'Dish Database'!F460</f>
        <v>Non-Veg</v>
      </c>
      <c r="E1780" s="6" t="str">
        <f aca="false">'Dish Database'!E460</f>
        <v>Indo-Chinese</v>
      </c>
      <c r="F1780" s="6" t="s">
        <v>2246</v>
      </c>
      <c r="G1780" s="6" t="s">
        <v>2502</v>
      </c>
      <c r="H1780" s="16" t="n">
        <v>200</v>
      </c>
      <c r="I1780" s="6" t="str">
        <f aca="false">'Dish Database'!I460</f>
        <v>g</v>
      </c>
      <c r="J1780" s="13" t="n">
        <f aca="false">'Dish Database'!J460*H1780/100</f>
        <v>326.8</v>
      </c>
      <c r="K1780" s="17" t="n">
        <f aca="false">'Dish Database'!K460*H1780/100</f>
        <v>22</v>
      </c>
      <c r="L1780" s="17" t="n">
        <f aca="false">'Dish Database'!L460*H1780/100</f>
        <v>20</v>
      </c>
      <c r="M1780" s="17" t="n">
        <f aca="false">'Dish Database'!M460*H1780/100</f>
        <v>18</v>
      </c>
      <c r="N1780" s="17" t="n">
        <f aca="false">'Dish Database'!N460*H1780/100</f>
        <v>1.6</v>
      </c>
      <c r="O1780" s="17" t="n">
        <f aca="false">'Dish Database'!O460*H1780/100</f>
        <v>8</v>
      </c>
      <c r="P1780" s="13" t="n">
        <f aca="false">'Dish Database'!P460*H1780/100</f>
        <v>1400</v>
      </c>
    </row>
    <row r="1781" customFormat="false" ht="15" hidden="false" customHeight="false" outlineLevel="0" collapsed="false">
      <c r="A1781" s="6" t="str">
        <f aca="false">'Dish Database'!A460</f>
        <v>D459</v>
      </c>
      <c r="B1781" s="6" t="str">
        <f aca="false">'Dish Database'!B460</f>
        <v>Chilli chicken (gravy)</v>
      </c>
      <c r="C1781" s="6" t="str">
        <f aca="false">'Dish Database'!D460</f>
        <v>Indo-Chinese</v>
      </c>
      <c r="D1781" s="6" t="str">
        <f aca="false">'Dish Database'!F460</f>
        <v>Non-Veg</v>
      </c>
      <c r="E1781" s="6" t="str">
        <f aca="false">'Dish Database'!E460</f>
        <v>Indo-Chinese</v>
      </c>
      <c r="F1781" s="6" t="s">
        <v>2323</v>
      </c>
      <c r="G1781" s="6" t="s">
        <v>2503</v>
      </c>
      <c r="H1781" s="16" t="n">
        <v>250</v>
      </c>
      <c r="I1781" s="6" t="str">
        <f aca="false">'Dish Database'!I460</f>
        <v>g</v>
      </c>
      <c r="J1781" s="13" t="n">
        <f aca="false">'Dish Database'!J460*H1781/100</f>
        <v>408.5</v>
      </c>
      <c r="K1781" s="17" t="n">
        <f aca="false">'Dish Database'!K460*H1781/100</f>
        <v>27.5</v>
      </c>
      <c r="L1781" s="17" t="n">
        <f aca="false">'Dish Database'!L460*H1781/100</f>
        <v>25</v>
      </c>
      <c r="M1781" s="17" t="n">
        <f aca="false">'Dish Database'!M460*H1781/100</f>
        <v>22.5</v>
      </c>
      <c r="N1781" s="17" t="n">
        <f aca="false">'Dish Database'!N460*H1781/100</f>
        <v>2</v>
      </c>
      <c r="O1781" s="17" t="n">
        <f aca="false">'Dish Database'!O460*H1781/100</f>
        <v>10</v>
      </c>
      <c r="P1781" s="13" t="n">
        <f aca="false">'Dish Database'!P460*H1781/100</f>
        <v>1750</v>
      </c>
    </row>
    <row r="1782" customFormat="false" ht="15" hidden="false" customHeight="false" outlineLevel="0" collapsed="false">
      <c r="A1782" s="6" t="str">
        <f aca="false">'Dish Database'!A460</f>
        <v>D459</v>
      </c>
      <c r="B1782" s="6" t="str">
        <f aca="false">'Dish Database'!B460</f>
        <v>Chilli chicken (gravy)</v>
      </c>
      <c r="C1782" s="6" t="str">
        <f aca="false">'Dish Database'!D460</f>
        <v>Indo-Chinese</v>
      </c>
      <c r="D1782" s="6" t="str">
        <f aca="false">'Dish Database'!F460</f>
        <v>Non-Veg</v>
      </c>
      <c r="E1782" s="6" t="str">
        <f aca="false">'Dish Database'!E460</f>
        <v>Indo-Chinese</v>
      </c>
      <c r="F1782" s="6" t="s">
        <v>2325</v>
      </c>
      <c r="G1782" s="6" t="s">
        <v>2504</v>
      </c>
      <c r="H1782" s="16" t="n">
        <v>500</v>
      </c>
      <c r="I1782" s="6" t="str">
        <f aca="false">'Dish Database'!I460</f>
        <v>g</v>
      </c>
      <c r="J1782" s="13" t="n">
        <f aca="false">'Dish Database'!J460*H1782/100</f>
        <v>817</v>
      </c>
      <c r="K1782" s="17" t="n">
        <f aca="false">'Dish Database'!K460*H1782/100</f>
        <v>55</v>
      </c>
      <c r="L1782" s="17" t="n">
        <f aca="false">'Dish Database'!L460*H1782/100</f>
        <v>50</v>
      </c>
      <c r="M1782" s="17" t="n">
        <f aca="false">'Dish Database'!M460*H1782/100</f>
        <v>45</v>
      </c>
      <c r="N1782" s="17" t="n">
        <f aca="false">'Dish Database'!N460*H1782/100</f>
        <v>4</v>
      </c>
      <c r="O1782" s="17" t="n">
        <f aca="false">'Dish Database'!O460*H1782/100</f>
        <v>20</v>
      </c>
      <c r="P1782" s="13" t="n">
        <f aca="false">'Dish Database'!P460*H1782/100</f>
        <v>3500</v>
      </c>
    </row>
    <row r="1783" customFormat="false" ht="15" hidden="false" customHeight="false" outlineLevel="0" collapsed="false">
      <c r="A1783" s="6" t="str">
        <f aca="false">'Dish Database'!A461</f>
        <v>D460</v>
      </c>
      <c r="B1783" s="6" t="str">
        <f aca="false">'Dish Database'!B461</f>
        <v>Chicken manchurian (gravy)</v>
      </c>
      <c r="C1783" s="6" t="str">
        <f aca="false">'Dish Database'!D461</f>
        <v>Indo-Chinese</v>
      </c>
      <c r="D1783" s="6" t="str">
        <f aca="false">'Dish Database'!F461</f>
        <v>Non-Veg</v>
      </c>
      <c r="E1783" s="6" t="str">
        <f aca="false">'Dish Database'!E461</f>
        <v>Indo-Chinese</v>
      </c>
      <c r="F1783" s="6" t="s">
        <v>2243</v>
      </c>
      <c r="G1783" s="6" t="s">
        <v>2500</v>
      </c>
      <c r="H1783" s="16" t="n">
        <v>100</v>
      </c>
      <c r="I1783" s="6" t="str">
        <f aca="false">'Dish Database'!I461</f>
        <v>g</v>
      </c>
      <c r="J1783" s="13" t="n">
        <f aca="false">'Dish Database'!J461*H1783/100</f>
        <v>159.4</v>
      </c>
      <c r="K1783" s="17" t="n">
        <f aca="false">'Dish Database'!K461*H1783/100</f>
        <v>10</v>
      </c>
      <c r="L1783" s="17" t="n">
        <f aca="false">'Dish Database'!L461*H1783/100</f>
        <v>10</v>
      </c>
      <c r="M1783" s="17" t="n">
        <f aca="false">'Dish Database'!M461*H1783/100</f>
        <v>9</v>
      </c>
      <c r="N1783" s="17" t="n">
        <f aca="false">'Dish Database'!N461*H1783/100</f>
        <v>0.8</v>
      </c>
      <c r="O1783" s="17" t="n">
        <f aca="false">'Dish Database'!O461*H1783/100</f>
        <v>4</v>
      </c>
      <c r="P1783" s="13" t="n">
        <f aca="false">'Dish Database'!P461*H1783/100</f>
        <v>700</v>
      </c>
    </row>
    <row r="1784" customFormat="false" ht="15" hidden="false" customHeight="false" outlineLevel="0" collapsed="false">
      <c r="A1784" s="6" t="str">
        <f aca="false">'Dish Database'!A461</f>
        <v>D460</v>
      </c>
      <c r="B1784" s="6" t="str">
        <f aca="false">'Dish Database'!B461</f>
        <v>Chicken manchurian (gravy)</v>
      </c>
      <c r="C1784" s="6" t="str">
        <f aca="false">'Dish Database'!D461</f>
        <v>Indo-Chinese</v>
      </c>
      <c r="D1784" s="6" t="str">
        <f aca="false">'Dish Database'!F461</f>
        <v>Non-Veg</v>
      </c>
      <c r="E1784" s="6" t="str">
        <f aca="false">'Dish Database'!E461</f>
        <v>Indo-Chinese</v>
      </c>
      <c r="F1784" s="6" t="s">
        <v>103</v>
      </c>
      <c r="G1784" s="6" t="s">
        <v>2501</v>
      </c>
      <c r="H1784" s="16" t="n">
        <v>150</v>
      </c>
      <c r="I1784" s="6" t="str">
        <f aca="false">'Dish Database'!I461</f>
        <v>g</v>
      </c>
      <c r="J1784" s="13" t="n">
        <f aca="false">'Dish Database'!J461*H1784/100</f>
        <v>239.1</v>
      </c>
      <c r="K1784" s="17" t="n">
        <f aca="false">'Dish Database'!K461*H1784/100</f>
        <v>15</v>
      </c>
      <c r="L1784" s="17" t="n">
        <f aca="false">'Dish Database'!L461*H1784/100</f>
        <v>15</v>
      </c>
      <c r="M1784" s="17" t="n">
        <f aca="false">'Dish Database'!M461*H1784/100</f>
        <v>13.5</v>
      </c>
      <c r="N1784" s="17" t="n">
        <f aca="false">'Dish Database'!N461*H1784/100</f>
        <v>1.2</v>
      </c>
      <c r="O1784" s="17" t="n">
        <f aca="false">'Dish Database'!O461*H1784/100</f>
        <v>6</v>
      </c>
      <c r="P1784" s="13" t="n">
        <f aca="false">'Dish Database'!P461*H1784/100</f>
        <v>1050</v>
      </c>
    </row>
    <row r="1785" customFormat="false" ht="15" hidden="false" customHeight="false" outlineLevel="0" collapsed="false">
      <c r="A1785" s="6" t="str">
        <f aca="false">'Dish Database'!A461</f>
        <v>D460</v>
      </c>
      <c r="B1785" s="6" t="str">
        <f aca="false">'Dish Database'!B461</f>
        <v>Chicken manchurian (gravy)</v>
      </c>
      <c r="C1785" s="6" t="str">
        <f aca="false">'Dish Database'!D461</f>
        <v>Indo-Chinese</v>
      </c>
      <c r="D1785" s="6" t="str">
        <f aca="false">'Dish Database'!F461</f>
        <v>Non-Veg</v>
      </c>
      <c r="E1785" s="6" t="str">
        <f aca="false">'Dish Database'!E461</f>
        <v>Indo-Chinese</v>
      </c>
      <c r="F1785" s="6" t="s">
        <v>2246</v>
      </c>
      <c r="G1785" s="6" t="s">
        <v>2502</v>
      </c>
      <c r="H1785" s="16" t="n">
        <v>200</v>
      </c>
      <c r="I1785" s="6" t="str">
        <f aca="false">'Dish Database'!I461</f>
        <v>g</v>
      </c>
      <c r="J1785" s="13" t="n">
        <f aca="false">'Dish Database'!J461*H1785/100</f>
        <v>318.8</v>
      </c>
      <c r="K1785" s="17" t="n">
        <f aca="false">'Dish Database'!K461*H1785/100</f>
        <v>20</v>
      </c>
      <c r="L1785" s="17" t="n">
        <f aca="false">'Dish Database'!L461*H1785/100</f>
        <v>20</v>
      </c>
      <c r="M1785" s="17" t="n">
        <f aca="false">'Dish Database'!M461*H1785/100</f>
        <v>18</v>
      </c>
      <c r="N1785" s="17" t="n">
        <f aca="false">'Dish Database'!N461*H1785/100</f>
        <v>1.6</v>
      </c>
      <c r="O1785" s="17" t="n">
        <f aca="false">'Dish Database'!O461*H1785/100</f>
        <v>8</v>
      </c>
      <c r="P1785" s="13" t="n">
        <f aca="false">'Dish Database'!P461*H1785/100</f>
        <v>1400</v>
      </c>
    </row>
    <row r="1786" customFormat="false" ht="15" hidden="false" customHeight="false" outlineLevel="0" collapsed="false">
      <c r="A1786" s="6" t="str">
        <f aca="false">'Dish Database'!A461</f>
        <v>D460</v>
      </c>
      <c r="B1786" s="6" t="str">
        <f aca="false">'Dish Database'!B461</f>
        <v>Chicken manchurian (gravy)</v>
      </c>
      <c r="C1786" s="6" t="str">
        <f aca="false">'Dish Database'!D461</f>
        <v>Indo-Chinese</v>
      </c>
      <c r="D1786" s="6" t="str">
        <f aca="false">'Dish Database'!F461</f>
        <v>Non-Veg</v>
      </c>
      <c r="E1786" s="6" t="str">
        <f aca="false">'Dish Database'!E461</f>
        <v>Indo-Chinese</v>
      </c>
      <c r="F1786" s="6" t="s">
        <v>2323</v>
      </c>
      <c r="G1786" s="6" t="s">
        <v>2503</v>
      </c>
      <c r="H1786" s="16" t="n">
        <v>250</v>
      </c>
      <c r="I1786" s="6" t="str">
        <f aca="false">'Dish Database'!I461</f>
        <v>g</v>
      </c>
      <c r="J1786" s="13" t="n">
        <f aca="false">'Dish Database'!J461*H1786/100</f>
        <v>398.5</v>
      </c>
      <c r="K1786" s="17" t="n">
        <f aca="false">'Dish Database'!K461*H1786/100</f>
        <v>25</v>
      </c>
      <c r="L1786" s="17" t="n">
        <f aca="false">'Dish Database'!L461*H1786/100</f>
        <v>25</v>
      </c>
      <c r="M1786" s="17" t="n">
        <f aca="false">'Dish Database'!M461*H1786/100</f>
        <v>22.5</v>
      </c>
      <c r="N1786" s="17" t="n">
        <f aca="false">'Dish Database'!N461*H1786/100</f>
        <v>2</v>
      </c>
      <c r="O1786" s="17" t="n">
        <f aca="false">'Dish Database'!O461*H1786/100</f>
        <v>10</v>
      </c>
      <c r="P1786" s="13" t="n">
        <f aca="false">'Dish Database'!P461*H1786/100</f>
        <v>1750</v>
      </c>
    </row>
    <row r="1787" customFormat="false" ht="15" hidden="false" customHeight="false" outlineLevel="0" collapsed="false">
      <c r="A1787" s="6" t="str">
        <f aca="false">'Dish Database'!A461</f>
        <v>D460</v>
      </c>
      <c r="B1787" s="6" t="str">
        <f aca="false">'Dish Database'!B461</f>
        <v>Chicken manchurian (gravy)</v>
      </c>
      <c r="C1787" s="6" t="str">
        <f aca="false">'Dish Database'!D461</f>
        <v>Indo-Chinese</v>
      </c>
      <c r="D1787" s="6" t="str">
        <f aca="false">'Dish Database'!F461</f>
        <v>Non-Veg</v>
      </c>
      <c r="E1787" s="6" t="str">
        <f aca="false">'Dish Database'!E461</f>
        <v>Indo-Chinese</v>
      </c>
      <c r="F1787" s="6" t="s">
        <v>2325</v>
      </c>
      <c r="G1787" s="6" t="s">
        <v>2504</v>
      </c>
      <c r="H1787" s="16" t="n">
        <v>500</v>
      </c>
      <c r="I1787" s="6" t="str">
        <f aca="false">'Dish Database'!I461</f>
        <v>g</v>
      </c>
      <c r="J1787" s="13" t="n">
        <f aca="false">'Dish Database'!J461*H1787/100</f>
        <v>797</v>
      </c>
      <c r="K1787" s="17" t="n">
        <f aca="false">'Dish Database'!K461*H1787/100</f>
        <v>50</v>
      </c>
      <c r="L1787" s="17" t="n">
        <f aca="false">'Dish Database'!L461*H1787/100</f>
        <v>50</v>
      </c>
      <c r="M1787" s="17" t="n">
        <f aca="false">'Dish Database'!M461*H1787/100</f>
        <v>45</v>
      </c>
      <c r="N1787" s="17" t="n">
        <f aca="false">'Dish Database'!N461*H1787/100</f>
        <v>4</v>
      </c>
      <c r="O1787" s="17" t="n">
        <f aca="false">'Dish Database'!O461*H1787/100</f>
        <v>20</v>
      </c>
      <c r="P1787" s="13" t="n">
        <f aca="false">'Dish Database'!P461*H1787/100</f>
        <v>3500</v>
      </c>
    </row>
    <row r="1788" customFormat="false" ht="15" hidden="false" customHeight="false" outlineLevel="0" collapsed="false">
      <c r="A1788" s="6" t="str">
        <f aca="false">'Dish Database'!A462</f>
        <v>D461</v>
      </c>
      <c r="B1788" s="6" t="str">
        <f aca="false">'Dish Database'!B462</f>
        <v>Crispy corn (salt &amp; pepper)</v>
      </c>
      <c r="C1788" s="6" t="str">
        <f aca="false">'Dish Database'!D462</f>
        <v>Indo-Chinese</v>
      </c>
      <c r="D1788" s="6" t="str">
        <f aca="false">'Dish Database'!F462</f>
        <v>Veg</v>
      </c>
      <c r="E1788" s="6" t="str">
        <f aca="false">'Dish Database'!E462</f>
        <v>Indo-Chinese</v>
      </c>
      <c r="F1788" s="6" t="s">
        <v>2243</v>
      </c>
      <c r="G1788" s="6" t="s">
        <v>2430</v>
      </c>
      <c r="H1788" s="16" t="n">
        <v>100</v>
      </c>
      <c r="I1788" s="6" t="str">
        <f aca="false">'Dish Database'!I462</f>
        <v>g</v>
      </c>
      <c r="J1788" s="13" t="n">
        <f aca="false">'Dish Database'!J462*H1788/100</f>
        <v>242</v>
      </c>
      <c r="K1788" s="17" t="n">
        <f aca="false">'Dish Database'!K462*H1788/100</f>
        <v>5</v>
      </c>
      <c r="L1788" s="17" t="n">
        <f aca="false">'Dish Database'!L462*H1788/100</f>
        <v>30</v>
      </c>
      <c r="M1788" s="17" t="n">
        <f aca="false">'Dish Database'!M462*H1788/100</f>
        <v>12</v>
      </c>
      <c r="N1788" s="17" t="n">
        <f aca="false">'Dish Database'!N462*H1788/100</f>
        <v>3</v>
      </c>
      <c r="O1788" s="17" t="n">
        <f aca="false">'Dish Database'!O462*H1788/100</f>
        <v>4</v>
      </c>
      <c r="P1788" s="13" t="n">
        <f aca="false">'Dish Database'!P462*H1788/100</f>
        <v>500</v>
      </c>
    </row>
    <row r="1789" customFormat="false" ht="15" hidden="false" customHeight="false" outlineLevel="0" collapsed="false">
      <c r="A1789" s="6" t="str">
        <f aca="false">'Dish Database'!A462</f>
        <v>D461</v>
      </c>
      <c r="B1789" s="6" t="str">
        <f aca="false">'Dish Database'!B462</f>
        <v>Crispy corn (salt &amp; pepper)</v>
      </c>
      <c r="C1789" s="6" t="str">
        <f aca="false">'Dish Database'!D462</f>
        <v>Indo-Chinese</v>
      </c>
      <c r="D1789" s="6" t="str">
        <f aca="false">'Dish Database'!F462</f>
        <v>Veg</v>
      </c>
      <c r="E1789" s="6" t="str">
        <f aca="false">'Dish Database'!E462</f>
        <v>Indo-Chinese</v>
      </c>
      <c r="F1789" s="6" t="s">
        <v>103</v>
      </c>
      <c r="G1789" s="6" t="s">
        <v>2431</v>
      </c>
      <c r="H1789" s="16" t="n">
        <v>150</v>
      </c>
      <c r="I1789" s="6" t="str">
        <f aca="false">'Dish Database'!I462</f>
        <v>g</v>
      </c>
      <c r="J1789" s="13" t="n">
        <f aca="false">'Dish Database'!J462*H1789/100</f>
        <v>363</v>
      </c>
      <c r="K1789" s="17" t="n">
        <f aca="false">'Dish Database'!K462*H1789/100</f>
        <v>7.5</v>
      </c>
      <c r="L1789" s="17" t="n">
        <f aca="false">'Dish Database'!L462*H1789/100</f>
        <v>45</v>
      </c>
      <c r="M1789" s="17" t="n">
        <f aca="false">'Dish Database'!M462*H1789/100</f>
        <v>18</v>
      </c>
      <c r="N1789" s="17" t="n">
        <f aca="false">'Dish Database'!N462*H1789/100</f>
        <v>4.5</v>
      </c>
      <c r="O1789" s="17" t="n">
        <f aca="false">'Dish Database'!O462*H1789/100</f>
        <v>6</v>
      </c>
      <c r="P1789" s="13" t="n">
        <f aca="false">'Dish Database'!P462*H1789/100</f>
        <v>750</v>
      </c>
    </row>
    <row r="1790" customFormat="false" ht="15" hidden="false" customHeight="false" outlineLevel="0" collapsed="false">
      <c r="A1790" s="6" t="str">
        <f aca="false">'Dish Database'!A462</f>
        <v>D461</v>
      </c>
      <c r="B1790" s="6" t="str">
        <f aca="false">'Dish Database'!B462</f>
        <v>Crispy corn (salt &amp; pepper)</v>
      </c>
      <c r="C1790" s="6" t="str">
        <f aca="false">'Dish Database'!D462</f>
        <v>Indo-Chinese</v>
      </c>
      <c r="D1790" s="6" t="str">
        <f aca="false">'Dish Database'!F462</f>
        <v>Veg</v>
      </c>
      <c r="E1790" s="6" t="str">
        <f aca="false">'Dish Database'!E462</f>
        <v>Indo-Chinese</v>
      </c>
      <c r="F1790" s="6" t="s">
        <v>2246</v>
      </c>
      <c r="G1790" s="6" t="s">
        <v>2520</v>
      </c>
      <c r="H1790" s="16" t="n">
        <v>200</v>
      </c>
      <c r="I1790" s="6" t="str">
        <f aca="false">'Dish Database'!I462</f>
        <v>g</v>
      </c>
      <c r="J1790" s="13" t="n">
        <f aca="false">'Dish Database'!J462*H1790/100</f>
        <v>484</v>
      </c>
      <c r="K1790" s="17" t="n">
        <f aca="false">'Dish Database'!K462*H1790/100</f>
        <v>10</v>
      </c>
      <c r="L1790" s="17" t="n">
        <f aca="false">'Dish Database'!L462*H1790/100</f>
        <v>60</v>
      </c>
      <c r="M1790" s="17" t="n">
        <f aca="false">'Dish Database'!M462*H1790/100</f>
        <v>24</v>
      </c>
      <c r="N1790" s="17" t="n">
        <f aca="false">'Dish Database'!N462*H1790/100</f>
        <v>6</v>
      </c>
      <c r="O1790" s="17" t="n">
        <f aca="false">'Dish Database'!O462*H1790/100</f>
        <v>8</v>
      </c>
      <c r="P1790" s="13" t="n">
        <f aca="false">'Dish Database'!P462*H1790/100</f>
        <v>1000</v>
      </c>
    </row>
    <row r="1791" customFormat="false" ht="15" hidden="false" customHeight="false" outlineLevel="0" collapsed="false">
      <c r="A1791" s="6" t="str">
        <f aca="false">'Dish Database'!A462</f>
        <v>D461</v>
      </c>
      <c r="B1791" s="6" t="str">
        <f aca="false">'Dish Database'!B462</f>
        <v>Crispy corn (salt &amp; pepper)</v>
      </c>
      <c r="C1791" s="6" t="str">
        <f aca="false">'Dish Database'!D462</f>
        <v>Indo-Chinese</v>
      </c>
      <c r="D1791" s="6" t="str">
        <f aca="false">'Dish Database'!F462</f>
        <v>Veg</v>
      </c>
      <c r="E1791" s="6" t="str">
        <f aca="false">'Dish Database'!E462</f>
        <v>Indo-Chinese</v>
      </c>
      <c r="F1791" s="6" t="s">
        <v>2323</v>
      </c>
      <c r="G1791" s="6" t="s">
        <v>2324</v>
      </c>
      <c r="H1791" s="16" t="n">
        <v>180</v>
      </c>
      <c r="I1791" s="6" t="str">
        <f aca="false">'Dish Database'!I462</f>
        <v>g</v>
      </c>
      <c r="J1791" s="13" t="n">
        <f aca="false">'Dish Database'!J462*H1791/100</f>
        <v>435.6</v>
      </c>
      <c r="K1791" s="17" t="n">
        <f aca="false">'Dish Database'!K462*H1791/100</f>
        <v>9</v>
      </c>
      <c r="L1791" s="17" t="n">
        <f aca="false">'Dish Database'!L462*H1791/100</f>
        <v>54</v>
      </c>
      <c r="M1791" s="17" t="n">
        <f aca="false">'Dish Database'!M462*H1791/100</f>
        <v>21.6</v>
      </c>
      <c r="N1791" s="17" t="n">
        <f aca="false">'Dish Database'!N462*H1791/100</f>
        <v>5.4</v>
      </c>
      <c r="O1791" s="17" t="n">
        <f aca="false">'Dish Database'!O462*H1791/100</f>
        <v>7.2</v>
      </c>
      <c r="P1791" s="13" t="n">
        <f aca="false">'Dish Database'!P462*H1791/100</f>
        <v>900</v>
      </c>
    </row>
    <row r="1792" customFormat="false" ht="15" hidden="false" customHeight="false" outlineLevel="0" collapsed="false">
      <c r="A1792" s="6" t="str">
        <f aca="false">'Dish Database'!A462</f>
        <v>D461</v>
      </c>
      <c r="B1792" s="6" t="str">
        <f aca="false">'Dish Database'!B462</f>
        <v>Crispy corn (salt &amp; pepper)</v>
      </c>
      <c r="C1792" s="6" t="str">
        <f aca="false">'Dish Database'!D462</f>
        <v>Indo-Chinese</v>
      </c>
      <c r="D1792" s="6" t="str">
        <f aca="false">'Dish Database'!F462</f>
        <v>Veg</v>
      </c>
      <c r="E1792" s="6" t="str">
        <f aca="false">'Dish Database'!E462</f>
        <v>Indo-Chinese</v>
      </c>
      <c r="F1792" s="6" t="s">
        <v>2325</v>
      </c>
      <c r="G1792" s="6" t="s">
        <v>2326</v>
      </c>
      <c r="H1792" s="16" t="n">
        <v>350</v>
      </c>
      <c r="I1792" s="6" t="str">
        <f aca="false">'Dish Database'!I462</f>
        <v>g</v>
      </c>
      <c r="J1792" s="13" t="n">
        <f aca="false">'Dish Database'!J462*H1792/100</f>
        <v>847</v>
      </c>
      <c r="K1792" s="17" t="n">
        <f aca="false">'Dish Database'!K462*H1792/100</f>
        <v>17.5</v>
      </c>
      <c r="L1792" s="17" t="n">
        <f aca="false">'Dish Database'!L462*H1792/100</f>
        <v>105</v>
      </c>
      <c r="M1792" s="17" t="n">
        <f aca="false">'Dish Database'!M462*H1792/100</f>
        <v>42</v>
      </c>
      <c r="N1792" s="17" t="n">
        <f aca="false">'Dish Database'!N462*H1792/100</f>
        <v>10.5</v>
      </c>
      <c r="O1792" s="17" t="n">
        <f aca="false">'Dish Database'!O462*H1792/100</f>
        <v>14</v>
      </c>
      <c r="P1792" s="13" t="n">
        <f aca="false">'Dish Database'!P462*H1792/100</f>
        <v>1750</v>
      </c>
    </row>
    <row r="1793" customFormat="false" ht="15" hidden="false" customHeight="false" outlineLevel="0" collapsed="false">
      <c r="A1793" s="6" t="str">
        <f aca="false">'Dish Database'!A463</f>
        <v>D462</v>
      </c>
      <c r="B1793" s="6" t="str">
        <f aca="false">'Dish Database'!B463</f>
        <v>Honey chilli potato</v>
      </c>
      <c r="C1793" s="6" t="str">
        <f aca="false">'Dish Database'!D463</f>
        <v>Indo-Chinese</v>
      </c>
      <c r="D1793" s="6" t="str">
        <f aca="false">'Dish Database'!F463</f>
        <v>Veg</v>
      </c>
      <c r="E1793" s="6" t="str">
        <f aca="false">'Dish Database'!E463</f>
        <v>Indo-Chinese</v>
      </c>
      <c r="F1793" s="6" t="s">
        <v>2243</v>
      </c>
      <c r="G1793" s="6" t="s">
        <v>2430</v>
      </c>
      <c r="H1793" s="16" t="n">
        <v>100</v>
      </c>
      <c r="I1793" s="6" t="str">
        <f aca="false">'Dish Database'!I463</f>
        <v>g</v>
      </c>
      <c r="J1793" s="13" t="n">
        <f aca="false">'Dish Database'!J463*H1793/100</f>
        <v>251</v>
      </c>
      <c r="K1793" s="17" t="n">
        <f aca="false">'Dish Database'!K463*H1793/100</f>
        <v>3</v>
      </c>
      <c r="L1793" s="17" t="n">
        <f aca="false">'Dish Database'!L463*H1793/100</f>
        <v>34</v>
      </c>
      <c r="M1793" s="17" t="n">
        <f aca="false">'Dish Database'!M463*H1793/100</f>
        <v>12</v>
      </c>
      <c r="N1793" s="17" t="n">
        <f aca="false">'Dish Database'!N463*H1793/100</f>
        <v>2.5</v>
      </c>
      <c r="O1793" s="17" t="n">
        <f aca="false">'Dish Database'!O463*H1793/100</f>
        <v>10</v>
      </c>
      <c r="P1793" s="13" t="n">
        <f aca="false">'Dish Database'!P463*H1793/100</f>
        <v>500</v>
      </c>
    </row>
    <row r="1794" customFormat="false" ht="15" hidden="false" customHeight="false" outlineLevel="0" collapsed="false">
      <c r="A1794" s="6" t="str">
        <f aca="false">'Dish Database'!A463</f>
        <v>D462</v>
      </c>
      <c r="B1794" s="6" t="str">
        <f aca="false">'Dish Database'!B463</f>
        <v>Honey chilli potato</v>
      </c>
      <c r="C1794" s="6" t="str">
        <f aca="false">'Dish Database'!D463</f>
        <v>Indo-Chinese</v>
      </c>
      <c r="D1794" s="6" t="str">
        <f aca="false">'Dish Database'!F463</f>
        <v>Veg</v>
      </c>
      <c r="E1794" s="6" t="str">
        <f aca="false">'Dish Database'!E463</f>
        <v>Indo-Chinese</v>
      </c>
      <c r="F1794" s="6" t="s">
        <v>103</v>
      </c>
      <c r="G1794" s="6" t="s">
        <v>2431</v>
      </c>
      <c r="H1794" s="16" t="n">
        <v>150</v>
      </c>
      <c r="I1794" s="6" t="str">
        <f aca="false">'Dish Database'!I463</f>
        <v>g</v>
      </c>
      <c r="J1794" s="13" t="n">
        <f aca="false">'Dish Database'!J463*H1794/100</f>
        <v>376.5</v>
      </c>
      <c r="K1794" s="17" t="n">
        <f aca="false">'Dish Database'!K463*H1794/100</f>
        <v>4.5</v>
      </c>
      <c r="L1794" s="17" t="n">
        <f aca="false">'Dish Database'!L463*H1794/100</f>
        <v>51</v>
      </c>
      <c r="M1794" s="17" t="n">
        <f aca="false">'Dish Database'!M463*H1794/100</f>
        <v>18</v>
      </c>
      <c r="N1794" s="17" t="n">
        <f aca="false">'Dish Database'!N463*H1794/100</f>
        <v>3.75</v>
      </c>
      <c r="O1794" s="17" t="n">
        <f aca="false">'Dish Database'!O463*H1794/100</f>
        <v>15</v>
      </c>
      <c r="P1794" s="13" t="n">
        <f aca="false">'Dish Database'!P463*H1794/100</f>
        <v>750</v>
      </c>
    </row>
    <row r="1795" customFormat="false" ht="15" hidden="false" customHeight="false" outlineLevel="0" collapsed="false">
      <c r="A1795" s="6" t="str">
        <f aca="false">'Dish Database'!A463</f>
        <v>D462</v>
      </c>
      <c r="B1795" s="6" t="str">
        <f aca="false">'Dish Database'!B463</f>
        <v>Honey chilli potato</v>
      </c>
      <c r="C1795" s="6" t="str">
        <f aca="false">'Dish Database'!D463</f>
        <v>Indo-Chinese</v>
      </c>
      <c r="D1795" s="6" t="str">
        <f aca="false">'Dish Database'!F463</f>
        <v>Veg</v>
      </c>
      <c r="E1795" s="6" t="str">
        <f aca="false">'Dish Database'!E463</f>
        <v>Indo-Chinese</v>
      </c>
      <c r="F1795" s="6" t="s">
        <v>2246</v>
      </c>
      <c r="G1795" s="6" t="s">
        <v>2520</v>
      </c>
      <c r="H1795" s="16" t="n">
        <v>200</v>
      </c>
      <c r="I1795" s="6" t="str">
        <f aca="false">'Dish Database'!I463</f>
        <v>g</v>
      </c>
      <c r="J1795" s="13" t="n">
        <f aca="false">'Dish Database'!J463*H1795/100</f>
        <v>502</v>
      </c>
      <c r="K1795" s="17" t="n">
        <f aca="false">'Dish Database'!K463*H1795/100</f>
        <v>6</v>
      </c>
      <c r="L1795" s="17" t="n">
        <f aca="false">'Dish Database'!L463*H1795/100</f>
        <v>68</v>
      </c>
      <c r="M1795" s="17" t="n">
        <f aca="false">'Dish Database'!M463*H1795/100</f>
        <v>24</v>
      </c>
      <c r="N1795" s="17" t="n">
        <f aca="false">'Dish Database'!N463*H1795/100</f>
        <v>5</v>
      </c>
      <c r="O1795" s="17" t="n">
        <f aca="false">'Dish Database'!O463*H1795/100</f>
        <v>20</v>
      </c>
      <c r="P1795" s="13" t="n">
        <f aca="false">'Dish Database'!P463*H1795/100</f>
        <v>1000</v>
      </c>
    </row>
    <row r="1796" customFormat="false" ht="15" hidden="false" customHeight="false" outlineLevel="0" collapsed="false">
      <c r="A1796" s="6" t="str">
        <f aca="false">'Dish Database'!A463</f>
        <v>D462</v>
      </c>
      <c r="B1796" s="6" t="str">
        <f aca="false">'Dish Database'!B463</f>
        <v>Honey chilli potato</v>
      </c>
      <c r="C1796" s="6" t="str">
        <f aca="false">'Dish Database'!D463</f>
        <v>Indo-Chinese</v>
      </c>
      <c r="D1796" s="6" t="str">
        <f aca="false">'Dish Database'!F463</f>
        <v>Veg</v>
      </c>
      <c r="E1796" s="6" t="str">
        <f aca="false">'Dish Database'!E463</f>
        <v>Indo-Chinese</v>
      </c>
      <c r="F1796" s="6" t="s">
        <v>2323</v>
      </c>
      <c r="G1796" s="6" t="s">
        <v>2324</v>
      </c>
      <c r="H1796" s="16" t="n">
        <v>180</v>
      </c>
      <c r="I1796" s="6" t="str">
        <f aca="false">'Dish Database'!I463</f>
        <v>g</v>
      </c>
      <c r="J1796" s="13" t="n">
        <f aca="false">'Dish Database'!J463*H1796/100</f>
        <v>451.8</v>
      </c>
      <c r="K1796" s="17" t="n">
        <f aca="false">'Dish Database'!K463*H1796/100</f>
        <v>5.4</v>
      </c>
      <c r="L1796" s="17" t="n">
        <f aca="false">'Dish Database'!L463*H1796/100</f>
        <v>61.2</v>
      </c>
      <c r="M1796" s="17" t="n">
        <f aca="false">'Dish Database'!M463*H1796/100</f>
        <v>21.6</v>
      </c>
      <c r="N1796" s="17" t="n">
        <f aca="false">'Dish Database'!N463*H1796/100</f>
        <v>4.5</v>
      </c>
      <c r="O1796" s="17" t="n">
        <f aca="false">'Dish Database'!O463*H1796/100</f>
        <v>18</v>
      </c>
      <c r="P1796" s="13" t="n">
        <f aca="false">'Dish Database'!P463*H1796/100</f>
        <v>900</v>
      </c>
    </row>
    <row r="1797" customFormat="false" ht="15" hidden="false" customHeight="false" outlineLevel="0" collapsed="false">
      <c r="A1797" s="6" t="str">
        <f aca="false">'Dish Database'!A463</f>
        <v>D462</v>
      </c>
      <c r="B1797" s="6" t="str">
        <f aca="false">'Dish Database'!B463</f>
        <v>Honey chilli potato</v>
      </c>
      <c r="C1797" s="6" t="str">
        <f aca="false">'Dish Database'!D463</f>
        <v>Indo-Chinese</v>
      </c>
      <c r="D1797" s="6" t="str">
        <f aca="false">'Dish Database'!F463</f>
        <v>Veg</v>
      </c>
      <c r="E1797" s="6" t="str">
        <f aca="false">'Dish Database'!E463</f>
        <v>Indo-Chinese</v>
      </c>
      <c r="F1797" s="6" t="s">
        <v>2325</v>
      </c>
      <c r="G1797" s="6" t="s">
        <v>2326</v>
      </c>
      <c r="H1797" s="16" t="n">
        <v>350</v>
      </c>
      <c r="I1797" s="6" t="str">
        <f aca="false">'Dish Database'!I463</f>
        <v>g</v>
      </c>
      <c r="J1797" s="13" t="n">
        <f aca="false">'Dish Database'!J463*H1797/100</f>
        <v>878.5</v>
      </c>
      <c r="K1797" s="17" t="n">
        <f aca="false">'Dish Database'!K463*H1797/100</f>
        <v>10.5</v>
      </c>
      <c r="L1797" s="17" t="n">
        <f aca="false">'Dish Database'!L463*H1797/100</f>
        <v>119</v>
      </c>
      <c r="M1797" s="17" t="n">
        <f aca="false">'Dish Database'!M463*H1797/100</f>
        <v>42</v>
      </c>
      <c r="N1797" s="17" t="n">
        <f aca="false">'Dish Database'!N463*H1797/100</f>
        <v>8.75</v>
      </c>
      <c r="O1797" s="17" t="n">
        <f aca="false">'Dish Database'!O463*H1797/100</f>
        <v>35</v>
      </c>
      <c r="P1797" s="13" t="n">
        <f aca="false">'Dish Database'!P463*H1797/100</f>
        <v>1750</v>
      </c>
    </row>
    <row r="1798" customFormat="false" ht="15" hidden="false" customHeight="false" outlineLevel="0" collapsed="false">
      <c r="A1798" s="6" t="str">
        <f aca="false">'Dish Database'!A464</f>
        <v>D463</v>
      </c>
      <c r="B1798" s="6" t="str">
        <f aca="false">'Dish Database'!B464</f>
        <v>Chilli mushroom (dry)</v>
      </c>
      <c r="C1798" s="6" t="str">
        <f aca="false">'Dish Database'!D464</f>
        <v>Indo-Chinese</v>
      </c>
      <c r="D1798" s="6" t="str">
        <f aca="false">'Dish Database'!F464</f>
        <v>Veg</v>
      </c>
      <c r="E1798" s="6" t="str">
        <f aca="false">'Dish Database'!E464</f>
        <v>Indo-Chinese</v>
      </c>
      <c r="F1798" s="6" t="s">
        <v>2243</v>
      </c>
      <c r="G1798" s="6" t="s">
        <v>2430</v>
      </c>
      <c r="H1798" s="16" t="n">
        <v>100</v>
      </c>
      <c r="I1798" s="6" t="str">
        <f aca="false">'Dish Database'!I464</f>
        <v>g</v>
      </c>
      <c r="J1798" s="13" t="n">
        <f aca="false">'Dish Database'!J464*H1798/100</f>
        <v>150</v>
      </c>
      <c r="K1798" s="17" t="n">
        <f aca="false">'Dish Database'!K464*H1798/100</f>
        <v>4</v>
      </c>
      <c r="L1798" s="17" t="n">
        <f aca="false">'Dish Database'!L464*H1798/100</f>
        <v>12</v>
      </c>
      <c r="M1798" s="17" t="n">
        <f aca="false">'Dish Database'!M464*H1798/100</f>
        <v>10</v>
      </c>
      <c r="N1798" s="17" t="n">
        <f aca="false">'Dish Database'!N464*H1798/100</f>
        <v>2</v>
      </c>
      <c r="O1798" s="17" t="n">
        <f aca="false">'Dish Database'!O464*H1798/100</f>
        <v>4</v>
      </c>
      <c r="P1798" s="13" t="n">
        <f aca="false">'Dish Database'!P464*H1798/100</f>
        <v>650</v>
      </c>
    </row>
    <row r="1799" customFormat="false" ht="15" hidden="false" customHeight="false" outlineLevel="0" collapsed="false">
      <c r="A1799" s="6" t="str">
        <f aca="false">'Dish Database'!A464</f>
        <v>D463</v>
      </c>
      <c r="B1799" s="6" t="str">
        <f aca="false">'Dish Database'!B464</f>
        <v>Chilli mushroom (dry)</v>
      </c>
      <c r="C1799" s="6" t="str">
        <f aca="false">'Dish Database'!D464</f>
        <v>Indo-Chinese</v>
      </c>
      <c r="D1799" s="6" t="str">
        <f aca="false">'Dish Database'!F464</f>
        <v>Veg</v>
      </c>
      <c r="E1799" s="6" t="str">
        <f aca="false">'Dish Database'!E464</f>
        <v>Indo-Chinese</v>
      </c>
      <c r="F1799" s="6" t="s">
        <v>103</v>
      </c>
      <c r="G1799" s="6" t="s">
        <v>2431</v>
      </c>
      <c r="H1799" s="16" t="n">
        <v>150</v>
      </c>
      <c r="I1799" s="6" t="str">
        <f aca="false">'Dish Database'!I464</f>
        <v>g</v>
      </c>
      <c r="J1799" s="13" t="n">
        <f aca="false">'Dish Database'!J464*H1799/100</f>
        <v>225</v>
      </c>
      <c r="K1799" s="17" t="n">
        <f aca="false">'Dish Database'!K464*H1799/100</f>
        <v>6</v>
      </c>
      <c r="L1799" s="17" t="n">
        <f aca="false">'Dish Database'!L464*H1799/100</f>
        <v>18</v>
      </c>
      <c r="M1799" s="17" t="n">
        <f aca="false">'Dish Database'!M464*H1799/100</f>
        <v>15</v>
      </c>
      <c r="N1799" s="17" t="n">
        <f aca="false">'Dish Database'!N464*H1799/100</f>
        <v>3</v>
      </c>
      <c r="O1799" s="17" t="n">
        <f aca="false">'Dish Database'!O464*H1799/100</f>
        <v>6</v>
      </c>
      <c r="P1799" s="13" t="n">
        <f aca="false">'Dish Database'!P464*H1799/100</f>
        <v>975</v>
      </c>
    </row>
    <row r="1800" customFormat="false" ht="15" hidden="false" customHeight="false" outlineLevel="0" collapsed="false">
      <c r="A1800" s="6" t="str">
        <f aca="false">'Dish Database'!A464</f>
        <v>D463</v>
      </c>
      <c r="B1800" s="6" t="str">
        <f aca="false">'Dish Database'!B464</f>
        <v>Chilli mushroom (dry)</v>
      </c>
      <c r="C1800" s="6" t="str">
        <f aca="false">'Dish Database'!D464</f>
        <v>Indo-Chinese</v>
      </c>
      <c r="D1800" s="6" t="str">
        <f aca="false">'Dish Database'!F464</f>
        <v>Veg</v>
      </c>
      <c r="E1800" s="6" t="str">
        <f aca="false">'Dish Database'!E464</f>
        <v>Indo-Chinese</v>
      </c>
      <c r="F1800" s="6" t="s">
        <v>2246</v>
      </c>
      <c r="G1800" s="6" t="s">
        <v>2520</v>
      </c>
      <c r="H1800" s="16" t="n">
        <v>200</v>
      </c>
      <c r="I1800" s="6" t="str">
        <f aca="false">'Dish Database'!I464</f>
        <v>g</v>
      </c>
      <c r="J1800" s="13" t="n">
        <f aca="false">'Dish Database'!J464*H1800/100</f>
        <v>300</v>
      </c>
      <c r="K1800" s="17" t="n">
        <f aca="false">'Dish Database'!K464*H1800/100</f>
        <v>8</v>
      </c>
      <c r="L1800" s="17" t="n">
        <f aca="false">'Dish Database'!L464*H1800/100</f>
        <v>24</v>
      </c>
      <c r="M1800" s="17" t="n">
        <f aca="false">'Dish Database'!M464*H1800/100</f>
        <v>20</v>
      </c>
      <c r="N1800" s="17" t="n">
        <f aca="false">'Dish Database'!N464*H1800/100</f>
        <v>4</v>
      </c>
      <c r="O1800" s="17" t="n">
        <f aca="false">'Dish Database'!O464*H1800/100</f>
        <v>8</v>
      </c>
      <c r="P1800" s="13" t="n">
        <f aca="false">'Dish Database'!P464*H1800/100</f>
        <v>1300</v>
      </c>
    </row>
    <row r="1801" customFormat="false" ht="15" hidden="false" customHeight="false" outlineLevel="0" collapsed="false">
      <c r="A1801" s="6" t="str">
        <f aca="false">'Dish Database'!A464</f>
        <v>D463</v>
      </c>
      <c r="B1801" s="6" t="str">
        <f aca="false">'Dish Database'!B464</f>
        <v>Chilli mushroom (dry)</v>
      </c>
      <c r="C1801" s="6" t="str">
        <f aca="false">'Dish Database'!D464</f>
        <v>Indo-Chinese</v>
      </c>
      <c r="D1801" s="6" t="str">
        <f aca="false">'Dish Database'!F464</f>
        <v>Veg</v>
      </c>
      <c r="E1801" s="6" t="str">
        <f aca="false">'Dish Database'!E464</f>
        <v>Indo-Chinese</v>
      </c>
      <c r="F1801" s="6" t="s">
        <v>2323</v>
      </c>
      <c r="G1801" s="6" t="s">
        <v>2324</v>
      </c>
      <c r="H1801" s="16" t="n">
        <v>180</v>
      </c>
      <c r="I1801" s="6" t="str">
        <f aca="false">'Dish Database'!I464</f>
        <v>g</v>
      </c>
      <c r="J1801" s="13" t="n">
        <f aca="false">'Dish Database'!J464*H1801/100</f>
        <v>270</v>
      </c>
      <c r="K1801" s="17" t="n">
        <f aca="false">'Dish Database'!K464*H1801/100</f>
        <v>7.2</v>
      </c>
      <c r="L1801" s="17" t="n">
        <f aca="false">'Dish Database'!L464*H1801/100</f>
        <v>21.6</v>
      </c>
      <c r="M1801" s="17" t="n">
        <f aca="false">'Dish Database'!M464*H1801/100</f>
        <v>18</v>
      </c>
      <c r="N1801" s="17" t="n">
        <f aca="false">'Dish Database'!N464*H1801/100</f>
        <v>3.6</v>
      </c>
      <c r="O1801" s="17" t="n">
        <f aca="false">'Dish Database'!O464*H1801/100</f>
        <v>7.2</v>
      </c>
      <c r="P1801" s="13" t="n">
        <f aca="false">'Dish Database'!P464*H1801/100</f>
        <v>1170</v>
      </c>
    </row>
    <row r="1802" customFormat="false" ht="15" hidden="false" customHeight="false" outlineLevel="0" collapsed="false">
      <c r="A1802" s="6" t="str">
        <f aca="false">'Dish Database'!A464</f>
        <v>D463</v>
      </c>
      <c r="B1802" s="6" t="str">
        <f aca="false">'Dish Database'!B464</f>
        <v>Chilli mushroom (dry)</v>
      </c>
      <c r="C1802" s="6" t="str">
        <f aca="false">'Dish Database'!D464</f>
        <v>Indo-Chinese</v>
      </c>
      <c r="D1802" s="6" t="str">
        <f aca="false">'Dish Database'!F464</f>
        <v>Veg</v>
      </c>
      <c r="E1802" s="6" t="str">
        <f aca="false">'Dish Database'!E464</f>
        <v>Indo-Chinese</v>
      </c>
      <c r="F1802" s="6" t="s">
        <v>2325</v>
      </c>
      <c r="G1802" s="6" t="s">
        <v>2326</v>
      </c>
      <c r="H1802" s="16" t="n">
        <v>350</v>
      </c>
      <c r="I1802" s="6" t="str">
        <f aca="false">'Dish Database'!I464</f>
        <v>g</v>
      </c>
      <c r="J1802" s="13" t="n">
        <f aca="false">'Dish Database'!J464*H1802/100</f>
        <v>525</v>
      </c>
      <c r="K1802" s="17" t="n">
        <f aca="false">'Dish Database'!K464*H1802/100</f>
        <v>14</v>
      </c>
      <c r="L1802" s="17" t="n">
        <f aca="false">'Dish Database'!L464*H1802/100</f>
        <v>42</v>
      </c>
      <c r="M1802" s="17" t="n">
        <f aca="false">'Dish Database'!M464*H1802/100</f>
        <v>35</v>
      </c>
      <c r="N1802" s="17" t="n">
        <f aca="false">'Dish Database'!N464*H1802/100</f>
        <v>7</v>
      </c>
      <c r="O1802" s="17" t="n">
        <f aca="false">'Dish Database'!O464*H1802/100</f>
        <v>14</v>
      </c>
      <c r="P1802" s="13" t="n">
        <f aca="false">'Dish Database'!P464*H1802/100</f>
        <v>2275</v>
      </c>
    </row>
    <row r="1803" customFormat="false" ht="15" hidden="false" customHeight="false" outlineLevel="0" collapsed="false">
      <c r="A1803" s="6" t="str">
        <f aca="false">'Dish Database'!A465</f>
        <v>D464</v>
      </c>
      <c r="B1803" s="6" t="str">
        <f aca="false">'Dish Database'!B465</f>
        <v>Baby corn chilli / manchurian</v>
      </c>
      <c r="C1803" s="6" t="str">
        <f aca="false">'Dish Database'!D465</f>
        <v>Indo-Chinese</v>
      </c>
      <c r="D1803" s="6" t="str">
        <f aca="false">'Dish Database'!F465</f>
        <v>Veg</v>
      </c>
      <c r="E1803" s="6" t="str">
        <f aca="false">'Dish Database'!E465</f>
        <v>Indo-Chinese</v>
      </c>
      <c r="F1803" s="6" t="s">
        <v>2243</v>
      </c>
      <c r="G1803" s="6" t="s">
        <v>2430</v>
      </c>
      <c r="H1803" s="16" t="n">
        <v>100</v>
      </c>
      <c r="I1803" s="6" t="str">
        <f aca="false">'Dish Database'!I465</f>
        <v>g</v>
      </c>
      <c r="J1803" s="13" t="n">
        <f aca="false">'Dish Database'!J465*H1803/100</f>
        <v>180</v>
      </c>
      <c r="K1803" s="17" t="n">
        <f aca="false">'Dish Database'!K465*H1803/100</f>
        <v>3.5</v>
      </c>
      <c r="L1803" s="17" t="n">
        <f aca="false">'Dish Database'!L465*H1803/100</f>
        <v>18</v>
      </c>
      <c r="M1803" s="17" t="n">
        <f aca="false">'Dish Database'!M465*H1803/100</f>
        <v>11</v>
      </c>
      <c r="N1803" s="17" t="n">
        <f aca="false">'Dish Database'!N465*H1803/100</f>
        <v>2.5</v>
      </c>
      <c r="O1803" s="17" t="n">
        <f aca="false">'Dish Database'!O465*H1803/100</f>
        <v>4.5</v>
      </c>
      <c r="P1803" s="13" t="n">
        <f aca="false">'Dish Database'!P465*H1803/100</f>
        <v>650</v>
      </c>
    </row>
    <row r="1804" customFormat="false" ht="15" hidden="false" customHeight="false" outlineLevel="0" collapsed="false">
      <c r="A1804" s="6" t="str">
        <f aca="false">'Dish Database'!A465</f>
        <v>D464</v>
      </c>
      <c r="B1804" s="6" t="str">
        <f aca="false">'Dish Database'!B465</f>
        <v>Baby corn chilli / manchurian</v>
      </c>
      <c r="C1804" s="6" t="str">
        <f aca="false">'Dish Database'!D465</f>
        <v>Indo-Chinese</v>
      </c>
      <c r="D1804" s="6" t="str">
        <f aca="false">'Dish Database'!F465</f>
        <v>Veg</v>
      </c>
      <c r="E1804" s="6" t="str">
        <f aca="false">'Dish Database'!E465</f>
        <v>Indo-Chinese</v>
      </c>
      <c r="F1804" s="6" t="s">
        <v>103</v>
      </c>
      <c r="G1804" s="6" t="s">
        <v>2431</v>
      </c>
      <c r="H1804" s="16" t="n">
        <v>150</v>
      </c>
      <c r="I1804" s="6" t="str">
        <f aca="false">'Dish Database'!I465</f>
        <v>g</v>
      </c>
      <c r="J1804" s="13" t="n">
        <f aca="false">'Dish Database'!J465*H1804/100</f>
        <v>270</v>
      </c>
      <c r="K1804" s="17" t="n">
        <f aca="false">'Dish Database'!K465*H1804/100</f>
        <v>5.25</v>
      </c>
      <c r="L1804" s="17" t="n">
        <f aca="false">'Dish Database'!L465*H1804/100</f>
        <v>27</v>
      </c>
      <c r="M1804" s="17" t="n">
        <f aca="false">'Dish Database'!M465*H1804/100</f>
        <v>16.5</v>
      </c>
      <c r="N1804" s="17" t="n">
        <f aca="false">'Dish Database'!N465*H1804/100</f>
        <v>3.75</v>
      </c>
      <c r="O1804" s="17" t="n">
        <f aca="false">'Dish Database'!O465*H1804/100</f>
        <v>6.75</v>
      </c>
      <c r="P1804" s="13" t="n">
        <f aca="false">'Dish Database'!P465*H1804/100</f>
        <v>975</v>
      </c>
    </row>
    <row r="1805" customFormat="false" ht="15" hidden="false" customHeight="false" outlineLevel="0" collapsed="false">
      <c r="A1805" s="6" t="str">
        <f aca="false">'Dish Database'!A465</f>
        <v>D464</v>
      </c>
      <c r="B1805" s="6" t="str">
        <f aca="false">'Dish Database'!B465</f>
        <v>Baby corn chilli / manchurian</v>
      </c>
      <c r="C1805" s="6" t="str">
        <f aca="false">'Dish Database'!D465</f>
        <v>Indo-Chinese</v>
      </c>
      <c r="D1805" s="6" t="str">
        <f aca="false">'Dish Database'!F465</f>
        <v>Veg</v>
      </c>
      <c r="E1805" s="6" t="str">
        <f aca="false">'Dish Database'!E465</f>
        <v>Indo-Chinese</v>
      </c>
      <c r="F1805" s="6" t="s">
        <v>2246</v>
      </c>
      <c r="G1805" s="6" t="s">
        <v>2520</v>
      </c>
      <c r="H1805" s="16" t="n">
        <v>200</v>
      </c>
      <c r="I1805" s="6" t="str">
        <f aca="false">'Dish Database'!I465</f>
        <v>g</v>
      </c>
      <c r="J1805" s="13" t="n">
        <f aca="false">'Dish Database'!J465*H1805/100</f>
        <v>360</v>
      </c>
      <c r="K1805" s="17" t="n">
        <f aca="false">'Dish Database'!K465*H1805/100</f>
        <v>7</v>
      </c>
      <c r="L1805" s="17" t="n">
        <f aca="false">'Dish Database'!L465*H1805/100</f>
        <v>36</v>
      </c>
      <c r="M1805" s="17" t="n">
        <f aca="false">'Dish Database'!M465*H1805/100</f>
        <v>22</v>
      </c>
      <c r="N1805" s="17" t="n">
        <f aca="false">'Dish Database'!N465*H1805/100</f>
        <v>5</v>
      </c>
      <c r="O1805" s="17" t="n">
        <f aca="false">'Dish Database'!O465*H1805/100</f>
        <v>9</v>
      </c>
      <c r="P1805" s="13" t="n">
        <f aca="false">'Dish Database'!P465*H1805/100</f>
        <v>1300</v>
      </c>
    </row>
    <row r="1806" customFormat="false" ht="15" hidden="false" customHeight="false" outlineLevel="0" collapsed="false">
      <c r="A1806" s="6" t="str">
        <f aca="false">'Dish Database'!A465</f>
        <v>D464</v>
      </c>
      <c r="B1806" s="6" t="str">
        <f aca="false">'Dish Database'!B465</f>
        <v>Baby corn chilli / manchurian</v>
      </c>
      <c r="C1806" s="6" t="str">
        <f aca="false">'Dish Database'!D465</f>
        <v>Indo-Chinese</v>
      </c>
      <c r="D1806" s="6" t="str">
        <f aca="false">'Dish Database'!F465</f>
        <v>Veg</v>
      </c>
      <c r="E1806" s="6" t="str">
        <f aca="false">'Dish Database'!E465</f>
        <v>Indo-Chinese</v>
      </c>
      <c r="F1806" s="6" t="s">
        <v>2323</v>
      </c>
      <c r="G1806" s="6" t="s">
        <v>2324</v>
      </c>
      <c r="H1806" s="16" t="n">
        <v>180</v>
      </c>
      <c r="I1806" s="6" t="str">
        <f aca="false">'Dish Database'!I465</f>
        <v>g</v>
      </c>
      <c r="J1806" s="13" t="n">
        <f aca="false">'Dish Database'!J465*H1806/100</f>
        <v>324</v>
      </c>
      <c r="K1806" s="17" t="n">
        <f aca="false">'Dish Database'!K465*H1806/100</f>
        <v>6.3</v>
      </c>
      <c r="L1806" s="17" t="n">
        <f aca="false">'Dish Database'!L465*H1806/100</f>
        <v>32.4</v>
      </c>
      <c r="M1806" s="17" t="n">
        <f aca="false">'Dish Database'!M465*H1806/100</f>
        <v>19.8</v>
      </c>
      <c r="N1806" s="17" t="n">
        <f aca="false">'Dish Database'!N465*H1806/100</f>
        <v>4.5</v>
      </c>
      <c r="O1806" s="17" t="n">
        <f aca="false">'Dish Database'!O465*H1806/100</f>
        <v>8.1</v>
      </c>
      <c r="P1806" s="13" t="n">
        <f aca="false">'Dish Database'!P465*H1806/100</f>
        <v>1170</v>
      </c>
    </row>
    <row r="1807" customFormat="false" ht="15" hidden="false" customHeight="false" outlineLevel="0" collapsed="false">
      <c r="A1807" s="6" t="str">
        <f aca="false">'Dish Database'!A465</f>
        <v>D464</v>
      </c>
      <c r="B1807" s="6" t="str">
        <f aca="false">'Dish Database'!B465</f>
        <v>Baby corn chilli / manchurian</v>
      </c>
      <c r="C1807" s="6" t="str">
        <f aca="false">'Dish Database'!D465</f>
        <v>Indo-Chinese</v>
      </c>
      <c r="D1807" s="6" t="str">
        <f aca="false">'Dish Database'!F465</f>
        <v>Veg</v>
      </c>
      <c r="E1807" s="6" t="str">
        <f aca="false">'Dish Database'!E465</f>
        <v>Indo-Chinese</v>
      </c>
      <c r="F1807" s="6" t="s">
        <v>2325</v>
      </c>
      <c r="G1807" s="6" t="s">
        <v>2326</v>
      </c>
      <c r="H1807" s="16" t="n">
        <v>350</v>
      </c>
      <c r="I1807" s="6" t="str">
        <f aca="false">'Dish Database'!I465</f>
        <v>g</v>
      </c>
      <c r="J1807" s="13" t="n">
        <f aca="false">'Dish Database'!J465*H1807/100</f>
        <v>630</v>
      </c>
      <c r="K1807" s="17" t="n">
        <f aca="false">'Dish Database'!K465*H1807/100</f>
        <v>12.25</v>
      </c>
      <c r="L1807" s="17" t="n">
        <f aca="false">'Dish Database'!L465*H1807/100</f>
        <v>63</v>
      </c>
      <c r="M1807" s="17" t="n">
        <f aca="false">'Dish Database'!M465*H1807/100</f>
        <v>38.5</v>
      </c>
      <c r="N1807" s="17" t="n">
        <f aca="false">'Dish Database'!N465*H1807/100</f>
        <v>8.75</v>
      </c>
      <c r="O1807" s="17" t="n">
        <f aca="false">'Dish Database'!O465*H1807/100</f>
        <v>15.75</v>
      </c>
      <c r="P1807" s="13" t="n">
        <f aca="false">'Dish Database'!P465*H1807/100</f>
        <v>2275</v>
      </c>
    </row>
    <row r="1808" customFormat="false" ht="15" hidden="false" customHeight="false" outlineLevel="0" collapsed="false">
      <c r="A1808" s="6" t="str">
        <f aca="false">'Dish Database'!A466</f>
        <v>D465</v>
      </c>
      <c r="B1808" s="6" t="str">
        <f aca="false">'Dish Database'!B466</f>
        <v>Tomato soup (restaurant)</v>
      </c>
      <c r="C1808" s="6" t="str">
        <f aca="false">'Dish Database'!D466</f>
        <v>Soups</v>
      </c>
      <c r="D1808" s="6" t="str">
        <f aca="false">'Dish Database'!F466</f>
        <v>Veg</v>
      </c>
      <c r="E1808" s="6" t="str">
        <f aca="false">'Dish Database'!E466</f>
        <v>Pan-India</v>
      </c>
      <c r="F1808" s="6" t="s">
        <v>2243</v>
      </c>
      <c r="G1808" s="6" t="s">
        <v>2505</v>
      </c>
      <c r="H1808" s="16" t="n">
        <v>150</v>
      </c>
      <c r="I1808" s="6" t="str">
        <f aca="false">'Dish Database'!I466</f>
        <v>ml</v>
      </c>
      <c r="J1808" s="13" t="n">
        <f aca="false">'Dish Database'!J466*H1808/100</f>
        <v>92.7</v>
      </c>
      <c r="K1808" s="17" t="n">
        <f aca="false">'Dish Database'!K466*H1808/100</f>
        <v>1.8</v>
      </c>
      <c r="L1808" s="17" t="n">
        <f aca="false">'Dish Database'!L466*H1808/100</f>
        <v>12</v>
      </c>
      <c r="M1808" s="17" t="n">
        <f aca="false">'Dish Database'!M466*H1808/100</f>
        <v>4.5</v>
      </c>
      <c r="N1808" s="17" t="n">
        <f aca="false">'Dish Database'!N466*H1808/100</f>
        <v>1.5</v>
      </c>
      <c r="O1808" s="17" t="n">
        <f aca="false">'Dish Database'!O466*H1808/100</f>
        <v>7.5</v>
      </c>
      <c r="P1808" s="13" t="n">
        <f aca="false">'Dish Database'!P466*H1808/100</f>
        <v>570</v>
      </c>
    </row>
    <row r="1809" customFormat="false" ht="15" hidden="false" customHeight="false" outlineLevel="0" collapsed="false">
      <c r="A1809" s="6" t="str">
        <f aca="false">'Dish Database'!A466</f>
        <v>D465</v>
      </c>
      <c r="B1809" s="6" t="str">
        <f aca="false">'Dish Database'!B466</f>
        <v>Tomato soup (restaurant)</v>
      </c>
      <c r="C1809" s="6" t="str">
        <f aca="false">'Dish Database'!D466</f>
        <v>Soups</v>
      </c>
      <c r="D1809" s="6" t="str">
        <f aca="false">'Dish Database'!F466</f>
        <v>Veg</v>
      </c>
      <c r="E1809" s="6" t="str">
        <f aca="false">'Dish Database'!E466</f>
        <v>Pan-India</v>
      </c>
      <c r="F1809" s="6" t="s">
        <v>103</v>
      </c>
      <c r="G1809" s="6" t="s">
        <v>2506</v>
      </c>
      <c r="H1809" s="16" t="n">
        <v>250</v>
      </c>
      <c r="I1809" s="6" t="str">
        <f aca="false">'Dish Database'!I466</f>
        <v>ml</v>
      </c>
      <c r="J1809" s="13" t="n">
        <f aca="false">'Dish Database'!J466*H1809/100</f>
        <v>154.5</v>
      </c>
      <c r="K1809" s="17" t="n">
        <f aca="false">'Dish Database'!K466*H1809/100</f>
        <v>3</v>
      </c>
      <c r="L1809" s="17" t="n">
        <f aca="false">'Dish Database'!L466*H1809/100</f>
        <v>20</v>
      </c>
      <c r="M1809" s="17" t="n">
        <f aca="false">'Dish Database'!M466*H1809/100</f>
        <v>7.5</v>
      </c>
      <c r="N1809" s="17" t="n">
        <f aca="false">'Dish Database'!N466*H1809/100</f>
        <v>2.5</v>
      </c>
      <c r="O1809" s="17" t="n">
        <f aca="false">'Dish Database'!O466*H1809/100</f>
        <v>12.5</v>
      </c>
      <c r="P1809" s="13" t="n">
        <f aca="false">'Dish Database'!P466*H1809/100</f>
        <v>950</v>
      </c>
    </row>
    <row r="1810" customFormat="false" ht="15" hidden="false" customHeight="false" outlineLevel="0" collapsed="false">
      <c r="A1810" s="6" t="str">
        <f aca="false">'Dish Database'!A466</f>
        <v>D465</v>
      </c>
      <c r="B1810" s="6" t="str">
        <f aca="false">'Dish Database'!B466</f>
        <v>Tomato soup (restaurant)</v>
      </c>
      <c r="C1810" s="6" t="str">
        <f aca="false">'Dish Database'!D466</f>
        <v>Soups</v>
      </c>
      <c r="D1810" s="6" t="str">
        <f aca="false">'Dish Database'!F466</f>
        <v>Veg</v>
      </c>
      <c r="E1810" s="6" t="str">
        <f aca="false">'Dish Database'!E466</f>
        <v>Pan-India</v>
      </c>
      <c r="F1810" s="6" t="s">
        <v>2246</v>
      </c>
      <c r="G1810" s="6" t="s">
        <v>2507</v>
      </c>
      <c r="H1810" s="16" t="n">
        <v>350</v>
      </c>
      <c r="I1810" s="6" t="str">
        <f aca="false">'Dish Database'!I466</f>
        <v>ml</v>
      </c>
      <c r="J1810" s="13" t="n">
        <f aca="false">'Dish Database'!J466*H1810/100</f>
        <v>216.3</v>
      </c>
      <c r="K1810" s="17" t="n">
        <f aca="false">'Dish Database'!K466*H1810/100</f>
        <v>4.2</v>
      </c>
      <c r="L1810" s="17" t="n">
        <f aca="false">'Dish Database'!L466*H1810/100</f>
        <v>28</v>
      </c>
      <c r="M1810" s="17" t="n">
        <f aca="false">'Dish Database'!M466*H1810/100</f>
        <v>10.5</v>
      </c>
      <c r="N1810" s="17" t="n">
        <f aca="false">'Dish Database'!N466*H1810/100</f>
        <v>3.5</v>
      </c>
      <c r="O1810" s="17" t="n">
        <f aca="false">'Dish Database'!O466*H1810/100</f>
        <v>17.5</v>
      </c>
      <c r="P1810" s="13" t="n">
        <f aca="false">'Dish Database'!P466*H1810/100</f>
        <v>1330</v>
      </c>
    </row>
    <row r="1811" customFormat="false" ht="15" hidden="false" customHeight="false" outlineLevel="0" collapsed="false">
      <c r="A1811" s="6" t="str">
        <f aca="false">'Dish Database'!A467</f>
        <v>D466</v>
      </c>
      <c r="B1811" s="6" t="str">
        <f aca="false">'Dish Database'!B467</f>
        <v>Sweet corn soup (veg)</v>
      </c>
      <c r="C1811" s="6" t="str">
        <f aca="false">'Dish Database'!D467</f>
        <v>Soups</v>
      </c>
      <c r="D1811" s="6" t="str">
        <f aca="false">'Dish Database'!F467</f>
        <v>Veg</v>
      </c>
      <c r="E1811" s="6" t="str">
        <f aca="false">'Dish Database'!E467</f>
        <v>Indo-Chinese</v>
      </c>
      <c r="F1811" s="6" t="s">
        <v>2243</v>
      </c>
      <c r="G1811" s="6" t="s">
        <v>2505</v>
      </c>
      <c r="H1811" s="16" t="n">
        <v>150</v>
      </c>
      <c r="I1811" s="6" t="str">
        <f aca="false">'Dish Database'!I467</f>
        <v>ml</v>
      </c>
      <c r="J1811" s="13" t="n">
        <f aca="false">'Dish Database'!J467*H1811/100</f>
        <v>86.85</v>
      </c>
      <c r="K1811" s="17" t="n">
        <f aca="false">'Dish Database'!K467*H1811/100</f>
        <v>2.25</v>
      </c>
      <c r="L1811" s="17" t="n">
        <f aca="false">'Dish Database'!L467*H1811/100</f>
        <v>15</v>
      </c>
      <c r="M1811" s="17" t="n">
        <f aca="false">'Dish Database'!M467*H1811/100</f>
        <v>2.25</v>
      </c>
      <c r="N1811" s="17" t="n">
        <f aca="false">'Dish Database'!N467*H1811/100</f>
        <v>1.2</v>
      </c>
      <c r="O1811" s="17" t="n">
        <f aca="false">'Dish Database'!O467*H1811/100</f>
        <v>3.75</v>
      </c>
      <c r="P1811" s="13" t="n">
        <f aca="false">'Dish Database'!P467*H1811/100</f>
        <v>675</v>
      </c>
    </row>
    <row r="1812" customFormat="false" ht="15" hidden="false" customHeight="false" outlineLevel="0" collapsed="false">
      <c r="A1812" s="6" t="str">
        <f aca="false">'Dish Database'!A467</f>
        <v>D466</v>
      </c>
      <c r="B1812" s="6" t="str">
        <f aca="false">'Dish Database'!B467</f>
        <v>Sweet corn soup (veg)</v>
      </c>
      <c r="C1812" s="6" t="str">
        <f aca="false">'Dish Database'!D467</f>
        <v>Soups</v>
      </c>
      <c r="D1812" s="6" t="str">
        <f aca="false">'Dish Database'!F467</f>
        <v>Veg</v>
      </c>
      <c r="E1812" s="6" t="str">
        <f aca="false">'Dish Database'!E467</f>
        <v>Indo-Chinese</v>
      </c>
      <c r="F1812" s="6" t="s">
        <v>103</v>
      </c>
      <c r="G1812" s="6" t="s">
        <v>2506</v>
      </c>
      <c r="H1812" s="16" t="n">
        <v>250</v>
      </c>
      <c r="I1812" s="6" t="str">
        <f aca="false">'Dish Database'!I467</f>
        <v>ml</v>
      </c>
      <c r="J1812" s="13" t="n">
        <f aca="false">'Dish Database'!J467*H1812/100</f>
        <v>144.75</v>
      </c>
      <c r="K1812" s="17" t="n">
        <f aca="false">'Dish Database'!K467*H1812/100</f>
        <v>3.75</v>
      </c>
      <c r="L1812" s="17" t="n">
        <f aca="false">'Dish Database'!L467*H1812/100</f>
        <v>25</v>
      </c>
      <c r="M1812" s="17" t="n">
        <f aca="false">'Dish Database'!M467*H1812/100</f>
        <v>3.75</v>
      </c>
      <c r="N1812" s="17" t="n">
        <f aca="false">'Dish Database'!N467*H1812/100</f>
        <v>2</v>
      </c>
      <c r="O1812" s="17" t="n">
        <f aca="false">'Dish Database'!O467*H1812/100</f>
        <v>6.25</v>
      </c>
      <c r="P1812" s="13" t="n">
        <f aca="false">'Dish Database'!P467*H1812/100</f>
        <v>1125</v>
      </c>
    </row>
    <row r="1813" customFormat="false" ht="15" hidden="false" customHeight="false" outlineLevel="0" collapsed="false">
      <c r="A1813" s="6" t="str">
        <f aca="false">'Dish Database'!A467</f>
        <v>D466</v>
      </c>
      <c r="B1813" s="6" t="str">
        <f aca="false">'Dish Database'!B467</f>
        <v>Sweet corn soup (veg)</v>
      </c>
      <c r="C1813" s="6" t="str">
        <f aca="false">'Dish Database'!D467</f>
        <v>Soups</v>
      </c>
      <c r="D1813" s="6" t="str">
        <f aca="false">'Dish Database'!F467</f>
        <v>Veg</v>
      </c>
      <c r="E1813" s="6" t="str">
        <f aca="false">'Dish Database'!E467</f>
        <v>Indo-Chinese</v>
      </c>
      <c r="F1813" s="6" t="s">
        <v>2246</v>
      </c>
      <c r="G1813" s="6" t="s">
        <v>2507</v>
      </c>
      <c r="H1813" s="16" t="n">
        <v>350</v>
      </c>
      <c r="I1813" s="6" t="str">
        <f aca="false">'Dish Database'!I467</f>
        <v>ml</v>
      </c>
      <c r="J1813" s="13" t="n">
        <f aca="false">'Dish Database'!J467*H1813/100</f>
        <v>202.65</v>
      </c>
      <c r="K1813" s="17" t="n">
        <f aca="false">'Dish Database'!K467*H1813/100</f>
        <v>5.25</v>
      </c>
      <c r="L1813" s="17" t="n">
        <f aca="false">'Dish Database'!L467*H1813/100</f>
        <v>35</v>
      </c>
      <c r="M1813" s="17" t="n">
        <f aca="false">'Dish Database'!M467*H1813/100</f>
        <v>5.25</v>
      </c>
      <c r="N1813" s="17" t="n">
        <f aca="false">'Dish Database'!N467*H1813/100</f>
        <v>2.8</v>
      </c>
      <c r="O1813" s="17" t="n">
        <f aca="false">'Dish Database'!O467*H1813/100</f>
        <v>8.75</v>
      </c>
      <c r="P1813" s="13" t="n">
        <f aca="false">'Dish Database'!P467*H1813/100</f>
        <v>1575</v>
      </c>
    </row>
    <row r="1814" customFormat="false" ht="15" hidden="false" customHeight="false" outlineLevel="0" collapsed="false">
      <c r="A1814" s="6" t="str">
        <f aca="false">'Dish Database'!A468</f>
        <v>D467</v>
      </c>
      <c r="B1814" s="6" t="str">
        <f aca="false">'Dish Database'!B468</f>
        <v>Chicken sweet corn soup</v>
      </c>
      <c r="C1814" s="6" t="str">
        <f aca="false">'Dish Database'!D468</f>
        <v>Soups</v>
      </c>
      <c r="D1814" s="6" t="str">
        <f aca="false">'Dish Database'!F468</f>
        <v>Non-Veg</v>
      </c>
      <c r="E1814" s="6" t="str">
        <f aca="false">'Dish Database'!E468</f>
        <v>Indo-Chinese</v>
      </c>
      <c r="F1814" s="6" t="s">
        <v>2243</v>
      </c>
      <c r="G1814" s="6" t="s">
        <v>2505</v>
      </c>
      <c r="H1814" s="16" t="n">
        <v>150</v>
      </c>
      <c r="I1814" s="6" t="str">
        <f aca="false">'Dish Database'!I468</f>
        <v>ml</v>
      </c>
      <c r="J1814" s="13" t="n">
        <f aca="false">'Dish Database'!J468*H1814/100</f>
        <v>91.5</v>
      </c>
      <c r="K1814" s="17" t="n">
        <f aca="false">'Dish Database'!K468*H1814/100</f>
        <v>5.25</v>
      </c>
      <c r="L1814" s="17" t="n">
        <f aca="false">'Dish Database'!L468*H1814/100</f>
        <v>12</v>
      </c>
      <c r="M1814" s="17" t="n">
        <f aca="false">'Dish Database'!M468*H1814/100</f>
        <v>2.7</v>
      </c>
      <c r="N1814" s="17" t="n">
        <f aca="false">'Dish Database'!N468*H1814/100</f>
        <v>0.9</v>
      </c>
      <c r="O1814" s="17" t="n">
        <f aca="false">'Dish Database'!O468*H1814/100</f>
        <v>3</v>
      </c>
      <c r="P1814" s="13" t="n">
        <f aca="false">'Dish Database'!P468*H1814/100</f>
        <v>720</v>
      </c>
    </row>
    <row r="1815" customFormat="false" ht="15" hidden="false" customHeight="false" outlineLevel="0" collapsed="false">
      <c r="A1815" s="6" t="str">
        <f aca="false">'Dish Database'!A468</f>
        <v>D467</v>
      </c>
      <c r="B1815" s="6" t="str">
        <f aca="false">'Dish Database'!B468</f>
        <v>Chicken sweet corn soup</v>
      </c>
      <c r="C1815" s="6" t="str">
        <f aca="false">'Dish Database'!D468</f>
        <v>Soups</v>
      </c>
      <c r="D1815" s="6" t="str">
        <f aca="false">'Dish Database'!F468</f>
        <v>Non-Veg</v>
      </c>
      <c r="E1815" s="6" t="str">
        <f aca="false">'Dish Database'!E468</f>
        <v>Indo-Chinese</v>
      </c>
      <c r="F1815" s="6" t="s">
        <v>103</v>
      </c>
      <c r="G1815" s="6" t="s">
        <v>2506</v>
      </c>
      <c r="H1815" s="16" t="n">
        <v>250</v>
      </c>
      <c r="I1815" s="6" t="str">
        <f aca="false">'Dish Database'!I468</f>
        <v>ml</v>
      </c>
      <c r="J1815" s="13" t="n">
        <f aca="false">'Dish Database'!J468*H1815/100</f>
        <v>152.5</v>
      </c>
      <c r="K1815" s="17" t="n">
        <f aca="false">'Dish Database'!K468*H1815/100</f>
        <v>8.75</v>
      </c>
      <c r="L1815" s="17" t="n">
        <f aca="false">'Dish Database'!L468*H1815/100</f>
        <v>20</v>
      </c>
      <c r="M1815" s="17" t="n">
        <f aca="false">'Dish Database'!M468*H1815/100</f>
        <v>4.5</v>
      </c>
      <c r="N1815" s="17" t="n">
        <f aca="false">'Dish Database'!N468*H1815/100</f>
        <v>1.5</v>
      </c>
      <c r="O1815" s="17" t="n">
        <f aca="false">'Dish Database'!O468*H1815/100</f>
        <v>5</v>
      </c>
      <c r="P1815" s="13" t="n">
        <f aca="false">'Dish Database'!P468*H1815/100</f>
        <v>1200</v>
      </c>
    </row>
    <row r="1816" customFormat="false" ht="15" hidden="false" customHeight="false" outlineLevel="0" collapsed="false">
      <c r="A1816" s="6" t="str">
        <f aca="false">'Dish Database'!A468</f>
        <v>D467</v>
      </c>
      <c r="B1816" s="6" t="str">
        <f aca="false">'Dish Database'!B468</f>
        <v>Chicken sweet corn soup</v>
      </c>
      <c r="C1816" s="6" t="str">
        <f aca="false">'Dish Database'!D468</f>
        <v>Soups</v>
      </c>
      <c r="D1816" s="6" t="str">
        <f aca="false">'Dish Database'!F468</f>
        <v>Non-Veg</v>
      </c>
      <c r="E1816" s="6" t="str">
        <f aca="false">'Dish Database'!E468</f>
        <v>Indo-Chinese</v>
      </c>
      <c r="F1816" s="6" t="s">
        <v>2246</v>
      </c>
      <c r="G1816" s="6" t="s">
        <v>2507</v>
      </c>
      <c r="H1816" s="16" t="n">
        <v>350</v>
      </c>
      <c r="I1816" s="6" t="str">
        <f aca="false">'Dish Database'!I468</f>
        <v>ml</v>
      </c>
      <c r="J1816" s="13" t="n">
        <f aca="false">'Dish Database'!J468*H1816/100</f>
        <v>213.5</v>
      </c>
      <c r="K1816" s="17" t="n">
        <f aca="false">'Dish Database'!K468*H1816/100</f>
        <v>12.25</v>
      </c>
      <c r="L1816" s="17" t="n">
        <f aca="false">'Dish Database'!L468*H1816/100</f>
        <v>28</v>
      </c>
      <c r="M1816" s="17" t="n">
        <f aca="false">'Dish Database'!M468*H1816/100</f>
        <v>6.3</v>
      </c>
      <c r="N1816" s="17" t="n">
        <f aca="false">'Dish Database'!N468*H1816/100</f>
        <v>2.1</v>
      </c>
      <c r="O1816" s="17" t="n">
        <f aca="false">'Dish Database'!O468*H1816/100</f>
        <v>7</v>
      </c>
      <c r="P1816" s="13" t="n">
        <f aca="false">'Dish Database'!P468*H1816/100</f>
        <v>1680</v>
      </c>
    </row>
    <row r="1817" customFormat="false" ht="15" hidden="false" customHeight="false" outlineLevel="0" collapsed="false">
      <c r="A1817" s="6" t="str">
        <f aca="false">'Dish Database'!A469</f>
        <v>D468</v>
      </c>
      <c r="B1817" s="6" t="str">
        <f aca="false">'Dish Database'!B469</f>
        <v>Hot &amp; sour soup (veg)</v>
      </c>
      <c r="C1817" s="6" t="str">
        <f aca="false">'Dish Database'!D469</f>
        <v>Soups</v>
      </c>
      <c r="D1817" s="6" t="str">
        <f aca="false">'Dish Database'!F469</f>
        <v>Veg</v>
      </c>
      <c r="E1817" s="6" t="str">
        <f aca="false">'Dish Database'!E469</f>
        <v>Indo-Chinese</v>
      </c>
      <c r="F1817" s="6" t="s">
        <v>2243</v>
      </c>
      <c r="G1817" s="6" t="s">
        <v>2505</v>
      </c>
      <c r="H1817" s="16" t="n">
        <v>150</v>
      </c>
      <c r="I1817" s="6" t="str">
        <f aca="false">'Dish Database'!I469</f>
        <v>ml</v>
      </c>
      <c r="J1817" s="13" t="n">
        <f aca="false">'Dish Database'!J469*H1817/100</f>
        <v>62.85</v>
      </c>
      <c r="K1817" s="17" t="n">
        <f aca="false">'Dish Database'!K469*H1817/100</f>
        <v>2.25</v>
      </c>
      <c r="L1817" s="17" t="n">
        <f aca="false">'Dish Database'!L469*H1817/100</f>
        <v>9</v>
      </c>
      <c r="M1817" s="17" t="n">
        <f aca="false">'Dish Database'!M469*H1817/100</f>
        <v>2.25</v>
      </c>
      <c r="N1817" s="17" t="n">
        <f aca="false">'Dish Database'!N469*H1817/100</f>
        <v>1.2</v>
      </c>
      <c r="O1817" s="17" t="n">
        <f aca="false">'Dish Database'!O469*H1817/100</f>
        <v>3</v>
      </c>
      <c r="P1817" s="13" t="n">
        <f aca="false">'Dish Database'!P469*H1817/100</f>
        <v>900</v>
      </c>
    </row>
    <row r="1818" customFormat="false" ht="15" hidden="false" customHeight="false" outlineLevel="0" collapsed="false">
      <c r="A1818" s="6" t="str">
        <f aca="false">'Dish Database'!A469</f>
        <v>D468</v>
      </c>
      <c r="B1818" s="6" t="str">
        <f aca="false">'Dish Database'!B469</f>
        <v>Hot &amp; sour soup (veg)</v>
      </c>
      <c r="C1818" s="6" t="str">
        <f aca="false">'Dish Database'!D469</f>
        <v>Soups</v>
      </c>
      <c r="D1818" s="6" t="str">
        <f aca="false">'Dish Database'!F469</f>
        <v>Veg</v>
      </c>
      <c r="E1818" s="6" t="str">
        <f aca="false">'Dish Database'!E469</f>
        <v>Indo-Chinese</v>
      </c>
      <c r="F1818" s="6" t="s">
        <v>103</v>
      </c>
      <c r="G1818" s="6" t="s">
        <v>2506</v>
      </c>
      <c r="H1818" s="16" t="n">
        <v>250</v>
      </c>
      <c r="I1818" s="6" t="str">
        <f aca="false">'Dish Database'!I469</f>
        <v>ml</v>
      </c>
      <c r="J1818" s="13" t="n">
        <f aca="false">'Dish Database'!J469*H1818/100</f>
        <v>104.75</v>
      </c>
      <c r="K1818" s="17" t="n">
        <f aca="false">'Dish Database'!K469*H1818/100</f>
        <v>3.75</v>
      </c>
      <c r="L1818" s="17" t="n">
        <f aca="false">'Dish Database'!L469*H1818/100</f>
        <v>15</v>
      </c>
      <c r="M1818" s="17" t="n">
        <f aca="false">'Dish Database'!M469*H1818/100</f>
        <v>3.75</v>
      </c>
      <c r="N1818" s="17" t="n">
        <f aca="false">'Dish Database'!N469*H1818/100</f>
        <v>2</v>
      </c>
      <c r="O1818" s="17" t="n">
        <f aca="false">'Dish Database'!O469*H1818/100</f>
        <v>5</v>
      </c>
      <c r="P1818" s="13" t="n">
        <f aca="false">'Dish Database'!P469*H1818/100</f>
        <v>1500</v>
      </c>
    </row>
    <row r="1819" customFormat="false" ht="15" hidden="false" customHeight="false" outlineLevel="0" collapsed="false">
      <c r="A1819" s="6" t="str">
        <f aca="false">'Dish Database'!A469</f>
        <v>D468</v>
      </c>
      <c r="B1819" s="6" t="str">
        <f aca="false">'Dish Database'!B469</f>
        <v>Hot &amp; sour soup (veg)</v>
      </c>
      <c r="C1819" s="6" t="str">
        <f aca="false">'Dish Database'!D469</f>
        <v>Soups</v>
      </c>
      <c r="D1819" s="6" t="str">
        <f aca="false">'Dish Database'!F469</f>
        <v>Veg</v>
      </c>
      <c r="E1819" s="6" t="str">
        <f aca="false">'Dish Database'!E469</f>
        <v>Indo-Chinese</v>
      </c>
      <c r="F1819" s="6" t="s">
        <v>2246</v>
      </c>
      <c r="G1819" s="6" t="s">
        <v>2507</v>
      </c>
      <c r="H1819" s="16" t="n">
        <v>350</v>
      </c>
      <c r="I1819" s="6" t="str">
        <f aca="false">'Dish Database'!I469</f>
        <v>ml</v>
      </c>
      <c r="J1819" s="13" t="n">
        <f aca="false">'Dish Database'!J469*H1819/100</f>
        <v>146.65</v>
      </c>
      <c r="K1819" s="17" t="n">
        <f aca="false">'Dish Database'!K469*H1819/100</f>
        <v>5.25</v>
      </c>
      <c r="L1819" s="17" t="n">
        <f aca="false">'Dish Database'!L469*H1819/100</f>
        <v>21</v>
      </c>
      <c r="M1819" s="17" t="n">
        <f aca="false">'Dish Database'!M469*H1819/100</f>
        <v>5.25</v>
      </c>
      <c r="N1819" s="17" t="n">
        <f aca="false">'Dish Database'!N469*H1819/100</f>
        <v>2.8</v>
      </c>
      <c r="O1819" s="17" t="n">
        <f aca="false">'Dish Database'!O469*H1819/100</f>
        <v>7</v>
      </c>
      <c r="P1819" s="13" t="n">
        <f aca="false">'Dish Database'!P469*H1819/100</f>
        <v>2100</v>
      </c>
    </row>
    <row r="1820" customFormat="false" ht="15" hidden="false" customHeight="false" outlineLevel="0" collapsed="false">
      <c r="A1820" s="6" t="str">
        <f aca="false">'Dish Database'!A470</f>
        <v>D469</v>
      </c>
      <c r="B1820" s="6" t="str">
        <f aca="false">'Dish Database'!B470</f>
        <v>Hot &amp; sour soup (chicken)</v>
      </c>
      <c r="C1820" s="6" t="str">
        <f aca="false">'Dish Database'!D470</f>
        <v>Soups</v>
      </c>
      <c r="D1820" s="6" t="str">
        <f aca="false">'Dish Database'!F470</f>
        <v>Non-Veg</v>
      </c>
      <c r="E1820" s="6" t="str">
        <f aca="false">'Dish Database'!E470</f>
        <v>Indo-Chinese</v>
      </c>
      <c r="F1820" s="6" t="s">
        <v>2243</v>
      </c>
      <c r="G1820" s="6" t="s">
        <v>2505</v>
      </c>
      <c r="H1820" s="16" t="n">
        <v>150</v>
      </c>
      <c r="I1820" s="6" t="str">
        <f aca="false">'Dish Database'!I470</f>
        <v>ml</v>
      </c>
      <c r="J1820" s="13" t="n">
        <f aca="false">'Dish Database'!J470*H1820/100</f>
        <v>73.8</v>
      </c>
      <c r="K1820" s="17" t="n">
        <f aca="false">'Dish Database'!K470*H1820/100</f>
        <v>5.25</v>
      </c>
      <c r="L1820" s="17" t="n">
        <f aca="false">'Dish Database'!L470*H1820/100</f>
        <v>7.5</v>
      </c>
      <c r="M1820" s="17" t="n">
        <f aca="false">'Dish Database'!M470*H1820/100</f>
        <v>2.7</v>
      </c>
      <c r="N1820" s="17" t="n">
        <f aca="false">'Dish Database'!N470*H1820/100</f>
        <v>0.75</v>
      </c>
      <c r="O1820" s="17" t="n">
        <f aca="false">'Dish Database'!O470*H1820/100</f>
        <v>3</v>
      </c>
      <c r="P1820" s="13" t="n">
        <f aca="false">'Dish Database'!P470*H1820/100</f>
        <v>900</v>
      </c>
    </row>
    <row r="1821" customFormat="false" ht="15" hidden="false" customHeight="false" outlineLevel="0" collapsed="false">
      <c r="A1821" s="6" t="str">
        <f aca="false">'Dish Database'!A470</f>
        <v>D469</v>
      </c>
      <c r="B1821" s="6" t="str">
        <f aca="false">'Dish Database'!B470</f>
        <v>Hot &amp; sour soup (chicken)</v>
      </c>
      <c r="C1821" s="6" t="str">
        <f aca="false">'Dish Database'!D470</f>
        <v>Soups</v>
      </c>
      <c r="D1821" s="6" t="str">
        <f aca="false">'Dish Database'!F470</f>
        <v>Non-Veg</v>
      </c>
      <c r="E1821" s="6" t="str">
        <f aca="false">'Dish Database'!E470</f>
        <v>Indo-Chinese</v>
      </c>
      <c r="F1821" s="6" t="s">
        <v>103</v>
      </c>
      <c r="G1821" s="6" t="s">
        <v>2506</v>
      </c>
      <c r="H1821" s="16" t="n">
        <v>250</v>
      </c>
      <c r="I1821" s="6" t="str">
        <f aca="false">'Dish Database'!I470</f>
        <v>ml</v>
      </c>
      <c r="J1821" s="13" t="n">
        <f aca="false">'Dish Database'!J470*H1821/100</f>
        <v>123</v>
      </c>
      <c r="K1821" s="17" t="n">
        <f aca="false">'Dish Database'!K470*H1821/100</f>
        <v>8.75</v>
      </c>
      <c r="L1821" s="17" t="n">
        <f aca="false">'Dish Database'!L470*H1821/100</f>
        <v>12.5</v>
      </c>
      <c r="M1821" s="17" t="n">
        <f aca="false">'Dish Database'!M470*H1821/100</f>
        <v>4.5</v>
      </c>
      <c r="N1821" s="17" t="n">
        <f aca="false">'Dish Database'!N470*H1821/100</f>
        <v>1.25</v>
      </c>
      <c r="O1821" s="17" t="n">
        <f aca="false">'Dish Database'!O470*H1821/100</f>
        <v>5</v>
      </c>
      <c r="P1821" s="13" t="n">
        <f aca="false">'Dish Database'!P470*H1821/100</f>
        <v>1500</v>
      </c>
    </row>
    <row r="1822" customFormat="false" ht="15" hidden="false" customHeight="false" outlineLevel="0" collapsed="false">
      <c r="A1822" s="6" t="str">
        <f aca="false">'Dish Database'!A470</f>
        <v>D469</v>
      </c>
      <c r="B1822" s="6" t="str">
        <f aca="false">'Dish Database'!B470</f>
        <v>Hot &amp; sour soup (chicken)</v>
      </c>
      <c r="C1822" s="6" t="str">
        <f aca="false">'Dish Database'!D470</f>
        <v>Soups</v>
      </c>
      <c r="D1822" s="6" t="str">
        <f aca="false">'Dish Database'!F470</f>
        <v>Non-Veg</v>
      </c>
      <c r="E1822" s="6" t="str">
        <f aca="false">'Dish Database'!E470</f>
        <v>Indo-Chinese</v>
      </c>
      <c r="F1822" s="6" t="s">
        <v>2246</v>
      </c>
      <c r="G1822" s="6" t="s">
        <v>2507</v>
      </c>
      <c r="H1822" s="16" t="n">
        <v>350</v>
      </c>
      <c r="I1822" s="6" t="str">
        <f aca="false">'Dish Database'!I470</f>
        <v>ml</v>
      </c>
      <c r="J1822" s="13" t="n">
        <f aca="false">'Dish Database'!J470*H1822/100</f>
        <v>172.2</v>
      </c>
      <c r="K1822" s="17" t="n">
        <f aca="false">'Dish Database'!K470*H1822/100</f>
        <v>12.25</v>
      </c>
      <c r="L1822" s="17" t="n">
        <f aca="false">'Dish Database'!L470*H1822/100</f>
        <v>17.5</v>
      </c>
      <c r="M1822" s="17" t="n">
        <f aca="false">'Dish Database'!M470*H1822/100</f>
        <v>6.3</v>
      </c>
      <c r="N1822" s="17" t="n">
        <f aca="false">'Dish Database'!N470*H1822/100</f>
        <v>1.75</v>
      </c>
      <c r="O1822" s="17" t="n">
        <f aca="false">'Dish Database'!O470*H1822/100</f>
        <v>7</v>
      </c>
      <c r="P1822" s="13" t="n">
        <f aca="false">'Dish Database'!P470*H1822/100</f>
        <v>2100</v>
      </c>
    </row>
    <row r="1823" customFormat="false" ht="15" hidden="false" customHeight="false" outlineLevel="0" collapsed="false">
      <c r="A1823" s="6" t="str">
        <f aca="false">'Dish Database'!A471</f>
        <v>D470</v>
      </c>
      <c r="B1823" s="6" t="str">
        <f aca="false">'Dish Database'!B471</f>
        <v>Manchow soup (veg)</v>
      </c>
      <c r="C1823" s="6" t="str">
        <f aca="false">'Dish Database'!D471</f>
        <v>Soups</v>
      </c>
      <c r="D1823" s="6" t="str">
        <f aca="false">'Dish Database'!F471</f>
        <v>Veg</v>
      </c>
      <c r="E1823" s="6" t="str">
        <f aca="false">'Dish Database'!E471</f>
        <v>Indo-Chinese</v>
      </c>
      <c r="F1823" s="6" t="s">
        <v>2243</v>
      </c>
      <c r="G1823" s="6" t="s">
        <v>2505</v>
      </c>
      <c r="H1823" s="16" t="n">
        <v>150</v>
      </c>
      <c r="I1823" s="6" t="str">
        <f aca="false">'Dish Database'!I471</f>
        <v>ml</v>
      </c>
      <c r="J1823" s="13" t="n">
        <f aca="false">'Dish Database'!J471*H1823/100</f>
        <v>89.55</v>
      </c>
      <c r="K1823" s="17" t="n">
        <f aca="false">'Dish Database'!K471*H1823/100</f>
        <v>2.7</v>
      </c>
      <c r="L1823" s="17" t="n">
        <f aca="false">'Dish Database'!L471*H1823/100</f>
        <v>12</v>
      </c>
      <c r="M1823" s="17" t="n">
        <f aca="false">'Dish Database'!M471*H1823/100</f>
        <v>3.75</v>
      </c>
      <c r="N1823" s="17" t="n">
        <f aca="false">'Dish Database'!N471*H1823/100</f>
        <v>1.5</v>
      </c>
      <c r="O1823" s="17" t="n">
        <f aca="false">'Dish Database'!O471*H1823/100</f>
        <v>3</v>
      </c>
      <c r="P1823" s="13" t="n">
        <f aca="false">'Dish Database'!P471*H1823/100</f>
        <v>975</v>
      </c>
    </row>
    <row r="1824" customFormat="false" ht="15" hidden="false" customHeight="false" outlineLevel="0" collapsed="false">
      <c r="A1824" s="6" t="str">
        <f aca="false">'Dish Database'!A471</f>
        <v>D470</v>
      </c>
      <c r="B1824" s="6" t="str">
        <f aca="false">'Dish Database'!B471</f>
        <v>Manchow soup (veg)</v>
      </c>
      <c r="C1824" s="6" t="str">
        <f aca="false">'Dish Database'!D471</f>
        <v>Soups</v>
      </c>
      <c r="D1824" s="6" t="str">
        <f aca="false">'Dish Database'!F471</f>
        <v>Veg</v>
      </c>
      <c r="E1824" s="6" t="str">
        <f aca="false">'Dish Database'!E471</f>
        <v>Indo-Chinese</v>
      </c>
      <c r="F1824" s="6" t="s">
        <v>103</v>
      </c>
      <c r="G1824" s="6" t="s">
        <v>2506</v>
      </c>
      <c r="H1824" s="16" t="n">
        <v>250</v>
      </c>
      <c r="I1824" s="6" t="str">
        <f aca="false">'Dish Database'!I471</f>
        <v>ml</v>
      </c>
      <c r="J1824" s="13" t="n">
        <f aca="false">'Dish Database'!J471*H1824/100</f>
        <v>149.25</v>
      </c>
      <c r="K1824" s="17" t="n">
        <f aca="false">'Dish Database'!K471*H1824/100</f>
        <v>4.5</v>
      </c>
      <c r="L1824" s="17" t="n">
        <f aca="false">'Dish Database'!L471*H1824/100</f>
        <v>20</v>
      </c>
      <c r="M1824" s="17" t="n">
        <f aca="false">'Dish Database'!M471*H1824/100</f>
        <v>6.25</v>
      </c>
      <c r="N1824" s="17" t="n">
        <f aca="false">'Dish Database'!N471*H1824/100</f>
        <v>2.5</v>
      </c>
      <c r="O1824" s="17" t="n">
        <f aca="false">'Dish Database'!O471*H1824/100</f>
        <v>5</v>
      </c>
      <c r="P1824" s="13" t="n">
        <f aca="false">'Dish Database'!P471*H1824/100</f>
        <v>1625</v>
      </c>
    </row>
    <row r="1825" customFormat="false" ht="15" hidden="false" customHeight="false" outlineLevel="0" collapsed="false">
      <c r="A1825" s="6" t="str">
        <f aca="false">'Dish Database'!A471</f>
        <v>D470</v>
      </c>
      <c r="B1825" s="6" t="str">
        <f aca="false">'Dish Database'!B471</f>
        <v>Manchow soup (veg)</v>
      </c>
      <c r="C1825" s="6" t="str">
        <f aca="false">'Dish Database'!D471</f>
        <v>Soups</v>
      </c>
      <c r="D1825" s="6" t="str">
        <f aca="false">'Dish Database'!F471</f>
        <v>Veg</v>
      </c>
      <c r="E1825" s="6" t="str">
        <f aca="false">'Dish Database'!E471</f>
        <v>Indo-Chinese</v>
      </c>
      <c r="F1825" s="6" t="s">
        <v>2246</v>
      </c>
      <c r="G1825" s="6" t="s">
        <v>2507</v>
      </c>
      <c r="H1825" s="16" t="n">
        <v>350</v>
      </c>
      <c r="I1825" s="6" t="str">
        <f aca="false">'Dish Database'!I471</f>
        <v>ml</v>
      </c>
      <c r="J1825" s="13" t="n">
        <f aca="false">'Dish Database'!J471*H1825/100</f>
        <v>208.95</v>
      </c>
      <c r="K1825" s="17" t="n">
        <f aca="false">'Dish Database'!K471*H1825/100</f>
        <v>6.3</v>
      </c>
      <c r="L1825" s="17" t="n">
        <f aca="false">'Dish Database'!L471*H1825/100</f>
        <v>28</v>
      </c>
      <c r="M1825" s="17" t="n">
        <f aca="false">'Dish Database'!M471*H1825/100</f>
        <v>8.75</v>
      </c>
      <c r="N1825" s="17" t="n">
        <f aca="false">'Dish Database'!N471*H1825/100</f>
        <v>3.5</v>
      </c>
      <c r="O1825" s="17" t="n">
        <f aca="false">'Dish Database'!O471*H1825/100</f>
        <v>7</v>
      </c>
      <c r="P1825" s="13" t="n">
        <f aca="false">'Dish Database'!P471*H1825/100</f>
        <v>2275</v>
      </c>
    </row>
    <row r="1826" customFormat="false" ht="15" hidden="false" customHeight="false" outlineLevel="0" collapsed="false">
      <c r="A1826" s="6" t="str">
        <f aca="false">'Dish Database'!A472</f>
        <v>D471</v>
      </c>
      <c r="B1826" s="6" t="str">
        <f aca="false">'Dish Database'!B472</f>
        <v>Manchow soup (chicken)</v>
      </c>
      <c r="C1826" s="6" t="str">
        <f aca="false">'Dish Database'!D472</f>
        <v>Soups</v>
      </c>
      <c r="D1826" s="6" t="str">
        <f aca="false">'Dish Database'!F472</f>
        <v>Non-Veg</v>
      </c>
      <c r="E1826" s="6" t="str">
        <f aca="false">'Dish Database'!E472</f>
        <v>Indo-Chinese</v>
      </c>
      <c r="F1826" s="6" t="s">
        <v>2243</v>
      </c>
      <c r="G1826" s="6" t="s">
        <v>2505</v>
      </c>
      <c r="H1826" s="16" t="n">
        <v>150</v>
      </c>
      <c r="I1826" s="6" t="str">
        <f aca="false">'Dish Database'!I472</f>
        <v>ml</v>
      </c>
      <c r="J1826" s="13" t="n">
        <f aca="false">'Dish Database'!J472*H1826/100</f>
        <v>98.4</v>
      </c>
      <c r="K1826" s="17" t="n">
        <f aca="false">'Dish Database'!K472*H1826/100</f>
        <v>5.25</v>
      </c>
      <c r="L1826" s="17" t="n">
        <f aca="false">'Dish Database'!L472*H1826/100</f>
        <v>10.5</v>
      </c>
      <c r="M1826" s="17" t="n">
        <f aca="false">'Dish Database'!M472*H1826/100</f>
        <v>4.2</v>
      </c>
      <c r="N1826" s="17" t="n">
        <f aca="false">'Dish Database'!N472*H1826/100</f>
        <v>1.2</v>
      </c>
      <c r="O1826" s="17" t="n">
        <f aca="false">'Dish Database'!O472*H1826/100</f>
        <v>3</v>
      </c>
      <c r="P1826" s="13" t="n">
        <f aca="false">'Dish Database'!P472*H1826/100</f>
        <v>975</v>
      </c>
    </row>
    <row r="1827" customFormat="false" ht="15" hidden="false" customHeight="false" outlineLevel="0" collapsed="false">
      <c r="A1827" s="6" t="str">
        <f aca="false">'Dish Database'!A472</f>
        <v>D471</v>
      </c>
      <c r="B1827" s="6" t="str">
        <f aca="false">'Dish Database'!B472</f>
        <v>Manchow soup (chicken)</v>
      </c>
      <c r="C1827" s="6" t="str">
        <f aca="false">'Dish Database'!D472</f>
        <v>Soups</v>
      </c>
      <c r="D1827" s="6" t="str">
        <f aca="false">'Dish Database'!F472</f>
        <v>Non-Veg</v>
      </c>
      <c r="E1827" s="6" t="str">
        <f aca="false">'Dish Database'!E472</f>
        <v>Indo-Chinese</v>
      </c>
      <c r="F1827" s="6" t="s">
        <v>103</v>
      </c>
      <c r="G1827" s="6" t="s">
        <v>2506</v>
      </c>
      <c r="H1827" s="16" t="n">
        <v>250</v>
      </c>
      <c r="I1827" s="6" t="str">
        <f aca="false">'Dish Database'!I472</f>
        <v>ml</v>
      </c>
      <c r="J1827" s="13" t="n">
        <f aca="false">'Dish Database'!J472*H1827/100</f>
        <v>164</v>
      </c>
      <c r="K1827" s="17" t="n">
        <f aca="false">'Dish Database'!K472*H1827/100</f>
        <v>8.75</v>
      </c>
      <c r="L1827" s="17" t="n">
        <f aca="false">'Dish Database'!L472*H1827/100</f>
        <v>17.5</v>
      </c>
      <c r="M1827" s="17" t="n">
        <f aca="false">'Dish Database'!M472*H1827/100</f>
        <v>7</v>
      </c>
      <c r="N1827" s="17" t="n">
        <f aca="false">'Dish Database'!N472*H1827/100</f>
        <v>2</v>
      </c>
      <c r="O1827" s="17" t="n">
        <f aca="false">'Dish Database'!O472*H1827/100</f>
        <v>5</v>
      </c>
      <c r="P1827" s="13" t="n">
        <f aca="false">'Dish Database'!P472*H1827/100</f>
        <v>1625</v>
      </c>
    </row>
    <row r="1828" customFormat="false" ht="15" hidden="false" customHeight="false" outlineLevel="0" collapsed="false">
      <c r="A1828" s="6" t="str">
        <f aca="false">'Dish Database'!A472</f>
        <v>D471</v>
      </c>
      <c r="B1828" s="6" t="str">
        <f aca="false">'Dish Database'!B472</f>
        <v>Manchow soup (chicken)</v>
      </c>
      <c r="C1828" s="6" t="str">
        <f aca="false">'Dish Database'!D472</f>
        <v>Soups</v>
      </c>
      <c r="D1828" s="6" t="str">
        <f aca="false">'Dish Database'!F472</f>
        <v>Non-Veg</v>
      </c>
      <c r="E1828" s="6" t="str">
        <f aca="false">'Dish Database'!E472</f>
        <v>Indo-Chinese</v>
      </c>
      <c r="F1828" s="6" t="s">
        <v>2246</v>
      </c>
      <c r="G1828" s="6" t="s">
        <v>2507</v>
      </c>
      <c r="H1828" s="16" t="n">
        <v>350</v>
      </c>
      <c r="I1828" s="6" t="str">
        <f aca="false">'Dish Database'!I472</f>
        <v>ml</v>
      </c>
      <c r="J1828" s="13" t="n">
        <f aca="false">'Dish Database'!J472*H1828/100</f>
        <v>229.6</v>
      </c>
      <c r="K1828" s="17" t="n">
        <f aca="false">'Dish Database'!K472*H1828/100</f>
        <v>12.25</v>
      </c>
      <c r="L1828" s="17" t="n">
        <f aca="false">'Dish Database'!L472*H1828/100</f>
        <v>24.5</v>
      </c>
      <c r="M1828" s="17" t="n">
        <f aca="false">'Dish Database'!M472*H1828/100</f>
        <v>9.8</v>
      </c>
      <c r="N1828" s="17" t="n">
        <f aca="false">'Dish Database'!N472*H1828/100</f>
        <v>2.8</v>
      </c>
      <c r="O1828" s="17" t="n">
        <f aca="false">'Dish Database'!O472*H1828/100</f>
        <v>7</v>
      </c>
      <c r="P1828" s="13" t="n">
        <f aca="false">'Dish Database'!P472*H1828/100</f>
        <v>2275</v>
      </c>
    </row>
    <row r="1829" customFormat="false" ht="15" hidden="false" customHeight="false" outlineLevel="0" collapsed="false">
      <c r="A1829" s="6" t="str">
        <f aca="false">'Dish Database'!A473</f>
        <v>D472</v>
      </c>
      <c r="B1829" s="6" t="str">
        <f aca="false">'Dish Database'!B473</f>
        <v>Lemon coriander soup</v>
      </c>
      <c r="C1829" s="6" t="str">
        <f aca="false">'Dish Database'!D473</f>
        <v>Soups</v>
      </c>
      <c r="D1829" s="6" t="str">
        <f aca="false">'Dish Database'!F473</f>
        <v>Veg</v>
      </c>
      <c r="E1829" s="6" t="str">
        <f aca="false">'Dish Database'!E473</f>
        <v>Pan-India</v>
      </c>
      <c r="F1829" s="6" t="s">
        <v>2243</v>
      </c>
      <c r="G1829" s="6" t="s">
        <v>2505</v>
      </c>
      <c r="H1829" s="16" t="n">
        <v>150</v>
      </c>
      <c r="I1829" s="6" t="str">
        <f aca="false">'Dish Database'!I473</f>
        <v>ml</v>
      </c>
      <c r="J1829" s="13" t="n">
        <f aca="false">'Dish Database'!J473*H1829/100</f>
        <v>45.3</v>
      </c>
      <c r="K1829" s="17" t="n">
        <f aca="false">'Dish Database'!K473*H1829/100</f>
        <v>1.8</v>
      </c>
      <c r="L1829" s="17" t="n">
        <f aca="false">'Dish Database'!L473*H1829/100</f>
        <v>6.75</v>
      </c>
      <c r="M1829" s="17" t="n">
        <f aca="false">'Dish Database'!M473*H1829/100</f>
        <v>1.5</v>
      </c>
      <c r="N1829" s="17" t="n">
        <f aca="false">'Dish Database'!N473*H1829/100</f>
        <v>1.2</v>
      </c>
      <c r="O1829" s="17" t="n">
        <f aca="false">'Dish Database'!O473*H1829/100</f>
        <v>2.25</v>
      </c>
      <c r="P1829" s="13" t="n">
        <f aca="false">'Dish Database'!P473*H1829/100</f>
        <v>675</v>
      </c>
    </row>
    <row r="1830" customFormat="false" ht="15" hidden="false" customHeight="false" outlineLevel="0" collapsed="false">
      <c r="A1830" s="6" t="str">
        <f aca="false">'Dish Database'!A473</f>
        <v>D472</v>
      </c>
      <c r="B1830" s="6" t="str">
        <f aca="false">'Dish Database'!B473</f>
        <v>Lemon coriander soup</v>
      </c>
      <c r="C1830" s="6" t="str">
        <f aca="false">'Dish Database'!D473</f>
        <v>Soups</v>
      </c>
      <c r="D1830" s="6" t="str">
        <f aca="false">'Dish Database'!F473</f>
        <v>Veg</v>
      </c>
      <c r="E1830" s="6" t="str">
        <f aca="false">'Dish Database'!E473</f>
        <v>Pan-India</v>
      </c>
      <c r="F1830" s="6" t="s">
        <v>103</v>
      </c>
      <c r="G1830" s="6" t="s">
        <v>2506</v>
      </c>
      <c r="H1830" s="16" t="n">
        <v>250</v>
      </c>
      <c r="I1830" s="6" t="str">
        <f aca="false">'Dish Database'!I473</f>
        <v>ml</v>
      </c>
      <c r="J1830" s="13" t="n">
        <f aca="false">'Dish Database'!J473*H1830/100</f>
        <v>75.5</v>
      </c>
      <c r="K1830" s="17" t="n">
        <f aca="false">'Dish Database'!K473*H1830/100</f>
        <v>3</v>
      </c>
      <c r="L1830" s="17" t="n">
        <f aca="false">'Dish Database'!L473*H1830/100</f>
        <v>11.25</v>
      </c>
      <c r="M1830" s="17" t="n">
        <f aca="false">'Dish Database'!M473*H1830/100</f>
        <v>2.5</v>
      </c>
      <c r="N1830" s="17" t="n">
        <f aca="false">'Dish Database'!N473*H1830/100</f>
        <v>2</v>
      </c>
      <c r="O1830" s="17" t="n">
        <f aca="false">'Dish Database'!O473*H1830/100</f>
        <v>3.75</v>
      </c>
      <c r="P1830" s="13" t="n">
        <f aca="false">'Dish Database'!P473*H1830/100</f>
        <v>1125</v>
      </c>
    </row>
    <row r="1831" customFormat="false" ht="15" hidden="false" customHeight="false" outlineLevel="0" collapsed="false">
      <c r="A1831" s="6" t="str">
        <f aca="false">'Dish Database'!A473</f>
        <v>D472</v>
      </c>
      <c r="B1831" s="6" t="str">
        <f aca="false">'Dish Database'!B473</f>
        <v>Lemon coriander soup</v>
      </c>
      <c r="C1831" s="6" t="str">
        <f aca="false">'Dish Database'!D473</f>
        <v>Soups</v>
      </c>
      <c r="D1831" s="6" t="str">
        <f aca="false">'Dish Database'!F473</f>
        <v>Veg</v>
      </c>
      <c r="E1831" s="6" t="str">
        <f aca="false">'Dish Database'!E473</f>
        <v>Pan-India</v>
      </c>
      <c r="F1831" s="6" t="s">
        <v>2246</v>
      </c>
      <c r="G1831" s="6" t="s">
        <v>2507</v>
      </c>
      <c r="H1831" s="16" t="n">
        <v>350</v>
      </c>
      <c r="I1831" s="6" t="str">
        <f aca="false">'Dish Database'!I473</f>
        <v>ml</v>
      </c>
      <c r="J1831" s="13" t="n">
        <f aca="false">'Dish Database'!J473*H1831/100</f>
        <v>105.7</v>
      </c>
      <c r="K1831" s="17" t="n">
        <f aca="false">'Dish Database'!K473*H1831/100</f>
        <v>4.2</v>
      </c>
      <c r="L1831" s="17" t="n">
        <f aca="false">'Dish Database'!L473*H1831/100</f>
        <v>15.75</v>
      </c>
      <c r="M1831" s="17" t="n">
        <f aca="false">'Dish Database'!M473*H1831/100</f>
        <v>3.5</v>
      </c>
      <c r="N1831" s="17" t="n">
        <f aca="false">'Dish Database'!N473*H1831/100</f>
        <v>2.8</v>
      </c>
      <c r="O1831" s="17" t="n">
        <f aca="false">'Dish Database'!O473*H1831/100</f>
        <v>5.25</v>
      </c>
      <c r="P1831" s="13" t="n">
        <f aca="false">'Dish Database'!P473*H1831/100</f>
        <v>1575</v>
      </c>
    </row>
    <row r="1832" customFormat="false" ht="15" hidden="false" customHeight="false" outlineLevel="0" collapsed="false">
      <c r="A1832" s="6" t="str">
        <f aca="false">'Dish Database'!A474</f>
        <v>D473</v>
      </c>
      <c r="B1832" s="6" t="str">
        <f aca="false">'Dish Database'!B474</f>
        <v>Clear vegetable soup</v>
      </c>
      <c r="C1832" s="6" t="str">
        <f aca="false">'Dish Database'!D474</f>
        <v>Soups</v>
      </c>
      <c r="D1832" s="6" t="str">
        <f aca="false">'Dish Database'!F474</f>
        <v>Veg</v>
      </c>
      <c r="E1832" s="6" t="str">
        <f aca="false">'Dish Database'!E474</f>
        <v>Pan-India</v>
      </c>
      <c r="F1832" s="6" t="s">
        <v>2243</v>
      </c>
      <c r="G1832" s="6" t="s">
        <v>2505</v>
      </c>
      <c r="H1832" s="16" t="n">
        <v>150</v>
      </c>
      <c r="I1832" s="6" t="str">
        <f aca="false">'Dish Database'!I474</f>
        <v>ml</v>
      </c>
      <c r="J1832" s="13" t="n">
        <f aca="false">'Dish Database'!J474*H1832/100</f>
        <v>27.45</v>
      </c>
      <c r="K1832" s="17" t="n">
        <f aca="false">'Dish Database'!K474*H1832/100</f>
        <v>1.2</v>
      </c>
      <c r="L1832" s="17" t="n">
        <f aca="false">'Dish Database'!L474*H1832/100</f>
        <v>4.5</v>
      </c>
      <c r="M1832" s="17" t="n">
        <f aca="false">'Dish Database'!M474*H1832/100</f>
        <v>0.75</v>
      </c>
      <c r="N1832" s="17" t="n">
        <f aca="false">'Dish Database'!N474*H1832/100</f>
        <v>1.05</v>
      </c>
      <c r="O1832" s="17" t="n">
        <f aca="false">'Dish Database'!O474*H1832/100</f>
        <v>2.25</v>
      </c>
      <c r="P1832" s="13" t="n">
        <f aca="false">'Dish Database'!P474*H1832/100</f>
        <v>600</v>
      </c>
    </row>
    <row r="1833" customFormat="false" ht="15" hidden="false" customHeight="false" outlineLevel="0" collapsed="false">
      <c r="A1833" s="6" t="str">
        <f aca="false">'Dish Database'!A474</f>
        <v>D473</v>
      </c>
      <c r="B1833" s="6" t="str">
        <f aca="false">'Dish Database'!B474</f>
        <v>Clear vegetable soup</v>
      </c>
      <c r="C1833" s="6" t="str">
        <f aca="false">'Dish Database'!D474</f>
        <v>Soups</v>
      </c>
      <c r="D1833" s="6" t="str">
        <f aca="false">'Dish Database'!F474</f>
        <v>Veg</v>
      </c>
      <c r="E1833" s="6" t="str">
        <f aca="false">'Dish Database'!E474</f>
        <v>Pan-India</v>
      </c>
      <c r="F1833" s="6" t="s">
        <v>103</v>
      </c>
      <c r="G1833" s="6" t="s">
        <v>2506</v>
      </c>
      <c r="H1833" s="16" t="n">
        <v>250</v>
      </c>
      <c r="I1833" s="6" t="str">
        <f aca="false">'Dish Database'!I474</f>
        <v>ml</v>
      </c>
      <c r="J1833" s="13" t="n">
        <f aca="false">'Dish Database'!J474*H1833/100</f>
        <v>45.75</v>
      </c>
      <c r="K1833" s="17" t="n">
        <f aca="false">'Dish Database'!K474*H1833/100</f>
        <v>2</v>
      </c>
      <c r="L1833" s="17" t="n">
        <f aca="false">'Dish Database'!L474*H1833/100</f>
        <v>7.5</v>
      </c>
      <c r="M1833" s="17" t="n">
        <f aca="false">'Dish Database'!M474*H1833/100</f>
        <v>1.25</v>
      </c>
      <c r="N1833" s="17" t="n">
        <f aca="false">'Dish Database'!N474*H1833/100</f>
        <v>1.75</v>
      </c>
      <c r="O1833" s="17" t="n">
        <f aca="false">'Dish Database'!O474*H1833/100</f>
        <v>3.75</v>
      </c>
      <c r="P1833" s="13" t="n">
        <f aca="false">'Dish Database'!P474*H1833/100</f>
        <v>1000</v>
      </c>
    </row>
    <row r="1834" customFormat="false" ht="15" hidden="false" customHeight="false" outlineLevel="0" collapsed="false">
      <c r="A1834" s="6" t="str">
        <f aca="false">'Dish Database'!A474</f>
        <v>D473</v>
      </c>
      <c r="B1834" s="6" t="str">
        <f aca="false">'Dish Database'!B474</f>
        <v>Clear vegetable soup</v>
      </c>
      <c r="C1834" s="6" t="str">
        <f aca="false">'Dish Database'!D474</f>
        <v>Soups</v>
      </c>
      <c r="D1834" s="6" t="str">
        <f aca="false">'Dish Database'!F474</f>
        <v>Veg</v>
      </c>
      <c r="E1834" s="6" t="str">
        <f aca="false">'Dish Database'!E474</f>
        <v>Pan-India</v>
      </c>
      <c r="F1834" s="6" t="s">
        <v>2246</v>
      </c>
      <c r="G1834" s="6" t="s">
        <v>2507</v>
      </c>
      <c r="H1834" s="16" t="n">
        <v>350</v>
      </c>
      <c r="I1834" s="6" t="str">
        <f aca="false">'Dish Database'!I474</f>
        <v>ml</v>
      </c>
      <c r="J1834" s="13" t="n">
        <f aca="false">'Dish Database'!J474*H1834/100</f>
        <v>64.05</v>
      </c>
      <c r="K1834" s="17" t="n">
        <f aca="false">'Dish Database'!K474*H1834/100</f>
        <v>2.8</v>
      </c>
      <c r="L1834" s="17" t="n">
        <f aca="false">'Dish Database'!L474*H1834/100</f>
        <v>10.5</v>
      </c>
      <c r="M1834" s="17" t="n">
        <f aca="false">'Dish Database'!M474*H1834/100</f>
        <v>1.75</v>
      </c>
      <c r="N1834" s="17" t="n">
        <f aca="false">'Dish Database'!N474*H1834/100</f>
        <v>2.45</v>
      </c>
      <c r="O1834" s="17" t="n">
        <f aca="false">'Dish Database'!O474*H1834/100</f>
        <v>5.25</v>
      </c>
      <c r="P1834" s="13" t="n">
        <f aca="false">'Dish Database'!P474*H1834/100</f>
        <v>1400</v>
      </c>
    </row>
    <row r="1835" customFormat="false" ht="15" hidden="false" customHeight="false" outlineLevel="0" collapsed="false">
      <c r="A1835" s="6" t="str">
        <f aca="false">'Dish Database'!A475</f>
        <v>D474</v>
      </c>
      <c r="B1835" s="6" t="str">
        <f aca="false">'Dish Database'!B475</f>
        <v>Chicken clear soup</v>
      </c>
      <c r="C1835" s="6" t="str">
        <f aca="false">'Dish Database'!D475</f>
        <v>Soups</v>
      </c>
      <c r="D1835" s="6" t="str">
        <f aca="false">'Dish Database'!F475</f>
        <v>Non-Veg</v>
      </c>
      <c r="E1835" s="6" t="str">
        <f aca="false">'Dish Database'!E475</f>
        <v>Pan-India</v>
      </c>
      <c r="F1835" s="6" t="s">
        <v>2243</v>
      </c>
      <c r="G1835" s="6" t="s">
        <v>2505</v>
      </c>
      <c r="H1835" s="16" t="n">
        <v>150</v>
      </c>
      <c r="I1835" s="6" t="str">
        <f aca="false">'Dish Database'!I475</f>
        <v>ml</v>
      </c>
      <c r="J1835" s="13" t="n">
        <f aca="false">'Dish Database'!J475*H1835/100</f>
        <v>39.9</v>
      </c>
      <c r="K1835" s="17" t="n">
        <f aca="false">'Dish Database'!K475*H1835/100</f>
        <v>4.5</v>
      </c>
      <c r="L1835" s="17" t="n">
        <f aca="false">'Dish Database'!L475*H1835/100</f>
        <v>2.25</v>
      </c>
      <c r="M1835" s="17" t="n">
        <f aca="false">'Dish Database'!M475*H1835/100</f>
        <v>1.5</v>
      </c>
      <c r="N1835" s="17" t="n">
        <f aca="false">'Dish Database'!N475*H1835/100</f>
        <v>0.3</v>
      </c>
      <c r="O1835" s="17" t="n">
        <f aca="false">'Dish Database'!O475*H1835/100</f>
        <v>0.75</v>
      </c>
      <c r="P1835" s="13" t="n">
        <f aca="false">'Dish Database'!P475*H1835/100</f>
        <v>675</v>
      </c>
    </row>
    <row r="1836" customFormat="false" ht="15" hidden="false" customHeight="false" outlineLevel="0" collapsed="false">
      <c r="A1836" s="6" t="str">
        <f aca="false">'Dish Database'!A475</f>
        <v>D474</v>
      </c>
      <c r="B1836" s="6" t="str">
        <f aca="false">'Dish Database'!B475</f>
        <v>Chicken clear soup</v>
      </c>
      <c r="C1836" s="6" t="str">
        <f aca="false">'Dish Database'!D475</f>
        <v>Soups</v>
      </c>
      <c r="D1836" s="6" t="str">
        <f aca="false">'Dish Database'!F475</f>
        <v>Non-Veg</v>
      </c>
      <c r="E1836" s="6" t="str">
        <f aca="false">'Dish Database'!E475</f>
        <v>Pan-India</v>
      </c>
      <c r="F1836" s="6" t="s">
        <v>103</v>
      </c>
      <c r="G1836" s="6" t="s">
        <v>2506</v>
      </c>
      <c r="H1836" s="16" t="n">
        <v>250</v>
      </c>
      <c r="I1836" s="6" t="str">
        <f aca="false">'Dish Database'!I475</f>
        <v>ml</v>
      </c>
      <c r="J1836" s="13" t="n">
        <f aca="false">'Dish Database'!J475*H1836/100</f>
        <v>66.5</v>
      </c>
      <c r="K1836" s="17" t="n">
        <f aca="false">'Dish Database'!K475*H1836/100</f>
        <v>7.5</v>
      </c>
      <c r="L1836" s="17" t="n">
        <f aca="false">'Dish Database'!L475*H1836/100</f>
        <v>3.75</v>
      </c>
      <c r="M1836" s="17" t="n">
        <f aca="false">'Dish Database'!M475*H1836/100</f>
        <v>2.5</v>
      </c>
      <c r="N1836" s="17" t="n">
        <f aca="false">'Dish Database'!N475*H1836/100</f>
        <v>0.5</v>
      </c>
      <c r="O1836" s="17" t="n">
        <f aca="false">'Dish Database'!O475*H1836/100</f>
        <v>1.25</v>
      </c>
      <c r="P1836" s="13" t="n">
        <f aca="false">'Dish Database'!P475*H1836/100</f>
        <v>1125</v>
      </c>
    </row>
    <row r="1837" customFormat="false" ht="15" hidden="false" customHeight="false" outlineLevel="0" collapsed="false">
      <c r="A1837" s="6" t="str">
        <f aca="false">'Dish Database'!A475</f>
        <v>D474</v>
      </c>
      <c r="B1837" s="6" t="str">
        <f aca="false">'Dish Database'!B475</f>
        <v>Chicken clear soup</v>
      </c>
      <c r="C1837" s="6" t="str">
        <f aca="false">'Dish Database'!D475</f>
        <v>Soups</v>
      </c>
      <c r="D1837" s="6" t="str">
        <f aca="false">'Dish Database'!F475</f>
        <v>Non-Veg</v>
      </c>
      <c r="E1837" s="6" t="str">
        <f aca="false">'Dish Database'!E475</f>
        <v>Pan-India</v>
      </c>
      <c r="F1837" s="6" t="s">
        <v>2246</v>
      </c>
      <c r="G1837" s="6" t="s">
        <v>2507</v>
      </c>
      <c r="H1837" s="16" t="n">
        <v>350</v>
      </c>
      <c r="I1837" s="6" t="str">
        <f aca="false">'Dish Database'!I475</f>
        <v>ml</v>
      </c>
      <c r="J1837" s="13" t="n">
        <f aca="false">'Dish Database'!J475*H1837/100</f>
        <v>93.1</v>
      </c>
      <c r="K1837" s="17" t="n">
        <f aca="false">'Dish Database'!K475*H1837/100</f>
        <v>10.5</v>
      </c>
      <c r="L1837" s="17" t="n">
        <f aca="false">'Dish Database'!L475*H1837/100</f>
        <v>5.25</v>
      </c>
      <c r="M1837" s="17" t="n">
        <f aca="false">'Dish Database'!M475*H1837/100</f>
        <v>3.5</v>
      </c>
      <c r="N1837" s="17" t="n">
        <f aca="false">'Dish Database'!N475*H1837/100</f>
        <v>0.7</v>
      </c>
      <c r="O1837" s="17" t="n">
        <f aca="false">'Dish Database'!O475*H1837/100</f>
        <v>1.75</v>
      </c>
      <c r="P1837" s="13" t="n">
        <f aca="false">'Dish Database'!P475*H1837/100</f>
        <v>1575</v>
      </c>
    </row>
    <row r="1838" customFormat="false" ht="15" hidden="false" customHeight="false" outlineLevel="0" collapsed="false">
      <c r="A1838" s="6" t="str">
        <f aca="false">'Dish Database'!A476</f>
        <v>D475</v>
      </c>
      <c r="B1838" s="6" t="str">
        <f aca="false">'Dish Database'!B476</f>
        <v>Mulligatawny soup</v>
      </c>
      <c r="C1838" s="6" t="str">
        <f aca="false">'Dish Database'!D476</f>
        <v>Soups</v>
      </c>
      <c r="D1838" s="6" t="str">
        <f aca="false">'Dish Database'!F476</f>
        <v>Veg</v>
      </c>
      <c r="E1838" s="6" t="str">
        <f aca="false">'Dish Database'!E476</f>
        <v>South</v>
      </c>
      <c r="F1838" s="6" t="s">
        <v>2243</v>
      </c>
      <c r="G1838" s="6" t="s">
        <v>2505</v>
      </c>
      <c r="H1838" s="16" t="n">
        <v>150</v>
      </c>
      <c r="I1838" s="6" t="str">
        <f aca="false">'Dish Database'!I476</f>
        <v>ml</v>
      </c>
      <c r="J1838" s="13" t="n">
        <f aca="false">'Dish Database'!J476*H1838/100</f>
        <v>92.1</v>
      </c>
      <c r="K1838" s="17" t="n">
        <f aca="false">'Dish Database'!K476*H1838/100</f>
        <v>3.3</v>
      </c>
      <c r="L1838" s="17" t="n">
        <f aca="false">'Dish Database'!L476*H1838/100</f>
        <v>10.5</v>
      </c>
      <c r="M1838" s="17" t="n">
        <f aca="false">'Dish Database'!M476*H1838/100</f>
        <v>4.5</v>
      </c>
      <c r="N1838" s="17" t="n">
        <f aca="false">'Dish Database'!N476*H1838/100</f>
        <v>1.8</v>
      </c>
      <c r="O1838" s="17" t="n">
        <f aca="false">'Dish Database'!O476*H1838/100</f>
        <v>3</v>
      </c>
      <c r="P1838" s="13" t="n">
        <f aca="false">'Dish Database'!P476*H1838/100</f>
        <v>600</v>
      </c>
    </row>
    <row r="1839" customFormat="false" ht="15" hidden="false" customHeight="false" outlineLevel="0" collapsed="false">
      <c r="A1839" s="6" t="str">
        <f aca="false">'Dish Database'!A476</f>
        <v>D475</v>
      </c>
      <c r="B1839" s="6" t="str">
        <f aca="false">'Dish Database'!B476</f>
        <v>Mulligatawny soup</v>
      </c>
      <c r="C1839" s="6" t="str">
        <f aca="false">'Dish Database'!D476</f>
        <v>Soups</v>
      </c>
      <c r="D1839" s="6" t="str">
        <f aca="false">'Dish Database'!F476</f>
        <v>Veg</v>
      </c>
      <c r="E1839" s="6" t="str">
        <f aca="false">'Dish Database'!E476</f>
        <v>South</v>
      </c>
      <c r="F1839" s="6" t="s">
        <v>103</v>
      </c>
      <c r="G1839" s="6" t="s">
        <v>2506</v>
      </c>
      <c r="H1839" s="16" t="n">
        <v>250</v>
      </c>
      <c r="I1839" s="6" t="str">
        <f aca="false">'Dish Database'!I476</f>
        <v>ml</v>
      </c>
      <c r="J1839" s="13" t="n">
        <f aca="false">'Dish Database'!J476*H1839/100</f>
        <v>153.5</v>
      </c>
      <c r="K1839" s="17" t="n">
        <f aca="false">'Dish Database'!K476*H1839/100</f>
        <v>5.5</v>
      </c>
      <c r="L1839" s="17" t="n">
        <f aca="false">'Dish Database'!L476*H1839/100</f>
        <v>17.5</v>
      </c>
      <c r="M1839" s="17" t="n">
        <f aca="false">'Dish Database'!M476*H1839/100</f>
        <v>7.5</v>
      </c>
      <c r="N1839" s="17" t="n">
        <f aca="false">'Dish Database'!N476*H1839/100</f>
        <v>3</v>
      </c>
      <c r="O1839" s="17" t="n">
        <f aca="false">'Dish Database'!O476*H1839/100</f>
        <v>5</v>
      </c>
      <c r="P1839" s="13" t="n">
        <f aca="false">'Dish Database'!P476*H1839/100</f>
        <v>1000</v>
      </c>
    </row>
    <row r="1840" customFormat="false" ht="15" hidden="false" customHeight="false" outlineLevel="0" collapsed="false">
      <c r="A1840" s="6" t="str">
        <f aca="false">'Dish Database'!A476</f>
        <v>D475</v>
      </c>
      <c r="B1840" s="6" t="str">
        <f aca="false">'Dish Database'!B476</f>
        <v>Mulligatawny soup</v>
      </c>
      <c r="C1840" s="6" t="str">
        <f aca="false">'Dish Database'!D476</f>
        <v>Soups</v>
      </c>
      <c r="D1840" s="6" t="str">
        <f aca="false">'Dish Database'!F476</f>
        <v>Veg</v>
      </c>
      <c r="E1840" s="6" t="str">
        <f aca="false">'Dish Database'!E476</f>
        <v>South</v>
      </c>
      <c r="F1840" s="6" t="s">
        <v>2246</v>
      </c>
      <c r="G1840" s="6" t="s">
        <v>2507</v>
      </c>
      <c r="H1840" s="16" t="n">
        <v>350</v>
      </c>
      <c r="I1840" s="6" t="str">
        <f aca="false">'Dish Database'!I476</f>
        <v>ml</v>
      </c>
      <c r="J1840" s="13" t="n">
        <f aca="false">'Dish Database'!J476*H1840/100</f>
        <v>214.9</v>
      </c>
      <c r="K1840" s="17" t="n">
        <f aca="false">'Dish Database'!K476*H1840/100</f>
        <v>7.7</v>
      </c>
      <c r="L1840" s="17" t="n">
        <f aca="false">'Dish Database'!L476*H1840/100</f>
        <v>24.5</v>
      </c>
      <c r="M1840" s="17" t="n">
        <f aca="false">'Dish Database'!M476*H1840/100</f>
        <v>10.5</v>
      </c>
      <c r="N1840" s="17" t="n">
        <f aca="false">'Dish Database'!N476*H1840/100</f>
        <v>4.2</v>
      </c>
      <c r="O1840" s="17" t="n">
        <f aca="false">'Dish Database'!O476*H1840/100</f>
        <v>7</v>
      </c>
      <c r="P1840" s="13" t="n">
        <f aca="false">'Dish Database'!P476*H1840/100</f>
        <v>1400</v>
      </c>
    </row>
    <row r="1841" customFormat="false" ht="15" hidden="false" customHeight="false" outlineLevel="0" collapsed="false">
      <c r="A1841" s="6" t="str">
        <f aca="false">'Dish Database'!A477</f>
        <v>D476</v>
      </c>
      <c r="B1841" s="6" t="str">
        <f aca="false">'Dish Database'!B477</f>
        <v>Cream of mushroom soup</v>
      </c>
      <c r="C1841" s="6" t="str">
        <f aca="false">'Dish Database'!D477</f>
        <v>Soups</v>
      </c>
      <c r="D1841" s="6" t="str">
        <f aca="false">'Dish Database'!F477</f>
        <v>Veg</v>
      </c>
      <c r="E1841" s="6" t="str">
        <f aca="false">'Dish Database'!E477</f>
        <v>Pan-India</v>
      </c>
      <c r="F1841" s="6" t="s">
        <v>2243</v>
      </c>
      <c r="G1841" s="6" t="s">
        <v>2505</v>
      </c>
      <c r="H1841" s="16" t="n">
        <v>150</v>
      </c>
      <c r="I1841" s="6" t="str">
        <f aca="false">'Dish Database'!I477</f>
        <v>ml</v>
      </c>
      <c r="J1841" s="13" t="n">
        <f aca="false">'Dish Database'!J477*H1841/100</f>
        <v>119.55</v>
      </c>
      <c r="K1841" s="17" t="n">
        <f aca="false">'Dish Database'!K477*H1841/100</f>
        <v>2.7</v>
      </c>
      <c r="L1841" s="17" t="n">
        <f aca="false">'Dish Database'!L477*H1841/100</f>
        <v>9</v>
      </c>
      <c r="M1841" s="17" t="n">
        <f aca="false">'Dish Database'!M477*H1841/100</f>
        <v>8.25</v>
      </c>
      <c r="N1841" s="17" t="n">
        <f aca="false">'Dish Database'!N477*H1841/100</f>
        <v>0.75</v>
      </c>
      <c r="O1841" s="17" t="n">
        <f aca="false">'Dish Database'!O477*H1841/100</f>
        <v>3</v>
      </c>
      <c r="P1841" s="13" t="n">
        <f aca="false">'Dish Database'!P477*H1841/100</f>
        <v>600</v>
      </c>
    </row>
    <row r="1842" customFormat="false" ht="15" hidden="false" customHeight="false" outlineLevel="0" collapsed="false">
      <c r="A1842" s="6" t="str">
        <f aca="false">'Dish Database'!A477</f>
        <v>D476</v>
      </c>
      <c r="B1842" s="6" t="str">
        <f aca="false">'Dish Database'!B477</f>
        <v>Cream of mushroom soup</v>
      </c>
      <c r="C1842" s="6" t="str">
        <f aca="false">'Dish Database'!D477</f>
        <v>Soups</v>
      </c>
      <c r="D1842" s="6" t="str">
        <f aca="false">'Dish Database'!F477</f>
        <v>Veg</v>
      </c>
      <c r="E1842" s="6" t="str">
        <f aca="false">'Dish Database'!E477</f>
        <v>Pan-India</v>
      </c>
      <c r="F1842" s="6" t="s">
        <v>103</v>
      </c>
      <c r="G1842" s="6" t="s">
        <v>2506</v>
      </c>
      <c r="H1842" s="16" t="n">
        <v>250</v>
      </c>
      <c r="I1842" s="6" t="str">
        <f aca="false">'Dish Database'!I477</f>
        <v>ml</v>
      </c>
      <c r="J1842" s="13" t="n">
        <f aca="false">'Dish Database'!J477*H1842/100</f>
        <v>199.25</v>
      </c>
      <c r="K1842" s="17" t="n">
        <f aca="false">'Dish Database'!K477*H1842/100</f>
        <v>4.5</v>
      </c>
      <c r="L1842" s="17" t="n">
        <f aca="false">'Dish Database'!L477*H1842/100</f>
        <v>15</v>
      </c>
      <c r="M1842" s="17" t="n">
        <f aca="false">'Dish Database'!M477*H1842/100</f>
        <v>13.75</v>
      </c>
      <c r="N1842" s="17" t="n">
        <f aca="false">'Dish Database'!N477*H1842/100</f>
        <v>1.25</v>
      </c>
      <c r="O1842" s="17" t="n">
        <f aca="false">'Dish Database'!O477*H1842/100</f>
        <v>5</v>
      </c>
      <c r="P1842" s="13" t="n">
        <f aca="false">'Dish Database'!P477*H1842/100</f>
        <v>1000</v>
      </c>
    </row>
    <row r="1843" customFormat="false" ht="15" hidden="false" customHeight="false" outlineLevel="0" collapsed="false">
      <c r="A1843" s="6" t="str">
        <f aca="false">'Dish Database'!A477</f>
        <v>D476</v>
      </c>
      <c r="B1843" s="6" t="str">
        <f aca="false">'Dish Database'!B477</f>
        <v>Cream of mushroom soup</v>
      </c>
      <c r="C1843" s="6" t="str">
        <f aca="false">'Dish Database'!D477</f>
        <v>Soups</v>
      </c>
      <c r="D1843" s="6" t="str">
        <f aca="false">'Dish Database'!F477</f>
        <v>Veg</v>
      </c>
      <c r="E1843" s="6" t="str">
        <f aca="false">'Dish Database'!E477</f>
        <v>Pan-India</v>
      </c>
      <c r="F1843" s="6" t="s">
        <v>2246</v>
      </c>
      <c r="G1843" s="6" t="s">
        <v>2507</v>
      </c>
      <c r="H1843" s="16" t="n">
        <v>350</v>
      </c>
      <c r="I1843" s="6" t="str">
        <f aca="false">'Dish Database'!I477</f>
        <v>ml</v>
      </c>
      <c r="J1843" s="13" t="n">
        <f aca="false">'Dish Database'!J477*H1843/100</f>
        <v>278.95</v>
      </c>
      <c r="K1843" s="17" t="n">
        <f aca="false">'Dish Database'!K477*H1843/100</f>
        <v>6.3</v>
      </c>
      <c r="L1843" s="17" t="n">
        <f aca="false">'Dish Database'!L477*H1843/100</f>
        <v>21</v>
      </c>
      <c r="M1843" s="17" t="n">
        <f aca="false">'Dish Database'!M477*H1843/100</f>
        <v>19.25</v>
      </c>
      <c r="N1843" s="17" t="n">
        <f aca="false">'Dish Database'!N477*H1843/100</f>
        <v>1.75</v>
      </c>
      <c r="O1843" s="17" t="n">
        <f aca="false">'Dish Database'!O477*H1843/100</f>
        <v>7</v>
      </c>
      <c r="P1843" s="13" t="n">
        <f aca="false">'Dish Database'!P477*H1843/100</f>
        <v>1400</v>
      </c>
    </row>
    <row r="1844" customFormat="false" ht="15" hidden="false" customHeight="false" outlineLevel="0" collapsed="false">
      <c r="A1844" s="6" t="str">
        <f aca="false">'Dish Database'!A478</f>
        <v>D477</v>
      </c>
      <c r="B1844" s="6" t="str">
        <f aca="false">'Dish Database'!B478</f>
        <v>Dal shorba / lentil soup</v>
      </c>
      <c r="C1844" s="6" t="str">
        <f aca="false">'Dish Database'!D478</f>
        <v>Soups</v>
      </c>
      <c r="D1844" s="6" t="str">
        <f aca="false">'Dish Database'!F478</f>
        <v>Veg</v>
      </c>
      <c r="E1844" s="6" t="str">
        <f aca="false">'Dish Database'!E478</f>
        <v>North</v>
      </c>
      <c r="F1844" s="6" t="s">
        <v>2243</v>
      </c>
      <c r="G1844" s="6" t="s">
        <v>2505</v>
      </c>
      <c r="H1844" s="16" t="n">
        <v>150</v>
      </c>
      <c r="I1844" s="6" t="str">
        <f aca="false">'Dish Database'!I478</f>
        <v>ml</v>
      </c>
      <c r="J1844" s="13" t="n">
        <f aca="false">'Dish Database'!J478*H1844/100</f>
        <v>75.75</v>
      </c>
      <c r="K1844" s="17" t="n">
        <f aca="false">'Dish Database'!K478*H1844/100</f>
        <v>4.5</v>
      </c>
      <c r="L1844" s="17" t="n">
        <f aca="false">'Dish Database'!L478*H1844/100</f>
        <v>10.5</v>
      </c>
      <c r="M1844" s="17" t="n">
        <f aca="false">'Dish Database'!M478*H1844/100</f>
        <v>2.25</v>
      </c>
      <c r="N1844" s="17" t="n">
        <f aca="false">'Dish Database'!N478*H1844/100</f>
        <v>2.25</v>
      </c>
      <c r="O1844" s="17" t="n">
        <f aca="false">'Dish Database'!O478*H1844/100</f>
        <v>1.2</v>
      </c>
      <c r="P1844" s="13" t="n">
        <f aca="false">'Dish Database'!P478*H1844/100</f>
        <v>570</v>
      </c>
    </row>
    <row r="1845" customFormat="false" ht="15" hidden="false" customHeight="false" outlineLevel="0" collapsed="false">
      <c r="A1845" s="6" t="str">
        <f aca="false">'Dish Database'!A478</f>
        <v>D477</v>
      </c>
      <c r="B1845" s="6" t="str">
        <f aca="false">'Dish Database'!B478</f>
        <v>Dal shorba / lentil soup</v>
      </c>
      <c r="C1845" s="6" t="str">
        <f aca="false">'Dish Database'!D478</f>
        <v>Soups</v>
      </c>
      <c r="D1845" s="6" t="str">
        <f aca="false">'Dish Database'!F478</f>
        <v>Veg</v>
      </c>
      <c r="E1845" s="6" t="str">
        <f aca="false">'Dish Database'!E478</f>
        <v>North</v>
      </c>
      <c r="F1845" s="6" t="s">
        <v>103</v>
      </c>
      <c r="G1845" s="6" t="s">
        <v>2506</v>
      </c>
      <c r="H1845" s="16" t="n">
        <v>250</v>
      </c>
      <c r="I1845" s="6" t="str">
        <f aca="false">'Dish Database'!I478</f>
        <v>ml</v>
      </c>
      <c r="J1845" s="13" t="n">
        <f aca="false">'Dish Database'!J478*H1845/100</f>
        <v>126.25</v>
      </c>
      <c r="K1845" s="17" t="n">
        <f aca="false">'Dish Database'!K478*H1845/100</f>
        <v>7.5</v>
      </c>
      <c r="L1845" s="17" t="n">
        <f aca="false">'Dish Database'!L478*H1845/100</f>
        <v>17.5</v>
      </c>
      <c r="M1845" s="17" t="n">
        <f aca="false">'Dish Database'!M478*H1845/100</f>
        <v>3.75</v>
      </c>
      <c r="N1845" s="17" t="n">
        <f aca="false">'Dish Database'!N478*H1845/100</f>
        <v>3.75</v>
      </c>
      <c r="O1845" s="17" t="n">
        <f aca="false">'Dish Database'!O478*H1845/100</f>
        <v>2</v>
      </c>
      <c r="P1845" s="13" t="n">
        <f aca="false">'Dish Database'!P478*H1845/100</f>
        <v>950</v>
      </c>
    </row>
    <row r="1846" customFormat="false" ht="15" hidden="false" customHeight="false" outlineLevel="0" collapsed="false">
      <c r="A1846" s="6" t="str">
        <f aca="false">'Dish Database'!A478</f>
        <v>D477</v>
      </c>
      <c r="B1846" s="6" t="str">
        <f aca="false">'Dish Database'!B478</f>
        <v>Dal shorba / lentil soup</v>
      </c>
      <c r="C1846" s="6" t="str">
        <f aca="false">'Dish Database'!D478</f>
        <v>Soups</v>
      </c>
      <c r="D1846" s="6" t="str">
        <f aca="false">'Dish Database'!F478</f>
        <v>Veg</v>
      </c>
      <c r="E1846" s="6" t="str">
        <f aca="false">'Dish Database'!E478</f>
        <v>North</v>
      </c>
      <c r="F1846" s="6" t="s">
        <v>2246</v>
      </c>
      <c r="G1846" s="6" t="s">
        <v>2507</v>
      </c>
      <c r="H1846" s="16" t="n">
        <v>350</v>
      </c>
      <c r="I1846" s="6" t="str">
        <f aca="false">'Dish Database'!I478</f>
        <v>ml</v>
      </c>
      <c r="J1846" s="13" t="n">
        <f aca="false">'Dish Database'!J478*H1846/100</f>
        <v>176.75</v>
      </c>
      <c r="K1846" s="17" t="n">
        <f aca="false">'Dish Database'!K478*H1846/100</f>
        <v>10.5</v>
      </c>
      <c r="L1846" s="17" t="n">
        <f aca="false">'Dish Database'!L478*H1846/100</f>
        <v>24.5</v>
      </c>
      <c r="M1846" s="17" t="n">
        <f aca="false">'Dish Database'!M478*H1846/100</f>
        <v>5.25</v>
      </c>
      <c r="N1846" s="17" t="n">
        <f aca="false">'Dish Database'!N478*H1846/100</f>
        <v>5.25</v>
      </c>
      <c r="O1846" s="17" t="n">
        <f aca="false">'Dish Database'!O478*H1846/100</f>
        <v>2.8</v>
      </c>
      <c r="P1846" s="13" t="n">
        <f aca="false">'Dish Database'!P478*H1846/100</f>
        <v>1330</v>
      </c>
    </row>
    <row r="1847" customFormat="false" ht="15" hidden="false" customHeight="false" outlineLevel="0" collapsed="false">
      <c r="A1847" s="6" t="str">
        <f aca="false">'Dish Database'!A479</f>
        <v>D478</v>
      </c>
      <c r="B1847" s="6" t="str">
        <f aca="false">'Dish Database'!B479</f>
        <v>Palak (spinach) soup</v>
      </c>
      <c r="C1847" s="6" t="str">
        <f aca="false">'Dish Database'!D479</f>
        <v>Soups</v>
      </c>
      <c r="D1847" s="6" t="str">
        <f aca="false">'Dish Database'!F479</f>
        <v>Veg</v>
      </c>
      <c r="E1847" s="6" t="str">
        <f aca="false">'Dish Database'!E479</f>
        <v>North</v>
      </c>
      <c r="F1847" s="6" t="s">
        <v>2243</v>
      </c>
      <c r="G1847" s="6" t="s">
        <v>2505</v>
      </c>
      <c r="H1847" s="16" t="n">
        <v>150</v>
      </c>
      <c r="I1847" s="6" t="str">
        <f aca="false">'Dish Database'!I479</f>
        <v>ml</v>
      </c>
      <c r="J1847" s="13" t="n">
        <f aca="false">'Dish Database'!J479*H1847/100</f>
        <v>61.2</v>
      </c>
      <c r="K1847" s="17" t="n">
        <f aca="false">'Dish Database'!K479*H1847/100</f>
        <v>2.7</v>
      </c>
      <c r="L1847" s="17" t="n">
        <f aca="false">'Dish Database'!L479*H1847/100</f>
        <v>6.75</v>
      </c>
      <c r="M1847" s="17" t="n">
        <f aca="false">'Dish Database'!M479*H1847/100</f>
        <v>3</v>
      </c>
      <c r="N1847" s="17" t="n">
        <f aca="false">'Dish Database'!N479*H1847/100</f>
        <v>1.8</v>
      </c>
      <c r="O1847" s="17" t="n">
        <f aca="false">'Dish Database'!O479*H1847/100</f>
        <v>2.25</v>
      </c>
      <c r="P1847" s="13" t="n">
        <f aca="false">'Dish Database'!P479*H1847/100</f>
        <v>570</v>
      </c>
    </row>
    <row r="1848" customFormat="false" ht="15" hidden="false" customHeight="false" outlineLevel="0" collapsed="false">
      <c r="A1848" s="6" t="str">
        <f aca="false">'Dish Database'!A479</f>
        <v>D478</v>
      </c>
      <c r="B1848" s="6" t="str">
        <f aca="false">'Dish Database'!B479</f>
        <v>Palak (spinach) soup</v>
      </c>
      <c r="C1848" s="6" t="str">
        <f aca="false">'Dish Database'!D479</f>
        <v>Soups</v>
      </c>
      <c r="D1848" s="6" t="str">
        <f aca="false">'Dish Database'!F479</f>
        <v>Veg</v>
      </c>
      <c r="E1848" s="6" t="str">
        <f aca="false">'Dish Database'!E479</f>
        <v>North</v>
      </c>
      <c r="F1848" s="6" t="s">
        <v>103</v>
      </c>
      <c r="G1848" s="6" t="s">
        <v>2506</v>
      </c>
      <c r="H1848" s="16" t="n">
        <v>250</v>
      </c>
      <c r="I1848" s="6" t="str">
        <f aca="false">'Dish Database'!I479</f>
        <v>ml</v>
      </c>
      <c r="J1848" s="13" t="n">
        <f aca="false">'Dish Database'!J479*H1848/100</f>
        <v>102</v>
      </c>
      <c r="K1848" s="17" t="n">
        <f aca="false">'Dish Database'!K479*H1848/100</f>
        <v>4.5</v>
      </c>
      <c r="L1848" s="17" t="n">
        <f aca="false">'Dish Database'!L479*H1848/100</f>
        <v>11.25</v>
      </c>
      <c r="M1848" s="17" t="n">
        <f aca="false">'Dish Database'!M479*H1848/100</f>
        <v>5</v>
      </c>
      <c r="N1848" s="17" t="n">
        <f aca="false">'Dish Database'!N479*H1848/100</f>
        <v>3</v>
      </c>
      <c r="O1848" s="17" t="n">
        <f aca="false">'Dish Database'!O479*H1848/100</f>
        <v>3.75</v>
      </c>
      <c r="P1848" s="13" t="n">
        <f aca="false">'Dish Database'!P479*H1848/100</f>
        <v>950</v>
      </c>
    </row>
    <row r="1849" customFormat="false" ht="15" hidden="false" customHeight="false" outlineLevel="0" collapsed="false">
      <c r="A1849" s="6" t="str">
        <f aca="false">'Dish Database'!A479</f>
        <v>D478</v>
      </c>
      <c r="B1849" s="6" t="str">
        <f aca="false">'Dish Database'!B479</f>
        <v>Palak (spinach) soup</v>
      </c>
      <c r="C1849" s="6" t="str">
        <f aca="false">'Dish Database'!D479</f>
        <v>Soups</v>
      </c>
      <c r="D1849" s="6" t="str">
        <f aca="false">'Dish Database'!F479</f>
        <v>Veg</v>
      </c>
      <c r="E1849" s="6" t="str">
        <f aca="false">'Dish Database'!E479</f>
        <v>North</v>
      </c>
      <c r="F1849" s="6" t="s">
        <v>2246</v>
      </c>
      <c r="G1849" s="6" t="s">
        <v>2507</v>
      </c>
      <c r="H1849" s="16" t="n">
        <v>350</v>
      </c>
      <c r="I1849" s="6" t="str">
        <f aca="false">'Dish Database'!I479</f>
        <v>ml</v>
      </c>
      <c r="J1849" s="13" t="n">
        <f aca="false">'Dish Database'!J479*H1849/100</f>
        <v>142.8</v>
      </c>
      <c r="K1849" s="17" t="n">
        <f aca="false">'Dish Database'!K479*H1849/100</f>
        <v>6.3</v>
      </c>
      <c r="L1849" s="17" t="n">
        <f aca="false">'Dish Database'!L479*H1849/100</f>
        <v>15.75</v>
      </c>
      <c r="M1849" s="17" t="n">
        <f aca="false">'Dish Database'!M479*H1849/100</f>
        <v>7</v>
      </c>
      <c r="N1849" s="17" t="n">
        <f aca="false">'Dish Database'!N479*H1849/100</f>
        <v>4.2</v>
      </c>
      <c r="O1849" s="17" t="n">
        <f aca="false">'Dish Database'!O479*H1849/100</f>
        <v>5.25</v>
      </c>
      <c r="P1849" s="13" t="n">
        <f aca="false">'Dish Database'!P479*H1849/100</f>
        <v>1330</v>
      </c>
    </row>
    <row r="1850" customFormat="false" ht="15" hidden="false" customHeight="false" outlineLevel="0" collapsed="false">
      <c r="A1850" s="6" t="str">
        <f aca="false">'Dish Database'!A480</f>
        <v>D479</v>
      </c>
      <c r="B1850" s="6" t="str">
        <f aca="false">'Dish Database'!B480</f>
        <v>Mutton paya soup</v>
      </c>
      <c r="C1850" s="6" t="str">
        <f aca="false">'Dish Database'!D480</f>
        <v>Soups</v>
      </c>
      <c r="D1850" s="6" t="str">
        <f aca="false">'Dish Database'!F480</f>
        <v>Non-Veg</v>
      </c>
      <c r="E1850" s="6" t="str">
        <f aca="false">'Dish Database'!E480</f>
        <v>North</v>
      </c>
      <c r="F1850" s="6" t="s">
        <v>2243</v>
      </c>
      <c r="G1850" s="6" t="s">
        <v>2505</v>
      </c>
      <c r="H1850" s="16" t="n">
        <v>150</v>
      </c>
      <c r="I1850" s="6" t="str">
        <f aca="false">'Dish Database'!I480</f>
        <v>ml</v>
      </c>
      <c r="J1850" s="13" t="n">
        <f aca="false">'Dish Database'!J480*H1850/100</f>
        <v>134.1</v>
      </c>
      <c r="K1850" s="17" t="n">
        <f aca="false">'Dish Database'!K480*H1850/100</f>
        <v>10.5</v>
      </c>
      <c r="L1850" s="17" t="n">
        <f aca="false">'Dish Database'!L480*H1850/100</f>
        <v>3</v>
      </c>
      <c r="M1850" s="17" t="n">
        <f aca="false">'Dish Database'!M480*H1850/100</f>
        <v>9</v>
      </c>
      <c r="N1850" s="17" t="n">
        <f aca="false">'Dish Database'!N480*H1850/100</f>
        <v>0.45</v>
      </c>
      <c r="O1850" s="17" t="n">
        <f aca="false">'Dish Database'!O480*H1850/100</f>
        <v>0.75</v>
      </c>
      <c r="P1850" s="13" t="n">
        <f aca="false">'Dish Database'!P480*H1850/100</f>
        <v>675</v>
      </c>
    </row>
    <row r="1851" customFormat="false" ht="15" hidden="false" customHeight="false" outlineLevel="0" collapsed="false">
      <c r="A1851" s="6" t="str">
        <f aca="false">'Dish Database'!A480</f>
        <v>D479</v>
      </c>
      <c r="B1851" s="6" t="str">
        <f aca="false">'Dish Database'!B480</f>
        <v>Mutton paya soup</v>
      </c>
      <c r="C1851" s="6" t="str">
        <f aca="false">'Dish Database'!D480</f>
        <v>Soups</v>
      </c>
      <c r="D1851" s="6" t="str">
        <f aca="false">'Dish Database'!F480</f>
        <v>Non-Veg</v>
      </c>
      <c r="E1851" s="6" t="str">
        <f aca="false">'Dish Database'!E480</f>
        <v>North</v>
      </c>
      <c r="F1851" s="6" t="s">
        <v>103</v>
      </c>
      <c r="G1851" s="6" t="s">
        <v>2506</v>
      </c>
      <c r="H1851" s="16" t="n">
        <v>250</v>
      </c>
      <c r="I1851" s="6" t="str">
        <f aca="false">'Dish Database'!I480</f>
        <v>ml</v>
      </c>
      <c r="J1851" s="13" t="n">
        <f aca="false">'Dish Database'!J480*H1851/100</f>
        <v>223.5</v>
      </c>
      <c r="K1851" s="17" t="n">
        <f aca="false">'Dish Database'!K480*H1851/100</f>
        <v>17.5</v>
      </c>
      <c r="L1851" s="17" t="n">
        <f aca="false">'Dish Database'!L480*H1851/100</f>
        <v>5</v>
      </c>
      <c r="M1851" s="17" t="n">
        <f aca="false">'Dish Database'!M480*H1851/100</f>
        <v>15</v>
      </c>
      <c r="N1851" s="17" t="n">
        <f aca="false">'Dish Database'!N480*H1851/100</f>
        <v>0.75</v>
      </c>
      <c r="O1851" s="17" t="n">
        <f aca="false">'Dish Database'!O480*H1851/100</f>
        <v>1.25</v>
      </c>
      <c r="P1851" s="13" t="n">
        <f aca="false">'Dish Database'!P480*H1851/100</f>
        <v>1125</v>
      </c>
    </row>
    <row r="1852" customFormat="false" ht="15" hidden="false" customHeight="false" outlineLevel="0" collapsed="false">
      <c r="A1852" s="6" t="str">
        <f aca="false">'Dish Database'!A480</f>
        <v>D479</v>
      </c>
      <c r="B1852" s="6" t="str">
        <f aca="false">'Dish Database'!B480</f>
        <v>Mutton paya soup</v>
      </c>
      <c r="C1852" s="6" t="str">
        <f aca="false">'Dish Database'!D480</f>
        <v>Soups</v>
      </c>
      <c r="D1852" s="6" t="str">
        <f aca="false">'Dish Database'!F480</f>
        <v>Non-Veg</v>
      </c>
      <c r="E1852" s="6" t="str">
        <f aca="false">'Dish Database'!E480</f>
        <v>North</v>
      </c>
      <c r="F1852" s="6" t="s">
        <v>2246</v>
      </c>
      <c r="G1852" s="6" t="s">
        <v>2507</v>
      </c>
      <c r="H1852" s="16" t="n">
        <v>350</v>
      </c>
      <c r="I1852" s="6" t="str">
        <f aca="false">'Dish Database'!I480</f>
        <v>ml</v>
      </c>
      <c r="J1852" s="13" t="n">
        <f aca="false">'Dish Database'!J480*H1852/100</f>
        <v>312.9</v>
      </c>
      <c r="K1852" s="17" t="n">
        <f aca="false">'Dish Database'!K480*H1852/100</f>
        <v>24.5</v>
      </c>
      <c r="L1852" s="17" t="n">
        <f aca="false">'Dish Database'!L480*H1852/100</f>
        <v>7</v>
      </c>
      <c r="M1852" s="17" t="n">
        <f aca="false">'Dish Database'!M480*H1852/100</f>
        <v>21</v>
      </c>
      <c r="N1852" s="17" t="n">
        <f aca="false">'Dish Database'!N480*H1852/100</f>
        <v>1.05</v>
      </c>
      <c r="O1852" s="17" t="n">
        <f aca="false">'Dish Database'!O480*H1852/100</f>
        <v>1.75</v>
      </c>
      <c r="P1852" s="13" t="n">
        <f aca="false">'Dish Database'!P480*H1852/100</f>
        <v>1575</v>
      </c>
    </row>
    <row r="1853" customFormat="false" ht="15" hidden="false" customHeight="false" outlineLevel="0" collapsed="false">
      <c r="A1853" s="6" t="str">
        <f aca="false">'Dish Database'!A481</f>
        <v>D480</v>
      </c>
      <c r="B1853" s="6" t="str">
        <f aca="false">'Dish Database'!B481</f>
        <v>Plain curd (dahi, whole milk)</v>
      </c>
      <c r="C1853" s="6" t="str">
        <f aca="false">'Dish Database'!D481</f>
        <v>Raita, Salad &amp; Curd</v>
      </c>
      <c r="D1853" s="6" t="str">
        <f aca="false">'Dish Database'!F481</f>
        <v>Veg</v>
      </c>
      <c r="E1853" s="6" t="str">
        <f aca="false">'Dish Database'!E481</f>
        <v>Pan-India</v>
      </c>
      <c r="F1853" s="6" t="s">
        <v>2243</v>
      </c>
      <c r="G1853" s="6" t="s">
        <v>2259</v>
      </c>
      <c r="H1853" s="16" t="n">
        <v>100</v>
      </c>
      <c r="I1853" s="6" t="str">
        <f aca="false">'Dish Database'!I481</f>
        <v>g</v>
      </c>
      <c r="J1853" s="13" t="n">
        <f aca="false">'Dish Database'!J481*H1853/100</f>
        <v>65.4</v>
      </c>
      <c r="K1853" s="17" t="n">
        <f aca="false">'Dish Database'!K481*H1853/100</f>
        <v>3.3</v>
      </c>
      <c r="L1853" s="17" t="n">
        <f aca="false">'Dish Database'!L481*H1853/100</f>
        <v>4.5</v>
      </c>
      <c r="M1853" s="17" t="n">
        <f aca="false">'Dish Database'!M481*H1853/100</f>
        <v>3.8</v>
      </c>
      <c r="N1853" s="17" t="n">
        <f aca="false">'Dish Database'!N481*H1853/100</f>
        <v>0</v>
      </c>
      <c r="O1853" s="17" t="n">
        <f aca="false">'Dish Database'!O481*H1853/100</f>
        <v>4.5</v>
      </c>
      <c r="P1853" s="13" t="n">
        <f aca="false">'Dish Database'!P481*H1853/100</f>
        <v>45</v>
      </c>
    </row>
    <row r="1854" customFormat="false" ht="15" hidden="false" customHeight="false" outlineLevel="0" collapsed="false">
      <c r="A1854" s="6" t="str">
        <f aca="false">'Dish Database'!A481</f>
        <v>D480</v>
      </c>
      <c r="B1854" s="6" t="str">
        <f aca="false">'Dish Database'!B481</f>
        <v>Plain curd (dahi, whole milk)</v>
      </c>
      <c r="C1854" s="6" t="str">
        <f aca="false">'Dish Database'!D481</f>
        <v>Raita, Salad &amp; Curd</v>
      </c>
      <c r="D1854" s="6" t="str">
        <f aca="false">'Dish Database'!F481</f>
        <v>Veg</v>
      </c>
      <c r="E1854" s="6" t="str">
        <f aca="false">'Dish Database'!E481</f>
        <v>Pan-India</v>
      </c>
      <c r="F1854" s="6" t="s">
        <v>103</v>
      </c>
      <c r="G1854" s="6" t="s">
        <v>2260</v>
      </c>
      <c r="H1854" s="16" t="n">
        <v>150</v>
      </c>
      <c r="I1854" s="6" t="str">
        <f aca="false">'Dish Database'!I481</f>
        <v>g</v>
      </c>
      <c r="J1854" s="13" t="n">
        <f aca="false">'Dish Database'!J481*H1854/100</f>
        <v>98.1</v>
      </c>
      <c r="K1854" s="17" t="n">
        <f aca="false">'Dish Database'!K481*H1854/100</f>
        <v>4.95</v>
      </c>
      <c r="L1854" s="17" t="n">
        <f aca="false">'Dish Database'!L481*H1854/100</f>
        <v>6.75</v>
      </c>
      <c r="M1854" s="17" t="n">
        <f aca="false">'Dish Database'!M481*H1854/100</f>
        <v>5.7</v>
      </c>
      <c r="N1854" s="17" t="n">
        <f aca="false">'Dish Database'!N481*H1854/100</f>
        <v>0</v>
      </c>
      <c r="O1854" s="17" t="n">
        <f aca="false">'Dish Database'!O481*H1854/100</f>
        <v>6.75</v>
      </c>
      <c r="P1854" s="13" t="n">
        <f aca="false">'Dish Database'!P481*H1854/100</f>
        <v>67.5</v>
      </c>
    </row>
    <row r="1855" customFormat="false" ht="15" hidden="false" customHeight="false" outlineLevel="0" collapsed="false">
      <c r="A1855" s="6" t="str">
        <f aca="false">'Dish Database'!A481</f>
        <v>D480</v>
      </c>
      <c r="B1855" s="6" t="str">
        <f aca="false">'Dish Database'!B481</f>
        <v>Plain curd (dahi, whole milk)</v>
      </c>
      <c r="C1855" s="6" t="str">
        <f aca="false">'Dish Database'!D481</f>
        <v>Raita, Salad &amp; Curd</v>
      </c>
      <c r="D1855" s="6" t="str">
        <f aca="false">'Dish Database'!F481</f>
        <v>Veg</v>
      </c>
      <c r="E1855" s="6" t="str">
        <f aca="false">'Dish Database'!E481</f>
        <v>Pan-India</v>
      </c>
      <c r="F1855" s="6" t="s">
        <v>2246</v>
      </c>
      <c r="G1855" s="6" t="s">
        <v>2261</v>
      </c>
      <c r="H1855" s="16" t="n">
        <v>200</v>
      </c>
      <c r="I1855" s="6" t="str">
        <f aca="false">'Dish Database'!I481</f>
        <v>g</v>
      </c>
      <c r="J1855" s="13" t="n">
        <f aca="false">'Dish Database'!J481*H1855/100</f>
        <v>130.8</v>
      </c>
      <c r="K1855" s="17" t="n">
        <f aca="false">'Dish Database'!K481*H1855/100</f>
        <v>6.6</v>
      </c>
      <c r="L1855" s="17" t="n">
        <f aca="false">'Dish Database'!L481*H1855/100</f>
        <v>9</v>
      </c>
      <c r="M1855" s="17" t="n">
        <f aca="false">'Dish Database'!M481*H1855/100</f>
        <v>7.6</v>
      </c>
      <c r="N1855" s="17" t="n">
        <f aca="false">'Dish Database'!N481*H1855/100</f>
        <v>0</v>
      </c>
      <c r="O1855" s="17" t="n">
        <f aca="false">'Dish Database'!O481*H1855/100</f>
        <v>9</v>
      </c>
      <c r="P1855" s="13" t="n">
        <f aca="false">'Dish Database'!P481*H1855/100</f>
        <v>90</v>
      </c>
    </row>
    <row r="1856" customFormat="false" ht="15" hidden="false" customHeight="false" outlineLevel="0" collapsed="false">
      <c r="A1856" s="6" t="str">
        <f aca="false">'Dish Database'!A482</f>
        <v>D481</v>
      </c>
      <c r="B1856" s="6" t="str">
        <f aca="false">'Dish Database'!B482</f>
        <v>Low-fat curd</v>
      </c>
      <c r="C1856" s="6" t="str">
        <f aca="false">'Dish Database'!D482</f>
        <v>Raita, Salad &amp; Curd</v>
      </c>
      <c r="D1856" s="6" t="str">
        <f aca="false">'Dish Database'!F482</f>
        <v>Veg</v>
      </c>
      <c r="E1856" s="6" t="str">
        <f aca="false">'Dish Database'!E482</f>
        <v>Pan-India</v>
      </c>
      <c r="F1856" s="6" t="s">
        <v>2243</v>
      </c>
      <c r="G1856" s="6" t="s">
        <v>2259</v>
      </c>
      <c r="H1856" s="16" t="n">
        <v>100</v>
      </c>
      <c r="I1856" s="6" t="str">
        <f aca="false">'Dish Database'!I482</f>
        <v>g</v>
      </c>
      <c r="J1856" s="13" t="n">
        <f aca="false">'Dish Database'!J482*H1856/100</f>
        <v>47.9</v>
      </c>
      <c r="K1856" s="17" t="n">
        <f aca="false">'Dish Database'!K482*H1856/100</f>
        <v>3.6</v>
      </c>
      <c r="L1856" s="17" t="n">
        <f aca="false">'Dish Database'!L482*H1856/100</f>
        <v>5</v>
      </c>
      <c r="M1856" s="17" t="n">
        <f aca="false">'Dish Database'!M482*H1856/100</f>
        <v>1.5</v>
      </c>
      <c r="N1856" s="17" t="n">
        <f aca="false">'Dish Database'!N482*H1856/100</f>
        <v>0</v>
      </c>
      <c r="O1856" s="17" t="n">
        <f aca="false">'Dish Database'!O482*H1856/100</f>
        <v>5</v>
      </c>
      <c r="P1856" s="13" t="n">
        <f aca="false">'Dish Database'!P482*H1856/100</f>
        <v>45</v>
      </c>
    </row>
    <row r="1857" customFormat="false" ht="15" hidden="false" customHeight="false" outlineLevel="0" collapsed="false">
      <c r="A1857" s="6" t="str">
        <f aca="false">'Dish Database'!A482</f>
        <v>D481</v>
      </c>
      <c r="B1857" s="6" t="str">
        <f aca="false">'Dish Database'!B482</f>
        <v>Low-fat curd</v>
      </c>
      <c r="C1857" s="6" t="str">
        <f aca="false">'Dish Database'!D482</f>
        <v>Raita, Salad &amp; Curd</v>
      </c>
      <c r="D1857" s="6" t="str">
        <f aca="false">'Dish Database'!F482</f>
        <v>Veg</v>
      </c>
      <c r="E1857" s="6" t="str">
        <f aca="false">'Dish Database'!E482</f>
        <v>Pan-India</v>
      </c>
      <c r="F1857" s="6" t="s">
        <v>103</v>
      </c>
      <c r="G1857" s="6" t="s">
        <v>2260</v>
      </c>
      <c r="H1857" s="16" t="n">
        <v>150</v>
      </c>
      <c r="I1857" s="6" t="str">
        <f aca="false">'Dish Database'!I482</f>
        <v>g</v>
      </c>
      <c r="J1857" s="13" t="n">
        <f aca="false">'Dish Database'!J482*H1857/100</f>
        <v>71.85</v>
      </c>
      <c r="K1857" s="17" t="n">
        <f aca="false">'Dish Database'!K482*H1857/100</f>
        <v>5.4</v>
      </c>
      <c r="L1857" s="17" t="n">
        <f aca="false">'Dish Database'!L482*H1857/100</f>
        <v>7.5</v>
      </c>
      <c r="M1857" s="17" t="n">
        <f aca="false">'Dish Database'!M482*H1857/100</f>
        <v>2.25</v>
      </c>
      <c r="N1857" s="17" t="n">
        <f aca="false">'Dish Database'!N482*H1857/100</f>
        <v>0</v>
      </c>
      <c r="O1857" s="17" t="n">
        <f aca="false">'Dish Database'!O482*H1857/100</f>
        <v>7.5</v>
      </c>
      <c r="P1857" s="13" t="n">
        <f aca="false">'Dish Database'!P482*H1857/100</f>
        <v>67.5</v>
      </c>
    </row>
    <row r="1858" customFormat="false" ht="15" hidden="false" customHeight="false" outlineLevel="0" collapsed="false">
      <c r="A1858" s="6" t="str">
        <f aca="false">'Dish Database'!A482</f>
        <v>D481</v>
      </c>
      <c r="B1858" s="6" t="str">
        <f aca="false">'Dish Database'!B482</f>
        <v>Low-fat curd</v>
      </c>
      <c r="C1858" s="6" t="str">
        <f aca="false">'Dish Database'!D482</f>
        <v>Raita, Salad &amp; Curd</v>
      </c>
      <c r="D1858" s="6" t="str">
        <f aca="false">'Dish Database'!F482</f>
        <v>Veg</v>
      </c>
      <c r="E1858" s="6" t="str">
        <f aca="false">'Dish Database'!E482</f>
        <v>Pan-India</v>
      </c>
      <c r="F1858" s="6" t="s">
        <v>2246</v>
      </c>
      <c r="G1858" s="6" t="s">
        <v>2261</v>
      </c>
      <c r="H1858" s="16" t="n">
        <v>200</v>
      </c>
      <c r="I1858" s="6" t="str">
        <f aca="false">'Dish Database'!I482</f>
        <v>g</v>
      </c>
      <c r="J1858" s="13" t="n">
        <f aca="false">'Dish Database'!J482*H1858/100</f>
        <v>95.8</v>
      </c>
      <c r="K1858" s="17" t="n">
        <f aca="false">'Dish Database'!K482*H1858/100</f>
        <v>7.2</v>
      </c>
      <c r="L1858" s="17" t="n">
        <f aca="false">'Dish Database'!L482*H1858/100</f>
        <v>10</v>
      </c>
      <c r="M1858" s="17" t="n">
        <f aca="false">'Dish Database'!M482*H1858/100</f>
        <v>3</v>
      </c>
      <c r="N1858" s="17" t="n">
        <f aca="false">'Dish Database'!N482*H1858/100</f>
        <v>0</v>
      </c>
      <c r="O1858" s="17" t="n">
        <f aca="false">'Dish Database'!O482*H1858/100</f>
        <v>10</v>
      </c>
      <c r="P1858" s="13" t="n">
        <f aca="false">'Dish Database'!P482*H1858/100</f>
        <v>90</v>
      </c>
    </row>
    <row r="1859" customFormat="false" ht="15" hidden="false" customHeight="false" outlineLevel="0" collapsed="false">
      <c r="A1859" s="6" t="str">
        <f aca="false">'Dish Database'!A483</f>
        <v>D482</v>
      </c>
      <c r="B1859" s="6" t="str">
        <f aca="false">'Dish Database'!B483</f>
        <v>Boondi raita</v>
      </c>
      <c r="C1859" s="6" t="str">
        <f aca="false">'Dish Database'!D483</f>
        <v>Raita, Salad &amp; Curd</v>
      </c>
      <c r="D1859" s="6" t="str">
        <f aca="false">'Dish Database'!F483</f>
        <v>Veg</v>
      </c>
      <c r="E1859" s="6" t="str">
        <f aca="false">'Dish Database'!E483</f>
        <v>North</v>
      </c>
      <c r="F1859" s="6" t="s">
        <v>2243</v>
      </c>
      <c r="G1859" s="6" t="s">
        <v>2422</v>
      </c>
      <c r="H1859" s="16" t="n">
        <v>50</v>
      </c>
      <c r="I1859" s="6" t="str">
        <f aca="false">'Dish Database'!I483</f>
        <v>g</v>
      </c>
      <c r="J1859" s="13" t="n">
        <f aca="false">'Dish Database'!J483*H1859/100</f>
        <v>51.5</v>
      </c>
      <c r="K1859" s="17" t="n">
        <f aca="false">'Dish Database'!K483*H1859/100</f>
        <v>1.75</v>
      </c>
      <c r="L1859" s="17" t="n">
        <f aca="false">'Dish Database'!L483*H1859/100</f>
        <v>4.5</v>
      </c>
      <c r="M1859" s="17" t="n">
        <f aca="false">'Dish Database'!M483*H1859/100</f>
        <v>3</v>
      </c>
      <c r="N1859" s="17" t="n">
        <f aca="false">'Dish Database'!N483*H1859/100</f>
        <v>0.25</v>
      </c>
      <c r="O1859" s="17" t="n">
        <f aca="false">'Dish Database'!O483*H1859/100</f>
        <v>1.75</v>
      </c>
      <c r="P1859" s="13" t="n">
        <f aca="false">'Dish Database'!P483*H1859/100</f>
        <v>175</v>
      </c>
    </row>
    <row r="1860" customFormat="false" ht="15" hidden="false" customHeight="false" outlineLevel="0" collapsed="false">
      <c r="A1860" s="6" t="str">
        <f aca="false">'Dish Database'!A483</f>
        <v>D482</v>
      </c>
      <c r="B1860" s="6" t="str">
        <f aca="false">'Dish Database'!B483</f>
        <v>Boondi raita</v>
      </c>
      <c r="C1860" s="6" t="str">
        <f aca="false">'Dish Database'!D483</f>
        <v>Raita, Salad &amp; Curd</v>
      </c>
      <c r="D1860" s="6" t="str">
        <f aca="false">'Dish Database'!F483</f>
        <v>Veg</v>
      </c>
      <c r="E1860" s="6" t="str">
        <f aca="false">'Dish Database'!E483</f>
        <v>North</v>
      </c>
      <c r="F1860" s="6" t="s">
        <v>103</v>
      </c>
      <c r="G1860" s="6" t="s">
        <v>2259</v>
      </c>
      <c r="H1860" s="16" t="n">
        <v>100</v>
      </c>
      <c r="I1860" s="6" t="str">
        <f aca="false">'Dish Database'!I483</f>
        <v>g</v>
      </c>
      <c r="J1860" s="13" t="n">
        <f aca="false">'Dish Database'!J483*H1860/100</f>
        <v>103</v>
      </c>
      <c r="K1860" s="17" t="n">
        <f aca="false">'Dish Database'!K483*H1860/100</f>
        <v>3.5</v>
      </c>
      <c r="L1860" s="17" t="n">
        <f aca="false">'Dish Database'!L483*H1860/100</f>
        <v>9</v>
      </c>
      <c r="M1860" s="17" t="n">
        <f aca="false">'Dish Database'!M483*H1860/100</f>
        <v>6</v>
      </c>
      <c r="N1860" s="17" t="n">
        <f aca="false">'Dish Database'!N483*H1860/100</f>
        <v>0.5</v>
      </c>
      <c r="O1860" s="17" t="n">
        <f aca="false">'Dish Database'!O483*H1860/100</f>
        <v>3.5</v>
      </c>
      <c r="P1860" s="13" t="n">
        <f aca="false">'Dish Database'!P483*H1860/100</f>
        <v>350</v>
      </c>
    </row>
    <row r="1861" customFormat="false" ht="15" hidden="false" customHeight="false" outlineLevel="0" collapsed="false">
      <c r="A1861" s="6" t="str">
        <f aca="false">'Dish Database'!A483</f>
        <v>D482</v>
      </c>
      <c r="B1861" s="6" t="str">
        <f aca="false">'Dish Database'!B483</f>
        <v>Boondi raita</v>
      </c>
      <c r="C1861" s="6" t="str">
        <f aca="false">'Dish Database'!D483</f>
        <v>Raita, Salad &amp; Curd</v>
      </c>
      <c r="D1861" s="6" t="str">
        <f aca="false">'Dish Database'!F483</f>
        <v>Veg</v>
      </c>
      <c r="E1861" s="6" t="str">
        <f aca="false">'Dish Database'!E483</f>
        <v>North</v>
      </c>
      <c r="F1861" s="6" t="s">
        <v>2246</v>
      </c>
      <c r="G1861" s="6" t="s">
        <v>2260</v>
      </c>
      <c r="H1861" s="16" t="n">
        <v>150</v>
      </c>
      <c r="I1861" s="6" t="str">
        <f aca="false">'Dish Database'!I483</f>
        <v>g</v>
      </c>
      <c r="J1861" s="13" t="n">
        <f aca="false">'Dish Database'!J483*H1861/100</f>
        <v>154.5</v>
      </c>
      <c r="K1861" s="17" t="n">
        <f aca="false">'Dish Database'!K483*H1861/100</f>
        <v>5.25</v>
      </c>
      <c r="L1861" s="17" t="n">
        <f aca="false">'Dish Database'!L483*H1861/100</f>
        <v>13.5</v>
      </c>
      <c r="M1861" s="17" t="n">
        <f aca="false">'Dish Database'!M483*H1861/100</f>
        <v>9</v>
      </c>
      <c r="N1861" s="17" t="n">
        <f aca="false">'Dish Database'!N483*H1861/100</f>
        <v>0.75</v>
      </c>
      <c r="O1861" s="17" t="n">
        <f aca="false">'Dish Database'!O483*H1861/100</f>
        <v>5.25</v>
      </c>
      <c r="P1861" s="13" t="n">
        <f aca="false">'Dish Database'!P483*H1861/100</f>
        <v>525</v>
      </c>
    </row>
    <row r="1862" customFormat="false" ht="15" hidden="false" customHeight="false" outlineLevel="0" collapsed="false">
      <c r="A1862" s="6" t="str">
        <f aca="false">'Dish Database'!A484</f>
        <v>D483</v>
      </c>
      <c r="B1862" s="6" t="str">
        <f aca="false">'Dish Database'!B484</f>
        <v>Cucumber raita</v>
      </c>
      <c r="C1862" s="6" t="str">
        <f aca="false">'Dish Database'!D484</f>
        <v>Raita, Salad &amp; Curd</v>
      </c>
      <c r="D1862" s="6" t="str">
        <f aca="false">'Dish Database'!F484</f>
        <v>Veg</v>
      </c>
      <c r="E1862" s="6" t="str">
        <f aca="false">'Dish Database'!E484</f>
        <v>North</v>
      </c>
      <c r="F1862" s="6" t="s">
        <v>2243</v>
      </c>
      <c r="G1862" s="6" t="s">
        <v>2422</v>
      </c>
      <c r="H1862" s="16" t="n">
        <v>50</v>
      </c>
      <c r="I1862" s="6" t="str">
        <f aca="false">'Dish Database'!I484</f>
        <v>g</v>
      </c>
      <c r="J1862" s="13" t="n">
        <f aca="false">'Dish Database'!J484*H1862/100</f>
        <v>27.7</v>
      </c>
      <c r="K1862" s="17" t="n">
        <f aca="false">'Dish Database'!K484*H1862/100</f>
        <v>1.4</v>
      </c>
      <c r="L1862" s="17" t="n">
        <f aca="false">'Dish Database'!L484*H1862/100</f>
        <v>2.25</v>
      </c>
      <c r="M1862" s="17" t="n">
        <f aca="false">'Dish Database'!M484*H1862/100</f>
        <v>1.5</v>
      </c>
      <c r="N1862" s="17" t="n">
        <f aca="false">'Dish Database'!N484*H1862/100</f>
        <v>0.2</v>
      </c>
      <c r="O1862" s="17" t="n">
        <f aca="false">'Dish Database'!O484*H1862/100</f>
        <v>1.75</v>
      </c>
      <c r="P1862" s="13" t="n">
        <f aca="false">'Dish Database'!P484*H1862/100</f>
        <v>140</v>
      </c>
    </row>
    <row r="1863" customFormat="false" ht="15" hidden="false" customHeight="false" outlineLevel="0" collapsed="false">
      <c r="A1863" s="6" t="str">
        <f aca="false">'Dish Database'!A484</f>
        <v>D483</v>
      </c>
      <c r="B1863" s="6" t="str">
        <f aca="false">'Dish Database'!B484</f>
        <v>Cucumber raita</v>
      </c>
      <c r="C1863" s="6" t="str">
        <f aca="false">'Dish Database'!D484</f>
        <v>Raita, Salad &amp; Curd</v>
      </c>
      <c r="D1863" s="6" t="str">
        <f aca="false">'Dish Database'!F484</f>
        <v>Veg</v>
      </c>
      <c r="E1863" s="6" t="str">
        <f aca="false">'Dish Database'!E484</f>
        <v>North</v>
      </c>
      <c r="F1863" s="6" t="s">
        <v>103</v>
      </c>
      <c r="G1863" s="6" t="s">
        <v>2259</v>
      </c>
      <c r="H1863" s="16" t="n">
        <v>100</v>
      </c>
      <c r="I1863" s="6" t="str">
        <f aca="false">'Dish Database'!I484</f>
        <v>g</v>
      </c>
      <c r="J1863" s="13" t="n">
        <f aca="false">'Dish Database'!J484*H1863/100</f>
        <v>55.4</v>
      </c>
      <c r="K1863" s="17" t="n">
        <f aca="false">'Dish Database'!K484*H1863/100</f>
        <v>2.8</v>
      </c>
      <c r="L1863" s="17" t="n">
        <f aca="false">'Dish Database'!L484*H1863/100</f>
        <v>4.5</v>
      </c>
      <c r="M1863" s="17" t="n">
        <f aca="false">'Dish Database'!M484*H1863/100</f>
        <v>3</v>
      </c>
      <c r="N1863" s="17" t="n">
        <f aca="false">'Dish Database'!N484*H1863/100</f>
        <v>0.4</v>
      </c>
      <c r="O1863" s="17" t="n">
        <f aca="false">'Dish Database'!O484*H1863/100</f>
        <v>3.5</v>
      </c>
      <c r="P1863" s="13" t="n">
        <f aca="false">'Dish Database'!P484*H1863/100</f>
        <v>280</v>
      </c>
    </row>
    <row r="1864" customFormat="false" ht="15" hidden="false" customHeight="false" outlineLevel="0" collapsed="false">
      <c r="A1864" s="6" t="str">
        <f aca="false">'Dish Database'!A484</f>
        <v>D483</v>
      </c>
      <c r="B1864" s="6" t="str">
        <f aca="false">'Dish Database'!B484</f>
        <v>Cucumber raita</v>
      </c>
      <c r="C1864" s="6" t="str">
        <f aca="false">'Dish Database'!D484</f>
        <v>Raita, Salad &amp; Curd</v>
      </c>
      <c r="D1864" s="6" t="str">
        <f aca="false">'Dish Database'!F484</f>
        <v>Veg</v>
      </c>
      <c r="E1864" s="6" t="str">
        <f aca="false">'Dish Database'!E484</f>
        <v>North</v>
      </c>
      <c r="F1864" s="6" t="s">
        <v>2246</v>
      </c>
      <c r="G1864" s="6" t="s">
        <v>2260</v>
      </c>
      <c r="H1864" s="16" t="n">
        <v>150</v>
      </c>
      <c r="I1864" s="6" t="str">
        <f aca="false">'Dish Database'!I484</f>
        <v>g</v>
      </c>
      <c r="J1864" s="13" t="n">
        <f aca="false">'Dish Database'!J484*H1864/100</f>
        <v>83.1</v>
      </c>
      <c r="K1864" s="17" t="n">
        <f aca="false">'Dish Database'!K484*H1864/100</f>
        <v>4.2</v>
      </c>
      <c r="L1864" s="17" t="n">
        <f aca="false">'Dish Database'!L484*H1864/100</f>
        <v>6.75</v>
      </c>
      <c r="M1864" s="17" t="n">
        <f aca="false">'Dish Database'!M484*H1864/100</f>
        <v>4.5</v>
      </c>
      <c r="N1864" s="17" t="n">
        <f aca="false">'Dish Database'!N484*H1864/100</f>
        <v>0.6</v>
      </c>
      <c r="O1864" s="17" t="n">
        <f aca="false">'Dish Database'!O484*H1864/100</f>
        <v>5.25</v>
      </c>
      <c r="P1864" s="13" t="n">
        <f aca="false">'Dish Database'!P484*H1864/100</f>
        <v>420</v>
      </c>
    </row>
    <row r="1865" customFormat="false" ht="15" hidden="false" customHeight="false" outlineLevel="0" collapsed="false">
      <c r="A1865" s="6" t="str">
        <f aca="false">'Dish Database'!A485</f>
        <v>D484</v>
      </c>
      <c r="B1865" s="6" t="str">
        <f aca="false">'Dish Database'!B485</f>
        <v>Mixed veg raita</v>
      </c>
      <c r="C1865" s="6" t="str">
        <f aca="false">'Dish Database'!D485</f>
        <v>Raita, Salad &amp; Curd</v>
      </c>
      <c r="D1865" s="6" t="str">
        <f aca="false">'Dish Database'!F485</f>
        <v>Veg</v>
      </c>
      <c r="E1865" s="6" t="str">
        <f aca="false">'Dish Database'!E485</f>
        <v>North</v>
      </c>
      <c r="F1865" s="6" t="s">
        <v>2243</v>
      </c>
      <c r="G1865" s="6" t="s">
        <v>2422</v>
      </c>
      <c r="H1865" s="16" t="n">
        <v>50</v>
      </c>
      <c r="I1865" s="6" t="str">
        <f aca="false">'Dish Database'!I485</f>
        <v>g</v>
      </c>
      <c r="J1865" s="13" t="n">
        <f aca="false">'Dish Database'!J485*H1865/100</f>
        <v>28.5</v>
      </c>
      <c r="K1865" s="17" t="n">
        <f aca="false">'Dish Database'!K485*H1865/100</f>
        <v>1.4</v>
      </c>
      <c r="L1865" s="17" t="n">
        <f aca="false">'Dish Database'!L485*H1865/100</f>
        <v>2.5</v>
      </c>
      <c r="M1865" s="17" t="n">
        <f aca="false">'Dish Database'!M485*H1865/100</f>
        <v>1.5</v>
      </c>
      <c r="N1865" s="17" t="n">
        <f aca="false">'Dish Database'!N485*H1865/100</f>
        <v>0.3</v>
      </c>
      <c r="O1865" s="17" t="n">
        <f aca="false">'Dish Database'!O485*H1865/100</f>
        <v>1.75</v>
      </c>
      <c r="P1865" s="13" t="n">
        <f aca="false">'Dish Database'!P485*H1865/100</f>
        <v>140</v>
      </c>
    </row>
    <row r="1866" customFormat="false" ht="15" hidden="false" customHeight="false" outlineLevel="0" collapsed="false">
      <c r="A1866" s="6" t="str">
        <f aca="false">'Dish Database'!A485</f>
        <v>D484</v>
      </c>
      <c r="B1866" s="6" t="str">
        <f aca="false">'Dish Database'!B485</f>
        <v>Mixed veg raita</v>
      </c>
      <c r="C1866" s="6" t="str">
        <f aca="false">'Dish Database'!D485</f>
        <v>Raita, Salad &amp; Curd</v>
      </c>
      <c r="D1866" s="6" t="str">
        <f aca="false">'Dish Database'!F485</f>
        <v>Veg</v>
      </c>
      <c r="E1866" s="6" t="str">
        <f aca="false">'Dish Database'!E485</f>
        <v>North</v>
      </c>
      <c r="F1866" s="6" t="s">
        <v>103</v>
      </c>
      <c r="G1866" s="6" t="s">
        <v>2259</v>
      </c>
      <c r="H1866" s="16" t="n">
        <v>100</v>
      </c>
      <c r="I1866" s="6" t="str">
        <f aca="false">'Dish Database'!I485</f>
        <v>g</v>
      </c>
      <c r="J1866" s="13" t="n">
        <f aca="false">'Dish Database'!J485*H1866/100</f>
        <v>57</v>
      </c>
      <c r="K1866" s="17" t="n">
        <f aca="false">'Dish Database'!K485*H1866/100</f>
        <v>2.8</v>
      </c>
      <c r="L1866" s="17" t="n">
        <f aca="false">'Dish Database'!L485*H1866/100</f>
        <v>5</v>
      </c>
      <c r="M1866" s="17" t="n">
        <f aca="false">'Dish Database'!M485*H1866/100</f>
        <v>3</v>
      </c>
      <c r="N1866" s="17" t="n">
        <f aca="false">'Dish Database'!N485*H1866/100</f>
        <v>0.6</v>
      </c>
      <c r="O1866" s="17" t="n">
        <f aca="false">'Dish Database'!O485*H1866/100</f>
        <v>3.5</v>
      </c>
      <c r="P1866" s="13" t="n">
        <f aca="false">'Dish Database'!P485*H1866/100</f>
        <v>280</v>
      </c>
    </row>
    <row r="1867" customFormat="false" ht="15" hidden="false" customHeight="false" outlineLevel="0" collapsed="false">
      <c r="A1867" s="6" t="str">
        <f aca="false">'Dish Database'!A485</f>
        <v>D484</v>
      </c>
      <c r="B1867" s="6" t="str">
        <f aca="false">'Dish Database'!B485</f>
        <v>Mixed veg raita</v>
      </c>
      <c r="C1867" s="6" t="str">
        <f aca="false">'Dish Database'!D485</f>
        <v>Raita, Salad &amp; Curd</v>
      </c>
      <c r="D1867" s="6" t="str">
        <f aca="false">'Dish Database'!F485</f>
        <v>Veg</v>
      </c>
      <c r="E1867" s="6" t="str">
        <f aca="false">'Dish Database'!E485</f>
        <v>North</v>
      </c>
      <c r="F1867" s="6" t="s">
        <v>2246</v>
      </c>
      <c r="G1867" s="6" t="s">
        <v>2260</v>
      </c>
      <c r="H1867" s="16" t="n">
        <v>150</v>
      </c>
      <c r="I1867" s="6" t="str">
        <f aca="false">'Dish Database'!I485</f>
        <v>g</v>
      </c>
      <c r="J1867" s="13" t="n">
        <f aca="false">'Dish Database'!J485*H1867/100</f>
        <v>85.5</v>
      </c>
      <c r="K1867" s="17" t="n">
        <f aca="false">'Dish Database'!K485*H1867/100</f>
        <v>4.2</v>
      </c>
      <c r="L1867" s="17" t="n">
        <f aca="false">'Dish Database'!L485*H1867/100</f>
        <v>7.5</v>
      </c>
      <c r="M1867" s="17" t="n">
        <f aca="false">'Dish Database'!M485*H1867/100</f>
        <v>4.5</v>
      </c>
      <c r="N1867" s="17" t="n">
        <f aca="false">'Dish Database'!N485*H1867/100</f>
        <v>0.9</v>
      </c>
      <c r="O1867" s="17" t="n">
        <f aca="false">'Dish Database'!O485*H1867/100</f>
        <v>5.25</v>
      </c>
      <c r="P1867" s="13" t="n">
        <f aca="false">'Dish Database'!P485*H1867/100</f>
        <v>420</v>
      </c>
    </row>
    <row r="1868" customFormat="false" ht="15" hidden="false" customHeight="false" outlineLevel="0" collapsed="false">
      <c r="A1868" s="6" t="str">
        <f aca="false">'Dish Database'!A486</f>
        <v>D485</v>
      </c>
      <c r="B1868" s="6" t="str">
        <f aca="false">'Dish Database'!B486</f>
        <v>Pineapple raita</v>
      </c>
      <c r="C1868" s="6" t="str">
        <f aca="false">'Dish Database'!D486</f>
        <v>Raita, Salad &amp; Curd</v>
      </c>
      <c r="D1868" s="6" t="str">
        <f aca="false">'Dish Database'!F486</f>
        <v>Veg</v>
      </c>
      <c r="E1868" s="6" t="str">
        <f aca="false">'Dish Database'!E486</f>
        <v>North</v>
      </c>
      <c r="F1868" s="6" t="s">
        <v>2243</v>
      </c>
      <c r="G1868" s="6" t="s">
        <v>2422</v>
      </c>
      <c r="H1868" s="16" t="n">
        <v>50</v>
      </c>
      <c r="I1868" s="6" t="str">
        <f aca="false">'Dish Database'!I486</f>
        <v>g</v>
      </c>
      <c r="J1868" s="13" t="n">
        <f aca="false">'Dish Database'!J486*H1868/100</f>
        <v>39.2</v>
      </c>
      <c r="K1868" s="17" t="n">
        <f aca="false">'Dish Database'!K486*H1868/100</f>
        <v>1.25</v>
      </c>
      <c r="L1868" s="17" t="n">
        <f aca="false">'Dish Database'!L486*H1868/100</f>
        <v>5.5</v>
      </c>
      <c r="M1868" s="17" t="n">
        <f aca="false">'Dish Database'!M486*H1868/100</f>
        <v>1.4</v>
      </c>
      <c r="N1868" s="17" t="n">
        <f aca="false">'Dish Database'!N486*H1868/100</f>
        <v>0.2</v>
      </c>
      <c r="O1868" s="17" t="n">
        <f aca="false">'Dish Database'!O486*H1868/100</f>
        <v>4.75</v>
      </c>
      <c r="P1868" s="13" t="n">
        <f aca="false">'Dish Database'!P486*H1868/100</f>
        <v>100</v>
      </c>
    </row>
    <row r="1869" customFormat="false" ht="15" hidden="false" customHeight="false" outlineLevel="0" collapsed="false">
      <c r="A1869" s="6" t="str">
        <f aca="false">'Dish Database'!A486</f>
        <v>D485</v>
      </c>
      <c r="B1869" s="6" t="str">
        <f aca="false">'Dish Database'!B486</f>
        <v>Pineapple raita</v>
      </c>
      <c r="C1869" s="6" t="str">
        <f aca="false">'Dish Database'!D486</f>
        <v>Raita, Salad &amp; Curd</v>
      </c>
      <c r="D1869" s="6" t="str">
        <f aca="false">'Dish Database'!F486</f>
        <v>Veg</v>
      </c>
      <c r="E1869" s="6" t="str">
        <f aca="false">'Dish Database'!E486</f>
        <v>North</v>
      </c>
      <c r="F1869" s="6" t="s">
        <v>103</v>
      </c>
      <c r="G1869" s="6" t="s">
        <v>2259</v>
      </c>
      <c r="H1869" s="16" t="n">
        <v>100</v>
      </c>
      <c r="I1869" s="6" t="str">
        <f aca="false">'Dish Database'!I486</f>
        <v>g</v>
      </c>
      <c r="J1869" s="13" t="n">
        <f aca="false">'Dish Database'!J486*H1869/100</f>
        <v>78.4</v>
      </c>
      <c r="K1869" s="17" t="n">
        <f aca="false">'Dish Database'!K486*H1869/100</f>
        <v>2.5</v>
      </c>
      <c r="L1869" s="17" t="n">
        <f aca="false">'Dish Database'!L486*H1869/100</f>
        <v>11</v>
      </c>
      <c r="M1869" s="17" t="n">
        <f aca="false">'Dish Database'!M486*H1869/100</f>
        <v>2.8</v>
      </c>
      <c r="N1869" s="17" t="n">
        <f aca="false">'Dish Database'!N486*H1869/100</f>
        <v>0.4</v>
      </c>
      <c r="O1869" s="17" t="n">
        <f aca="false">'Dish Database'!O486*H1869/100</f>
        <v>9.5</v>
      </c>
      <c r="P1869" s="13" t="n">
        <f aca="false">'Dish Database'!P486*H1869/100</f>
        <v>200</v>
      </c>
    </row>
    <row r="1870" customFormat="false" ht="15" hidden="false" customHeight="false" outlineLevel="0" collapsed="false">
      <c r="A1870" s="6" t="str">
        <f aca="false">'Dish Database'!A486</f>
        <v>D485</v>
      </c>
      <c r="B1870" s="6" t="str">
        <f aca="false">'Dish Database'!B486</f>
        <v>Pineapple raita</v>
      </c>
      <c r="C1870" s="6" t="str">
        <f aca="false">'Dish Database'!D486</f>
        <v>Raita, Salad &amp; Curd</v>
      </c>
      <c r="D1870" s="6" t="str">
        <f aca="false">'Dish Database'!F486</f>
        <v>Veg</v>
      </c>
      <c r="E1870" s="6" t="str">
        <f aca="false">'Dish Database'!E486</f>
        <v>North</v>
      </c>
      <c r="F1870" s="6" t="s">
        <v>2246</v>
      </c>
      <c r="G1870" s="6" t="s">
        <v>2260</v>
      </c>
      <c r="H1870" s="16" t="n">
        <v>150</v>
      </c>
      <c r="I1870" s="6" t="str">
        <f aca="false">'Dish Database'!I486</f>
        <v>g</v>
      </c>
      <c r="J1870" s="13" t="n">
        <f aca="false">'Dish Database'!J486*H1870/100</f>
        <v>117.6</v>
      </c>
      <c r="K1870" s="17" t="n">
        <f aca="false">'Dish Database'!K486*H1870/100</f>
        <v>3.75</v>
      </c>
      <c r="L1870" s="17" t="n">
        <f aca="false">'Dish Database'!L486*H1870/100</f>
        <v>16.5</v>
      </c>
      <c r="M1870" s="17" t="n">
        <f aca="false">'Dish Database'!M486*H1870/100</f>
        <v>4.2</v>
      </c>
      <c r="N1870" s="17" t="n">
        <f aca="false">'Dish Database'!N486*H1870/100</f>
        <v>0.6</v>
      </c>
      <c r="O1870" s="17" t="n">
        <f aca="false">'Dish Database'!O486*H1870/100</f>
        <v>14.25</v>
      </c>
      <c r="P1870" s="13" t="n">
        <f aca="false">'Dish Database'!P486*H1870/100</f>
        <v>300</v>
      </c>
    </row>
    <row r="1871" customFormat="false" ht="15" hidden="false" customHeight="false" outlineLevel="0" collapsed="false">
      <c r="A1871" s="6" t="str">
        <f aca="false">'Dish Database'!A487</f>
        <v>D486</v>
      </c>
      <c r="B1871" s="6" t="str">
        <f aca="false">'Dish Database'!B487</f>
        <v>Pachadi (South curd pachadi)</v>
      </c>
      <c r="C1871" s="6" t="str">
        <f aca="false">'Dish Database'!D487</f>
        <v>Raita, Salad &amp; Curd</v>
      </c>
      <c r="D1871" s="6" t="str">
        <f aca="false">'Dish Database'!F487</f>
        <v>Veg</v>
      </c>
      <c r="E1871" s="6" t="str">
        <f aca="false">'Dish Database'!E487</f>
        <v>South</v>
      </c>
      <c r="F1871" s="6" t="s">
        <v>2243</v>
      </c>
      <c r="G1871" s="6" t="s">
        <v>2422</v>
      </c>
      <c r="H1871" s="16" t="n">
        <v>50</v>
      </c>
      <c r="I1871" s="6" t="str">
        <f aca="false">'Dish Database'!I487</f>
        <v>g</v>
      </c>
      <c r="J1871" s="13" t="n">
        <f aca="false">'Dish Database'!J487*H1871/100</f>
        <v>36.7</v>
      </c>
      <c r="K1871" s="17" t="n">
        <f aca="false">'Dish Database'!K487*H1871/100</f>
        <v>1.25</v>
      </c>
      <c r="L1871" s="17" t="n">
        <f aca="false">'Dish Database'!L487*H1871/100</f>
        <v>2.5</v>
      </c>
      <c r="M1871" s="17" t="n">
        <f aca="false">'Dish Database'!M487*H1871/100</f>
        <v>2.5</v>
      </c>
      <c r="N1871" s="17" t="n">
        <f aca="false">'Dish Database'!N487*H1871/100</f>
        <v>0.4</v>
      </c>
      <c r="O1871" s="17" t="n">
        <f aca="false">'Dish Database'!O487*H1871/100</f>
        <v>1.5</v>
      </c>
      <c r="P1871" s="13" t="n">
        <f aca="false">'Dish Database'!P487*H1871/100</f>
        <v>140</v>
      </c>
    </row>
    <row r="1872" customFormat="false" ht="15" hidden="false" customHeight="false" outlineLevel="0" collapsed="false">
      <c r="A1872" s="6" t="str">
        <f aca="false">'Dish Database'!A487</f>
        <v>D486</v>
      </c>
      <c r="B1872" s="6" t="str">
        <f aca="false">'Dish Database'!B487</f>
        <v>Pachadi (South curd pachadi)</v>
      </c>
      <c r="C1872" s="6" t="str">
        <f aca="false">'Dish Database'!D487</f>
        <v>Raita, Salad &amp; Curd</v>
      </c>
      <c r="D1872" s="6" t="str">
        <f aca="false">'Dish Database'!F487</f>
        <v>Veg</v>
      </c>
      <c r="E1872" s="6" t="str">
        <f aca="false">'Dish Database'!E487</f>
        <v>South</v>
      </c>
      <c r="F1872" s="6" t="s">
        <v>103</v>
      </c>
      <c r="G1872" s="6" t="s">
        <v>2259</v>
      </c>
      <c r="H1872" s="16" t="n">
        <v>100</v>
      </c>
      <c r="I1872" s="6" t="str">
        <f aca="false">'Dish Database'!I487</f>
        <v>g</v>
      </c>
      <c r="J1872" s="13" t="n">
        <f aca="false">'Dish Database'!J487*H1872/100</f>
        <v>73.4</v>
      </c>
      <c r="K1872" s="17" t="n">
        <f aca="false">'Dish Database'!K487*H1872/100</f>
        <v>2.5</v>
      </c>
      <c r="L1872" s="17" t="n">
        <f aca="false">'Dish Database'!L487*H1872/100</f>
        <v>5</v>
      </c>
      <c r="M1872" s="17" t="n">
        <f aca="false">'Dish Database'!M487*H1872/100</f>
        <v>5</v>
      </c>
      <c r="N1872" s="17" t="n">
        <f aca="false">'Dish Database'!N487*H1872/100</f>
        <v>0.8</v>
      </c>
      <c r="O1872" s="17" t="n">
        <f aca="false">'Dish Database'!O487*H1872/100</f>
        <v>3</v>
      </c>
      <c r="P1872" s="13" t="n">
        <f aca="false">'Dish Database'!P487*H1872/100</f>
        <v>280</v>
      </c>
    </row>
    <row r="1873" customFormat="false" ht="15" hidden="false" customHeight="false" outlineLevel="0" collapsed="false">
      <c r="A1873" s="6" t="str">
        <f aca="false">'Dish Database'!A487</f>
        <v>D486</v>
      </c>
      <c r="B1873" s="6" t="str">
        <f aca="false">'Dish Database'!B487</f>
        <v>Pachadi (South curd pachadi)</v>
      </c>
      <c r="C1873" s="6" t="str">
        <f aca="false">'Dish Database'!D487</f>
        <v>Raita, Salad &amp; Curd</v>
      </c>
      <c r="D1873" s="6" t="str">
        <f aca="false">'Dish Database'!F487</f>
        <v>Veg</v>
      </c>
      <c r="E1873" s="6" t="str">
        <f aca="false">'Dish Database'!E487</f>
        <v>South</v>
      </c>
      <c r="F1873" s="6" t="s">
        <v>2246</v>
      </c>
      <c r="G1873" s="6" t="s">
        <v>2260</v>
      </c>
      <c r="H1873" s="16" t="n">
        <v>150</v>
      </c>
      <c r="I1873" s="6" t="str">
        <f aca="false">'Dish Database'!I487</f>
        <v>g</v>
      </c>
      <c r="J1873" s="13" t="n">
        <f aca="false">'Dish Database'!J487*H1873/100</f>
        <v>110.1</v>
      </c>
      <c r="K1873" s="17" t="n">
        <f aca="false">'Dish Database'!K487*H1873/100</f>
        <v>3.75</v>
      </c>
      <c r="L1873" s="17" t="n">
        <f aca="false">'Dish Database'!L487*H1873/100</f>
        <v>7.5</v>
      </c>
      <c r="M1873" s="17" t="n">
        <f aca="false">'Dish Database'!M487*H1873/100</f>
        <v>7.5</v>
      </c>
      <c r="N1873" s="17" t="n">
        <f aca="false">'Dish Database'!N487*H1873/100</f>
        <v>1.2</v>
      </c>
      <c r="O1873" s="17" t="n">
        <f aca="false">'Dish Database'!O487*H1873/100</f>
        <v>4.5</v>
      </c>
      <c r="P1873" s="13" t="n">
        <f aca="false">'Dish Database'!P487*H1873/100</f>
        <v>420</v>
      </c>
    </row>
    <row r="1874" customFormat="false" ht="15" hidden="false" customHeight="false" outlineLevel="0" collapsed="false">
      <c r="A1874" s="6" t="str">
        <f aca="false">'Dish Database'!A488</f>
        <v>D487</v>
      </c>
      <c r="B1874" s="6" t="str">
        <f aca="false">'Dish Database'!B488</f>
        <v>Green salad</v>
      </c>
      <c r="C1874" s="6" t="str">
        <f aca="false">'Dish Database'!D488</f>
        <v>Raita, Salad &amp; Curd</v>
      </c>
      <c r="D1874" s="6" t="str">
        <f aca="false">'Dish Database'!F488</f>
        <v>Veg</v>
      </c>
      <c r="E1874" s="6" t="str">
        <f aca="false">'Dish Database'!E488</f>
        <v>Pan-India</v>
      </c>
      <c r="F1874" s="6" t="s">
        <v>2243</v>
      </c>
      <c r="G1874" s="6" t="s">
        <v>2619</v>
      </c>
      <c r="H1874" s="16" t="n">
        <v>50</v>
      </c>
      <c r="I1874" s="6" t="str">
        <f aca="false">'Dish Database'!I488</f>
        <v>g</v>
      </c>
      <c r="J1874" s="13" t="n">
        <f aca="false">'Dish Database'!J488*H1874/100</f>
        <v>12.3</v>
      </c>
      <c r="K1874" s="17" t="n">
        <f aca="false">'Dish Database'!K488*H1874/100</f>
        <v>0.5</v>
      </c>
      <c r="L1874" s="17" t="n">
        <f aca="false">'Dish Database'!L488*H1874/100</f>
        <v>2.75</v>
      </c>
      <c r="M1874" s="17" t="n">
        <f aca="false">'Dish Database'!M488*H1874/100</f>
        <v>0.1</v>
      </c>
      <c r="N1874" s="17" t="n">
        <f aca="false">'Dish Database'!N488*H1874/100</f>
        <v>0.8</v>
      </c>
      <c r="O1874" s="17" t="n">
        <f aca="false">'Dish Database'!O488*H1874/100</f>
        <v>1.5</v>
      </c>
      <c r="P1874" s="13" t="n">
        <f aca="false">'Dish Database'!P488*H1874/100</f>
        <v>5</v>
      </c>
    </row>
    <row r="1875" customFormat="false" ht="15" hidden="false" customHeight="false" outlineLevel="0" collapsed="false">
      <c r="A1875" s="6" t="str">
        <f aca="false">'Dish Database'!A488</f>
        <v>D487</v>
      </c>
      <c r="B1875" s="6" t="str">
        <f aca="false">'Dish Database'!B488</f>
        <v>Green salad</v>
      </c>
      <c r="C1875" s="6" t="str">
        <f aca="false">'Dish Database'!D488</f>
        <v>Raita, Salad &amp; Curd</v>
      </c>
      <c r="D1875" s="6" t="str">
        <f aca="false">'Dish Database'!F488</f>
        <v>Veg</v>
      </c>
      <c r="E1875" s="6" t="str">
        <f aca="false">'Dish Database'!E488</f>
        <v>Pan-India</v>
      </c>
      <c r="F1875" s="6" t="s">
        <v>103</v>
      </c>
      <c r="G1875" s="6" t="s">
        <v>2330</v>
      </c>
      <c r="H1875" s="16" t="n">
        <v>100</v>
      </c>
      <c r="I1875" s="6" t="str">
        <f aca="false">'Dish Database'!I488</f>
        <v>g</v>
      </c>
      <c r="J1875" s="13" t="n">
        <f aca="false">'Dish Database'!J488*H1875/100</f>
        <v>24.6</v>
      </c>
      <c r="K1875" s="17" t="n">
        <f aca="false">'Dish Database'!K488*H1875/100</f>
        <v>1</v>
      </c>
      <c r="L1875" s="17" t="n">
        <f aca="false">'Dish Database'!L488*H1875/100</f>
        <v>5.5</v>
      </c>
      <c r="M1875" s="17" t="n">
        <f aca="false">'Dish Database'!M488*H1875/100</f>
        <v>0.2</v>
      </c>
      <c r="N1875" s="17" t="n">
        <f aca="false">'Dish Database'!N488*H1875/100</f>
        <v>1.6</v>
      </c>
      <c r="O1875" s="17" t="n">
        <f aca="false">'Dish Database'!O488*H1875/100</f>
        <v>3</v>
      </c>
      <c r="P1875" s="13" t="n">
        <f aca="false">'Dish Database'!P488*H1875/100</f>
        <v>10</v>
      </c>
    </row>
    <row r="1876" customFormat="false" ht="15" hidden="false" customHeight="false" outlineLevel="0" collapsed="false">
      <c r="A1876" s="6" t="str">
        <f aca="false">'Dish Database'!A488</f>
        <v>D487</v>
      </c>
      <c r="B1876" s="6" t="str">
        <f aca="false">'Dish Database'!B488</f>
        <v>Green salad</v>
      </c>
      <c r="C1876" s="6" t="str">
        <f aca="false">'Dish Database'!D488</f>
        <v>Raita, Salad &amp; Curd</v>
      </c>
      <c r="D1876" s="6" t="str">
        <f aca="false">'Dish Database'!F488</f>
        <v>Veg</v>
      </c>
      <c r="E1876" s="6" t="str">
        <f aca="false">'Dish Database'!E488</f>
        <v>Pan-India</v>
      </c>
      <c r="F1876" s="6" t="s">
        <v>2246</v>
      </c>
      <c r="G1876" s="6" t="s">
        <v>2331</v>
      </c>
      <c r="H1876" s="16" t="n">
        <v>150</v>
      </c>
      <c r="I1876" s="6" t="str">
        <f aca="false">'Dish Database'!I488</f>
        <v>g</v>
      </c>
      <c r="J1876" s="13" t="n">
        <f aca="false">'Dish Database'!J488*H1876/100</f>
        <v>36.9</v>
      </c>
      <c r="K1876" s="17" t="n">
        <f aca="false">'Dish Database'!K488*H1876/100</f>
        <v>1.5</v>
      </c>
      <c r="L1876" s="17" t="n">
        <f aca="false">'Dish Database'!L488*H1876/100</f>
        <v>8.25</v>
      </c>
      <c r="M1876" s="17" t="n">
        <f aca="false">'Dish Database'!M488*H1876/100</f>
        <v>0.3</v>
      </c>
      <c r="N1876" s="17" t="n">
        <f aca="false">'Dish Database'!N488*H1876/100</f>
        <v>2.4</v>
      </c>
      <c r="O1876" s="17" t="n">
        <f aca="false">'Dish Database'!O488*H1876/100</f>
        <v>4.5</v>
      </c>
      <c r="P1876" s="13" t="n">
        <f aca="false">'Dish Database'!P488*H1876/100</f>
        <v>15</v>
      </c>
    </row>
    <row r="1877" customFormat="false" ht="15" hidden="false" customHeight="false" outlineLevel="0" collapsed="false">
      <c r="A1877" s="6" t="str">
        <f aca="false">'Dish Database'!A489</f>
        <v>D488</v>
      </c>
      <c r="B1877" s="6" t="str">
        <f aca="false">'Dish Database'!B489</f>
        <v>Kachumber salad</v>
      </c>
      <c r="C1877" s="6" t="str">
        <f aca="false">'Dish Database'!D489</f>
        <v>Raita, Salad &amp; Curd</v>
      </c>
      <c r="D1877" s="6" t="str">
        <f aca="false">'Dish Database'!F489</f>
        <v>Veg</v>
      </c>
      <c r="E1877" s="6" t="str">
        <f aca="false">'Dish Database'!E489</f>
        <v>North</v>
      </c>
      <c r="F1877" s="6" t="s">
        <v>2243</v>
      </c>
      <c r="G1877" s="6" t="s">
        <v>2619</v>
      </c>
      <c r="H1877" s="16" t="n">
        <v>50</v>
      </c>
      <c r="I1877" s="6" t="str">
        <f aca="false">'Dish Database'!I489</f>
        <v>g</v>
      </c>
      <c r="J1877" s="13" t="n">
        <f aca="false">'Dish Database'!J489*H1877/100</f>
        <v>12.85</v>
      </c>
      <c r="K1877" s="17" t="n">
        <f aca="false">'Dish Database'!K489*H1877/100</f>
        <v>0.5</v>
      </c>
      <c r="L1877" s="17" t="n">
        <f aca="false">'Dish Database'!L489*H1877/100</f>
        <v>2.75</v>
      </c>
      <c r="M1877" s="17" t="n">
        <f aca="false">'Dish Database'!M489*H1877/100</f>
        <v>0.15</v>
      </c>
      <c r="N1877" s="17" t="n">
        <f aca="false">'Dish Database'!N489*H1877/100</f>
        <v>0.75</v>
      </c>
      <c r="O1877" s="17" t="n">
        <f aca="false">'Dish Database'!O489*H1877/100</f>
        <v>1.5</v>
      </c>
      <c r="P1877" s="13" t="n">
        <f aca="false">'Dish Database'!P489*H1877/100</f>
        <v>100</v>
      </c>
    </row>
    <row r="1878" customFormat="false" ht="15" hidden="false" customHeight="false" outlineLevel="0" collapsed="false">
      <c r="A1878" s="6" t="str">
        <f aca="false">'Dish Database'!A489</f>
        <v>D488</v>
      </c>
      <c r="B1878" s="6" t="str">
        <f aca="false">'Dish Database'!B489</f>
        <v>Kachumber salad</v>
      </c>
      <c r="C1878" s="6" t="str">
        <f aca="false">'Dish Database'!D489</f>
        <v>Raita, Salad &amp; Curd</v>
      </c>
      <c r="D1878" s="6" t="str">
        <f aca="false">'Dish Database'!F489</f>
        <v>Veg</v>
      </c>
      <c r="E1878" s="6" t="str">
        <f aca="false">'Dish Database'!E489</f>
        <v>North</v>
      </c>
      <c r="F1878" s="6" t="s">
        <v>103</v>
      </c>
      <c r="G1878" s="6" t="s">
        <v>2330</v>
      </c>
      <c r="H1878" s="16" t="n">
        <v>100</v>
      </c>
      <c r="I1878" s="6" t="str">
        <f aca="false">'Dish Database'!I489</f>
        <v>g</v>
      </c>
      <c r="J1878" s="13" t="n">
        <f aca="false">'Dish Database'!J489*H1878/100</f>
        <v>25.7</v>
      </c>
      <c r="K1878" s="17" t="n">
        <f aca="false">'Dish Database'!K489*H1878/100</f>
        <v>1</v>
      </c>
      <c r="L1878" s="17" t="n">
        <f aca="false">'Dish Database'!L489*H1878/100</f>
        <v>5.5</v>
      </c>
      <c r="M1878" s="17" t="n">
        <f aca="false">'Dish Database'!M489*H1878/100</f>
        <v>0.3</v>
      </c>
      <c r="N1878" s="17" t="n">
        <f aca="false">'Dish Database'!N489*H1878/100</f>
        <v>1.5</v>
      </c>
      <c r="O1878" s="17" t="n">
        <f aca="false">'Dish Database'!O489*H1878/100</f>
        <v>3</v>
      </c>
      <c r="P1878" s="13" t="n">
        <f aca="false">'Dish Database'!P489*H1878/100</f>
        <v>200</v>
      </c>
    </row>
    <row r="1879" customFormat="false" ht="15" hidden="false" customHeight="false" outlineLevel="0" collapsed="false">
      <c r="A1879" s="6" t="str">
        <f aca="false">'Dish Database'!A489</f>
        <v>D488</v>
      </c>
      <c r="B1879" s="6" t="str">
        <f aca="false">'Dish Database'!B489</f>
        <v>Kachumber salad</v>
      </c>
      <c r="C1879" s="6" t="str">
        <f aca="false">'Dish Database'!D489</f>
        <v>Raita, Salad &amp; Curd</v>
      </c>
      <c r="D1879" s="6" t="str">
        <f aca="false">'Dish Database'!F489</f>
        <v>Veg</v>
      </c>
      <c r="E1879" s="6" t="str">
        <f aca="false">'Dish Database'!E489</f>
        <v>North</v>
      </c>
      <c r="F1879" s="6" t="s">
        <v>2246</v>
      </c>
      <c r="G1879" s="6" t="s">
        <v>2331</v>
      </c>
      <c r="H1879" s="16" t="n">
        <v>150</v>
      </c>
      <c r="I1879" s="6" t="str">
        <f aca="false">'Dish Database'!I489</f>
        <v>g</v>
      </c>
      <c r="J1879" s="13" t="n">
        <f aca="false">'Dish Database'!J489*H1879/100</f>
        <v>38.55</v>
      </c>
      <c r="K1879" s="17" t="n">
        <f aca="false">'Dish Database'!K489*H1879/100</f>
        <v>1.5</v>
      </c>
      <c r="L1879" s="17" t="n">
        <f aca="false">'Dish Database'!L489*H1879/100</f>
        <v>8.25</v>
      </c>
      <c r="M1879" s="17" t="n">
        <f aca="false">'Dish Database'!M489*H1879/100</f>
        <v>0.45</v>
      </c>
      <c r="N1879" s="17" t="n">
        <f aca="false">'Dish Database'!N489*H1879/100</f>
        <v>2.25</v>
      </c>
      <c r="O1879" s="17" t="n">
        <f aca="false">'Dish Database'!O489*H1879/100</f>
        <v>4.5</v>
      </c>
      <c r="P1879" s="13" t="n">
        <f aca="false">'Dish Database'!P489*H1879/100</f>
        <v>300</v>
      </c>
    </row>
    <row r="1880" customFormat="false" ht="15" hidden="false" customHeight="false" outlineLevel="0" collapsed="false">
      <c r="A1880" s="6" t="str">
        <f aca="false">'Dish Database'!A490</f>
        <v>D489</v>
      </c>
      <c r="B1880" s="6" t="str">
        <f aca="false">'Dish Database'!B490</f>
        <v>Sprouts salad</v>
      </c>
      <c r="C1880" s="6" t="str">
        <f aca="false">'Dish Database'!D490</f>
        <v>Raita, Salad &amp; Curd</v>
      </c>
      <c r="D1880" s="6" t="str">
        <f aca="false">'Dish Database'!F490</f>
        <v>Veg</v>
      </c>
      <c r="E1880" s="6" t="str">
        <f aca="false">'Dish Database'!E490</f>
        <v>Pan-India</v>
      </c>
      <c r="F1880" s="6" t="s">
        <v>2243</v>
      </c>
      <c r="G1880" s="6" t="s">
        <v>2619</v>
      </c>
      <c r="H1880" s="16" t="n">
        <v>50</v>
      </c>
      <c r="I1880" s="6" t="str">
        <f aca="false">'Dish Database'!I490</f>
        <v>g</v>
      </c>
      <c r="J1880" s="13" t="n">
        <f aca="false">'Dish Database'!J490*H1880/100</f>
        <v>22.6</v>
      </c>
      <c r="K1880" s="17" t="n">
        <f aca="false">'Dish Database'!K490*H1880/100</f>
        <v>1.75</v>
      </c>
      <c r="L1880" s="17" t="n">
        <f aca="false">'Dish Database'!L490*H1880/100</f>
        <v>4</v>
      </c>
      <c r="M1880" s="17" t="n">
        <f aca="false">'Dish Database'!M490*H1880/100</f>
        <v>0.2</v>
      </c>
      <c r="N1880" s="17" t="n">
        <f aca="false">'Dish Database'!N490*H1880/100</f>
        <v>1.1</v>
      </c>
      <c r="O1880" s="17" t="n">
        <f aca="false">'Dish Database'!O490*H1880/100</f>
        <v>1.25</v>
      </c>
      <c r="P1880" s="13" t="n">
        <f aca="false">'Dish Database'!P490*H1880/100</f>
        <v>75</v>
      </c>
    </row>
    <row r="1881" customFormat="false" ht="15" hidden="false" customHeight="false" outlineLevel="0" collapsed="false">
      <c r="A1881" s="6" t="str">
        <f aca="false">'Dish Database'!A490</f>
        <v>D489</v>
      </c>
      <c r="B1881" s="6" t="str">
        <f aca="false">'Dish Database'!B490</f>
        <v>Sprouts salad</v>
      </c>
      <c r="C1881" s="6" t="str">
        <f aca="false">'Dish Database'!D490</f>
        <v>Raita, Salad &amp; Curd</v>
      </c>
      <c r="D1881" s="6" t="str">
        <f aca="false">'Dish Database'!F490</f>
        <v>Veg</v>
      </c>
      <c r="E1881" s="6" t="str">
        <f aca="false">'Dish Database'!E490</f>
        <v>Pan-India</v>
      </c>
      <c r="F1881" s="6" t="s">
        <v>103</v>
      </c>
      <c r="G1881" s="6" t="s">
        <v>2330</v>
      </c>
      <c r="H1881" s="16" t="n">
        <v>100</v>
      </c>
      <c r="I1881" s="6" t="str">
        <f aca="false">'Dish Database'!I490</f>
        <v>g</v>
      </c>
      <c r="J1881" s="13" t="n">
        <f aca="false">'Dish Database'!J490*H1881/100</f>
        <v>45.2</v>
      </c>
      <c r="K1881" s="17" t="n">
        <f aca="false">'Dish Database'!K490*H1881/100</f>
        <v>3.5</v>
      </c>
      <c r="L1881" s="17" t="n">
        <f aca="false">'Dish Database'!L490*H1881/100</f>
        <v>8</v>
      </c>
      <c r="M1881" s="17" t="n">
        <f aca="false">'Dish Database'!M490*H1881/100</f>
        <v>0.4</v>
      </c>
      <c r="N1881" s="17" t="n">
        <f aca="false">'Dish Database'!N490*H1881/100</f>
        <v>2.2</v>
      </c>
      <c r="O1881" s="17" t="n">
        <f aca="false">'Dish Database'!O490*H1881/100</f>
        <v>2.5</v>
      </c>
      <c r="P1881" s="13" t="n">
        <f aca="false">'Dish Database'!P490*H1881/100</f>
        <v>150</v>
      </c>
    </row>
    <row r="1882" customFormat="false" ht="15" hidden="false" customHeight="false" outlineLevel="0" collapsed="false">
      <c r="A1882" s="6" t="str">
        <f aca="false">'Dish Database'!A490</f>
        <v>D489</v>
      </c>
      <c r="B1882" s="6" t="str">
        <f aca="false">'Dish Database'!B490</f>
        <v>Sprouts salad</v>
      </c>
      <c r="C1882" s="6" t="str">
        <f aca="false">'Dish Database'!D490</f>
        <v>Raita, Salad &amp; Curd</v>
      </c>
      <c r="D1882" s="6" t="str">
        <f aca="false">'Dish Database'!F490</f>
        <v>Veg</v>
      </c>
      <c r="E1882" s="6" t="str">
        <f aca="false">'Dish Database'!E490</f>
        <v>Pan-India</v>
      </c>
      <c r="F1882" s="6" t="s">
        <v>2246</v>
      </c>
      <c r="G1882" s="6" t="s">
        <v>2331</v>
      </c>
      <c r="H1882" s="16" t="n">
        <v>150</v>
      </c>
      <c r="I1882" s="6" t="str">
        <f aca="false">'Dish Database'!I490</f>
        <v>g</v>
      </c>
      <c r="J1882" s="13" t="n">
        <f aca="false">'Dish Database'!J490*H1882/100</f>
        <v>67.8</v>
      </c>
      <c r="K1882" s="17" t="n">
        <f aca="false">'Dish Database'!K490*H1882/100</f>
        <v>5.25</v>
      </c>
      <c r="L1882" s="17" t="n">
        <f aca="false">'Dish Database'!L490*H1882/100</f>
        <v>12</v>
      </c>
      <c r="M1882" s="17" t="n">
        <f aca="false">'Dish Database'!M490*H1882/100</f>
        <v>0.6</v>
      </c>
      <c r="N1882" s="17" t="n">
        <f aca="false">'Dish Database'!N490*H1882/100</f>
        <v>3.3</v>
      </c>
      <c r="O1882" s="17" t="n">
        <f aca="false">'Dish Database'!O490*H1882/100</f>
        <v>3.75</v>
      </c>
      <c r="P1882" s="13" t="n">
        <f aca="false">'Dish Database'!P490*H1882/100</f>
        <v>225</v>
      </c>
    </row>
    <row r="1883" customFormat="false" ht="15" hidden="false" customHeight="false" outlineLevel="0" collapsed="false">
      <c r="A1883" s="6" t="str">
        <f aca="false">'Dish Database'!A491</f>
        <v>D490</v>
      </c>
      <c r="B1883" s="6" t="str">
        <f aca="false">'Dish Database'!B491</f>
        <v>Fruit salad (plain)</v>
      </c>
      <c r="C1883" s="6" t="str">
        <f aca="false">'Dish Database'!D491</f>
        <v>Raita, Salad &amp; Curd</v>
      </c>
      <c r="D1883" s="6" t="str">
        <f aca="false">'Dish Database'!F491</f>
        <v>Veg</v>
      </c>
      <c r="E1883" s="6" t="str">
        <f aca="false">'Dish Database'!E491</f>
        <v>Pan-India</v>
      </c>
      <c r="F1883" s="6" t="s">
        <v>2243</v>
      </c>
      <c r="G1883" s="6" t="s">
        <v>2619</v>
      </c>
      <c r="H1883" s="16" t="n">
        <v>50</v>
      </c>
      <c r="I1883" s="6" t="str">
        <f aca="false">'Dish Database'!I491</f>
        <v>g</v>
      </c>
      <c r="J1883" s="13" t="n">
        <f aca="false">'Dish Database'!J491*H1883/100</f>
        <v>30.75</v>
      </c>
      <c r="K1883" s="17" t="n">
        <f aca="false">'Dish Database'!K491*H1883/100</f>
        <v>0.35</v>
      </c>
      <c r="L1883" s="17" t="n">
        <f aca="false">'Dish Database'!L491*H1883/100</f>
        <v>7.5</v>
      </c>
      <c r="M1883" s="17" t="n">
        <f aca="false">'Dish Database'!M491*H1883/100</f>
        <v>0.15</v>
      </c>
      <c r="N1883" s="17" t="n">
        <f aca="false">'Dish Database'!N491*H1883/100</f>
        <v>1</v>
      </c>
      <c r="O1883" s="17" t="n">
        <f aca="false">'Dish Database'!O491*H1883/100</f>
        <v>5.75</v>
      </c>
      <c r="P1883" s="13" t="n">
        <f aca="false">'Dish Database'!P491*H1883/100</f>
        <v>1</v>
      </c>
    </row>
    <row r="1884" customFormat="false" ht="15" hidden="false" customHeight="false" outlineLevel="0" collapsed="false">
      <c r="A1884" s="6" t="str">
        <f aca="false">'Dish Database'!A491</f>
        <v>D490</v>
      </c>
      <c r="B1884" s="6" t="str">
        <f aca="false">'Dish Database'!B491</f>
        <v>Fruit salad (plain)</v>
      </c>
      <c r="C1884" s="6" t="str">
        <f aca="false">'Dish Database'!D491</f>
        <v>Raita, Salad &amp; Curd</v>
      </c>
      <c r="D1884" s="6" t="str">
        <f aca="false">'Dish Database'!F491</f>
        <v>Veg</v>
      </c>
      <c r="E1884" s="6" t="str">
        <f aca="false">'Dish Database'!E491</f>
        <v>Pan-India</v>
      </c>
      <c r="F1884" s="6" t="s">
        <v>103</v>
      </c>
      <c r="G1884" s="6" t="s">
        <v>2330</v>
      </c>
      <c r="H1884" s="16" t="n">
        <v>100</v>
      </c>
      <c r="I1884" s="6" t="str">
        <f aca="false">'Dish Database'!I491</f>
        <v>g</v>
      </c>
      <c r="J1884" s="13" t="n">
        <f aca="false">'Dish Database'!J491*H1884/100</f>
        <v>61.5</v>
      </c>
      <c r="K1884" s="17" t="n">
        <f aca="false">'Dish Database'!K491*H1884/100</f>
        <v>0.7</v>
      </c>
      <c r="L1884" s="17" t="n">
        <f aca="false">'Dish Database'!L491*H1884/100</f>
        <v>15</v>
      </c>
      <c r="M1884" s="17" t="n">
        <f aca="false">'Dish Database'!M491*H1884/100</f>
        <v>0.3</v>
      </c>
      <c r="N1884" s="17" t="n">
        <f aca="false">'Dish Database'!N491*H1884/100</f>
        <v>2</v>
      </c>
      <c r="O1884" s="17" t="n">
        <f aca="false">'Dish Database'!O491*H1884/100</f>
        <v>11.5</v>
      </c>
      <c r="P1884" s="13" t="n">
        <f aca="false">'Dish Database'!P491*H1884/100</f>
        <v>2</v>
      </c>
    </row>
    <row r="1885" customFormat="false" ht="15" hidden="false" customHeight="false" outlineLevel="0" collapsed="false">
      <c r="A1885" s="6" t="str">
        <f aca="false">'Dish Database'!A491</f>
        <v>D490</v>
      </c>
      <c r="B1885" s="6" t="str">
        <f aca="false">'Dish Database'!B491</f>
        <v>Fruit salad (plain)</v>
      </c>
      <c r="C1885" s="6" t="str">
        <f aca="false">'Dish Database'!D491</f>
        <v>Raita, Salad &amp; Curd</v>
      </c>
      <c r="D1885" s="6" t="str">
        <f aca="false">'Dish Database'!F491</f>
        <v>Veg</v>
      </c>
      <c r="E1885" s="6" t="str">
        <f aca="false">'Dish Database'!E491</f>
        <v>Pan-India</v>
      </c>
      <c r="F1885" s="6" t="s">
        <v>2246</v>
      </c>
      <c r="G1885" s="6" t="s">
        <v>2331</v>
      </c>
      <c r="H1885" s="16" t="n">
        <v>150</v>
      </c>
      <c r="I1885" s="6" t="str">
        <f aca="false">'Dish Database'!I491</f>
        <v>g</v>
      </c>
      <c r="J1885" s="13" t="n">
        <f aca="false">'Dish Database'!J491*H1885/100</f>
        <v>92.25</v>
      </c>
      <c r="K1885" s="17" t="n">
        <f aca="false">'Dish Database'!K491*H1885/100</f>
        <v>1.05</v>
      </c>
      <c r="L1885" s="17" t="n">
        <f aca="false">'Dish Database'!L491*H1885/100</f>
        <v>22.5</v>
      </c>
      <c r="M1885" s="17" t="n">
        <f aca="false">'Dish Database'!M491*H1885/100</f>
        <v>0.45</v>
      </c>
      <c r="N1885" s="17" t="n">
        <f aca="false">'Dish Database'!N491*H1885/100</f>
        <v>3</v>
      </c>
      <c r="O1885" s="17" t="n">
        <f aca="false">'Dish Database'!O491*H1885/100</f>
        <v>17.25</v>
      </c>
      <c r="P1885" s="13" t="n">
        <f aca="false">'Dish Database'!P491*H1885/100</f>
        <v>3</v>
      </c>
    </row>
    <row r="1886" customFormat="false" ht="15" hidden="false" customHeight="false" outlineLevel="0" collapsed="false">
      <c r="A1886" s="6" t="str">
        <f aca="false">'Dish Database'!A492</f>
        <v>D491</v>
      </c>
      <c r="B1886" s="6" t="str">
        <f aca="false">'Dish Database'!B492</f>
        <v>Koshimbir</v>
      </c>
      <c r="C1886" s="6" t="str">
        <f aca="false">'Dish Database'!D492</f>
        <v>Raita, Salad &amp; Curd</v>
      </c>
      <c r="D1886" s="6" t="str">
        <f aca="false">'Dish Database'!F492</f>
        <v>Veg</v>
      </c>
      <c r="E1886" s="6" t="str">
        <f aca="false">'Dish Database'!E492</f>
        <v>West</v>
      </c>
      <c r="F1886" s="6" t="s">
        <v>2243</v>
      </c>
      <c r="G1886" s="6" t="s">
        <v>2619</v>
      </c>
      <c r="H1886" s="16" t="n">
        <v>50</v>
      </c>
      <c r="I1886" s="6" t="str">
        <f aca="false">'Dish Database'!I492</f>
        <v>g</v>
      </c>
      <c r="J1886" s="13" t="n">
        <f aca="false">'Dish Database'!J492*H1886/100</f>
        <v>25.25</v>
      </c>
      <c r="K1886" s="17" t="n">
        <f aca="false">'Dish Database'!K492*H1886/100</f>
        <v>1</v>
      </c>
      <c r="L1886" s="17" t="n">
        <f aca="false">'Dish Database'!L492*H1886/100</f>
        <v>3</v>
      </c>
      <c r="M1886" s="17" t="n">
        <f aca="false">'Dish Database'!M492*H1886/100</f>
        <v>1.25</v>
      </c>
      <c r="N1886" s="17" t="n">
        <f aca="false">'Dish Database'!N492*H1886/100</f>
        <v>1</v>
      </c>
      <c r="O1886" s="17" t="n">
        <f aca="false">'Dish Database'!O492*H1886/100</f>
        <v>1.5</v>
      </c>
      <c r="P1886" s="13" t="n">
        <f aca="false">'Dish Database'!P492*H1886/100</f>
        <v>100</v>
      </c>
    </row>
    <row r="1887" customFormat="false" ht="15" hidden="false" customHeight="false" outlineLevel="0" collapsed="false">
      <c r="A1887" s="6" t="str">
        <f aca="false">'Dish Database'!A492</f>
        <v>D491</v>
      </c>
      <c r="B1887" s="6" t="str">
        <f aca="false">'Dish Database'!B492</f>
        <v>Koshimbir</v>
      </c>
      <c r="C1887" s="6" t="str">
        <f aca="false">'Dish Database'!D492</f>
        <v>Raita, Salad &amp; Curd</v>
      </c>
      <c r="D1887" s="6" t="str">
        <f aca="false">'Dish Database'!F492</f>
        <v>Veg</v>
      </c>
      <c r="E1887" s="6" t="str">
        <f aca="false">'Dish Database'!E492</f>
        <v>West</v>
      </c>
      <c r="F1887" s="6" t="s">
        <v>103</v>
      </c>
      <c r="G1887" s="6" t="s">
        <v>2330</v>
      </c>
      <c r="H1887" s="16" t="n">
        <v>100</v>
      </c>
      <c r="I1887" s="6" t="str">
        <f aca="false">'Dish Database'!I492</f>
        <v>g</v>
      </c>
      <c r="J1887" s="13" t="n">
        <f aca="false">'Dish Database'!J492*H1887/100</f>
        <v>50.5</v>
      </c>
      <c r="K1887" s="17" t="n">
        <f aca="false">'Dish Database'!K492*H1887/100</f>
        <v>2</v>
      </c>
      <c r="L1887" s="17" t="n">
        <f aca="false">'Dish Database'!L492*H1887/100</f>
        <v>6</v>
      </c>
      <c r="M1887" s="17" t="n">
        <f aca="false">'Dish Database'!M492*H1887/100</f>
        <v>2.5</v>
      </c>
      <c r="N1887" s="17" t="n">
        <f aca="false">'Dish Database'!N492*H1887/100</f>
        <v>2</v>
      </c>
      <c r="O1887" s="17" t="n">
        <f aca="false">'Dish Database'!O492*H1887/100</f>
        <v>3</v>
      </c>
      <c r="P1887" s="13" t="n">
        <f aca="false">'Dish Database'!P492*H1887/100</f>
        <v>200</v>
      </c>
    </row>
    <row r="1888" customFormat="false" ht="15" hidden="false" customHeight="false" outlineLevel="0" collapsed="false">
      <c r="A1888" s="6" t="str">
        <f aca="false">'Dish Database'!A492</f>
        <v>D491</v>
      </c>
      <c r="B1888" s="6" t="str">
        <f aca="false">'Dish Database'!B492</f>
        <v>Koshimbir</v>
      </c>
      <c r="C1888" s="6" t="str">
        <f aca="false">'Dish Database'!D492</f>
        <v>Raita, Salad &amp; Curd</v>
      </c>
      <c r="D1888" s="6" t="str">
        <f aca="false">'Dish Database'!F492</f>
        <v>Veg</v>
      </c>
      <c r="E1888" s="6" t="str">
        <f aca="false">'Dish Database'!E492</f>
        <v>West</v>
      </c>
      <c r="F1888" s="6" t="s">
        <v>2246</v>
      </c>
      <c r="G1888" s="6" t="s">
        <v>2331</v>
      </c>
      <c r="H1888" s="16" t="n">
        <v>150</v>
      </c>
      <c r="I1888" s="6" t="str">
        <f aca="false">'Dish Database'!I492</f>
        <v>g</v>
      </c>
      <c r="J1888" s="13" t="n">
        <f aca="false">'Dish Database'!J492*H1888/100</f>
        <v>75.75</v>
      </c>
      <c r="K1888" s="17" t="n">
        <f aca="false">'Dish Database'!K492*H1888/100</f>
        <v>3</v>
      </c>
      <c r="L1888" s="17" t="n">
        <f aca="false">'Dish Database'!L492*H1888/100</f>
        <v>9</v>
      </c>
      <c r="M1888" s="17" t="n">
        <f aca="false">'Dish Database'!M492*H1888/100</f>
        <v>3.75</v>
      </c>
      <c r="N1888" s="17" t="n">
        <f aca="false">'Dish Database'!N492*H1888/100</f>
        <v>3</v>
      </c>
      <c r="O1888" s="17" t="n">
        <f aca="false">'Dish Database'!O492*H1888/100</f>
        <v>4.5</v>
      </c>
      <c r="P1888" s="13" t="n">
        <f aca="false">'Dish Database'!P492*H1888/100</f>
        <v>300</v>
      </c>
    </row>
    <row r="1889" customFormat="false" ht="15" hidden="false" customHeight="false" outlineLevel="0" collapsed="false">
      <c r="A1889" s="6" t="str">
        <f aca="false">'Dish Database'!A493</f>
        <v>D492</v>
      </c>
      <c r="B1889" s="6" t="str">
        <f aca="false">'Dish Database'!B493</f>
        <v>Coconut chutney</v>
      </c>
      <c r="C1889" s="6" t="str">
        <f aca="false">'Dish Database'!D493</f>
        <v>Chutneys, Pickles &amp; Papad</v>
      </c>
      <c r="D1889" s="6" t="str">
        <f aca="false">'Dish Database'!F493</f>
        <v>Veg</v>
      </c>
      <c r="E1889" s="6" t="str">
        <f aca="false">'Dish Database'!E493</f>
        <v>South</v>
      </c>
      <c r="F1889" s="6" t="s">
        <v>2243</v>
      </c>
      <c r="G1889" s="6" t="s">
        <v>2620</v>
      </c>
      <c r="H1889" s="16" t="n">
        <v>15</v>
      </c>
      <c r="I1889" s="6" t="str">
        <f aca="false">'Dish Database'!I493</f>
        <v>g</v>
      </c>
      <c r="J1889" s="13" t="n">
        <f aca="false">'Dish Database'!J493*H1889/100</f>
        <v>32.625</v>
      </c>
      <c r="K1889" s="17" t="n">
        <f aca="false">'Dish Database'!K493*H1889/100</f>
        <v>0.525</v>
      </c>
      <c r="L1889" s="17" t="n">
        <f aca="false">'Dish Database'!L493*H1889/100</f>
        <v>1.8</v>
      </c>
      <c r="M1889" s="17" t="n">
        <f aca="false">'Dish Database'!M493*H1889/100</f>
        <v>2.775</v>
      </c>
      <c r="N1889" s="17" t="n">
        <f aca="false">'Dish Database'!N493*H1889/100</f>
        <v>0.825</v>
      </c>
      <c r="O1889" s="17" t="n">
        <f aca="false">'Dish Database'!O493*H1889/100</f>
        <v>0.375</v>
      </c>
      <c r="P1889" s="13" t="n">
        <f aca="false">'Dish Database'!P493*H1889/100</f>
        <v>45</v>
      </c>
    </row>
    <row r="1890" customFormat="false" ht="15" hidden="false" customHeight="false" outlineLevel="0" collapsed="false">
      <c r="A1890" s="6" t="str">
        <f aca="false">'Dish Database'!A493</f>
        <v>D492</v>
      </c>
      <c r="B1890" s="6" t="str">
        <f aca="false">'Dish Database'!B493</f>
        <v>Coconut chutney</v>
      </c>
      <c r="C1890" s="6" t="str">
        <f aca="false">'Dish Database'!D493</f>
        <v>Chutneys, Pickles &amp; Papad</v>
      </c>
      <c r="D1890" s="6" t="str">
        <f aca="false">'Dish Database'!F493</f>
        <v>Veg</v>
      </c>
      <c r="E1890" s="6" t="str">
        <f aca="false">'Dish Database'!E493</f>
        <v>South</v>
      </c>
      <c r="F1890" s="6" t="s">
        <v>103</v>
      </c>
      <c r="G1890" s="6" t="s">
        <v>2621</v>
      </c>
      <c r="H1890" s="16" t="n">
        <v>30</v>
      </c>
      <c r="I1890" s="6" t="str">
        <f aca="false">'Dish Database'!I493</f>
        <v>g</v>
      </c>
      <c r="J1890" s="13" t="n">
        <f aca="false">'Dish Database'!J493*H1890/100</f>
        <v>65.25</v>
      </c>
      <c r="K1890" s="17" t="n">
        <f aca="false">'Dish Database'!K493*H1890/100</f>
        <v>1.05</v>
      </c>
      <c r="L1890" s="17" t="n">
        <f aca="false">'Dish Database'!L493*H1890/100</f>
        <v>3.6</v>
      </c>
      <c r="M1890" s="17" t="n">
        <f aca="false">'Dish Database'!M493*H1890/100</f>
        <v>5.55</v>
      </c>
      <c r="N1890" s="17" t="n">
        <f aca="false">'Dish Database'!N493*H1890/100</f>
        <v>1.65</v>
      </c>
      <c r="O1890" s="17" t="n">
        <f aca="false">'Dish Database'!O493*H1890/100</f>
        <v>0.75</v>
      </c>
      <c r="P1890" s="13" t="n">
        <f aca="false">'Dish Database'!P493*H1890/100</f>
        <v>90</v>
      </c>
    </row>
    <row r="1891" customFormat="false" ht="15" hidden="false" customHeight="false" outlineLevel="0" collapsed="false">
      <c r="A1891" s="6" t="str">
        <f aca="false">'Dish Database'!A493</f>
        <v>D492</v>
      </c>
      <c r="B1891" s="6" t="str">
        <f aca="false">'Dish Database'!B493</f>
        <v>Coconut chutney</v>
      </c>
      <c r="C1891" s="6" t="str">
        <f aca="false">'Dish Database'!D493</f>
        <v>Chutneys, Pickles &amp; Papad</v>
      </c>
      <c r="D1891" s="6" t="str">
        <f aca="false">'Dish Database'!F493</f>
        <v>Veg</v>
      </c>
      <c r="E1891" s="6" t="str">
        <f aca="false">'Dish Database'!E493</f>
        <v>South</v>
      </c>
      <c r="F1891" s="6" t="s">
        <v>2246</v>
      </c>
      <c r="G1891" s="6" t="s">
        <v>2259</v>
      </c>
      <c r="H1891" s="16" t="n">
        <v>50</v>
      </c>
      <c r="I1891" s="6" t="str">
        <f aca="false">'Dish Database'!I493</f>
        <v>g</v>
      </c>
      <c r="J1891" s="13" t="n">
        <f aca="false">'Dish Database'!J493*H1891/100</f>
        <v>108.75</v>
      </c>
      <c r="K1891" s="17" t="n">
        <f aca="false">'Dish Database'!K493*H1891/100</f>
        <v>1.75</v>
      </c>
      <c r="L1891" s="17" t="n">
        <f aca="false">'Dish Database'!L493*H1891/100</f>
        <v>6</v>
      </c>
      <c r="M1891" s="17" t="n">
        <f aca="false">'Dish Database'!M493*H1891/100</f>
        <v>9.25</v>
      </c>
      <c r="N1891" s="17" t="n">
        <f aca="false">'Dish Database'!N493*H1891/100</f>
        <v>2.75</v>
      </c>
      <c r="O1891" s="17" t="n">
        <f aca="false">'Dish Database'!O493*H1891/100</f>
        <v>1.25</v>
      </c>
      <c r="P1891" s="13" t="n">
        <f aca="false">'Dish Database'!P493*H1891/100</f>
        <v>150</v>
      </c>
    </row>
    <row r="1892" customFormat="false" ht="15" hidden="false" customHeight="false" outlineLevel="0" collapsed="false">
      <c r="A1892" s="6" t="str">
        <f aca="false">'Dish Database'!A494</f>
        <v>D493</v>
      </c>
      <c r="B1892" s="6" t="str">
        <f aca="false">'Dish Database'!B494</f>
        <v>Tomato chutney (South)</v>
      </c>
      <c r="C1892" s="6" t="str">
        <f aca="false">'Dish Database'!D494</f>
        <v>Chutneys, Pickles &amp; Papad</v>
      </c>
      <c r="D1892" s="6" t="str">
        <f aca="false">'Dish Database'!F494</f>
        <v>Veg</v>
      </c>
      <c r="E1892" s="6" t="str">
        <f aca="false">'Dish Database'!E494</f>
        <v>South</v>
      </c>
      <c r="F1892" s="6" t="s">
        <v>2243</v>
      </c>
      <c r="G1892" s="6" t="s">
        <v>2620</v>
      </c>
      <c r="H1892" s="16" t="n">
        <v>15</v>
      </c>
      <c r="I1892" s="6" t="str">
        <f aca="false">'Dish Database'!I494</f>
        <v>g</v>
      </c>
      <c r="J1892" s="13" t="n">
        <f aca="false">'Dish Database'!J494*H1892/100</f>
        <v>15.93</v>
      </c>
      <c r="K1892" s="17" t="n">
        <f aca="false">'Dish Database'!K494*H1892/100</f>
        <v>0.27</v>
      </c>
      <c r="L1892" s="17" t="n">
        <f aca="false">'Dish Database'!L494*H1892/100</f>
        <v>1.5</v>
      </c>
      <c r="M1892" s="17" t="n">
        <f aca="false">'Dish Database'!M494*H1892/100</f>
        <v>1.05</v>
      </c>
      <c r="N1892" s="17" t="n">
        <f aca="false">'Dish Database'!N494*H1892/100</f>
        <v>0.3</v>
      </c>
      <c r="O1892" s="17" t="n">
        <f aca="false">'Dish Database'!O494*H1892/100</f>
        <v>0.75</v>
      </c>
      <c r="P1892" s="13" t="n">
        <f aca="false">'Dish Database'!P494*H1892/100</f>
        <v>67.5</v>
      </c>
    </row>
    <row r="1893" customFormat="false" ht="15" hidden="false" customHeight="false" outlineLevel="0" collapsed="false">
      <c r="A1893" s="6" t="str">
        <f aca="false">'Dish Database'!A494</f>
        <v>D493</v>
      </c>
      <c r="B1893" s="6" t="str">
        <f aca="false">'Dish Database'!B494</f>
        <v>Tomato chutney (South)</v>
      </c>
      <c r="C1893" s="6" t="str">
        <f aca="false">'Dish Database'!D494</f>
        <v>Chutneys, Pickles &amp; Papad</v>
      </c>
      <c r="D1893" s="6" t="str">
        <f aca="false">'Dish Database'!F494</f>
        <v>Veg</v>
      </c>
      <c r="E1893" s="6" t="str">
        <f aca="false">'Dish Database'!E494</f>
        <v>South</v>
      </c>
      <c r="F1893" s="6" t="s">
        <v>103</v>
      </c>
      <c r="G1893" s="6" t="s">
        <v>2621</v>
      </c>
      <c r="H1893" s="16" t="n">
        <v>30</v>
      </c>
      <c r="I1893" s="6" t="str">
        <f aca="false">'Dish Database'!I494</f>
        <v>g</v>
      </c>
      <c r="J1893" s="13" t="n">
        <f aca="false">'Dish Database'!J494*H1893/100</f>
        <v>31.86</v>
      </c>
      <c r="K1893" s="17" t="n">
        <f aca="false">'Dish Database'!K494*H1893/100</f>
        <v>0.54</v>
      </c>
      <c r="L1893" s="17" t="n">
        <f aca="false">'Dish Database'!L494*H1893/100</f>
        <v>3</v>
      </c>
      <c r="M1893" s="17" t="n">
        <f aca="false">'Dish Database'!M494*H1893/100</f>
        <v>2.1</v>
      </c>
      <c r="N1893" s="17" t="n">
        <f aca="false">'Dish Database'!N494*H1893/100</f>
        <v>0.6</v>
      </c>
      <c r="O1893" s="17" t="n">
        <f aca="false">'Dish Database'!O494*H1893/100</f>
        <v>1.5</v>
      </c>
      <c r="P1893" s="13" t="n">
        <f aca="false">'Dish Database'!P494*H1893/100</f>
        <v>135</v>
      </c>
    </row>
    <row r="1894" customFormat="false" ht="15" hidden="false" customHeight="false" outlineLevel="0" collapsed="false">
      <c r="A1894" s="6" t="str">
        <f aca="false">'Dish Database'!A494</f>
        <v>D493</v>
      </c>
      <c r="B1894" s="6" t="str">
        <f aca="false">'Dish Database'!B494</f>
        <v>Tomato chutney (South)</v>
      </c>
      <c r="C1894" s="6" t="str">
        <f aca="false">'Dish Database'!D494</f>
        <v>Chutneys, Pickles &amp; Papad</v>
      </c>
      <c r="D1894" s="6" t="str">
        <f aca="false">'Dish Database'!F494</f>
        <v>Veg</v>
      </c>
      <c r="E1894" s="6" t="str">
        <f aca="false">'Dish Database'!E494</f>
        <v>South</v>
      </c>
      <c r="F1894" s="6" t="s">
        <v>2246</v>
      </c>
      <c r="G1894" s="6" t="s">
        <v>2259</v>
      </c>
      <c r="H1894" s="16" t="n">
        <v>50</v>
      </c>
      <c r="I1894" s="6" t="str">
        <f aca="false">'Dish Database'!I494</f>
        <v>g</v>
      </c>
      <c r="J1894" s="13" t="n">
        <f aca="false">'Dish Database'!J494*H1894/100</f>
        <v>53.1</v>
      </c>
      <c r="K1894" s="17" t="n">
        <f aca="false">'Dish Database'!K494*H1894/100</f>
        <v>0.9</v>
      </c>
      <c r="L1894" s="17" t="n">
        <f aca="false">'Dish Database'!L494*H1894/100</f>
        <v>5</v>
      </c>
      <c r="M1894" s="17" t="n">
        <f aca="false">'Dish Database'!M494*H1894/100</f>
        <v>3.5</v>
      </c>
      <c r="N1894" s="17" t="n">
        <f aca="false">'Dish Database'!N494*H1894/100</f>
        <v>1</v>
      </c>
      <c r="O1894" s="17" t="n">
        <f aca="false">'Dish Database'!O494*H1894/100</f>
        <v>2.5</v>
      </c>
      <c r="P1894" s="13" t="n">
        <f aca="false">'Dish Database'!P494*H1894/100</f>
        <v>225</v>
      </c>
    </row>
    <row r="1895" customFormat="false" ht="15" hidden="false" customHeight="false" outlineLevel="0" collapsed="false">
      <c r="A1895" s="6" t="str">
        <f aca="false">'Dish Database'!A495</f>
        <v>D494</v>
      </c>
      <c r="B1895" s="6" t="str">
        <f aca="false">'Dish Database'!B495</f>
        <v>Peanut chutney</v>
      </c>
      <c r="C1895" s="6" t="str">
        <f aca="false">'Dish Database'!D495</f>
        <v>Chutneys, Pickles &amp; Papad</v>
      </c>
      <c r="D1895" s="6" t="str">
        <f aca="false">'Dish Database'!F495</f>
        <v>Veg</v>
      </c>
      <c r="E1895" s="6" t="str">
        <f aca="false">'Dish Database'!E495</f>
        <v>South</v>
      </c>
      <c r="F1895" s="6" t="s">
        <v>2243</v>
      </c>
      <c r="G1895" s="6" t="s">
        <v>2620</v>
      </c>
      <c r="H1895" s="16" t="n">
        <v>15</v>
      </c>
      <c r="I1895" s="6" t="str">
        <f aca="false">'Dish Database'!I495</f>
        <v>g</v>
      </c>
      <c r="J1895" s="13" t="n">
        <f aca="false">'Dish Database'!J495*H1895/100</f>
        <v>37.35</v>
      </c>
      <c r="K1895" s="17" t="n">
        <f aca="false">'Dish Database'!K495*H1895/100</f>
        <v>1.35</v>
      </c>
      <c r="L1895" s="17" t="n">
        <f aca="false">'Dish Database'!L495*H1895/100</f>
        <v>1.5</v>
      </c>
      <c r="M1895" s="17" t="n">
        <f aca="false">'Dish Database'!M495*H1895/100</f>
        <v>3</v>
      </c>
      <c r="N1895" s="17" t="n">
        <f aca="false">'Dish Database'!N495*H1895/100</f>
        <v>0.525</v>
      </c>
      <c r="O1895" s="17" t="n">
        <f aca="false">'Dish Database'!O495*H1895/100</f>
        <v>0.45</v>
      </c>
      <c r="P1895" s="13" t="n">
        <f aca="false">'Dish Database'!P495*H1895/100</f>
        <v>52.5</v>
      </c>
    </row>
    <row r="1896" customFormat="false" ht="15" hidden="false" customHeight="false" outlineLevel="0" collapsed="false">
      <c r="A1896" s="6" t="str">
        <f aca="false">'Dish Database'!A495</f>
        <v>D494</v>
      </c>
      <c r="B1896" s="6" t="str">
        <f aca="false">'Dish Database'!B495</f>
        <v>Peanut chutney</v>
      </c>
      <c r="C1896" s="6" t="str">
        <f aca="false">'Dish Database'!D495</f>
        <v>Chutneys, Pickles &amp; Papad</v>
      </c>
      <c r="D1896" s="6" t="str">
        <f aca="false">'Dish Database'!F495</f>
        <v>Veg</v>
      </c>
      <c r="E1896" s="6" t="str">
        <f aca="false">'Dish Database'!E495</f>
        <v>South</v>
      </c>
      <c r="F1896" s="6" t="s">
        <v>103</v>
      </c>
      <c r="G1896" s="6" t="s">
        <v>2621</v>
      </c>
      <c r="H1896" s="16" t="n">
        <v>30</v>
      </c>
      <c r="I1896" s="6" t="str">
        <f aca="false">'Dish Database'!I495</f>
        <v>g</v>
      </c>
      <c r="J1896" s="13" t="n">
        <f aca="false">'Dish Database'!J495*H1896/100</f>
        <v>74.7</v>
      </c>
      <c r="K1896" s="17" t="n">
        <f aca="false">'Dish Database'!K495*H1896/100</f>
        <v>2.7</v>
      </c>
      <c r="L1896" s="17" t="n">
        <f aca="false">'Dish Database'!L495*H1896/100</f>
        <v>3</v>
      </c>
      <c r="M1896" s="17" t="n">
        <f aca="false">'Dish Database'!M495*H1896/100</f>
        <v>6</v>
      </c>
      <c r="N1896" s="17" t="n">
        <f aca="false">'Dish Database'!N495*H1896/100</f>
        <v>1.05</v>
      </c>
      <c r="O1896" s="17" t="n">
        <f aca="false">'Dish Database'!O495*H1896/100</f>
        <v>0.9</v>
      </c>
      <c r="P1896" s="13" t="n">
        <f aca="false">'Dish Database'!P495*H1896/100</f>
        <v>105</v>
      </c>
    </row>
    <row r="1897" customFormat="false" ht="15" hidden="false" customHeight="false" outlineLevel="0" collapsed="false">
      <c r="A1897" s="6" t="str">
        <f aca="false">'Dish Database'!A495</f>
        <v>D494</v>
      </c>
      <c r="B1897" s="6" t="str">
        <f aca="false">'Dish Database'!B495</f>
        <v>Peanut chutney</v>
      </c>
      <c r="C1897" s="6" t="str">
        <f aca="false">'Dish Database'!D495</f>
        <v>Chutneys, Pickles &amp; Papad</v>
      </c>
      <c r="D1897" s="6" t="str">
        <f aca="false">'Dish Database'!F495</f>
        <v>Veg</v>
      </c>
      <c r="E1897" s="6" t="str">
        <f aca="false">'Dish Database'!E495</f>
        <v>South</v>
      </c>
      <c r="F1897" s="6" t="s">
        <v>2246</v>
      </c>
      <c r="G1897" s="6" t="s">
        <v>2259</v>
      </c>
      <c r="H1897" s="16" t="n">
        <v>50</v>
      </c>
      <c r="I1897" s="6" t="str">
        <f aca="false">'Dish Database'!I495</f>
        <v>g</v>
      </c>
      <c r="J1897" s="13" t="n">
        <f aca="false">'Dish Database'!J495*H1897/100</f>
        <v>124.5</v>
      </c>
      <c r="K1897" s="17" t="n">
        <f aca="false">'Dish Database'!K495*H1897/100</f>
        <v>4.5</v>
      </c>
      <c r="L1897" s="17" t="n">
        <f aca="false">'Dish Database'!L495*H1897/100</f>
        <v>5</v>
      </c>
      <c r="M1897" s="17" t="n">
        <f aca="false">'Dish Database'!M495*H1897/100</f>
        <v>10</v>
      </c>
      <c r="N1897" s="17" t="n">
        <f aca="false">'Dish Database'!N495*H1897/100</f>
        <v>1.75</v>
      </c>
      <c r="O1897" s="17" t="n">
        <f aca="false">'Dish Database'!O495*H1897/100</f>
        <v>1.5</v>
      </c>
      <c r="P1897" s="13" t="n">
        <f aca="false">'Dish Database'!P495*H1897/100</f>
        <v>175</v>
      </c>
    </row>
    <row r="1898" customFormat="false" ht="15" hidden="false" customHeight="false" outlineLevel="0" collapsed="false">
      <c r="A1898" s="6" t="str">
        <f aca="false">'Dish Database'!A496</f>
        <v>D495</v>
      </c>
      <c r="B1898" s="6" t="str">
        <f aca="false">'Dish Database'!B496</f>
        <v>Green chutney (mint-coriander)</v>
      </c>
      <c r="C1898" s="6" t="str">
        <f aca="false">'Dish Database'!D496</f>
        <v>Chutneys, Pickles &amp; Papad</v>
      </c>
      <c r="D1898" s="6" t="str">
        <f aca="false">'Dish Database'!F496</f>
        <v>Veg</v>
      </c>
      <c r="E1898" s="6" t="str">
        <f aca="false">'Dish Database'!E496</f>
        <v>North</v>
      </c>
      <c r="F1898" s="6" t="s">
        <v>2243</v>
      </c>
      <c r="G1898" s="6" t="s">
        <v>2620</v>
      </c>
      <c r="H1898" s="16" t="n">
        <v>15</v>
      </c>
      <c r="I1898" s="6" t="str">
        <f aca="false">'Dish Database'!I496</f>
        <v>g</v>
      </c>
      <c r="J1898" s="13" t="n">
        <f aca="false">'Dish Database'!J496*H1898/100</f>
        <v>6.15</v>
      </c>
      <c r="K1898" s="17" t="n">
        <f aca="false">'Dish Database'!K496*H1898/100</f>
        <v>0.375</v>
      </c>
      <c r="L1898" s="17" t="n">
        <f aca="false">'Dish Database'!L496*H1898/100</f>
        <v>1.05</v>
      </c>
      <c r="M1898" s="17" t="n">
        <f aca="false">'Dish Database'!M496*H1898/100</f>
        <v>0.15</v>
      </c>
      <c r="N1898" s="17" t="n">
        <f aca="false">'Dish Database'!N496*H1898/100</f>
        <v>0.45</v>
      </c>
      <c r="O1898" s="17" t="n">
        <f aca="false">'Dish Database'!O496*H1898/100</f>
        <v>0.375</v>
      </c>
      <c r="P1898" s="13" t="n">
        <f aca="false">'Dish Database'!P496*H1898/100</f>
        <v>60</v>
      </c>
    </row>
    <row r="1899" customFormat="false" ht="15" hidden="false" customHeight="false" outlineLevel="0" collapsed="false">
      <c r="A1899" s="6" t="str">
        <f aca="false">'Dish Database'!A496</f>
        <v>D495</v>
      </c>
      <c r="B1899" s="6" t="str">
        <f aca="false">'Dish Database'!B496</f>
        <v>Green chutney (mint-coriander)</v>
      </c>
      <c r="C1899" s="6" t="str">
        <f aca="false">'Dish Database'!D496</f>
        <v>Chutneys, Pickles &amp; Papad</v>
      </c>
      <c r="D1899" s="6" t="str">
        <f aca="false">'Dish Database'!F496</f>
        <v>Veg</v>
      </c>
      <c r="E1899" s="6" t="str">
        <f aca="false">'Dish Database'!E496</f>
        <v>North</v>
      </c>
      <c r="F1899" s="6" t="s">
        <v>103</v>
      </c>
      <c r="G1899" s="6" t="s">
        <v>2621</v>
      </c>
      <c r="H1899" s="16" t="n">
        <v>30</v>
      </c>
      <c r="I1899" s="6" t="str">
        <f aca="false">'Dish Database'!I496</f>
        <v>g</v>
      </c>
      <c r="J1899" s="13" t="n">
        <f aca="false">'Dish Database'!J496*H1899/100</f>
        <v>12.3</v>
      </c>
      <c r="K1899" s="17" t="n">
        <f aca="false">'Dish Database'!K496*H1899/100</f>
        <v>0.75</v>
      </c>
      <c r="L1899" s="17" t="n">
        <f aca="false">'Dish Database'!L496*H1899/100</f>
        <v>2.1</v>
      </c>
      <c r="M1899" s="17" t="n">
        <f aca="false">'Dish Database'!M496*H1899/100</f>
        <v>0.3</v>
      </c>
      <c r="N1899" s="17" t="n">
        <f aca="false">'Dish Database'!N496*H1899/100</f>
        <v>0.9</v>
      </c>
      <c r="O1899" s="17" t="n">
        <f aca="false">'Dish Database'!O496*H1899/100</f>
        <v>0.75</v>
      </c>
      <c r="P1899" s="13" t="n">
        <f aca="false">'Dish Database'!P496*H1899/100</f>
        <v>120</v>
      </c>
    </row>
    <row r="1900" customFormat="false" ht="15" hidden="false" customHeight="false" outlineLevel="0" collapsed="false">
      <c r="A1900" s="6" t="str">
        <f aca="false">'Dish Database'!A496</f>
        <v>D495</v>
      </c>
      <c r="B1900" s="6" t="str">
        <f aca="false">'Dish Database'!B496</f>
        <v>Green chutney (mint-coriander)</v>
      </c>
      <c r="C1900" s="6" t="str">
        <f aca="false">'Dish Database'!D496</f>
        <v>Chutneys, Pickles &amp; Papad</v>
      </c>
      <c r="D1900" s="6" t="str">
        <f aca="false">'Dish Database'!F496</f>
        <v>Veg</v>
      </c>
      <c r="E1900" s="6" t="str">
        <f aca="false">'Dish Database'!E496</f>
        <v>North</v>
      </c>
      <c r="F1900" s="6" t="s">
        <v>2246</v>
      </c>
      <c r="G1900" s="6" t="s">
        <v>2259</v>
      </c>
      <c r="H1900" s="16" t="n">
        <v>50</v>
      </c>
      <c r="I1900" s="6" t="str">
        <f aca="false">'Dish Database'!I496</f>
        <v>g</v>
      </c>
      <c r="J1900" s="13" t="n">
        <f aca="false">'Dish Database'!J496*H1900/100</f>
        <v>20.5</v>
      </c>
      <c r="K1900" s="17" t="n">
        <f aca="false">'Dish Database'!K496*H1900/100</f>
        <v>1.25</v>
      </c>
      <c r="L1900" s="17" t="n">
        <f aca="false">'Dish Database'!L496*H1900/100</f>
        <v>3.5</v>
      </c>
      <c r="M1900" s="17" t="n">
        <f aca="false">'Dish Database'!M496*H1900/100</f>
        <v>0.5</v>
      </c>
      <c r="N1900" s="17" t="n">
        <f aca="false">'Dish Database'!N496*H1900/100</f>
        <v>1.5</v>
      </c>
      <c r="O1900" s="17" t="n">
        <f aca="false">'Dish Database'!O496*H1900/100</f>
        <v>1.25</v>
      </c>
      <c r="P1900" s="13" t="n">
        <f aca="false">'Dish Database'!P496*H1900/100</f>
        <v>200</v>
      </c>
    </row>
    <row r="1901" customFormat="false" ht="15" hidden="false" customHeight="false" outlineLevel="0" collapsed="false">
      <c r="A1901" s="6" t="str">
        <f aca="false">'Dish Database'!A497</f>
        <v>D496</v>
      </c>
      <c r="B1901" s="6" t="str">
        <f aca="false">'Dish Database'!B497</f>
        <v>Imli / saunth chutney (sweet tamarind)</v>
      </c>
      <c r="C1901" s="6" t="str">
        <f aca="false">'Dish Database'!D497</f>
        <v>Chutneys, Pickles &amp; Papad</v>
      </c>
      <c r="D1901" s="6" t="str">
        <f aca="false">'Dish Database'!F497</f>
        <v>Veg</v>
      </c>
      <c r="E1901" s="6" t="str">
        <f aca="false">'Dish Database'!E497</f>
        <v>North</v>
      </c>
      <c r="F1901" s="6" t="s">
        <v>2243</v>
      </c>
      <c r="G1901" s="6" t="s">
        <v>2620</v>
      </c>
      <c r="H1901" s="16" t="n">
        <v>15</v>
      </c>
      <c r="I1901" s="6" t="str">
        <f aca="false">'Dish Database'!I497</f>
        <v>g</v>
      </c>
      <c r="J1901" s="13" t="n">
        <f aca="false">'Dish Database'!J497*H1901/100</f>
        <v>21.3</v>
      </c>
      <c r="K1901" s="17" t="n">
        <f aca="false">'Dish Database'!K497*H1901/100</f>
        <v>0.12</v>
      </c>
      <c r="L1901" s="17" t="n">
        <f aca="false">'Dish Database'!L497*H1901/100</f>
        <v>5.25</v>
      </c>
      <c r="M1901" s="17" t="n">
        <f aca="false">'Dish Database'!M497*H1901/100</f>
        <v>0.03</v>
      </c>
      <c r="N1901" s="17" t="n">
        <f aca="false">'Dish Database'!N497*H1901/100</f>
        <v>0.225</v>
      </c>
      <c r="O1901" s="17" t="n">
        <f aca="false">'Dish Database'!O497*H1901/100</f>
        <v>4.5</v>
      </c>
      <c r="P1901" s="13" t="n">
        <f aca="false">'Dish Database'!P497*H1901/100</f>
        <v>37.5</v>
      </c>
    </row>
    <row r="1902" customFormat="false" ht="15" hidden="false" customHeight="false" outlineLevel="0" collapsed="false">
      <c r="A1902" s="6" t="str">
        <f aca="false">'Dish Database'!A497</f>
        <v>D496</v>
      </c>
      <c r="B1902" s="6" t="str">
        <f aca="false">'Dish Database'!B497</f>
        <v>Imli / saunth chutney (sweet tamarind)</v>
      </c>
      <c r="C1902" s="6" t="str">
        <f aca="false">'Dish Database'!D497</f>
        <v>Chutneys, Pickles &amp; Papad</v>
      </c>
      <c r="D1902" s="6" t="str">
        <f aca="false">'Dish Database'!F497</f>
        <v>Veg</v>
      </c>
      <c r="E1902" s="6" t="str">
        <f aca="false">'Dish Database'!E497</f>
        <v>North</v>
      </c>
      <c r="F1902" s="6" t="s">
        <v>103</v>
      </c>
      <c r="G1902" s="6" t="s">
        <v>2621</v>
      </c>
      <c r="H1902" s="16" t="n">
        <v>30</v>
      </c>
      <c r="I1902" s="6" t="str">
        <f aca="false">'Dish Database'!I497</f>
        <v>g</v>
      </c>
      <c r="J1902" s="13" t="n">
        <f aca="false">'Dish Database'!J497*H1902/100</f>
        <v>42.6</v>
      </c>
      <c r="K1902" s="17" t="n">
        <f aca="false">'Dish Database'!K497*H1902/100</f>
        <v>0.24</v>
      </c>
      <c r="L1902" s="17" t="n">
        <f aca="false">'Dish Database'!L497*H1902/100</f>
        <v>10.5</v>
      </c>
      <c r="M1902" s="17" t="n">
        <f aca="false">'Dish Database'!M497*H1902/100</f>
        <v>0.06</v>
      </c>
      <c r="N1902" s="17" t="n">
        <f aca="false">'Dish Database'!N497*H1902/100</f>
        <v>0.45</v>
      </c>
      <c r="O1902" s="17" t="n">
        <f aca="false">'Dish Database'!O497*H1902/100</f>
        <v>9</v>
      </c>
      <c r="P1902" s="13" t="n">
        <f aca="false">'Dish Database'!P497*H1902/100</f>
        <v>75</v>
      </c>
    </row>
    <row r="1903" customFormat="false" ht="15" hidden="false" customHeight="false" outlineLevel="0" collapsed="false">
      <c r="A1903" s="6" t="str">
        <f aca="false">'Dish Database'!A497</f>
        <v>D496</v>
      </c>
      <c r="B1903" s="6" t="str">
        <f aca="false">'Dish Database'!B497</f>
        <v>Imli / saunth chutney (sweet tamarind)</v>
      </c>
      <c r="C1903" s="6" t="str">
        <f aca="false">'Dish Database'!D497</f>
        <v>Chutneys, Pickles &amp; Papad</v>
      </c>
      <c r="D1903" s="6" t="str">
        <f aca="false">'Dish Database'!F497</f>
        <v>Veg</v>
      </c>
      <c r="E1903" s="6" t="str">
        <f aca="false">'Dish Database'!E497</f>
        <v>North</v>
      </c>
      <c r="F1903" s="6" t="s">
        <v>2246</v>
      </c>
      <c r="G1903" s="6" t="s">
        <v>2259</v>
      </c>
      <c r="H1903" s="16" t="n">
        <v>50</v>
      </c>
      <c r="I1903" s="6" t="str">
        <f aca="false">'Dish Database'!I497</f>
        <v>g</v>
      </c>
      <c r="J1903" s="13" t="n">
        <f aca="false">'Dish Database'!J497*H1903/100</f>
        <v>71</v>
      </c>
      <c r="K1903" s="17" t="n">
        <f aca="false">'Dish Database'!K497*H1903/100</f>
        <v>0.4</v>
      </c>
      <c r="L1903" s="17" t="n">
        <f aca="false">'Dish Database'!L497*H1903/100</f>
        <v>17.5</v>
      </c>
      <c r="M1903" s="17" t="n">
        <f aca="false">'Dish Database'!M497*H1903/100</f>
        <v>0.1</v>
      </c>
      <c r="N1903" s="17" t="n">
        <f aca="false">'Dish Database'!N497*H1903/100</f>
        <v>0.75</v>
      </c>
      <c r="O1903" s="17" t="n">
        <f aca="false">'Dish Database'!O497*H1903/100</f>
        <v>15</v>
      </c>
      <c r="P1903" s="13" t="n">
        <f aca="false">'Dish Database'!P497*H1903/100</f>
        <v>125</v>
      </c>
    </row>
    <row r="1904" customFormat="false" ht="15" hidden="false" customHeight="false" outlineLevel="0" collapsed="false">
      <c r="A1904" s="6" t="str">
        <f aca="false">'Dish Database'!A498</f>
        <v>D497</v>
      </c>
      <c r="B1904" s="6" t="str">
        <f aca="false">'Dish Database'!B498</f>
        <v>Gunpowder (podi)</v>
      </c>
      <c r="C1904" s="6" t="str">
        <f aca="false">'Dish Database'!D498</f>
        <v>Chutneys, Pickles &amp; Papad</v>
      </c>
      <c r="D1904" s="6" t="str">
        <f aca="false">'Dish Database'!F498</f>
        <v>Veg</v>
      </c>
      <c r="E1904" s="6" t="str">
        <f aca="false">'Dish Database'!E498</f>
        <v>South</v>
      </c>
      <c r="F1904" s="6" t="s">
        <v>2243</v>
      </c>
      <c r="G1904" s="6" t="s">
        <v>2622</v>
      </c>
      <c r="H1904" s="16" t="n">
        <v>5</v>
      </c>
      <c r="I1904" s="6" t="str">
        <f aca="false">'Dish Database'!I498</f>
        <v>g</v>
      </c>
      <c r="J1904" s="13" t="n">
        <f aca="false">'Dish Database'!J498*H1904/100</f>
        <v>15.9</v>
      </c>
      <c r="K1904" s="17" t="n">
        <f aca="false">'Dish Database'!K498*H1904/100</f>
        <v>0.9</v>
      </c>
      <c r="L1904" s="17" t="n">
        <f aca="false">'Dish Database'!L498*H1904/100</f>
        <v>2.25</v>
      </c>
      <c r="M1904" s="17" t="n">
        <f aca="false">'Dish Database'!M498*H1904/100</f>
        <v>0.5</v>
      </c>
      <c r="N1904" s="17" t="n">
        <f aca="false">'Dish Database'!N498*H1904/100</f>
        <v>0.6</v>
      </c>
      <c r="O1904" s="17" t="n">
        <f aca="false">'Dish Database'!O498*H1904/100</f>
        <v>0.1</v>
      </c>
      <c r="P1904" s="13" t="n">
        <f aca="false">'Dish Database'!P498*H1904/100</f>
        <v>60</v>
      </c>
    </row>
    <row r="1905" customFormat="false" ht="15" hidden="false" customHeight="false" outlineLevel="0" collapsed="false">
      <c r="A1905" s="6" t="str">
        <f aca="false">'Dish Database'!A498</f>
        <v>D497</v>
      </c>
      <c r="B1905" s="6" t="str">
        <f aca="false">'Dish Database'!B498</f>
        <v>Gunpowder (podi)</v>
      </c>
      <c r="C1905" s="6" t="str">
        <f aca="false">'Dish Database'!D498</f>
        <v>Chutneys, Pickles &amp; Papad</v>
      </c>
      <c r="D1905" s="6" t="str">
        <f aca="false">'Dish Database'!F498</f>
        <v>Veg</v>
      </c>
      <c r="E1905" s="6" t="str">
        <f aca="false">'Dish Database'!E498</f>
        <v>South</v>
      </c>
      <c r="F1905" s="6" t="s">
        <v>103</v>
      </c>
      <c r="G1905" s="6" t="s">
        <v>2623</v>
      </c>
      <c r="H1905" s="16" t="n">
        <v>10</v>
      </c>
      <c r="I1905" s="6" t="str">
        <f aca="false">'Dish Database'!I498</f>
        <v>g</v>
      </c>
      <c r="J1905" s="13" t="n">
        <f aca="false">'Dish Database'!J498*H1905/100</f>
        <v>31.8</v>
      </c>
      <c r="K1905" s="17" t="n">
        <f aca="false">'Dish Database'!K498*H1905/100</f>
        <v>1.8</v>
      </c>
      <c r="L1905" s="17" t="n">
        <f aca="false">'Dish Database'!L498*H1905/100</f>
        <v>4.5</v>
      </c>
      <c r="M1905" s="17" t="n">
        <f aca="false">'Dish Database'!M498*H1905/100</f>
        <v>1</v>
      </c>
      <c r="N1905" s="17" t="n">
        <f aca="false">'Dish Database'!N498*H1905/100</f>
        <v>1.2</v>
      </c>
      <c r="O1905" s="17" t="n">
        <f aca="false">'Dish Database'!O498*H1905/100</f>
        <v>0.2</v>
      </c>
      <c r="P1905" s="13" t="n">
        <f aca="false">'Dish Database'!P498*H1905/100</f>
        <v>120</v>
      </c>
    </row>
    <row r="1906" customFormat="false" ht="15" hidden="false" customHeight="false" outlineLevel="0" collapsed="false">
      <c r="A1906" s="6" t="str">
        <f aca="false">'Dish Database'!A498</f>
        <v>D497</v>
      </c>
      <c r="B1906" s="6" t="str">
        <f aca="false">'Dish Database'!B498</f>
        <v>Gunpowder (podi)</v>
      </c>
      <c r="C1906" s="6" t="str">
        <f aca="false">'Dish Database'!D498</f>
        <v>Chutneys, Pickles &amp; Papad</v>
      </c>
      <c r="D1906" s="6" t="str">
        <f aca="false">'Dish Database'!F498</f>
        <v>Veg</v>
      </c>
      <c r="E1906" s="6" t="str">
        <f aca="false">'Dish Database'!E498</f>
        <v>South</v>
      </c>
      <c r="F1906" s="6" t="s">
        <v>2246</v>
      </c>
      <c r="G1906" s="6" t="s">
        <v>2624</v>
      </c>
      <c r="H1906" s="16" t="n">
        <v>20</v>
      </c>
      <c r="I1906" s="6" t="str">
        <f aca="false">'Dish Database'!I498</f>
        <v>g</v>
      </c>
      <c r="J1906" s="13" t="n">
        <f aca="false">'Dish Database'!J498*H1906/100</f>
        <v>63.6</v>
      </c>
      <c r="K1906" s="17" t="n">
        <f aca="false">'Dish Database'!K498*H1906/100</f>
        <v>3.6</v>
      </c>
      <c r="L1906" s="17" t="n">
        <f aca="false">'Dish Database'!L498*H1906/100</f>
        <v>9</v>
      </c>
      <c r="M1906" s="17" t="n">
        <f aca="false">'Dish Database'!M498*H1906/100</f>
        <v>2</v>
      </c>
      <c r="N1906" s="17" t="n">
        <f aca="false">'Dish Database'!N498*H1906/100</f>
        <v>2.4</v>
      </c>
      <c r="O1906" s="17" t="n">
        <f aca="false">'Dish Database'!O498*H1906/100</f>
        <v>0.4</v>
      </c>
      <c r="P1906" s="13" t="n">
        <f aca="false">'Dish Database'!P498*H1906/100</f>
        <v>240</v>
      </c>
    </row>
    <row r="1907" customFormat="false" ht="15" hidden="false" customHeight="false" outlineLevel="0" collapsed="false">
      <c r="A1907" s="6" t="str">
        <f aca="false">'Dish Database'!A499</f>
        <v>D498</v>
      </c>
      <c r="B1907" s="6" t="str">
        <f aca="false">'Dish Database'!B499</f>
        <v>Dry garlic chutney</v>
      </c>
      <c r="C1907" s="6" t="str">
        <f aca="false">'Dish Database'!D499</f>
        <v>Chutneys, Pickles &amp; Papad</v>
      </c>
      <c r="D1907" s="6" t="str">
        <f aca="false">'Dish Database'!F499</f>
        <v>Veg</v>
      </c>
      <c r="E1907" s="6" t="str">
        <f aca="false">'Dish Database'!E499</f>
        <v>West</v>
      </c>
      <c r="F1907" s="6" t="s">
        <v>2243</v>
      </c>
      <c r="G1907" s="6" t="s">
        <v>2622</v>
      </c>
      <c r="H1907" s="16" t="n">
        <v>5</v>
      </c>
      <c r="I1907" s="6" t="str">
        <f aca="false">'Dish Database'!I499</f>
        <v>g</v>
      </c>
      <c r="J1907" s="13" t="n">
        <f aca="false">'Dish Database'!J499*H1907/100</f>
        <v>14.7</v>
      </c>
      <c r="K1907" s="17" t="n">
        <f aca="false">'Dish Database'!K499*H1907/100</f>
        <v>0.3</v>
      </c>
      <c r="L1907" s="17" t="n">
        <f aca="false">'Dish Database'!L499*H1907/100</f>
        <v>1.1</v>
      </c>
      <c r="M1907" s="17" t="n">
        <f aca="false">'Dish Database'!M499*H1907/100</f>
        <v>1.1</v>
      </c>
      <c r="N1907" s="17" t="n">
        <f aca="false">'Dish Database'!N499*H1907/100</f>
        <v>0.4</v>
      </c>
      <c r="O1907" s="17" t="n">
        <f aca="false">'Dish Database'!O499*H1907/100</f>
        <v>0.15</v>
      </c>
      <c r="P1907" s="13" t="n">
        <f aca="false">'Dish Database'!P499*H1907/100</f>
        <v>60</v>
      </c>
    </row>
    <row r="1908" customFormat="false" ht="15" hidden="false" customHeight="false" outlineLevel="0" collapsed="false">
      <c r="A1908" s="6" t="str">
        <f aca="false">'Dish Database'!A499</f>
        <v>D498</v>
      </c>
      <c r="B1908" s="6" t="str">
        <f aca="false">'Dish Database'!B499</f>
        <v>Dry garlic chutney</v>
      </c>
      <c r="C1908" s="6" t="str">
        <f aca="false">'Dish Database'!D499</f>
        <v>Chutneys, Pickles &amp; Papad</v>
      </c>
      <c r="D1908" s="6" t="str">
        <f aca="false">'Dish Database'!F499</f>
        <v>Veg</v>
      </c>
      <c r="E1908" s="6" t="str">
        <f aca="false">'Dish Database'!E499</f>
        <v>West</v>
      </c>
      <c r="F1908" s="6" t="s">
        <v>103</v>
      </c>
      <c r="G1908" s="6" t="s">
        <v>2623</v>
      </c>
      <c r="H1908" s="16" t="n">
        <v>10</v>
      </c>
      <c r="I1908" s="6" t="str">
        <f aca="false">'Dish Database'!I499</f>
        <v>g</v>
      </c>
      <c r="J1908" s="13" t="n">
        <f aca="false">'Dish Database'!J499*H1908/100</f>
        <v>29.4</v>
      </c>
      <c r="K1908" s="17" t="n">
        <f aca="false">'Dish Database'!K499*H1908/100</f>
        <v>0.6</v>
      </c>
      <c r="L1908" s="17" t="n">
        <f aca="false">'Dish Database'!L499*H1908/100</f>
        <v>2.2</v>
      </c>
      <c r="M1908" s="17" t="n">
        <f aca="false">'Dish Database'!M499*H1908/100</f>
        <v>2.2</v>
      </c>
      <c r="N1908" s="17" t="n">
        <f aca="false">'Dish Database'!N499*H1908/100</f>
        <v>0.8</v>
      </c>
      <c r="O1908" s="17" t="n">
        <f aca="false">'Dish Database'!O499*H1908/100</f>
        <v>0.3</v>
      </c>
      <c r="P1908" s="13" t="n">
        <f aca="false">'Dish Database'!P499*H1908/100</f>
        <v>120</v>
      </c>
    </row>
    <row r="1909" customFormat="false" ht="15" hidden="false" customHeight="false" outlineLevel="0" collapsed="false">
      <c r="A1909" s="6" t="str">
        <f aca="false">'Dish Database'!A499</f>
        <v>D498</v>
      </c>
      <c r="B1909" s="6" t="str">
        <f aca="false">'Dish Database'!B499</f>
        <v>Dry garlic chutney</v>
      </c>
      <c r="C1909" s="6" t="str">
        <f aca="false">'Dish Database'!D499</f>
        <v>Chutneys, Pickles &amp; Papad</v>
      </c>
      <c r="D1909" s="6" t="str">
        <f aca="false">'Dish Database'!F499</f>
        <v>Veg</v>
      </c>
      <c r="E1909" s="6" t="str">
        <f aca="false">'Dish Database'!E499</f>
        <v>West</v>
      </c>
      <c r="F1909" s="6" t="s">
        <v>2246</v>
      </c>
      <c r="G1909" s="6" t="s">
        <v>2624</v>
      </c>
      <c r="H1909" s="16" t="n">
        <v>20</v>
      </c>
      <c r="I1909" s="6" t="str">
        <f aca="false">'Dish Database'!I499</f>
        <v>g</v>
      </c>
      <c r="J1909" s="13" t="n">
        <f aca="false">'Dish Database'!J499*H1909/100</f>
        <v>58.8</v>
      </c>
      <c r="K1909" s="17" t="n">
        <f aca="false">'Dish Database'!K499*H1909/100</f>
        <v>1.2</v>
      </c>
      <c r="L1909" s="17" t="n">
        <f aca="false">'Dish Database'!L499*H1909/100</f>
        <v>4.4</v>
      </c>
      <c r="M1909" s="17" t="n">
        <f aca="false">'Dish Database'!M499*H1909/100</f>
        <v>4.4</v>
      </c>
      <c r="N1909" s="17" t="n">
        <f aca="false">'Dish Database'!N499*H1909/100</f>
        <v>1.6</v>
      </c>
      <c r="O1909" s="17" t="n">
        <f aca="false">'Dish Database'!O499*H1909/100</f>
        <v>0.6</v>
      </c>
      <c r="P1909" s="13" t="n">
        <f aca="false">'Dish Database'!P499*H1909/100</f>
        <v>240</v>
      </c>
    </row>
    <row r="1910" customFormat="false" ht="15" hidden="false" customHeight="false" outlineLevel="0" collapsed="false">
      <c r="A1910" s="6" t="str">
        <f aca="false">'Dish Database'!A500</f>
        <v>D499</v>
      </c>
      <c r="B1910" s="6" t="str">
        <f aca="false">'Dish Database'!B500</f>
        <v>Mango pickle (in oil)</v>
      </c>
      <c r="C1910" s="6" t="str">
        <f aca="false">'Dish Database'!D500</f>
        <v>Chutneys, Pickles &amp; Papad</v>
      </c>
      <c r="D1910" s="6" t="str">
        <f aca="false">'Dish Database'!F500</f>
        <v>Veg</v>
      </c>
      <c r="E1910" s="6" t="str">
        <f aca="false">'Dish Database'!E500</f>
        <v>Pan-India</v>
      </c>
      <c r="F1910" s="6" t="s">
        <v>2243</v>
      </c>
      <c r="G1910" s="6" t="s">
        <v>2622</v>
      </c>
      <c r="H1910" s="16" t="n">
        <v>5</v>
      </c>
      <c r="I1910" s="6" t="str">
        <f aca="false">'Dish Database'!I500</f>
        <v>g</v>
      </c>
      <c r="J1910" s="13" t="n">
        <f aca="false">'Dish Database'!J500*H1910/100</f>
        <v>8.3</v>
      </c>
      <c r="K1910" s="17" t="n">
        <f aca="false">'Dish Database'!K500*H1910/100</f>
        <v>0.05</v>
      </c>
      <c r="L1910" s="17" t="n">
        <f aca="false">'Dish Database'!L500*H1910/100</f>
        <v>0.4</v>
      </c>
      <c r="M1910" s="17" t="n">
        <f aca="false">'Dish Database'!M500*H1910/100</f>
        <v>0.75</v>
      </c>
      <c r="N1910" s="17" t="n">
        <f aca="false">'Dish Database'!N500*H1910/100</f>
        <v>0.125</v>
      </c>
      <c r="O1910" s="17" t="n">
        <f aca="false">'Dish Database'!O500*H1910/100</f>
        <v>0.075</v>
      </c>
      <c r="P1910" s="13" t="n">
        <f aca="false">'Dish Database'!P500*H1910/100</f>
        <v>130</v>
      </c>
    </row>
    <row r="1911" customFormat="false" ht="15" hidden="false" customHeight="false" outlineLevel="0" collapsed="false">
      <c r="A1911" s="6" t="str">
        <f aca="false">'Dish Database'!A500</f>
        <v>D499</v>
      </c>
      <c r="B1911" s="6" t="str">
        <f aca="false">'Dish Database'!B500</f>
        <v>Mango pickle (in oil)</v>
      </c>
      <c r="C1911" s="6" t="str">
        <f aca="false">'Dish Database'!D500</f>
        <v>Chutneys, Pickles &amp; Papad</v>
      </c>
      <c r="D1911" s="6" t="str">
        <f aca="false">'Dish Database'!F500</f>
        <v>Veg</v>
      </c>
      <c r="E1911" s="6" t="str">
        <f aca="false">'Dish Database'!E500</f>
        <v>Pan-India</v>
      </c>
      <c r="F1911" s="6" t="s">
        <v>103</v>
      </c>
      <c r="G1911" s="6" t="s">
        <v>2623</v>
      </c>
      <c r="H1911" s="16" t="n">
        <v>10</v>
      </c>
      <c r="I1911" s="6" t="str">
        <f aca="false">'Dish Database'!I500</f>
        <v>g</v>
      </c>
      <c r="J1911" s="13" t="n">
        <f aca="false">'Dish Database'!J500*H1911/100</f>
        <v>16.6</v>
      </c>
      <c r="K1911" s="17" t="n">
        <f aca="false">'Dish Database'!K500*H1911/100</f>
        <v>0.1</v>
      </c>
      <c r="L1911" s="17" t="n">
        <f aca="false">'Dish Database'!L500*H1911/100</f>
        <v>0.8</v>
      </c>
      <c r="M1911" s="17" t="n">
        <f aca="false">'Dish Database'!M500*H1911/100</f>
        <v>1.5</v>
      </c>
      <c r="N1911" s="17" t="n">
        <f aca="false">'Dish Database'!N500*H1911/100</f>
        <v>0.25</v>
      </c>
      <c r="O1911" s="17" t="n">
        <f aca="false">'Dish Database'!O500*H1911/100</f>
        <v>0.15</v>
      </c>
      <c r="P1911" s="13" t="n">
        <f aca="false">'Dish Database'!P500*H1911/100</f>
        <v>260</v>
      </c>
    </row>
    <row r="1912" customFormat="false" ht="15" hidden="false" customHeight="false" outlineLevel="0" collapsed="false">
      <c r="A1912" s="6" t="str">
        <f aca="false">'Dish Database'!A500</f>
        <v>D499</v>
      </c>
      <c r="B1912" s="6" t="str">
        <f aca="false">'Dish Database'!B500</f>
        <v>Mango pickle (in oil)</v>
      </c>
      <c r="C1912" s="6" t="str">
        <f aca="false">'Dish Database'!D500</f>
        <v>Chutneys, Pickles &amp; Papad</v>
      </c>
      <c r="D1912" s="6" t="str">
        <f aca="false">'Dish Database'!F500</f>
        <v>Veg</v>
      </c>
      <c r="E1912" s="6" t="str">
        <f aca="false">'Dish Database'!E500</f>
        <v>Pan-India</v>
      </c>
      <c r="F1912" s="6" t="s">
        <v>2246</v>
      </c>
      <c r="G1912" s="6" t="s">
        <v>2624</v>
      </c>
      <c r="H1912" s="16" t="n">
        <v>20</v>
      </c>
      <c r="I1912" s="6" t="str">
        <f aca="false">'Dish Database'!I500</f>
        <v>g</v>
      </c>
      <c r="J1912" s="13" t="n">
        <f aca="false">'Dish Database'!J500*H1912/100</f>
        <v>33.2</v>
      </c>
      <c r="K1912" s="17" t="n">
        <f aca="false">'Dish Database'!K500*H1912/100</f>
        <v>0.2</v>
      </c>
      <c r="L1912" s="17" t="n">
        <f aca="false">'Dish Database'!L500*H1912/100</f>
        <v>1.6</v>
      </c>
      <c r="M1912" s="17" t="n">
        <f aca="false">'Dish Database'!M500*H1912/100</f>
        <v>3</v>
      </c>
      <c r="N1912" s="17" t="n">
        <f aca="false">'Dish Database'!N500*H1912/100</f>
        <v>0.5</v>
      </c>
      <c r="O1912" s="17" t="n">
        <f aca="false">'Dish Database'!O500*H1912/100</f>
        <v>0.3</v>
      </c>
      <c r="P1912" s="13" t="n">
        <f aca="false">'Dish Database'!P500*H1912/100</f>
        <v>520</v>
      </c>
    </row>
    <row r="1913" customFormat="false" ht="15" hidden="false" customHeight="false" outlineLevel="0" collapsed="false">
      <c r="A1913" s="6" t="str">
        <f aca="false">'Dish Database'!A501</f>
        <v>D500</v>
      </c>
      <c r="B1913" s="6" t="str">
        <f aca="false">'Dish Database'!B501</f>
        <v>Lime pickle</v>
      </c>
      <c r="C1913" s="6" t="str">
        <f aca="false">'Dish Database'!D501</f>
        <v>Chutneys, Pickles &amp; Papad</v>
      </c>
      <c r="D1913" s="6" t="str">
        <f aca="false">'Dish Database'!F501</f>
        <v>Veg</v>
      </c>
      <c r="E1913" s="6" t="str">
        <f aca="false">'Dish Database'!E501</f>
        <v>Pan-India</v>
      </c>
      <c r="F1913" s="6" t="s">
        <v>2243</v>
      </c>
      <c r="G1913" s="6" t="s">
        <v>2622</v>
      </c>
      <c r="H1913" s="16" t="n">
        <v>5</v>
      </c>
      <c r="I1913" s="6" t="str">
        <f aca="false">'Dish Database'!I501</f>
        <v>g</v>
      </c>
      <c r="J1913" s="13" t="n">
        <f aca="false">'Dish Database'!J501*H1913/100</f>
        <v>4.4</v>
      </c>
      <c r="K1913" s="17" t="n">
        <f aca="false">'Dish Database'!K501*H1913/100</f>
        <v>0.05</v>
      </c>
      <c r="L1913" s="17" t="n">
        <f aca="false">'Dish Database'!L501*H1913/100</f>
        <v>0.45</v>
      </c>
      <c r="M1913" s="17" t="n">
        <f aca="false">'Dish Database'!M501*H1913/100</f>
        <v>0.3</v>
      </c>
      <c r="N1913" s="17" t="n">
        <f aca="false">'Dish Database'!N501*H1913/100</f>
        <v>0.15</v>
      </c>
      <c r="O1913" s="17" t="n">
        <f aca="false">'Dish Database'!O501*H1913/100</f>
        <v>0.15</v>
      </c>
      <c r="P1913" s="13" t="n">
        <f aca="false">'Dish Database'!P501*H1913/100</f>
        <v>125</v>
      </c>
    </row>
    <row r="1914" customFormat="false" ht="15" hidden="false" customHeight="false" outlineLevel="0" collapsed="false">
      <c r="A1914" s="6" t="str">
        <f aca="false">'Dish Database'!A501</f>
        <v>D500</v>
      </c>
      <c r="B1914" s="6" t="str">
        <f aca="false">'Dish Database'!B501</f>
        <v>Lime pickle</v>
      </c>
      <c r="C1914" s="6" t="str">
        <f aca="false">'Dish Database'!D501</f>
        <v>Chutneys, Pickles &amp; Papad</v>
      </c>
      <c r="D1914" s="6" t="str">
        <f aca="false">'Dish Database'!F501</f>
        <v>Veg</v>
      </c>
      <c r="E1914" s="6" t="str">
        <f aca="false">'Dish Database'!E501</f>
        <v>Pan-India</v>
      </c>
      <c r="F1914" s="6" t="s">
        <v>103</v>
      </c>
      <c r="G1914" s="6" t="s">
        <v>2623</v>
      </c>
      <c r="H1914" s="16" t="n">
        <v>10</v>
      </c>
      <c r="I1914" s="6" t="str">
        <f aca="false">'Dish Database'!I501</f>
        <v>g</v>
      </c>
      <c r="J1914" s="13" t="n">
        <f aca="false">'Dish Database'!J501*H1914/100</f>
        <v>8.8</v>
      </c>
      <c r="K1914" s="17" t="n">
        <f aca="false">'Dish Database'!K501*H1914/100</f>
        <v>0.1</v>
      </c>
      <c r="L1914" s="17" t="n">
        <f aca="false">'Dish Database'!L501*H1914/100</f>
        <v>0.9</v>
      </c>
      <c r="M1914" s="17" t="n">
        <f aca="false">'Dish Database'!M501*H1914/100</f>
        <v>0.6</v>
      </c>
      <c r="N1914" s="17" t="n">
        <f aca="false">'Dish Database'!N501*H1914/100</f>
        <v>0.3</v>
      </c>
      <c r="O1914" s="17" t="n">
        <f aca="false">'Dish Database'!O501*H1914/100</f>
        <v>0.3</v>
      </c>
      <c r="P1914" s="13" t="n">
        <f aca="false">'Dish Database'!P501*H1914/100</f>
        <v>250</v>
      </c>
    </row>
    <row r="1915" customFormat="false" ht="15" hidden="false" customHeight="false" outlineLevel="0" collapsed="false">
      <c r="A1915" s="6" t="str">
        <f aca="false">'Dish Database'!A501</f>
        <v>D500</v>
      </c>
      <c r="B1915" s="6" t="str">
        <f aca="false">'Dish Database'!B501</f>
        <v>Lime pickle</v>
      </c>
      <c r="C1915" s="6" t="str">
        <f aca="false">'Dish Database'!D501</f>
        <v>Chutneys, Pickles &amp; Papad</v>
      </c>
      <c r="D1915" s="6" t="str">
        <f aca="false">'Dish Database'!F501</f>
        <v>Veg</v>
      </c>
      <c r="E1915" s="6" t="str">
        <f aca="false">'Dish Database'!E501</f>
        <v>Pan-India</v>
      </c>
      <c r="F1915" s="6" t="s">
        <v>2246</v>
      </c>
      <c r="G1915" s="6" t="s">
        <v>2624</v>
      </c>
      <c r="H1915" s="16" t="n">
        <v>20</v>
      </c>
      <c r="I1915" s="6" t="str">
        <f aca="false">'Dish Database'!I501</f>
        <v>g</v>
      </c>
      <c r="J1915" s="13" t="n">
        <f aca="false">'Dish Database'!J501*H1915/100</f>
        <v>17.6</v>
      </c>
      <c r="K1915" s="17" t="n">
        <f aca="false">'Dish Database'!K501*H1915/100</f>
        <v>0.2</v>
      </c>
      <c r="L1915" s="17" t="n">
        <f aca="false">'Dish Database'!L501*H1915/100</f>
        <v>1.8</v>
      </c>
      <c r="M1915" s="17" t="n">
        <f aca="false">'Dish Database'!M501*H1915/100</f>
        <v>1.2</v>
      </c>
      <c r="N1915" s="17" t="n">
        <f aca="false">'Dish Database'!N501*H1915/100</f>
        <v>0.6</v>
      </c>
      <c r="O1915" s="17" t="n">
        <f aca="false">'Dish Database'!O501*H1915/100</f>
        <v>0.6</v>
      </c>
      <c r="P1915" s="13" t="n">
        <f aca="false">'Dish Database'!P501*H1915/100</f>
        <v>500</v>
      </c>
    </row>
    <row r="1916" customFormat="false" ht="15" hidden="false" customHeight="false" outlineLevel="0" collapsed="false">
      <c r="A1916" s="6" t="str">
        <f aca="false">'Dish Database'!A502</f>
        <v>D501</v>
      </c>
      <c r="B1916" s="6" t="str">
        <f aca="false">'Dish Database'!B502</f>
        <v>Papad (roasted)</v>
      </c>
      <c r="C1916" s="6" t="str">
        <f aca="false">'Dish Database'!D502</f>
        <v>Chutneys, Pickles &amp; Papad</v>
      </c>
      <c r="D1916" s="6" t="str">
        <f aca="false">'Dish Database'!F502</f>
        <v>Veg</v>
      </c>
      <c r="E1916" s="6" t="str">
        <f aca="false">'Dish Database'!E502</f>
        <v>Pan-India</v>
      </c>
      <c r="F1916" s="6" t="s">
        <v>2243</v>
      </c>
      <c r="G1916" s="6" t="s">
        <v>2625</v>
      </c>
      <c r="H1916" s="16" t="n">
        <v>8</v>
      </c>
      <c r="I1916" s="6" t="str">
        <f aca="false">'Dish Database'!I502</f>
        <v>g</v>
      </c>
      <c r="J1916" s="13" t="n">
        <f aca="false">'Dish Database'!J502*H1916/100</f>
        <v>25.504</v>
      </c>
      <c r="K1916" s="17" t="n">
        <f aca="false">'Dish Database'!K502*H1916/100</f>
        <v>1.76</v>
      </c>
      <c r="L1916" s="17" t="n">
        <f aca="false">'Dish Database'!L502*H1916/100</f>
        <v>4.4</v>
      </c>
      <c r="M1916" s="17" t="n">
        <f aca="false">'Dish Database'!M502*H1916/100</f>
        <v>0.256</v>
      </c>
      <c r="N1916" s="17" t="n">
        <f aca="false">'Dish Database'!N502*H1916/100</f>
        <v>0.72</v>
      </c>
      <c r="O1916" s="17" t="n">
        <f aca="false">'Dish Database'!O502*H1916/100</f>
        <v>0.08</v>
      </c>
      <c r="P1916" s="13" t="n">
        <f aca="false">'Dish Database'!P502*H1916/100</f>
        <v>136</v>
      </c>
    </row>
    <row r="1917" customFormat="false" ht="15" hidden="false" customHeight="false" outlineLevel="0" collapsed="false">
      <c r="A1917" s="6" t="str">
        <f aca="false">'Dish Database'!A502</f>
        <v>D501</v>
      </c>
      <c r="B1917" s="6" t="str">
        <f aca="false">'Dish Database'!B502</f>
        <v>Papad (roasted)</v>
      </c>
      <c r="C1917" s="6" t="str">
        <f aca="false">'Dish Database'!D502</f>
        <v>Chutneys, Pickles &amp; Papad</v>
      </c>
      <c r="D1917" s="6" t="str">
        <f aca="false">'Dish Database'!F502</f>
        <v>Veg</v>
      </c>
      <c r="E1917" s="6" t="str">
        <f aca="false">'Dish Database'!E502</f>
        <v>Pan-India</v>
      </c>
      <c r="F1917" s="6" t="s">
        <v>103</v>
      </c>
      <c r="G1917" s="6" t="s">
        <v>2626</v>
      </c>
      <c r="H1917" s="16" t="n">
        <v>12</v>
      </c>
      <c r="I1917" s="6" t="str">
        <f aca="false">'Dish Database'!I502</f>
        <v>g</v>
      </c>
      <c r="J1917" s="13" t="n">
        <f aca="false">'Dish Database'!J502*H1917/100</f>
        <v>38.256</v>
      </c>
      <c r="K1917" s="17" t="n">
        <f aca="false">'Dish Database'!K502*H1917/100</f>
        <v>2.64</v>
      </c>
      <c r="L1917" s="17" t="n">
        <f aca="false">'Dish Database'!L502*H1917/100</f>
        <v>6.6</v>
      </c>
      <c r="M1917" s="17" t="n">
        <f aca="false">'Dish Database'!M502*H1917/100</f>
        <v>0.384</v>
      </c>
      <c r="N1917" s="17" t="n">
        <f aca="false">'Dish Database'!N502*H1917/100</f>
        <v>1.08</v>
      </c>
      <c r="O1917" s="17" t="n">
        <f aca="false">'Dish Database'!O502*H1917/100</f>
        <v>0.12</v>
      </c>
      <c r="P1917" s="13" t="n">
        <f aca="false">'Dish Database'!P502*H1917/100</f>
        <v>204</v>
      </c>
    </row>
    <row r="1918" customFormat="false" ht="15" hidden="false" customHeight="false" outlineLevel="0" collapsed="false">
      <c r="A1918" s="6" t="str">
        <f aca="false">'Dish Database'!A502</f>
        <v>D501</v>
      </c>
      <c r="B1918" s="6" t="str">
        <f aca="false">'Dish Database'!B502</f>
        <v>Papad (roasted)</v>
      </c>
      <c r="C1918" s="6" t="str">
        <f aca="false">'Dish Database'!D502</f>
        <v>Chutneys, Pickles &amp; Papad</v>
      </c>
      <c r="D1918" s="6" t="str">
        <f aca="false">'Dish Database'!F502</f>
        <v>Veg</v>
      </c>
      <c r="E1918" s="6" t="str">
        <f aca="false">'Dish Database'!E502</f>
        <v>Pan-India</v>
      </c>
      <c r="F1918" s="6" t="s">
        <v>2246</v>
      </c>
      <c r="G1918" s="6" t="s">
        <v>2627</v>
      </c>
      <c r="H1918" s="16" t="n">
        <v>16</v>
      </c>
      <c r="I1918" s="6" t="str">
        <f aca="false">'Dish Database'!I502</f>
        <v>g</v>
      </c>
      <c r="J1918" s="13" t="n">
        <f aca="false">'Dish Database'!J502*H1918/100</f>
        <v>51.008</v>
      </c>
      <c r="K1918" s="17" t="n">
        <f aca="false">'Dish Database'!K502*H1918/100</f>
        <v>3.52</v>
      </c>
      <c r="L1918" s="17" t="n">
        <f aca="false">'Dish Database'!L502*H1918/100</f>
        <v>8.8</v>
      </c>
      <c r="M1918" s="17" t="n">
        <f aca="false">'Dish Database'!M502*H1918/100</f>
        <v>0.512</v>
      </c>
      <c r="N1918" s="17" t="n">
        <f aca="false">'Dish Database'!N502*H1918/100</f>
        <v>1.44</v>
      </c>
      <c r="O1918" s="17" t="n">
        <f aca="false">'Dish Database'!O502*H1918/100</f>
        <v>0.16</v>
      </c>
      <c r="P1918" s="13" t="n">
        <f aca="false">'Dish Database'!P502*H1918/100</f>
        <v>272</v>
      </c>
    </row>
    <row r="1919" customFormat="false" ht="15" hidden="false" customHeight="false" outlineLevel="0" collapsed="false">
      <c r="A1919" s="6" t="str">
        <f aca="false">'Dish Database'!A503</f>
        <v>D502</v>
      </c>
      <c r="B1919" s="6" t="str">
        <f aca="false">'Dish Database'!B503</f>
        <v>Papad (fried)</v>
      </c>
      <c r="C1919" s="6" t="str">
        <f aca="false">'Dish Database'!D503</f>
        <v>Chutneys, Pickles &amp; Papad</v>
      </c>
      <c r="D1919" s="6" t="str">
        <f aca="false">'Dish Database'!F503</f>
        <v>Veg</v>
      </c>
      <c r="E1919" s="6" t="str">
        <f aca="false">'Dish Database'!E503</f>
        <v>Pan-India</v>
      </c>
      <c r="F1919" s="6" t="s">
        <v>2243</v>
      </c>
      <c r="G1919" s="6" t="s">
        <v>2628</v>
      </c>
      <c r="H1919" s="16" t="n">
        <v>10</v>
      </c>
      <c r="I1919" s="6" t="str">
        <f aca="false">'Dish Database'!I503</f>
        <v>g</v>
      </c>
      <c r="J1919" s="13" t="n">
        <f aca="false">'Dish Database'!J503*H1919/100</f>
        <v>46.3</v>
      </c>
      <c r="K1919" s="17" t="n">
        <f aca="false">'Dish Database'!K503*H1919/100</f>
        <v>1.8</v>
      </c>
      <c r="L1919" s="17" t="n">
        <f aca="false">'Dish Database'!L503*H1919/100</f>
        <v>4.5</v>
      </c>
      <c r="M1919" s="17" t="n">
        <f aca="false">'Dish Database'!M503*H1919/100</f>
        <v>2.5</v>
      </c>
      <c r="N1919" s="17" t="n">
        <f aca="false">'Dish Database'!N503*H1919/100</f>
        <v>0.7</v>
      </c>
      <c r="O1919" s="17" t="n">
        <f aca="false">'Dish Database'!O503*H1919/100</f>
        <v>0.1</v>
      </c>
      <c r="P1919" s="13" t="n">
        <f aca="false">'Dish Database'!P503*H1919/100</f>
        <v>140</v>
      </c>
    </row>
    <row r="1920" customFormat="false" ht="15" hidden="false" customHeight="false" outlineLevel="0" collapsed="false">
      <c r="A1920" s="6" t="str">
        <f aca="false">'Dish Database'!A503</f>
        <v>D502</v>
      </c>
      <c r="B1920" s="6" t="str">
        <f aca="false">'Dish Database'!B503</f>
        <v>Papad (fried)</v>
      </c>
      <c r="C1920" s="6" t="str">
        <f aca="false">'Dish Database'!D503</f>
        <v>Chutneys, Pickles &amp; Papad</v>
      </c>
      <c r="D1920" s="6" t="str">
        <f aca="false">'Dish Database'!F503</f>
        <v>Veg</v>
      </c>
      <c r="E1920" s="6" t="str">
        <f aca="false">'Dish Database'!E503</f>
        <v>Pan-India</v>
      </c>
      <c r="F1920" s="6" t="s">
        <v>103</v>
      </c>
      <c r="G1920" s="6" t="s">
        <v>2629</v>
      </c>
      <c r="H1920" s="16" t="n">
        <v>15</v>
      </c>
      <c r="I1920" s="6" t="str">
        <f aca="false">'Dish Database'!I503</f>
        <v>g</v>
      </c>
      <c r="J1920" s="13" t="n">
        <f aca="false">'Dish Database'!J503*H1920/100</f>
        <v>69.45</v>
      </c>
      <c r="K1920" s="17" t="n">
        <f aca="false">'Dish Database'!K503*H1920/100</f>
        <v>2.7</v>
      </c>
      <c r="L1920" s="17" t="n">
        <f aca="false">'Dish Database'!L503*H1920/100</f>
        <v>6.75</v>
      </c>
      <c r="M1920" s="17" t="n">
        <f aca="false">'Dish Database'!M503*H1920/100</f>
        <v>3.75</v>
      </c>
      <c r="N1920" s="17" t="n">
        <f aca="false">'Dish Database'!N503*H1920/100</f>
        <v>1.05</v>
      </c>
      <c r="O1920" s="17" t="n">
        <f aca="false">'Dish Database'!O503*H1920/100</f>
        <v>0.15</v>
      </c>
      <c r="P1920" s="13" t="n">
        <f aca="false">'Dish Database'!P503*H1920/100</f>
        <v>210</v>
      </c>
    </row>
    <row r="1921" customFormat="false" ht="15" hidden="false" customHeight="false" outlineLevel="0" collapsed="false">
      <c r="A1921" s="6" t="str">
        <f aca="false">'Dish Database'!A503</f>
        <v>D502</v>
      </c>
      <c r="B1921" s="6" t="str">
        <f aca="false">'Dish Database'!B503</f>
        <v>Papad (fried)</v>
      </c>
      <c r="C1921" s="6" t="str">
        <f aca="false">'Dish Database'!D503</f>
        <v>Chutneys, Pickles &amp; Papad</v>
      </c>
      <c r="D1921" s="6" t="str">
        <f aca="false">'Dish Database'!F503</f>
        <v>Veg</v>
      </c>
      <c r="E1921" s="6" t="str">
        <f aca="false">'Dish Database'!E503</f>
        <v>Pan-India</v>
      </c>
      <c r="F1921" s="6" t="s">
        <v>2246</v>
      </c>
      <c r="G1921" s="6" t="s">
        <v>2630</v>
      </c>
      <c r="H1921" s="16" t="n">
        <v>20</v>
      </c>
      <c r="I1921" s="6" t="str">
        <f aca="false">'Dish Database'!I503</f>
        <v>g</v>
      </c>
      <c r="J1921" s="13" t="n">
        <f aca="false">'Dish Database'!J503*H1921/100</f>
        <v>92.6</v>
      </c>
      <c r="K1921" s="17" t="n">
        <f aca="false">'Dish Database'!K503*H1921/100</f>
        <v>3.6</v>
      </c>
      <c r="L1921" s="17" t="n">
        <f aca="false">'Dish Database'!L503*H1921/100</f>
        <v>9</v>
      </c>
      <c r="M1921" s="17" t="n">
        <f aca="false">'Dish Database'!M503*H1921/100</f>
        <v>5</v>
      </c>
      <c r="N1921" s="17" t="n">
        <f aca="false">'Dish Database'!N503*H1921/100</f>
        <v>1.4</v>
      </c>
      <c r="O1921" s="17" t="n">
        <f aca="false">'Dish Database'!O503*H1921/100</f>
        <v>0.2</v>
      </c>
      <c r="P1921" s="13" t="n">
        <f aca="false">'Dish Database'!P503*H1921/100</f>
        <v>280</v>
      </c>
    </row>
    <row r="1922" customFormat="false" ht="15" hidden="false" customHeight="false" outlineLevel="0" collapsed="false">
      <c r="A1922" s="6" t="str">
        <f aca="false">'Dish Database'!A504</f>
        <v>D503</v>
      </c>
      <c r="B1922" s="6" t="str">
        <f aca="false">'Dish Database'!B504</f>
        <v>Masala papad</v>
      </c>
      <c r="C1922" s="6" t="str">
        <f aca="false">'Dish Database'!D504</f>
        <v>Chutneys, Pickles &amp; Papad</v>
      </c>
      <c r="D1922" s="6" t="str">
        <f aca="false">'Dish Database'!F504</f>
        <v>Veg</v>
      </c>
      <c r="E1922" s="6" t="str">
        <f aca="false">'Dish Database'!E504</f>
        <v>North</v>
      </c>
      <c r="F1922" s="6" t="s">
        <v>2243</v>
      </c>
      <c r="G1922" s="6" t="s">
        <v>2631</v>
      </c>
      <c r="H1922" s="16" t="n">
        <v>25</v>
      </c>
      <c r="I1922" s="6" t="str">
        <f aca="false">'Dish Database'!I504</f>
        <v>g</v>
      </c>
      <c r="J1922" s="13" t="n">
        <f aca="false">'Dish Database'!J504*H1922/100</f>
        <v>71.25</v>
      </c>
      <c r="K1922" s="17" t="n">
        <f aca="false">'Dish Database'!K504*H1922/100</f>
        <v>2.5</v>
      </c>
      <c r="L1922" s="17" t="n">
        <f aca="false">'Dish Database'!L504*H1922/100</f>
        <v>7.5</v>
      </c>
      <c r="M1922" s="17" t="n">
        <f aca="false">'Dish Database'!M504*H1922/100</f>
        <v>3.75</v>
      </c>
      <c r="N1922" s="17" t="n">
        <f aca="false">'Dish Database'!N504*H1922/100</f>
        <v>1.25</v>
      </c>
      <c r="O1922" s="17" t="n">
        <f aca="false">'Dish Database'!O504*H1922/100</f>
        <v>0.625</v>
      </c>
      <c r="P1922" s="13" t="n">
        <f aca="false">'Dish Database'!P504*H1922/100</f>
        <v>225</v>
      </c>
    </row>
    <row r="1923" customFormat="false" ht="15" hidden="false" customHeight="false" outlineLevel="0" collapsed="false">
      <c r="A1923" s="6" t="str">
        <f aca="false">'Dish Database'!A504</f>
        <v>D503</v>
      </c>
      <c r="B1923" s="6" t="str">
        <f aca="false">'Dish Database'!B504</f>
        <v>Masala papad</v>
      </c>
      <c r="C1923" s="6" t="str">
        <f aca="false">'Dish Database'!D504</f>
        <v>Chutneys, Pickles &amp; Papad</v>
      </c>
      <c r="D1923" s="6" t="str">
        <f aca="false">'Dish Database'!F504</f>
        <v>Veg</v>
      </c>
      <c r="E1923" s="6" t="str">
        <f aca="false">'Dish Database'!E504</f>
        <v>North</v>
      </c>
      <c r="F1923" s="6" t="s">
        <v>103</v>
      </c>
      <c r="G1923" s="6" t="s">
        <v>2632</v>
      </c>
      <c r="H1923" s="16" t="n">
        <v>35</v>
      </c>
      <c r="I1923" s="6" t="str">
        <f aca="false">'Dish Database'!I504</f>
        <v>g</v>
      </c>
      <c r="J1923" s="13" t="n">
        <f aca="false">'Dish Database'!J504*H1923/100</f>
        <v>99.75</v>
      </c>
      <c r="K1923" s="17" t="n">
        <f aca="false">'Dish Database'!K504*H1923/100</f>
        <v>3.5</v>
      </c>
      <c r="L1923" s="17" t="n">
        <f aca="false">'Dish Database'!L504*H1923/100</f>
        <v>10.5</v>
      </c>
      <c r="M1923" s="17" t="n">
        <f aca="false">'Dish Database'!M504*H1923/100</f>
        <v>5.25</v>
      </c>
      <c r="N1923" s="17" t="n">
        <f aca="false">'Dish Database'!N504*H1923/100</f>
        <v>1.75</v>
      </c>
      <c r="O1923" s="17" t="n">
        <f aca="false">'Dish Database'!O504*H1923/100</f>
        <v>0.875</v>
      </c>
      <c r="P1923" s="13" t="n">
        <f aca="false">'Dish Database'!P504*H1923/100</f>
        <v>315</v>
      </c>
    </row>
    <row r="1924" customFormat="false" ht="15" hidden="false" customHeight="false" outlineLevel="0" collapsed="false">
      <c r="A1924" s="6" t="str">
        <f aca="false">'Dish Database'!A504</f>
        <v>D503</v>
      </c>
      <c r="B1924" s="6" t="str">
        <f aca="false">'Dish Database'!B504</f>
        <v>Masala papad</v>
      </c>
      <c r="C1924" s="6" t="str">
        <f aca="false">'Dish Database'!D504</f>
        <v>Chutneys, Pickles &amp; Papad</v>
      </c>
      <c r="D1924" s="6" t="str">
        <f aca="false">'Dish Database'!F504</f>
        <v>Veg</v>
      </c>
      <c r="E1924" s="6" t="str">
        <f aca="false">'Dish Database'!E504</f>
        <v>North</v>
      </c>
      <c r="F1924" s="6" t="s">
        <v>2246</v>
      </c>
      <c r="G1924" s="6" t="s">
        <v>2633</v>
      </c>
      <c r="H1924" s="16" t="n">
        <v>50</v>
      </c>
      <c r="I1924" s="6" t="str">
        <f aca="false">'Dish Database'!I504</f>
        <v>g</v>
      </c>
      <c r="J1924" s="13" t="n">
        <f aca="false">'Dish Database'!J504*H1924/100</f>
        <v>142.5</v>
      </c>
      <c r="K1924" s="17" t="n">
        <f aca="false">'Dish Database'!K504*H1924/100</f>
        <v>5</v>
      </c>
      <c r="L1924" s="17" t="n">
        <f aca="false">'Dish Database'!L504*H1924/100</f>
        <v>15</v>
      </c>
      <c r="M1924" s="17" t="n">
        <f aca="false">'Dish Database'!M504*H1924/100</f>
        <v>7.5</v>
      </c>
      <c r="N1924" s="17" t="n">
        <f aca="false">'Dish Database'!N504*H1924/100</f>
        <v>2.5</v>
      </c>
      <c r="O1924" s="17" t="n">
        <f aca="false">'Dish Database'!O504*H1924/100</f>
        <v>1.25</v>
      </c>
      <c r="P1924" s="13" t="n">
        <f aca="false">'Dish Database'!P504*H1924/100</f>
        <v>450</v>
      </c>
    </row>
    <row r="1925" customFormat="false" ht="15" hidden="false" customHeight="false" outlineLevel="0" collapsed="false">
      <c r="A1925" s="6" t="str">
        <f aca="false">'Dish Database'!A505</f>
        <v>D504</v>
      </c>
      <c r="B1925" s="6" t="str">
        <f aca="false">'Dish Database'!B505</f>
        <v>Aloo bhujia</v>
      </c>
      <c r="C1925" s="6" t="str">
        <f aca="false">'Dish Database'!D505</f>
        <v>Namkeen &amp; Dry Snacks</v>
      </c>
      <c r="D1925" s="6" t="str">
        <f aca="false">'Dish Database'!F505</f>
        <v>Veg</v>
      </c>
      <c r="E1925" s="6" t="str">
        <f aca="false">'Dish Database'!E505</f>
        <v>West</v>
      </c>
      <c r="F1925" s="6" t="s">
        <v>2243</v>
      </c>
      <c r="G1925" s="6" t="s">
        <v>2634</v>
      </c>
      <c r="H1925" s="16" t="n">
        <v>15</v>
      </c>
      <c r="I1925" s="6" t="str">
        <f aca="false">'Dish Database'!I505</f>
        <v>g</v>
      </c>
      <c r="J1925" s="13" t="n">
        <f aca="false">'Dish Database'!J505*H1925/100</f>
        <v>82.5</v>
      </c>
      <c r="K1925" s="17" t="n">
        <f aca="false">'Dish Database'!K505*H1925/100</f>
        <v>1.35</v>
      </c>
      <c r="L1925" s="17" t="n">
        <f aca="false">'Dish Database'!L505*H1925/100</f>
        <v>6.75</v>
      </c>
      <c r="M1925" s="17" t="n">
        <f aca="false">'Dish Database'!M505*H1925/100</f>
        <v>5.7</v>
      </c>
      <c r="N1925" s="17" t="n">
        <f aca="false">'Dish Database'!N505*H1925/100</f>
        <v>0.6</v>
      </c>
      <c r="O1925" s="17" t="n">
        <f aca="false">'Dish Database'!O505*H1925/100</f>
        <v>0.225</v>
      </c>
      <c r="P1925" s="13" t="n">
        <f aca="false">'Dish Database'!P505*H1925/100</f>
        <v>135</v>
      </c>
    </row>
    <row r="1926" customFormat="false" ht="15" hidden="false" customHeight="false" outlineLevel="0" collapsed="false">
      <c r="A1926" s="6" t="str">
        <f aca="false">'Dish Database'!A505</f>
        <v>D504</v>
      </c>
      <c r="B1926" s="6" t="str">
        <f aca="false">'Dish Database'!B505</f>
        <v>Aloo bhujia</v>
      </c>
      <c r="C1926" s="6" t="str">
        <f aca="false">'Dish Database'!D505</f>
        <v>Namkeen &amp; Dry Snacks</v>
      </c>
      <c r="D1926" s="6" t="str">
        <f aca="false">'Dish Database'!F505</f>
        <v>Veg</v>
      </c>
      <c r="E1926" s="6" t="str">
        <f aca="false">'Dish Database'!E505</f>
        <v>West</v>
      </c>
      <c r="F1926" s="6" t="s">
        <v>103</v>
      </c>
      <c r="G1926" s="6" t="s">
        <v>2635</v>
      </c>
      <c r="H1926" s="16" t="n">
        <v>30</v>
      </c>
      <c r="I1926" s="6" t="str">
        <f aca="false">'Dish Database'!I505</f>
        <v>g</v>
      </c>
      <c r="J1926" s="13" t="n">
        <f aca="false">'Dish Database'!J505*H1926/100</f>
        <v>165</v>
      </c>
      <c r="K1926" s="17" t="n">
        <f aca="false">'Dish Database'!K505*H1926/100</f>
        <v>2.7</v>
      </c>
      <c r="L1926" s="17" t="n">
        <f aca="false">'Dish Database'!L505*H1926/100</f>
        <v>13.5</v>
      </c>
      <c r="M1926" s="17" t="n">
        <f aca="false">'Dish Database'!M505*H1926/100</f>
        <v>11.4</v>
      </c>
      <c r="N1926" s="17" t="n">
        <f aca="false">'Dish Database'!N505*H1926/100</f>
        <v>1.2</v>
      </c>
      <c r="O1926" s="17" t="n">
        <f aca="false">'Dish Database'!O505*H1926/100</f>
        <v>0.45</v>
      </c>
      <c r="P1926" s="13" t="n">
        <f aca="false">'Dish Database'!P505*H1926/100</f>
        <v>270</v>
      </c>
    </row>
    <row r="1927" customFormat="false" ht="15" hidden="false" customHeight="false" outlineLevel="0" collapsed="false">
      <c r="A1927" s="6" t="str">
        <f aca="false">'Dish Database'!A505</f>
        <v>D504</v>
      </c>
      <c r="B1927" s="6" t="str">
        <f aca="false">'Dish Database'!B505</f>
        <v>Aloo bhujia</v>
      </c>
      <c r="C1927" s="6" t="str">
        <f aca="false">'Dish Database'!D505</f>
        <v>Namkeen &amp; Dry Snacks</v>
      </c>
      <c r="D1927" s="6" t="str">
        <f aca="false">'Dish Database'!F505</f>
        <v>Veg</v>
      </c>
      <c r="E1927" s="6" t="str">
        <f aca="false">'Dish Database'!E505</f>
        <v>West</v>
      </c>
      <c r="F1927" s="6" t="s">
        <v>2246</v>
      </c>
      <c r="G1927" s="6" t="s">
        <v>2331</v>
      </c>
      <c r="H1927" s="16" t="n">
        <v>50</v>
      </c>
      <c r="I1927" s="6" t="str">
        <f aca="false">'Dish Database'!I505</f>
        <v>g</v>
      </c>
      <c r="J1927" s="13" t="n">
        <f aca="false">'Dish Database'!J505*H1927/100</f>
        <v>275</v>
      </c>
      <c r="K1927" s="17" t="n">
        <f aca="false">'Dish Database'!K505*H1927/100</f>
        <v>4.5</v>
      </c>
      <c r="L1927" s="17" t="n">
        <f aca="false">'Dish Database'!L505*H1927/100</f>
        <v>22.5</v>
      </c>
      <c r="M1927" s="17" t="n">
        <f aca="false">'Dish Database'!M505*H1927/100</f>
        <v>19</v>
      </c>
      <c r="N1927" s="17" t="n">
        <f aca="false">'Dish Database'!N505*H1927/100</f>
        <v>2</v>
      </c>
      <c r="O1927" s="17" t="n">
        <f aca="false">'Dish Database'!O505*H1927/100</f>
        <v>0.75</v>
      </c>
      <c r="P1927" s="13" t="n">
        <f aca="false">'Dish Database'!P505*H1927/100</f>
        <v>450</v>
      </c>
    </row>
    <row r="1928" customFormat="false" ht="15" hidden="false" customHeight="false" outlineLevel="0" collapsed="false">
      <c r="A1928" s="6" t="str">
        <f aca="false">'Dish Database'!A506</f>
        <v>D505</v>
      </c>
      <c r="B1928" s="6" t="str">
        <f aca="false">'Dish Database'!B506</f>
        <v>Mixture / mixed namkeen</v>
      </c>
      <c r="C1928" s="6" t="str">
        <f aca="false">'Dish Database'!D506</f>
        <v>Namkeen &amp; Dry Snacks</v>
      </c>
      <c r="D1928" s="6" t="str">
        <f aca="false">'Dish Database'!F506</f>
        <v>Veg</v>
      </c>
      <c r="E1928" s="6" t="str">
        <f aca="false">'Dish Database'!E506</f>
        <v>Pan-India</v>
      </c>
      <c r="F1928" s="6" t="s">
        <v>2243</v>
      </c>
      <c r="G1928" s="6" t="s">
        <v>2634</v>
      </c>
      <c r="H1928" s="16" t="n">
        <v>15</v>
      </c>
      <c r="I1928" s="6" t="str">
        <f aca="false">'Dish Database'!I506</f>
        <v>g</v>
      </c>
      <c r="J1928" s="13" t="n">
        <f aca="false">'Dish Database'!J506*H1928/100</f>
        <v>76.95</v>
      </c>
      <c r="K1928" s="17" t="n">
        <f aca="false">'Dish Database'!K506*H1928/100</f>
        <v>1.8</v>
      </c>
      <c r="L1928" s="17" t="n">
        <f aca="false">'Dish Database'!L506*H1928/100</f>
        <v>6.75</v>
      </c>
      <c r="M1928" s="17" t="n">
        <f aca="false">'Dish Database'!M506*H1928/100</f>
        <v>4.95</v>
      </c>
      <c r="N1928" s="17" t="n">
        <f aca="false">'Dish Database'!N506*H1928/100</f>
        <v>0.9</v>
      </c>
      <c r="O1928" s="17" t="n">
        <f aca="false">'Dish Database'!O506*H1928/100</f>
        <v>0.45</v>
      </c>
      <c r="P1928" s="13" t="n">
        <f aca="false">'Dish Database'!P506*H1928/100</f>
        <v>120</v>
      </c>
    </row>
    <row r="1929" customFormat="false" ht="15" hidden="false" customHeight="false" outlineLevel="0" collapsed="false">
      <c r="A1929" s="6" t="str">
        <f aca="false">'Dish Database'!A506</f>
        <v>D505</v>
      </c>
      <c r="B1929" s="6" t="str">
        <f aca="false">'Dish Database'!B506</f>
        <v>Mixture / mixed namkeen</v>
      </c>
      <c r="C1929" s="6" t="str">
        <f aca="false">'Dish Database'!D506</f>
        <v>Namkeen &amp; Dry Snacks</v>
      </c>
      <c r="D1929" s="6" t="str">
        <f aca="false">'Dish Database'!F506</f>
        <v>Veg</v>
      </c>
      <c r="E1929" s="6" t="str">
        <f aca="false">'Dish Database'!E506</f>
        <v>Pan-India</v>
      </c>
      <c r="F1929" s="6" t="s">
        <v>103</v>
      </c>
      <c r="G1929" s="6" t="s">
        <v>2635</v>
      </c>
      <c r="H1929" s="16" t="n">
        <v>30</v>
      </c>
      <c r="I1929" s="6" t="str">
        <f aca="false">'Dish Database'!I506</f>
        <v>g</v>
      </c>
      <c r="J1929" s="13" t="n">
        <f aca="false">'Dish Database'!J506*H1929/100</f>
        <v>153.9</v>
      </c>
      <c r="K1929" s="17" t="n">
        <f aca="false">'Dish Database'!K506*H1929/100</f>
        <v>3.6</v>
      </c>
      <c r="L1929" s="17" t="n">
        <f aca="false">'Dish Database'!L506*H1929/100</f>
        <v>13.5</v>
      </c>
      <c r="M1929" s="17" t="n">
        <f aca="false">'Dish Database'!M506*H1929/100</f>
        <v>9.9</v>
      </c>
      <c r="N1929" s="17" t="n">
        <f aca="false">'Dish Database'!N506*H1929/100</f>
        <v>1.8</v>
      </c>
      <c r="O1929" s="17" t="n">
        <f aca="false">'Dish Database'!O506*H1929/100</f>
        <v>0.9</v>
      </c>
      <c r="P1929" s="13" t="n">
        <f aca="false">'Dish Database'!P506*H1929/100</f>
        <v>240</v>
      </c>
    </row>
    <row r="1930" customFormat="false" ht="15" hidden="false" customHeight="false" outlineLevel="0" collapsed="false">
      <c r="A1930" s="6" t="str">
        <f aca="false">'Dish Database'!A506</f>
        <v>D505</v>
      </c>
      <c r="B1930" s="6" t="str">
        <f aca="false">'Dish Database'!B506</f>
        <v>Mixture / mixed namkeen</v>
      </c>
      <c r="C1930" s="6" t="str">
        <f aca="false">'Dish Database'!D506</f>
        <v>Namkeen &amp; Dry Snacks</v>
      </c>
      <c r="D1930" s="6" t="str">
        <f aca="false">'Dish Database'!F506</f>
        <v>Veg</v>
      </c>
      <c r="E1930" s="6" t="str">
        <f aca="false">'Dish Database'!E506</f>
        <v>Pan-India</v>
      </c>
      <c r="F1930" s="6" t="s">
        <v>2246</v>
      </c>
      <c r="G1930" s="6" t="s">
        <v>2331</v>
      </c>
      <c r="H1930" s="16" t="n">
        <v>50</v>
      </c>
      <c r="I1930" s="6" t="str">
        <f aca="false">'Dish Database'!I506</f>
        <v>g</v>
      </c>
      <c r="J1930" s="13" t="n">
        <f aca="false">'Dish Database'!J506*H1930/100</f>
        <v>256.5</v>
      </c>
      <c r="K1930" s="17" t="n">
        <f aca="false">'Dish Database'!K506*H1930/100</f>
        <v>6</v>
      </c>
      <c r="L1930" s="17" t="n">
        <f aca="false">'Dish Database'!L506*H1930/100</f>
        <v>22.5</v>
      </c>
      <c r="M1930" s="17" t="n">
        <f aca="false">'Dish Database'!M506*H1930/100</f>
        <v>16.5</v>
      </c>
      <c r="N1930" s="17" t="n">
        <f aca="false">'Dish Database'!N506*H1930/100</f>
        <v>3</v>
      </c>
      <c r="O1930" s="17" t="n">
        <f aca="false">'Dish Database'!O506*H1930/100</f>
        <v>1.5</v>
      </c>
      <c r="P1930" s="13" t="n">
        <f aca="false">'Dish Database'!P506*H1930/100</f>
        <v>400</v>
      </c>
    </row>
    <row r="1931" customFormat="false" ht="15" hidden="false" customHeight="false" outlineLevel="0" collapsed="false">
      <c r="A1931" s="6" t="str">
        <f aca="false">'Dish Database'!A507</f>
        <v>D506</v>
      </c>
      <c r="B1931" s="6" t="str">
        <f aca="false">'Dish Database'!B507</f>
        <v>Poha chivda (light)</v>
      </c>
      <c r="C1931" s="6" t="str">
        <f aca="false">'Dish Database'!D507</f>
        <v>Namkeen &amp; Dry Snacks</v>
      </c>
      <c r="D1931" s="6" t="str">
        <f aca="false">'Dish Database'!F507</f>
        <v>Veg</v>
      </c>
      <c r="E1931" s="6" t="str">
        <f aca="false">'Dish Database'!E507</f>
        <v>West</v>
      </c>
      <c r="F1931" s="6" t="s">
        <v>2243</v>
      </c>
      <c r="G1931" s="6" t="s">
        <v>2634</v>
      </c>
      <c r="H1931" s="16" t="n">
        <v>15</v>
      </c>
      <c r="I1931" s="6" t="str">
        <f aca="false">'Dish Database'!I507</f>
        <v>g</v>
      </c>
      <c r="J1931" s="13" t="n">
        <f aca="false">'Dish Database'!J507*H1931/100</f>
        <v>66.9</v>
      </c>
      <c r="K1931" s="17" t="n">
        <f aca="false">'Dish Database'!K507*H1931/100</f>
        <v>1.2</v>
      </c>
      <c r="L1931" s="17" t="n">
        <f aca="false">'Dish Database'!L507*H1931/100</f>
        <v>9</v>
      </c>
      <c r="M1931" s="17" t="n">
        <f aca="false">'Dish Database'!M507*H1931/100</f>
        <v>3</v>
      </c>
      <c r="N1931" s="17" t="n">
        <f aca="false">'Dish Database'!N507*H1931/100</f>
        <v>0.45</v>
      </c>
      <c r="O1931" s="17" t="n">
        <f aca="false">'Dish Database'!O507*H1931/100</f>
        <v>0.75</v>
      </c>
      <c r="P1931" s="13" t="n">
        <f aca="false">'Dish Database'!P507*H1931/100</f>
        <v>90</v>
      </c>
    </row>
    <row r="1932" customFormat="false" ht="15" hidden="false" customHeight="false" outlineLevel="0" collapsed="false">
      <c r="A1932" s="6" t="str">
        <f aca="false">'Dish Database'!A507</f>
        <v>D506</v>
      </c>
      <c r="B1932" s="6" t="str">
        <f aca="false">'Dish Database'!B507</f>
        <v>Poha chivda (light)</v>
      </c>
      <c r="C1932" s="6" t="str">
        <f aca="false">'Dish Database'!D507</f>
        <v>Namkeen &amp; Dry Snacks</v>
      </c>
      <c r="D1932" s="6" t="str">
        <f aca="false">'Dish Database'!F507</f>
        <v>Veg</v>
      </c>
      <c r="E1932" s="6" t="str">
        <f aca="false">'Dish Database'!E507</f>
        <v>West</v>
      </c>
      <c r="F1932" s="6" t="s">
        <v>103</v>
      </c>
      <c r="G1932" s="6" t="s">
        <v>2635</v>
      </c>
      <c r="H1932" s="16" t="n">
        <v>30</v>
      </c>
      <c r="I1932" s="6" t="str">
        <f aca="false">'Dish Database'!I507</f>
        <v>g</v>
      </c>
      <c r="J1932" s="13" t="n">
        <f aca="false">'Dish Database'!J507*H1932/100</f>
        <v>133.8</v>
      </c>
      <c r="K1932" s="17" t="n">
        <f aca="false">'Dish Database'!K507*H1932/100</f>
        <v>2.4</v>
      </c>
      <c r="L1932" s="17" t="n">
        <f aca="false">'Dish Database'!L507*H1932/100</f>
        <v>18</v>
      </c>
      <c r="M1932" s="17" t="n">
        <f aca="false">'Dish Database'!M507*H1932/100</f>
        <v>6</v>
      </c>
      <c r="N1932" s="17" t="n">
        <f aca="false">'Dish Database'!N507*H1932/100</f>
        <v>0.9</v>
      </c>
      <c r="O1932" s="17" t="n">
        <f aca="false">'Dish Database'!O507*H1932/100</f>
        <v>1.5</v>
      </c>
      <c r="P1932" s="13" t="n">
        <f aca="false">'Dish Database'!P507*H1932/100</f>
        <v>180</v>
      </c>
    </row>
    <row r="1933" customFormat="false" ht="15" hidden="false" customHeight="false" outlineLevel="0" collapsed="false">
      <c r="A1933" s="6" t="str">
        <f aca="false">'Dish Database'!A507</f>
        <v>D506</v>
      </c>
      <c r="B1933" s="6" t="str">
        <f aca="false">'Dish Database'!B507</f>
        <v>Poha chivda (light)</v>
      </c>
      <c r="C1933" s="6" t="str">
        <f aca="false">'Dish Database'!D507</f>
        <v>Namkeen &amp; Dry Snacks</v>
      </c>
      <c r="D1933" s="6" t="str">
        <f aca="false">'Dish Database'!F507</f>
        <v>Veg</v>
      </c>
      <c r="E1933" s="6" t="str">
        <f aca="false">'Dish Database'!E507</f>
        <v>West</v>
      </c>
      <c r="F1933" s="6" t="s">
        <v>2246</v>
      </c>
      <c r="G1933" s="6" t="s">
        <v>2331</v>
      </c>
      <c r="H1933" s="16" t="n">
        <v>50</v>
      </c>
      <c r="I1933" s="6" t="str">
        <f aca="false">'Dish Database'!I507</f>
        <v>g</v>
      </c>
      <c r="J1933" s="13" t="n">
        <f aca="false">'Dish Database'!J507*H1933/100</f>
        <v>223</v>
      </c>
      <c r="K1933" s="17" t="n">
        <f aca="false">'Dish Database'!K507*H1933/100</f>
        <v>4</v>
      </c>
      <c r="L1933" s="17" t="n">
        <f aca="false">'Dish Database'!L507*H1933/100</f>
        <v>30</v>
      </c>
      <c r="M1933" s="17" t="n">
        <f aca="false">'Dish Database'!M507*H1933/100</f>
        <v>10</v>
      </c>
      <c r="N1933" s="17" t="n">
        <f aca="false">'Dish Database'!N507*H1933/100</f>
        <v>1.5</v>
      </c>
      <c r="O1933" s="17" t="n">
        <f aca="false">'Dish Database'!O507*H1933/100</f>
        <v>2.5</v>
      </c>
      <c r="P1933" s="13" t="n">
        <f aca="false">'Dish Database'!P507*H1933/100</f>
        <v>300</v>
      </c>
    </row>
    <row r="1934" customFormat="false" ht="15" hidden="false" customHeight="false" outlineLevel="0" collapsed="false">
      <c r="A1934" s="6" t="str">
        <f aca="false">'Dish Database'!A508</f>
        <v>D507</v>
      </c>
      <c r="B1934" s="6" t="str">
        <f aca="false">'Dish Database'!B508</f>
        <v>Sev (besan)</v>
      </c>
      <c r="C1934" s="6" t="str">
        <f aca="false">'Dish Database'!D508</f>
        <v>Namkeen &amp; Dry Snacks</v>
      </c>
      <c r="D1934" s="6" t="str">
        <f aca="false">'Dish Database'!F508</f>
        <v>Veg</v>
      </c>
      <c r="E1934" s="6" t="str">
        <f aca="false">'Dish Database'!E508</f>
        <v>West</v>
      </c>
      <c r="F1934" s="6" t="s">
        <v>2243</v>
      </c>
      <c r="G1934" s="6" t="s">
        <v>2634</v>
      </c>
      <c r="H1934" s="16" t="n">
        <v>15</v>
      </c>
      <c r="I1934" s="6" t="str">
        <f aca="false">'Dish Database'!I508</f>
        <v>g</v>
      </c>
      <c r="J1934" s="13" t="n">
        <f aca="false">'Dish Database'!J508*H1934/100</f>
        <v>78.9</v>
      </c>
      <c r="K1934" s="17" t="n">
        <f aca="false">'Dish Database'!K508*H1934/100</f>
        <v>2.1</v>
      </c>
      <c r="L1934" s="17" t="n">
        <f aca="false">'Dish Database'!L508*H1934/100</f>
        <v>6.3</v>
      </c>
      <c r="M1934" s="17" t="n">
        <f aca="false">'Dish Database'!M508*H1934/100</f>
        <v>5.25</v>
      </c>
      <c r="N1934" s="17" t="n">
        <f aca="false">'Dish Database'!N508*H1934/100</f>
        <v>0.975</v>
      </c>
      <c r="O1934" s="17" t="n">
        <f aca="false">'Dish Database'!O508*H1934/100</f>
        <v>0.15</v>
      </c>
      <c r="P1934" s="13" t="n">
        <f aca="false">'Dish Database'!P508*H1934/100</f>
        <v>105</v>
      </c>
    </row>
    <row r="1935" customFormat="false" ht="15" hidden="false" customHeight="false" outlineLevel="0" collapsed="false">
      <c r="A1935" s="6" t="str">
        <f aca="false">'Dish Database'!A508</f>
        <v>D507</v>
      </c>
      <c r="B1935" s="6" t="str">
        <f aca="false">'Dish Database'!B508</f>
        <v>Sev (besan)</v>
      </c>
      <c r="C1935" s="6" t="str">
        <f aca="false">'Dish Database'!D508</f>
        <v>Namkeen &amp; Dry Snacks</v>
      </c>
      <c r="D1935" s="6" t="str">
        <f aca="false">'Dish Database'!F508</f>
        <v>Veg</v>
      </c>
      <c r="E1935" s="6" t="str">
        <f aca="false">'Dish Database'!E508</f>
        <v>West</v>
      </c>
      <c r="F1935" s="6" t="s">
        <v>103</v>
      </c>
      <c r="G1935" s="6" t="s">
        <v>2635</v>
      </c>
      <c r="H1935" s="16" t="n">
        <v>30</v>
      </c>
      <c r="I1935" s="6" t="str">
        <f aca="false">'Dish Database'!I508</f>
        <v>g</v>
      </c>
      <c r="J1935" s="13" t="n">
        <f aca="false">'Dish Database'!J508*H1935/100</f>
        <v>157.8</v>
      </c>
      <c r="K1935" s="17" t="n">
        <f aca="false">'Dish Database'!K508*H1935/100</f>
        <v>4.2</v>
      </c>
      <c r="L1935" s="17" t="n">
        <f aca="false">'Dish Database'!L508*H1935/100</f>
        <v>12.6</v>
      </c>
      <c r="M1935" s="17" t="n">
        <f aca="false">'Dish Database'!M508*H1935/100</f>
        <v>10.5</v>
      </c>
      <c r="N1935" s="17" t="n">
        <f aca="false">'Dish Database'!N508*H1935/100</f>
        <v>1.95</v>
      </c>
      <c r="O1935" s="17" t="n">
        <f aca="false">'Dish Database'!O508*H1935/100</f>
        <v>0.3</v>
      </c>
      <c r="P1935" s="13" t="n">
        <f aca="false">'Dish Database'!P508*H1935/100</f>
        <v>210</v>
      </c>
    </row>
    <row r="1936" customFormat="false" ht="15" hidden="false" customHeight="false" outlineLevel="0" collapsed="false">
      <c r="A1936" s="6" t="str">
        <f aca="false">'Dish Database'!A508</f>
        <v>D507</v>
      </c>
      <c r="B1936" s="6" t="str">
        <f aca="false">'Dish Database'!B508</f>
        <v>Sev (besan)</v>
      </c>
      <c r="C1936" s="6" t="str">
        <f aca="false">'Dish Database'!D508</f>
        <v>Namkeen &amp; Dry Snacks</v>
      </c>
      <c r="D1936" s="6" t="str">
        <f aca="false">'Dish Database'!F508</f>
        <v>Veg</v>
      </c>
      <c r="E1936" s="6" t="str">
        <f aca="false">'Dish Database'!E508</f>
        <v>West</v>
      </c>
      <c r="F1936" s="6" t="s">
        <v>2246</v>
      </c>
      <c r="G1936" s="6" t="s">
        <v>2331</v>
      </c>
      <c r="H1936" s="16" t="n">
        <v>50</v>
      </c>
      <c r="I1936" s="6" t="str">
        <f aca="false">'Dish Database'!I508</f>
        <v>g</v>
      </c>
      <c r="J1936" s="13" t="n">
        <f aca="false">'Dish Database'!J508*H1936/100</f>
        <v>263</v>
      </c>
      <c r="K1936" s="17" t="n">
        <f aca="false">'Dish Database'!K508*H1936/100</f>
        <v>7</v>
      </c>
      <c r="L1936" s="17" t="n">
        <f aca="false">'Dish Database'!L508*H1936/100</f>
        <v>21</v>
      </c>
      <c r="M1936" s="17" t="n">
        <f aca="false">'Dish Database'!M508*H1936/100</f>
        <v>17.5</v>
      </c>
      <c r="N1936" s="17" t="n">
        <f aca="false">'Dish Database'!N508*H1936/100</f>
        <v>3.25</v>
      </c>
      <c r="O1936" s="17" t="n">
        <f aca="false">'Dish Database'!O508*H1936/100</f>
        <v>0.5</v>
      </c>
      <c r="P1936" s="13" t="n">
        <f aca="false">'Dish Database'!P508*H1936/100</f>
        <v>350</v>
      </c>
    </row>
    <row r="1937" customFormat="false" ht="15" hidden="false" customHeight="false" outlineLevel="0" collapsed="false">
      <c r="A1937" s="6" t="str">
        <f aca="false">'Dish Database'!A509</f>
        <v>D508</v>
      </c>
      <c r="B1937" s="6" t="str">
        <f aca="false">'Dish Database'!B509</f>
        <v>Mathri</v>
      </c>
      <c r="C1937" s="6" t="str">
        <f aca="false">'Dish Database'!D509</f>
        <v>Namkeen &amp; Dry Snacks</v>
      </c>
      <c r="D1937" s="6" t="str">
        <f aca="false">'Dish Database'!F509</f>
        <v>Veg</v>
      </c>
      <c r="E1937" s="6" t="str">
        <f aca="false">'Dish Database'!E509</f>
        <v>North</v>
      </c>
      <c r="F1937" s="6" t="s">
        <v>2243</v>
      </c>
      <c r="G1937" s="6" t="s">
        <v>2636</v>
      </c>
      <c r="H1937" s="16" t="n">
        <v>10</v>
      </c>
      <c r="I1937" s="6" t="str">
        <f aca="false">'Dish Database'!I509</f>
        <v>g</v>
      </c>
      <c r="J1937" s="13" t="n">
        <f aca="false">'Dish Database'!J509*H1937/100</f>
        <v>49.7</v>
      </c>
      <c r="K1937" s="17" t="n">
        <f aca="false">'Dish Database'!K509*H1937/100</f>
        <v>0.75</v>
      </c>
      <c r="L1937" s="17" t="n">
        <f aca="false">'Dish Database'!L509*H1937/100</f>
        <v>5.5</v>
      </c>
      <c r="M1937" s="17" t="n">
        <f aca="false">'Dish Database'!M509*H1937/100</f>
        <v>2.8</v>
      </c>
      <c r="N1937" s="17" t="n">
        <f aca="false">'Dish Database'!N509*H1937/100</f>
        <v>0.25</v>
      </c>
      <c r="O1937" s="17" t="n">
        <f aca="false">'Dish Database'!O509*H1937/100</f>
        <v>0.1</v>
      </c>
      <c r="P1937" s="13" t="n">
        <f aca="false">'Dish Database'!P509*H1937/100</f>
        <v>50</v>
      </c>
    </row>
    <row r="1938" customFormat="false" ht="15" hidden="false" customHeight="false" outlineLevel="0" collapsed="false">
      <c r="A1938" s="6" t="str">
        <f aca="false">'Dish Database'!A509</f>
        <v>D508</v>
      </c>
      <c r="B1938" s="6" t="str">
        <f aca="false">'Dish Database'!B509</f>
        <v>Mathri</v>
      </c>
      <c r="C1938" s="6" t="str">
        <f aca="false">'Dish Database'!D509</f>
        <v>Namkeen &amp; Dry Snacks</v>
      </c>
      <c r="D1938" s="6" t="str">
        <f aca="false">'Dish Database'!F509</f>
        <v>Veg</v>
      </c>
      <c r="E1938" s="6" t="str">
        <f aca="false">'Dish Database'!E509</f>
        <v>North</v>
      </c>
      <c r="F1938" s="6" t="s">
        <v>103</v>
      </c>
      <c r="G1938" s="6" t="s">
        <v>2637</v>
      </c>
      <c r="H1938" s="16" t="n">
        <v>15</v>
      </c>
      <c r="I1938" s="6" t="str">
        <f aca="false">'Dish Database'!I509</f>
        <v>g</v>
      </c>
      <c r="J1938" s="13" t="n">
        <f aca="false">'Dish Database'!J509*H1938/100</f>
        <v>74.55</v>
      </c>
      <c r="K1938" s="17" t="n">
        <f aca="false">'Dish Database'!K509*H1938/100</f>
        <v>1.125</v>
      </c>
      <c r="L1938" s="17" t="n">
        <f aca="false">'Dish Database'!L509*H1938/100</f>
        <v>8.25</v>
      </c>
      <c r="M1938" s="17" t="n">
        <f aca="false">'Dish Database'!M509*H1938/100</f>
        <v>4.2</v>
      </c>
      <c r="N1938" s="17" t="n">
        <f aca="false">'Dish Database'!N509*H1938/100</f>
        <v>0.375</v>
      </c>
      <c r="O1938" s="17" t="n">
        <f aca="false">'Dish Database'!O509*H1938/100</f>
        <v>0.15</v>
      </c>
      <c r="P1938" s="13" t="n">
        <f aca="false">'Dish Database'!P509*H1938/100</f>
        <v>75</v>
      </c>
    </row>
    <row r="1939" customFormat="false" ht="15" hidden="false" customHeight="false" outlineLevel="0" collapsed="false">
      <c r="A1939" s="6" t="str">
        <f aca="false">'Dish Database'!A509</f>
        <v>D508</v>
      </c>
      <c r="B1939" s="6" t="str">
        <f aca="false">'Dish Database'!B509</f>
        <v>Mathri</v>
      </c>
      <c r="C1939" s="6" t="str">
        <f aca="false">'Dish Database'!D509</f>
        <v>Namkeen &amp; Dry Snacks</v>
      </c>
      <c r="D1939" s="6" t="str">
        <f aca="false">'Dish Database'!F509</f>
        <v>Veg</v>
      </c>
      <c r="E1939" s="6" t="str">
        <f aca="false">'Dish Database'!E509</f>
        <v>North</v>
      </c>
      <c r="F1939" s="6" t="s">
        <v>2246</v>
      </c>
      <c r="G1939" s="6" t="s">
        <v>2638</v>
      </c>
      <c r="H1939" s="16" t="n">
        <v>25</v>
      </c>
      <c r="I1939" s="6" t="str">
        <f aca="false">'Dish Database'!I509</f>
        <v>g</v>
      </c>
      <c r="J1939" s="13" t="n">
        <f aca="false">'Dish Database'!J509*H1939/100</f>
        <v>124.25</v>
      </c>
      <c r="K1939" s="17" t="n">
        <f aca="false">'Dish Database'!K509*H1939/100</f>
        <v>1.875</v>
      </c>
      <c r="L1939" s="17" t="n">
        <f aca="false">'Dish Database'!L509*H1939/100</f>
        <v>13.75</v>
      </c>
      <c r="M1939" s="17" t="n">
        <f aca="false">'Dish Database'!M509*H1939/100</f>
        <v>7</v>
      </c>
      <c r="N1939" s="17" t="n">
        <f aca="false">'Dish Database'!N509*H1939/100</f>
        <v>0.625</v>
      </c>
      <c r="O1939" s="17" t="n">
        <f aca="false">'Dish Database'!O509*H1939/100</f>
        <v>0.25</v>
      </c>
      <c r="P1939" s="13" t="n">
        <f aca="false">'Dish Database'!P509*H1939/100</f>
        <v>125</v>
      </c>
    </row>
    <row r="1940" customFormat="false" ht="15" hidden="false" customHeight="false" outlineLevel="0" collapsed="false">
      <c r="A1940" s="6" t="str">
        <f aca="false">'Dish Database'!A510</f>
        <v>D509</v>
      </c>
      <c r="B1940" s="6" t="str">
        <f aca="false">'Dish Database'!B510</f>
        <v>Namak para</v>
      </c>
      <c r="C1940" s="6" t="str">
        <f aca="false">'Dish Database'!D510</f>
        <v>Namkeen &amp; Dry Snacks</v>
      </c>
      <c r="D1940" s="6" t="str">
        <f aca="false">'Dish Database'!F510</f>
        <v>Veg</v>
      </c>
      <c r="E1940" s="6" t="str">
        <f aca="false">'Dish Database'!E510</f>
        <v>North</v>
      </c>
      <c r="F1940" s="6" t="s">
        <v>2243</v>
      </c>
      <c r="G1940" s="6" t="s">
        <v>2634</v>
      </c>
      <c r="H1940" s="16" t="n">
        <v>15</v>
      </c>
      <c r="I1940" s="6" t="str">
        <f aca="false">'Dish Database'!I510</f>
        <v>g</v>
      </c>
      <c r="J1940" s="13" t="n">
        <f aca="false">'Dish Database'!J510*H1940/100</f>
        <v>72.69</v>
      </c>
      <c r="K1940" s="17" t="n">
        <f aca="false">'Dish Database'!K510*H1940/100</f>
        <v>1.2</v>
      </c>
      <c r="L1940" s="17" t="n">
        <f aca="false">'Dish Database'!L510*H1940/100</f>
        <v>8.7</v>
      </c>
      <c r="M1940" s="17" t="n">
        <f aca="false">'Dish Database'!M510*H1940/100</f>
        <v>3.75</v>
      </c>
      <c r="N1940" s="17" t="n">
        <f aca="false">'Dish Database'!N510*H1940/100</f>
        <v>0.33</v>
      </c>
      <c r="O1940" s="17" t="n">
        <f aca="false">'Dish Database'!O510*H1940/100</f>
        <v>0.15</v>
      </c>
      <c r="P1940" s="13" t="n">
        <f aca="false">'Dish Database'!P510*H1940/100</f>
        <v>75</v>
      </c>
    </row>
    <row r="1941" customFormat="false" ht="15" hidden="false" customHeight="false" outlineLevel="0" collapsed="false">
      <c r="A1941" s="6" t="str">
        <f aca="false">'Dish Database'!A510</f>
        <v>D509</v>
      </c>
      <c r="B1941" s="6" t="str">
        <f aca="false">'Dish Database'!B510</f>
        <v>Namak para</v>
      </c>
      <c r="C1941" s="6" t="str">
        <f aca="false">'Dish Database'!D510</f>
        <v>Namkeen &amp; Dry Snacks</v>
      </c>
      <c r="D1941" s="6" t="str">
        <f aca="false">'Dish Database'!F510</f>
        <v>Veg</v>
      </c>
      <c r="E1941" s="6" t="str">
        <f aca="false">'Dish Database'!E510</f>
        <v>North</v>
      </c>
      <c r="F1941" s="6" t="s">
        <v>103</v>
      </c>
      <c r="G1941" s="6" t="s">
        <v>2635</v>
      </c>
      <c r="H1941" s="16" t="n">
        <v>30</v>
      </c>
      <c r="I1941" s="6" t="str">
        <f aca="false">'Dish Database'!I510</f>
        <v>g</v>
      </c>
      <c r="J1941" s="13" t="n">
        <f aca="false">'Dish Database'!J510*H1941/100</f>
        <v>145.38</v>
      </c>
      <c r="K1941" s="17" t="n">
        <f aca="false">'Dish Database'!K510*H1941/100</f>
        <v>2.4</v>
      </c>
      <c r="L1941" s="17" t="n">
        <f aca="false">'Dish Database'!L510*H1941/100</f>
        <v>17.4</v>
      </c>
      <c r="M1941" s="17" t="n">
        <f aca="false">'Dish Database'!M510*H1941/100</f>
        <v>7.5</v>
      </c>
      <c r="N1941" s="17" t="n">
        <f aca="false">'Dish Database'!N510*H1941/100</f>
        <v>0.66</v>
      </c>
      <c r="O1941" s="17" t="n">
        <f aca="false">'Dish Database'!O510*H1941/100</f>
        <v>0.3</v>
      </c>
      <c r="P1941" s="13" t="n">
        <f aca="false">'Dish Database'!P510*H1941/100</f>
        <v>150</v>
      </c>
    </row>
    <row r="1942" customFormat="false" ht="15" hidden="false" customHeight="false" outlineLevel="0" collapsed="false">
      <c r="A1942" s="6" t="str">
        <f aca="false">'Dish Database'!A510</f>
        <v>D509</v>
      </c>
      <c r="B1942" s="6" t="str">
        <f aca="false">'Dish Database'!B510</f>
        <v>Namak para</v>
      </c>
      <c r="C1942" s="6" t="str">
        <f aca="false">'Dish Database'!D510</f>
        <v>Namkeen &amp; Dry Snacks</v>
      </c>
      <c r="D1942" s="6" t="str">
        <f aca="false">'Dish Database'!F510</f>
        <v>Veg</v>
      </c>
      <c r="E1942" s="6" t="str">
        <f aca="false">'Dish Database'!E510</f>
        <v>North</v>
      </c>
      <c r="F1942" s="6" t="s">
        <v>2246</v>
      </c>
      <c r="G1942" s="6" t="s">
        <v>2331</v>
      </c>
      <c r="H1942" s="16" t="n">
        <v>50</v>
      </c>
      <c r="I1942" s="6" t="str">
        <f aca="false">'Dish Database'!I510</f>
        <v>g</v>
      </c>
      <c r="J1942" s="13" t="n">
        <f aca="false">'Dish Database'!J510*H1942/100</f>
        <v>242.3</v>
      </c>
      <c r="K1942" s="17" t="n">
        <f aca="false">'Dish Database'!K510*H1942/100</f>
        <v>4</v>
      </c>
      <c r="L1942" s="17" t="n">
        <f aca="false">'Dish Database'!L510*H1942/100</f>
        <v>29</v>
      </c>
      <c r="M1942" s="17" t="n">
        <f aca="false">'Dish Database'!M510*H1942/100</f>
        <v>12.5</v>
      </c>
      <c r="N1942" s="17" t="n">
        <f aca="false">'Dish Database'!N510*H1942/100</f>
        <v>1.1</v>
      </c>
      <c r="O1942" s="17" t="n">
        <f aca="false">'Dish Database'!O510*H1942/100</f>
        <v>0.5</v>
      </c>
      <c r="P1942" s="13" t="n">
        <f aca="false">'Dish Database'!P510*H1942/100</f>
        <v>250</v>
      </c>
    </row>
    <row r="1943" customFormat="false" ht="15" hidden="false" customHeight="false" outlineLevel="0" collapsed="false">
      <c r="A1943" s="6" t="str">
        <f aca="false">'Dish Database'!A511</f>
        <v>D510</v>
      </c>
      <c r="B1943" s="6" t="str">
        <f aca="false">'Dish Database'!B511</f>
        <v>Chakli / murukku</v>
      </c>
      <c r="C1943" s="6" t="str">
        <f aca="false">'Dish Database'!D511</f>
        <v>Namkeen &amp; Dry Snacks</v>
      </c>
      <c r="D1943" s="6" t="str">
        <f aca="false">'Dish Database'!F511</f>
        <v>Veg</v>
      </c>
      <c r="E1943" s="6" t="str">
        <f aca="false">'Dish Database'!E511</f>
        <v>South</v>
      </c>
      <c r="F1943" s="6" t="s">
        <v>2243</v>
      </c>
      <c r="G1943" s="6" t="s">
        <v>2639</v>
      </c>
      <c r="H1943" s="16" t="n">
        <v>10</v>
      </c>
      <c r="I1943" s="6" t="str">
        <f aca="false">'Dish Database'!I511</f>
        <v>g</v>
      </c>
      <c r="J1943" s="13" t="n">
        <f aca="false">'Dish Database'!J511*H1943/100</f>
        <v>50.6</v>
      </c>
      <c r="K1943" s="17" t="n">
        <f aca="false">'Dish Database'!K511*H1943/100</f>
        <v>0.7</v>
      </c>
      <c r="L1943" s="17" t="n">
        <f aca="false">'Dish Database'!L511*H1943/100</f>
        <v>5.8</v>
      </c>
      <c r="M1943" s="17" t="n">
        <f aca="false">'Dish Database'!M511*H1943/100</f>
        <v>2.8</v>
      </c>
      <c r="N1943" s="17" t="n">
        <f aca="false">'Dish Database'!N511*H1943/100</f>
        <v>0.3</v>
      </c>
      <c r="O1943" s="17" t="n">
        <f aca="false">'Dish Database'!O511*H1943/100</f>
        <v>0.05</v>
      </c>
      <c r="P1943" s="13" t="n">
        <f aca="false">'Dish Database'!P511*H1943/100</f>
        <v>50</v>
      </c>
    </row>
    <row r="1944" customFormat="false" ht="15" hidden="false" customHeight="false" outlineLevel="0" collapsed="false">
      <c r="A1944" s="6" t="str">
        <f aca="false">'Dish Database'!A511</f>
        <v>D510</v>
      </c>
      <c r="B1944" s="6" t="str">
        <f aca="false">'Dish Database'!B511</f>
        <v>Chakli / murukku</v>
      </c>
      <c r="C1944" s="6" t="str">
        <f aca="false">'Dish Database'!D511</f>
        <v>Namkeen &amp; Dry Snacks</v>
      </c>
      <c r="D1944" s="6" t="str">
        <f aca="false">'Dish Database'!F511</f>
        <v>Veg</v>
      </c>
      <c r="E1944" s="6" t="str">
        <f aca="false">'Dish Database'!E511</f>
        <v>South</v>
      </c>
      <c r="F1944" s="6" t="s">
        <v>103</v>
      </c>
      <c r="G1944" s="6" t="s">
        <v>2640</v>
      </c>
      <c r="H1944" s="16" t="n">
        <v>15</v>
      </c>
      <c r="I1944" s="6" t="str">
        <f aca="false">'Dish Database'!I511</f>
        <v>g</v>
      </c>
      <c r="J1944" s="13" t="n">
        <f aca="false">'Dish Database'!J511*H1944/100</f>
        <v>75.9</v>
      </c>
      <c r="K1944" s="17" t="n">
        <f aca="false">'Dish Database'!K511*H1944/100</f>
        <v>1.05</v>
      </c>
      <c r="L1944" s="17" t="n">
        <f aca="false">'Dish Database'!L511*H1944/100</f>
        <v>8.7</v>
      </c>
      <c r="M1944" s="17" t="n">
        <f aca="false">'Dish Database'!M511*H1944/100</f>
        <v>4.2</v>
      </c>
      <c r="N1944" s="17" t="n">
        <f aca="false">'Dish Database'!N511*H1944/100</f>
        <v>0.45</v>
      </c>
      <c r="O1944" s="17" t="n">
        <f aca="false">'Dish Database'!O511*H1944/100</f>
        <v>0.075</v>
      </c>
      <c r="P1944" s="13" t="n">
        <f aca="false">'Dish Database'!P511*H1944/100</f>
        <v>75</v>
      </c>
    </row>
    <row r="1945" customFormat="false" ht="15" hidden="false" customHeight="false" outlineLevel="0" collapsed="false">
      <c r="A1945" s="6" t="str">
        <f aca="false">'Dish Database'!A511</f>
        <v>D510</v>
      </c>
      <c r="B1945" s="6" t="str">
        <f aca="false">'Dish Database'!B511</f>
        <v>Chakli / murukku</v>
      </c>
      <c r="C1945" s="6" t="str">
        <f aca="false">'Dish Database'!D511</f>
        <v>Namkeen &amp; Dry Snacks</v>
      </c>
      <c r="D1945" s="6" t="str">
        <f aca="false">'Dish Database'!F511</f>
        <v>Veg</v>
      </c>
      <c r="E1945" s="6" t="str">
        <f aca="false">'Dish Database'!E511</f>
        <v>South</v>
      </c>
      <c r="F1945" s="6" t="s">
        <v>2246</v>
      </c>
      <c r="G1945" s="6" t="s">
        <v>2641</v>
      </c>
      <c r="H1945" s="16" t="n">
        <v>25</v>
      </c>
      <c r="I1945" s="6" t="str">
        <f aca="false">'Dish Database'!I511</f>
        <v>g</v>
      </c>
      <c r="J1945" s="13" t="n">
        <f aca="false">'Dish Database'!J511*H1945/100</f>
        <v>126.5</v>
      </c>
      <c r="K1945" s="17" t="n">
        <f aca="false">'Dish Database'!K511*H1945/100</f>
        <v>1.75</v>
      </c>
      <c r="L1945" s="17" t="n">
        <f aca="false">'Dish Database'!L511*H1945/100</f>
        <v>14.5</v>
      </c>
      <c r="M1945" s="17" t="n">
        <f aca="false">'Dish Database'!M511*H1945/100</f>
        <v>7</v>
      </c>
      <c r="N1945" s="17" t="n">
        <f aca="false">'Dish Database'!N511*H1945/100</f>
        <v>0.75</v>
      </c>
      <c r="O1945" s="17" t="n">
        <f aca="false">'Dish Database'!O511*H1945/100</f>
        <v>0.125</v>
      </c>
      <c r="P1945" s="13" t="n">
        <f aca="false">'Dish Database'!P511*H1945/100</f>
        <v>125</v>
      </c>
    </row>
    <row r="1946" customFormat="false" ht="15" hidden="false" customHeight="false" outlineLevel="0" collapsed="false">
      <c r="A1946" s="6" t="str">
        <f aca="false">'Dish Database'!A512</f>
        <v>D511</v>
      </c>
      <c r="B1946" s="6" t="str">
        <f aca="false">'Dish Database'!B512</f>
        <v>Banana chips (Kerala)</v>
      </c>
      <c r="C1946" s="6" t="str">
        <f aca="false">'Dish Database'!D512</f>
        <v>Namkeen &amp; Dry Snacks</v>
      </c>
      <c r="D1946" s="6" t="str">
        <f aca="false">'Dish Database'!F512</f>
        <v>Veg</v>
      </c>
      <c r="E1946" s="6" t="str">
        <f aca="false">'Dish Database'!E512</f>
        <v>South</v>
      </c>
      <c r="F1946" s="6" t="s">
        <v>2243</v>
      </c>
      <c r="G1946" s="6" t="s">
        <v>2634</v>
      </c>
      <c r="H1946" s="16" t="n">
        <v>15</v>
      </c>
      <c r="I1946" s="6" t="str">
        <f aca="false">'Dish Database'!I512</f>
        <v>g</v>
      </c>
      <c r="J1946" s="13" t="n">
        <f aca="false">'Dish Database'!J512*H1946/100</f>
        <v>79.77</v>
      </c>
      <c r="K1946" s="17" t="n">
        <f aca="false">'Dish Database'!K512*H1946/100</f>
        <v>0.345</v>
      </c>
      <c r="L1946" s="17" t="n">
        <f aca="false">'Dish Database'!L512*H1946/100</f>
        <v>8.7</v>
      </c>
      <c r="M1946" s="17" t="n">
        <f aca="false">'Dish Database'!M512*H1946/100</f>
        <v>5.1</v>
      </c>
      <c r="N1946" s="17" t="n">
        <f aca="false">'Dish Database'!N512*H1946/100</f>
        <v>1.155</v>
      </c>
      <c r="O1946" s="17" t="n">
        <f aca="false">'Dish Database'!O512*H1946/100</f>
        <v>0.525</v>
      </c>
      <c r="P1946" s="13" t="n">
        <f aca="false">'Dish Database'!P512*H1946/100</f>
        <v>45</v>
      </c>
    </row>
    <row r="1947" customFormat="false" ht="15" hidden="false" customHeight="false" outlineLevel="0" collapsed="false">
      <c r="A1947" s="6" t="str">
        <f aca="false">'Dish Database'!A512</f>
        <v>D511</v>
      </c>
      <c r="B1947" s="6" t="str">
        <f aca="false">'Dish Database'!B512</f>
        <v>Banana chips (Kerala)</v>
      </c>
      <c r="C1947" s="6" t="str">
        <f aca="false">'Dish Database'!D512</f>
        <v>Namkeen &amp; Dry Snacks</v>
      </c>
      <c r="D1947" s="6" t="str">
        <f aca="false">'Dish Database'!F512</f>
        <v>Veg</v>
      </c>
      <c r="E1947" s="6" t="str">
        <f aca="false">'Dish Database'!E512</f>
        <v>South</v>
      </c>
      <c r="F1947" s="6" t="s">
        <v>103</v>
      </c>
      <c r="G1947" s="6" t="s">
        <v>2635</v>
      </c>
      <c r="H1947" s="16" t="n">
        <v>30</v>
      </c>
      <c r="I1947" s="6" t="str">
        <f aca="false">'Dish Database'!I512</f>
        <v>g</v>
      </c>
      <c r="J1947" s="13" t="n">
        <f aca="false">'Dish Database'!J512*H1947/100</f>
        <v>159.54</v>
      </c>
      <c r="K1947" s="17" t="n">
        <f aca="false">'Dish Database'!K512*H1947/100</f>
        <v>0.69</v>
      </c>
      <c r="L1947" s="17" t="n">
        <f aca="false">'Dish Database'!L512*H1947/100</f>
        <v>17.4</v>
      </c>
      <c r="M1947" s="17" t="n">
        <f aca="false">'Dish Database'!M512*H1947/100</f>
        <v>10.2</v>
      </c>
      <c r="N1947" s="17" t="n">
        <f aca="false">'Dish Database'!N512*H1947/100</f>
        <v>2.31</v>
      </c>
      <c r="O1947" s="17" t="n">
        <f aca="false">'Dish Database'!O512*H1947/100</f>
        <v>1.05</v>
      </c>
      <c r="P1947" s="13" t="n">
        <f aca="false">'Dish Database'!P512*H1947/100</f>
        <v>90</v>
      </c>
    </row>
    <row r="1948" customFormat="false" ht="15" hidden="false" customHeight="false" outlineLevel="0" collapsed="false">
      <c r="A1948" s="6" t="str">
        <f aca="false">'Dish Database'!A512</f>
        <v>D511</v>
      </c>
      <c r="B1948" s="6" t="str">
        <f aca="false">'Dish Database'!B512</f>
        <v>Banana chips (Kerala)</v>
      </c>
      <c r="C1948" s="6" t="str">
        <f aca="false">'Dish Database'!D512</f>
        <v>Namkeen &amp; Dry Snacks</v>
      </c>
      <c r="D1948" s="6" t="str">
        <f aca="false">'Dish Database'!F512</f>
        <v>Veg</v>
      </c>
      <c r="E1948" s="6" t="str">
        <f aca="false">'Dish Database'!E512</f>
        <v>South</v>
      </c>
      <c r="F1948" s="6" t="s">
        <v>2246</v>
      </c>
      <c r="G1948" s="6" t="s">
        <v>2331</v>
      </c>
      <c r="H1948" s="16" t="n">
        <v>50</v>
      </c>
      <c r="I1948" s="6" t="str">
        <f aca="false">'Dish Database'!I512</f>
        <v>g</v>
      </c>
      <c r="J1948" s="13" t="n">
        <f aca="false">'Dish Database'!J512*H1948/100</f>
        <v>265.9</v>
      </c>
      <c r="K1948" s="17" t="n">
        <f aca="false">'Dish Database'!K512*H1948/100</f>
        <v>1.15</v>
      </c>
      <c r="L1948" s="17" t="n">
        <f aca="false">'Dish Database'!L512*H1948/100</f>
        <v>29</v>
      </c>
      <c r="M1948" s="17" t="n">
        <f aca="false">'Dish Database'!M512*H1948/100</f>
        <v>17</v>
      </c>
      <c r="N1948" s="17" t="n">
        <f aca="false">'Dish Database'!N512*H1948/100</f>
        <v>3.85</v>
      </c>
      <c r="O1948" s="17" t="n">
        <f aca="false">'Dish Database'!O512*H1948/100</f>
        <v>1.75</v>
      </c>
      <c r="P1948" s="13" t="n">
        <f aca="false">'Dish Database'!P512*H1948/100</f>
        <v>150</v>
      </c>
    </row>
    <row r="1949" customFormat="false" ht="15" hidden="false" customHeight="false" outlineLevel="0" collapsed="false">
      <c r="A1949" s="6" t="str">
        <f aca="false">'Dish Database'!A513</f>
        <v>D512</v>
      </c>
      <c r="B1949" s="6" t="str">
        <f aca="false">'Dish Database'!B513</f>
        <v>Roasted chana (bhuna chana)</v>
      </c>
      <c r="C1949" s="6" t="str">
        <f aca="false">'Dish Database'!D513</f>
        <v>Namkeen &amp; Dry Snacks</v>
      </c>
      <c r="D1949" s="6" t="str">
        <f aca="false">'Dish Database'!F513</f>
        <v>Veg</v>
      </c>
      <c r="E1949" s="6" t="str">
        <f aca="false">'Dish Database'!E513</f>
        <v>Pan-India</v>
      </c>
      <c r="F1949" s="6" t="s">
        <v>2243</v>
      </c>
      <c r="G1949" s="6" t="s">
        <v>2634</v>
      </c>
      <c r="H1949" s="16" t="n">
        <v>15</v>
      </c>
      <c r="I1949" s="6" t="str">
        <f aca="false">'Dish Database'!I513</f>
        <v>g</v>
      </c>
      <c r="J1949" s="13" t="n">
        <f aca="false">'Dish Database'!J513*H1949/100</f>
        <v>50.925</v>
      </c>
      <c r="K1949" s="17" t="n">
        <f aca="false">'Dish Database'!K513*H1949/100</f>
        <v>3</v>
      </c>
      <c r="L1949" s="17" t="n">
        <f aca="false">'Dish Database'!L513*H1949/100</f>
        <v>9</v>
      </c>
      <c r="M1949" s="17" t="n">
        <f aca="false">'Dish Database'!M513*H1949/100</f>
        <v>0.825</v>
      </c>
      <c r="N1949" s="17" t="n">
        <f aca="false">'Dish Database'!N513*H1949/100</f>
        <v>2.25</v>
      </c>
      <c r="O1949" s="17" t="n">
        <f aca="false">'Dish Database'!O513*H1949/100</f>
        <v>0.9</v>
      </c>
      <c r="P1949" s="13" t="n">
        <f aca="false">'Dish Database'!P513*H1949/100</f>
        <v>4.5</v>
      </c>
    </row>
    <row r="1950" customFormat="false" ht="15" hidden="false" customHeight="false" outlineLevel="0" collapsed="false">
      <c r="A1950" s="6" t="str">
        <f aca="false">'Dish Database'!A513</f>
        <v>D512</v>
      </c>
      <c r="B1950" s="6" t="str">
        <f aca="false">'Dish Database'!B513</f>
        <v>Roasted chana (bhuna chana)</v>
      </c>
      <c r="C1950" s="6" t="str">
        <f aca="false">'Dish Database'!D513</f>
        <v>Namkeen &amp; Dry Snacks</v>
      </c>
      <c r="D1950" s="6" t="str">
        <f aca="false">'Dish Database'!F513</f>
        <v>Veg</v>
      </c>
      <c r="E1950" s="6" t="str">
        <f aca="false">'Dish Database'!E513</f>
        <v>Pan-India</v>
      </c>
      <c r="F1950" s="6" t="s">
        <v>103</v>
      </c>
      <c r="G1950" s="6" t="s">
        <v>2642</v>
      </c>
      <c r="H1950" s="16" t="n">
        <v>30</v>
      </c>
      <c r="I1950" s="6" t="str">
        <f aca="false">'Dish Database'!I513</f>
        <v>g</v>
      </c>
      <c r="J1950" s="13" t="n">
        <f aca="false">'Dish Database'!J513*H1950/100</f>
        <v>101.85</v>
      </c>
      <c r="K1950" s="17" t="n">
        <f aca="false">'Dish Database'!K513*H1950/100</f>
        <v>6</v>
      </c>
      <c r="L1950" s="17" t="n">
        <f aca="false">'Dish Database'!L513*H1950/100</f>
        <v>18</v>
      </c>
      <c r="M1950" s="17" t="n">
        <f aca="false">'Dish Database'!M513*H1950/100</f>
        <v>1.65</v>
      </c>
      <c r="N1950" s="17" t="n">
        <f aca="false">'Dish Database'!N513*H1950/100</f>
        <v>4.5</v>
      </c>
      <c r="O1950" s="17" t="n">
        <f aca="false">'Dish Database'!O513*H1950/100</f>
        <v>1.8</v>
      </c>
      <c r="P1950" s="13" t="n">
        <f aca="false">'Dish Database'!P513*H1950/100</f>
        <v>9</v>
      </c>
    </row>
    <row r="1951" customFormat="false" ht="15" hidden="false" customHeight="false" outlineLevel="0" collapsed="false">
      <c r="A1951" s="6" t="str">
        <f aca="false">'Dish Database'!A513</f>
        <v>D512</v>
      </c>
      <c r="B1951" s="6" t="str">
        <f aca="false">'Dish Database'!B513</f>
        <v>Roasted chana (bhuna chana)</v>
      </c>
      <c r="C1951" s="6" t="str">
        <f aca="false">'Dish Database'!D513</f>
        <v>Namkeen &amp; Dry Snacks</v>
      </c>
      <c r="D1951" s="6" t="str">
        <f aca="false">'Dish Database'!F513</f>
        <v>Veg</v>
      </c>
      <c r="E1951" s="6" t="str">
        <f aca="false">'Dish Database'!E513</f>
        <v>Pan-India</v>
      </c>
      <c r="F1951" s="6" t="s">
        <v>2246</v>
      </c>
      <c r="G1951" s="6" t="s">
        <v>2643</v>
      </c>
      <c r="H1951" s="16" t="n">
        <v>50</v>
      </c>
      <c r="I1951" s="6" t="str">
        <f aca="false">'Dish Database'!I513</f>
        <v>g</v>
      </c>
      <c r="J1951" s="13" t="n">
        <f aca="false">'Dish Database'!J513*H1951/100</f>
        <v>169.75</v>
      </c>
      <c r="K1951" s="17" t="n">
        <f aca="false">'Dish Database'!K513*H1951/100</f>
        <v>10</v>
      </c>
      <c r="L1951" s="17" t="n">
        <f aca="false">'Dish Database'!L513*H1951/100</f>
        <v>30</v>
      </c>
      <c r="M1951" s="17" t="n">
        <f aca="false">'Dish Database'!M513*H1951/100</f>
        <v>2.75</v>
      </c>
      <c r="N1951" s="17" t="n">
        <f aca="false">'Dish Database'!N513*H1951/100</f>
        <v>7.5</v>
      </c>
      <c r="O1951" s="17" t="n">
        <f aca="false">'Dish Database'!O513*H1951/100</f>
        <v>3</v>
      </c>
      <c r="P1951" s="13" t="n">
        <f aca="false">'Dish Database'!P513*H1951/100</f>
        <v>15</v>
      </c>
    </row>
    <row r="1952" customFormat="false" ht="15" hidden="false" customHeight="false" outlineLevel="0" collapsed="false">
      <c r="A1952" s="6" t="str">
        <f aca="false">'Dish Database'!A514</f>
        <v>D513</v>
      </c>
      <c r="B1952" s="6" t="str">
        <f aca="false">'Dish Database'!B514</f>
        <v>Roasted makhana (lightly salted, ghee)</v>
      </c>
      <c r="C1952" s="6" t="str">
        <f aca="false">'Dish Database'!D514</f>
        <v>Namkeen &amp; Dry Snacks</v>
      </c>
      <c r="D1952" s="6" t="str">
        <f aca="false">'Dish Database'!F514</f>
        <v>Veg</v>
      </c>
      <c r="E1952" s="6" t="str">
        <f aca="false">'Dish Database'!E514</f>
        <v>Pan-India</v>
      </c>
      <c r="F1952" s="6" t="s">
        <v>2243</v>
      </c>
      <c r="G1952" s="6" t="s">
        <v>2644</v>
      </c>
      <c r="H1952" s="16" t="n">
        <v>10</v>
      </c>
      <c r="I1952" s="6" t="str">
        <f aca="false">'Dish Database'!I514</f>
        <v>g</v>
      </c>
      <c r="J1952" s="13" t="n">
        <f aca="false">'Dish Database'!J514*H1952/100</f>
        <v>36.6</v>
      </c>
      <c r="K1952" s="17" t="n">
        <f aca="false">'Dish Database'!K514*H1952/100</f>
        <v>0.95</v>
      </c>
      <c r="L1952" s="17" t="n">
        <f aca="false">'Dish Database'!L514*H1952/100</f>
        <v>7.2</v>
      </c>
      <c r="M1952" s="17" t="n">
        <f aca="false">'Dish Database'!M514*H1952/100</f>
        <v>0.6</v>
      </c>
      <c r="N1952" s="17" t="n">
        <f aca="false">'Dish Database'!N514*H1952/100</f>
        <v>0.7</v>
      </c>
      <c r="O1952" s="17" t="n">
        <f aca="false">'Dish Database'!O514*H1952/100</f>
        <v>0.05</v>
      </c>
      <c r="P1952" s="13" t="n">
        <f aca="false">'Dish Database'!P514*H1952/100</f>
        <v>30</v>
      </c>
    </row>
    <row r="1953" customFormat="false" ht="15" hidden="false" customHeight="false" outlineLevel="0" collapsed="false">
      <c r="A1953" s="6" t="str">
        <f aca="false">'Dish Database'!A514</f>
        <v>D513</v>
      </c>
      <c r="B1953" s="6" t="str">
        <f aca="false">'Dish Database'!B514</f>
        <v>Roasted makhana (lightly salted, ghee)</v>
      </c>
      <c r="C1953" s="6" t="str">
        <f aca="false">'Dish Database'!D514</f>
        <v>Namkeen &amp; Dry Snacks</v>
      </c>
      <c r="D1953" s="6" t="str">
        <f aca="false">'Dish Database'!F514</f>
        <v>Veg</v>
      </c>
      <c r="E1953" s="6" t="str">
        <f aca="false">'Dish Database'!E514</f>
        <v>Pan-India</v>
      </c>
      <c r="F1953" s="6" t="s">
        <v>103</v>
      </c>
      <c r="G1953" s="6" t="s">
        <v>2645</v>
      </c>
      <c r="H1953" s="16" t="n">
        <v>20</v>
      </c>
      <c r="I1953" s="6" t="str">
        <f aca="false">'Dish Database'!I514</f>
        <v>g</v>
      </c>
      <c r="J1953" s="13" t="n">
        <f aca="false">'Dish Database'!J514*H1953/100</f>
        <v>73.2</v>
      </c>
      <c r="K1953" s="17" t="n">
        <f aca="false">'Dish Database'!K514*H1953/100</f>
        <v>1.9</v>
      </c>
      <c r="L1953" s="17" t="n">
        <f aca="false">'Dish Database'!L514*H1953/100</f>
        <v>14.4</v>
      </c>
      <c r="M1953" s="17" t="n">
        <f aca="false">'Dish Database'!M514*H1953/100</f>
        <v>1.2</v>
      </c>
      <c r="N1953" s="17" t="n">
        <f aca="false">'Dish Database'!N514*H1953/100</f>
        <v>1.4</v>
      </c>
      <c r="O1953" s="17" t="n">
        <f aca="false">'Dish Database'!O514*H1953/100</f>
        <v>0.1</v>
      </c>
      <c r="P1953" s="13" t="n">
        <f aca="false">'Dish Database'!P514*H1953/100</f>
        <v>60</v>
      </c>
    </row>
    <row r="1954" customFormat="false" ht="15" hidden="false" customHeight="false" outlineLevel="0" collapsed="false">
      <c r="A1954" s="6" t="str">
        <f aca="false">'Dish Database'!A514</f>
        <v>D513</v>
      </c>
      <c r="B1954" s="6" t="str">
        <f aca="false">'Dish Database'!B514</f>
        <v>Roasted makhana (lightly salted, ghee)</v>
      </c>
      <c r="C1954" s="6" t="str">
        <f aca="false">'Dish Database'!D514</f>
        <v>Namkeen &amp; Dry Snacks</v>
      </c>
      <c r="D1954" s="6" t="str">
        <f aca="false">'Dish Database'!F514</f>
        <v>Veg</v>
      </c>
      <c r="E1954" s="6" t="str">
        <f aca="false">'Dish Database'!E514</f>
        <v>Pan-India</v>
      </c>
      <c r="F1954" s="6" t="s">
        <v>2246</v>
      </c>
      <c r="G1954" s="6" t="s">
        <v>2646</v>
      </c>
      <c r="H1954" s="16" t="n">
        <v>30</v>
      </c>
      <c r="I1954" s="6" t="str">
        <f aca="false">'Dish Database'!I514</f>
        <v>g</v>
      </c>
      <c r="J1954" s="13" t="n">
        <f aca="false">'Dish Database'!J514*H1954/100</f>
        <v>109.8</v>
      </c>
      <c r="K1954" s="17" t="n">
        <f aca="false">'Dish Database'!K514*H1954/100</f>
        <v>2.85</v>
      </c>
      <c r="L1954" s="17" t="n">
        <f aca="false">'Dish Database'!L514*H1954/100</f>
        <v>21.6</v>
      </c>
      <c r="M1954" s="17" t="n">
        <f aca="false">'Dish Database'!M514*H1954/100</f>
        <v>1.8</v>
      </c>
      <c r="N1954" s="17" t="n">
        <f aca="false">'Dish Database'!N514*H1954/100</f>
        <v>2.1</v>
      </c>
      <c r="O1954" s="17" t="n">
        <f aca="false">'Dish Database'!O514*H1954/100</f>
        <v>0.15</v>
      </c>
      <c r="P1954" s="13" t="n">
        <f aca="false">'Dish Database'!P514*H1954/100</f>
        <v>90</v>
      </c>
    </row>
    <row r="1955" customFormat="false" ht="15" hidden="false" customHeight="false" outlineLevel="0" collapsed="false">
      <c r="A1955" s="6" t="str">
        <f aca="false">'Dish Database'!A515</f>
        <v>D514</v>
      </c>
      <c r="B1955" s="6" t="str">
        <f aca="false">'Dish Database'!B515</f>
        <v>Roasted peanuts (salted)</v>
      </c>
      <c r="C1955" s="6" t="str">
        <f aca="false">'Dish Database'!D515</f>
        <v>Namkeen &amp; Dry Snacks</v>
      </c>
      <c r="D1955" s="6" t="str">
        <f aca="false">'Dish Database'!F515</f>
        <v>Veg</v>
      </c>
      <c r="E1955" s="6" t="str">
        <f aca="false">'Dish Database'!E515</f>
        <v>Pan-India</v>
      </c>
      <c r="F1955" s="6" t="s">
        <v>2243</v>
      </c>
      <c r="G1955" s="6" t="s">
        <v>2634</v>
      </c>
      <c r="H1955" s="16" t="n">
        <v>15</v>
      </c>
      <c r="I1955" s="6" t="str">
        <f aca="false">'Dish Database'!I515</f>
        <v>g</v>
      </c>
      <c r="J1955" s="13" t="n">
        <f aca="false">'Dish Database'!J515*H1955/100</f>
        <v>89.85</v>
      </c>
      <c r="K1955" s="17" t="n">
        <f aca="false">'Dish Database'!K515*H1955/100</f>
        <v>3.75</v>
      </c>
      <c r="L1955" s="17" t="n">
        <f aca="false">'Dish Database'!L515*H1955/100</f>
        <v>3.15</v>
      </c>
      <c r="M1955" s="17" t="n">
        <f aca="false">'Dish Database'!M515*H1955/100</f>
        <v>7.2</v>
      </c>
      <c r="N1955" s="17" t="n">
        <f aca="false">'Dish Database'!N515*H1955/100</f>
        <v>1.275</v>
      </c>
      <c r="O1955" s="17" t="n">
        <f aca="false">'Dish Database'!O515*H1955/100</f>
        <v>0.6</v>
      </c>
      <c r="P1955" s="13" t="n">
        <f aca="false">'Dish Database'!P515*H1955/100</f>
        <v>45</v>
      </c>
    </row>
    <row r="1956" customFormat="false" ht="15" hidden="false" customHeight="false" outlineLevel="0" collapsed="false">
      <c r="A1956" s="6" t="str">
        <f aca="false">'Dish Database'!A515</f>
        <v>D514</v>
      </c>
      <c r="B1956" s="6" t="str">
        <f aca="false">'Dish Database'!B515</f>
        <v>Roasted peanuts (salted)</v>
      </c>
      <c r="C1956" s="6" t="str">
        <f aca="false">'Dish Database'!D515</f>
        <v>Namkeen &amp; Dry Snacks</v>
      </c>
      <c r="D1956" s="6" t="str">
        <f aca="false">'Dish Database'!F515</f>
        <v>Veg</v>
      </c>
      <c r="E1956" s="6" t="str">
        <f aca="false">'Dish Database'!E515</f>
        <v>Pan-India</v>
      </c>
      <c r="F1956" s="6" t="s">
        <v>103</v>
      </c>
      <c r="G1956" s="6" t="s">
        <v>2642</v>
      </c>
      <c r="H1956" s="16" t="n">
        <v>30</v>
      </c>
      <c r="I1956" s="6" t="str">
        <f aca="false">'Dish Database'!I515</f>
        <v>g</v>
      </c>
      <c r="J1956" s="13" t="n">
        <f aca="false">'Dish Database'!J515*H1956/100</f>
        <v>179.7</v>
      </c>
      <c r="K1956" s="17" t="n">
        <f aca="false">'Dish Database'!K515*H1956/100</f>
        <v>7.5</v>
      </c>
      <c r="L1956" s="17" t="n">
        <f aca="false">'Dish Database'!L515*H1956/100</f>
        <v>6.3</v>
      </c>
      <c r="M1956" s="17" t="n">
        <f aca="false">'Dish Database'!M515*H1956/100</f>
        <v>14.4</v>
      </c>
      <c r="N1956" s="17" t="n">
        <f aca="false">'Dish Database'!N515*H1956/100</f>
        <v>2.55</v>
      </c>
      <c r="O1956" s="17" t="n">
        <f aca="false">'Dish Database'!O515*H1956/100</f>
        <v>1.2</v>
      </c>
      <c r="P1956" s="13" t="n">
        <f aca="false">'Dish Database'!P515*H1956/100</f>
        <v>90</v>
      </c>
    </row>
    <row r="1957" customFormat="false" ht="15" hidden="false" customHeight="false" outlineLevel="0" collapsed="false">
      <c r="A1957" s="6" t="str">
        <f aca="false">'Dish Database'!A515</f>
        <v>D514</v>
      </c>
      <c r="B1957" s="6" t="str">
        <f aca="false">'Dish Database'!B515</f>
        <v>Roasted peanuts (salted)</v>
      </c>
      <c r="C1957" s="6" t="str">
        <f aca="false">'Dish Database'!D515</f>
        <v>Namkeen &amp; Dry Snacks</v>
      </c>
      <c r="D1957" s="6" t="str">
        <f aca="false">'Dish Database'!F515</f>
        <v>Veg</v>
      </c>
      <c r="E1957" s="6" t="str">
        <f aca="false">'Dish Database'!E515</f>
        <v>Pan-India</v>
      </c>
      <c r="F1957" s="6" t="s">
        <v>2246</v>
      </c>
      <c r="G1957" s="6" t="s">
        <v>2643</v>
      </c>
      <c r="H1957" s="16" t="n">
        <v>50</v>
      </c>
      <c r="I1957" s="6" t="str">
        <f aca="false">'Dish Database'!I515</f>
        <v>g</v>
      </c>
      <c r="J1957" s="13" t="n">
        <f aca="false">'Dish Database'!J515*H1957/100</f>
        <v>299.5</v>
      </c>
      <c r="K1957" s="17" t="n">
        <f aca="false">'Dish Database'!K515*H1957/100</f>
        <v>12.5</v>
      </c>
      <c r="L1957" s="17" t="n">
        <f aca="false">'Dish Database'!L515*H1957/100</f>
        <v>10.5</v>
      </c>
      <c r="M1957" s="17" t="n">
        <f aca="false">'Dish Database'!M515*H1957/100</f>
        <v>24</v>
      </c>
      <c r="N1957" s="17" t="n">
        <f aca="false">'Dish Database'!N515*H1957/100</f>
        <v>4.25</v>
      </c>
      <c r="O1957" s="17" t="n">
        <f aca="false">'Dish Database'!O515*H1957/100</f>
        <v>2</v>
      </c>
      <c r="P1957" s="13" t="n">
        <f aca="false">'Dish Database'!P515*H1957/100</f>
        <v>150</v>
      </c>
    </row>
    <row r="1958" customFormat="false" ht="15" hidden="false" customHeight="false" outlineLevel="0" collapsed="false">
      <c r="A1958" s="6" t="str">
        <f aca="false">'Dish Database'!A516</f>
        <v>D515</v>
      </c>
      <c r="B1958" s="6" t="str">
        <f aca="false">'Dish Database'!B516</f>
        <v>Chana jor garam</v>
      </c>
      <c r="C1958" s="6" t="str">
        <f aca="false">'Dish Database'!D516</f>
        <v>Namkeen &amp; Dry Snacks</v>
      </c>
      <c r="D1958" s="6" t="str">
        <f aca="false">'Dish Database'!F516</f>
        <v>Veg</v>
      </c>
      <c r="E1958" s="6" t="str">
        <f aca="false">'Dish Database'!E516</f>
        <v>North</v>
      </c>
      <c r="F1958" s="6" t="s">
        <v>2243</v>
      </c>
      <c r="G1958" s="6" t="s">
        <v>2634</v>
      </c>
      <c r="H1958" s="16" t="n">
        <v>15</v>
      </c>
      <c r="I1958" s="6" t="str">
        <f aca="false">'Dish Database'!I516</f>
        <v>g</v>
      </c>
      <c r="J1958" s="13" t="n">
        <f aca="false">'Dish Database'!J516*H1958/100</f>
        <v>57.45</v>
      </c>
      <c r="K1958" s="17" t="n">
        <f aca="false">'Dish Database'!K516*H1958/100</f>
        <v>2.7</v>
      </c>
      <c r="L1958" s="17" t="n">
        <f aca="false">'Dish Database'!L516*H1958/100</f>
        <v>7.5</v>
      </c>
      <c r="M1958" s="17" t="n">
        <f aca="false">'Dish Database'!M516*H1958/100</f>
        <v>2.25</v>
      </c>
      <c r="N1958" s="17" t="n">
        <f aca="false">'Dish Database'!N516*H1958/100</f>
        <v>1.8</v>
      </c>
      <c r="O1958" s="17" t="n">
        <f aca="false">'Dish Database'!O516*H1958/100</f>
        <v>0.3</v>
      </c>
      <c r="P1958" s="13" t="n">
        <f aca="false">'Dish Database'!P516*H1958/100</f>
        <v>90</v>
      </c>
    </row>
    <row r="1959" customFormat="false" ht="15" hidden="false" customHeight="false" outlineLevel="0" collapsed="false">
      <c r="A1959" s="6" t="str">
        <f aca="false">'Dish Database'!A516</f>
        <v>D515</v>
      </c>
      <c r="B1959" s="6" t="str">
        <f aca="false">'Dish Database'!B516</f>
        <v>Chana jor garam</v>
      </c>
      <c r="C1959" s="6" t="str">
        <f aca="false">'Dish Database'!D516</f>
        <v>Namkeen &amp; Dry Snacks</v>
      </c>
      <c r="D1959" s="6" t="str">
        <f aca="false">'Dish Database'!F516</f>
        <v>Veg</v>
      </c>
      <c r="E1959" s="6" t="str">
        <f aca="false">'Dish Database'!E516</f>
        <v>North</v>
      </c>
      <c r="F1959" s="6" t="s">
        <v>103</v>
      </c>
      <c r="G1959" s="6" t="s">
        <v>2642</v>
      </c>
      <c r="H1959" s="16" t="n">
        <v>30</v>
      </c>
      <c r="I1959" s="6" t="str">
        <f aca="false">'Dish Database'!I516</f>
        <v>g</v>
      </c>
      <c r="J1959" s="13" t="n">
        <f aca="false">'Dish Database'!J516*H1959/100</f>
        <v>114.9</v>
      </c>
      <c r="K1959" s="17" t="n">
        <f aca="false">'Dish Database'!K516*H1959/100</f>
        <v>5.4</v>
      </c>
      <c r="L1959" s="17" t="n">
        <f aca="false">'Dish Database'!L516*H1959/100</f>
        <v>15</v>
      </c>
      <c r="M1959" s="17" t="n">
        <f aca="false">'Dish Database'!M516*H1959/100</f>
        <v>4.5</v>
      </c>
      <c r="N1959" s="17" t="n">
        <f aca="false">'Dish Database'!N516*H1959/100</f>
        <v>3.6</v>
      </c>
      <c r="O1959" s="17" t="n">
        <f aca="false">'Dish Database'!O516*H1959/100</f>
        <v>0.6</v>
      </c>
      <c r="P1959" s="13" t="n">
        <f aca="false">'Dish Database'!P516*H1959/100</f>
        <v>180</v>
      </c>
    </row>
    <row r="1960" customFormat="false" ht="15" hidden="false" customHeight="false" outlineLevel="0" collapsed="false">
      <c r="A1960" s="6" t="str">
        <f aca="false">'Dish Database'!A516</f>
        <v>D515</v>
      </c>
      <c r="B1960" s="6" t="str">
        <f aca="false">'Dish Database'!B516</f>
        <v>Chana jor garam</v>
      </c>
      <c r="C1960" s="6" t="str">
        <f aca="false">'Dish Database'!D516</f>
        <v>Namkeen &amp; Dry Snacks</v>
      </c>
      <c r="D1960" s="6" t="str">
        <f aca="false">'Dish Database'!F516</f>
        <v>Veg</v>
      </c>
      <c r="E1960" s="6" t="str">
        <f aca="false">'Dish Database'!E516</f>
        <v>North</v>
      </c>
      <c r="F1960" s="6" t="s">
        <v>2246</v>
      </c>
      <c r="G1960" s="6" t="s">
        <v>2643</v>
      </c>
      <c r="H1960" s="16" t="n">
        <v>50</v>
      </c>
      <c r="I1960" s="6" t="str">
        <f aca="false">'Dish Database'!I516</f>
        <v>g</v>
      </c>
      <c r="J1960" s="13" t="n">
        <f aca="false">'Dish Database'!J516*H1960/100</f>
        <v>191.5</v>
      </c>
      <c r="K1960" s="17" t="n">
        <f aca="false">'Dish Database'!K516*H1960/100</f>
        <v>9</v>
      </c>
      <c r="L1960" s="17" t="n">
        <f aca="false">'Dish Database'!L516*H1960/100</f>
        <v>25</v>
      </c>
      <c r="M1960" s="17" t="n">
        <f aca="false">'Dish Database'!M516*H1960/100</f>
        <v>7.5</v>
      </c>
      <c r="N1960" s="17" t="n">
        <f aca="false">'Dish Database'!N516*H1960/100</f>
        <v>6</v>
      </c>
      <c r="O1960" s="17" t="n">
        <f aca="false">'Dish Database'!O516*H1960/100</f>
        <v>1</v>
      </c>
      <c r="P1960" s="13" t="n">
        <f aca="false">'Dish Database'!P516*H1960/100</f>
        <v>300</v>
      </c>
    </row>
    <row r="1961" customFormat="false" ht="15" hidden="false" customHeight="false" outlineLevel="0" collapsed="false">
      <c r="A1961" s="6" t="str">
        <f aca="false">'Dish Database'!A517</f>
        <v>D516</v>
      </c>
      <c r="B1961" s="6" t="str">
        <f aca="false">'Dish Database'!B517</f>
        <v>Murmura (puffed rice, plain)</v>
      </c>
      <c r="C1961" s="6" t="str">
        <f aca="false">'Dish Database'!D517</f>
        <v>Namkeen &amp; Dry Snacks</v>
      </c>
      <c r="D1961" s="6" t="str">
        <f aca="false">'Dish Database'!F517</f>
        <v>Veg</v>
      </c>
      <c r="E1961" s="6" t="str">
        <f aca="false">'Dish Database'!E517</f>
        <v>Pan-India</v>
      </c>
      <c r="F1961" s="6" t="s">
        <v>2243</v>
      </c>
      <c r="G1961" s="6" t="s">
        <v>2634</v>
      </c>
      <c r="H1961" s="16" t="n">
        <v>15</v>
      </c>
      <c r="I1961" s="6" t="str">
        <f aca="false">'Dish Database'!I517</f>
        <v>g</v>
      </c>
      <c r="J1961" s="13" t="n">
        <f aca="false">'Dish Database'!J517*H1961/100</f>
        <v>51.225</v>
      </c>
      <c r="K1961" s="17" t="n">
        <f aca="false">'Dish Database'!K517*H1961/100</f>
        <v>1.05</v>
      </c>
      <c r="L1961" s="17" t="n">
        <f aca="false">'Dish Database'!L517*H1961/100</f>
        <v>11.7</v>
      </c>
      <c r="M1961" s="17" t="n">
        <f aca="false">'Dish Database'!M517*H1961/100</f>
        <v>0.075</v>
      </c>
      <c r="N1961" s="17" t="n">
        <f aca="false">'Dish Database'!N517*H1961/100</f>
        <v>0.225</v>
      </c>
      <c r="O1961" s="17" t="n">
        <f aca="false">'Dish Database'!O517*H1961/100</f>
        <v>0.03</v>
      </c>
      <c r="P1961" s="13" t="n">
        <f aca="false">'Dish Database'!P517*H1961/100</f>
        <v>0.75</v>
      </c>
    </row>
    <row r="1962" customFormat="false" ht="15" hidden="false" customHeight="false" outlineLevel="0" collapsed="false">
      <c r="A1962" s="6" t="str">
        <f aca="false">'Dish Database'!A517</f>
        <v>D516</v>
      </c>
      <c r="B1962" s="6" t="str">
        <f aca="false">'Dish Database'!B517</f>
        <v>Murmura (puffed rice, plain)</v>
      </c>
      <c r="C1962" s="6" t="str">
        <f aca="false">'Dish Database'!D517</f>
        <v>Namkeen &amp; Dry Snacks</v>
      </c>
      <c r="D1962" s="6" t="str">
        <f aca="false">'Dish Database'!F517</f>
        <v>Veg</v>
      </c>
      <c r="E1962" s="6" t="str">
        <f aca="false">'Dish Database'!E517</f>
        <v>Pan-India</v>
      </c>
      <c r="F1962" s="6" t="s">
        <v>103</v>
      </c>
      <c r="G1962" s="6" t="s">
        <v>2642</v>
      </c>
      <c r="H1962" s="16" t="n">
        <v>30</v>
      </c>
      <c r="I1962" s="6" t="str">
        <f aca="false">'Dish Database'!I517</f>
        <v>g</v>
      </c>
      <c r="J1962" s="13" t="n">
        <f aca="false">'Dish Database'!J517*H1962/100</f>
        <v>102.45</v>
      </c>
      <c r="K1962" s="17" t="n">
        <f aca="false">'Dish Database'!K517*H1962/100</f>
        <v>2.1</v>
      </c>
      <c r="L1962" s="17" t="n">
        <f aca="false">'Dish Database'!L517*H1962/100</f>
        <v>23.4</v>
      </c>
      <c r="M1962" s="17" t="n">
        <f aca="false">'Dish Database'!M517*H1962/100</f>
        <v>0.15</v>
      </c>
      <c r="N1962" s="17" t="n">
        <f aca="false">'Dish Database'!N517*H1962/100</f>
        <v>0.45</v>
      </c>
      <c r="O1962" s="17" t="n">
        <f aca="false">'Dish Database'!O517*H1962/100</f>
        <v>0.06</v>
      </c>
      <c r="P1962" s="13" t="n">
        <f aca="false">'Dish Database'!P517*H1962/100</f>
        <v>1.5</v>
      </c>
    </row>
    <row r="1963" customFormat="false" ht="15" hidden="false" customHeight="false" outlineLevel="0" collapsed="false">
      <c r="A1963" s="6" t="str">
        <f aca="false">'Dish Database'!A517</f>
        <v>D516</v>
      </c>
      <c r="B1963" s="6" t="str">
        <f aca="false">'Dish Database'!B517</f>
        <v>Murmura (puffed rice, plain)</v>
      </c>
      <c r="C1963" s="6" t="str">
        <f aca="false">'Dish Database'!D517</f>
        <v>Namkeen &amp; Dry Snacks</v>
      </c>
      <c r="D1963" s="6" t="str">
        <f aca="false">'Dish Database'!F517</f>
        <v>Veg</v>
      </c>
      <c r="E1963" s="6" t="str">
        <f aca="false">'Dish Database'!E517</f>
        <v>Pan-India</v>
      </c>
      <c r="F1963" s="6" t="s">
        <v>2246</v>
      </c>
      <c r="G1963" s="6" t="s">
        <v>2643</v>
      </c>
      <c r="H1963" s="16" t="n">
        <v>50</v>
      </c>
      <c r="I1963" s="6" t="str">
        <f aca="false">'Dish Database'!I517</f>
        <v>g</v>
      </c>
      <c r="J1963" s="13" t="n">
        <f aca="false">'Dish Database'!J517*H1963/100</f>
        <v>170.75</v>
      </c>
      <c r="K1963" s="17" t="n">
        <f aca="false">'Dish Database'!K517*H1963/100</f>
        <v>3.5</v>
      </c>
      <c r="L1963" s="17" t="n">
        <f aca="false">'Dish Database'!L517*H1963/100</f>
        <v>39</v>
      </c>
      <c r="M1963" s="17" t="n">
        <f aca="false">'Dish Database'!M517*H1963/100</f>
        <v>0.25</v>
      </c>
      <c r="N1963" s="17" t="n">
        <f aca="false">'Dish Database'!N517*H1963/100</f>
        <v>0.75</v>
      </c>
      <c r="O1963" s="17" t="n">
        <f aca="false">'Dish Database'!O517*H1963/100</f>
        <v>0.1</v>
      </c>
      <c r="P1963" s="13" t="n">
        <f aca="false">'Dish Database'!P517*H1963/100</f>
        <v>2.5</v>
      </c>
    </row>
    <row r="1964" customFormat="false" ht="15" hidden="false" customHeight="false" outlineLevel="0" collapsed="false">
      <c r="A1964" s="6" t="str">
        <f aca="false">'Dish Database'!A518</f>
        <v>D517</v>
      </c>
      <c r="B1964" s="6" t="str">
        <f aca="false">'Dish Database'!B518</f>
        <v>Gulab jamun</v>
      </c>
      <c r="C1964" s="6" t="str">
        <f aca="false">'Dish Database'!D518</f>
        <v>Sweets (Mithai)</v>
      </c>
      <c r="D1964" s="6" t="str">
        <f aca="false">'Dish Database'!F518</f>
        <v>Veg</v>
      </c>
      <c r="E1964" s="6" t="str">
        <f aca="false">'Dish Database'!E518</f>
        <v>Pan-India</v>
      </c>
      <c r="F1964" s="6" t="s">
        <v>2243</v>
      </c>
      <c r="G1964" s="6" t="s">
        <v>2647</v>
      </c>
      <c r="H1964" s="16" t="n">
        <v>30</v>
      </c>
      <c r="I1964" s="6" t="str">
        <f aca="false">'Dish Database'!I518</f>
        <v>g</v>
      </c>
      <c r="J1964" s="13" t="n">
        <f aca="false">'Dish Database'!J518*H1964/100</f>
        <v>100.02</v>
      </c>
      <c r="K1964" s="17" t="n">
        <f aca="false">'Dish Database'!K518*H1964/100</f>
        <v>1.35</v>
      </c>
      <c r="L1964" s="17" t="n">
        <f aca="false">'Dish Database'!L518*H1964/100</f>
        <v>15.6</v>
      </c>
      <c r="M1964" s="17" t="n">
        <f aca="false">'Dish Database'!M518*H1964/100</f>
        <v>3.6</v>
      </c>
      <c r="N1964" s="17" t="n">
        <f aca="false">'Dish Database'!N518*H1964/100</f>
        <v>0.09</v>
      </c>
      <c r="O1964" s="17" t="n">
        <f aca="false">'Dish Database'!O518*H1964/100</f>
        <v>12.6</v>
      </c>
      <c r="P1964" s="13" t="n">
        <f aca="false">'Dish Database'!P518*H1964/100</f>
        <v>12</v>
      </c>
    </row>
    <row r="1965" customFormat="false" ht="15" hidden="false" customHeight="false" outlineLevel="0" collapsed="false">
      <c r="A1965" s="6" t="str">
        <f aca="false">'Dish Database'!A518</f>
        <v>D517</v>
      </c>
      <c r="B1965" s="6" t="str">
        <f aca="false">'Dish Database'!B518</f>
        <v>Gulab jamun</v>
      </c>
      <c r="C1965" s="6" t="str">
        <f aca="false">'Dish Database'!D518</f>
        <v>Sweets (Mithai)</v>
      </c>
      <c r="D1965" s="6" t="str">
        <f aca="false">'Dish Database'!F518</f>
        <v>Veg</v>
      </c>
      <c r="E1965" s="6" t="str">
        <f aca="false">'Dish Database'!E518</f>
        <v>Pan-India</v>
      </c>
      <c r="F1965" s="6" t="s">
        <v>103</v>
      </c>
      <c r="G1965" s="6" t="s">
        <v>2648</v>
      </c>
      <c r="H1965" s="16" t="n">
        <v>50</v>
      </c>
      <c r="I1965" s="6" t="str">
        <f aca="false">'Dish Database'!I518</f>
        <v>g</v>
      </c>
      <c r="J1965" s="13" t="n">
        <f aca="false">'Dish Database'!J518*H1965/100</f>
        <v>166.7</v>
      </c>
      <c r="K1965" s="17" t="n">
        <f aca="false">'Dish Database'!K518*H1965/100</f>
        <v>2.25</v>
      </c>
      <c r="L1965" s="17" t="n">
        <f aca="false">'Dish Database'!L518*H1965/100</f>
        <v>26</v>
      </c>
      <c r="M1965" s="17" t="n">
        <f aca="false">'Dish Database'!M518*H1965/100</f>
        <v>6</v>
      </c>
      <c r="N1965" s="17" t="n">
        <f aca="false">'Dish Database'!N518*H1965/100</f>
        <v>0.15</v>
      </c>
      <c r="O1965" s="17" t="n">
        <f aca="false">'Dish Database'!O518*H1965/100</f>
        <v>21</v>
      </c>
      <c r="P1965" s="13" t="n">
        <f aca="false">'Dish Database'!P518*H1965/100</f>
        <v>20</v>
      </c>
    </row>
    <row r="1966" customFormat="false" ht="15" hidden="false" customHeight="false" outlineLevel="0" collapsed="false">
      <c r="A1966" s="6" t="str">
        <f aca="false">'Dish Database'!A518</f>
        <v>D517</v>
      </c>
      <c r="B1966" s="6" t="str">
        <f aca="false">'Dish Database'!B518</f>
        <v>Gulab jamun</v>
      </c>
      <c r="C1966" s="6" t="str">
        <f aca="false">'Dish Database'!D518</f>
        <v>Sweets (Mithai)</v>
      </c>
      <c r="D1966" s="6" t="str">
        <f aca="false">'Dish Database'!F518</f>
        <v>Veg</v>
      </c>
      <c r="E1966" s="6" t="str">
        <f aca="false">'Dish Database'!E518</f>
        <v>Pan-India</v>
      </c>
      <c r="F1966" s="6" t="s">
        <v>2246</v>
      </c>
      <c r="G1966" s="6" t="s">
        <v>2649</v>
      </c>
      <c r="H1966" s="16" t="n">
        <v>70</v>
      </c>
      <c r="I1966" s="6" t="str">
        <f aca="false">'Dish Database'!I518</f>
        <v>g</v>
      </c>
      <c r="J1966" s="13" t="n">
        <f aca="false">'Dish Database'!J518*H1966/100</f>
        <v>233.38</v>
      </c>
      <c r="K1966" s="17" t="n">
        <f aca="false">'Dish Database'!K518*H1966/100</f>
        <v>3.15</v>
      </c>
      <c r="L1966" s="17" t="n">
        <f aca="false">'Dish Database'!L518*H1966/100</f>
        <v>36.4</v>
      </c>
      <c r="M1966" s="17" t="n">
        <f aca="false">'Dish Database'!M518*H1966/100</f>
        <v>8.4</v>
      </c>
      <c r="N1966" s="17" t="n">
        <f aca="false">'Dish Database'!N518*H1966/100</f>
        <v>0.21</v>
      </c>
      <c r="O1966" s="17" t="n">
        <f aca="false">'Dish Database'!O518*H1966/100</f>
        <v>29.4</v>
      </c>
      <c r="P1966" s="13" t="n">
        <f aca="false">'Dish Database'!P518*H1966/100</f>
        <v>28</v>
      </c>
    </row>
    <row r="1967" customFormat="false" ht="15" hidden="false" customHeight="false" outlineLevel="0" collapsed="false">
      <c r="A1967" s="6" t="str">
        <f aca="false">'Dish Database'!A519</f>
        <v>D518</v>
      </c>
      <c r="B1967" s="6" t="str">
        <f aca="false">'Dish Database'!B519</f>
        <v>Rasgulla</v>
      </c>
      <c r="C1967" s="6" t="str">
        <f aca="false">'Dish Database'!D519</f>
        <v>Sweets (Mithai)</v>
      </c>
      <c r="D1967" s="6" t="str">
        <f aca="false">'Dish Database'!F519</f>
        <v>Veg</v>
      </c>
      <c r="E1967" s="6" t="str">
        <f aca="false">'Dish Database'!E519</f>
        <v>East</v>
      </c>
      <c r="F1967" s="6" t="s">
        <v>2243</v>
      </c>
      <c r="G1967" s="6" t="s">
        <v>2647</v>
      </c>
      <c r="H1967" s="16" t="n">
        <v>30</v>
      </c>
      <c r="I1967" s="6" t="str">
        <f aca="false">'Dish Database'!I519</f>
        <v>g</v>
      </c>
      <c r="J1967" s="13" t="n">
        <f aca="false">'Dish Database'!J519*H1967/100</f>
        <v>58.05</v>
      </c>
      <c r="K1967" s="17" t="n">
        <f aca="false">'Dish Database'!K519*H1967/100</f>
        <v>1.35</v>
      </c>
      <c r="L1967" s="17" t="n">
        <f aca="false">'Dish Database'!L519*H1967/100</f>
        <v>10.8</v>
      </c>
      <c r="M1967" s="17" t="n">
        <f aca="false">'Dish Database'!M519*H1967/100</f>
        <v>1.05</v>
      </c>
      <c r="N1967" s="17" t="n">
        <f aca="false">'Dish Database'!N519*H1967/100</f>
        <v>0</v>
      </c>
      <c r="O1967" s="17" t="n">
        <f aca="false">'Dish Database'!O519*H1967/100</f>
        <v>10.5</v>
      </c>
      <c r="P1967" s="13" t="n">
        <f aca="false">'Dish Database'!P519*H1967/100</f>
        <v>6</v>
      </c>
    </row>
    <row r="1968" customFormat="false" ht="15" hidden="false" customHeight="false" outlineLevel="0" collapsed="false">
      <c r="A1968" s="6" t="str">
        <f aca="false">'Dish Database'!A519</f>
        <v>D518</v>
      </c>
      <c r="B1968" s="6" t="str">
        <f aca="false">'Dish Database'!B519</f>
        <v>Rasgulla</v>
      </c>
      <c r="C1968" s="6" t="str">
        <f aca="false">'Dish Database'!D519</f>
        <v>Sweets (Mithai)</v>
      </c>
      <c r="D1968" s="6" t="str">
        <f aca="false">'Dish Database'!F519</f>
        <v>Veg</v>
      </c>
      <c r="E1968" s="6" t="str">
        <f aca="false">'Dish Database'!E519</f>
        <v>East</v>
      </c>
      <c r="F1968" s="6" t="s">
        <v>103</v>
      </c>
      <c r="G1968" s="6" t="s">
        <v>2648</v>
      </c>
      <c r="H1968" s="16" t="n">
        <v>50</v>
      </c>
      <c r="I1968" s="6" t="str">
        <f aca="false">'Dish Database'!I519</f>
        <v>g</v>
      </c>
      <c r="J1968" s="13" t="n">
        <f aca="false">'Dish Database'!J519*H1968/100</f>
        <v>96.75</v>
      </c>
      <c r="K1968" s="17" t="n">
        <f aca="false">'Dish Database'!K519*H1968/100</f>
        <v>2.25</v>
      </c>
      <c r="L1968" s="17" t="n">
        <f aca="false">'Dish Database'!L519*H1968/100</f>
        <v>18</v>
      </c>
      <c r="M1968" s="17" t="n">
        <f aca="false">'Dish Database'!M519*H1968/100</f>
        <v>1.75</v>
      </c>
      <c r="N1968" s="17" t="n">
        <f aca="false">'Dish Database'!N519*H1968/100</f>
        <v>0</v>
      </c>
      <c r="O1968" s="17" t="n">
        <f aca="false">'Dish Database'!O519*H1968/100</f>
        <v>17.5</v>
      </c>
      <c r="P1968" s="13" t="n">
        <f aca="false">'Dish Database'!P519*H1968/100</f>
        <v>10</v>
      </c>
    </row>
    <row r="1969" customFormat="false" ht="15" hidden="false" customHeight="false" outlineLevel="0" collapsed="false">
      <c r="A1969" s="6" t="str">
        <f aca="false">'Dish Database'!A519</f>
        <v>D518</v>
      </c>
      <c r="B1969" s="6" t="str">
        <f aca="false">'Dish Database'!B519</f>
        <v>Rasgulla</v>
      </c>
      <c r="C1969" s="6" t="str">
        <f aca="false">'Dish Database'!D519</f>
        <v>Sweets (Mithai)</v>
      </c>
      <c r="D1969" s="6" t="str">
        <f aca="false">'Dish Database'!F519</f>
        <v>Veg</v>
      </c>
      <c r="E1969" s="6" t="str">
        <f aca="false">'Dish Database'!E519</f>
        <v>East</v>
      </c>
      <c r="F1969" s="6" t="s">
        <v>2246</v>
      </c>
      <c r="G1969" s="6" t="s">
        <v>2649</v>
      </c>
      <c r="H1969" s="16" t="n">
        <v>70</v>
      </c>
      <c r="I1969" s="6" t="str">
        <f aca="false">'Dish Database'!I519</f>
        <v>g</v>
      </c>
      <c r="J1969" s="13" t="n">
        <f aca="false">'Dish Database'!J519*H1969/100</f>
        <v>135.45</v>
      </c>
      <c r="K1969" s="17" t="n">
        <f aca="false">'Dish Database'!K519*H1969/100</f>
        <v>3.15</v>
      </c>
      <c r="L1969" s="17" t="n">
        <f aca="false">'Dish Database'!L519*H1969/100</f>
        <v>25.2</v>
      </c>
      <c r="M1969" s="17" t="n">
        <f aca="false">'Dish Database'!M519*H1969/100</f>
        <v>2.45</v>
      </c>
      <c r="N1969" s="17" t="n">
        <f aca="false">'Dish Database'!N519*H1969/100</f>
        <v>0</v>
      </c>
      <c r="O1969" s="17" t="n">
        <f aca="false">'Dish Database'!O519*H1969/100</f>
        <v>24.5</v>
      </c>
      <c r="P1969" s="13" t="n">
        <f aca="false">'Dish Database'!P519*H1969/100</f>
        <v>14</v>
      </c>
    </row>
    <row r="1970" customFormat="false" ht="15" hidden="false" customHeight="false" outlineLevel="0" collapsed="false">
      <c r="A1970" s="6" t="str">
        <f aca="false">'Dish Database'!A520</f>
        <v>D519</v>
      </c>
      <c r="B1970" s="6" t="str">
        <f aca="false">'Dish Database'!B520</f>
        <v>Rasmalai</v>
      </c>
      <c r="C1970" s="6" t="str">
        <f aca="false">'Dish Database'!D520</f>
        <v>Sweets (Mithai)</v>
      </c>
      <c r="D1970" s="6" t="str">
        <f aca="false">'Dish Database'!F520</f>
        <v>Veg</v>
      </c>
      <c r="E1970" s="6" t="str">
        <f aca="false">'Dish Database'!E520</f>
        <v>East</v>
      </c>
      <c r="F1970" s="6" t="s">
        <v>2243</v>
      </c>
      <c r="G1970" s="6" t="s">
        <v>2650</v>
      </c>
      <c r="H1970" s="16" t="n">
        <v>60</v>
      </c>
      <c r="I1970" s="6" t="str">
        <f aca="false">'Dish Database'!I520</f>
        <v>g</v>
      </c>
      <c r="J1970" s="13" t="n">
        <f aca="false">'Dish Database'!J520*H1970/100</f>
        <v>130.2</v>
      </c>
      <c r="K1970" s="17" t="n">
        <f aca="false">'Dish Database'!K520*H1970/100</f>
        <v>3.6</v>
      </c>
      <c r="L1970" s="17" t="n">
        <f aca="false">'Dish Database'!L520*H1970/100</f>
        <v>16.8</v>
      </c>
      <c r="M1970" s="17" t="n">
        <f aca="false">'Dish Database'!M520*H1970/100</f>
        <v>5.4</v>
      </c>
      <c r="N1970" s="17" t="n">
        <f aca="false">'Dish Database'!N520*H1970/100</f>
        <v>0</v>
      </c>
      <c r="O1970" s="17" t="n">
        <f aca="false">'Dish Database'!O520*H1970/100</f>
        <v>15.6</v>
      </c>
      <c r="P1970" s="13" t="n">
        <f aca="false">'Dish Database'!P520*H1970/100</f>
        <v>36</v>
      </c>
    </row>
    <row r="1971" customFormat="false" ht="15" hidden="false" customHeight="false" outlineLevel="0" collapsed="false">
      <c r="A1971" s="6" t="str">
        <f aca="false">'Dish Database'!A520</f>
        <v>D519</v>
      </c>
      <c r="B1971" s="6" t="str">
        <f aca="false">'Dish Database'!B520</f>
        <v>Rasmalai</v>
      </c>
      <c r="C1971" s="6" t="str">
        <f aca="false">'Dish Database'!D520</f>
        <v>Sweets (Mithai)</v>
      </c>
      <c r="D1971" s="6" t="str">
        <f aca="false">'Dish Database'!F520</f>
        <v>Veg</v>
      </c>
      <c r="E1971" s="6" t="str">
        <f aca="false">'Dish Database'!E520</f>
        <v>East</v>
      </c>
      <c r="F1971" s="6" t="s">
        <v>103</v>
      </c>
      <c r="G1971" s="6" t="s">
        <v>2651</v>
      </c>
      <c r="H1971" s="16" t="n">
        <v>90</v>
      </c>
      <c r="I1971" s="6" t="str">
        <f aca="false">'Dish Database'!I520</f>
        <v>g</v>
      </c>
      <c r="J1971" s="13" t="n">
        <f aca="false">'Dish Database'!J520*H1971/100</f>
        <v>195.3</v>
      </c>
      <c r="K1971" s="17" t="n">
        <f aca="false">'Dish Database'!K520*H1971/100</f>
        <v>5.4</v>
      </c>
      <c r="L1971" s="17" t="n">
        <f aca="false">'Dish Database'!L520*H1971/100</f>
        <v>25.2</v>
      </c>
      <c r="M1971" s="17" t="n">
        <f aca="false">'Dish Database'!M520*H1971/100</f>
        <v>8.1</v>
      </c>
      <c r="N1971" s="17" t="n">
        <f aca="false">'Dish Database'!N520*H1971/100</f>
        <v>0</v>
      </c>
      <c r="O1971" s="17" t="n">
        <f aca="false">'Dish Database'!O520*H1971/100</f>
        <v>23.4</v>
      </c>
      <c r="P1971" s="13" t="n">
        <f aca="false">'Dish Database'!P520*H1971/100</f>
        <v>54</v>
      </c>
    </row>
    <row r="1972" customFormat="false" ht="15" hidden="false" customHeight="false" outlineLevel="0" collapsed="false">
      <c r="A1972" s="6" t="str">
        <f aca="false">'Dish Database'!A520</f>
        <v>D519</v>
      </c>
      <c r="B1972" s="6" t="str">
        <f aca="false">'Dish Database'!B520</f>
        <v>Rasmalai</v>
      </c>
      <c r="C1972" s="6" t="str">
        <f aca="false">'Dish Database'!D520</f>
        <v>Sweets (Mithai)</v>
      </c>
      <c r="D1972" s="6" t="str">
        <f aca="false">'Dish Database'!F520</f>
        <v>Veg</v>
      </c>
      <c r="E1972" s="6" t="str">
        <f aca="false">'Dish Database'!E520</f>
        <v>East</v>
      </c>
      <c r="F1972" s="6" t="s">
        <v>2246</v>
      </c>
      <c r="G1972" s="6" t="s">
        <v>2652</v>
      </c>
      <c r="H1972" s="16" t="n">
        <v>120</v>
      </c>
      <c r="I1972" s="6" t="str">
        <f aca="false">'Dish Database'!I520</f>
        <v>g</v>
      </c>
      <c r="J1972" s="13" t="n">
        <f aca="false">'Dish Database'!J520*H1972/100</f>
        <v>260.4</v>
      </c>
      <c r="K1972" s="17" t="n">
        <f aca="false">'Dish Database'!K520*H1972/100</f>
        <v>7.2</v>
      </c>
      <c r="L1972" s="17" t="n">
        <f aca="false">'Dish Database'!L520*H1972/100</f>
        <v>33.6</v>
      </c>
      <c r="M1972" s="17" t="n">
        <f aca="false">'Dish Database'!M520*H1972/100</f>
        <v>10.8</v>
      </c>
      <c r="N1972" s="17" t="n">
        <f aca="false">'Dish Database'!N520*H1972/100</f>
        <v>0</v>
      </c>
      <c r="O1972" s="17" t="n">
        <f aca="false">'Dish Database'!O520*H1972/100</f>
        <v>31.2</v>
      </c>
      <c r="P1972" s="13" t="n">
        <f aca="false">'Dish Database'!P520*H1972/100</f>
        <v>72</v>
      </c>
    </row>
    <row r="1973" customFormat="false" ht="15" hidden="false" customHeight="false" outlineLevel="0" collapsed="false">
      <c r="A1973" s="6" t="str">
        <f aca="false">'Dish Database'!A521</f>
        <v>D520</v>
      </c>
      <c r="B1973" s="6" t="str">
        <f aca="false">'Dish Database'!B521</f>
        <v>Cham cham</v>
      </c>
      <c r="C1973" s="6" t="str">
        <f aca="false">'Dish Database'!D521</f>
        <v>Sweets (Mithai)</v>
      </c>
      <c r="D1973" s="6" t="str">
        <f aca="false">'Dish Database'!F521</f>
        <v>Veg</v>
      </c>
      <c r="E1973" s="6" t="str">
        <f aca="false">'Dish Database'!E521</f>
        <v>East</v>
      </c>
      <c r="F1973" s="6" t="s">
        <v>2243</v>
      </c>
      <c r="G1973" s="6" t="s">
        <v>2653</v>
      </c>
      <c r="H1973" s="16" t="n">
        <v>40</v>
      </c>
      <c r="I1973" s="6" t="str">
        <f aca="false">'Dish Database'!I521</f>
        <v>g</v>
      </c>
      <c r="J1973" s="13" t="n">
        <f aca="false">'Dish Database'!J521*H1973/100</f>
        <v>90</v>
      </c>
      <c r="K1973" s="17" t="n">
        <f aca="false">'Dish Database'!K521*H1973/100</f>
        <v>2</v>
      </c>
      <c r="L1973" s="17" t="n">
        <f aca="false">'Dish Database'!L521*H1973/100</f>
        <v>16</v>
      </c>
      <c r="M1973" s="17" t="n">
        <f aca="false">'Dish Database'!M521*H1973/100</f>
        <v>2</v>
      </c>
      <c r="N1973" s="17" t="n">
        <f aca="false">'Dish Database'!N521*H1973/100</f>
        <v>0</v>
      </c>
      <c r="O1973" s="17" t="n">
        <f aca="false">'Dish Database'!O521*H1973/100</f>
        <v>14.4</v>
      </c>
      <c r="P1973" s="13" t="n">
        <f aca="false">'Dish Database'!P521*H1973/100</f>
        <v>12</v>
      </c>
    </row>
    <row r="1974" customFormat="false" ht="15" hidden="false" customHeight="false" outlineLevel="0" collapsed="false">
      <c r="A1974" s="6" t="str">
        <f aca="false">'Dish Database'!A521</f>
        <v>D520</v>
      </c>
      <c r="B1974" s="6" t="str">
        <f aca="false">'Dish Database'!B521</f>
        <v>Cham cham</v>
      </c>
      <c r="C1974" s="6" t="str">
        <f aca="false">'Dish Database'!D521</f>
        <v>Sweets (Mithai)</v>
      </c>
      <c r="D1974" s="6" t="str">
        <f aca="false">'Dish Database'!F521</f>
        <v>Veg</v>
      </c>
      <c r="E1974" s="6" t="str">
        <f aca="false">'Dish Database'!E521</f>
        <v>East</v>
      </c>
      <c r="F1974" s="6" t="s">
        <v>103</v>
      </c>
      <c r="G1974" s="6" t="s">
        <v>2654</v>
      </c>
      <c r="H1974" s="16" t="n">
        <v>60</v>
      </c>
      <c r="I1974" s="6" t="str">
        <f aca="false">'Dish Database'!I521</f>
        <v>g</v>
      </c>
      <c r="J1974" s="13" t="n">
        <f aca="false">'Dish Database'!J521*H1974/100</f>
        <v>135</v>
      </c>
      <c r="K1974" s="17" t="n">
        <f aca="false">'Dish Database'!K521*H1974/100</f>
        <v>3</v>
      </c>
      <c r="L1974" s="17" t="n">
        <f aca="false">'Dish Database'!L521*H1974/100</f>
        <v>24</v>
      </c>
      <c r="M1974" s="17" t="n">
        <f aca="false">'Dish Database'!M521*H1974/100</f>
        <v>3</v>
      </c>
      <c r="N1974" s="17" t="n">
        <f aca="false">'Dish Database'!N521*H1974/100</f>
        <v>0</v>
      </c>
      <c r="O1974" s="17" t="n">
        <f aca="false">'Dish Database'!O521*H1974/100</f>
        <v>21.6</v>
      </c>
      <c r="P1974" s="13" t="n">
        <f aca="false">'Dish Database'!P521*H1974/100</f>
        <v>18</v>
      </c>
    </row>
    <row r="1975" customFormat="false" ht="15" hidden="false" customHeight="false" outlineLevel="0" collapsed="false">
      <c r="A1975" s="6" t="str">
        <f aca="false">'Dish Database'!A521</f>
        <v>D520</v>
      </c>
      <c r="B1975" s="6" t="str">
        <f aca="false">'Dish Database'!B521</f>
        <v>Cham cham</v>
      </c>
      <c r="C1975" s="6" t="str">
        <f aca="false">'Dish Database'!D521</f>
        <v>Sweets (Mithai)</v>
      </c>
      <c r="D1975" s="6" t="str">
        <f aca="false">'Dish Database'!F521</f>
        <v>Veg</v>
      </c>
      <c r="E1975" s="6" t="str">
        <f aca="false">'Dish Database'!E521</f>
        <v>East</v>
      </c>
      <c r="F1975" s="6" t="s">
        <v>2246</v>
      </c>
      <c r="G1975" s="6" t="s">
        <v>2655</v>
      </c>
      <c r="H1975" s="16" t="n">
        <v>80</v>
      </c>
      <c r="I1975" s="6" t="str">
        <f aca="false">'Dish Database'!I521</f>
        <v>g</v>
      </c>
      <c r="J1975" s="13" t="n">
        <f aca="false">'Dish Database'!J521*H1975/100</f>
        <v>180</v>
      </c>
      <c r="K1975" s="17" t="n">
        <f aca="false">'Dish Database'!K521*H1975/100</f>
        <v>4</v>
      </c>
      <c r="L1975" s="17" t="n">
        <f aca="false">'Dish Database'!L521*H1975/100</f>
        <v>32</v>
      </c>
      <c r="M1975" s="17" t="n">
        <f aca="false">'Dish Database'!M521*H1975/100</f>
        <v>4</v>
      </c>
      <c r="N1975" s="17" t="n">
        <f aca="false">'Dish Database'!N521*H1975/100</f>
        <v>0</v>
      </c>
      <c r="O1975" s="17" t="n">
        <f aca="false">'Dish Database'!O521*H1975/100</f>
        <v>28.8</v>
      </c>
      <c r="P1975" s="13" t="n">
        <f aca="false">'Dish Database'!P521*H1975/100</f>
        <v>24</v>
      </c>
    </row>
    <row r="1976" customFormat="false" ht="15" hidden="false" customHeight="false" outlineLevel="0" collapsed="false">
      <c r="A1976" s="6" t="str">
        <f aca="false">'Dish Database'!A522</f>
        <v>D521</v>
      </c>
      <c r="B1976" s="6" t="str">
        <f aca="false">'Dish Database'!B522</f>
        <v>Sandesh</v>
      </c>
      <c r="C1976" s="6" t="str">
        <f aca="false">'Dish Database'!D522</f>
        <v>Sweets (Mithai)</v>
      </c>
      <c r="D1976" s="6" t="str">
        <f aca="false">'Dish Database'!F522</f>
        <v>Veg</v>
      </c>
      <c r="E1976" s="6" t="str">
        <f aca="false">'Dish Database'!E522</f>
        <v>East</v>
      </c>
      <c r="F1976" s="6" t="s">
        <v>2243</v>
      </c>
      <c r="G1976" s="6" t="s">
        <v>2439</v>
      </c>
      <c r="H1976" s="16" t="n">
        <v>20</v>
      </c>
      <c r="I1976" s="6" t="str">
        <f aca="false">'Dish Database'!I522</f>
        <v>g</v>
      </c>
      <c r="J1976" s="13" t="n">
        <f aca="false">'Dish Database'!J522*H1976/100</f>
        <v>54</v>
      </c>
      <c r="K1976" s="17" t="n">
        <f aca="false">'Dish Database'!K522*H1976/100</f>
        <v>2</v>
      </c>
      <c r="L1976" s="17" t="n">
        <f aca="false">'Dish Database'!L522*H1976/100</f>
        <v>7</v>
      </c>
      <c r="M1976" s="17" t="n">
        <f aca="false">'Dish Database'!M522*H1976/100</f>
        <v>2</v>
      </c>
      <c r="N1976" s="17" t="n">
        <f aca="false">'Dish Database'!N522*H1976/100</f>
        <v>0</v>
      </c>
      <c r="O1976" s="17" t="n">
        <f aca="false">'Dish Database'!O522*H1976/100</f>
        <v>6</v>
      </c>
      <c r="P1976" s="13" t="n">
        <f aca="false">'Dish Database'!P522*H1976/100</f>
        <v>10</v>
      </c>
    </row>
    <row r="1977" customFormat="false" ht="15" hidden="false" customHeight="false" outlineLevel="0" collapsed="false">
      <c r="A1977" s="6" t="str">
        <f aca="false">'Dish Database'!A522</f>
        <v>D521</v>
      </c>
      <c r="B1977" s="6" t="str">
        <f aca="false">'Dish Database'!B522</f>
        <v>Sandesh</v>
      </c>
      <c r="C1977" s="6" t="str">
        <f aca="false">'Dish Database'!D522</f>
        <v>Sweets (Mithai)</v>
      </c>
      <c r="D1977" s="6" t="str">
        <f aca="false">'Dish Database'!F522</f>
        <v>Veg</v>
      </c>
      <c r="E1977" s="6" t="str">
        <f aca="false">'Dish Database'!E522</f>
        <v>East</v>
      </c>
      <c r="F1977" s="6" t="s">
        <v>103</v>
      </c>
      <c r="G1977" s="6" t="s">
        <v>2440</v>
      </c>
      <c r="H1977" s="16" t="n">
        <v>30</v>
      </c>
      <c r="I1977" s="6" t="str">
        <f aca="false">'Dish Database'!I522</f>
        <v>g</v>
      </c>
      <c r="J1977" s="13" t="n">
        <f aca="false">'Dish Database'!J522*H1977/100</f>
        <v>81</v>
      </c>
      <c r="K1977" s="17" t="n">
        <f aca="false">'Dish Database'!K522*H1977/100</f>
        <v>3</v>
      </c>
      <c r="L1977" s="17" t="n">
        <f aca="false">'Dish Database'!L522*H1977/100</f>
        <v>10.5</v>
      </c>
      <c r="M1977" s="17" t="n">
        <f aca="false">'Dish Database'!M522*H1977/100</f>
        <v>3</v>
      </c>
      <c r="N1977" s="17" t="n">
        <f aca="false">'Dish Database'!N522*H1977/100</f>
        <v>0</v>
      </c>
      <c r="O1977" s="17" t="n">
        <f aca="false">'Dish Database'!O522*H1977/100</f>
        <v>9</v>
      </c>
      <c r="P1977" s="13" t="n">
        <f aca="false">'Dish Database'!P522*H1977/100</f>
        <v>15</v>
      </c>
    </row>
    <row r="1978" customFormat="false" ht="15" hidden="false" customHeight="false" outlineLevel="0" collapsed="false">
      <c r="A1978" s="6" t="str">
        <f aca="false">'Dish Database'!A522</f>
        <v>D521</v>
      </c>
      <c r="B1978" s="6" t="str">
        <f aca="false">'Dish Database'!B522</f>
        <v>Sandesh</v>
      </c>
      <c r="C1978" s="6" t="str">
        <f aca="false">'Dish Database'!D522</f>
        <v>Sweets (Mithai)</v>
      </c>
      <c r="D1978" s="6" t="str">
        <f aca="false">'Dish Database'!F522</f>
        <v>Veg</v>
      </c>
      <c r="E1978" s="6" t="str">
        <f aca="false">'Dish Database'!E522</f>
        <v>East</v>
      </c>
      <c r="F1978" s="6" t="s">
        <v>2246</v>
      </c>
      <c r="G1978" s="6" t="s">
        <v>2656</v>
      </c>
      <c r="H1978" s="16" t="n">
        <v>45</v>
      </c>
      <c r="I1978" s="6" t="str">
        <f aca="false">'Dish Database'!I522</f>
        <v>g</v>
      </c>
      <c r="J1978" s="13" t="n">
        <f aca="false">'Dish Database'!J522*H1978/100</f>
        <v>121.5</v>
      </c>
      <c r="K1978" s="17" t="n">
        <f aca="false">'Dish Database'!K522*H1978/100</f>
        <v>4.5</v>
      </c>
      <c r="L1978" s="17" t="n">
        <f aca="false">'Dish Database'!L522*H1978/100</f>
        <v>15.75</v>
      </c>
      <c r="M1978" s="17" t="n">
        <f aca="false">'Dish Database'!M522*H1978/100</f>
        <v>4.5</v>
      </c>
      <c r="N1978" s="17" t="n">
        <f aca="false">'Dish Database'!N522*H1978/100</f>
        <v>0</v>
      </c>
      <c r="O1978" s="17" t="n">
        <f aca="false">'Dish Database'!O522*H1978/100</f>
        <v>13.5</v>
      </c>
      <c r="P1978" s="13" t="n">
        <f aca="false">'Dish Database'!P522*H1978/100</f>
        <v>22.5</v>
      </c>
    </row>
    <row r="1979" customFormat="false" ht="15" hidden="false" customHeight="false" outlineLevel="0" collapsed="false">
      <c r="A1979" s="6" t="str">
        <f aca="false">'Dish Database'!A523</f>
        <v>D522</v>
      </c>
      <c r="B1979" s="6" t="str">
        <f aca="false">'Dish Database'!B523</f>
        <v>Mishti doi</v>
      </c>
      <c r="C1979" s="6" t="str">
        <f aca="false">'Dish Database'!D523</f>
        <v>Sweets (Mithai)</v>
      </c>
      <c r="D1979" s="6" t="str">
        <f aca="false">'Dish Database'!F523</f>
        <v>Veg</v>
      </c>
      <c r="E1979" s="6" t="str">
        <f aca="false">'Dish Database'!E523</f>
        <v>East</v>
      </c>
      <c r="F1979" s="6" t="s">
        <v>2243</v>
      </c>
      <c r="G1979" s="6" t="s">
        <v>2657</v>
      </c>
      <c r="H1979" s="16" t="n">
        <v>75</v>
      </c>
      <c r="I1979" s="6" t="str">
        <f aca="false">'Dish Database'!I523</f>
        <v>g</v>
      </c>
      <c r="J1979" s="13" t="n">
        <f aca="false">'Dish Database'!J523*H1979/100</f>
        <v>101.625</v>
      </c>
      <c r="K1979" s="17" t="n">
        <f aca="false">'Dish Database'!K523*H1979/100</f>
        <v>3</v>
      </c>
      <c r="L1979" s="17" t="n">
        <f aca="false">'Dish Database'!L523*H1979/100</f>
        <v>16.5</v>
      </c>
      <c r="M1979" s="17" t="n">
        <f aca="false">'Dish Database'!M523*H1979/100</f>
        <v>2.625</v>
      </c>
      <c r="N1979" s="17" t="n">
        <f aca="false">'Dish Database'!N523*H1979/100</f>
        <v>0</v>
      </c>
      <c r="O1979" s="17" t="n">
        <f aca="false">'Dish Database'!O523*H1979/100</f>
        <v>15</v>
      </c>
      <c r="P1979" s="13" t="n">
        <f aca="false">'Dish Database'!P523*H1979/100</f>
        <v>37.5</v>
      </c>
    </row>
    <row r="1980" customFormat="false" ht="15" hidden="false" customHeight="false" outlineLevel="0" collapsed="false">
      <c r="A1980" s="6" t="str">
        <f aca="false">'Dish Database'!A523</f>
        <v>D522</v>
      </c>
      <c r="B1980" s="6" t="str">
        <f aca="false">'Dish Database'!B523</f>
        <v>Mishti doi</v>
      </c>
      <c r="C1980" s="6" t="str">
        <f aca="false">'Dish Database'!D523</f>
        <v>Sweets (Mithai)</v>
      </c>
      <c r="D1980" s="6" t="str">
        <f aca="false">'Dish Database'!F523</f>
        <v>Veg</v>
      </c>
      <c r="E1980" s="6" t="str">
        <f aca="false">'Dish Database'!E523</f>
        <v>East</v>
      </c>
      <c r="F1980" s="6" t="s">
        <v>103</v>
      </c>
      <c r="G1980" s="6" t="s">
        <v>2644</v>
      </c>
      <c r="H1980" s="16" t="n">
        <v>100</v>
      </c>
      <c r="I1980" s="6" t="str">
        <f aca="false">'Dish Database'!I523</f>
        <v>g</v>
      </c>
      <c r="J1980" s="13" t="n">
        <f aca="false">'Dish Database'!J523*H1980/100</f>
        <v>135.5</v>
      </c>
      <c r="K1980" s="17" t="n">
        <f aca="false">'Dish Database'!K523*H1980/100</f>
        <v>4</v>
      </c>
      <c r="L1980" s="17" t="n">
        <f aca="false">'Dish Database'!L523*H1980/100</f>
        <v>22</v>
      </c>
      <c r="M1980" s="17" t="n">
        <f aca="false">'Dish Database'!M523*H1980/100</f>
        <v>3.5</v>
      </c>
      <c r="N1980" s="17" t="n">
        <f aca="false">'Dish Database'!N523*H1980/100</f>
        <v>0</v>
      </c>
      <c r="O1980" s="17" t="n">
        <f aca="false">'Dish Database'!O523*H1980/100</f>
        <v>20</v>
      </c>
      <c r="P1980" s="13" t="n">
        <f aca="false">'Dish Database'!P523*H1980/100</f>
        <v>50</v>
      </c>
    </row>
    <row r="1981" customFormat="false" ht="15" hidden="false" customHeight="false" outlineLevel="0" collapsed="false">
      <c r="A1981" s="6" t="str">
        <f aca="false">'Dish Database'!A523</f>
        <v>D522</v>
      </c>
      <c r="B1981" s="6" t="str">
        <f aca="false">'Dish Database'!B523</f>
        <v>Mishti doi</v>
      </c>
      <c r="C1981" s="6" t="str">
        <f aca="false">'Dish Database'!D523</f>
        <v>Sweets (Mithai)</v>
      </c>
      <c r="D1981" s="6" t="str">
        <f aca="false">'Dish Database'!F523</f>
        <v>Veg</v>
      </c>
      <c r="E1981" s="6" t="str">
        <f aca="false">'Dish Database'!E523</f>
        <v>East</v>
      </c>
      <c r="F1981" s="6" t="s">
        <v>2246</v>
      </c>
      <c r="G1981" s="6" t="s">
        <v>2658</v>
      </c>
      <c r="H1981" s="16" t="n">
        <v>150</v>
      </c>
      <c r="I1981" s="6" t="str">
        <f aca="false">'Dish Database'!I523</f>
        <v>g</v>
      </c>
      <c r="J1981" s="13" t="n">
        <f aca="false">'Dish Database'!J523*H1981/100</f>
        <v>203.25</v>
      </c>
      <c r="K1981" s="17" t="n">
        <f aca="false">'Dish Database'!K523*H1981/100</f>
        <v>6</v>
      </c>
      <c r="L1981" s="17" t="n">
        <f aca="false">'Dish Database'!L523*H1981/100</f>
        <v>33</v>
      </c>
      <c r="M1981" s="17" t="n">
        <f aca="false">'Dish Database'!M523*H1981/100</f>
        <v>5.25</v>
      </c>
      <c r="N1981" s="17" t="n">
        <f aca="false">'Dish Database'!N523*H1981/100</f>
        <v>0</v>
      </c>
      <c r="O1981" s="17" t="n">
        <f aca="false">'Dish Database'!O523*H1981/100</f>
        <v>30</v>
      </c>
      <c r="P1981" s="13" t="n">
        <f aca="false">'Dish Database'!P523*H1981/100</f>
        <v>75</v>
      </c>
    </row>
    <row r="1982" customFormat="false" ht="15" hidden="false" customHeight="false" outlineLevel="0" collapsed="false">
      <c r="A1982" s="6" t="str">
        <f aca="false">'Dish Database'!A524</f>
        <v>D523</v>
      </c>
      <c r="B1982" s="6" t="str">
        <f aca="false">'Dish Database'!B524</f>
        <v>Chhena poda</v>
      </c>
      <c r="C1982" s="6" t="str">
        <f aca="false">'Dish Database'!D524</f>
        <v>Sweets (Mithai)</v>
      </c>
      <c r="D1982" s="6" t="str">
        <f aca="false">'Dish Database'!F524</f>
        <v>Veg</v>
      </c>
      <c r="E1982" s="6" t="str">
        <f aca="false">'Dish Database'!E524</f>
        <v>East</v>
      </c>
      <c r="F1982" s="6" t="s">
        <v>2243</v>
      </c>
      <c r="G1982" s="6" t="s">
        <v>2659</v>
      </c>
      <c r="H1982" s="16" t="n">
        <v>40</v>
      </c>
      <c r="I1982" s="6" t="str">
        <f aca="false">'Dish Database'!I524</f>
        <v>g</v>
      </c>
      <c r="J1982" s="13" t="n">
        <f aca="false">'Dish Database'!J524*H1982/100</f>
        <v>118.16</v>
      </c>
      <c r="K1982" s="17" t="n">
        <f aca="false">'Dish Database'!K524*H1982/100</f>
        <v>3.6</v>
      </c>
      <c r="L1982" s="17" t="n">
        <f aca="false">'Dish Database'!L524*H1982/100</f>
        <v>15.2</v>
      </c>
      <c r="M1982" s="17" t="n">
        <f aca="false">'Dish Database'!M524*H1982/100</f>
        <v>4.8</v>
      </c>
      <c r="N1982" s="17" t="n">
        <f aca="false">'Dish Database'!N524*H1982/100</f>
        <v>0.12</v>
      </c>
      <c r="O1982" s="17" t="n">
        <f aca="false">'Dish Database'!O524*H1982/100</f>
        <v>12</v>
      </c>
      <c r="P1982" s="13" t="n">
        <f aca="false">'Dish Database'!P524*H1982/100</f>
        <v>24</v>
      </c>
    </row>
    <row r="1983" customFormat="false" ht="15" hidden="false" customHeight="false" outlineLevel="0" collapsed="false">
      <c r="A1983" s="6" t="str">
        <f aca="false">'Dish Database'!A524</f>
        <v>D523</v>
      </c>
      <c r="B1983" s="6" t="str">
        <f aca="false">'Dish Database'!B524</f>
        <v>Chhena poda</v>
      </c>
      <c r="C1983" s="6" t="str">
        <f aca="false">'Dish Database'!D524</f>
        <v>Sweets (Mithai)</v>
      </c>
      <c r="D1983" s="6" t="str">
        <f aca="false">'Dish Database'!F524</f>
        <v>Veg</v>
      </c>
      <c r="E1983" s="6" t="str">
        <f aca="false">'Dish Database'!E524</f>
        <v>East</v>
      </c>
      <c r="F1983" s="6" t="s">
        <v>103</v>
      </c>
      <c r="G1983" s="6" t="s">
        <v>2660</v>
      </c>
      <c r="H1983" s="16" t="n">
        <v>60</v>
      </c>
      <c r="I1983" s="6" t="str">
        <f aca="false">'Dish Database'!I524</f>
        <v>g</v>
      </c>
      <c r="J1983" s="13" t="n">
        <f aca="false">'Dish Database'!J524*H1983/100</f>
        <v>177.24</v>
      </c>
      <c r="K1983" s="17" t="n">
        <f aca="false">'Dish Database'!K524*H1983/100</f>
        <v>5.4</v>
      </c>
      <c r="L1983" s="17" t="n">
        <f aca="false">'Dish Database'!L524*H1983/100</f>
        <v>22.8</v>
      </c>
      <c r="M1983" s="17" t="n">
        <f aca="false">'Dish Database'!M524*H1983/100</f>
        <v>7.2</v>
      </c>
      <c r="N1983" s="17" t="n">
        <f aca="false">'Dish Database'!N524*H1983/100</f>
        <v>0.18</v>
      </c>
      <c r="O1983" s="17" t="n">
        <f aca="false">'Dish Database'!O524*H1983/100</f>
        <v>18</v>
      </c>
      <c r="P1983" s="13" t="n">
        <f aca="false">'Dish Database'!P524*H1983/100</f>
        <v>36</v>
      </c>
    </row>
    <row r="1984" customFormat="false" ht="15" hidden="false" customHeight="false" outlineLevel="0" collapsed="false">
      <c r="A1984" s="6" t="str">
        <f aca="false">'Dish Database'!A524</f>
        <v>D523</v>
      </c>
      <c r="B1984" s="6" t="str">
        <f aca="false">'Dish Database'!B524</f>
        <v>Chhena poda</v>
      </c>
      <c r="C1984" s="6" t="str">
        <f aca="false">'Dish Database'!D524</f>
        <v>Sweets (Mithai)</v>
      </c>
      <c r="D1984" s="6" t="str">
        <f aca="false">'Dish Database'!F524</f>
        <v>Veg</v>
      </c>
      <c r="E1984" s="6" t="str">
        <f aca="false">'Dish Database'!E524</f>
        <v>East</v>
      </c>
      <c r="F1984" s="6" t="s">
        <v>2246</v>
      </c>
      <c r="G1984" s="6" t="s">
        <v>2661</v>
      </c>
      <c r="H1984" s="16" t="n">
        <v>90</v>
      </c>
      <c r="I1984" s="6" t="str">
        <f aca="false">'Dish Database'!I524</f>
        <v>g</v>
      </c>
      <c r="J1984" s="13" t="n">
        <f aca="false">'Dish Database'!J524*H1984/100</f>
        <v>265.86</v>
      </c>
      <c r="K1984" s="17" t="n">
        <f aca="false">'Dish Database'!K524*H1984/100</f>
        <v>8.1</v>
      </c>
      <c r="L1984" s="17" t="n">
        <f aca="false">'Dish Database'!L524*H1984/100</f>
        <v>34.2</v>
      </c>
      <c r="M1984" s="17" t="n">
        <f aca="false">'Dish Database'!M524*H1984/100</f>
        <v>10.8</v>
      </c>
      <c r="N1984" s="17" t="n">
        <f aca="false">'Dish Database'!N524*H1984/100</f>
        <v>0.27</v>
      </c>
      <c r="O1984" s="17" t="n">
        <f aca="false">'Dish Database'!O524*H1984/100</f>
        <v>27</v>
      </c>
      <c r="P1984" s="13" t="n">
        <f aca="false">'Dish Database'!P524*H1984/100</f>
        <v>54</v>
      </c>
    </row>
    <row r="1985" customFormat="false" ht="15" hidden="false" customHeight="false" outlineLevel="0" collapsed="false">
      <c r="A1985" s="6" t="str">
        <f aca="false">'Dish Database'!A525</f>
        <v>D524</v>
      </c>
      <c r="B1985" s="6" t="str">
        <f aca="false">'Dish Database'!B525</f>
        <v>Jalebi</v>
      </c>
      <c r="C1985" s="6" t="str">
        <f aca="false">'Dish Database'!D525</f>
        <v>Sweets (Mithai)</v>
      </c>
      <c r="D1985" s="6" t="str">
        <f aca="false">'Dish Database'!F525</f>
        <v>Veg</v>
      </c>
      <c r="E1985" s="6" t="str">
        <f aca="false">'Dish Database'!E525</f>
        <v>Pan-India</v>
      </c>
      <c r="F1985" s="6" t="s">
        <v>2243</v>
      </c>
      <c r="G1985" s="6" t="s">
        <v>2439</v>
      </c>
      <c r="H1985" s="16" t="n">
        <v>20</v>
      </c>
      <c r="I1985" s="6" t="str">
        <f aca="false">'Dish Database'!I525</f>
        <v>g</v>
      </c>
      <c r="J1985" s="13" t="n">
        <f aca="false">'Dish Database'!J525*H1985/100</f>
        <v>78</v>
      </c>
      <c r="K1985" s="17" t="n">
        <f aca="false">'Dish Database'!K525*H1985/100</f>
        <v>0.4</v>
      </c>
      <c r="L1985" s="17" t="n">
        <f aca="false">'Dish Database'!L525*H1985/100</f>
        <v>12.4</v>
      </c>
      <c r="M1985" s="17" t="n">
        <f aca="false">'Dish Database'!M525*H1985/100</f>
        <v>3</v>
      </c>
      <c r="N1985" s="17" t="n">
        <f aca="false">'Dish Database'!N525*H1985/100</f>
        <v>0.1</v>
      </c>
      <c r="O1985" s="17" t="n">
        <f aca="false">'Dish Database'!O525*H1985/100</f>
        <v>9</v>
      </c>
      <c r="P1985" s="13" t="n">
        <f aca="false">'Dish Database'!P525*H1985/100</f>
        <v>4</v>
      </c>
    </row>
    <row r="1986" customFormat="false" ht="15" hidden="false" customHeight="false" outlineLevel="0" collapsed="false">
      <c r="A1986" s="6" t="str">
        <f aca="false">'Dish Database'!A525</f>
        <v>D524</v>
      </c>
      <c r="B1986" s="6" t="str">
        <f aca="false">'Dish Database'!B525</f>
        <v>Jalebi</v>
      </c>
      <c r="C1986" s="6" t="str">
        <f aca="false">'Dish Database'!D525</f>
        <v>Sweets (Mithai)</v>
      </c>
      <c r="D1986" s="6" t="str">
        <f aca="false">'Dish Database'!F525</f>
        <v>Veg</v>
      </c>
      <c r="E1986" s="6" t="str">
        <f aca="false">'Dish Database'!E525</f>
        <v>Pan-India</v>
      </c>
      <c r="F1986" s="6" t="s">
        <v>103</v>
      </c>
      <c r="G1986" s="6" t="s">
        <v>2662</v>
      </c>
      <c r="H1986" s="16" t="n">
        <v>35</v>
      </c>
      <c r="I1986" s="6" t="str">
        <f aca="false">'Dish Database'!I525</f>
        <v>g</v>
      </c>
      <c r="J1986" s="13" t="n">
        <f aca="false">'Dish Database'!J525*H1986/100</f>
        <v>136.5</v>
      </c>
      <c r="K1986" s="17" t="n">
        <f aca="false">'Dish Database'!K525*H1986/100</f>
        <v>0.7</v>
      </c>
      <c r="L1986" s="17" t="n">
        <f aca="false">'Dish Database'!L525*H1986/100</f>
        <v>21.7</v>
      </c>
      <c r="M1986" s="17" t="n">
        <f aca="false">'Dish Database'!M525*H1986/100</f>
        <v>5.25</v>
      </c>
      <c r="N1986" s="17" t="n">
        <f aca="false">'Dish Database'!N525*H1986/100</f>
        <v>0.175</v>
      </c>
      <c r="O1986" s="17" t="n">
        <f aca="false">'Dish Database'!O525*H1986/100</f>
        <v>15.75</v>
      </c>
      <c r="P1986" s="13" t="n">
        <f aca="false">'Dish Database'!P525*H1986/100</f>
        <v>7</v>
      </c>
    </row>
    <row r="1987" customFormat="false" ht="15" hidden="false" customHeight="false" outlineLevel="0" collapsed="false">
      <c r="A1987" s="6" t="str">
        <f aca="false">'Dish Database'!A525</f>
        <v>D524</v>
      </c>
      <c r="B1987" s="6" t="str">
        <f aca="false">'Dish Database'!B525</f>
        <v>Jalebi</v>
      </c>
      <c r="C1987" s="6" t="str">
        <f aca="false">'Dish Database'!D525</f>
        <v>Sweets (Mithai)</v>
      </c>
      <c r="D1987" s="6" t="str">
        <f aca="false">'Dish Database'!F525</f>
        <v>Veg</v>
      </c>
      <c r="E1987" s="6" t="str">
        <f aca="false">'Dish Database'!E525</f>
        <v>Pan-India</v>
      </c>
      <c r="F1987" s="6" t="s">
        <v>2246</v>
      </c>
      <c r="G1987" s="6" t="s">
        <v>2663</v>
      </c>
      <c r="H1987" s="16" t="n">
        <v>50</v>
      </c>
      <c r="I1987" s="6" t="str">
        <f aca="false">'Dish Database'!I525</f>
        <v>g</v>
      </c>
      <c r="J1987" s="13" t="n">
        <f aca="false">'Dish Database'!J525*H1987/100</f>
        <v>195</v>
      </c>
      <c r="K1987" s="17" t="n">
        <f aca="false">'Dish Database'!K525*H1987/100</f>
        <v>1</v>
      </c>
      <c r="L1987" s="17" t="n">
        <f aca="false">'Dish Database'!L525*H1987/100</f>
        <v>31</v>
      </c>
      <c r="M1987" s="17" t="n">
        <f aca="false">'Dish Database'!M525*H1987/100</f>
        <v>7.5</v>
      </c>
      <c r="N1987" s="17" t="n">
        <f aca="false">'Dish Database'!N525*H1987/100</f>
        <v>0.25</v>
      </c>
      <c r="O1987" s="17" t="n">
        <f aca="false">'Dish Database'!O525*H1987/100</f>
        <v>22.5</v>
      </c>
      <c r="P1987" s="13" t="n">
        <f aca="false">'Dish Database'!P525*H1987/100</f>
        <v>10</v>
      </c>
    </row>
    <row r="1988" customFormat="false" ht="15" hidden="false" customHeight="false" outlineLevel="0" collapsed="false">
      <c r="A1988" s="6" t="str">
        <f aca="false">'Dish Database'!A526</f>
        <v>D525</v>
      </c>
      <c r="B1988" s="6" t="str">
        <f aca="false">'Dish Database'!B526</f>
        <v>Imarti</v>
      </c>
      <c r="C1988" s="6" t="str">
        <f aca="false">'Dish Database'!D526</f>
        <v>Sweets (Mithai)</v>
      </c>
      <c r="D1988" s="6" t="str">
        <f aca="false">'Dish Database'!F526</f>
        <v>Veg</v>
      </c>
      <c r="E1988" s="6" t="str">
        <f aca="false">'Dish Database'!E526</f>
        <v>North</v>
      </c>
      <c r="F1988" s="6" t="s">
        <v>2243</v>
      </c>
      <c r="G1988" s="6" t="s">
        <v>2647</v>
      </c>
      <c r="H1988" s="16" t="n">
        <v>30</v>
      </c>
      <c r="I1988" s="6" t="str">
        <f aca="false">'Dish Database'!I526</f>
        <v>g</v>
      </c>
      <c r="J1988" s="13" t="n">
        <f aca="false">'Dish Database'!J526*H1988/100</f>
        <v>119.4</v>
      </c>
      <c r="K1988" s="17" t="n">
        <f aca="false">'Dish Database'!K526*H1988/100</f>
        <v>1.2</v>
      </c>
      <c r="L1988" s="17" t="n">
        <f aca="false">'Dish Database'!L526*H1988/100</f>
        <v>18</v>
      </c>
      <c r="M1988" s="17" t="n">
        <f aca="false">'Dish Database'!M526*H1988/100</f>
        <v>4.8</v>
      </c>
      <c r="N1988" s="17" t="n">
        <f aca="false">'Dish Database'!N526*H1988/100</f>
        <v>0.3</v>
      </c>
      <c r="O1988" s="17" t="n">
        <f aca="false">'Dish Database'!O526*H1988/100</f>
        <v>13.5</v>
      </c>
      <c r="P1988" s="13" t="n">
        <f aca="false">'Dish Database'!P526*H1988/100</f>
        <v>6</v>
      </c>
    </row>
    <row r="1989" customFormat="false" ht="15" hidden="false" customHeight="false" outlineLevel="0" collapsed="false">
      <c r="A1989" s="6" t="str">
        <f aca="false">'Dish Database'!A526</f>
        <v>D525</v>
      </c>
      <c r="B1989" s="6" t="str">
        <f aca="false">'Dish Database'!B526</f>
        <v>Imarti</v>
      </c>
      <c r="C1989" s="6" t="str">
        <f aca="false">'Dish Database'!D526</f>
        <v>Sweets (Mithai)</v>
      </c>
      <c r="D1989" s="6" t="str">
        <f aca="false">'Dish Database'!F526</f>
        <v>Veg</v>
      </c>
      <c r="E1989" s="6" t="str">
        <f aca="false">'Dish Database'!E526</f>
        <v>North</v>
      </c>
      <c r="F1989" s="6" t="s">
        <v>103</v>
      </c>
      <c r="G1989" s="6" t="s">
        <v>2664</v>
      </c>
      <c r="H1989" s="16" t="n">
        <v>45</v>
      </c>
      <c r="I1989" s="6" t="str">
        <f aca="false">'Dish Database'!I526</f>
        <v>g</v>
      </c>
      <c r="J1989" s="13" t="n">
        <f aca="false">'Dish Database'!J526*H1989/100</f>
        <v>179.1</v>
      </c>
      <c r="K1989" s="17" t="n">
        <f aca="false">'Dish Database'!K526*H1989/100</f>
        <v>1.8</v>
      </c>
      <c r="L1989" s="17" t="n">
        <f aca="false">'Dish Database'!L526*H1989/100</f>
        <v>27</v>
      </c>
      <c r="M1989" s="17" t="n">
        <f aca="false">'Dish Database'!M526*H1989/100</f>
        <v>7.2</v>
      </c>
      <c r="N1989" s="17" t="n">
        <f aca="false">'Dish Database'!N526*H1989/100</f>
        <v>0.45</v>
      </c>
      <c r="O1989" s="17" t="n">
        <f aca="false">'Dish Database'!O526*H1989/100</f>
        <v>20.25</v>
      </c>
      <c r="P1989" s="13" t="n">
        <f aca="false">'Dish Database'!P526*H1989/100</f>
        <v>9</v>
      </c>
    </row>
    <row r="1990" customFormat="false" ht="15" hidden="false" customHeight="false" outlineLevel="0" collapsed="false">
      <c r="A1990" s="6" t="str">
        <f aca="false">'Dish Database'!A526</f>
        <v>D525</v>
      </c>
      <c r="B1990" s="6" t="str">
        <f aca="false">'Dish Database'!B526</f>
        <v>Imarti</v>
      </c>
      <c r="C1990" s="6" t="str">
        <f aca="false">'Dish Database'!D526</f>
        <v>Sweets (Mithai)</v>
      </c>
      <c r="D1990" s="6" t="str">
        <f aca="false">'Dish Database'!F526</f>
        <v>Veg</v>
      </c>
      <c r="E1990" s="6" t="str">
        <f aca="false">'Dish Database'!E526</f>
        <v>North</v>
      </c>
      <c r="F1990" s="6" t="s">
        <v>2246</v>
      </c>
      <c r="G1990" s="6" t="s">
        <v>2343</v>
      </c>
      <c r="H1990" s="16" t="n">
        <v>60</v>
      </c>
      <c r="I1990" s="6" t="str">
        <f aca="false">'Dish Database'!I526</f>
        <v>g</v>
      </c>
      <c r="J1990" s="13" t="n">
        <f aca="false">'Dish Database'!J526*H1990/100</f>
        <v>238.8</v>
      </c>
      <c r="K1990" s="17" t="n">
        <f aca="false">'Dish Database'!K526*H1990/100</f>
        <v>2.4</v>
      </c>
      <c r="L1990" s="17" t="n">
        <f aca="false">'Dish Database'!L526*H1990/100</f>
        <v>36</v>
      </c>
      <c r="M1990" s="17" t="n">
        <f aca="false">'Dish Database'!M526*H1990/100</f>
        <v>9.6</v>
      </c>
      <c r="N1990" s="17" t="n">
        <f aca="false">'Dish Database'!N526*H1990/100</f>
        <v>0.6</v>
      </c>
      <c r="O1990" s="17" t="n">
        <f aca="false">'Dish Database'!O526*H1990/100</f>
        <v>27</v>
      </c>
      <c r="P1990" s="13" t="n">
        <f aca="false">'Dish Database'!P526*H1990/100</f>
        <v>12</v>
      </c>
    </row>
    <row r="1991" customFormat="false" ht="15" hidden="false" customHeight="false" outlineLevel="0" collapsed="false">
      <c r="A1991" s="6" t="str">
        <f aca="false">'Dish Database'!A527</f>
        <v>D526</v>
      </c>
      <c r="B1991" s="6" t="str">
        <f aca="false">'Dish Database'!B527</f>
        <v>Kaju katli</v>
      </c>
      <c r="C1991" s="6" t="str">
        <f aca="false">'Dish Database'!D527</f>
        <v>Sweets (Mithai)</v>
      </c>
      <c r="D1991" s="6" t="str">
        <f aca="false">'Dish Database'!F527</f>
        <v>Veg</v>
      </c>
      <c r="E1991" s="6" t="str">
        <f aca="false">'Dish Database'!E527</f>
        <v>Pan-India</v>
      </c>
      <c r="F1991" s="6" t="s">
        <v>2243</v>
      </c>
      <c r="G1991" s="6" t="s">
        <v>2639</v>
      </c>
      <c r="H1991" s="16" t="n">
        <v>10</v>
      </c>
      <c r="I1991" s="6" t="str">
        <f aca="false">'Dish Database'!I527</f>
        <v>g</v>
      </c>
      <c r="J1991" s="13" t="n">
        <f aca="false">'Dish Database'!J527*H1991/100</f>
        <v>47.98</v>
      </c>
      <c r="K1991" s="17" t="n">
        <f aca="false">'Dish Database'!K527*H1991/100</f>
        <v>0.9</v>
      </c>
      <c r="L1991" s="17" t="n">
        <f aca="false">'Dish Database'!L527*H1991/100</f>
        <v>6</v>
      </c>
      <c r="M1991" s="17" t="n">
        <f aca="false">'Dish Database'!M527*H1991/100</f>
        <v>2.3</v>
      </c>
      <c r="N1991" s="17" t="n">
        <f aca="false">'Dish Database'!N527*H1991/100</f>
        <v>0.16</v>
      </c>
      <c r="O1991" s="17" t="n">
        <f aca="false">'Dish Database'!O527*H1991/100</f>
        <v>4.5</v>
      </c>
      <c r="P1991" s="13" t="n">
        <f aca="false">'Dish Database'!P527*H1991/100</f>
        <v>1.5</v>
      </c>
    </row>
    <row r="1992" customFormat="false" ht="15" hidden="false" customHeight="false" outlineLevel="0" collapsed="false">
      <c r="A1992" s="6" t="str">
        <f aca="false">'Dish Database'!A527</f>
        <v>D526</v>
      </c>
      <c r="B1992" s="6" t="str">
        <f aca="false">'Dish Database'!B527</f>
        <v>Kaju katli</v>
      </c>
      <c r="C1992" s="6" t="str">
        <f aca="false">'Dish Database'!D527</f>
        <v>Sweets (Mithai)</v>
      </c>
      <c r="D1992" s="6" t="str">
        <f aca="false">'Dish Database'!F527</f>
        <v>Veg</v>
      </c>
      <c r="E1992" s="6" t="str">
        <f aca="false">'Dish Database'!E527</f>
        <v>Pan-India</v>
      </c>
      <c r="F1992" s="6" t="s">
        <v>103</v>
      </c>
      <c r="G1992" s="6" t="s">
        <v>2640</v>
      </c>
      <c r="H1992" s="16" t="n">
        <v>15</v>
      </c>
      <c r="I1992" s="6" t="str">
        <f aca="false">'Dish Database'!I527</f>
        <v>g</v>
      </c>
      <c r="J1992" s="13" t="n">
        <f aca="false">'Dish Database'!J527*H1992/100</f>
        <v>71.97</v>
      </c>
      <c r="K1992" s="17" t="n">
        <f aca="false">'Dish Database'!K527*H1992/100</f>
        <v>1.35</v>
      </c>
      <c r="L1992" s="17" t="n">
        <f aca="false">'Dish Database'!L527*H1992/100</f>
        <v>9</v>
      </c>
      <c r="M1992" s="17" t="n">
        <f aca="false">'Dish Database'!M527*H1992/100</f>
        <v>3.45</v>
      </c>
      <c r="N1992" s="17" t="n">
        <f aca="false">'Dish Database'!N527*H1992/100</f>
        <v>0.24</v>
      </c>
      <c r="O1992" s="17" t="n">
        <f aca="false">'Dish Database'!O527*H1992/100</f>
        <v>6.75</v>
      </c>
      <c r="P1992" s="13" t="n">
        <f aca="false">'Dish Database'!P527*H1992/100</f>
        <v>2.25</v>
      </c>
    </row>
    <row r="1993" customFormat="false" ht="15" hidden="false" customHeight="false" outlineLevel="0" collapsed="false">
      <c r="A1993" s="6" t="str">
        <f aca="false">'Dish Database'!A527</f>
        <v>D526</v>
      </c>
      <c r="B1993" s="6" t="str">
        <f aca="false">'Dish Database'!B527</f>
        <v>Kaju katli</v>
      </c>
      <c r="C1993" s="6" t="str">
        <f aca="false">'Dish Database'!D527</f>
        <v>Sweets (Mithai)</v>
      </c>
      <c r="D1993" s="6" t="str">
        <f aca="false">'Dish Database'!F527</f>
        <v>Veg</v>
      </c>
      <c r="E1993" s="6" t="str">
        <f aca="false">'Dish Database'!E527</f>
        <v>Pan-India</v>
      </c>
      <c r="F1993" s="6" t="s">
        <v>2246</v>
      </c>
      <c r="G1993" s="6" t="s">
        <v>2665</v>
      </c>
      <c r="H1993" s="16" t="n">
        <v>20</v>
      </c>
      <c r="I1993" s="6" t="str">
        <f aca="false">'Dish Database'!I527</f>
        <v>g</v>
      </c>
      <c r="J1993" s="13" t="n">
        <f aca="false">'Dish Database'!J527*H1993/100</f>
        <v>95.96</v>
      </c>
      <c r="K1993" s="17" t="n">
        <f aca="false">'Dish Database'!K527*H1993/100</f>
        <v>1.8</v>
      </c>
      <c r="L1993" s="17" t="n">
        <f aca="false">'Dish Database'!L527*H1993/100</f>
        <v>12</v>
      </c>
      <c r="M1993" s="17" t="n">
        <f aca="false">'Dish Database'!M527*H1993/100</f>
        <v>4.6</v>
      </c>
      <c r="N1993" s="17" t="n">
        <f aca="false">'Dish Database'!N527*H1993/100</f>
        <v>0.32</v>
      </c>
      <c r="O1993" s="17" t="n">
        <f aca="false">'Dish Database'!O527*H1993/100</f>
        <v>9</v>
      </c>
      <c r="P1993" s="13" t="n">
        <f aca="false">'Dish Database'!P527*H1993/100</f>
        <v>3</v>
      </c>
    </row>
    <row r="1994" customFormat="false" ht="15" hidden="false" customHeight="false" outlineLevel="0" collapsed="false">
      <c r="A1994" s="6" t="str">
        <f aca="false">'Dish Database'!A528</f>
        <v>D527</v>
      </c>
      <c r="B1994" s="6" t="str">
        <f aca="false">'Dish Database'!B528</f>
        <v>Besan ladoo</v>
      </c>
      <c r="C1994" s="6" t="str">
        <f aca="false">'Dish Database'!D528</f>
        <v>Sweets (Mithai)</v>
      </c>
      <c r="D1994" s="6" t="str">
        <f aca="false">'Dish Database'!F528</f>
        <v>Veg</v>
      </c>
      <c r="E1994" s="6" t="str">
        <f aca="false">'Dish Database'!E528</f>
        <v>Pan-India</v>
      </c>
      <c r="F1994" s="6" t="s">
        <v>2243</v>
      </c>
      <c r="G1994" s="6" t="s">
        <v>2666</v>
      </c>
      <c r="H1994" s="16" t="n">
        <v>25</v>
      </c>
      <c r="I1994" s="6" t="str">
        <f aca="false">'Dish Database'!I528</f>
        <v>g</v>
      </c>
      <c r="J1994" s="13" t="n">
        <f aca="false">'Dish Database'!J528*H1994/100</f>
        <v>123.5</v>
      </c>
      <c r="K1994" s="17" t="n">
        <f aca="false">'Dish Database'!K528*H1994/100</f>
        <v>2</v>
      </c>
      <c r="L1994" s="17" t="n">
        <f aca="false">'Dish Database'!L528*H1994/100</f>
        <v>12.5</v>
      </c>
      <c r="M1994" s="17" t="n">
        <f aca="false">'Dish Database'!M528*H1994/100</f>
        <v>7.5</v>
      </c>
      <c r="N1994" s="17" t="n">
        <f aca="false">'Dish Database'!N528*H1994/100</f>
        <v>1</v>
      </c>
      <c r="O1994" s="17" t="n">
        <f aca="false">'Dish Database'!O528*H1994/100</f>
        <v>7.5</v>
      </c>
      <c r="P1994" s="13" t="n">
        <f aca="false">'Dish Database'!P528*H1994/100</f>
        <v>5</v>
      </c>
    </row>
    <row r="1995" customFormat="false" ht="15" hidden="false" customHeight="false" outlineLevel="0" collapsed="false">
      <c r="A1995" s="6" t="str">
        <f aca="false">'Dish Database'!A528</f>
        <v>D527</v>
      </c>
      <c r="B1995" s="6" t="str">
        <f aca="false">'Dish Database'!B528</f>
        <v>Besan ladoo</v>
      </c>
      <c r="C1995" s="6" t="str">
        <f aca="false">'Dish Database'!D528</f>
        <v>Sweets (Mithai)</v>
      </c>
      <c r="D1995" s="6" t="str">
        <f aca="false">'Dish Database'!F528</f>
        <v>Veg</v>
      </c>
      <c r="E1995" s="6" t="str">
        <f aca="false">'Dish Database'!E528</f>
        <v>Pan-India</v>
      </c>
      <c r="F1995" s="6" t="s">
        <v>103</v>
      </c>
      <c r="G1995" s="6" t="s">
        <v>2667</v>
      </c>
      <c r="H1995" s="16" t="n">
        <v>35</v>
      </c>
      <c r="I1995" s="6" t="str">
        <f aca="false">'Dish Database'!I528</f>
        <v>g</v>
      </c>
      <c r="J1995" s="13" t="n">
        <f aca="false">'Dish Database'!J528*H1995/100</f>
        <v>172.9</v>
      </c>
      <c r="K1995" s="17" t="n">
        <f aca="false">'Dish Database'!K528*H1995/100</f>
        <v>2.8</v>
      </c>
      <c r="L1995" s="17" t="n">
        <f aca="false">'Dish Database'!L528*H1995/100</f>
        <v>17.5</v>
      </c>
      <c r="M1995" s="17" t="n">
        <f aca="false">'Dish Database'!M528*H1995/100</f>
        <v>10.5</v>
      </c>
      <c r="N1995" s="17" t="n">
        <f aca="false">'Dish Database'!N528*H1995/100</f>
        <v>1.4</v>
      </c>
      <c r="O1995" s="17" t="n">
        <f aca="false">'Dish Database'!O528*H1995/100</f>
        <v>10.5</v>
      </c>
      <c r="P1995" s="13" t="n">
        <f aca="false">'Dish Database'!P528*H1995/100</f>
        <v>7</v>
      </c>
    </row>
    <row r="1996" customFormat="false" ht="15" hidden="false" customHeight="false" outlineLevel="0" collapsed="false">
      <c r="A1996" s="6" t="str">
        <f aca="false">'Dish Database'!A528</f>
        <v>D527</v>
      </c>
      <c r="B1996" s="6" t="str">
        <f aca="false">'Dish Database'!B528</f>
        <v>Besan ladoo</v>
      </c>
      <c r="C1996" s="6" t="str">
        <f aca="false">'Dish Database'!D528</f>
        <v>Sweets (Mithai)</v>
      </c>
      <c r="D1996" s="6" t="str">
        <f aca="false">'Dish Database'!F528</f>
        <v>Veg</v>
      </c>
      <c r="E1996" s="6" t="str">
        <f aca="false">'Dish Database'!E528</f>
        <v>Pan-India</v>
      </c>
      <c r="F1996" s="6" t="s">
        <v>2246</v>
      </c>
      <c r="G1996" s="6" t="s">
        <v>2668</v>
      </c>
      <c r="H1996" s="16" t="n">
        <v>50</v>
      </c>
      <c r="I1996" s="6" t="str">
        <f aca="false">'Dish Database'!I528</f>
        <v>g</v>
      </c>
      <c r="J1996" s="13" t="n">
        <f aca="false">'Dish Database'!J528*H1996/100</f>
        <v>247</v>
      </c>
      <c r="K1996" s="17" t="n">
        <f aca="false">'Dish Database'!K528*H1996/100</f>
        <v>4</v>
      </c>
      <c r="L1996" s="17" t="n">
        <f aca="false">'Dish Database'!L528*H1996/100</f>
        <v>25</v>
      </c>
      <c r="M1996" s="17" t="n">
        <f aca="false">'Dish Database'!M528*H1996/100</f>
        <v>15</v>
      </c>
      <c r="N1996" s="17" t="n">
        <f aca="false">'Dish Database'!N528*H1996/100</f>
        <v>2</v>
      </c>
      <c r="O1996" s="17" t="n">
        <f aca="false">'Dish Database'!O528*H1996/100</f>
        <v>15</v>
      </c>
      <c r="P1996" s="13" t="n">
        <f aca="false">'Dish Database'!P528*H1996/100</f>
        <v>10</v>
      </c>
    </row>
    <row r="1997" customFormat="false" ht="15" hidden="false" customHeight="false" outlineLevel="0" collapsed="false">
      <c r="A1997" s="6" t="str">
        <f aca="false">'Dish Database'!A529</f>
        <v>D528</v>
      </c>
      <c r="B1997" s="6" t="str">
        <f aca="false">'Dish Database'!B529</f>
        <v>Motichoor ladoo</v>
      </c>
      <c r="C1997" s="6" t="str">
        <f aca="false">'Dish Database'!D529</f>
        <v>Sweets (Mithai)</v>
      </c>
      <c r="D1997" s="6" t="str">
        <f aca="false">'Dish Database'!F529</f>
        <v>Veg</v>
      </c>
      <c r="E1997" s="6" t="str">
        <f aca="false">'Dish Database'!E529</f>
        <v>North</v>
      </c>
      <c r="F1997" s="6" t="s">
        <v>2243</v>
      </c>
      <c r="G1997" s="6" t="s">
        <v>2666</v>
      </c>
      <c r="H1997" s="16" t="n">
        <v>25</v>
      </c>
      <c r="I1997" s="6" t="str">
        <f aca="false">'Dish Database'!I529</f>
        <v>g</v>
      </c>
      <c r="J1997" s="13" t="n">
        <f aca="false">'Dish Database'!J529*H1997/100</f>
        <v>108.75</v>
      </c>
      <c r="K1997" s="17" t="n">
        <f aca="false">'Dish Database'!K529*H1997/100</f>
        <v>1.25</v>
      </c>
      <c r="L1997" s="17" t="n">
        <f aca="false">'Dish Database'!L529*H1997/100</f>
        <v>13.75</v>
      </c>
      <c r="M1997" s="17" t="n">
        <f aca="false">'Dish Database'!M529*H1997/100</f>
        <v>5.5</v>
      </c>
      <c r="N1997" s="17" t="n">
        <f aca="false">'Dish Database'!N529*H1997/100</f>
        <v>0.375</v>
      </c>
      <c r="O1997" s="17" t="n">
        <f aca="false">'Dish Database'!O529*H1997/100</f>
        <v>9.5</v>
      </c>
      <c r="P1997" s="13" t="n">
        <f aca="false">'Dish Database'!P529*H1997/100</f>
        <v>5</v>
      </c>
    </row>
    <row r="1998" customFormat="false" ht="15" hidden="false" customHeight="false" outlineLevel="0" collapsed="false">
      <c r="A1998" s="6" t="str">
        <f aca="false">'Dish Database'!A529</f>
        <v>D528</v>
      </c>
      <c r="B1998" s="6" t="str">
        <f aca="false">'Dish Database'!B529</f>
        <v>Motichoor ladoo</v>
      </c>
      <c r="C1998" s="6" t="str">
        <f aca="false">'Dish Database'!D529</f>
        <v>Sweets (Mithai)</v>
      </c>
      <c r="D1998" s="6" t="str">
        <f aca="false">'Dish Database'!F529</f>
        <v>Veg</v>
      </c>
      <c r="E1998" s="6" t="str">
        <f aca="false">'Dish Database'!E529</f>
        <v>North</v>
      </c>
      <c r="F1998" s="6" t="s">
        <v>103</v>
      </c>
      <c r="G1998" s="6" t="s">
        <v>2669</v>
      </c>
      <c r="H1998" s="16" t="n">
        <v>40</v>
      </c>
      <c r="I1998" s="6" t="str">
        <f aca="false">'Dish Database'!I529</f>
        <v>g</v>
      </c>
      <c r="J1998" s="13" t="n">
        <f aca="false">'Dish Database'!J529*H1998/100</f>
        <v>174</v>
      </c>
      <c r="K1998" s="17" t="n">
        <f aca="false">'Dish Database'!K529*H1998/100</f>
        <v>2</v>
      </c>
      <c r="L1998" s="17" t="n">
        <f aca="false">'Dish Database'!L529*H1998/100</f>
        <v>22</v>
      </c>
      <c r="M1998" s="17" t="n">
        <f aca="false">'Dish Database'!M529*H1998/100</f>
        <v>8.8</v>
      </c>
      <c r="N1998" s="17" t="n">
        <f aca="false">'Dish Database'!N529*H1998/100</f>
        <v>0.6</v>
      </c>
      <c r="O1998" s="17" t="n">
        <f aca="false">'Dish Database'!O529*H1998/100</f>
        <v>15.2</v>
      </c>
      <c r="P1998" s="13" t="n">
        <f aca="false">'Dish Database'!P529*H1998/100</f>
        <v>8</v>
      </c>
    </row>
    <row r="1999" customFormat="false" ht="15" hidden="false" customHeight="false" outlineLevel="0" collapsed="false">
      <c r="A1999" s="6" t="str">
        <f aca="false">'Dish Database'!A529</f>
        <v>D528</v>
      </c>
      <c r="B1999" s="6" t="str">
        <f aca="false">'Dish Database'!B529</f>
        <v>Motichoor ladoo</v>
      </c>
      <c r="C1999" s="6" t="str">
        <f aca="false">'Dish Database'!D529</f>
        <v>Sweets (Mithai)</v>
      </c>
      <c r="D1999" s="6" t="str">
        <f aca="false">'Dish Database'!F529</f>
        <v>Veg</v>
      </c>
      <c r="E1999" s="6" t="str">
        <f aca="false">'Dish Database'!E529</f>
        <v>North</v>
      </c>
      <c r="F1999" s="6" t="s">
        <v>2246</v>
      </c>
      <c r="G1999" s="6" t="s">
        <v>2670</v>
      </c>
      <c r="H1999" s="16" t="n">
        <v>55</v>
      </c>
      <c r="I1999" s="6" t="str">
        <f aca="false">'Dish Database'!I529</f>
        <v>g</v>
      </c>
      <c r="J1999" s="13" t="n">
        <f aca="false">'Dish Database'!J529*H1999/100</f>
        <v>239.25</v>
      </c>
      <c r="K1999" s="17" t="n">
        <f aca="false">'Dish Database'!K529*H1999/100</f>
        <v>2.75</v>
      </c>
      <c r="L1999" s="17" t="n">
        <f aca="false">'Dish Database'!L529*H1999/100</f>
        <v>30.25</v>
      </c>
      <c r="M1999" s="17" t="n">
        <f aca="false">'Dish Database'!M529*H1999/100</f>
        <v>12.1</v>
      </c>
      <c r="N1999" s="17" t="n">
        <f aca="false">'Dish Database'!N529*H1999/100</f>
        <v>0.825</v>
      </c>
      <c r="O1999" s="17" t="n">
        <f aca="false">'Dish Database'!O529*H1999/100</f>
        <v>20.9</v>
      </c>
      <c r="P1999" s="13" t="n">
        <f aca="false">'Dish Database'!P529*H1999/100</f>
        <v>11</v>
      </c>
    </row>
    <row r="2000" customFormat="false" ht="15" hidden="false" customHeight="false" outlineLevel="0" collapsed="false">
      <c r="A2000" s="6" t="str">
        <f aca="false">'Dish Database'!A530</f>
        <v>D529</v>
      </c>
      <c r="B2000" s="6" t="str">
        <f aca="false">'Dish Database'!B530</f>
        <v>Boondi ladoo</v>
      </c>
      <c r="C2000" s="6" t="str">
        <f aca="false">'Dish Database'!D530</f>
        <v>Sweets (Mithai)</v>
      </c>
      <c r="D2000" s="6" t="str">
        <f aca="false">'Dish Database'!F530</f>
        <v>Veg</v>
      </c>
      <c r="E2000" s="6" t="str">
        <f aca="false">'Dish Database'!E530</f>
        <v>Pan-India</v>
      </c>
      <c r="F2000" s="6" t="s">
        <v>2243</v>
      </c>
      <c r="G2000" s="6" t="s">
        <v>2666</v>
      </c>
      <c r="H2000" s="16" t="n">
        <v>25</v>
      </c>
      <c r="I2000" s="6" t="str">
        <f aca="false">'Dish Database'!I530</f>
        <v>g</v>
      </c>
      <c r="J2000" s="13" t="n">
        <f aca="false">'Dish Database'!J530*H2000/100</f>
        <v>107.5</v>
      </c>
      <c r="K2000" s="17" t="n">
        <f aca="false">'Dish Database'!K530*H2000/100</f>
        <v>1.25</v>
      </c>
      <c r="L2000" s="17" t="n">
        <f aca="false">'Dish Database'!L530*H2000/100</f>
        <v>14</v>
      </c>
      <c r="M2000" s="17" t="n">
        <f aca="false">'Dish Database'!M530*H2000/100</f>
        <v>5.25</v>
      </c>
      <c r="N2000" s="17" t="n">
        <f aca="false">'Dish Database'!N530*H2000/100</f>
        <v>0.375</v>
      </c>
      <c r="O2000" s="17" t="n">
        <f aca="false">'Dish Database'!O530*H2000/100</f>
        <v>9.5</v>
      </c>
      <c r="P2000" s="13" t="n">
        <f aca="false">'Dish Database'!P530*H2000/100</f>
        <v>5</v>
      </c>
    </row>
    <row r="2001" customFormat="false" ht="15" hidden="false" customHeight="false" outlineLevel="0" collapsed="false">
      <c r="A2001" s="6" t="str">
        <f aca="false">'Dish Database'!A530</f>
        <v>D529</v>
      </c>
      <c r="B2001" s="6" t="str">
        <f aca="false">'Dish Database'!B530</f>
        <v>Boondi ladoo</v>
      </c>
      <c r="C2001" s="6" t="str">
        <f aca="false">'Dish Database'!D530</f>
        <v>Sweets (Mithai)</v>
      </c>
      <c r="D2001" s="6" t="str">
        <f aca="false">'Dish Database'!F530</f>
        <v>Veg</v>
      </c>
      <c r="E2001" s="6" t="str">
        <f aca="false">'Dish Database'!E530</f>
        <v>Pan-India</v>
      </c>
      <c r="F2001" s="6" t="s">
        <v>103</v>
      </c>
      <c r="G2001" s="6" t="s">
        <v>2669</v>
      </c>
      <c r="H2001" s="16" t="n">
        <v>40</v>
      </c>
      <c r="I2001" s="6" t="str">
        <f aca="false">'Dish Database'!I530</f>
        <v>g</v>
      </c>
      <c r="J2001" s="13" t="n">
        <f aca="false">'Dish Database'!J530*H2001/100</f>
        <v>172</v>
      </c>
      <c r="K2001" s="17" t="n">
        <f aca="false">'Dish Database'!K530*H2001/100</f>
        <v>2</v>
      </c>
      <c r="L2001" s="17" t="n">
        <f aca="false">'Dish Database'!L530*H2001/100</f>
        <v>22.4</v>
      </c>
      <c r="M2001" s="17" t="n">
        <f aca="false">'Dish Database'!M530*H2001/100</f>
        <v>8.4</v>
      </c>
      <c r="N2001" s="17" t="n">
        <f aca="false">'Dish Database'!N530*H2001/100</f>
        <v>0.6</v>
      </c>
      <c r="O2001" s="17" t="n">
        <f aca="false">'Dish Database'!O530*H2001/100</f>
        <v>15.2</v>
      </c>
      <c r="P2001" s="13" t="n">
        <f aca="false">'Dish Database'!P530*H2001/100</f>
        <v>8</v>
      </c>
    </row>
    <row r="2002" customFormat="false" ht="15" hidden="false" customHeight="false" outlineLevel="0" collapsed="false">
      <c r="A2002" s="6" t="str">
        <f aca="false">'Dish Database'!A530</f>
        <v>D529</v>
      </c>
      <c r="B2002" s="6" t="str">
        <f aca="false">'Dish Database'!B530</f>
        <v>Boondi ladoo</v>
      </c>
      <c r="C2002" s="6" t="str">
        <f aca="false">'Dish Database'!D530</f>
        <v>Sweets (Mithai)</v>
      </c>
      <c r="D2002" s="6" t="str">
        <f aca="false">'Dish Database'!F530</f>
        <v>Veg</v>
      </c>
      <c r="E2002" s="6" t="str">
        <f aca="false">'Dish Database'!E530</f>
        <v>Pan-India</v>
      </c>
      <c r="F2002" s="6" t="s">
        <v>2246</v>
      </c>
      <c r="G2002" s="6" t="s">
        <v>2670</v>
      </c>
      <c r="H2002" s="16" t="n">
        <v>55</v>
      </c>
      <c r="I2002" s="6" t="str">
        <f aca="false">'Dish Database'!I530</f>
        <v>g</v>
      </c>
      <c r="J2002" s="13" t="n">
        <f aca="false">'Dish Database'!J530*H2002/100</f>
        <v>236.5</v>
      </c>
      <c r="K2002" s="17" t="n">
        <f aca="false">'Dish Database'!K530*H2002/100</f>
        <v>2.75</v>
      </c>
      <c r="L2002" s="17" t="n">
        <f aca="false">'Dish Database'!L530*H2002/100</f>
        <v>30.8</v>
      </c>
      <c r="M2002" s="17" t="n">
        <f aca="false">'Dish Database'!M530*H2002/100</f>
        <v>11.55</v>
      </c>
      <c r="N2002" s="17" t="n">
        <f aca="false">'Dish Database'!N530*H2002/100</f>
        <v>0.825</v>
      </c>
      <c r="O2002" s="17" t="n">
        <f aca="false">'Dish Database'!O530*H2002/100</f>
        <v>20.9</v>
      </c>
      <c r="P2002" s="13" t="n">
        <f aca="false">'Dish Database'!P530*H2002/100</f>
        <v>11</v>
      </c>
    </row>
    <row r="2003" customFormat="false" ht="15" hidden="false" customHeight="false" outlineLevel="0" collapsed="false">
      <c r="A2003" s="6" t="str">
        <f aca="false">'Dish Database'!A531</f>
        <v>D530</v>
      </c>
      <c r="B2003" s="6" t="str">
        <f aca="false">'Dish Database'!B531</f>
        <v>Coconut ladoo</v>
      </c>
      <c r="C2003" s="6" t="str">
        <f aca="false">'Dish Database'!D531</f>
        <v>Sweets (Mithai)</v>
      </c>
      <c r="D2003" s="6" t="str">
        <f aca="false">'Dish Database'!F531</f>
        <v>Veg</v>
      </c>
      <c r="E2003" s="6" t="str">
        <f aca="false">'Dish Database'!E531</f>
        <v>Pan-India</v>
      </c>
      <c r="F2003" s="6" t="s">
        <v>2243</v>
      </c>
      <c r="G2003" s="6" t="s">
        <v>2671</v>
      </c>
      <c r="H2003" s="16" t="n">
        <v>20</v>
      </c>
      <c r="I2003" s="6" t="str">
        <f aca="false">'Dish Database'!I531</f>
        <v>g</v>
      </c>
      <c r="J2003" s="13" t="n">
        <f aca="false">'Dish Database'!J531*H2003/100</f>
        <v>81.6</v>
      </c>
      <c r="K2003" s="17" t="n">
        <f aca="false">'Dish Database'!K531*H2003/100</f>
        <v>1</v>
      </c>
      <c r="L2003" s="17" t="n">
        <f aca="false">'Dish Database'!L531*H2003/100</f>
        <v>10</v>
      </c>
      <c r="M2003" s="17" t="n">
        <f aca="false">'Dish Database'!M531*H2003/100</f>
        <v>4.4</v>
      </c>
      <c r="N2003" s="17" t="n">
        <f aca="false">'Dish Database'!N531*H2003/100</f>
        <v>1</v>
      </c>
      <c r="O2003" s="17" t="n">
        <f aca="false">'Dish Database'!O531*H2003/100</f>
        <v>8.4</v>
      </c>
      <c r="P2003" s="13" t="n">
        <f aca="false">'Dish Database'!P531*H2003/100</f>
        <v>6</v>
      </c>
    </row>
    <row r="2004" customFormat="false" ht="15" hidden="false" customHeight="false" outlineLevel="0" collapsed="false">
      <c r="A2004" s="6" t="str">
        <f aca="false">'Dish Database'!A531</f>
        <v>D530</v>
      </c>
      <c r="B2004" s="6" t="str">
        <f aca="false">'Dish Database'!B531</f>
        <v>Coconut ladoo</v>
      </c>
      <c r="C2004" s="6" t="str">
        <f aca="false">'Dish Database'!D531</f>
        <v>Sweets (Mithai)</v>
      </c>
      <c r="D2004" s="6" t="str">
        <f aca="false">'Dish Database'!F531</f>
        <v>Veg</v>
      </c>
      <c r="E2004" s="6" t="str">
        <f aca="false">'Dish Database'!E531</f>
        <v>Pan-India</v>
      </c>
      <c r="F2004" s="6" t="s">
        <v>103</v>
      </c>
      <c r="G2004" s="6" t="s">
        <v>2672</v>
      </c>
      <c r="H2004" s="16" t="n">
        <v>30</v>
      </c>
      <c r="I2004" s="6" t="str">
        <f aca="false">'Dish Database'!I531</f>
        <v>g</v>
      </c>
      <c r="J2004" s="13" t="n">
        <f aca="false">'Dish Database'!J531*H2004/100</f>
        <v>122.4</v>
      </c>
      <c r="K2004" s="17" t="n">
        <f aca="false">'Dish Database'!K531*H2004/100</f>
        <v>1.5</v>
      </c>
      <c r="L2004" s="17" t="n">
        <f aca="false">'Dish Database'!L531*H2004/100</f>
        <v>15</v>
      </c>
      <c r="M2004" s="17" t="n">
        <f aca="false">'Dish Database'!M531*H2004/100</f>
        <v>6.6</v>
      </c>
      <c r="N2004" s="17" t="n">
        <f aca="false">'Dish Database'!N531*H2004/100</f>
        <v>1.5</v>
      </c>
      <c r="O2004" s="17" t="n">
        <f aca="false">'Dish Database'!O531*H2004/100</f>
        <v>12.6</v>
      </c>
      <c r="P2004" s="13" t="n">
        <f aca="false">'Dish Database'!P531*H2004/100</f>
        <v>9</v>
      </c>
    </row>
    <row r="2005" customFormat="false" ht="15" hidden="false" customHeight="false" outlineLevel="0" collapsed="false">
      <c r="A2005" s="6" t="str">
        <f aca="false">'Dish Database'!A531</f>
        <v>D530</v>
      </c>
      <c r="B2005" s="6" t="str">
        <f aca="false">'Dish Database'!B531</f>
        <v>Coconut ladoo</v>
      </c>
      <c r="C2005" s="6" t="str">
        <f aca="false">'Dish Database'!D531</f>
        <v>Sweets (Mithai)</v>
      </c>
      <c r="D2005" s="6" t="str">
        <f aca="false">'Dish Database'!F531</f>
        <v>Veg</v>
      </c>
      <c r="E2005" s="6" t="str">
        <f aca="false">'Dish Database'!E531</f>
        <v>Pan-India</v>
      </c>
      <c r="F2005" s="6" t="s">
        <v>2246</v>
      </c>
      <c r="G2005" s="6" t="s">
        <v>2673</v>
      </c>
      <c r="H2005" s="16" t="n">
        <v>40</v>
      </c>
      <c r="I2005" s="6" t="str">
        <f aca="false">'Dish Database'!I531</f>
        <v>g</v>
      </c>
      <c r="J2005" s="13" t="n">
        <f aca="false">'Dish Database'!J531*H2005/100</f>
        <v>163.2</v>
      </c>
      <c r="K2005" s="17" t="n">
        <f aca="false">'Dish Database'!K531*H2005/100</f>
        <v>2</v>
      </c>
      <c r="L2005" s="17" t="n">
        <f aca="false">'Dish Database'!L531*H2005/100</f>
        <v>20</v>
      </c>
      <c r="M2005" s="17" t="n">
        <f aca="false">'Dish Database'!M531*H2005/100</f>
        <v>8.8</v>
      </c>
      <c r="N2005" s="17" t="n">
        <f aca="false">'Dish Database'!N531*H2005/100</f>
        <v>2</v>
      </c>
      <c r="O2005" s="17" t="n">
        <f aca="false">'Dish Database'!O531*H2005/100</f>
        <v>16.8</v>
      </c>
      <c r="P2005" s="13" t="n">
        <f aca="false">'Dish Database'!P531*H2005/100</f>
        <v>12</v>
      </c>
    </row>
    <row r="2006" customFormat="false" ht="15" hidden="false" customHeight="false" outlineLevel="0" collapsed="false">
      <c r="A2006" s="6" t="str">
        <f aca="false">'Dish Database'!A532</f>
        <v>D531</v>
      </c>
      <c r="B2006" s="6" t="str">
        <f aca="false">'Dish Database'!B532</f>
        <v>Rava ladoo</v>
      </c>
      <c r="C2006" s="6" t="str">
        <f aca="false">'Dish Database'!D532</f>
        <v>Sweets (Mithai)</v>
      </c>
      <c r="D2006" s="6" t="str">
        <f aca="false">'Dish Database'!F532</f>
        <v>Veg</v>
      </c>
      <c r="E2006" s="6" t="str">
        <f aca="false">'Dish Database'!E532</f>
        <v>Pan-India</v>
      </c>
      <c r="F2006" s="6" t="s">
        <v>2243</v>
      </c>
      <c r="G2006" s="6" t="s">
        <v>2666</v>
      </c>
      <c r="H2006" s="16" t="n">
        <v>25</v>
      </c>
      <c r="I2006" s="6" t="str">
        <f aca="false">'Dish Database'!I532</f>
        <v>g</v>
      </c>
      <c r="J2006" s="13" t="n">
        <f aca="false">'Dish Database'!J532*H2006/100</f>
        <v>105.9</v>
      </c>
      <c r="K2006" s="17" t="n">
        <f aca="false">'Dish Database'!K532*H2006/100</f>
        <v>1.5</v>
      </c>
      <c r="L2006" s="17" t="n">
        <f aca="false">'Dish Database'!L532*H2006/100</f>
        <v>15</v>
      </c>
      <c r="M2006" s="17" t="n">
        <f aca="false">'Dish Database'!M532*H2006/100</f>
        <v>4.5</v>
      </c>
      <c r="N2006" s="17" t="n">
        <f aca="false">'Dish Database'!N532*H2006/100</f>
        <v>0.3</v>
      </c>
      <c r="O2006" s="17" t="n">
        <f aca="false">'Dish Database'!O532*H2006/100</f>
        <v>8.75</v>
      </c>
      <c r="P2006" s="13" t="n">
        <f aca="false">'Dish Database'!P532*H2006/100</f>
        <v>5</v>
      </c>
    </row>
    <row r="2007" customFormat="false" ht="15" hidden="false" customHeight="false" outlineLevel="0" collapsed="false">
      <c r="A2007" s="6" t="str">
        <f aca="false">'Dish Database'!A532</f>
        <v>D531</v>
      </c>
      <c r="B2007" s="6" t="str">
        <f aca="false">'Dish Database'!B532</f>
        <v>Rava ladoo</v>
      </c>
      <c r="C2007" s="6" t="str">
        <f aca="false">'Dish Database'!D532</f>
        <v>Sweets (Mithai)</v>
      </c>
      <c r="D2007" s="6" t="str">
        <f aca="false">'Dish Database'!F532</f>
        <v>Veg</v>
      </c>
      <c r="E2007" s="6" t="str">
        <f aca="false">'Dish Database'!E532</f>
        <v>Pan-India</v>
      </c>
      <c r="F2007" s="6" t="s">
        <v>103</v>
      </c>
      <c r="G2007" s="6" t="s">
        <v>2667</v>
      </c>
      <c r="H2007" s="16" t="n">
        <v>35</v>
      </c>
      <c r="I2007" s="6" t="str">
        <f aca="false">'Dish Database'!I532</f>
        <v>g</v>
      </c>
      <c r="J2007" s="13" t="n">
        <f aca="false">'Dish Database'!J532*H2007/100</f>
        <v>148.26</v>
      </c>
      <c r="K2007" s="17" t="n">
        <f aca="false">'Dish Database'!K532*H2007/100</f>
        <v>2.1</v>
      </c>
      <c r="L2007" s="17" t="n">
        <f aca="false">'Dish Database'!L532*H2007/100</f>
        <v>21</v>
      </c>
      <c r="M2007" s="17" t="n">
        <f aca="false">'Dish Database'!M532*H2007/100</f>
        <v>6.3</v>
      </c>
      <c r="N2007" s="17" t="n">
        <f aca="false">'Dish Database'!N532*H2007/100</f>
        <v>0.42</v>
      </c>
      <c r="O2007" s="17" t="n">
        <f aca="false">'Dish Database'!O532*H2007/100</f>
        <v>12.25</v>
      </c>
      <c r="P2007" s="13" t="n">
        <f aca="false">'Dish Database'!P532*H2007/100</f>
        <v>7</v>
      </c>
    </row>
    <row r="2008" customFormat="false" ht="15" hidden="false" customHeight="false" outlineLevel="0" collapsed="false">
      <c r="A2008" s="6" t="str">
        <f aca="false">'Dish Database'!A532</f>
        <v>D531</v>
      </c>
      <c r="B2008" s="6" t="str">
        <f aca="false">'Dish Database'!B532</f>
        <v>Rava ladoo</v>
      </c>
      <c r="C2008" s="6" t="str">
        <f aca="false">'Dish Database'!D532</f>
        <v>Sweets (Mithai)</v>
      </c>
      <c r="D2008" s="6" t="str">
        <f aca="false">'Dish Database'!F532</f>
        <v>Veg</v>
      </c>
      <c r="E2008" s="6" t="str">
        <f aca="false">'Dish Database'!E532</f>
        <v>Pan-India</v>
      </c>
      <c r="F2008" s="6" t="s">
        <v>2246</v>
      </c>
      <c r="G2008" s="6" t="s">
        <v>2674</v>
      </c>
      <c r="H2008" s="16" t="n">
        <v>45</v>
      </c>
      <c r="I2008" s="6" t="str">
        <f aca="false">'Dish Database'!I532</f>
        <v>g</v>
      </c>
      <c r="J2008" s="13" t="n">
        <f aca="false">'Dish Database'!J532*H2008/100</f>
        <v>190.62</v>
      </c>
      <c r="K2008" s="17" t="n">
        <f aca="false">'Dish Database'!K532*H2008/100</f>
        <v>2.7</v>
      </c>
      <c r="L2008" s="17" t="n">
        <f aca="false">'Dish Database'!L532*H2008/100</f>
        <v>27</v>
      </c>
      <c r="M2008" s="17" t="n">
        <f aca="false">'Dish Database'!M532*H2008/100</f>
        <v>8.1</v>
      </c>
      <c r="N2008" s="17" t="n">
        <f aca="false">'Dish Database'!N532*H2008/100</f>
        <v>0.54</v>
      </c>
      <c r="O2008" s="17" t="n">
        <f aca="false">'Dish Database'!O532*H2008/100</f>
        <v>15.75</v>
      </c>
      <c r="P2008" s="13" t="n">
        <f aca="false">'Dish Database'!P532*H2008/100</f>
        <v>9</v>
      </c>
    </row>
    <row r="2009" customFormat="false" ht="15" hidden="false" customHeight="false" outlineLevel="0" collapsed="false">
      <c r="A2009" s="6" t="str">
        <f aca="false">'Dish Database'!A533</f>
        <v>D532</v>
      </c>
      <c r="B2009" s="6" t="str">
        <f aca="false">'Dish Database'!B533</f>
        <v>Til ladoo</v>
      </c>
      <c r="C2009" s="6" t="str">
        <f aca="false">'Dish Database'!D533</f>
        <v>Sweets (Mithai)</v>
      </c>
      <c r="D2009" s="6" t="str">
        <f aca="false">'Dish Database'!F533</f>
        <v>Veg</v>
      </c>
      <c r="E2009" s="6" t="str">
        <f aca="false">'Dish Database'!E533</f>
        <v>Pan-India</v>
      </c>
      <c r="F2009" s="6" t="s">
        <v>2243</v>
      </c>
      <c r="G2009" s="6" t="s">
        <v>2675</v>
      </c>
      <c r="H2009" s="16" t="n">
        <v>15</v>
      </c>
      <c r="I2009" s="6" t="str">
        <f aca="false">'Dish Database'!I533</f>
        <v>g</v>
      </c>
      <c r="J2009" s="13" t="n">
        <f aca="false">'Dish Database'!J533*H2009/100</f>
        <v>72</v>
      </c>
      <c r="K2009" s="17" t="n">
        <f aca="false">'Dish Database'!K533*H2009/100</f>
        <v>1.65</v>
      </c>
      <c r="L2009" s="17" t="n">
        <f aca="false">'Dish Database'!L533*H2009/100</f>
        <v>6.75</v>
      </c>
      <c r="M2009" s="17" t="n">
        <f aca="false">'Dish Database'!M533*H2009/100</f>
        <v>4.5</v>
      </c>
      <c r="N2009" s="17" t="n">
        <f aca="false">'Dish Database'!N533*H2009/100</f>
        <v>1.05</v>
      </c>
      <c r="O2009" s="17" t="n">
        <f aca="false">'Dish Database'!O533*H2009/100</f>
        <v>4.2</v>
      </c>
      <c r="P2009" s="13" t="n">
        <f aca="false">'Dish Database'!P533*H2009/100</f>
        <v>3</v>
      </c>
    </row>
    <row r="2010" customFormat="false" ht="15" hidden="false" customHeight="false" outlineLevel="0" collapsed="false">
      <c r="A2010" s="6" t="str">
        <f aca="false">'Dish Database'!A533</f>
        <v>D532</v>
      </c>
      <c r="B2010" s="6" t="str">
        <f aca="false">'Dish Database'!B533</f>
        <v>Til ladoo</v>
      </c>
      <c r="C2010" s="6" t="str">
        <f aca="false">'Dish Database'!D533</f>
        <v>Sweets (Mithai)</v>
      </c>
      <c r="D2010" s="6" t="str">
        <f aca="false">'Dish Database'!F533</f>
        <v>Veg</v>
      </c>
      <c r="E2010" s="6" t="str">
        <f aca="false">'Dish Database'!E533</f>
        <v>Pan-India</v>
      </c>
      <c r="F2010" s="6" t="s">
        <v>103</v>
      </c>
      <c r="G2010" s="6" t="s">
        <v>2676</v>
      </c>
      <c r="H2010" s="16" t="n">
        <v>25</v>
      </c>
      <c r="I2010" s="6" t="str">
        <f aca="false">'Dish Database'!I533</f>
        <v>g</v>
      </c>
      <c r="J2010" s="13" t="n">
        <f aca="false">'Dish Database'!J533*H2010/100</f>
        <v>120</v>
      </c>
      <c r="K2010" s="17" t="n">
        <f aca="false">'Dish Database'!K533*H2010/100</f>
        <v>2.75</v>
      </c>
      <c r="L2010" s="17" t="n">
        <f aca="false">'Dish Database'!L533*H2010/100</f>
        <v>11.25</v>
      </c>
      <c r="M2010" s="17" t="n">
        <f aca="false">'Dish Database'!M533*H2010/100</f>
        <v>7.5</v>
      </c>
      <c r="N2010" s="17" t="n">
        <f aca="false">'Dish Database'!N533*H2010/100</f>
        <v>1.75</v>
      </c>
      <c r="O2010" s="17" t="n">
        <f aca="false">'Dish Database'!O533*H2010/100</f>
        <v>7</v>
      </c>
      <c r="P2010" s="13" t="n">
        <f aca="false">'Dish Database'!P533*H2010/100</f>
        <v>5</v>
      </c>
    </row>
    <row r="2011" customFormat="false" ht="15" hidden="false" customHeight="false" outlineLevel="0" collapsed="false">
      <c r="A2011" s="6" t="str">
        <f aca="false">'Dish Database'!A533</f>
        <v>D532</v>
      </c>
      <c r="B2011" s="6" t="str">
        <f aca="false">'Dish Database'!B533</f>
        <v>Til ladoo</v>
      </c>
      <c r="C2011" s="6" t="str">
        <f aca="false">'Dish Database'!D533</f>
        <v>Sweets (Mithai)</v>
      </c>
      <c r="D2011" s="6" t="str">
        <f aca="false">'Dish Database'!F533</f>
        <v>Veg</v>
      </c>
      <c r="E2011" s="6" t="str">
        <f aca="false">'Dish Database'!E533</f>
        <v>Pan-India</v>
      </c>
      <c r="F2011" s="6" t="s">
        <v>2246</v>
      </c>
      <c r="G2011" s="6" t="s">
        <v>2677</v>
      </c>
      <c r="H2011" s="16" t="n">
        <v>35</v>
      </c>
      <c r="I2011" s="6" t="str">
        <f aca="false">'Dish Database'!I533</f>
        <v>g</v>
      </c>
      <c r="J2011" s="13" t="n">
        <f aca="false">'Dish Database'!J533*H2011/100</f>
        <v>168</v>
      </c>
      <c r="K2011" s="17" t="n">
        <f aca="false">'Dish Database'!K533*H2011/100</f>
        <v>3.85</v>
      </c>
      <c r="L2011" s="17" t="n">
        <f aca="false">'Dish Database'!L533*H2011/100</f>
        <v>15.75</v>
      </c>
      <c r="M2011" s="17" t="n">
        <f aca="false">'Dish Database'!M533*H2011/100</f>
        <v>10.5</v>
      </c>
      <c r="N2011" s="17" t="n">
        <f aca="false">'Dish Database'!N533*H2011/100</f>
        <v>2.45</v>
      </c>
      <c r="O2011" s="17" t="n">
        <f aca="false">'Dish Database'!O533*H2011/100</f>
        <v>9.8</v>
      </c>
      <c r="P2011" s="13" t="n">
        <f aca="false">'Dish Database'!P533*H2011/100</f>
        <v>7</v>
      </c>
    </row>
    <row r="2012" customFormat="false" ht="15" hidden="false" customHeight="false" outlineLevel="0" collapsed="false">
      <c r="A2012" s="6" t="str">
        <f aca="false">'Dish Database'!A534</f>
        <v>D533</v>
      </c>
      <c r="B2012" s="6" t="str">
        <f aca="false">'Dish Database'!B534</f>
        <v>Dry fruit / dates ladoo (no sugar)</v>
      </c>
      <c r="C2012" s="6" t="str">
        <f aca="false">'Dish Database'!D534</f>
        <v>Sweets (Mithai)</v>
      </c>
      <c r="D2012" s="6" t="str">
        <f aca="false">'Dish Database'!F534</f>
        <v>Veg</v>
      </c>
      <c r="E2012" s="6" t="str">
        <f aca="false">'Dish Database'!E534</f>
        <v>Pan-India</v>
      </c>
      <c r="F2012" s="6" t="s">
        <v>2243</v>
      </c>
      <c r="G2012" s="6" t="s">
        <v>2671</v>
      </c>
      <c r="H2012" s="16" t="n">
        <v>20</v>
      </c>
      <c r="I2012" s="6" t="str">
        <f aca="false">'Dish Database'!I534</f>
        <v>g</v>
      </c>
      <c r="J2012" s="13" t="n">
        <f aca="false">'Dish Database'!J534*H2012/100</f>
        <v>83.6</v>
      </c>
      <c r="K2012" s="17" t="n">
        <f aca="false">'Dish Database'!K534*H2012/100</f>
        <v>1.6</v>
      </c>
      <c r="L2012" s="17" t="n">
        <f aca="false">'Dish Database'!L534*H2012/100</f>
        <v>11</v>
      </c>
      <c r="M2012" s="17" t="n">
        <f aca="false">'Dish Database'!M534*H2012/100</f>
        <v>4</v>
      </c>
      <c r="N2012" s="17" t="n">
        <f aca="false">'Dish Database'!N534*H2012/100</f>
        <v>1.4</v>
      </c>
      <c r="O2012" s="17" t="n">
        <f aca="false">'Dish Database'!O534*H2012/100</f>
        <v>8</v>
      </c>
      <c r="P2012" s="13" t="n">
        <f aca="false">'Dish Database'!P534*H2012/100</f>
        <v>2</v>
      </c>
    </row>
    <row r="2013" customFormat="false" ht="15" hidden="false" customHeight="false" outlineLevel="0" collapsed="false">
      <c r="A2013" s="6" t="str">
        <f aca="false">'Dish Database'!A534</f>
        <v>D533</v>
      </c>
      <c r="B2013" s="6" t="str">
        <f aca="false">'Dish Database'!B534</f>
        <v>Dry fruit / dates ladoo (no sugar)</v>
      </c>
      <c r="C2013" s="6" t="str">
        <f aca="false">'Dish Database'!D534</f>
        <v>Sweets (Mithai)</v>
      </c>
      <c r="D2013" s="6" t="str">
        <f aca="false">'Dish Database'!F534</f>
        <v>Veg</v>
      </c>
      <c r="E2013" s="6" t="str">
        <f aca="false">'Dish Database'!E534</f>
        <v>Pan-India</v>
      </c>
      <c r="F2013" s="6" t="s">
        <v>103</v>
      </c>
      <c r="G2013" s="6" t="s">
        <v>2672</v>
      </c>
      <c r="H2013" s="16" t="n">
        <v>30</v>
      </c>
      <c r="I2013" s="6" t="str">
        <f aca="false">'Dish Database'!I534</f>
        <v>g</v>
      </c>
      <c r="J2013" s="13" t="n">
        <f aca="false">'Dish Database'!J534*H2013/100</f>
        <v>125.4</v>
      </c>
      <c r="K2013" s="17" t="n">
        <f aca="false">'Dish Database'!K534*H2013/100</f>
        <v>2.4</v>
      </c>
      <c r="L2013" s="17" t="n">
        <f aca="false">'Dish Database'!L534*H2013/100</f>
        <v>16.5</v>
      </c>
      <c r="M2013" s="17" t="n">
        <f aca="false">'Dish Database'!M534*H2013/100</f>
        <v>6</v>
      </c>
      <c r="N2013" s="17" t="n">
        <f aca="false">'Dish Database'!N534*H2013/100</f>
        <v>2.1</v>
      </c>
      <c r="O2013" s="17" t="n">
        <f aca="false">'Dish Database'!O534*H2013/100</f>
        <v>12</v>
      </c>
      <c r="P2013" s="13" t="n">
        <f aca="false">'Dish Database'!P534*H2013/100</f>
        <v>3</v>
      </c>
    </row>
    <row r="2014" customFormat="false" ht="15" hidden="false" customHeight="false" outlineLevel="0" collapsed="false">
      <c r="A2014" s="6" t="str">
        <f aca="false">'Dish Database'!A534</f>
        <v>D533</v>
      </c>
      <c r="B2014" s="6" t="str">
        <f aca="false">'Dish Database'!B534</f>
        <v>Dry fruit / dates ladoo (no sugar)</v>
      </c>
      <c r="C2014" s="6" t="str">
        <f aca="false">'Dish Database'!D534</f>
        <v>Sweets (Mithai)</v>
      </c>
      <c r="D2014" s="6" t="str">
        <f aca="false">'Dish Database'!F534</f>
        <v>Veg</v>
      </c>
      <c r="E2014" s="6" t="str">
        <f aca="false">'Dish Database'!E534</f>
        <v>Pan-India</v>
      </c>
      <c r="F2014" s="6" t="s">
        <v>2246</v>
      </c>
      <c r="G2014" s="6" t="s">
        <v>2673</v>
      </c>
      <c r="H2014" s="16" t="n">
        <v>40</v>
      </c>
      <c r="I2014" s="6" t="str">
        <f aca="false">'Dish Database'!I534</f>
        <v>g</v>
      </c>
      <c r="J2014" s="13" t="n">
        <f aca="false">'Dish Database'!J534*H2014/100</f>
        <v>167.2</v>
      </c>
      <c r="K2014" s="17" t="n">
        <f aca="false">'Dish Database'!K534*H2014/100</f>
        <v>3.2</v>
      </c>
      <c r="L2014" s="17" t="n">
        <f aca="false">'Dish Database'!L534*H2014/100</f>
        <v>22</v>
      </c>
      <c r="M2014" s="17" t="n">
        <f aca="false">'Dish Database'!M534*H2014/100</f>
        <v>8</v>
      </c>
      <c r="N2014" s="17" t="n">
        <f aca="false">'Dish Database'!N534*H2014/100</f>
        <v>2.8</v>
      </c>
      <c r="O2014" s="17" t="n">
        <f aca="false">'Dish Database'!O534*H2014/100</f>
        <v>16</v>
      </c>
      <c r="P2014" s="13" t="n">
        <f aca="false">'Dish Database'!P534*H2014/100</f>
        <v>4</v>
      </c>
    </row>
    <row r="2015" customFormat="false" ht="15" hidden="false" customHeight="false" outlineLevel="0" collapsed="false">
      <c r="A2015" s="6" t="str">
        <f aca="false">'Dish Database'!A535</f>
        <v>D534</v>
      </c>
      <c r="B2015" s="6" t="str">
        <f aca="false">'Dish Database'!B535</f>
        <v>Peda (milk)</v>
      </c>
      <c r="C2015" s="6" t="str">
        <f aca="false">'Dish Database'!D535</f>
        <v>Sweets (Mithai)</v>
      </c>
      <c r="D2015" s="6" t="str">
        <f aca="false">'Dish Database'!F535</f>
        <v>Veg</v>
      </c>
      <c r="E2015" s="6" t="str">
        <f aca="false">'Dish Database'!E535</f>
        <v>Pan-India</v>
      </c>
      <c r="F2015" s="6" t="s">
        <v>2243</v>
      </c>
      <c r="G2015" s="6" t="s">
        <v>2678</v>
      </c>
      <c r="H2015" s="16" t="n">
        <v>15</v>
      </c>
      <c r="I2015" s="6" t="str">
        <f aca="false">'Dish Database'!I535</f>
        <v>g</v>
      </c>
      <c r="J2015" s="13" t="n">
        <f aca="false">'Dish Database'!J535*H2015/100</f>
        <v>58.65</v>
      </c>
      <c r="K2015" s="17" t="n">
        <f aca="false">'Dish Database'!K535*H2015/100</f>
        <v>1.35</v>
      </c>
      <c r="L2015" s="17" t="n">
        <f aca="false">'Dish Database'!L535*H2015/100</f>
        <v>8.25</v>
      </c>
      <c r="M2015" s="17" t="n">
        <f aca="false">'Dish Database'!M535*H2015/100</f>
        <v>2.25</v>
      </c>
      <c r="N2015" s="17" t="n">
        <f aca="false">'Dish Database'!N535*H2015/100</f>
        <v>0</v>
      </c>
      <c r="O2015" s="17" t="n">
        <f aca="false">'Dish Database'!O535*H2015/100</f>
        <v>6.75</v>
      </c>
      <c r="P2015" s="13" t="n">
        <f aca="false">'Dish Database'!P535*H2015/100</f>
        <v>12</v>
      </c>
    </row>
    <row r="2016" customFormat="false" ht="15" hidden="false" customHeight="false" outlineLevel="0" collapsed="false">
      <c r="A2016" s="6" t="str">
        <f aca="false">'Dish Database'!A535</f>
        <v>D534</v>
      </c>
      <c r="B2016" s="6" t="str">
        <f aca="false">'Dish Database'!B535</f>
        <v>Peda (milk)</v>
      </c>
      <c r="C2016" s="6" t="str">
        <f aca="false">'Dish Database'!D535</f>
        <v>Sweets (Mithai)</v>
      </c>
      <c r="D2016" s="6" t="str">
        <f aca="false">'Dish Database'!F535</f>
        <v>Veg</v>
      </c>
      <c r="E2016" s="6" t="str">
        <f aca="false">'Dish Database'!E535</f>
        <v>Pan-India</v>
      </c>
      <c r="F2016" s="6" t="s">
        <v>103</v>
      </c>
      <c r="G2016" s="6" t="s">
        <v>2679</v>
      </c>
      <c r="H2016" s="16" t="n">
        <v>25</v>
      </c>
      <c r="I2016" s="6" t="str">
        <f aca="false">'Dish Database'!I535</f>
        <v>g</v>
      </c>
      <c r="J2016" s="13" t="n">
        <f aca="false">'Dish Database'!J535*H2016/100</f>
        <v>97.75</v>
      </c>
      <c r="K2016" s="17" t="n">
        <f aca="false">'Dish Database'!K535*H2016/100</f>
        <v>2.25</v>
      </c>
      <c r="L2016" s="17" t="n">
        <f aca="false">'Dish Database'!L535*H2016/100</f>
        <v>13.75</v>
      </c>
      <c r="M2016" s="17" t="n">
        <f aca="false">'Dish Database'!M535*H2016/100</f>
        <v>3.75</v>
      </c>
      <c r="N2016" s="17" t="n">
        <f aca="false">'Dish Database'!N535*H2016/100</f>
        <v>0</v>
      </c>
      <c r="O2016" s="17" t="n">
        <f aca="false">'Dish Database'!O535*H2016/100</f>
        <v>11.25</v>
      </c>
      <c r="P2016" s="13" t="n">
        <f aca="false">'Dish Database'!P535*H2016/100</f>
        <v>20</v>
      </c>
    </row>
    <row r="2017" customFormat="false" ht="15" hidden="false" customHeight="false" outlineLevel="0" collapsed="false">
      <c r="A2017" s="6" t="str">
        <f aca="false">'Dish Database'!A535</f>
        <v>D534</v>
      </c>
      <c r="B2017" s="6" t="str">
        <f aca="false">'Dish Database'!B535</f>
        <v>Peda (milk)</v>
      </c>
      <c r="C2017" s="6" t="str">
        <f aca="false">'Dish Database'!D535</f>
        <v>Sweets (Mithai)</v>
      </c>
      <c r="D2017" s="6" t="str">
        <f aca="false">'Dish Database'!F535</f>
        <v>Veg</v>
      </c>
      <c r="E2017" s="6" t="str">
        <f aca="false">'Dish Database'!E535</f>
        <v>Pan-India</v>
      </c>
      <c r="F2017" s="6" t="s">
        <v>2246</v>
      </c>
      <c r="G2017" s="6" t="s">
        <v>2680</v>
      </c>
      <c r="H2017" s="16" t="n">
        <v>35</v>
      </c>
      <c r="I2017" s="6" t="str">
        <f aca="false">'Dish Database'!I535</f>
        <v>g</v>
      </c>
      <c r="J2017" s="13" t="n">
        <f aca="false">'Dish Database'!J535*H2017/100</f>
        <v>136.85</v>
      </c>
      <c r="K2017" s="17" t="n">
        <f aca="false">'Dish Database'!K535*H2017/100</f>
        <v>3.15</v>
      </c>
      <c r="L2017" s="17" t="n">
        <f aca="false">'Dish Database'!L535*H2017/100</f>
        <v>19.25</v>
      </c>
      <c r="M2017" s="17" t="n">
        <f aca="false">'Dish Database'!M535*H2017/100</f>
        <v>5.25</v>
      </c>
      <c r="N2017" s="17" t="n">
        <f aca="false">'Dish Database'!N535*H2017/100</f>
        <v>0</v>
      </c>
      <c r="O2017" s="17" t="n">
        <f aca="false">'Dish Database'!O535*H2017/100</f>
        <v>15.75</v>
      </c>
      <c r="P2017" s="13" t="n">
        <f aca="false">'Dish Database'!P535*H2017/100</f>
        <v>28</v>
      </c>
    </row>
    <row r="2018" customFormat="false" ht="15" hidden="false" customHeight="false" outlineLevel="0" collapsed="false">
      <c r="A2018" s="6" t="str">
        <f aca="false">'Dish Database'!A536</f>
        <v>D535</v>
      </c>
      <c r="B2018" s="6" t="str">
        <f aca="false">'Dish Database'!B536</f>
        <v>Milk barfi (plain)</v>
      </c>
      <c r="C2018" s="6" t="str">
        <f aca="false">'Dish Database'!D536</f>
        <v>Sweets (Mithai)</v>
      </c>
      <c r="D2018" s="6" t="str">
        <f aca="false">'Dish Database'!F536</f>
        <v>Veg</v>
      </c>
      <c r="E2018" s="6" t="str">
        <f aca="false">'Dish Database'!E536</f>
        <v>Pan-India</v>
      </c>
      <c r="F2018" s="6" t="s">
        <v>2243</v>
      </c>
      <c r="G2018" s="6" t="s">
        <v>2439</v>
      </c>
      <c r="H2018" s="16" t="n">
        <v>20</v>
      </c>
      <c r="I2018" s="6" t="str">
        <f aca="false">'Dish Database'!I536</f>
        <v>g</v>
      </c>
      <c r="J2018" s="13" t="n">
        <f aca="false">'Dish Database'!J536*H2018/100</f>
        <v>80.4</v>
      </c>
      <c r="K2018" s="17" t="n">
        <f aca="false">'Dish Database'!K536*H2018/100</f>
        <v>2</v>
      </c>
      <c r="L2018" s="17" t="n">
        <f aca="false">'Dish Database'!L536*H2018/100</f>
        <v>10</v>
      </c>
      <c r="M2018" s="17" t="n">
        <f aca="false">'Dish Database'!M536*H2018/100</f>
        <v>3.6</v>
      </c>
      <c r="N2018" s="17" t="n">
        <f aca="false">'Dish Database'!N536*H2018/100</f>
        <v>0</v>
      </c>
      <c r="O2018" s="17" t="n">
        <f aca="false">'Dish Database'!O536*H2018/100</f>
        <v>8</v>
      </c>
      <c r="P2018" s="13" t="n">
        <f aca="false">'Dish Database'!P536*H2018/100</f>
        <v>16</v>
      </c>
    </row>
    <row r="2019" customFormat="false" ht="15" hidden="false" customHeight="false" outlineLevel="0" collapsed="false">
      <c r="A2019" s="6" t="str">
        <f aca="false">'Dish Database'!A536</f>
        <v>D535</v>
      </c>
      <c r="B2019" s="6" t="str">
        <f aca="false">'Dish Database'!B536</f>
        <v>Milk barfi (plain)</v>
      </c>
      <c r="C2019" s="6" t="str">
        <f aca="false">'Dish Database'!D536</f>
        <v>Sweets (Mithai)</v>
      </c>
      <c r="D2019" s="6" t="str">
        <f aca="false">'Dish Database'!F536</f>
        <v>Veg</v>
      </c>
      <c r="E2019" s="6" t="str">
        <f aca="false">'Dish Database'!E536</f>
        <v>Pan-India</v>
      </c>
      <c r="F2019" s="6" t="s">
        <v>103</v>
      </c>
      <c r="G2019" s="6" t="s">
        <v>2440</v>
      </c>
      <c r="H2019" s="16" t="n">
        <v>30</v>
      </c>
      <c r="I2019" s="6" t="str">
        <f aca="false">'Dish Database'!I536</f>
        <v>g</v>
      </c>
      <c r="J2019" s="13" t="n">
        <f aca="false">'Dish Database'!J536*H2019/100</f>
        <v>120.6</v>
      </c>
      <c r="K2019" s="17" t="n">
        <f aca="false">'Dish Database'!K536*H2019/100</f>
        <v>3</v>
      </c>
      <c r="L2019" s="17" t="n">
        <f aca="false">'Dish Database'!L536*H2019/100</f>
        <v>15</v>
      </c>
      <c r="M2019" s="17" t="n">
        <f aca="false">'Dish Database'!M536*H2019/100</f>
        <v>5.4</v>
      </c>
      <c r="N2019" s="17" t="n">
        <f aca="false">'Dish Database'!N536*H2019/100</f>
        <v>0</v>
      </c>
      <c r="O2019" s="17" t="n">
        <f aca="false">'Dish Database'!O536*H2019/100</f>
        <v>12</v>
      </c>
      <c r="P2019" s="13" t="n">
        <f aca="false">'Dish Database'!P536*H2019/100</f>
        <v>24</v>
      </c>
    </row>
    <row r="2020" customFormat="false" ht="15" hidden="false" customHeight="false" outlineLevel="0" collapsed="false">
      <c r="A2020" s="6" t="str">
        <f aca="false">'Dish Database'!A536</f>
        <v>D535</v>
      </c>
      <c r="B2020" s="6" t="str">
        <f aca="false">'Dish Database'!B536</f>
        <v>Milk barfi (plain)</v>
      </c>
      <c r="C2020" s="6" t="str">
        <f aca="false">'Dish Database'!D536</f>
        <v>Sweets (Mithai)</v>
      </c>
      <c r="D2020" s="6" t="str">
        <f aca="false">'Dish Database'!F536</f>
        <v>Veg</v>
      </c>
      <c r="E2020" s="6" t="str">
        <f aca="false">'Dish Database'!E536</f>
        <v>Pan-India</v>
      </c>
      <c r="F2020" s="6" t="s">
        <v>2246</v>
      </c>
      <c r="G2020" s="6" t="s">
        <v>2441</v>
      </c>
      <c r="H2020" s="16" t="n">
        <v>40</v>
      </c>
      <c r="I2020" s="6" t="str">
        <f aca="false">'Dish Database'!I536</f>
        <v>g</v>
      </c>
      <c r="J2020" s="13" t="n">
        <f aca="false">'Dish Database'!J536*H2020/100</f>
        <v>160.8</v>
      </c>
      <c r="K2020" s="17" t="n">
        <f aca="false">'Dish Database'!K536*H2020/100</f>
        <v>4</v>
      </c>
      <c r="L2020" s="17" t="n">
        <f aca="false">'Dish Database'!L536*H2020/100</f>
        <v>20</v>
      </c>
      <c r="M2020" s="17" t="n">
        <f aca="false">'Dish Database'!M536*H2020/100</f>
        <v>7.2</v>
      </c>
      <c r="N2020" s="17" t="n">
        <f aca="false">'Dish Database'!N536*H2020/100</f>
        <v>0</v>
      </c>
      <c r="O2020" s="17" t="n">
        <f aca="false">'Dish Database'!O536*H2020/100</f>
        <v>16</v>
      </c>
      <c r="P2020" s="13" t="n">
        <f aca="false">'Dish Database'!P536*H2020/100</f>
        <v>32</v>
      </c>
    </row>
    <row r="2021" customFormat="false" ht="15" hidden="false" customHeight="false" outlineLevel="0" collapsed="false">
      <c r="A2021" s="6" t="str">
        <f aca="false">'Dish Database'!A537</f>
        <v>D536</v>
      </c>
      <c r="B2021" s="6" t="str">
        <f aca="false">'Dish Database'!B537</f>
        <v>Kalakand</v>
      </c>
      <c r="C2021" s="6" t="str">
        <f aca="false">'Dish Database'!D537</f>
        <v>Sweets (Mithai)</v>
      </c>
      <c r="D2021" s="6" t="str">
        <f aca="false">'Dish Database'!F537</f>
        <v>Veg</v>
      </c>
      <c r="E2021" s="6" t="str">
        <f aca="false">'Dish Database'!E537</f>
        <v>North</v>
      </c>
      <c r="F2021" s="6" t="s">
        <v>2243</v>
      </c>
      <c r="G2021" s="6" t="s">
        <v>2341</v>
      </c>
      <c r="H2021" s="16" t="n">
        <v>25</v>
      </c>
      <c r="I2021" s="6" t="str">
        <f aca="false">'Dish Database'!I537</f>
        <v>g</v>
      </c>
      <c r="J2021" s="13" t="n">
        <f aca="false">'Dish Database'!J537*H2021/100</f>
        <v>87</v>
      </c>
      <c r="K2021" s="17" t="n">
        <f aca="false">'Dish Database'!K537*H2021/100</f>
        <v>2.75</v>
      </c>
      <c r="L2021" s="17" t="n">
        <f aca="false">'Dish Database'!L537*H2021/100</f>
        <v>10</v>
      </c>
      <c r="M2021" s="17" t="n">
        <f aca="false">'Dish Database'!M537*H2021/100</f>
        <v>4</v>
      </c>
      <c r="N2021" s="17" t="n">
        <f aca="false">'Dish Database'!N537*H2021/100</f>
        <v>0</v>
      </c>
      <c r="O2021" s="17" t="n">
        <f aca="false">'Dish Database'!O537*H2021/100</f>
        <v>8</v>
      </c>
      <c r="P2021" s="13" t="n">
        <f aca="false">'Dish Database'!P537*H2021/100</f>
        <v>20</v>
      </c>
    </row>
    <row r="2022" customFormat="false" ht="15" hidden="false" customHeight="false" outlineLevel="0" collapsed="false">
      <c r="A2022" s="6" t="str">
        <f aca="false">'Dish Database'!A537</f>
        <v>D536</v>
      </c>
      <c r="B2022" s="6" t="str">
        <f aca="false">'Dish Database'!B537</f>
        <v>Kalakand</v>
      </c>
      <c r="C2022" s="6" t="str">
        <f aca="false">'Dish Database'!D537</f>
        <v>Sweets (Mithai)</v>
      </c>
      <c r="D2022" s="6" t="str">
        <f aca="false">'Dish Database'!F537</f>
        <v>Veg</v>
      </c>
      <c r="E2022" s="6" t="str">
        <f aca="false">'Dish Database'!E537</f>
        <v>North</v>
      </c>
      <c r="F2022" s="6" t="s">
        <v>103</v>
      </c>
      <c r="G2022" s="6" t="s">
        <v>2342</v>
      </c>
      <c r="H2022" s="16" t="n">
        <v>40</v>
      </c>
      <c r="I2022" s="6" t="str">
        <f aca="false">'Dish Database'!I537</f>
        <v>g</v>
      </c>
      <c r="J2022" s="13" t="n">
        <f aca="false">'Dish Database'!J537*H2022/100</f>
        <v>139.2</v>
      </c>
      <c r="K2022" s="17" t="n">
        <f aca="false">'Dish Database'!K537*H2022/100</f>
        <v>4.4</v>
      </c>
      <c r="L2022" s="17" t="n">
        <f aca="false">'Dish Database'!L537*H2022/100</f>
        <v>16</v>
      </c>
      <c r="M2022" s="17" t="n">
        <f aca="false">'Dish Database'!M537*H2022/100</f>
        <v>6.4</v>
      </c>
      <c r="N2022" s="17" t="n">
        <f aca="false">'Dish Database'!N537*H2022/100</f>
        <v>0</v>
      </c>
      <c r="O2022" s="17" t="n">
        <f aca="false">'Dish Database'!O537*H2022/100</f>
        <v>12.8</v>
      </c>
      <c r="P2022" s="13" t="n">
        <f aca="false">'Dish Database'!P537*H2022/100</f>
        <v>32</v>
      </c>
    </row>
    <row r="2023" customFormat="false" ht="15" hidden="false" customHeight="false" outlineLevel="0" collapsed="false">
      <c r="A2023" s="6" t="str">
        <f aca="false">'Dish Database'!A537</f>
        <v>D536</v>
      </c>
      <c r="B2023" s="6" t="str">
        <f aca="false">'Dish Database'!B537</f>
        <v>Kalakand</v>
      </c>
      <c r="C2023" s="6" t="str">
        <f aca="false">'Dish Database'!D537</f>
        <v>Sweets (Mithai)</v>
      </c>
      <c r="D2023" s="6" t="str">
        <f aca="false">'Dish Database'!F537</f>
        <v>Veg</v>
      </c>
      <c r="E2023" s="6" t="str">
        <f aca="false">'Dish Database'!E537</f>
        <v>North</v>
      </c>
      <c r="F2023" s="6" t="s">
        <v>2246</v>
      </c>
      <c r="G2023" s="6" t="s">
        <v>2681</v>
      </c>
      <c r="H2023" s="16" t="n">
        <v>55</v>
      </c>
      <c r="I2023" s="6" t="str">
        <f aca="false">'Dish Database'!I537</f>
        <v>g</v>
      </c>
      <c r="J2023" s="13" t="n">
        <f aca="false">'Dish Database'!J537*H2023/100</f>
        <v>191.4</v>
      </c>
      <c r="K2023" s="17" t="n">
        <f aca="false">'Dish Database'!K537*H2023/100</f>
        <v>6.05</v>
      </c>
      <c r="L2023" s="17" t="n">
        <f aca="false">'Dish Database'!L537*H2023/100</f>
        <v>22</v>
      </c>
      <c r="M2023" s="17" t="n">
        <f aca="false">'Dish Database'!M537*H2023/100</f>
        <v>8.8</v>
      </c>
      <c r="N2023" s="17" t="n">
        <f aca="false">'Dish Database'!N537*H2023/100</f>
        <v>0</v>
      </c>
      <c r="O2023" s="17" t="n">
        <f aca="false">'Dish Database'!O537*H2023/100</f>
        <v>17.6</v>
      </c>
      <c r="P2023" s="13" t="n">
        <f aca="false">'Dish Database'!P537*H2023/100</f>
        <v>44</v>
      </c>
    </row>
    <row r="2024" customFormat="false" ht="15" hidden="false" customHeight="false" outlineLevel="0" collapsed="false">
      <c r="A2024" s="6" t="str">
        <f aca="false">'Dish Database'!A538</f>
        <v>D537</v>
      </c>
      <c r="B2024" s="6" t="str">
        <f aca="false">'Dish Database'!B538</f>
        <v>Besan barfi</v>
      </c>
      <c r="C2024" s="6" t="str">
        <f aca="false">'Dish Database'!D538</f>
        <v>Sweets (Mithai)</v>
      </c>
      <c r="D2024" s="6" t="str">
        <f aca="false">'Dish Database'!F538</f>
        <v>Veg</v>
      </c>
      <c r="E2024" s="6" t="str">
        <f aca="false">'Dish Database'!E538</f>
        <v>North</v>
      </c>
      <c r="F2024" s="6" t="s">
        <v>2243</v>
      </c>
      <c r="G2024" s="6" t="s">
        <v>2439</v>
      </c>
      <c r="H2024" s="16" t="n">
        <v>20</v>
      </c>
      <c r="I2024" s="6" t="str">
        <f aca="false">'Dish Database'!I538</f>
        <v>g</v>
      </c>
      <c r="J2024" s="13" t="n">
        <f aca="false">'Dish Database'!J538*H2024/100</f>
        <v>93.4</v>
      </c>
      <c r="K2024" s="17" t="n">
        <f aca="false">'Dish Database'!K538*H2024/100</f>
        <v>1.6</v>
      </c>
      <c r="L2024" s="17" t="n">
        <f aca="false">'Dish Database'!L538*H2024/100</f>
        <v>10.4</v>
      </c>
      <c r="M2024" s="17" t="n">
        <f aca="false">'Dish Database'!M538*H2024/100</f>
        <v>5.2</v>
      </c>
      <c r="N2024" s="17" t="n">
        <f aca="false">'Dish Database'!N538*H2024/100</f>
        <v>0.7</v>
      </c>
      <c r="O2024" s="17" t="n">
        <f aca="false">'Dish Database'!O538*H2024/100</f>
        <v>6.4</v>
      </c>
      <c r="P2024" s="13" t="n">
        <f aca="false">'Dish Database'!P538*H2024/100</f>
        <v>4</v>
      </c>
    </row>
    <row r="2025" customFormat="false" ht="15" hidden="false" customHeight="false" outlineLevel="0" collapsed="false">
      <c r="A2025" s="6" t="str">
        <f aca="false">'Dish Database'!A538</f>
        <v>D537</v>
      </c>
      <c r="B2025" s="6" t="str">
        <f aca="false">'Dish Database'!B538</f>
        <v>Besan barfi</v>
      </c>
      <c r="C2025" s="6" t="str">
        <f aca="false">'Dish Database'!D538</f>
        <v>Sweets (Mithai)</v>
      </c>
      <c r="D2025" s="6" t="str">
        <f aca="false">'Dish Database'!F538</f>
        <v>Veg</v>
      </c>
      <c r="E2025" s="6" t="str">
        <f aca="false">'Dish Database'!E538</f>
        <v>North</v>
      </c>
      <c r="F2025" s="6" t="s">
        <v>103</v>
      </c>
      <c r="G2025" s="6" t="s">
        <v>2440</v>
      </c>
      <c r="H2025" s="16" t="n">
        <v>30</v>
      </c>
      <c r="I2025" s="6" t="str">
        <f aca="false">'Dish Database'!I538</f>
        <v>g</v>
      </c>
      <c r="J2025" s="13" t="n">
        <f aca="false">'Dish Database'!J538*H2025/100</f>
        <v>140.1</v>
      </c>
      <c r="K2025" s="17" t="n">
        <f aca="false">'Dish Database'!K538*H2025/100</f>
        <v>2.4</v>
      </c>
      <c r="L2025" s="17" t="n">
        <f aca="false">'Dish Database'!L538*H2025/100</f>
        <v>15.6</v>
      </c>
      <c r="M2025" s="17" t="n">
        <f aca="false">'Dish Database'!M538*H2025/100</f>
        <v>7.8</v>
      </c>
      <c r="N2025" s="17" t="n">
        <f aca="false">'Dish Database'!N538*H2025/100</f>
        <v>1.05</v>
      </c>
      <c r="O2025" s="17" t="n">
        <f aca="false">'Dish Database'!O538*H2025/100</f>
        <v>9.6</v>
      </c>
      <c r="P2025" s="13" t="n">
        <f aca="false">'Dish Database'!P538*H2025/100</f>
        <v>6</v>
      </c>
    </row>
    <row r="2026" customFormat="false" ht="15" hidden="false" customHeight="false" outlineLevel="0" collapsed="false">
      <c r="A2026" s="6" t="str">
        <f aca="false">'Dish Database'!A538</f>
        <v>D537</v>
      </c>
      <c r="B2026" s="6" t="str">
        <f aca="false">'Dish Database'!B538</f>
        <v>Besan barfi</v>
      </c>
      <c r="C2026" s="6" t="str">
        <f aca="false">'Dish Database'!D538</f>
        <v>Sweets (Mithai)</v>
      </c>
      <c r="D2026" s="6" t="str">
        <f aca="false">'Dish Database'!F538</f>
        <v>Veg</v>
      </c>
      <c r="E2026" s="6" t="str">
        <f aca="false">'Dish Database'!E538</f>
        <v>North</v>
      </c>
      <c r="F2026" s="6" t="s">
        <v>2246</v>
      </c>
      <c r="G2026" s="6" t="s">
        <v>2441</v>
      </c>
      <c r="H2026" s="16" t="n">
        <v>40</v>
      </c>
      <c r="I2026" s="6" t="str">
        <f aca="false">'Dish Database'!I538</f>
        <v>g</v>
      </c>
      <c r="J2026" s="13" t="n">
        <f aca="false">'Dish Database'!J538*H2026/100</f>
        <v>186.8</v>
      </c>
      <c r="K2026" s="17" t="n">
        <f aca="false">'Dish Database'!K538*H2026/100</f>
        <v>3.2</v>
      </c>
      <c r="L2026" s="17" t="n">
        <f aca="false">'Dish Database'!L538*H2026/100</f>
        <v>20.8</v>
      </c>
      <c r="M2026" s="17" t="n">
        <f aca="false">'Dish Database'!M538*H2026/100</f>
        <v>10.4</v>
      </c>
      <c r="N2026" s="17" t="n">
        <f aca="false">'Dish Database'!N538*H2026/100</f>
        <v>1.4</v>
      </c>
      <c r="O2026" s="17" t="n">
        <f aca="false">'Dish Database'!O538*H2026/100</f>
        <v>12.8</v>
      </c>
      <c r="P2026" s="13" t="n">
        <f aca="false">'Dish Database'!P538*H2026/100</f>
        <v>8</v>
      </c>
    </row>
    <row r="2027" customFormat="false" ht="15" hidden="false" customHeight="false" outlineLevel="0" collapsed="false">
      <c r="A2027" s="6" t="str">
        <f aca="false">'Dish Database'!A539</f>
        <v>D538</v>
      </c>
      <c r="B2027" s="6" t="str">
        <f aca="false">'Dish Database'!B539</f>
        <v>Soan papdi</v>
      </c>
      <c r="C2027" s="6" t="str">
        <f aca="false">'Dish Database'!D539</f>
        <v>Sweets (Mithai)</v>
      </c>
      <c r="D2027" s="6" t="str">
        <f aca="false">'Dish Database'!F539</f>
        <v>Veg</v>
      </c>
      <c r="E2027" s="6" t="str">
        <f aca="false">'Dish Database'!E539</f>
        <v>North</v>
      </c>
      <c r="F2027" s="6" t="s">
        <v>2243</v>
      </c>
      <c r="G2027" s="6" t="s">
        <v>2682</v>
      </c>
      <c r="H2027" s="16" t="n">
        <v>15</v>
      </c>
      <c r="I2027" s="6" t="str">
        <f aca="false">'Dish Database'!I539</f>
        <v>g</v>
      </c>
      <c r="J2027" s="13" t="n">
        <f aca="false">'Dish Database'!J539*H2027/100</f>
        <v>72.9</v>
      </c>
      <c r="K2027" s="17" t="n">
        <f aca="false">'Dish Database'!K539*H2027/100</f>
        <v>0.9</v>
      </c>
      <c r="L2027" s="17" t="n">
        <f aca="false">'Dish Database'!L539*H2027/100</f>
        <v>9</v>
      </c>
      <c r="M2027" s="17" t="n">
        <f aca="false">'Dish Database'!M539*H2027/100</f>
        <v>3.75</v>
      </c>
      <c r="N2027" s="17" t="n">
        <f aca="false">'Dish Database'!N539*H2027/100</f>
        <v>0.225</v>
      </c>
      <c r="O2027" s="17" t="n">
        <f aca="false">'Dish Database'!O539*H2027/100</f>
        <v>6</v>
      </c>
      <c r="P2027" s="13" t="n">
        <f aca="false">'Dish Database'!P539*H2027/100</f>
        <v>4.5</v>
      </c>
    </row>
    <row r="2028" customFormat="false" ht="15" hidden="false" customHeight="false" outlineLevel="0" collapsed="false">
      <c r="A2028" s="6" t="str">
        <f aca="false">'Dish Database'!A539</f>
        <v>D538</v>
      </c>
      <c r="B2028" s="6" t="str">
        <f aca="false">'Dish Database'!B539</f>
        <v>Soan papdi</v>
      </c>
      <c r="C2028" s="6" t="str">
        <f aca="false">'Dish Database'!D539</f>
        <v>Sweets (Mithai)</v>
      </c>
      <c r="D2028" s="6" t="str">
        <f aca="false">'Dish Database'!F539</f>
        <v>Veg</v>
      </c>
      <c r="E2028" s="6" t="str">
        <f aca="false">'Dish Database'!E539</f>
        <v>North</v>
      </c>
      <c r="F2028" s="6" t="s">
        <v>103</v>
      </c>
      <c r="G2028" s="6" t="s">
        <v>2683</v>
      </c>
      <c r="H2028" s="16" t="n">
        <v>25</v>
      </c>
      <c r="I2028" s="6" t="str">
        <f aca="false">'Dish Database'!I539</f>
        <v>g</v>
      </c>
      <c r="J2028" s="13" t="n">
        <f aca="false">'Dish Database'!J539*H2028/100</f>
        <v>121.5</v>
      </c>
      <c r="K2028" s="17" t="n">
        <f aca="false">'Dish Database'!K539*H2028/100</f>
        <v>1.5</v>
      </c>
      <c r="L2028" s="17" t="n">
        <f aca="false">'Dish Database'!L539*H2028/100</f>
        <v>15</v>
      </c>
      <c r="M2028" s="17" t="n">
        <f aca="false">'Dish Database'!M539*H2028/100</f>
        <v>6.25</v>
      </c>
      <c r="N2028" s="17" t="n">
        <f aca="false">'Dish Database'!N539*H2028/100</f>
        <v>0.375</v>
      </c>
      <c r="O2028" s="17" t="n">
        <f aca="false">'Dish Database'!O539*H2028/100</f>
        <v>10</v>
      </c>
      <c r="P2028" s="13" t="n">
        <f aca="false">'Dish Database'!P539*H2028/100</f>
        <v>7.5</v>
      </c>
    </row>
    <row r="2029" customFormat="false" ht="15" hidden="false" customHeight="false" outlineLevel="0" collapsed="false">
      <c r="A2029" s="6" t="str">
        <f aca="false">'Dish Database'!A539</f>
        <v>D538</v>
      </c>
      <c r="B2029" s="6" t="str">
        <f aca="false">'Dish Database'!B539</f>
        <v>Soan papdi</v>
      </c>
      <c r="C2029" s="6" t="str">
        <f aca="false">'Dish Database'!D539</f>
        <v>Sweets (Mithai)</v>
      </c>
      <c r="D2029" s="6" t="str">
        <f aca="false">'Dish Database'!F539</f>
        <v>Veg</v>
      </c>
      <c r="E2029" s="6" t="str">
        <f aca="false">'Dish Database'!E539</f>
        <v>North</v>
      </c>
      <c r="F2029" s="6" t="s">
        <v>2246</v>
      </c>
      <c r="G2029" s="6" t="s">
        <v>2441</v>
      </c>
      <c r="H2029" s="16" t="n">
        <v>40</v>
      </c>
      <c r="I2029" s="6" t="str">
        <f aca="false">'Dish Database'!I539</f>
        <v>g</v>
      </c>
      <c r="J2029" s="13" t="n">
        <f aca="false">'Dish Database'!J539*H2029/100</f>
        <v>194.4</v>
      </c>
      <c r="K2029" s="17" t="n">
        <f aca="false">'Dish Database'!K539*H2029/100</f>
        <v>2.4</v>
      </c>
      <c r="L2029" s="17" t="n">
        <f aca="false">'Dish Database'!L539*H2029/100</f>
        <v>24</v>
      </c>
      <c r="M2029" s="17" t="n">
        <f aca="false">'Dish Database'!M539*H2029/100</f>
        <v>10</v>
      </c>
      <c r="N2029" s="17" t="n">
        <f aca="false">'Dish Database'!N539*H2029/100</f>
        <v>0.6</v>
      </c>
      <c r="O2029" s="17" t="n">
        <f aca="false">'Dish Database'!O539*H2029/100</f>
        <v>16</v>
      </c>
      <c r="P2029" s="13" t="n">
        <f aca="false">'Dish Database'!P539*H2029/100</f>
        <v>12</v>
      </c>
    </row>
    <row r="2030" customFormat="false" ht="15" hidden="false" customHeight="false" outlineLevel="0" collapsed="false">
      <c r="A2030" s="6" t="str">
        <f aca="false">'Dish Database'!A540</f>
        <v>D539</v>
      </c>
      <c r="B2030" s="6" t="str">
        <f aca="false">'Dish Database'!B540</f>
        <v>Mysore pak</v>
      </c>
      <c r="C2030" s="6" t="str">
        <f aca="false">'Dish Database'!D540</f>
        <v>Sweets (Mithai)</v>
      </c>
      <c r="D2030" s="6" t="str">
        <f aca="false">'Dish Database'!F540</f>
        <v>Veg</v>
      </c>
      <c r="E2030" s="6" t="str">
        <f aca="false">'Dish Database'!E540</f>
        <v>South</v>
      </c>
      <c r="F2030" s="6" t="s">
        <v>2243</v>
      </c>
      <c r="G2030" s="6" t="s">
        <v>2439</v>
      </c>
      <c r="H2030" s="16" t="n">
        <v>20</v>
      </c>
      <c r="I2030" s="6" t="str">
        <f aca="false">'Dish Database'!I540</f>
        <v>g</v>
      </c>
      <c r="J2030" s="13" t="n">
        <f aca="false">'Dish Database'!J540*H2030/100</f>
        <v>108</v>
      </c>
      <c r="K2030" s="17" t="n">
        <f aca="false">'Dish Database'!K540*H2030/100</f>
        <v>1.2</v>
      </c>
      <c r="L2030" s="17" t="n">
        <f aca="false">'Dish Database'!L540*H2030/100</f>
        <v>9</v>
      </c>
      <c r="M2030" s="17" t="n">
        <f aca="false">'Dish Database'!M540*H2030/100</f>
        <v>7.6</v>
      </c>
      <c r="N2030" s="17" t="n">
        <f aca="false">'Dish Database'!N540*H2030/100</f>
        <v>0.6</v>
      </c>
      <c r="O2030" s="17" t="n">
        <f aca="false">'Dish Database'!O540*H2030/100</f>
        <v>7</v>
      </c>
      <c r="P2030" s="13" t="n">
        <f aca="false">'Dish Database'!P540*H2030/100</f>
        <v>3</v>
      </c>
    </row>
    <row r="2031" customFormat="false" ht="15" hidden="false" customHeight="false" outlineLevel="0" collapsed="false">
      <c r="A2031" s="6" t="str">
        <f aca="false">'Dish Database'!A540</f>
        <v>D539</v>
      </c>
      <c r="B2031" s="6" t="str">
        <f aca="false">'Dish Database'!B540</f>
        <v>Mysore pak</v>
      </c>
      <c r="C2031" s="6" t="str">
        <f aca="false">'Dish Database'!D540</f>
        <v>Sweets (Mithai)</v>
      </c>
      <c r="D2031" s="6" t="str">
        <f aca="false">'Dish Database'!F540</f>
        <v>Veg</v>
      </c>
      <c r="E2031" s="6" t="str">
        <f aca="false">'Dish Database'!E540</f>
        <v>South</v>
      </c>
      <c r="F2031" s="6" t="s">
        <v>103</v>
      </c>
      <c r="G2031" s="6" t="s">
        <v>2440</v>
      </c>
      <c r="H2031" s="16" t="n">
        <v>30</v>
      </c>
      <c r="I2031" s="6" t="str">
        <f aca="false">'Dish Database'!I540</f>
        <v>g</v>
      </c>
      <c r="J2031" s="13" t="n">
        <f aca="false">'Dish Database'!J540*H2031/100</f>
        <v>162</v>
      </c>
      <c r="K2031" s="17" t="n">
        <f aca="false">'Dish Database'!K540*H2031/100</f>
        <v>1.8</v>
      </c>
      <c r="L2031" s="17" t="n">
        <f aca="false">'Dish Database'!L540*H2031/100</f>
        <v>13.5</v>
      </c>
      <c r="M2031" s="17" t="n">
        <f aca="false">'Dish Database'!M540*H2031/100</f>
        <v>11.4</v>
      </c>
      <c r="N2031" s="17" t="n">
        <f aca="false">'Dish Database'!N540*H2031/100</f>
        <v>0.9</v>
      </c>
      <c r="O2031" s="17" t="n">
        <f aca="false">'Dish Database'!O540*H2031/100</f>
        <v>10.5</v>
      </c>
      <c r="P2031" s="13" t="n">
        <f aca="false">'Dish Database'!P540*H2031/100</f>
        <v>4.5</v>
      </c>
    </row>
    <row r="2032" customFormat="false" ht="15" hidden="false" customHeight="false" outlineLevel="0" collapsed="false">
      <c r="A2032" s="6" t="str">
        <f aca="false">'Dish Database'!A540</f>
        <v>D539</v>
      </c>
      <c r="B2032" s="6" t="str">
        <f aca="false">'Dish Database'!B540</f>
        <v>Mysore pak</v>
      </c>
      <c r="C2032" s="6" t="str">
        <f aca="false">'Dish Database'!D540</f>
        <v>Sweets (Mithai)</v>
      </c>
      <c r="D2032" s="6" t="str">
        <f aca="false">'Dish Database'!F540</f>
        <v>Veg</v>
      </c>
      <c r="E2032" s="6" t="str">
        <f aca="false">'Dish Database'!E540</f>
        <v>South</v>
      </c>
      <c r="F2032" s="6" t="s">
        <v>2246</v>
      </c>
      <c r="G2032" s="6" t="s">
        <v>2441</v>
      </c>
      <c r="H2032" s="16" t="n">
        <v>40</v>
      </c>
      <c r="I2032" s="6" t="str">
        <f aca="false">'Dish Database'!I540</f>
        <v>g</v>
      </c>
      <c r="J2032" s="13" t="n">
        <f aca="false">'Dish Database'!J540*H2032/100</f>
        <v>216</v>
      </c>
      <c r="K2032" s="17" t="n">
        <f aca="false">'Dish Database'!K540*H2032/100</f>
        <v>2.4</v>
      </c>
      <c r="L2032" s="17" t="n">
        <f aca="false">'Dish Database'!L540*H2032/100</f>
        <v>18</v>
      </c>
      <c r="M2032" s="17" t="n">
        <f aca="false">'Dish Database'!M540*H2032/100</f>
        <v>15.2</v>
      </c>
      <c r="N2032" s="17" t="n">
        <f aca="false">'Dish Database'!N540*H2032/100</f>
        <v>1.2</v>
      </c>
      <c r="O2032" s="17" t="n">
        <f aca="false">'Dish Database'!O540*H2032/100</f>
        <v>14</v>
      </c>
      <c r="P2032" s="13" t="n">
        <f aca="false">'Dish Database'!P540*H2032/100</f>
        <v>6</v>
      </c>
    </row>
    <row r="2033" customFormat="false" ht="15" hidden="false" customHeight="false" outlineLevel="0" collapsed="false">
      <c r="A2033" s="6" t="str">
        <f aca="false">'Dish Database'!A541</f>
        <v>D540</v>
      </c>
      <c r="B2033" s="6" t="str">
        <f aca="false">'Dish Database'!B541</f>
        <v>Malpua</v>
      </c>
      <c r="C2033" s="6" t="str">
        <f aca="false">'Dish Database'!D541</f>
        <v>Sweets (Mithai)</v>
      </c>
      <c r="D2033" s="6" t="str">
        <f aca="false">'Dish Database'!F541</f>
        <v>Veg</v>
      </c>
      <c r="E2033" s="6" t="str">
        <f aca="false">'Dish Database'!E541</f>
        <v>North</v>
      </c>
      <c r="F2033" s="6" t="s">
        <v>2243</v>
      </c>
      <c r="G2033" s="6" t="s">
        <v>2684</v>
      </c>
      <c r="H2033" s="16" t="n">
        <v>40</v>
      </c>
      <c r="I2033" s="6" t="str">
        <f aca="false">'Dish Database'!I541</f>
        <v>g</v>
      </c>
      <c r="J2033" s="13" t="n">
        <f aca="false">'Dish Database'!J541*H2033/100</f>
        <v>144.16</v>
      </c>
      <c r="K2033" s="17" t="n">
        <f aca="false">'Dish Database'!K541*H2033/100</f>
        <v>2</v>
      </c>
      <c r="L2033" s="17" t="n">
        <f aca="false">'Dish Database'!L541*H2033/100</f>
        <v>18</v>
      </c>
      <c r="M2033" s="17" t="n">
        <f aca="false">'Dish Database'!M541*H2033/100</f>
        <v>7.2</v>
      </c>
      <c r="N2033" s="17" t="n">
        <f aca="false">'Dish Database'!N541*H2033/100</f>
        <v>0.32</v>
      </c>
      <c r="O2033" s="17" t="n">
        <f aca="false">'Dish Database'!O541*H2033/100</f>
        <v>11.2</v>
      </c>
      <c r="P2033" s="13" t="n">
        <f aca="false">'Dish Database'!P541*H2033/100</f>
        <v>20</v>
      </c>
    </row>
    <row r="2034" customFormat="false" ht="15" hidden="false" customHeight="false" outlineLevel="0" collapsed="false">
      <c r="A2034" s="6" t="str">
        <f aca="false">'Dish Database'!A541</f>
        <v>D540</v>
      </c>
      <c r="B2034" s="6" t="str">
        <f aca="false">'Dish Database'!B541</f>
        <v>Malpua</v>
      </c>
      <c r="C2034" s="6" t="str">
        <f aca="false">'Dish Database'!D541</f>
        <v>Sweets (Mithai)</v>
      </c>
      <c r="D2034" s="6" t="str">
        <f aca="false">'Dish Database'!F541</f>
        <v>Veg</v>
      </c>
      <c r="E2034" s="6" t="str">
        <f aca="false">'Dish Database'!E541</f>
        <v>North</v>
      </c>
      <c r="F2034" s="6" t="s">
        <v>103</v>
      </c>
      <c r="G2034" s="6" t="s">
        <v>2685</v>
      </c>
      <c r="H2034" s="16" t="n">
        <v>60</v>
      </c>
      <c r="I2034" s="6" t="str">
        <f aca="false">'Dish Database'!I541</f>
        <v>g</v>
      </c>
      <c r="J2034" s="13" t="n">
        <f aca="false">'Dish Database'!J541*H2034/100</f>
        <v>216.24</v>
      </c>
      <c r="K2034" s="17" t="n">
        <f aca="false">'Dish Database'!K541*H2034/100</f>
        <v>3</v>
      </c>
      <c r="L2034" s="17" t="n">
        <f aca="false">'Dish Database'!L541*H2034/100</f>
        <v>27</v>
      </c>
      <c r="M2034" s="17" t="n">
        <f aca="false">'Dish Database'!M541*H2034/100</f>
        <v>10.8</v>
      </c>
      <c r="N2034" s="17" t="n">
        <f aca="false">'Dish Database'!N541*H2034/100</f>
        <v>0.48</v>
      </c>
      <c r="O2034" s="17" t="n">
        <f aca="false">'Dish Database'!O541*H2034/100</f>
        <v>16.8</v>
      </c>
      <c r="P2034" s="13" t="n">
        <f aca="false">'Dish Database'!P541*H2034/100</f>
        <v>30</v>
      </c>
    </row>
    <row r="2035" customFormat="false" ht="15" hidden="false" customHeight="false" outlineLevel="0" collapsed="false">
      <c r="A2035" s="6" t="str">
        <f aca="false">'Dish Database'!A541</f>
        <v>D540</v>
      </c>
      <c r="B2035" s="6" t="str">
        <f aca="false">'Dish Database'!B541</f>
        <v>Malpua</v>
      </c>
      <c r="C2035" s="6" t="str">
        <f aca="false">'Dish Database'!D541</f>
        <v>Sweets (Mithai)</v>
      </c>
      <c r="D2035" s="6" t="str">
        <f aca="false">'Dish Database'!F541</f>
        <v>Veg</v>
      </c>
      <c r="E2035" s="6" t="str">
        <f aca="false">'Dish Database'!E541</f>
        <v>North</v>
      </c>
      <c r="F2035" s="6" t="s">
        <v>2246</v>
      </c>
      <c r="G2035" s="6" t="s">
        <v>2686</v>
      </c>
      <c r="H2035" s="16" t="n">
        <v>90</v>
      </c>
      <c r="I2035" s="6" t="str">
        <f aca="false">'Dish Database'!I541</f>
        <v>g</v>
      </c>
      <c r="J2035" s="13" t="n">
        <f aca="false">'Dish Database'!J541*H2035/100</f>
        <v>324.36</v>
      </c>
      <c r="K2035" s="17" t="n">
        <f aca="false">'Dish Database'!K541*H2035/100</f>
        <v>4.5</v>
      </c>
      <c r="L2035" s="17" t="n">
        <f aca="false">'Dish Database'!L541*H2035/100</f>
        <v>40.5</v>
      </c>
      <c r="M2035" s="17" t="n">
        <f aca="false">'Dish Database'!M541*H2035/100</f>
        <v>16.2</v>
      </c>
      <c r="N2035" s="17" t="n">
        <f aca="false">'Dish Database'!N541*H2035/100</f>
        <v>0.72</v>
      </c>
      <c r="O2035" s="17" t="n">
        <f aca="false">'Dish Database'!O541*H2035/100</f>
        <v>25.2</v>
      </c>
      <c r="P2035" s="13" t="n">
        <f aca="false">'Dish Database'!P541*H2035/100</f>
        <v>45</v>
      </c>
    </row>
    <row r="2036" customFormat="false" ht="15" hidden="false" customHeight="false" outlineLevel="0" collapsed="false">
      <c r="A2036" s="6" t="str">
        <f aca="false">'Dish Database'!A542</f>
        <v>D541</v>
      </c>
      <c r="B2036" s="6" t="str">
        <f aca="false">'Dish Database'!B542</f>
        <v>Ghewar</v>
      </c>
      <c r="C2036" s="6" t="str">
        <f aca="false">'Dish Database'!D542</f>
        <v>Sweets (Mithai)</v>
      </c>
      <c r="D2036" s="6" t="str">
        <f aca="false">'Dish Database'!F542</f>
        <v>Veg</v>
      </c>
      <c r="E2036" s="6" t="str">
        <f aca="false">'Dish Database'!E542</f>
        <v>West</v>
      </c>
      <c r="F2036" s="6" t="s">
        <v>2243</v>
      </c>
      <c r="G2036" s="6" t="s">
        <v>2687</v>
      </c>
      <c r="H2036" s="16" t="n">
        <v>50</v>
      </c>
      <c r="I2036" s="6" t="str">
        <f aca="false">'Dish Database'!I542</f>
        <v>g</v>
      </c>
      <c r="J2036" s="13" t="n">
        <f aca="false">'Dish Database'!J542*H2036/100</f>
        <v>221.7</v>
      </c>
      <c r="K2036" s="17" t="n">
        <f aca="false">'Dish Database'!K542*H2036/100</f>
        <v>2.5</v>
      </c>
      <c r="L2036" s="17" t="n">
        <f aca="false">'Dish Database'!L542*H2036/100</f>
        <v>25</v>
      </c>
      <c r="M2036" s="17" t="n">
        <f aca="false">'Dish Database'!M542*H2036/100</f>
        <v>12.5</v>
      </c>
      <c r="N2036" s="17" t="n">
        <f aca="false">'Dish Database'!N542*H2036/100</f>
        <v>0.4</v>
      </c>
      <c r="O2036" s="17" t="n">
        <f aca="false">'Dish Database'!O542*H2036/100</f>
        <v>15</v>
      </c>
      <c r="P2036" s="13" t="n">
        <f aca="false">'Dish Database'!P542*H2036/100</f>
        <v>15</v>
      </c>
    </row>
    <row r="2037" customFormat="false" ht="15" hidden="false" customHeight="false" outlineLevel="0" collapsed="false">
      <c r="A2037" s="6" t="str">
        <f aca="false">'Dish Database'!A542</f>
        <v>D541</v>
      </c>
      <c r="B2037" s="6" t="str">
        <f aca="false">'Dish Database'!B542</f>
        <v>Ghewar</v>
      </c>
      <c r="C2037" s="6" t="str">
        <f aca="false">'Dish Database'!D542</f>
        <v>Sweets (Mithai)</v>
      </c>
      <c r="D2037" s="6" t="str">
        <f aca="false">'Dish Database'!F542</f>
        <v>Veg</v>
      </c>
      <c r="E2037" s="6" t="str">
        <f aca="false">'Dish Database'!E542</f>
        <v>West</v>
      </c>
      <c r="F2037" s="6" t="s">
        <v>103</v>
      </c>
      <c r="G2037" s="6" t="s">
        <v>2688</v>
      </c>
      <c r="H2037" s="16" t="n">
        <v>100</v>
      </c>
      <c r="I2037" s="6" t="str">
        <f aca="false">'Dish Database'!I542</f>
        <v>g</v>
      </c>
      <c r="J2037" s="13" t="n">
        <f aca="false">'Dish Database'!J542*H2037/100</f>
        <v>443.4</v>
      </c>
      <c r="K2037" s="17" t="n">
        <f aca="false">'Dish Database'!K542*H2037/100</f>
        <v>5</v>
      </c>
      <c r="L2037" s="17" t="n">
        <f aca="false">'Dish Database'!L542*H2037/100</f>
        <v>50</v>
      </c>
      <c r="M2037" s="17" t="n">
        <f aca="false">'Dish Database'!M542*H2037/100</f>
        <v>25</v>
      </c>
      <c r="N2037" s="17" t="n">
        <f aca="false">'Dish Database'!N542*H2037/100</f>
        <v>0.8</v>
      </c>
      <c r="O2037" s="17" t="n">
        <f aca="false">'Dish Database'!O542*H2037/100</f>
        <v>30</v>
      </c>
      <c r="P2037" s="13" t="n">
        <f aca="false">'Dish Database'!P542*H2037/100</f>
        <v>30</v>
      </c>
    </row>
    <row r="2038" customFormat="false" ht="15" hidden="false" customHeight="false" outlineLevel="0" collapsed="false">
      <c r="A2038" s="6" t="str">
        <f aca="false">'Dish Database'!A542</f>
        <v>D541</v>
      </c>
      <c r="B2038" s="6" t="str">
        <f aca="false">'Dish Database'!B542</f>
        <v>Ghewar</v>
      </c>
      <c r="C2038" s="6" t="str">
        <f aca="false">'Dish Database'!D542</f>
        <v>Sweets (Mithai)</v>
      </c>
      <c r="D2038" s="6" t="str">
        <f aca="false">'Dish Database'!F542</f>
        <v>Veg</v>
      </c>
      <c r="E2038" s="6" t="str">
        <f aca="false">'Dish Database'!E542</f>
        <v>West</v>
      </c>
      <c r="F2038" s="6" t="s">
        <v>2246</v>
      </c>
      <c r="G2038" s="6" t="s">
        <v>2689</v>
      </c>
      <c r="H2038" s="16" t="n">
        <v>150</v>
      </c>
      <c r="I2038" s="6" t="str">
        <f aca="false">'Dish Database'!I542</f>
        <v>g</v>
      </c>
      <c r="J2038" s="13" t="n">
        <f aca="false">'Dish Database'!J542*H2038/100</f>
        <v>665.1</v>
      </c>
      <c r="K2038" s="17" t="n">
        <f aca="false">'Dish Database'!K542*H2038/100</f>
        <v>7.5</v>
      </c>
      <c r="L2038" s="17" t="n">
        <f aca="false">'Dish Database'!L542*H2038/100</f>
        <v>75</v>
      </c>
      <c r="M2038" s="17" t="n">
        <f aca="false">'Dish Database'!M542*H2038/100</f>
        <v>37.5</v>
      </c>
      <c r="N2038" s="17" t="n">
        <f aca="false">'Dish Database'!N542*H2038/100</f>
        <v>1.2</v>
      </c>
      <c r="O2038" s="17" t="n">
        <f aca="false">'Dish Database'!O542*H2038/100</f>
        <v>45</v>
      </c>
      <c r="P2038" s="13" t="n">
        <f aca="false">'Dish Database'!P542*H2038/100</f>
        <v>45</v>
      </c>
    </row>
    <row r="2039" customFormat="false" ht="15" hidden="false" customHeight="false" outlineLevel="0" collapsed="false">
      <c r="A2039" s="6" t="str">
        <f aca="false">'Dish Database'!A543</f>
        <v>D542</v>
      </c>
      <c r="B2039" s="6" t="str">
        <f aca="false">'Dish Database'!B543</f>
        <v>Churma</v>
      </c>
      <c r="C2039" s="6" t="str">
        <f aca="false">'Dish Database'!D543</f>
        <v>Sweets (Mithai)</v>
      </c>
      <c r="D2039" s="6" t="str">
        <f aca="false">'Dish Database'!F543</f>
        <v>Veg</v>
      </c>
      <c r="E2039" s="6" t="str">
        <f aca="false">'Dish Database'!E543</f>
        <v>West</v>
      </c>
      <c r="F2039" s="6" t="s">
        <v>2243</v>
      </c>
      <c r="G2039" s="6" t="s">
        <v>2422</v>
      </c>
      <c r="H2039" s="16" t="n">
        <v>50</v>
      </c>
      <c r="I2039" s="6" t="str">
        <f aca="false">'Dish Database'!I543</f>
        <v>g</v>
      </c>
      <c r="J2039" s="13" t="n">
        <f aca="false">'Dish Database'!J543*H2039/100</f>
        <v>218</v>
      </c>
      <c r="K2039" s="17" t="n">
        <f aca="false">'Dish Database'!K543*H2039/100</f>
        <v>3.25</v>
      </c>
      <c r="L2039" s="17" t="n">
        <f aca="false">'Dish Database'!L543*H2039/100</f>
        <v>27.5</v>
      </c>
      <c r="M2039" s="17" t="n">
        <f aca="false">'Dish Database'!M543*H2039/100</f>
        <v>11</v>
      </c>
      <c r="N2039" s="17" t="n">
        <f aca="false">'Dish Database'!N543*H2039/100</f>
        <v>2</v>
      </c>
      <c r="O2039" s="17" t="n">
        <f aca="false">'Dish Database'!O543*H2039/100</f>
        <v>12.5</v>
      </c>
      <c r="P2039" s="13" t="n">
        <f aca="false">'Dish Database'!P543*H2039/100</f>
        <v>10</v>
      </c>
    </row>
    <row r="2040" customFormat="false" ht="15" hidden="false" customHeight="false" outlineLevel="0" collapsed="false">
      <c r="A2040" s="6" t="str">
        <f aca="false">'Dish Database'!A543</f>
        <v>D542</v>
      </c>
      <c r="B2040" s="6" t="str">
        <f aca="false">'Dish Database'!B543</f>
        <v>Churma</v>
      </c>
      <c r="C2040" s="6" t="str">
        <f aca="false">'Dish Database'!D543</f>
        <v>Sweets (Mithai)</v>
      </c>
      <c r="D2040" s="6" t="str">
        <f aca="false">'Dish Database'!F543</f>
        <v>Veg</v>
      </c>
      <c r="E2040" s="6" t="str">
        <f aca="false">'Dish Database'!E543</f>
        <v>West</v>
      </c>
      <c r="F2040" s="6" t="s">
        <v>103</v>
      </c>
      <c r="G2040" s="6" t="s">
        <v>2259</v>
      </c>
      <c r="H2040" s="16" t="n">
        <v>100</v>
      </c>
      <c r="I2040" s="6" t="str">
        <f aca="false">'Dish Database'!I543</f>
        <v>g</v>
      </c>
      <c r="J2040" s="13" t="n">
        <f aca="false">'Dish Database'!J543*H2040/100</f>
        <v>436</v>
      </c>
      <c r="K2040" s="17" t="n">
        <f aca="false">'Dish Database'!K543*H2040/100</f>
        <v>6.5</v>
      </c>
      <c r="L2040" s="17" t="n">
        <f aca="false">'Dish Database'!L543*H2040/100</f>
        <v>55</v>
      </c>
      <c r="M2040" s="17" t="n">
        <f aca="false">'Dish Database'!M543*H2040/100</f>
        <v>22</v>
      </c>
      <c r="N2040" s="17" t="n">
        <f aca="false">'Dish Database'!N543*H2040/100</f>
        <v>4</v>
      </c>
      <c r="O2040" s="17" t="n">
        <f aca="false">'Dish Database'!O543*H2040/100</f>
        <v>25</v>
      </c>
      <c r="P2040" s="13" t="n">
        <f aca="false">'Dish Database'!P543*H2040/100</f>
        <v>20</v>
      </c>
    </row>
    <row r="2041" customFormat="false" ht="15" hidden="false" customHeight="false" outlineLevel="0" collapsed="false">
      <c r="A2041" s="6" t="str">
        <f aca="false">'Dish Database'!A543</f>
        <v>D542</v>
      </c>
      <c r="B2041" s="6" t="str">
        <f aca="false">'Dish Database'!B543</f>
        <v>Churma</v>
      </c>
      <c r="C2041" s="6" t="str">
        <f aca="false">'Dish Database'!D543</f>
        <v>Sweets (Mithai)</v>
      </c>
      <c r="D2041" s="6" t="str">
        <f aca="false">'Dish Database'!F543</f>
        <v>Veg</v>
      </c>
      <c r="E2041" s="6" t="str">
        <f aca="false">'Dish Database'!E543</f>
        <v>West</v>
      </c>
      <c r="F2041" s="6" t="s">
        <v>2246</v>
      </c>
      <c r="G2041" s="6" t="s">
        <v>2260</v>
      </c>
      <c r="H2041" s="16" t="n">
        <v>150</v>
      </c>
      <c r="I2041" s="6" t="str">
        <f aca="false">'Dish Database'!I543</f>
        <v>g</v>
      </c>
      <c r="J2041" s="13" t="n">
        <f aca="false">'Dish Database'!J543*H2041/100</f>
        <v>654</v>
      </c>
      <c r="K2041" s="17" t="n">
        <f aca="false">'Dish Database'!K543*H2041/100</f>
        <v>9.75</v>
      </c>
      <c r="L2041" s="17" t="n">
        <f aca="false">'Dish Database'!L543*H2041/100</f>
        <v>82.5</v>
      </c>
      <c r="M2041" s="17" t="n">
        <f aca="false">'Dish Database'!M543*H2041/100</f>
        <v>33</v>
      </c>
      <c r="N2041" s="17" t="n">
        <f aca="false">'Dish Database'!N543*H2041/100</f>
        <v>6</v>
      </c>
      <c r="O2041" s="17" t="n">
        <f aca="false">'Dish Database'!O543*H2041/100</f>
        <v>37.5</v>
      </c>
      <c r="P2041" s="13" t="n">
        <f aca="false">'Dish Database'!P543*H2041/100</f>
        <v>30</v>
      </c>
    </row>
    <row r="2042" customFormat="false" ht="15" hidden="false" customHeight="false" outlineLevel="0" collapsed="false">
      <c r="A2042" s="6" t="str">
        <f aca="false">'Dish Database'!A544</f>
        <v>D543</v>
      </c>
      <c r="B2042" s="6" t="str">
        <f aca="false">'Dish Database'!B544</f>
        <v>Balushahi</v>
      </c>
      <c r="C2042" s="6" t="str">
        <f aca="false">'Dish Database'!D544</f>
        <v>Sweets (Mithai)</v>
      </c>
      <c r="D2042" s="6" t="str">
        <f aca="false">'Dish Database'!F544</f>
        <v>Veg</v>
      </c>
      <c r="E2042" s="6" t="str">
        <f aca="false">'Dish Database'!E544</f>
        <v>North</v>
      </c>
      <c r="F2042" s="6" t="s">
        <v>2243</v>
      </c>
      <c r="G2042" s="6" t="s">
        <v>2647</v>
      </c>
      <c r="H2042" s="16" t="n">
        <v>30</v>
      </c>
      <c r="I2042" s="6" t="str">
        <f aca="false">'Dish Database'!I544</f>
        <v>g</v>
      </c>
      <c r="J2042" s="13" t="n">
        <f aca="false">'Dish Database'!J544*H2042/100</f>
        <v>129.6</v>
      </c>
      <c r="K2042" s="17" t="n">
        <f aca="false">'Dish Database'!K544*H2042/100</f>
        <v>1.2</v>
      </c>
      <c r="L2042" s="17" t="n">
        <f aca="false">'Dish Database'!L544*H2042/100</f>
        <v>16.5</v>
      </c>
      <c r="M2042" s="17" t="n">
        <f aca="false">'Dish Database'!M544*H2042/100</f>
        <v>6.6</v>
      </c>
      <c r="N2042" s="17" t="n">
        <f aca="false">'Dish Database'!N544*H2042/100</f>
        <v>0.3</v>
      </c>
      <c r="O2042" s="17" t="n">
        <f aca="false">'Dish Database'!O544*H2042/100</f>
        <v>9</v>
      </c>
      <c r="P2042" s="13" t="n">
        <f aca="false">'Dish Database'!P544*H2042/100</f>
        <v>9</v>
      </c>
    </row>
    <row r="2043" customFormat="false" ht="15" hidden="false" customHeight="false" outlineLevel="0" collapsed="false">
      <c r="A2043" s="6" t="str">
        <f aca="false">'Dish Database'!A544</f>
        <v>D543</v>
      </c>
      <c r="B2043" s="6" t="str">
        <f aca="false">'Dish Database'!B544</f>
        <v>Balushahi</v>
      </c>
      <c r="C2043" s="6" t="str">
        <f aca="false">'Dish Database'!D544</f>
        <v>Sweets (Mithai)</v>
      </c>
      <c r="D2043" s="6" t="str">
        <f aca="false">'Dish Database'!F544</f>
        <v>Veg</v>
      </c>
      <c r="E2043" s="6" t="str">
        <f aca="false">'Dish Database'!E544</f>
        <v>North</v>
      </c>
      <c r="F2043" s="6" t="s">
        <v>103</v>
      </c>
      <c r="G2043" s="6" t="s">
        <v>2664</v>
      </c>
      <c r="H2043" s="16" t="n">
        <v>45</v>
      </c>
      <c r="I2043" s="6" t="str">
        <f aca="false">'Dish Database'!I544</f>
        <v>g</v>
      </c>
      <c r="J2043" s="13" t="n">
        <f aca="false">'Dish Database'!J544*H2043/100</f>
        <v>194.4</v>
      </c>
      <c r="K2043" s="17" t="n">
        <f aca="false">'Dish Database'!K544*H2043/100</f>
        <v>1.8</v>
      </c>
      <c r="L2043" s="17" t="n">
        <f aca="false">'Dish Database'!L544*H2043/100</f>
        <v>24.75</v>
      </c>
      <c r="M2043" s="17" t="n">
        <f aca="false">'Dish Database'!M544*H2043/100</f>
        <v>9.9</v>
      </c>
      <c r="N2043" s="17" t="n">
        <f aca="false">'Dish Database'!N544*H2043/100</f>
        <v>0.45</v>
      </c>
      <c r="O2043" s="17" t="n">
        <f aca="false">'Dish Database'!O544*H2043/100</f>
        <v>13.5</v>
      </c>
      <c r="P2043" s="13" t="n">
        <f aca="false">'Dish Database'!P544*H2043/100</f>
        <v>13.5</v>
      </c>
    </row>
    <row r="2044" customFormat="false" ht="15" hidden="false" customHeight="false" outlineLevel="0" collapsed="false">
      <c r="A2044" s="6" t="str">
        <f aca="false">'Dish Database'!A544</f>
        <v>D543</v>
      </c>
      <c r="B2044" s="6" t="str">
        <f aca="false">'Dish Database'!B544</f>
        <v>Balushahi</v>
      </c>
      <c r="C2044" s="6" t="str">
        <f aca="false">'Dish Database'!D544</f>
        <v>Sweets (Mithai)</v>
      </c>
      <c r="D2044" s="6" t="str">
        <f aca="false">'Dish Database'!F544</f>
        <v>Veg</v>
      </c>
      <c r="E2044" s="6" t="str">
        <f aca="false">'Dish Database'!E544</f>
        <v>North</v>
      </c>
      <c r="F2044" s="6" t="s">
        <v>2246</v>
      </c>
      <c r="G2044" s="6" t="s">
        <v>2343</v>
      </c>
      <c r="H2044" s="16" t="n">
        <v>60</v>
      </c>
      <c r="I2044" s="6" t="str">
        <f aca="false">'Dish Database'!I544</f>
        <v>g</v>
      </c>
      <c r="J2044" s="13" t="n">
        <f aca="false">'Dish Database'!J544*H2044/100</f>
        <v>259.2</v>
      </c>
      <c r="K2044" s="17" t="n">
        <f aca="false">'Dish Database'!K544*H2044/100</f>
        <v>2.4</v>
      </c>
      <c r="L2044" s="17" t="n">
        <f aca="false">'Dish Database'!L544*H2044/100</f>
        <v>33</v>
      </c>
      <c r="M2044" s="17" t="n">
        <f aca="false">'Dish Database'!M544*H2044/100</f>
        <v>13.2</v>
      </c>
      <c r="N2044" s="17" t="n">
        <f aca="false">'Dish Database'!N544*H2044/100</f>
        <v>0.6</v>
      </c>
      <c r="O2044" s="17" t="n">
        <f aca="false">'Dish Database'!O544*H2044/100</f>
        <v>18</v>
      </c>
      <c r="P2044" s="13" t="n">
        <f aca="false">'Dish Database'!P544*H2044/100</f>
        <v>18</v>
      </c>
    </row>
    <row r="2045" customFormat="false" ht="15" hidden="false" customHeight="false" outlineLevel="0" collapsed="false">
      <c r="A2045" s="6" t="str">
        <f aca="false">'Dish Database'!A545</f>
        <v>D544</v>
      </c>
      <c r="B2045" s="6" t="str">
        <f aca="false">'Dish Database'!B545</f>
        <v>Gujiya</v>
      </c>
      <c r="C2045" s="6" t="str">
        <f aca="false">'Dish Database'!D545</f>
        <v>Sweets (Mithai)</v>
      </c>
      <c r="D2045" s="6" t="str">
        <f aca="false">'Dish Database'!F545</f>
        <v>Veg</v>
      </c>
      <c r="E2045" s="6" t="str">
        <f aca="false">'Dish Database'!E545</f>
        <v>North</v>
      </c>
      <c r="F2045" s="6" t="s">
        <v>2243</v>
      </c>
      <c r="G2045" s="6" t="s">
        <v>2690</v>
      </c>
      <c r="H2045" s="16" t="n">
        <v>30</v>
      </c>
      <c r="I2045" s="6" t="str">
        <f aca="false">'Dish Database'!I545</f>
        <v>g</v>
      </c>
      <c r="J2045" s="13" t="n">
        <f aca="false">'Dish Database'!J545*H2045/100</f>
        <v>127.5</v>
      </c>
      <c r="K2045" s="17" t="n">
        <f aca="false">'Dish Database'!K545*H2045/100</f>
        <v>1.8</v>
      </c>
      <c r="L2045" s="17" t="n">
        <f aca="false">'Dish Database'!L545*H2045/100</f>
        <v>13.5</v>
      </c>
      <c r="M2045" s="17" t="n">
        <f aca="false">'Dish Database'!M545*H2045/100</f>
        <v>7.5</v>
      </c>
      <c r="N2045" s="17" t="n">
        <f aca="false">'Dish Database'!N545*H2045/100</f>
        <v>0.6</v>
      </c>
      <c r="O2045" s="17" t="n">
        <f aca="false">'Dish Database'!O545*H2045/100</f>
        <v>7.5</v>
      </c>
      <c r="P2045" s="13" t="n">
        <f aca="false">'Dish Database'!P545*H2045/100</f>
        <v>9</v>
      </c>
    </row>
    <row r="2046" customFormat="false" ht="15" hidden="false" customHeight="false" outlineLevel="0" collapsed="false">
      <c r="A2046" s="6" t="str">
        <f aca="false">'Dish Database'!A545</f>
        <v>D544</v>
      </c>
      <c r="B2046" s="6" t="str">
        <f aca="false">'Dish Database'!B545</f>
        <v>Gujiya</v>
      </c>
      <c r="C2046" s="6" t="str">
        <f aca="false">'Dish Database'!D545</f>
        <v>Sweets (Mithai)</v>
      </c>
      <c r="D2046" s="6" t="str">
        <f aca="false">'Dish Database'!F545</f>
        <v>Veg</v>
      </c>
      <c r="E2046" s="6" t="str">
        <f aca="false">'Dish Database'!E545</f>
        <v>North</v>
      </c>
      <c r="F2046" s="6" t="s">
        <v>103</v>
      </c>
      <c r="G2046" s="6" t="s">
        <v>2691</v>
      </c>
      <c r="H2046" s="16" t="n">
        <v>45</v>
      </c>
      <c r="I2046" s="6" t="str">
        <f aca="false">'Dish Database'!I545</f>
        <v>g</v>
      </c>
      <c r="J2046" s="13" t="n">
        <f aca="false">'Dish Database'!J545*H2046/100</f>
        <v>191.25</v>
      </c>
      <c r="K2046" s="17" t="n">
        <f aca="false">'Dish Database'!K545*H2046/100</f>
        <v>2.7</v>
      </c>
      <c r="L2046" s="17" t="n">
        <f aca="false">'Dish Database'!L545*H2046/100</f>
        <v>20.25</v>
      </c>
      <c r="M2046" s="17" t="n">
        <f aca="false">'Dish Database'!M545*H2046/100</f>
        <v>11.25</v>
      </c>
      <c r="N2046" s="17" t="n">
        <f aca="false">'Dish Database'!N545*H2046/100</f>
        <v>0.9</v>
      </c>
      <c r="O2046" s="17" t="n">
        <f aca="false">'Dish Database'!O545*H2046/100</f>
        <v>11.25</v>
      </c>
      <c r="P2046" s="13" t="n">
        <f aca="false">'Dish Database'!P545*H2046/100</f>
        <v>13.5</v>
      </c>
    </row>
    <row r="2047" customFormat="false" ht="15" hidden="false" customHeight="false" outlineLevel="0" collapsed="false">
      <c r="A2047" s="6" t="str">
        <f aca="false">'Dish Database'!A545</f>
        <v>D544</v>
      </c>
      <c r="B2047" s="6" t="str">
        <f aca="false">'Dish Database'!B545</f>
        <v>Gujiya</v>
      </c>
      <c r="C2047" s="6" t="str">
        <f aca="false">'Dish Database'!D545</f>
        <v>Sweets (Mithai)</v>
      </c>
      <c r="D2047" s="6" t="str">
        <f aca="false">'Dish Database'!F545</f>
        <v>Veg</v>
      </c>
      <c r="E2047" s="6" t="str">
        <f aca="false">'Dish Database'!E545</f>
        <v>North</v>
      </c>
      <c r="F2047" s="6" t="s">
        <v>2246</v>
      </c>
      <c r="G2047" s="6" t="s">
        <v>2692</v>
      </c>
      <c r="H2047" s="16" t="n">
        <v>60</v>
      </c>
      <c r="I2047" s="6" t="str">
        <f aca="false">'Dish Database'!I545</f>
        <v>g</v>
      </c>
      <c r="J2047" s="13" t="n">
        <f aca="false">'Dish Database'!J545*H2047/100</f>
        <v>255</v>
      </c>
      <c r="K2047" s="17" t="n">
        <f aca="false">'Dish Database'!K545*H2047/100</f>
        <v>3.6</v>
      </c>
      <c r="L2047" s="17" t="n">
        <f aca="false">'Dish Database'!L545*H2047/100</f>
        <v>27</v>
      </c>
      <c r="M2047" s="17" t="n">
        <f aca="false">'Dish Database'!M545*H2047/100</f>
        <v>15</v>
      </c>
      <c r="N2047" s="17" t="n">
        <f aca="false">'Dish Database'!N545*H2047/100</f>
        <v>1.2</v>
      </c>
      <c r="O2047" s="17" t="n">
        <f aca="false">'Dish Database'!O545*H2047/100</f>
        <v>15</v>
      </c>
      <c r="P2047" s="13" t="n">
        <f aca="false">'Dish Database'!P545*H2047/100</f>
        <v>18</v>
      </c>
    </row>
    <row r="2048" customFormat="false" ht="15" hidden="false" customHeight="false" outlineLevel="0" collapsed="false">
      <c r="A2048" s="6" t="str">
        <f aca="false">'Dish Database'!A546</f>
        <v>D545</v>
      </c>
      <c r="B2048" s="6" t="str">
        <f aca="false">'Dish Database'!B546</f>
        <v>Shahi tukda / double ka meetha</v>
      </c>
      <c r="C2048" s="6" t="str">
        <f aca="false">'Dish Database'!D546</f>
        <v>Sweets (Mithai)</v>
      </c>
      <c r="D2048" s="6" t="str">
        <f aca="false">'Dish Database'!F546</f>
        <v>Veg</v>
      </c>
      <c r="E2048" s="6" t="str">
        <f aca="false">'Dish Database'!E546</f>
        <v>North</v>
      </c>
      <c r="F2048" s="6" t="s">
        <v>2243</v>
      </c>
      <c r="G2048" s="6" t="s">
        <v>2555</v>
      </c>
      <c r="H2048" s="16" t="n">
        <v>60</v>
      </c>
      <c r="I2048" s="6" t="str">
        <f aca="false">'Dish Database'!I546</f>
        <v>g</v>
      </c>
      <c r="J2048" s="13" t="n">
        <f aca="false">'Dish Database'!J546*H2048/100</f>
        <v>184.8</v>
      </c>
      <c r="K2048" s="17" t="n">
        <f aca="false">'Dish Database'!K546*H2048/100</f>
        <v>3.3</v>
      </c>
      <c r="L2048" s="17" t="n">
        <f aca="false">'Dish Database'!L546*H2048/100</f>
        <v>22.8</v>
      </c>
      <c r="M2048" s="17" t="n">
        <f aca="false">'Dish Database'!M546*H2048/100</f>
        <v>9</v>
      </c>
      <c r="N2048" s="17" t="n">
        <f aca="false">'Dish Database'!N546*H2048/100</f>
        <v>0.3</v>
      </c>
      <c r="O2048" s="17" t="n">
        <f aca="false">'Dish Database'!O546*H2048/100</f>
        <v>13.2</v>
      </c>
      <c r="P2048" s="13" t="n">
        <f aca="false">'Dish Database'!P546*H2048/100</f>
        <v>90</v>
      </c>
    </row>
    <row r="2049" customFormat="false" ht="15" hidden="false" customHeight="false" outlineLevel="0" collapsed="false">
      <c r="A2049" s="6" t="str">
        <f aca="false">'Dish Database'!A546</f>
        <v>D545</v>
      </c>
      <c r="B2049" s="6" t="str">
        <f aca="false">'Dish Database'!B546</f>
        <v>Shahi tukda / double ka meetha</v>
      </c>
      <c r="C2049" s="6" t="str">
        <f aca="false">'Dish Database'!D546</f>
        <v>Sweets (Mithai)</v>
      </c>
      <c r="D2049" s="6" t="str">
        <f aca="false">'Dish Database'!F546</f>
        <v>Veg</v>
      </c>
      <c r="E2049" s="6" t="str">
        <f aca="false">'Dish Database'!E546</f>
        <v>North</v>
      </c>
      <c r="F2049" s="6" t="s">
        <v>103</v>
      </c>
      <c r="G2049" s="6" t="s">
        <v>2556</v>
      </c>
      <c r="H2049" s="16" t="n">
        <v>90</v>
      </c>
      <c r="I2049" s="6" t="str">
        <f aca="false">'Dish Database'!I546</f>
        <v>g</v>
      </c>
      <c r="J2049" s="13" t="n">
        <f aca="false">'Dish Database'!J546*H2049/100</f>
        <v>277.2</v>
      </c>
      <c r="K2049" s="17" t="n">
        <f aca="false">'Dish Database'!K546*H2049/100</f>
        <v>4.95</v>
      </c>
      <c r="L2049" s="17" t="n">
        <f aca="false">'Dish Database'!L546*H2049/100</f>
        <v>34.2</v>
      </c>
      <c r="M2049" s="17" t="n">
        <f aca="false">'Dish Database'!M546*H2049/100</f>
        <v>13.5</v>
      </c>
      <c r="N2049" s="17" t="n">
        <f aca="false">'Dish Database'!N546*H2049/100</f>
        <v>0.45</v>
      </c>
      <c r="O2049" s="17" t="n">
        <f aca="false">'Dish Database'!O546*H2049/100</f>
        <v>19.8</v>
      </c>
      <c r="P2049" s="13" t="n">
        <f aca="false">'Dish Database'!P546*H2049/100</f>
        <v>135</v>
      </c>
    </row>
    <row r="2050" customFormat="false" ht="15" hidden="false" customHeight="false" outlineLevel="0" collapsed="false">
      <c r="A2050" s="6" t="str">
        <f aca="false">'Dish Database'!A546</f>
        <v>D545</v>
      </c>
      <c r="B2050" s="6" t="str">
        <f aca="false">'Dish Database'!B546</f>
        <v>Shahi tukda / double ka meetha</v>
      </c>
      <c r="C2050" s="6" t="str">
        <f aca="false">'Dish Database'!D546</f>
        <v>Sweets (Mithai)</v>
      </c>
      <c r="D2050" s="6" t="str">
        <f aca="false">'Dish Database'!F546</f>
        <v>Veg</v>
      </c>
      <c r="E2050" s="6" t="str">
        <f aca="false">'Dish Database'!E546</f>
        <v>North</v>
      </c>
      <c r="F2050" s="6" t="s">
        <v>2246</v>
      </c>
      <c r="G2050" s="6" t="s">
        <v>2557</v>
      </c>
      <c r="H2050" s="16" t="n">
        <v>120</v>
      </c>
      <c r="I2050" s="6" t="str">
        <f aca="false">'Dish Database'!I546</f>
        <v>g</v>
      </c>
      <c r="J2050" s="13" t="n">
        <f aca="false">'Dish Database'!J546*H2050/100</f>
        <v>369.6</v>
      </c>
      <c r="K2050" s="17" t="n">
        <f aca="false">'Dish Database'!K546*H2050/100</f>
        <v>6.6</v>
      </c>
      <c r="L2050" s="17" t="n">
        <f aca="false">'Dish Database'!L546*H2050/100</f>
        <v>45.6</v>
      </c>
      <c r="M2050" s="17" t="n">
        <f aca="false">'Dish Database'!M546*H2050/100</f>
        <v>18</v>
      </c>
      <c r="N2050" s="17" t="n">
        <f aca="false">'Dish Database'!N546*H2050/100</f>
        <v>0.6</v>
      </c>
      <c r="O2050" s="17" t="n">
        <f aca="false">'Dish Database'!O546*H2050/100</f>
        <v>26.4</v>
      </c>
      <c r="P2050" s="13" t="n">
        <f aca="false">'Dish Database'!P546*H2050/100</f>
        <v>180</v>
      </c>
    </row>
    <row r="2051" customFormat="false" ht="15" hidden="false" customHeight="false" outlineLevel="0" collapsed="false">
      <c r="A2051" s="6" t="str">
        <f aca="false">'Dish Database'!A547</f>
        <v>D546</v>
      </c>
      <c r="B2051" s="6" t="str">
        <f aca="false">'Dish Database'!B547</f>
        <v>Qubani ka meetha</v>
      </c>
      <c r="C2051" s="6" t="str">
        <f aca="false">'Dish Database'!D547</f>
        <v>Sweets (Mithai)</v>
      </c>
      <c r="D2051" s="6" t="str">
        <f aca="false">'Dish Database'!F547</f>
        <v>Veg</v>
      </c>
      <c r="E2051" s="6" t="str">
        <f aca="false">'Dish Database'!E547</f>
        <v>South</v>
      </c>
      <c r="F2051" s="6" t="s">
        <v>2243</v>
      </c>
      <c r="G2051" s="6" t="s">
        <v>2422</v>
      </c>
      <c r="H2051" s="16" t="n">
        <v>50</v>
      </c>
      <c r="I2051" s="6" t="str">
        <f aca="false">'Dish Database'!I547</f>
        <v>g</v>
      </c>
      <c r="J2051" s="13" t="n">
        <f aca="false">'Dish Database'!J547*H2051/100</f>
        <v>104.5</v>
      </c>
      <c r="K2051" s="17" t="n">
        <f aca="false">'Dish Database'!K547*H2051/100</f>
        <v>1</v>
      </c>
      <c r="L2051" s="17" t="n">
        <f aca="false">'Dish Database'!L547*H2051/100</f>
        <v>22.5</v>
      </c>
      <c r="M2051" s="17" t="n">
        <f aca="false">'Dish Database'!M547*H2051/100</f>
        <v>1.5</v>
      </c>
      <c r="N2051" s="17" t="n">
        <f aca="false">'Dish Database'!N547*H2051/100</f>
        <v>1.5</v>
      </c>
      <c r="O2051" s="17" t="n">
        <f aca="false">'Dish Database'!O547*H2051/100</f>
        <v>19</v>
      </c>
      <c r="P2051" s="13" t="n">
        <f aca="false">'Dish Database'!P547*H2051/100</f>
        <v>5</v>
      </c>
    </row>
    <row r="2052" customFormat="false" ht="15" hidden="false" customHeight="false" outlineLevel="0" collapsed="false">
      <c r="A2052" s="6" t="str">
        <f aca="false">'Dish Database'!A547</f>
        <v>D546</v>
      </c>
      <c r="B2052" s="6" t="str">
        <f aca="false">'Dish Database'!B547</f>
        <v>Qubani ka meetha</v>
      </c>
      <c r="C2052" s="6" t="str">
        <f aca="false">'Dish Database'!D547</f>
        <v>Sweets (Mithai)</v>
      </c>
      <c r="D2052" s="6" t="str">
        <f aca="false">'Dish Database'!F547</f>
        <v>Veg</v>
      </c>
      <c r="E2052" s="6" t="str">
        <f aca="false">'Dish Database'!E547</f>
        <v>South</v>
      </c>
      <c r="F2052" s="6" t="s">
        <v>103</v>
      </c>
      <c r="G2052" s="6" t="s">
        <v>2259</v>
      </c>
      <c r="H2052" s="16" t="n">
        <v>100</v>
      </c>
      <c r="I2052" s="6" t="str">
        <f aca="false">'Dish Database'!I547</f>
        <v>g</v>
      </c>
      <c r="J2052" s="13" t="n">
        <f aca="false">'Dish Database'!J547*H2052/100</f>
        <v>209</v>
      </c>
      <c r="K2052" s="17" t="n">
        <f aca="false">'Dish Database'!K547*H2052/100</f>
        <v>2</v>
      </c>
      <c r="L2052" s="17" t="n">
        <f aca="false">'Dish Database'!L547*H2052/100</f>
        <v>45</v>
      </c>
      <c r="M2052" s="17" t="n">
        <f aca="false">'Dish Database'!M547*H2052/100</f>
        <v>3</v>
      </c>
      <c r="N2052" s="17" t="n">
        <f aca="false">'Dish Database'!N547*H2052/100</f>
        <v>3</v>
      </c>
      <c r="O2052" s="17" t="n">
        <f aca="false">'Dish Database'!O547*H2052/100</f>
        <v>38</v>
      </c>
      <c r="P2052" s="13" t="n">
        <f aca="false">'Dish Database'!P547*H2052/100</f>
        <v>10</v>
      </c>
    </row>
    <row r="2053" customFormat="false" ht="15" hidden="false" customHeight="false" outlineLevel="0" collapsed="false">
      <c r="A2053" s="6" t="str">
        <f aca="false">'Dish Database'!A547</f>
        <v>D546</v>
      </c>
      <c r="B2053" s="6" t="str">
        <f aca="false">'Dish Database'!B547</f>
        <v>Qubani ka meetha</v>
      </c>
      <c r="C2053" s="6" t="str">
        <f aca="false">'Dish Database'!D547</f>
        <v>Sweets (Mithai)</v>
      </c>
      <c r="D2053" s="6" t="str">
        <f aca="false">'Dish Database'!F547</f>
        <v>Veg</v>
      </c>
      <c r="E2053" s="6" t="str">
        <f aca="false">'Dish Database'!E547</f>
        <v>South</v>
      </c>
      <c r="F2053" s="6" t="s">
        <v>2246</v>
      </c>
      <c r="G2053" s="6" t="s">
        <v>2260</v>
      </c>
      <c r="H2053" s="16" t="n">
        <v>150</v>
      </c>
      <c r="I2053" s="6" t="str">
        <f aca="false">'Dish Database'!I547</f>
        <v>g</v>
      </c>
      <c r="J2053" s="13" t="n">
        <f aca="false">'Dish Database'!J547*H2053/100</f>
        <v>313.5</v>
      </c>
      <c r="K2053" s="17" t="n">
        <f aca="false">'Dish Database'!K547*H2053/100</f>
        <v>3</v>
      </c>
      <c r="L2053" s="17" t="n">
        <f aca="false">'Dish Database'!L547*H2053/100</f>
        <v>67.5</v>
      </c>
      <c r="M2053" s="17" t="n">
        <f aca="false">'Dish Database'!M547*H2053/100</f>
        <v>4.5</v>
      </c>
      <c r="N2053" s="17" t="n">
        <f aca="false">'Dish Database'!N547*H2053/100</f>
        <v>4.5</v>
      </c>
      <c r="O2053" s="17" t="n">
        <f aca="false">'Dish Database'!O547*H2053/100</f>
        <v>57</v>
      </c>
      <c r="P2053" s="13" t="n">
        <f aca="false">'Dish Database'!P547*H2053/100</f>
        <v>15</v>
      </c>
    </row>
    <row r="2054" customFormat="false" ht="15" hidden="false" customHeight="false" outlineLevel="0" collapsed="false">
      <c r="A2054" s="6" t="str">
        <f aca="false">'Dish Database'!A548</f>
        <v>D547</v>
      </c>
      <c r="B2054" s="6" t="str">
        <f aca="false">'Dish Database'!B548</f>
        <v>Modak (steamed)</v>
      </c>
      <c r="C2054" s="6" t="str">
        <f aca="false">'Dish Database'!D548</f>
        <v>Sweets (Mithai)</v>
      </c>
      <c r="D2054" s="6" t="str">
        <f aca="false">'Dish Database'!F548</f>
        <v>Veg</v>
      </c>
      <c r="E2054" s="6" t="str">
        <f aca="false">'Dish Database'!E548</f>
        <v>West</v>
      </c>
      <c r="F2054" s="6" t="s">
        <v>2243</v>
      </c>
      <c r="G2054" s="6" t="s">
        <v>2693</v>
      </c>
      <c r="H2054" s="16" t="n">
        <v>25</v>
      </c>
      <c r="I2054" s="6" t="str">
        <f aca="false">'Dish Database'!I548</f>
        <v>g</v>
      </c>
      <c r="J2054" s="13" t="n">
        <f aca="false">'Dish Database'!J548*H2054/100</f>
        <v>59.5</v>
      </c>
      <c r="K2054" s="17" t="n">
        <f aca="false">'Dish Database'!K548*H2054/100</f>
        <v>0.75</v>
      </c>
      <c r="L2054" s="17" t="n">
        <f aca="false">'Dish Database'!L548*H2054/100</f>
        <v>10</v>
      </c>
      <c r="M2054" s="17" t="n">
        <f aca="false">'Dish Database'!M548*H2054/100</f>
        <v>2</v>
      </c>
      <c r="N2054" s="17" t="n">
        <f aca="false">'Dish Database'!N548*H2054/100</f>
        <v>0.75</v>
      </c>
      <c r="O2054" s="17" t="n">
        <f aca="false">'Dish Database'!O548*H2054/100</f>
        <v>5</v>
      </c>
      <c r="P2054" s="13" t="n">
        <f aca="false">'Dish Database'!P548*H2054/100</f>
        <v>5</v>
      </c>
    </row>
    <row r="2055" customFormat="false" ht="15" hidden="false" customHeight="false" outlineLevel="0" collapsed="false">
      <c r="A2055" s="6" t="str">
        <f aca="false">'Dish Database'!A548</f>
        <v>D547</v>
      </c>
      <c r="B2055" s="6" t="str">
        <f aca="false">'Dish Database'!B548</f>
        <v>Modak (steamed)</v>
      </c>
      <c r="C2055" s="6" t="str">
        <f aca="false">'Dish Database'!D548</f>
        <v>Sweets (Mithai)</v>
      </c>
      <c r="D2055" s="6" t="str">
        <f aca="false">'Dish Database'!F548</f>
        <v>Veg</v>
      </c>
      <c r="E2055" s="6" t="str">
        <f aca="false">'Dish Database'!E548</f>
        <v>West</v>
      </c>
      <c r="F2055" s="6" t="s">
        <v>103</v>
      </c>
      <c r="G2055" s="6" t="s">
        <v>2694</v>
      </c>
      <c r="H2055" s="16" t="n">
        <v>40</v>
      </c>
      <c r="I2055" s="6" t="str">
        <f aca="false">'Dish Database'!I548</f>
        <v>g</v>
      </c>
      <c r="J2055" s="13" t="n">
        <f aca="false">'Dish Database'!J548*H2055/100</f>
        <v>95.2</v>
      </c>
      <c r="K2055" s="17" t="n">
        <f aca="false">'Dish Database'!K548*H2055/100</f>
        <v>1.2</v>
      </c>
      <c r="L2055" s="17" t="n">
        <f aca="false">'Dish Database'!L548*H2055/100</f>
        <v>16</v>
      </c>
      <c r="M2055" s="17" t="n">
        <f aca="false">'Dish Database'!M548*H2055/100</f>
        <v>3.2</v>
      </c>
      <c r="N2055" s="17" t="n">
        <f aca="false">'Dish Database'!N548*H2055/100</f>
        <v>1.2</v>
      </c>
      <c r="O2055" s="17" t="n">
        <f aca="false">'Dish Database'!O548*H2055/100</f>
        <v>8</v>
      </c>
      <c r="P2055" s="13" t="n">
        <f aca="false">'Dish Database'!P548*H2055/100</f>
        <v>8</v>
      </c>
    </row>
    <row r="2056" customFormat="false" ht="15" hidden="false" customHeight="false" outlineLevel="0" collapsed="false">
      <c r="A2056" s="6" t="str">
        <f aca="false">'Dish Database'!A548</f>
        <v>D547</v>
      </c>
      <c r="B2056" s="6" t="str">
        <f aca="false">'Dish Database'!B548</f>
        <v>Modak (steamed)</v>
      </c>
      <c r="C2056" s="6" t="str">
        <f aca="false">'Dish Database'!D548</f>
        <v>Sweets (Mithai)</v>
      </c>
      <c r="D2056" s="6" t="str">
        <f aca="false">'Dish Database'!F548</f>
        <v>Veg</v>
      </c>
      <c r="E2056" s="6" t="str">
        <f aca="false">'Dish Database'!E548</f>
        <v>West</v>
      </c>
      <c r="F2056" s="6" t="s">
        <v>2246</v>
      </c>
      <c r="G2056" s="6" t="s">
        <v>2695</v>
      </c>
      <c r="H2056" s="16" t="n">
        <v>50</v>
      </c>
      <c r="I2056" s="6" t="str">
        <f aca="false">'Dish Database'!I548</f>
        <v>g</v>
      </c>
      <c r="J2056" s="13" t="n">
        <f aca="false">'Dish Database'!J548*H2056/100</f>
        <v>119</v>
      </c>
      <c r="K2056" s="17" t="n">
        <f aca="false">'Dish Database'!K548*H2056/100</f>
        <v>1.5</v>
      </c>
      <c r="L2056" s="17" t="n">
        <f aca="false">'Dish Database'!L548*H2056/100</f>
        <v>20</v>
      </c>
      <c r="M2056" s="17" t="n">
        <f aca="false">'Dish Database'!M548*H2056/100</f>
        <v>4</v>
      </c>
      <c r="N2056" s="17" t="n">
        <f aca="false">'Dish Database'!N548*H2056/100</f>
        <v>1.5</v>
      </c>
      <c r="O2056" s="17" t="n">
        <f aca="false">'Dish Database'!O548*H2056/100</f>
        <v>10</v>
      </c>
      <c r="P2056" s="13" t="n">
        <f aca="false">'Dish Database'!P548*H2056/100</f>
        <v>10</v>
      </c>
    </row>
    <row r="2057" customFormat="false" ht="15" hidden="false" customHeight="false" outlineLevel="0" collapsed="false">
      <c r="A2057" s="6" t="str">
        <f aca="false">'Dish Database'!A549</f>
        <v>D548</v>
      </c>
      <c r="B2057" s="6" t="str">
        <f aca="false">'Dish Database'!B549</f>
        <v>Modak (fried)</v>
      </c>
      <c r="C2057" s="6" t="str">
        <f aca="false">'Dish Database'!D549</f>
        <v>Sweets (Mithai)</v>
      </c>
      <c r="D2057" s="6" t="str">
        <f aca="false">'Dish Database'!F549</f>
        <v>Veg</v>
      </c>
      <c r="E2057" s="6" t="str">
        <f aca="false">'Dish Database'!E549</f>
        <v>West</v>
      </c>
      <c r="F2057" s="6" t="s">
        <v>2243</v>
      </c>
      <c r="G2057" s="6" t="s">
        <v>2693</v>
      </c>
      <c r="H2057" s="16" t="n">
        <v>25</v>
      </c>
      <c r="I2057" s="6" t="str">
        <f aca="false">'Dish Database'!I549</f>
        <v>g</v>
      </c>
      <c r="J2057" s="13" t="n">
        <f aca="false">'Dish Database'!J549*H2057/100</f>
        <v>88</v>
      </c>
      <c r="K2057" s="17" t="n">
        <f aca="false">'Dish Database'!K549*H2057/100</f>
        <v>1</v>
      </c>
      <c r="L2057" s="17" t="n">
        <f aca="false">'Dish Database'!L549*H2057/100</f>
        <v>11.25</v>
      </c>
      <c r="M2057" s="17" t="n">
        <f aca="false">'Dish Database'!M549*H2057/100</f>
        <v>4.5</v>
      </c>
      <c r="N2057" s="17" t="n">
        <f aca="false">'Dish Database'!N549*H2057/100</f>
        <v>0.75</v>
      </c>
      <c r="O2057" s="17" t="n">
        <f aca="false">'Dish Database'!O549*H2057/100</f>
        <v>5.5</v>
      </c>
      <c r="P2057" s="13" t="n">
        <f aca="false">'Dish Database'!P549*H2057/100</f>
        <v>5</v>
      </c>
    </row>
    <row r="2058" customFormat="false" ht="15" hidden="false" customHeight="false" outlineLevel="0" collapsed="false">
      <c r="A2058" s="6" t="str">
        <f aca="false">'Dish Database'!A549</f>
        <v>D548</v>
      </c>
      <c r="B2058" s="6" t="str">
        <f aca="false">'Dish Database'!B549</f>
        <v>Modak (fried)</v>
      </c>
      <c r="C2058" s="6" t="str">
        <f aca="false">'Dish Database'!D549</f>
        <v>Sweets (Mithai)</v>
      </c>
      <c r="D2058" s="6" t="str">
        <f aca="false">'Dish Database'!F549</f>
        <v>Veg</v>
      </c>
      <c r="E2058" s="6" t="str">
        <f aca="false">'Dish Database'!E549</f>
        <v>West</v>
      </c>
      <c r="F2058" s="6" t="s">
        <v>103</v>
      </c>
      <c r="G2058" s="6" t="s">
        <v>2694</v>
      </c>
      <c r="H2058" s="16" t="n">
        <v>40</v>
      </c>
      <c r="I2058" s="6" t="str">
        <f aca="false">'Dish Database'!I549</f>
        <v>g</v>
      </c>
      <c r="J2058" s="13" t="n">
        <f aca="false">'Dish Database'!J549*H2058/100</f>
        <v>140.8</v>
      </c>
      <c r="K2058" s="17" t="n">
        <f aca="false">'Dish Database'!K549*H2058/100</f>
        <v>1.6</v>
      </c>
      <c r="L2058" s="17" t="n">
        <f aca="false">'Dish Database'!L549*H2058/100</f>
        <v>18</v>
      </c>
      <c r="M2058" s="17" t="n">
        <f aca="false">'Dish Database'!M549*H2058/100</f>
        <v>7.2</v>
      </c>
      <c r="N2058" s="17" t="n">
        <f aca="false">'Dish Database'!N549*H2058/100</f>
        <v>1.2</v>
      </c>
      <c r="O2058" s="17" t="n">
        <f aca="false">'Dish Database'!O549*H2058/100</f>
        <v>8.8</v>
      </c>
      <c r="P2058" s="13" t="n">
        <f aca="false">'Dish Database'!P549*H2058/100</f>
        <v>8</v>
      </c>
    </row>
    <row r="2059" customFormat="false" ht="15" hidden="false" customHeight="false" outlineLevel="0" collapsed="false">
      <c r="A2059" s="6" t="str">
        <f aca="false">'Dish Database'!A549</f>
        <v>D548</v>
      </c>
      <c r="B2059" s="6" t="str">
        <f aca="false">'Dish Database'!B549</f>
        <v>Modak (fried)</v>
      </c>
      <c r="C2059" s="6" t="str">
        <f aca="false">'Dish Database'!D549</f>
        <v>Sweets (Mithai)</v>
      </c>
      <c r="D2059" s="6" t="str">
        <f aca="false">'Dish Database'!F549</f>
        <v>Veg</v>
      </c>
      <c r="E2059" s="6" t="str">
        <f aca="false">'Dish Database'!E549</f>
        <v>West</v>
      </c>
      <c r="F2059" s="6" t="s">
        <v>2246</v>
      </c>
      <c r="G2059" s="6" t="s">
        <v>2695</v>
      </c>
      <c r="H2059" s="16" t="n">
        <v>50</v>
      </c>
      <c r="I2059" s="6" t="str">
        <f aca="false">'Dish Database'!I549</f>
        <v>g</v>
      </c>
      <c r="J2059" s="13" t="n">
        <f aca="false">'Dish Database'!J549*H2059/100</f>
        <v>176</v>
      </c>
      <c r="K2059" s="17" t="n">
        <f aca="false">'Dish Database'!K549*H2059/100</f>
        <v>2</v>
      </c>
      <c r="L2059" s="17" t="n">
        <f aca="false">'Dish Database'!L549*H2059/100</f>
        <v>22.5</v>
      </c>
      <c r="M2059" s="17" t="n">
        <f aca="false">'Dish Database'!M549*H2059/100</f>
        <v>9</v>
      </c>
      <c r="N2059" s="17" t="n">
        <f aca="false">'Dish Database'!N549*H2059/100</f>
        <v>1.5</v>
      </c>
      <c r="O2059" s="17" t="n">
        <f aca="false">'Dish Database'!O549*H2059/100</f>
        <v>11</v>
      </c>
      <c r="P2059" s="13" t="n">
        <f aca="false">'Dish Database'!P549*H2059/100</f>
        <v>10</v>
      </c>
    </row>
    <row r="2060" customFormat="false" ht="15" hidden="false" customHeight="false" outlineLevel="0" collapsed="false">
      <c r="A2060" s="6" t="str">
        <f aca="false">'Dish Database'!A550</f>
        <v>D549</v>
      </c>
      <c r="B2060" s="6" t="str">
        <f aca="false">'Dish Database'!B550</f>
        <v>Chikki (peanut)</v>
      </c>
      <c r="C2060" s="6" t="str">
        <f aca="false">'Dish Database'!D550</f>
        <v>Sweets (Mithai)</v>
      </c>
      <c r="D2060" s="6" t="str">
        <f aca="false">'Dish Database'!F550</f>
        <v>Veg</v>
      </c>
      <c r="E2060" s="6" t="str">
        <f aca="false">'Dish Database'!E550</f>
        <v>West</v>
      </c>
      <c r="F2060" s="6" t="s">
        <v>2243</v>
      </c>
      <c r="G2060" s="6" t="s">
        <v>2682</v>
      </c>
      <c r="H2060" s="16" t="n">
        <v>15</v>
      </c>
      <c r="I2060" s="6" t="str">
        <f aca="false">'Dish Database'!I550</f>
        <v>g</v>
      </c>
      <c r="J2060" s="13" t="n">
        <f aca="false">'Dish Database'!J550*H2060/100</f>
        <v>73.35</v>
      </c>
      <c r="K2060" s="17" t="n">
        <f aca="false">'Dish Database'!K550*H2060/100</f>
        <v>1.95</v>
      </c>
      <c r="L2060" s="17" t="n">
        <f aca="false">'Dish Database'!L550*H2060/100</f>
        <v>8.25</v>
      </c>
      <c r="M2060" s="17" t="n">
        <f aca="false">'Dish Database'!M550*H2060/100</f>
        <v>3.75</v>
      </c>
      <c r="N2060" s="17" t="n">
        <f aca="false">'Dish Database'!N550*H2060/100</f>
        <v>0.6</v>
      </c>
      <c r="O2060" s="17" t="n">
        <f aca="false">'Dish Database'!O550*H2060/100</f>
        <v>6.75</v>
      </c>
      <c r="P2060" s="13" t="n">
        <f aca="false">'Dish Database'!P550*H2060/100</f>
        <v>4.5</v>
      </c>
    </row>
    <row r="2061" customFormat="false" ht="15" hidden="false" customHeight="false" outlineLevel="0" collapsed="false">
      <c r="A2061" s="6" t="str">
        <f aca="false">'Dish Database'!A550</f>
        <v>D549</v>
      </c>
      <c r="B2061" s="6" t="str">
        <f aca="false">'Dish Database'!B550</f>
        <v>Chikki (peanut)</v>
      </c>
      <c r="C2061" s="6" t="str">
        <f aca="false">'Dish Database'!D550</f>
        <v>Sweets (Mithai)</v>
      </c>
      <c r="D2061" s="6" t="str">
        <f aca="false">'Dish Database'!F550</f>
        <v>Veg</v>
      </c>
      <c r="E2061" s="6" t="str">
        <f aca="false">'Dish Database'!E550</f>
        <v>West</v>
      </c>
      <c r="F2061" s="6" t="s">
        <v>103</v>
      </c>
      <c r="G2061" s="6" t="s">
        <v>2683</v>
      </c>
      <c r="H2061" s="16" t="n">
        <v>25</v>
      </c>
      <c r="I2061" s="6" t="str">
        <f aca="false">'Dish Database'!I550</f>
        <v>g</v>
      </c>
      <c r="J2061" s="13" t="n">
        <f aca="false">'Dish Database'!J550*H2061/100</f>
        <v>122.25</v>
      </c>
      <c r="K2061" s="17" t="n">
        <f aca="false">'Dish Database'!K550*H2061/100</f>
        <v>3.25</v>
      </c>
      <c r="L2061" s="17" t="n">
        <f aca="false">'Dish Database'!L550*H2061/100</f>
        <v>13.75</v>
      </c>
      <c r="M2061" s="17" t="n">
        <f aca="false">'Dish Database'!M550*H2061/100</f>
        <v>6.25</v>
      </c>
      <c r="N2061" s="17" t="n">
        <f aca="false">'Dish Database'!N550*H2061/100</f>
        <v>1</v>
      </c>
      <c r="O2061" s="17" t="n">
        <f aca="false">'Dish Database'!O550*H2061/100</f>
        <v>11.25</v>
      </c>
      <c r="P2061" s="13" t="n">
        <f aca="false">'Dish Database'!P550*H2061/100</f>
        <v>7.5</v>
      </c>
    </row>
    <row r="2062" customFormat="false" ht="15" hidden="false" customHeight="false" outlineLevel="0" collapsed="false">
      <c r="A2062" s="6" t="str">
        <f aca="false">'Dish Database'!A550</f>
        <v>D549</v>
      </c>
      <c r="B2062" s="6" t="str">
        <f aca="false">'Dish Database'!B550</f>
        <v>Chikki (peanut)</v>
      </c>
      <c r="C2062" s="6" t="str">
        <f aca="false">'Dish Database'!D550</f>
        <v>Sweets (Mithai)</v>
      </c>
      <c r="D2062" s="6" t="str">
        <f aca="false">'Dish Database'!F550</f>
        <v>Veg</v>
      </c>
      <c r="E2062" s="6" t="str">
        <f aca="false">'Dish Database'!E550</f>
        <v>West</v>
      </c>
      <c r="F2062" s="6" t="s">
        <v>2246</v>
      </c>
      <c r="G2062" s="6" t="s">
        <v>2441</v>
      </c>
      <c r="H2062" s="16" t="n">
        <v>40</v>
      </c>
      <c r="I2062" s="6" t="str">
        <f aca="false">'Dish Database'!I550</f>
        <v>g</v>
      </c>
      <c r="J2062" s="13" t="n">
        <f aca="false">'Dish Database'!J550*H2062/100</f>
        <v>195.6</v>
      </c>
      <c r="K2062" s="17" t="n">
        <f aca="false">'Dish Database'!K550*H2062/100</f>
        <v>5.2</v>
      </c>
      <c r="L2062" s="17" t="n">
        <f aca="false">'Dish Database'!L550*H2062/100</f>
        <v>22</v>
      </c>
      <c r="M2062" s="17" t="n">
        <f aca="false">'Dish Database'!M550*H2062/100</f>
        <v>10</v>
      </c>
      <c r="N2062" s="17" t="n">
        <f aca="false">'Dish Database'!N550*H2062/100</f>
        <v>1.6</v>
      </c>
      <c r="O2062" s="17" t="n">
        <f aca="false">'Dish Database'!O550*H2062/100</f>
        <v>18</v>
      </c>
      <c r="P2062" s="13" t="n">
        <f aca="false">'Dish Database'!P550*H2062/100</f>
        <v>12</v>
      </c>
    </row>
    <row r="2063" customFormat="false" ht="15" hidden="false" customHeight="false" outlineLevel="0" collapsed="false">
      <c r="A2063" s="6" t="str">
        <f aca="false">'Dish Database'!A551</f>
        <v>D550</v>
      </c>
      <c r="B2063" s="6" t="str">
        <f aca="false">'Dish Database'!B551</f>
        <v>Petha (Agra)</v>
      </c>
      <c r="C2063" s="6" t="str">
        <f aca="false">'Dish Database'!D551</f>
        <v>Sweets (Mithai)</v>
      </c>
      <c r="D2063" s="6" t="str">
        <f aca="false">'Dish Database'!F551</f>
        <v>Veg</v>
      </c>
      <c r="E2063" s="6" t="str">
        <f aca="false">'Dish Database'!E551</f>
        <v>North</v>
      </c>
      <c r="F2063" s="6" t="s">
        <v>2243</v>
      </c>
      <c r="G2063" s="6" t="s">
        <v>2439</v>
      </c>
      <c r="H2063" s="16" t="n">
        <v>20</v>
      </c>
      <c r="I2063" s="6" t="str">
        <f aca="false">'Dish Database'!I551</f>
        <v>g</v>
      </c>
      <c r="J2063" s="13" t="n">
        <f aca="false">'Dish Database'!J551*H2063/100</f>
        <v>64.1</v>
      </c>
      <c r="K2063" s="17" t="n">
        <f aca="false">'Dish Database'!K551*H2063/100</f>
        <v>0.08</v>
      </c>
      <c r="L2063" s="17" t="n">
        <f aca="false">'Dish Database'!L551*H2063/100</f>
        <v>16</v>
      </c>
      <c r="M2063" s="17" t="n">
        <f aca="false">'Dish Database'!M551*H2063/100</f>
        <v>0.02</v>
      </c>
      <c r="N2063" s="17" t="n">
        <f aca="false">'Dish Database'!N551*H2063/100</f>
        <v>0.2</v>
      </c>
      <c r="O2063" s="17" t="n">
        <f aca="false">'Dish Database'!O551*H2063/100</f>
        <v>15</v>
      </c>
      <c r="P2063" s="13" t="n">
        <f aca="false">'Dish Database'!P551*H2063/100</f>
        <v>2</v>
      </c>
    </row>
    <row r="2064" customFormat="false" ht="15" hidden="false" customHeight="false" outlineLevel="0" collapsed="false">
      <c r="A2064" s="6" t="str">
        <f aca="false">'Dish Database'!A551</f>
        <v>D550</v>
      </c>
      <c r="B2064" s="6" t="str">
        <f aca="false">'Dish Database'!B551</f>
        <v>Petha (Agra)</v>
      </c>
      <c r="C2064" s="6" t="str">
        <f aca="false">'Dish Database'!D551</f>
        <v>Sweets (Mithai)</v>
      </c>
      <c r="D2064" s="6" t="str">
        <f aca="false">'Dish Database'!F551</f>
        <v>Veg</v>
      </c>
      <c r="E2064" s="6" t="str">
        <f aca="false">'Dish Database'!E551</f>
        <v>North</v>
      </c>
      <c r="F2064" s="6" t="s">
        <v>103</v>
      </c>
      <c r="G2064" s="6" t="s">
        <v>2662</v>
      </c>
      <c r="H2064" s="16" t="n">
        <v>35</v>
      </c>
      <c r="I2064" s="6" t="str">
        <f aca="false">'Dish Database'!I551</f>
        <v>g</v>
      </c>
      <c r="J2064" s="13" t="n">
        <f aca="false">'Dish Database'!J551*H2064/100</f>
        <v>112.175</v>
      </c>
      <c r="K2064" s="17" t="n">
        <f aca="false">'Dish Database'!K551*H2064/100</f>
        <v>0.14</v>
      </c>
      <c r="L2064" s="17" t="n">
        <f aca="false">'Dish Database'!L551*H2064/100</f>
        <v>28</v>
      </c>
      <c r="M2064" s="17" t="n">
        <f aca="false">'Dish Database'!M551*H2064/100</f>
        <v>0.035</v>
      </c>
      <c r="N2064" s="17" t="n">
        <f aca="false">'Dish Database'!N551*H2064/100</f>
        <v>0.35</v>
      </c>
      <c r="O2064" s="17" t="n">
        <f aca="false">'Dish Database'!O551*H2064/100</f>
        <v>26.25</v>
      </c>
      <c r="P2064" s="13" t="n">
        <f aca="false">'Dish Database'!P551*H2064/100</f>
        <v>3.5</v>
      </c>
    </row>
    <row r="2065" customFormat="false" ht="15" hidden="false" customHeight="false" outlineLevel="0" collapsed="false">
      <c r="A2065" s="6" t="str">
        <f aca="false">'Dish Database'!A551</f>
        <v>D550</v>
      </c>
      <c r="B2065" s="6" t="str">
        <f aca="false">'Dish Database'!B551</f>
        <v>Petha (Agra)</v>
      </c>
      <c r="C2065" s="6" t="str">
        <f aca="false">'Dish Database'!D551</f>
        <v>Sweets (Mithai)</v>
      </c>
      <c r="D2065" s="6" t="str">
        <f aca="false">'Dish Database'!F551</f>
        <v>Veg</v>
      </c>
      <c r="E2065" s="6" t="str">
        <f aca="false">'Dish Database'!E551</f>
        <v>North</v>
      </c>
      <c r="F2065" s="6" t="s">
        <v>2246</v>
      </c>
      <c r="G2065" s="6" t="s">
        <v>2663</v>
      </c>
      <c r="H2065" s="16" t="n">
        <v>50</v>
      </c>
      <c r="I2065" s="6" t="str">
        <f aca="false">'Dish Database'!I551</f>
        <v>g</v>
      </c>
      <c r="J2065" s="13" t="n">
        <f aca="false">'Dish Database'!J551*H2065/100</f>
        <v>160.25</v>
      </c>
      <c r="K2065" s="17" t="n">
        <f aca="false">'Dish Database'!K551*H2065/100</f>
        <v>0.2</v>
      </c>
      <c r="L2065" s="17" t="n">
        <f aca="false">'Dish Database'!L551*H2065/100</f>
        <v>40</v>
      </c>
      <c r="M2065" s="17" t="n">
        <f aca="false">'Dish Database'!M551*H2065/100</f>
        <v>0.05</v>
      </c>
      <c r="N2065" s="17" t="n">
        <f aca="false">'Dish Database'!N551*H2065/100</f>
        <v>0.5</v>
      </c>
      <c r="O2065" s="17" t="n">
        <f aca="false">'Dish Database'!O551*H2065/100</f>
        <v>37.5</v>
      </c>
      <c r="P2065" s="13" t="n">
        <f aca="false">'Dish Database'!P551*H2065/100</f>
        <v>5</v>
      </c>
    </row>
    <row r="2066" customFormat="false" ht="15" hidden="false" customHeight="false" outlineLevel="0" collapsed="false">
      <c r="A2066" s="6" t="str">
        <f aca="false">'Dish Database'!A552</f>
        <v>D551</v>
      </c>
      <c r="B2066" s="6" t="str">
        <f aca="false">'Dish Database'!B552</f>
        <v>Karachi halwa (Bombay ice halwa)</v>
      </c>
      <c r="C2066" s="6" t="str">
        <f aca="false">'Dish Database'!D552</f>
        <v>Sweets (Mithai)</v>
      </c>
      <c r="D2066" s="6" t="str">
        <f aca="false">'Dish Database'!F552</f>
        <v>Veg</v>
      </c>
      <c r="E2066" s="6" t="str">
        <f aca="false">'Dish Database'!E552</f>
        <v>West</v>
      </c>
      <c r="F2066" s="6" t="s">
        <v>2243</v>
      </c>
      <c r="G2066" s="6" t="s">
        <v>2439</v>
      </c>
      <c r="H2066" s="16" t="n">
        <v>20</v>
      </c>
      <c r="I2066" s="6" t="str">
        <f aca="false">'Dish Database'!I552</f>
        <v>g</v>
      </c>
      <c r="J2066" s="13" t="n">
        <f aca="false">'Dish Database'!J552*H2066/100</f>
        <v>83.6</v>
      </c>
      <c r="K2066" s="17" t="n">
        <f aca="false">'Dish Database'!K552*H2066/100</f>
        <v>0.2</v>
      </c>
      <c r="L2066" s="17" t="n">
        <f aca="false">'Dish Database'!L552*H2066/100</f>
        <v>14</v>
      </c>
      <c r="M2066" s="17" t="n">
        <f aca="false">'Dish Database'!M552*H2066/100</f>
        <v>3</v>
      </c>
      <c r="N2066" s="17" t="n">
        <f aca="false">'Dish Database'!N552*H2066/100</f>
        <v>0.1</v>
      </c>
      <c r="O2066" s="17" t="n">
        <f aca="false">'Dish Database'!O552*H2066/100</f>
        <v>11</v>
      </c>
      <c r="P2066" s="13" t="n">
        <f aca="false">'Dish Database'!P552*H2066/100</f>
        <v>4</v>
      </c>
    </row>
    <row r="2067" customFormat="false" ht="15" hidden="false" customHeight="false" outlineLevel="0" collapsed="false">
      <c r="A2067" s="6" t="str">
        <f aca="false">'Dish Database'!A552</f>
        <v>D551</v>
      </c>
      <c r="B2067" s="6" t="str">
        <f aca="false">'Dish Database'!B552</f>
        <v>Karachi halwa (Bombay ice halwa)</v>
      </c>
      <c r="C2067" s="6" t="str">
        <f aca="false">'Dish Database'!D552</f>
        <v>Sweets (Mithai)</v>
      </c>
      <c r="D2067" s="6" t="str">
        <f aca="false">'Dish Database'!F552</f>
        <v>Veg</v>
      </c>
      <c r="E2067" s="6" t="str">
        <f aca="false">'Dish Database'!E552</f>
        <v>West</v>
      </c>
      <c r="F2067" s="6" t="s">
        <v>103</v>
      </c>
      <c r="G2067" s="6" t="s">
        <v>2440</v>
      </c>
      <c r="H2067" s="16" t="n">
        <v>30</v>
      </c>
      <c r="I2067" s="6" t="str">
        <f aca="false">'Dish Database'!I552</f>
        <v>g</v>
      </c>
      <c r="J2067" s="13" t="n">
        <f aca="false">'Dish Database'!J552*H2067/100</f>
        <v>125.4</v>
      </c>
      <c r="K2067" s="17" t="n">
        <f aca="false">'Dish Database'!K552*H2067/100</f>
        <v>0.3</v>
      </c>
      <c r="L2067" s="17" t="n">
        <f aca="false">'Dish Database'!L552*H2067/100</f>
        <v>21</v>
      </c>
      <c r="M2067" s="17" t="n">
        <f aca="false">'Dish Database'!M552*H2067/100</f>
        <v>4.5</v>
      </c>
      <c r="N2067" s="17" t="n">
        <f aca="false">'Dish Database'!N552*H2067/100</f>
        <v>0.15</v>
      </c>
      <c r="O2067" s="17" t="n">
        <f aca="false">'Dish Database'!O552*H2067/100</f>
        <v>16.5</v>
      </c>
      <c r="P2067" s="13" t="n">
        <f aca="false">'Dish Database'!P552*H2067/100</f>
        <v>6</v>
      </c>
    </row>
    <row r="2068" customFormat="false" ht="15" hidden="false" customHeight="false" outlineLevel="0" collapsed="false">
      <c r="A2068" s="6" t="str">
        <f aca="false">'Dish Database'!A552</f>
        <v>D551</v>
      </c>
      <c r="B2068" s="6" t="str">
        <f aca="false">'Dish Database'!B552</f>
        <v>Karachi halwa (Bombay ice halwa)</v>
      </c>
      <c r="C2068" s="6" t="str">
        <f aca="false">'Dish Database'!D552</f>
        <v>Sweets (Mithai)</v>
      </c>
      <c r="D2068" s="6" t="str">
        <f aca="false">'Dish Database'!F552</f>
        <v>Veg</v>
      </c>
      <c r="E2068" s="6" t="str">
        <f aca="false">'Dish Database'!E552</f>
        <v>West</v>
      </c>
      <c r="F2068" s="6" t="s">
        <v>2246</v>
      </c>
      <c r="G2068" s="6" t="s">
        <v>2656</v>
      </c>
      <c r="H2068" s="16" t="n">
        <v>45</v>
      </c>
      <c r="I2068" s="6" t="str">
        <f aca="false">'Dish Database'!I552</f>
        <v>g</v>
      </c>
      <c r="J2068" s="13" t="n">
        <f aca="false">'Dish Database'!J552*H2068/100</f>
        <v>188.1</v>
      </c>
      <c r="K2068" s="17" t="n">
        <f aca="false">'Dish Database'!K552*H2068/100</f>
        <v>0.45</v>
      </c>
      <c r="L2068" s="17" t="n">
        <f aca="false">'Dish Database'!L552*H2068/100</f>
        <v>31.5</v>
      </c>
      <c r="M2068" s="17" t="n">
        <f aca="false">'Dish Database'!M552*H2068/100</f>
        <v>6.75</v>
      </c>
      <c r="N2068" s="17" t="n">
        <f aca="false">'Dish Database'!N552*H2068/100</f>
        <v>0.225</v>
      </c>
      <c r="O2068" s="17" t="n">
        <f aca="false">'Dish Database'!O552*H2068/100</f>
        <v>24.75</v>
      </c>
      <c r="P2068" s="13" t="n">
        <f aca="false">'Dish Database'!P552*H2068/100</f>
        <v>9</v>
      </c>
    </row>
    <row r="2069" customFormat="false" ht="15" hidden="false" customHeight="false" outlineLevel="0" collapsed="false">
      <c r="A2069" s="6" t="str">
        <f aca="false">'Dish Database'!A553</f>
        <v>D552</v>
      </c>
      <c r="B2069" s="6" t="str">
        <f aca="false">'Dish Database'!B553</f>
        <v>Bebinca</v>
      </c>
      <c r="C2069" s="6" t="str">
        <f aca="false">'Dish Database'!D553</f>
        <v>Sweets (Mithai)</v>
      </c>
      <c r="D2069" s="6" t="str">
        <f aca="false">'Dish Database'!F553</f>
        <v>Egg</v>
      </c>
      <c r="E2069" s="6" t="str">
        <f aca="false">'Dish Database'!E553</f>
        <v>West</v>
      </c>
      <c r="F2069" s="6" t="s">
        <v>2243</v>
      </c>
      <c r="G2069" s="6" t="s">
        <v>2659</v>
      </c>
      <c r="H2069" s="16" t="n">
        <v>40</v>
      </c>
      <c r="I2069" s="6" t="str">
        <f aca="false">'Dish Database'!I553</f>
        <v>g</v>
      </c>
      <c r="J2069" s="13" t="n">
        <f aca="false">'Dish Database'!J553*H2069/100</f>
        <v>142</v>
      </c>
      <c r="K2069" s="17" t="n">
        <f aca="false">'Dish Database'!K553*H2069/100</f>
        <v>1.6</v>
      </c>
      <c r="L2069" s="17" t="n">
        <f aca="false">'Dish Database'!L553*H2069/100</f>
        <v>16</v>
      </c>
      <c r="M2069" s="17" t="n">
        <f aca="false">'Dish Database'!M553*H2069/100</f>
        <v>8</v>
      </c>
      <c r="N2069" s="17" t="n">
        <f aca="false">'Dish Database'!N553*H2069/100</f>
        <v>0.2</v>
      </c>
      <c r="O2069" s="17" t="n">
        <f aca="false">'Dish Database'!O553*H2069/100</f>
        <v>12</v>
      </c>
      <c r="P2069" s="13" t="n">
        <f aca="false">'Dish Database'!P553*H2069/100</f>
        <v>12</v>
      </c>
    </row>
    <row r="2070" customFormat="false" ht="15" hidden="false" customHeight="false" outlineLevel="0" collapsed="false">
      <c r="A2070" s="6" t="str">
        <f aca="false">'Dish Database'!A553</f>
        <v>D552</v>
      </c>
      <c r="B2070" s="6" t="str">
        <f aca="false">'Dish Database'!B553</f>
        <v>Bebinca</v>
      </c>
      <c r="C2070" s="6" t="str">
        <f aca="false">'Dish Database'!D553</f>
        <v>Sweets (Mithai)</v>
      </c>
      <c r="D2070" s="6" t="str">
        <f aca="false">'Dish Database'!F553</f>
        <v>Egg</v>
      </c>
      <c r="E2070" s="6" t="str">
        <f aca="false">'Dish Database'!E553</f>
        <v>West</v>
      </c>
      <c r="F2070" s="6" t="s">
        <v>103</v>
      </c>
      <c r="G2070" s="6" t="s">
        <v>2660</v>
      </c>
      <c r="H2070" s="16" t="n">
        <v>60</v>
      </c>
      <c r="I2070" s="6" t="str">
        <f aca="false">'Dish Database'!I553</f>
        <v>g</v>
      </c>
      <c r="J2070" s="13" t="n">
        <f aca="false">'Dish Database'!J553*H2070/100</f>
        <v>213</v>
      </c>
      <c r="K2070" s="17" t="n">
        <f aca="false">'Dish Database'!K553*H2070/100</f>
        <v>2.4</v>
      </c>
      <c r="L2070" s="17" t="n">
        <f aca="false">'Dish Database'!L553*H2070/100</f>
        <v>24</v>
      </c>
      <c r="M2070" s="17" t="n">
        <f aca="false">'Dish Database'!M553*H2070/100</f>
        <v>12</v>
      </c>
      <c r="N2070" s="17" t="n">
        <f aca="false">'Dish Database'!N553*H2070/100</f>
        <v>0.3</v>
      </c>
      <c r="O2070" s="17" t="n">
        <f aca="false">'Dish Database'!O553*H2070/100</f>
        <v>18</v>
      </c>
      <c r="P2070" s="13" t="n">
        <f aca="false">'Dish Database'!P553*H2070/100</f>
        <v>18</v>
      </c>
    </row>
    <row r="2071" customFormat="false" ht="15" hidden="false" customHeight="false" outlineLevel="0" collapsed="false">
      <c r="A2071" s="6" t="str">
        <f aca="false">'Dish Database'!A553</f>
        <v>D552</v>
      </c>
      <c r="B2071" s="6" t="str">
        <f aca="false">'Dish Database'!B553</f>
        <v>Bebinca</v>
      </c>
      <c r="C2071" s="6" t="str">
        <f aca="false">'Dish Database'!D553</f>
        <v>Sweets (Mithai)</v>
      </c>
      <c r="D2071" s="6" t="str">
        <f aca="false">'Dish Database'!F553</f>
        <v>Egg</v>
      </c>
      <c r="E2071" s="6" t="str">
        <f aca="false">'Dish Database'!E553</f>
        <v>West</v>
      </c>
      <c r="F2071" s="6" t="s">
        <v>2246</v>
      </c>
      <c r="G2071" s="6" t="s">
        <v>2696</v>
      </c>
      <c r="H2071" s="16" t="n">
        <v>80</v>
      </c>
      <c r="I2071" s="6" t="str">
        <f aca="false">'Dish Database'!I553</f>
        <v>g</v>
      </c>
      <c r="J2071" s="13" t="n">
        <f aca="false">'Dish Database'!J553*H2071/100</f>
        <v>284</v>
      </c>
      <c r="K2071" s="17" t="n">
        <f aca="false">'Dish Database'!K553*H2071/100</f>
        <v>3.2</v>
      </c>
      <c r="L2071" s="17" t="n">
        <f aca="false">'Dish Database'!L553*H2071/100</f>
        <v>32</v>
      </c>
      <c r="M2071" s="17" t="n">
        <f aca="false">'Dish Database'!M553*H2071/100</f>
        <v>16</v>
      </c>
      <c r="N2071" s="17" t="n">
        <f aca="false">'Dish Database'!N553*H2071/100</f>
        <v>0.4</v>
      </c>
      <c r="O2071" s="17" t="n">
        <f aca="false">'Dish Database'!O553*H2071/100</f>
        <v>24</v>
      </c>
      <c r="P2071" s="13" t="n">
        <f aca="false">'Dish Database'!P553*H2071/100</f>
        <v>24</v>
      </c>
    </row>
    <row r="2072" customFormat="false" ht="15" hidden="false" customHeight="false" outlineLevel="0" collapsed="false">
      <c r="A2072" s="6" t="str">
        <f aca="false">'Dish Database'!A554</f>
        <v>D553</v>
      </c>
      <c r="B2072" s="6" t="str">
        <f aca="false">'Dish Database'!B554</f>
        <v>Patishapta / pitha</v>
      </c>
      <c r="C2072" s="6" t="str">
        <f aca="false">'Dish Database'!D554</f>
        <v>Sweets (Mithai)</v>
      </c>
      <c r="D2072" s="6" t="str">
        <f aca="false">'Dish Database'!F554</f>
        <v>Veg</v>
      </c>
      <c r="E2072" s="6" t="str">
        <f aca="false">'Dish Database'!E554</f>
        <v>East</v>
      </c>
      <c r="F2072" s="6" t="s">
        <v>2243</v>
      </c>
      <c r="G2072" s="6" t="s">
        <v>2653</v>
      </c>
      <c r="H2072" s="16" t="n">
        <v>40</v>
      </c>
      <c r="I2072" s="6" t="str">
        <f aca="false">'Dish Database'!I554</f>
        <v>g</v>
      </c>
      <c r="J2072" s="13" t="n">
        <f aca="false">'Dish Database'!J554*H2072/100</f>
        <v>98.4</v>
      </c>
      <c r="K2072" s="17" t="n">
        <f aca="false">'Dish Database'!K554*H2072/100</f>
        <v>1.6</v>
      </c>
      <c r="L2072" s="17" t="n">
        <f aca="false">'Dish Database'!L554*H2072/100</f>
        <v>16</v>
      </c>
      <c r="M2072" s="17" t="n">
        <f aca="false">'Dish Database'!M554*H2072/100</f>
        <v>3.2</v>
      </c>
      <c r="N2072" s="17" t="n">
        <f aca="false">'Dish Database'!N554*H2072/100</f>
        <v>0.4</v>
      </c>
      <c r="O2072" s="17" t="n">
        <f aca="false">'Dish Database'!O554*H2072/100</f>
        <v>8</v>
      </c>
      <c r="P2072" s="13" t="n">
        <f aca="false">'Dish Database'!P554*H2072/100</f>
        <v>12</v>
      </c>
    </row>
    <row r="2073" customFormat="false" ht="15" hidden="false" customHeight="false" outlineLevel="0" collapsed="false">
      <c r="A2073" s="6" t="str">
        <f aca="false">'Dish Database'!A554</f>
        <v>D553</v>
      </c>
      <c r="B2073" s="6" t="str">
        <f aca="false">'Dish Database'!B554</f>
        <v>Patishapta / pitha</v>
      </c>
      <c r="C2073" s="6" t="str">
        <f aca="false">'Dish Database'!D554</f>
        <v>Sweets (Mithai)</v>
      </c>
      <c r="D2073" s="6" t="str">
        <f aca="false">'Dish Database'!F554</f>
        <v>Veg</v>
      </c>
      <c r="E2073" s="6" t="str">
        <f aca="false">'Dish Database'!E554</f>
        <v>East</v>
      </c>
      <c r="F2073" s="6" t="s">
        <v>103</v>
      </c>
      <c r="G2073" s="6" t="s">
        <v>2654</v>
      </c>
      <c r="H2073" s="16" t="n">
        <v>60</v>
      </c>
      <c r="I2073" s="6" t="str">
        <f aca="false">'Dish Database'!I554</f>
        <v>g</v>
      </c>
      <c r="J2073" s="13" t="n">
        <f aca="false">'Dish Database'!J554*H2073/100</f>
        <v>147.6</v>
      </c>
      <c r="K2073" s="17" t="n">
        <f aca="false">'Dish Database'!K554*H2073/100</f>
        <v>2.4</v>
      </c>
      <c r="L2073" s="17" t="n">
        <f aca="false">'Dish Database'!L554*H2073/100</f>
        <v>24</v>
      </c>
      <c r="M2073" s="17" t="n">
        <f aca="false">'Dish Database'!M554*H2073/100</f>
        <v>4.8</v>
      </c>
      <c r="N2073" s="17" t="n">
        <f aca="false">'Dish Database'!N554*H2073/100</f>
        <v>0.6</v>
      </c>
      <c r="O2073" s="17" t="n">
        <f aca="false">'Dish Database'!O554*H2073/100</f>
        <v>12</v>
      </c>
      <c r="P2073" s="13" t="n">
        <f aca="false">'Dish Database'!P554*H2073/100</f>
        <v>18</v>
      </c>
    </row>
    <row r="2074" customFormat="false" ht="15" hidden="false" customHeight="false" outlineLevel="0" collapsed="false">
      <c r="A2074" s="6" t="str">
        <f aca="false">'Dish Database'!A554</f>
        <v>D553</v>
      </c>
      <c r="B2074" s="6" t="str">
        <f aca="false">'Dish Database'!B554</f>
        <v>Patishapta / pitha</v>
      </c>
      <c r="C2074" s="6" t="str">
        <f aca="false">'Dish Database'!D554</f>
        <v>Sweets (Mithai)</v>
      </c>
      <c r="D2074" s="6" t="str">
        <f aca="false">'Dish Database'!F554</f>
        <v>Veg</v>
      </c>
      <c r="E2074" s="6" t="str">
        <f aca="false">'Dish Database'!E554</f>
        <v>East</v>
      </c>
      <c r="F2074" s="6" t="s">
        <v>2246</v>
      </c>
      <c r="G2074" s="6" t="s">
        <v>2655</v>
      </c>
      <c r="H2074" s="16" t="n">
        <v>80</v>
      </c>
      <c r="I2074" s="6" t="str">
        <f aca="false">'Dish Database'!I554</f>
        <v>g</v>
      </c>
      <c r="J2074" s="13" t="n">
        <f aca="false">'Dish Database'!J554*H2074/100</f>
        <v>196.8</v>
      </c>
      <c r="K2074" s="17" t="n">
        <f aca="false">'Dish Database'!K554*H2074/100</f>
        <v>3.2</v>
      </c>
      <c r="L2074" s="17" t="n">
        <f aca="false">'Dish Database'!L554*H2074/100</f>
        <v>32</v>
      </c>
      <c r="M2074" s="17" t="n">
        <f aca="false">'Dish Database'!M554*H2074/100</f>
        <v>6.4</v>
      </c>
      <c r="N2074" s="17" t="n">
        <f aca="false">'Dish Database'!N554*H2074/100</f>
        <v>0.8</v>
      </c>
      <c r="O2074" s="17" t="n">
        <f aca="false">'Dish Database'!O554*H2074/100</f>
        <v>16</v>
      </c>
      <c r="P2074" s="13" t="n">
        <f aca="false">'Dish Database'!P554*H2074/100</f>
        <v>24</v>
      </c>
    </row>
    <row r="2075" customFormat="false" ht="15" hidden="false" customHeight="false" outlineLevel="0" collapsed="false">
      <c r="A2075" s="6" t="str">
        <f aca="false">'Dish Database'!A555</f>
        <v>D554</v>
      </c>
      <c r="B2075" s="6" t="str">
        <f aca="false">'Dish Database'!B555</f>
        <v>Gajar halwa</v>
      </c>
      <c r="C2075" s="6" t="str">
        <f aca="false">'Dish Database'!D555</f>
        <v>Desserts (Kheer, Halwa, Ice Cream)</v>
      </c>
      <c r="D2075" s="6" t="str">
        <f aca="false">'Dish Database'!F555</f>
        <v>Veg</v>
      </c>
      <c r="E2075" s="6" t="str">
        <f aca="false">'Dish Database'!E555</f>
        <v>North</v>
      </c>
      <c r="F2075" s="6" t="s">
        <v>2243</v>
      </c>
      <c r="G2075" s="6" t="s">
        <v>2422</v>
      </c>
      <c r="H2075" s="16" t="n">
        <v>50</v>
      </c>
      <c r="I2075" s="6" t="str">
        <f aca="false">'Dish Database'!I555</f>
        <v>g</v>
      </c>
      <c r="J2075" s="13" t="n">
        <f aca="false">'Dish Database'!J555*H2075/100</f>
        <v>121.5</v>
      </c>
      <c r="K2075" s="17" t="n">
        <f aca="false">'Dish Database'!K555*H2075/100</f>
        <v>2.25</v>
      </c>
      <c r="L2075" s="17" t="n">
        <f aca="false">'Dish Database'!L555*H2075/100</f>
        <v>15</v>
      </c>
      <c r="M2075" s="17" t="n">
        <f aca="false">'Dish Database'!M555*H2075/100</f>
        <v>6</v>
      </c>
      <c r="N2075" s="17" t="n">
        <f aca="false">'Dish Database'!N555*H2075/100</f>
        <v>0.75</v>
      </c>
      <c r="O2075" s="17" t="n">
        <f aca="false">'Dish Database'!O555*H2075/100</f>
        <v>13</v>
      </c>
      <c r="P2075" s="13" t="n">
        <f aca="false">'Dish Database'!P555*H2075/100</f>
        <v>25</v>
      </c>
    </row>
    <row r="2076" customFormat="false" ht="15" hidden="false" customHeight="false" outlineLevel="0" collapsed="false">
      <c r="A2076" s="6" t="str">
        <f aca="false">'Dish Database'!A555</f>
        <v>D554</v>
      </c>
      <c r="B2076" s="6" t="str">
        <f aca="false">'Dish Database'!B555</f>
        <v>Gajar halwa</v>
      </c>
      <c r="C2076" s="6" t="str">
        <f aca="false">'Dish Database'!D555</f>
        <v>Desserts (Kheer, Halwa, Ice Cream)</v>
      </c>
      <c r="D2076" s="6" t="str">
        <f aca="false">'Dish Database'!F555</f>
        <v>Veg</v>
      </c>
      <c r="E2076" s="6" t="str">
        <f aca="false">'Dish Database'!E555</f>
        <v>North</v>
      </c>
      <c r="F2076" s="6" t="s">
        <v>103</v>
      </c>
      <c r="G2076" s="6" t="s">
        <v>2259</v>
      </c>
      <c r="H2076" s="16" t="n">
        <v>100</v>
      </c>
      <c r="I2076" s="6" t="str">
        <f aca="false">'Dish Database'!I555</f>
        <v>g</v>
      </c>
      <c r="J2076" s="13" t="n">
        <f aca="false">'Dish Database'!J555*H2076/100</f>
        <v>243</v>
      </c>
      <c r="K2076" s="17" t="n">
        <f aca="false">'Dish Database'!K555*H2076/100</f>
        <v>4.5</v>
      </c>
      <c r="L2076" s="17" t="n">
        <f aca="false">'Dish Database'!L555*H2076/100</f>
        <v>30</v>
      </c>
      <c r="M2076" s="17" t="n">
        <f aca="false">'Dish Database'!M555*H2076/100</f>
        <v>12</v>
      </c>
      <c r="N2076" s="17" t="n">
        <f aca="false">'Dish Database'!N555*H2076/100</f>
        <v>1.5</v>
      </c>
      <c r="O2076" s="17" t="n">
        <f aca="false">'Dish Database'!O555*H2076/100</f>
        <v>26</v>
      </c>
      <c r="P2076" s="13" t="n">
        <f aca="false">'Dish Database'!P555*H2076/100</f>
        <v>50</v>
      </c>
    </row>
    <row r="2077" customFormat="false" ht="15" hidden="false" customHeight="false" outlineLevel="0" collapsed="false">
      <c r="A2077" s="6" t="str">
        <f aca="false">'Dish Database'!A555</f>
        <v>D554</v>
      </c>
      <c r="B2077" s="6" t="str">
        <f aca="false">'Dish Database'!B555</f>
        <v>Gajar halwa</v>
      </c>
      <c r="C2077" s="6" t="str">
        <f aca="false">'Dish Database'!D555</f>
        <v>Desserts (Kheer, Halwa, Ice Cream)</v>
      </c>
      <c r="D2077" s="6" t="str">
        <f aca="false">'Dish Database'!F555</f>
        <v>Veg</v>
      </c>
      <c r="E2077" s="6" t="str">
        <f aca="false">'Dish Database'!E555</f>
        <v>North</v>
      </c>
      <c r="F2077" s="6" t="s">
        <v>2246</v>
      </c>
      <c r="G2077" s="6" t="s">
        <v>2260</v>
      </c>
      <c r="H2077" s="16" t="n">
        <v>150</v>
      </c>
      <c r="I2077" s="6" t="str">
        <f aca="false">'Dish Database'!I555</f>
        <v>g</v>
      </c>
      <c r="J2077" s="13" t="n">
        <f aca="false">'Dish Database'!J555*H2077/100</f>
        <v>364.5</v>
      </c>
      <c r="K2077" s="17" t="n">
        <f aca="false">'Dish Database'!K555*H2077/100</f>
        <v>6.75</v>
      </c>
      <c r="L2077" s="17" t="n">
        <f aca="false">'Dish Database'!L555*H2077/100</f>
        <v>45</v>
      </c>
      <c r="M2077" s="17" t="n">
        <f aca="false">'Dish Database'!M555*H2077/100</f>
        <v>18</v>
      </c>
      <c r="N2077" s="17" t="n">
        <f aca="false">'Dish Database'!N555*H2077/100</f>
        <v>2.25</v>
      </c>
      <c r="O2077" s="17" t="n">
        <f aca="false">'Dish Database'!O555*H2077/100</f>
        <v>39</v>
      </c>
      <c r="P2077" s="13" t="n">
        <f aca="false">'Dish Database'!P555*H2077/100</f>
        <v>75</v>
      </c>
    </row>
    <row r="2078" customFormat="false" ht="15" hidden="false" customHeight="false" outlineLevel="0" collapsed="false">
      <c r="A2078" s="6" t="str">
        <f aca="false">'Dish Database'!A556</f>
        <v>D555</v>
      </c>
      <c r="B2078" s="6" t="str">
        <f aca="false">'Dish Database'!B556</f>
        <v>Moong dal halwa</v>
      </c>
      <c r="C2078" s="6" t="str">
        <f aca="false">'Dish Database'!D556</f>
        <v>Desserts (Kheer, Halwa, Ice Cream)</v>
      </c>
      <c r="D2078" s="6" t="str">
        <f aca="false">'Dish Database'!F556</f>
        <v>Veg</v>
      </c>
      <c r="E2078" s="6" t="str">
        <f aca="false">'Dish Database'!E556</f>
        <v>North</v>
      </c>
      <c r="F2078" s="6" t="s">
        <v>2243</v>
      </c>
      <c r="G2078" s="6" t="s">
        <v>2422</v>
      </c>
      <c r="H2078" s="16" t="n">
        <v>50</v>
      </c>
      <c r="I2078" s="6" t="str">
        <f aca="false">'Dish Database'!I556</f>
        <v>g</v>
      </c>
      <c r="J2078" s="13" t="n">
        <f aca="false">'Dish Database'!J556*H2078/100</f>
        <v>195</v>
      </c>
      <c r="K2078" s="17" t="n">
        <f aca="false">'Dish Database'!K556*H2078/100</f>
        <v>3.5</v>
      </c>
      <c r="L2078" s="17" t="n">
        <f aca="false">'Dish Database'!L556*H2078/100</f>
        <v>21</v>
      </c>
      <c r="M2078" s="17" t="n">
        <f aca="false">'Dish Database'!M556*H2078/100</f>
        <v>11</v>
      </c>
      <c r="N2078" s="17" t="n">
        <f aca="false">'Dish Database'!N556*H2078/100</f>
        <v>1</v>
      </c>
      <c r="O2078" s="17" t="n">
        <f aca="false">'Dish Database'!O556*H2078/100</f>
        <v>14</v>
      </c>
      <c r="P2078" s="13" t="n">
        <f aca="false">'Dish Database'!P556*H2078/100</f>
        <v>10</v>
      </c>
    </row>
    <row r="2079" customFormat="false" ht="15" hidden="false" customHeight="false" outlineLevel="0" collapsed="false">
      <c r="A2079" s="6" t="str">
        <f aca="false">'Dish Database'!A556</f>
        <v>D555</v>
      </c>
      <c r="B2079" s="6" t="str">
        <f aca="false">'Dish Database'!B556</f>
        <v>Moong dal halwa</v>
      </c>
      <c r="C2079" s="6" t="str">
        <f aca="false">'Dish Database'!D556</f>
        <v>Desserts (Kheer, Halwa, Ice Cream)</v>
      </c>
      <c r="D2079" s="6" t="str">
        <f aca="false">'Dish Database'!F556</f>
        <v>Veg</v>
      </c>
      <c r="E2079" s="6" t="str">
        <f aca="false">'Dish Database'!E556</f>
        <v>North</v>
      </c>
      <c r="F2079" s="6" t="s">
        <v>103</v>
      </c>
      <c r="G2079" s="6" t="s">
        <v>2259</v>
      </c>
      <c r="H2079" s="16" t="n">
        <v>100</v>
      </c>
      <c r="I2079" s="6" t="str">
        <f aca="false">'Dish Database'!I556</f>
        <v>g</v>
      </c>
      <c r="J2079" s="13" t="n">
        <f aca="false">'Dish Database'!J556*H2079/100</f>
        <v>390</v>
      </c>
      <c r="K2079" s="17" t="n">
        <f aca="false">'Dish Database'!K556*H2079/100</f>
        <v>7</v>
      </c>
      <c r="L2079" s="17" t="n">
        <f aca="false">'Dish Database'!L556*H2079/100</f>
        <v>42</v>
      </c>
      <c r="M2079" s="17" t="n">
        <f aca="false">'Dish Database'!M556*H2079/100</f>
        <v>22</v>
      </c>
      <c r="N2079" s="17" t="n">
        <f aca="false">'Dish Database'!N556*H2079/100</f>
        <v>2</v>
      </c>
      <c r="O2079" s="17" t="n">
        <f aca="false">'Dish Database'!O556*H2079/100</f>
        <v>28</v>
      </c>
      <c r="P2079" s="13" t="n">
        <f aca="false">'Dish Database'!P556*H2079/100</f>
        <v>20</v>
      </c>
    </row>
    <row r="2080" customFormat="false" ht="15" hidden="false" customHeight="false" outlineLevel="0" collapsed="false">
      <c r="A2080" s="6" t="str">
        <f aca="false">'Dish Database'!A556</f>
        <v>D555</v>
      </c>
      <c r="B2080" s="6" t="str">
        <f aca="false">'Dish Database'!B556</f>
        <v>Moong dal halwa</v>
      </c>
      <c r="C2080" s="6" t="str">
        <f aca="false">'Dish Database'!D556</f>
        <v>Desserts (Kheer, Halwa, Ice Cream)</v>
      </c>
      <c r="D2080" s="6" t="str">
        <f aca="false">'Dish Database'!F556</f>
        <v>Veg</v>
      </c>
      <c r="E2080" s="6" t="str">
        <f aca="false">'Dish Database'!E556</f>
        <v>North</v>
      </c>
      <c r="F2080" s="6" t="s">
        <v>2246</v>
      </c>
      <c r="G2080" s="6" t="s">
        <v>2260</v>
      </c>
      <c r="H2080" s="16" t="n">
        <v>150</v>
      </c>
      <c r="I2080" s="6" t="str">
        <f aca="false">'Dish Database'!I556</f>
        <v>g</v>
      </c>
      <c r="J2080" s="13" t="n">
        <f aca="false">'Dish Database'!J556*H2080/100</f>
        <v>585</v>
      </c>
      <c r="K2080" s="17" t="n">
        <f aca="false">'Dish Database'!K556*H2080/100</f>
        <v>10.5</v>
      </c>
      <c r="L2080" s="17" t="n">
        <f aca="false">'Dish Database'!L556*H2080/100</f>
        <v>63</v>
      </c>
      <c r="M2080" s="17" t="n">
        <f aca="false">'Dish Database'!M556*H2080/100</f>
        <v>33</v>
      </c>
      <c r="N2080" s="17" t="n">
        <f aca="false">'Dish Database'!N556*H2080/100</f>
        <v>3</v>
      </c>
      <c r="O2080" s="17" t="n">
        <f aca="false">'Dish Database'!O556*H2080/100</f>
        <v>42</v>
      </c>
      <c r="P2080" s="13" t="n">
        <f aca="false">'Dish Database'!P556*H2080/100</f>
        <v>30</v>
      </c>
    </row>
    <row r="2081" customFormat="false" ht="15" hidden="false" customHeight="false" outlineLevel="0" collapsed="false">
      <c r="A2081" s="6" t="str">
        <f aca="false">'Dish Database'!A557</f>
        <v>D556</v>
      </c>
      <c r="B2081" s="6" t="str">
        <f aca="false">'Dish Database'!B557</f>
        <v>Sooji halwa / sheera</v>
      </c>
      <c r="C2081" s="6" t="str">
        <f aca="false">'Dish Database'!D557</f>
        <v>Desserts (Kheer, Halwa, Ice Cream)</v>
      </c>
      <c r="D2081" s="6" t="str">
        <f aca="false">'Dish Database'!F557</f>
        <v>Veg</v>
      </c>
      <c r="E2081" s="6" t="str">
        <f aca="false">'Dish Database'!E557</f>
        <v>Pan-India</v>
      </c>
      <c r="F2081" s="6" t="s">
        <v>2243</v>
      </c>
      <c r="G2081" s="6" t="s">
        <v>2422</v>
      </c>
      <c r="H2081" s="16" t="n">
        <v>50</v>
      </c>
      <c r="I2081" s="6" t="str">
        <f aca="false">'Dish Database'!I557</f>
        <v>g</v>
      </c>
      <c r="J2081" s="13" t="n">
        <f aca="false">'Dish Database'!J557*H2081/100</f>
        <v>144.2</v>
      </c>
      <c r="K2081" s="17" t="n">
        <f aca="false">'Dish Database'!K557*H2081/100</f>
        <v>1.75</v>
      </c>
      <c r="L2081" s="17" t="n">
        <f aca="false">'Dish Database'!L557*H2081/100</f>
        <v>21</v>
      </c>
      <c r="M2081" s="17" t="n">
        <f aca="false">'Dish Database'!M557*H2081/100</f>
        <v>6</v>
      </c>
      <c r="N2081" s="17" t="n">
        <f aca="false">'Dish Database'!N557*H2081/100</f>
        <v>0.4</v>
      </c>
      <c r="O2081" s="17" t="n">
        <f aca="false">'Dish Database'!O557*H2081/100</f>
        <v>12.5</v>
      </c>
      <c r="P2081" s="13" t="n">
        <f aca="false">'Dish Database'!P557*H2081/100</f>
        <v>10</v>
      </c>
    </row>
    <row r="2082" customFormat="false" ht="15" hidden="false" customHeight="false" outlineLevel="0" collapsed="false">
      <c r="A2082" s="6" t="str">
        <f aca="false">'Dish Database'!A557</f>
        <v>D556</v>
      </c>
      <c r="B2082" s="6" t="str">
        <f aca="false">'Dish Database'!B557</f>
        <v>Sooji halwa / sheera</v>
      </c>
      <c r="C2082" s="6" t="str">
        <f aca="false">'Dish Database'!D557</f>
        <v>Desserts (Kheer, Halwa, Ice Cream)</v>
      </c>
      <c r="D2082" s="6" t="str">
        <f aca="false">'Dish Database'!F557</f>
        <v>Veg</v>
      </c>
      <c r="E2082" s="6" t="str">
        <f aca="false">'Dish Database'!E557</f>
        <v>Pan-India</v>
      </c>
      <c r="F2082" s="6" t="s">
        <v>103</v>
      </c>
      <c r="G2082" s="6" t="s">
        <v>2259</v>
      </c>
      <c r="H2082" s="16" t="n">
        <v>100</v>
      </c>
      <c r="I2082" s="6" t="str">
        <f aca="false">'Dish Database'!I557</f>
        <v>g</v>
      </c>
      <c r="J2082" s="13" t="n">
        <f aca="false">'Dish Database'!J557*H2082/100</f>
        <v>288.4</v>
      </c>
      <c r="K2082" s="17" t="n">
        <f aca="false">'Dish Database'!K557*H2082/100</f>
        <v>3.5</v>
      </c>
      <c r="L2082" s="17" t="n">
        <f aca="false">'Dish Database'!L557*H2082/100</f>
        <v>42</v>
      </c>
      <c r="M2082" s="17" t="n">
        <f aca="false">'Dish Database'!M557*H2082/100</f>
        <v>12</v>
      </c>
      <c r="N2082" s="17" t="n">
        <f aca="false">'Dish Database'!N557*H2082/100</f>
        <v>0.8</v>
      </c>
      <c r="O2082" s="17" t="n">
        <f aca="false">'Dish Database'!O557*H2082/100</f>
        <v>25</v>
      </c>
      <c r="P2082" s="13" t="n">
        <f aca="false">'Dish Database'!P557*H2082/100</f>
        <v>20</v>
      </c>
    </row>
    <row r="2083" customFormat="false" ht="15" hidden="false" customHeight="false" outlineLevel="0" collapsed="false">
      <c r="A2083" s="6" t="str">
        <f aca="false">'Dish Database'!A557</f>
        <v>D556</v>
      </c>
      <c r="B2083" s="6" t="str">
        <f aca="false">'Dish Database'!B557</f>
        <v>Sooji halwa / sheera</v>
      </c>
      <c r="C2083" s="6" t="str">
        <f aca="false">'Dish Database'!D557</f>
        <v>Desserts (Kheer, Halwa, Ice Cream)</v>
      </c>
      <c r="D2083" s="6" t="str">
        <f aca="false">'Dish Database'!F557</f>
        <v>Veg</v>
      </c>
      <c r="E2083" s="6" t="str">
        <f aca="false">'Dish Database'!E557</f>
        <v>Pan-India</v>
      </c>
      <c r="F2083" s="6" t="s">
        <v>2246</v>
      </c>
      <c r="G2083" s="6" t="s">
        <v>2260</v>
      </c>
      <c r="H2083" s="16" t="n">
        <v>150</v>
      </c>
      <c r="I2083" s="6" t="str">
        <f aca="false">'Dish Database'!I557</f>
        <v>g</v>
      </c>
      <c r="J2083" s="13" t="n">
        <f aca="false">'Dish Database'!J557*H2083/100</f>
        <v>432.6</v>
      </c>
      <c r="K2083" s="17" t="n">
        <f aca="false">'Dish Database'!K557*H2083/100</f>
        <v>5.25</v>
      </c>
      <c r="L2083" s="17" t="n">
        <f aca="false">'Dish Database'!L557*H2083/100</f>
        <v>63</v>
      </c>
      <c r="M2083" s="17" t="n">
        <f aca="false">'Dish Database'!M557*H2083/100</f>
        <v>18</v>
      </c>
      <c r="N2083" s="17" t="n">
        <f aca="false">'Dish Database'!N557*H2083/100</f>
        <v>1.2</v>
      </c>
      <c r="O2083" s="17" t="n">
        <f aca="false">'Dish Database'!O557*H2083/100</f>
        <v>37.5</v>
      </c>
      <c r="P2083" s="13" t="n">
        <f aca="false">'Dish Database'!P557*H2083/100</f>
        <v>30</v>
      </c>
    </row>
    <row r="2084" customFormat="false" ht="15" hidden="false" customHeight="false" outlineLevel="0" collapsed="false">
      <c r="A2084" s="6" t="str">
        <f aca="false">'Dish Database'!A558</f>
        <v>D557</v>
      </c>
      <c r="B2084" s="6" t="str">
        <f aca="false">'Dish Database'!B558</f>
        <v>Atta halwa / kada prasad</v>
      </c>
      <c r="C2084" s="6" t="str">
        <f aca="false">'Dish Database'!D558</f>
        <v>Desserts (Kheer, Halwa, Ice Cream)</v>
      </c>
      <c r="D2084" s="6" t="str">
        <f aca="false">'Dish Database'!F558</f>
        <v>Veg</v>
      </c>
      <c r="E2084" s="6" t="str">
        <f aca="false">'Dish Database'!E558</f>
        <v>North</v>
      </c>
      <c r="F2084" s="6" t="s">
        <v>2243</v>
      </c>
      <c r="G2084" s="6" t="s">
        <v>2422</v>
      </c>
      <c r="H2084" s="16" t="n">
        <v>50</v>
      </c>
      <c r="I2084" s="6" t="str">
        <f aca="false">'Dish Database'!I558</f>
        <v>g</v>
      </c>
      <c r="J2084" s="13" t="n">
        <f aca="false">'Dish Database'!J558*H2084/100</f>
        <v>192.5</v>
      </c>
      <c r="K2084" s="17" t="n">
        <f aca="false">'Dish Database'!K558*H2084/100</f>
        <v>2.5</v>
      </c>
      <c r="L2084" s="17" t="n">
        <f aca="false">'Dish Database'!L558*H2084/100</f>
        <v>24</v>
      </c>
      <c r="M2084" s="17" t="n">
        <f aca="false">'Dish Database'!M558*H2084/100</f>
        <v>10</v>
      </c>
      <c r="N2084" s="17" t="n">
        <f aca="false">'Dish Database'!N558*H2084/100</f>
        <v>1.75</v>
      </c>
      <c r="O2084" s="17" t="n">
        <f aca="false">'Dish Database'!O558*H2084/100</f>
        <v>15</v>
      </c>
      <c r="P2084" s="13" t="n">
        <f aca="false">'Dish Database'!P558*H2084/100</f>
        <v>5</v>
      </c>
    </row>
    <row r="2085" customFormat="false" ht="15" hidden="false" customHeight="false" outlineLevel="0" collapsed="false">
      <c r="A2085" s="6" t="str">
        <f aca="false">'Dish Database'!A558</f>
        <v>D557</v>
      </c>
      <c r="B2085" s="6" t="str">
        <f aca="false">'Dish Database'!B558</f>
        <v>Atta halwa / kada prasad</v>
      </c>
      <c r="C2085" s="6" t="str">
        <f aca="false">'Dish Database'!D558</f>
        <v>Desserts (Kheer, Halwa, Ice Cream)</v>
      </c>
      <c r="D2085" s="6" t="str">
        <f aca="false">'Dish Database'!F558</f>
        <v>Veg</v>
      </c>
      <c r="E2085" s="6" t="str">
        <f aca="false">'Dish Database'!E558</f>
        <v>North</v>
      </c>
      <c r="F2085" s="6" t="s">
        <v>103</v>
      </c>
      <c r="G2085" s="6" t="s">
        <v>2259</v>
      </c>
      <c r="H2085" s="16" t="n">
        <v>100</v>
      </c>
      <c r="I2085" s="6" t="str">
        <f aca="false">'Dish Database'!I558</f>
        <v>g</v>
      </c>
      <c r="J2085" s="13" t="n">
        <f aca="false">'Dish Database'!J558*H2085/100</f>
        <v>385</v>
      </c>
      <c r="K2085" s="17" t="n">
        <f aca="false">'Dish Database'!K558*H2085/100</f>
        <v>5</v>
      </c>
      <c r="L2085" s="17" t="n">
        <f aca="false">'Dish Database'!L558*H2085/100</f>
        <v>48</v>
      </c>
      <c r="M2085" s="17" t="n">
        <f aca="false">'Dish Database'!M558*H2085/100</f>
        <v>20</v>
      </c>
      <c r="N2085" s="17" t="n">
        <f aca="false">'Dish Database'!N558*H2085/100</f>
        <v>3.5</v>
      </c>
      <c r="O2085" s="17" t="n">
        <f aca="false">'Dish Database'!O558*H2085/100</f>
        <v>30</v>
      </c>
      <c r="P2085" s="13" t="n">
        <f aca="false">'Dish Database'!P558*H2085/100</f>
        <v>10</v>
      </c>
    </row>
    <row r="2086" customFormat="false" ht="15" hidden="false" customHeight="false" outlineLevel="0" collapsed="false">
      <c r="A2086" s="6" t="str">
        <f aca="false">'Dish Database'!A558</f>
        <v>D557</v>
      </c>
      <c r="B2086" s="6" t="str">
        <f aca="false">'Dish Database'!B558</f>
        <v>Atta halwa / kada prasad</v>
      </c>
      <c r="C2086" s="6" t="str">
        <f aca="false">'Dish Database'!D558</f>
        <v>Desserts (Kheer, Halwa, Ice Cream)</v>
      </c>
      <c r="D2086" s="6" t="str">
        <f aca="false">'Dish Database'!F558</f>
        <v>Veg</v>
      </c>
      <c r="E2086" s="6" t="str">
        <f aca="false">'Dish Database'!E558</f>
        <v>North</v>
      </c>
      <c r="F2086" s="6" t="s">
        <v>2246</v>
      </c>
      <c r="G2086" s="6" t="s">
        <v>2260</v>
      </c>
      <c r="H2086" s="16" t="n">
        <v>150</v>
      </c>
      <c r="I2086" s="6" t="str">
        <f aca="false">'Dish Database'!I558</f>
        <v>g</v>
      </c>
      <c r="J2086" s="13" t="n">
        <f aca="false">'Dish Database'!J558*H2086/100</f>
        <v>577.5</v>
      </c>
      <c r="K2086" s="17" t="n">
        <f aca="false">'Dish Database'!K558*H2086/100</f>
        <v>7.5</v>
      </c>
      <c r="L2086" s="17" t="n">
        <f aca="false">'Dish Database'!L558*H2086/100</f>
        <v>72</v>
      </c>
      <c r="M2086" s="17" t="n">
        <f aca="false">'Dish Database'!M558*H2086/100</f>
        <v>30</v>
      </c>
      <c r="N2086" s="17" t="n">
        <f aca="false">'Dish Database'!N558*H2086/100</f>
        <v>5.25</v>
      </c>
      <c r="O2086" s="17" t="n">
        <f aca="false">'Dish Database'!O558*H2086/100</f>
        <v>45</v>
      </c>
      <c r="P2086" s="13" t="n">
        <f aca="false">'Dish Database'!P558*H2086/100</f>
        <v>15</v>
      </c>
    </row>
    <row r="2087" customFormat="false" ht="15" hidden="false" customHeight="false" outlineLevel="0" collapsed="false">
      <c r="A2087" s="6" t="str">
        <f aca="false">'Dish Database'!A559</f>
        <v>D558</v>
      </c>
      <c r="B2087" s="6" t="str">
        <f aca="false">'Dish Database'!B559</f>
        <v>Lauki halwa</v>
      </c>
      <c r="C2087" s="6" t="str">
        <f aca="false">'Dish Database'!D559</f>
        <v>Desserts (Kheer, Halwa, Ice Cream)</v>
      </c>
      <c r="D2087" s="6" t="str">
        <f aca="false">'Dish Database'!F559</f>
        <v>Veg</v>
      </c>
      <c r="E2087" s="6" t="str">
        <f aca="false">'Dish Database'!E559</f>
        <v>North</v>
      </c>
      <c r="F2087" s="6" t="s">
        <v>2243</v>
      </c>
      <c r="G2087" s="6" t="s">
        <v>2422</v>
      </c>
      <c r="H2087" s="16" t="n">
        <v>50</v>
      </c>
      <c r="I2087" s="6" t="str">
        <f aca="false">'Dish Database'!I559</f>
        <v>g</v>
      </c>
      <c r="J2087" s="13" t="n">
        <f aca="false">'Dish Database'!J559*H2087/100</f>
        <v>80.3</v>
      </c>
      <c r="K2087" s="17" t="n">
        <f aca="false">'Dish Database'!K559*H2087/100</f>
        <v>1.5</v>
      </c>
      <c r="L2087" s="17" t="n">
        <f aca="false">'Dish Database'!L559*H2087/100</f>
        <v>11</v>
      </c>
      <c r="M2087" s="17" t="n">
        <f aca="false">'Dish Database'!M559*H2087/100</f>
        <v>3.5</v>
      </c>
      <c r="N2087" s="17" t="n">
        <f aca="false">'Dish Database'!N559*H2087/100</f>
        <v>0.6</v>
      </c>
      <c r="O2087" s="17" t="n">
        <f aca="false">'Dish Database'!O559*H2087/100</f>
        <v>9</v>
      </c>
      <c r="P2087" s="13" t="n">
        <f aca="false">'Dish Database'!P559*H2087/100</f>
        <v>15</v>
      </c>
    </row>
    <row r="2088" customFormat="false" ht="15" hidden="false" customHeight="false" outlineLevel="0" collapsed="false">
      <c r="A2088" s="6" t="str">
        <f aca="false">'Dish Database'!A559</f>
        <v>D558</v>
      </c>
      <c r="B2088" s="6" t="str">
        <f aca="false">'Dish Database'!B559</f>
        <v>Lauki halwa</v>
      </c>
      <c r="C2088" s="6" t="str">
        <f aca="false">'Dish Database'!D559</f>
        <v>Desserts (Kheer, Halwa, Ice Cream)</v>
      </c>
      <c r="D2088" s="6" t="str">
        <f aca="false">'Dish Database'!F559</f>
        <v>Veg</v>
      </c>
      <c r="E2088" s="6" t="str">
        <f aca="false">'Dish Database'!E559</f>
        <v>North</v>
      </c>
      <c r="F2088" s="6" t="s">
        <v>103</v>
      </c>
      <c r="G2088" s="6" t="s">
        <v>2259</v>
      </c>
      <c r="H2088" s="16" t="n">
        <v>100</v>
      </c>
      <c r="I2088" s="6" t="str">
        <f aca="false">'Dish Database'!I559</f>
        <v>g</v>
      </c>
      <c r="J2088" s="13" t="n">
        <f aca="false">'Dish Database'!J559*H2088/100</f>
        <v>160.6</v>
      </c>
      <c r="K2088" s="17" t="n">
        <f aca="false">'Dish Database'!K559*H2088/100</f>
        <v>3</v>
      </c>
      <c r="L2088" s="17" t="n">
        <f aca="false">'Dish Database'!L559*H2088/100</f>
        <v>22</v>
      </c>
      <c r="M2088" s="17" t="n">
        <f aca="false">'Dish Database'!M559*H2088/100</f>
        <v>7</v>
      </c>
      <c r="N2088" s="17" t="n">
        <f aca="false">'Dish Database'!N559*H2088/100</f>
        <v>1.2</v>
      </c>
      <c r="O2088" s="17" t="n">
        <f aca="false">'Dish Database'!O559*H2088/100</f>
        <v>18</v>
      </c>
      <c r="P2088" s="13" t="n">
        <f aca="false">'Dish Database'!P559*H2088/100</f>
        <v>30</v>
      </c>
    </row>
    <row r="2089" customFormat="false" ht="15" hidden="false" customHeight="false" outlineLevel="0" collapsed="false">
      <c r="A2089" s="6" t="str">
        <f aca="false">'Dish Database'!A559</f>
        <v>D558</v>
      </c>
      <c r="B2089" s="6" t="str">
        <f aca="false">'Dish Database'!B559</f>
        <v>Lauki halwa</v>
      </c>
      <c r="C2089" s="6" t="str">
        <f aca="false">'Dish Database'!D559</f>
        <v>Desserts (Kheer, Halwa, Ice Cream)</v>
      </c>
      <c r="D2089" s="6" t="str">
        <f aca="false">'Dish Database'!F559</f>
        <v>Veg</v>
      </c>
      <c r="E2089" s="6" t="str">
        <f aca="false">'Dish Database'!E559</f>
        <v>North</v>
      </c>
      <c r="F2089" s="6" t="s">
        <v>2246</v>
      </c>
      <c r="G2089" s="6" t="s">
        <v>2260</v>
      </c>
      <c r="H2089" s="16" t="n">
        <v>150</v>
      </c>
      <c r="I2089" s="6" t="str">
        <f aca="false">'Dish Database'!I559</f>
        <v>g</v>
      </c>
      <c r="J2089" s="13" t="n">
        <f aca="false">'Dish Database'!J559*H2089/100</f>
        <v>240.9</v>
      </c>
      <c r="K2089" s="17" t="n">
        <f aca="false">'Dish Database'!K559*H2089/100</f>
        <v>4.5</v>
      </c>
      <c r="L2089" s="17" t="n">
        <f aca="false">'Dish Database'!L559*H2089/100</f>
        <v>33</v>
      </c>
      <c r="M2089" s="17" t="n">
        <f aca="false">'Dish Database'!M559*H2089/100</f>
        <v>10.5</v>
      </c>
      <c r="N2089" s="17" t="n">
        <f aca="false">'Dish Database'!N559*H2089/100</f>
        <v>1.8</v>
      </c>
      <c r="O2089" s="17" t="n">
        <f aca="false">'Dish Database'!O559*H2089/100</f>
        <v>27</v>
      </c>
      <c r="P2089" s="13" t="n">
        <f aca="false">'Dish Database'!P559*H2089/100</f>
        <v>45</v>
      </c>
    </row>
    <row r="2090" customFormat="false" ht="15" hidden="false" customHeight="false" outlineLevel="0" collapsed="false">
      <c r="A2090" s="6" t="str">
        <f aca="false">'Dish Database'!A560</f>
        <v>D559</v>
      </c>
      <c r="B2090" s="6" t="str">
        <f aca="false">'Dish Database'!B560</f>
        <v>Badam halwa</v>
      </c>
      <c r="C2090" s="6" t="str">
        <f aca="false">'Dish Database'!D560</f>
        <v>Desserts (Kheer, Halwa, Ice Cream)</v>
      </c>
      <c r="D2090" s="6" t="str">
        <f aca="false">'Dish Database'!F560</f>
        <v>Veg</v>
      </c>
      <c r="E2090" s="6" t="str">
        <f aca="false">'Dish Database'!E560</f>
        <v>South</v>
      </c>
      <c r="F2090" s="6" t="s">
        <v>2243</v>
      </c>
      <c r="G2090" s="6" t="s">
        <v>2422</v>
      </c>
      <c r="H2090" s="16" t="n">
        <v>50</v>
      </c>
      <c r="I2090" s="6" t="str">
        <f aca="false">'Dish Database'!I560</f>
        <v>g</v>
      </c>
      <c r="J2090" s="13" t="n">
        <f aca="false">'Dish Database'!J560*H2090/100</f>
        <v>239.5</v>
      </c>
      <c r="K2090" s="17" t="n">
        <f aca="false">'Dish Database'!K560*H2090/100</f>
        <v>4.5</v>
      </c>
      <c r="L2090" s="17" t="n">
        <f aca="false">'Dish Database'!L560*H2090/100</f>
        <v>22.5</v>
      </c>
      <c r="M2090" s="17" t="n">
        <f aca="false">'Dish Database'!M560*H2090/100</f>
        <v>15</v>
      </c>
      <c r="N2090" s="17" t="n">
        <f aca="false">'Dish Database'!N560*H2090/100</f>
        <v>1.75</v>
      </c>
      <c r="O2090" s="17" t="n">
        <f aca="false">'Dish Database'!O560*H2090/100</f>
        <v>17.5</v>
      </c>
      <c r="P2090" s="13" t="n">
        <f aca="false">'Dish Database'!P560*H2090/100</f>
        <v>7.5</v>
      </c>
    </row>
    <row r="2091" customFormat="false" ht="15" hidden="false" customHeight="false" outlineLevel="0" collapsed="false">
      <c r="A2091" s="6" t="str">
        <f aca="false">'Dish Database'!A560</f>
        <v>D559</v>
      </c>
      <c r="B2091" s="6" t="str">
        <f aca="false">'Dish Database'!B560</f>
        <v>Badam halwa</v>
      </c>
      <c r="C2091" s="6" t="str">
        <f aca="false">'Dish Database'!D560</f>
        <v>Desserts (Kheer, Halwa, Ice Cream)</v>
      </c>
      <c r="D2091" s="6" t="str">
        <f aca="false">'Dish Database'!F560</f>
        <v>Veg</v>
      </c>
      <c r="E2091" s="6" t="str">
        <f aca="false">'Dish Database'!E560</f>
        <v>South</v>
      </c>
      <c r="F2091" s="6" t="s">
        <v>103</v>
      </c>
      <c r="G2091" s="6" t="s">
        <v>2259</v>
      </c>
      <c r="H2091" s="16" t="n">
        <v>100</v>
      </c>
      <c r="I2091" s="6" t="str">
        <f aca="false">'Dish Database'!I560</f>
        <v>g</v>
      </c>
      <c r="J2091" s="13" t="n">
        <f aca="false">'Dish Database'!J560*H2091/100</f>
        <v>479</v>
      </c>
      <c r="K2091" s="17" t="n">
        <f aca="false">'Dish Database'!K560*H2091/100</f>
        <v>9</v>
      </c>
      <c r="L2091" s="17" t="n">
        <f aca="false">'Dish Database'!L560*H2091/100</f>
        <v>45</v>
      </c>
      <c r="M2091" s="17" t="n">
        <f aca="false">'Dish Database'!M560*H2091/100</f>
        <v>30</v>
      </c>
      <c r="N2091" s="17" t="n">
        <f aca="false">'Dish Database'!N560*H2091/100</f>
        <v>3.5</v>
      </c>
      <c r="O2091" s="17" t="n">
        <f aca="false">'Dish Database'!O560*H2091/100</f>
        <v>35</v>
      </c>
      <c r="P2091" s="13" t="n">
        <f aca="false">'Dish Database'!P560*H2091/100</f>
        <v>15</v>
      </c>
    </row>
    <row r="2092" customFormat="false" ht="15" hidden="false" customHeight="false" outlineLevel="0" collapsed="false">
      <c r="A2092" s="6" t="str">
        <f aca="false">'Dish Database'!A560</f>
        <v>D559</v>
      </c>
      <c r="B2092" s="6" t="str">
        <f aca="false">'Dish Database'!B560</f>
        <v>Badam halwa</v>
      </c>
      <c r="C2092" s="6" t="str">
        <f aca="false">'Dish Database'!D560</f>
        <v>Desserts (Kheer, Halwa, Ice Cream)</v>
      </c>
      <c r="D2092" s="6" t="str">
        <f aca="false">'Dish Database'!F560</f>
        <v>Veg</v>
      </c>
      <c r="E2092" s="6" t="str">
        <f aca="false">'Dish Database'!E560</f>
        <v>South</v>
      </c>
      <c r="F2092" s="6" t="s">
        <v>2246</v>
      </c>
      <c r="G2092" s="6" t="s">
        <v>2260</v>
      </c>
      <c r="H2092" s="16" t="n">
        <v>150</v>
      </c>
      <c r="I2092" s="6" t="str">
        <f aca="false">'Dish Database'!I560</f>
        <v>g</v>
      </c>
      <c r="J2092" s="13" t="n">
        <f aca="false">'Dish Database'!J560*H2092/100</f>
        <v>718.5</v>
      </c>
      <c r="K2092" s="17" t="n">
        <f aca="false">'Dish Database'!K560*H2092/100</f>
        <v>13.5</v>
      </c>
      <c r="L2092" s="17" t="n">
        <f aca="false">'Dish Database'!L560*H2092/100</f>
        <v>67.5</v>
      </c>
      <c r="M2092" s="17" t="n">
        <f aca="false">'Dish Database'!M560*H2092/100</f>
        <v>45</v>
      </c>
      <c r="N2092" s="17" t="n">
        <f aca="false">'Dish Database'!N560*H2092/100</f>
        <v>5.25</v>
      </c>
      <c r="O2092" s="17" t="n">
        <f aca="false">'Dish Database'!O560*H2092/100</f>
        <v>52.5</v>
      </c>
      <c r="P2092" s="13" t="n">
        <f aca="false">'Dish Database'!P560*H2092/100</f>
        <v>22.5</v>
      </c>
    </row>
    <row r="2093" customFormat="false" ht="15" hidden="false" customHeight="false" outlineLevel="0" collapsed="false">
      <c r="A2093" s="6" t="str">
        <f aca="false">'Dish Database'!A561</f>
        <v>D560</v>
      </c>
      <c r="B2093" s="6" t="str">
        <f aca="false">'Dish Database'!B561</f>
        <v>Besan halwa</v>
      </c>
      <c r="C2093" s="6" t="str">
        <f aca="false">'Dish Database'!D561</f>
        <v>Desserts (Kheer, Halwa, Ice Cream)</v>
      </c>
      <c r="D2093" s="6" t="str">
        <f aca="false">'Dish Database'!F561</f>
        <v>Veg</v>
      </c>
      <c r="E2093" s="6" t="str">
        <f aca="false">'Dish Database'!E561</f>
        <v>North</v>
      </c>
      <c r="F2093" s="6" t="s">
        <v>2243</v>
      </c>
      <c r="G2093" s="6" t="s">
        <v>2422</v>
      </c>
      <c r="H2093" s="16" t="n">
        <v>50</v>
      </c>
      <c r="I2093" s="6" t="str">
        <f aca="false">'Dish Database'!I561</f>
        <v>g</v>
      </c>
      <c r="J2093" s="13" t="n">
        <f aca="false">'Dish Database'!J561*H2093/100</f>
        <v>181</v>
      </c>
      <c r="K2093" s="17" t="n">
        <f aca="false">'Dish Database'!K561*H2093/100</f>
        <v>3.5</v>
      </c>
      <c r="L2093" s="17" t="n">
        <f aca="false">'Dish Database'!L561*H2093/100</f>
        <v>20</v>
      </c>
      <c r="M2093" s="17" t="n">
        <f aca="false">'Dish Database'!M561*H2093/100</f>
        <v>10</v>
      </c>
      <c r="N2093" s="17" t="n">
        <f aca="false">'Dish Database'!N561*H2093/100</f>
        <v>1.5</v>
      </c>
      <c r="O2093" s="17" t="n">
        <f aca="false">'Dish Database'!O561*H2093/100</f>
        <v>12.5</v>
      </c>
      <c r="P2093" s="13" t="n">
        <f aca="false">'Dish Database'!P561*H2093/100</f>
        <v>7.5</v>
      </c>
    </row>
    <row r="2094" customFormat="false" ht="15" hidden="false" customHeight="false" outlineLevel="0" collapsed="false">
      <c r="A2094" s="6" t="str">
        <f aca="false">'Dish Database'!A561</f>
        <v>D560</v>
      </c>
      <c r="B2094" s="6" t="str">
        <f aca="false">'Dish Database'!B561</f>
        <v>Besan halwa</v>
      </c>
      <c r="C2094" s="6" t="str">
        <f aca="false">'Dish Database'!D561</f>
        <v>Desserts (Kheer, Halwa, Ice Cream)</v>
      </c>
      <c r="D2094" s="6" t="str">
        <f aca="false">'Dish Database'!F561</f>
        <v>Veg</v>
      </c>
      <c r="E2094" s="6" t="str">
        <f aca="false">'Dish Database'!E561</f>
        <v>North</v>
      </c>
      <c r="F2094" s="6" t="s">
        <v>103</v>
      </c>
      <c r="G2094" s="6" t="s">
        <v>2259</v>
      </c>
      <c r="H2094" s="16" t="n">
        <v>100</v>
      </c>
      <c r="I2094" s="6" t="str">
        <f aca="false">'Dish Database'!I561</f>
        <v>g</v>
      </c>
      <c r="J2094" s="13" t="n">
        <f aca="false">'Dish Database'!J561*H2094/100</f>
        <v>362</v>
      </c>
      <c r="K2094" s="17" t="n">
        <f aca="false">'Dish Database'!K561*H2094/100</f>
        <v>7</v>
      </c>
      <c r="L2094" s="17" t="n">
        <f aca="false">'Dish Database'!L561*H2094/100</f>
        <v>40</v>
      </c>
      <c r="M2094" s="17" t="n">
        <f aca="false">'Dish Database'!M561*H2094/100</f>
        <v>20</v>
      </c>
      <c r="N2094" s="17" t="n">
        <f aca="false">'Dish Database'!N561*H2094/100</f>
        <v>3</v>
      </c>
      <c r="O2094" s="17" t="n">
        <f aca="false">'Dish Database'!O561*H2094/100</f>
        <v>25</v>
      </c>
      <c r="P2094" s="13" t="n">
        <f aca="false">'Dish Database'!P561*H2094/100</f>
        <v>15</v>
      </c>
    </row>
    <row r="2095" customFormat="false" ht="15" hidden="false" customHeight="false" outlineLevel="0" collapsed="false">
      <c r="A2095" s="6" t="str">
        <f aca="false">'Dish Database'!A561</f>
        <v>D560</v>
      </c>
      <c r="B2095" s="6" t="str">
        <f aca="false">'Dish Database'!B561</f>
        <v>Besan halwa</v>
      </c>
      <c r="C2095" s="6" t="str">
        <f aca="false">'Dish Database'!D561</f>
        <v>Desserts (Kheer, Halwa, Ice Cream)</v>
      </c>
      <c r="D2095" s="6" t="str">
        <f aca="false">'Dish Database'!F561</f>
        <v>Veg</v>
      </c>
      <c r="E2095" s="6" t="str">
        <f aca="false">'Dish Database'!E561</f>
        <v>North</v>
      </c>
      <c r="F2095" s="6" t="s">
        <v>2246</v>
      </c>
      <c r="G2095" s="6" t="s">
        <v>2260</v>
      </c>
      <c r="H2095" s="16" t="n">
        <v>150</v>
      </c>
      <c r="I2095" s="6" t="str">
        <f aca="false">'Dish Database'!I561</f>
        <v>g</v>
      </c>
      <c r="J2095" s="13" t="n">
        <f aca="false">'Dish Database'!J561*H2095/100</f>
        <v>543</v>
      </c>
      <c r="K2095" s="17" t="n">
        <f aca="false">'Dish Database'!K561*H2095/100</f>
        <v>10.5</v>
      </c>
      <c r="L2095" s="17" t="n">
        <f aca="false">'Dish Database'!L561*H2095/100</f>
        <v>60</v>
      </c>
      <c r="M2095" s="17" t="n">
        <f aca="false">'Dish Database'!M561*H2095/100</f>
        <v>30</v>
      </c>
      <c r="N2095" s="17" t="n">
        <f aca="false">'Dish Database'!N561*H2095/100</f>
        <v>4.5</v>
      </c>
      <c r="O2095" s="17" t="n">
        <f aca="false">'Dish Database'!O561*H2095/100</f>
        <v>37.5</v>
      </c>
      <c r="P2095" s="13" t="n">
        <f aca="false">'Dish Database'!P561*H2095/100</f>
        <v>22.5</v>
      </c>
    </row>
    <row r="2096" customFormat="false" ht="15" hidden="false" customHeight="false" outlineLevel="0" collapsed="false">
      <c r="A2096" s="6" t="str">
        <f aca="false">'Dish Database'!A562</f>
        <v>D561</v>
      </c>
      <c r="B2096" s="6" t="str">
        <f aca="false">'Dish Database'!B562</f>
        <v>Rice kheer</v>
      </c>
      <c r="C2096" s="6" t="str">
        <f aca="false">'Dish Database'!D562</f>
        <v>Desserts (Kheer, Halwa, Ice Cream)</v>
      </c>
      <c r="D2096" s="6" t="str">
        <f aca="false">'Dish Database'!F562</f>
        <v>Veg</v>
      </c>
      <c r="E2096" s="6" t="str">
        <f aca="false">'Dish Database'!E562</f>
        <v>Pan-India</v>
      </c>
      <c r="F2096" s="6" t="s">
        <v>2243</v>
      </c>
      <c r="G2096" s="6" t="s">
        <v>2259</v>
      </c>
      <c r="H2096" s="16" t="n">
        <v>100</v>
      </c>
      <c r="I2096" s="6" t="str">
        <f aca="false">'Dish Database'!I562</f>
        <v>g</v>
      </c>
      <c r="J2096" s="13" t="n">
        <f aca="false">'Dish Database'!J562*H2096/100</f>
        <v>129.6</v>
      </c>
      <c r="K2096" s="17" t="n">
        <f aca="false">'Dish Database'!K562*H2096/100</f>
        <v>3.5</v>
      </c>
      <c r="L2096" s="17" t="n">
        <f aca="false">'Dish Database'!L562*H2096/100</f>
        <v>20</v>
      </c>
      <c r="M2096" s="17" t="n">
        <f aca="false">'Dish Database'!M562*H2096/100</f>
        <v>4</v>
      </c>
      <c r="N2096" s="17" t="n">
        <f aca="false">'Dish Database'!N562*H2096/100</f>
        <v>0.2</v>
      </c>
      <c r="O2096" s="17" t="n">
        <f aca="false">'Dish Database'!O562*H2096/100</f>
        <v>13.5</v>
      </c>
      <c r="P2096" s="13" t="n">
        <f aca="false">'Dish Database'!P562*H2096/100</f>
        <v>45</v>
      </c>
    </row>
    <row r="2097" customFormat="false" ht="15" hidden="false" customHeight="false" outlineLevel="0" collapsed="false">
      <c r="A2097" s="6" t="str">
        <f aca="false">'Dish Database'!A562</f>
        <v>D561</v>
      </c>
      <c r="B2097" s="6" t="str">
        <f aca="false">'Dish Database'!B562</f>
        <v>Rice kheer</v>
      </c>
      <c r="C2097" s="6" t="str">
        <f aca="false">'Dish Database'!D562</f>
        <v>Desserts (Kheer, Halwa, Ice Cream)</v>
      </c>
      <c r="D2097" s="6" t="str">
        <f aca="false">'Dish Database'!F562</f>
        <v>Veg</v>
      </c>
      <c r="E2097" s="6" t="str">
        <f aca="false">'Dish Database'!E562</f>
        <v>Pan-India</v>
      </c>
      <c r="F2097" s="6" t="s">
        <v>103</v>
      </c>
      <c r="G2097" s="6" t="s">
        <v>2260</v>
      </c>
      <c r="H2097" s="16" t="n">
        <v>150</v>
      </c>
      <c r="I2097" s="6" t="str">
        <f aca="false">'Dish Database'!I562</f>
        <v>g</v>
      </c>
      <c r="J2097" s="13" t="n">
        <f aca="false">'Dish Database'!J562*H2097/100</f>
        <v>194.4</v>
      </c>
      <c r="K2097" s="17" t="n">
        <f aca="false">'Dish Database'!K562*H2097/100</f>
        <v>5.25</v>
      </c>
      <c r="L2097" s="17" t="n">
        <f aca="false">'Dish Database'!L562*H2097/100</f>
        <v>30</v>
      </c>
      <c r="M2097" s="17" t="n">
        <f aca="false">'Dish Database'!M562*H2097/100</f>
        <v>6</v>
      </c>
      <c r="N2097" s="17" t="n">
        <f aca="false">'Dish Database'!N562*H2097/100</f>
        <v>0.3</v>
      </c>
      <c r="O2097" s="17" t="n">
        <f aca="false">'Dish Database'!O562*H2097/100</f>
        <v>20.25</v>
      </c>
      <c r="P2097" s="13" t="n">
        <f aca="false">'Dish Database'!P562*H2097/100</f>
        <v>67.5</v>
      </c>
    </row>
    <row r="2098" customFormat="false" ht="15" hidden="false" customHeight="false" outlineLevel="0" collapsed="false">
      <c r="A2098" s="6" t="str">
        <f aca="false">'Dish Database'!A562</f>
        <v>D561</v>
      </c>
      <c r="B2098" s="6" t="str">
        <f aca="false">'Dish Database'!B562</f>
        <v>Rice kheer</v>
      </c>
      <c r="C2098" s="6" t="str">
        <f aca="false">'Dish Database'!D562</f>
        <v>Desserts (Kheer, Halwa, Ice Cream)</v>
      </c>
      <c r="D2098" s="6" t="str">
        <f aca="false">'Dish Database'!F562</f>
        <v>Veg</v>
      </c>
      <c r="E2098" s="6" t="str">
        <f aca="false">'Dish Database'!E562</f>
        <v>Pan-India</v>
      </c>
      <c r="F2098" s="6" t="s">
        <v>2246</v>
      </c>
      <c r="G2098" s="6" t="s">
        <v>2261</v>
      </c>
      <c r="H2098" s="16" t="n">
        <v>200</v>
      </c>
      <c r="I2098" s="6" t="str">
        <f aca="false">'Dish Database'!I562</f>
        <v>g</v>
      </c>
      <c r="J2098" s="13" t="n">
        <f aca="false">'Dish Database'!J562*H2098/100</f>
        <v>259.2</v>
      </c>
      <c r="K2098" s="17" t="n">
        <f aca="false">'Dish Database'!K562*H2098/100</f>
        <v>7</v>
      </c>
      <c r="L2098" s="17" t="n">
        <f aca="false">'Dish Database'!L562*H2098/100</f>
        <v>40</v>
      </c>
      <c r="M2098" s="17" t="n">
        <f aca="false">'Dish Database'!M562*H2098/100</f>
        <v>8</v>
      </c>
      <c r="N2098" s="17" t="n">
        <f aca="false">'Dish Database'!N562*H2098/100</f>
        <v>0.4</v>
      </c>
      <c r="O2098" s="17" t="n">
        <f aca="false">'Dish Database'!O562*H2098/100</f>
        <v>27</v>
      </c>
      <c r="P2098" s="13" t="n">
        <f aca="false">'Dish Database'!P562*H2098/100</f>
        <v>90</v>
      </c>
    </row>
    <row r="2099" customFormat="false" ht="15" hidden="false" customHeight="false" outlineLevel="0" collapsed="false">
      <c r="A2099" s="6" t="str">
        <f aca="false">'Dish Database'!A563</f>
        <v>D562</v>
      </c>
      <c r="B2099" s="6" t="str">
        <f aca="false">'Dish Database'!B563</f>
        <v>Seviyan kheer</v>
      </c>
      <c r="C2099" s="6" t="str">
        <f aca="false">'Dish Database'!D563</f>
        <v>Desserts (Kheer, Halwa, Ice Cream)</v>
      </c>
      <c r="D2099" s="6" t="str">
        <f aca="false">'Dish Database'!F563</f>
        <v>Veg</v>
      </c>
      <c r="E2099" s="6" t="str">
        <f aca="false">'Dish Database'!E563</f>
        <v>North</v>
      </c>
      <c r="F2099" s="6" t="s">
        <v>2243</v>
      </c>
      <c r="G2099" s="6" t="s">
        <v>2259</v>
      </c>
      <c r="H2099" s="16" t="n">
        <v>100</v>
      </c>
      <c r="I2099" s="6" t="str">
        <f aca="false">'Dish Database'!I563</f>
        <v>g</v>
      </c>
      <c r="J2099" s="13" t="n">
        <f aca="false">'Dish Database'!J563*H2099/100</f>
        <v>129.8</v>
      </c>
      <c r="K2099" s="17" t="n">
        <f aca="false">'Dish Database'!K563*H2099/100</f>
        <v>3.6</v>
      </c>
      <c r="L2099" s="17" t="n">
        <f aca="false">'Dish Database'!L563*H2099/100</f>
        <v>20</v>
      </c>
      <c r="M2099" s="17" t="n">
        <f aca="false">'Dish Database'!M563*H2099/100</f>
        <v>4</v>
      </c>
      <c r="N2099" s="17" t="n">
        <f aca="false">'Dish Database'!N563*H2099/100</f>
        <v>0.3</v>
      </c>
      <c r="O2099" s="17" t="n">
        <f aca="false">'Dish Database'!O563*H2099/100</f>
        <v>13</v>
      </c>
      <c r="P2099" s="13" t="n">
        <f aca="false">'Dish Database'!P563*H2099/100</f>
        <v>45</v>
      </c>
    </row>
    <row r="2100" customFormat="false" ht="15" hidden="false" customHeight="false" outlineLevel="0" collapsed="false">
      <c r="A2100" s="6" t="str">
        <f aca="false">'Dish Database'!A563</f>
        <v>D562</v>
      </c>
      <c r="B2100" s="6" t="str">
        <f aca="false">'Dish Database'!B563</f>
        <v>Seviyan kheer</v>
      </c>
      <c r="C2100" s="6" t="str">
        <f aca="false">'Dish Database'!D563</f>
        <v>Desserts (Kheer, Halwa, Ice Cream)</v>
      </c>
      <c r="D2100" s="6" t="str">
        <f aca="false">'Dish Database'!F563</f>
        <v>Veg</v>
      </c>
      <c r="E2100" s="6" t="str">
        <f aca="false">'Dish Database'!E563</f>
        <v>North</v>
      </c>
      <c r="F2100" s="6" t="s">
        <v>103</v>
      </c>
      <c r="G2100" s="6" t="s">
        <v>2260</v>
      </c>
      <c r="H2100" s="16" t="n">
        <v>150</v>
      </c>
      <c r="I2100" s="6" t="str">
        <f aca="false">'Dish Database'!I563</f>
        <v>g</v>
      </c>
      <c r="J2100" s="13" t="n">
        <f aca="false">'Dish Database'!J563*H2100/100</f>
        <v>194.7</v>
      </c>
      <c r="K2100" s="17" t="n">
        <f aca="false">'Dish Database'!K563*H2100/100</f>
        <v>5.4</v>
      </c>
      <c r="L2100" s="17" t="n">
        <f aca="false">'Dish Database'!L563*H2100/100</f>
        <v>30</v>
      </c>
      <c r="M2100" s="17" t="n">
        <f aca="false">'Dish Database'!M563*H2100/100</f>
        <v>6</v>
      </c>
      <c r="N2100" s="17" t="n">
        <f aca="false">'Dish Database'!N563*H2100/100</f>
        <v>0.45</v>
      </c>
      <c r="O2100" s="17" t="n">
        <f aca="false">'Dish Database'!O563*H2100/100</f>
        <v>19.5</v>
      </c>
      <c r="P2100" s="13" t="n">
        <f aca="false">'Dish Database'!P563*H2100/100</f>
        <v>67.5</v>
      </c>
    </row>
    <row r="2101" customFormat="false" ht="15" hidden="false" customHeight="false" outlineLevel="0" collapsed="false">
      <c r="A2101" s="6" t="str">
        <f aca="false">'Dish Database'!A563</f>
        <v>D562</v>
      </c>
      <c r="B2101" s="6" t="str">
        <f aca="false">'Dish Database'!B563</f>
        <v>Seviyan kheer</v>
      </c>
      <c r="C2101" s="6" t="str">
        <f aca="false">'Dish Database'!D563</f>
        <v>Desserts (Kheer, Halwa, Ice Cream)</v>
      </c>
      <c r="D2101" s="6" t="str">
        <f aca="false">'Dish Database'!F563</f>
        <v>Veg</v>
      </c>
      <c r="E2101" s="6" t="str">
        <f aca="false">'Dish Database'!E563</f>
        <v>North</v>
      </c>
      <c r="F2101" s="6" t="s">
        <v>2246</v>
      </c>
      <c r="G2101" s="6" t="s">
        <v>2261</v>
      </c>
      <c r="H2101" s="16" t="n">
        <v>200</v>
      </c>
      <c r="I2101" s="6" t="str">
        <f aca="false">'Dish Database'!I563</f>
        <v>g</v>
      </c>
      <c r="J2101" s="13" t="n">
        <f aca="false">'Dish Database'!J563*H2101/100</f>
        <v>259.6</v>
      </c>
      <c r="K2101" s="17" t="n">
        <f aca="false">'Dish Database'!K563*H2101/100</f>
        <v>7.2</v>
      </c>
      <c r="L2101" s="17" t="n">
        <f aca="false">'Dish Database'!L563*H2101/100</f>
        <v>40</v>
      </c>
      <c r="M2101" s="17" t="n">
        <f aca="false">'Dish Database'!M563*H2101/100</f>
        <v>8</v>
      </c>
      <c r="N2101" s="17" t="n">
        <f aca="false">'Dish Database'!N563*H2101/100</f>
        <v>0.6</v>
      </c>
      <c r="O2101" s="17" t="n">
        <f aca="false">'Dish Database'!O563*H2101/100</f>
        <v>26</v>
      </c>
      <c r="P2101" s="13" t="n">
        <f aca="false">'Dish Database'!P563*H2101/100</f>
        <v>90</v>
      </c>
    </row>
    <row r="2102" customFormat="false" ht="15" hidden="false" customHeight="false" outlineLevel="0" collapsed="false">
      <c r="A2102" s="6" t="str">
        <f aca="false">'Dish Database'!A564</f>
        <v>D563</v>
      </c>
      <c r="B2102" s="6" t="str">
        <f aca="false">'Dish Database'!B564</f>
        <v>Sheer khurma</v>
      </c>
      <c r="C2102" s="6" t="str">
        <f aca="false">'Dish Database'!D564</f>
        <v>Desserts (Kheer, Halwa, Ice Cream)</v>
      </c>
      <c r="D2102" s="6" t="str">
        <f aca="false">'Dish Database'!F564</f>
        <v>Veg</v>
      </c>
      <c r="E2102" s="6" t="str">
        <f aca="false">'Dish Database'!E564</f>
        <v>North</v>
      </c>
      <c r="F2102" s="6" t="s">
        <v>2243</v>
      </c>
      <c r="G2102" s="6" t="s">
        <v>2259</v>
      </c>
      <c r="H2102" s="16" t="n">
        <v>100</v>
      </c>
      <c r="I2102" s="6" t="str">
        <f aca="false">'Dish Database'!I564</f>
        <v>g</v>
      </c>
      <c r="J2102" s="13" t="n">
        <f aca="false">'Dish Database'!J564*H2102/100</f>
        <v>179.9</v>
      </c>
      <c r="K2102" s="17" t="n">
        <f aca="false">'Dish Database'!K564*H2102/100</f>
        <v>4.5</v>
      </c>
      <c r="L2102" s="17" t="n">
        <f aca="false">'Dish Database'!L564*H2102/100</f>
        <v>24</v>
      </c>
      <c r="M2102" s="17" t="n">
        <f aca="false">'Dish Database'!M564*H2102/100</f>
        <v>7.5</v>
      </c>
      <c r="N2102" s="17" t="n">
        <f aca="false">'Dish Database'!N564*H2102/100</f>
        <v>0.8</v>
      </c>
      <c r="O2102" s="17" t="n">
        <f aca="false">'Dish Database'!O564*H2102/100</f>
        <v>18</v>
      </c>
      <c r="P2102" s="13" t="n">
        <f aca="false">'Dish Database'!P564*H2102/100</f>
        <v>45</v>
      </c>
    </row>
    <row r="2103" customFormat="false" ht="15" hidden="false" customHeight="false" outlineLevel="0" collapsed="false">
      <c r="A2103" s="6" t="str">
        <f aca="false">'Dish Database'!A564</f>
        <v>D563</v>
      </c>
      <c r="B2103" s="6" t="str">
        <f aca="false">'Dish Database'!B564</f>
        <v>Sheer khurma</v>
      </c>
      <c r="C2103" s="6" t="str">
        <f aca="false">'Dish Database'!D564</f>
        <v>Desserts (Kheer, Halwa, Ice Cream)</v>
      </c>
      <c r="D2103" s="6" t="str">
        <f aca="false">'Dish Database'!F564</f>
        <v>Veg</v>
      </c>
      <c r="E2103" s="6" t="str">
        <f aca="false">'Dish Database'!E564</f>
        <v>North</v>
      </c>
      <c r="F2103" s="6" t="s">
        <v>103</v>
      </c>
      <c r="G2103" s="6" t="s">
        <v>2260</v>
      </c>
      <c r="H2103" s="16" t="n">
        <v>150</v>
      </c>
      <c r="I2103" s="6" t="str">
        <f aca="false">'Dish Database'!I564</f>
        <v>g</v>
      </c>
      <c r="J2103" s="13" t="n">
        <f aca="false">'Dish Database'!J564*H2103/100</f>
        <v>269.85</v>
      </c>
      <c r="K2103" s="17" t="n">
        <f aca="false">'Dish Database'!K564*H2103/100</f>
        <v>6.75</v>
      </c>
      <c r="L2103" s="17" t="n">
        <f aca="false">'Dish Database'!L564*H2103/100</f>
        <v>36</v>
      </c>
      <c r="M2103" s="17" t="n">
        <f aca="false">'Dish Database'!M564*H2103/100</f>
        <v>11.25</v>
      </c>
      <c r="N2103" s="17" t="n">
        <f aca="false">'Dish Database'!N564*H2103/100</f>
        <v>1.2</v>
      </c>
      <c r="O2103" s="17" t="n">
        <f aca="false">'Dish Database'!O564*H2103/100</f>
        <v>27</v>
      </c>
      <c r="P2103" s="13" t="n">
        <f aca="false">'Dish Database'!P564*H2103/100</f>
        <v>67.5</v>
      </c>
    </row>
    <row r="2104" customFormat="false" ht="15" hidden="false" customHeight="false" outlineLevel="0" collapsed="false">
      <c r="A2104" s="6" t="str">
        <f aca="false">'Dish Database'!A564</f>
        <v>D563</v>
      </c>
      <c r="B2104" s="6" t="str">
        <f aca="false">'Dish Database'!B564</f>
        <v>Sheer khurma</v>
      </c>
      <c r="C2104" s="6" t="str">
        <f aca="false">'Dish Database'!D564</f>
        <v>Desserts (Kheer, Halwa, Ice Cream)</v>
      </c>
      <c r="D2104" s="6" t="str">
        <f aca="false">'Dish Database'!F564</f>
        <v>Veg</v>
      </c>
      <c r="E2104" s="6" t="str">
        <f aca="false">'Dish Database'!E564</f>
        <v>North</v>
      </c>
      <c r="F2104" s="6" t="s">
        <v>2246</v>
      </c>
      <c r="G2104" s="6" t="s">
        <v>2261</v>
      </c>
      <c r="H2104" s="16" t="n">
        <v>200</v>
      </c>
      <c r="I2104" s="6" t="str">
        <f aca="false">'Dish Database'!I564</f>
        <v>g</v>
      </c>
      <c r="J2104" s="13" t="n">
        <f aca="false">'Dish Database'!J564*H2104/100</f>
        <v>359.8</v>
      </c>
      <c r="K2104" s="17" t="n">
        <f aca="false">'Dish Database'!K564*H2104/100</f>
        <v>9</v>
      </c>
      <c r="L2104" s="17" t="n">
        <f aca="false">'Dish Database'!L564*H2104/100</f>
        <v>48</v>
      </c>
      <c r="M2104" s="17" t="n">
        <f aca="false">'Dish Database'!M564*H2104/100</f>
        <v>15</v>
      </c>
      <c r="N2104" s="17" t="n">
        <f aca="false">'Dish Database'!N564*H2104/100</f>
        <v>1.6</v>
      </c>
      <c r="O2104" s="17" t="n">
        <f aca="false">'Dish Database'!O564*H2104/100</f>
        <v>36</v>
      </c>
      <c r="P2104" s="13" t="n">
        <f aca="false">'Dish Database'!P564*H2104/100</f>
        <v>90</v>
      </c>
    </row>
    <row r="2105" customFormat="false" ht="15" hidden="false" customHeight="false" outlineLevel="0" collapsed="false">
      <c r="A2105" s="6" t="str">
        <f aca="false">'Dish Database'!A565</f>
        <v>D564</v>
      </c>
      <c r="B2105" s="6" t="str">
        <f aca="false">'Dish Database'!B565</f>
        <v>Phirni</v>
      </c>
      <c r="C2105" s="6" t="str">
        <f aca="false">'Dish Database'!D565</f>
        <v>Desserts (Kheer, Halwa, Ice Cream)</v>
      </c>
      <c r="D2105" s="6" t="str">
        <f aca="false">'Dish Database'!F565</f>
        <v>Veg</v>
      </c>
      <c r="E2105" s="6" t="str">
        <f aca="false">'Dish Database'!E565</f>
        <v>North</v>
      </c>
      <c r="F2105" s="6" t="s">
        <v>2243</v>
      </c>
      <c r="G2105" s="6" t="s">
        <v>2259</v>
      </c>
      <c r="H2105" s="16" t="n">
        <v>100</v>
      </c>
      <c r="I2105" s="6" t="str">
        <f aca="false">'Dish Database'!I565</f>
        <v>g</v>
      </c>
      <c r="J2105" s="13" t="n">
        <f aca="false">'Dish Database'!J565*H2105/100</f>
        <v>117.1</v>
      </c>
      <c r="K2105" s="17" t="n">
        <f aca="false">'Dish Database'!K565*H2105/100</f>
        <v>3.5</v>
      </c>
      <c r="L2105" s="17" t="n">
        <f aca="false">'Dish Database'!L565*H2105/100</f>
        <v>18</v>
      </c>
      <c r="M2105" s="17" t="n">
        <f aca="false">'Dish Database'!M565*H2105/100</f>
        <v>3.5</v>
      </c>
      <c r="N2105" s="17" t="n">
        <f aca="false">'Dish Database'!N565*H2105/100</f>
        <v>0.2</v>
      </c>
      <c r="O2105" s="17" t="n">
        <f aca="false">'Dish Database'!O565*H2105/100</f>
        <v>12</v>
      </c>
      <c r="P2105" s="13" t="n">
        <f aca="false">'Dish Database'!P565*H2105/100</f>
        <v>45</v>
      </c>
    </row>
    <row r="2106" customFormat="false" ht="15" hidden="false" customHeight="false" outlineLevel="0" collapsed="false">
      <c r="A2106" s="6" t="str">
        <f aca="false">'Dish Database'!A565</f>
        <v>D564</v>
      </c>
      <c r="B2106" s="6" t="str">
        <f aca="false">'Dish Database'!B565</f>
        <v>Phirni</v>
      </c>
      <c r="C2106" s="6" t="str">
        <f aca="false">'Dish Database'!D565</f>
        <v>Desserts (Kheer, Halwa, Ice Cream)</v>
      </c>
      <c r="D2106" s="6" t="str">
        <f aca="false">'Dish Database'!F565</f>
        <v>Veg</v>
      </c>
      <c r="E2106" s="6" t="str">
        <f aca="false">'Dish Database'!E565</f>
        <v>North</v>
      </c>
      <c r="F2106" s="6" t="s">
        <v>103</v>
      </c>
      <c r="G2106" s="6" t="s">
        <v>2260</v>
      </c>
      <c r="H2106" s="16" t="n">
        <v>150</v>
      </c>
      <c r="I2106" s="6" t="str">
        <f aca="false">'Dish Database'!I565</f>
        <v>g</v>
      </c>
      <c r="J2106" s="13" t="n">
        <f aca="false">'Dish Database'!J565*H2106/100</f>
        <v>175.65</v>
      </c>
      <c r="K2106" s="17" t="n">
        <f aca="false">'Dish Database'!K565*H2106/100</f>
        <v>5.25</v>
      </c>
      <c r="L2106" s="17" t="n">
        <f aca="false">'Dish Database'!L565*H2106/100</f>
        <v>27</v>
      </c>
      <c r="M2106" s="17" t="n">
        <f aca="false">'Dish Database'!M565*H2106/100</f>
        <v>5.25</v>
      </c>
      <c r="N2106" s="17" t="n">
        <f aca="false">'Dish Database'!N565*H2106/100</f>
        <v>0.3</v>
      </c>
      <c r="O2106" s="17" t="n">
        <f aca="false">'Dish Database'!O565*H2106/100</f>
        <v>18</v>
      </c>
      <c r="P2106" s="13" t="n">
        <f aca="false">'Dish Database'!P565*H2106/100</f>
        <v>67.5</v>
      </c>
    </row>
    <row r="2107" customFormat="false" ht="15" hidden="false" customHeight="false" outlineLevel="0" collapsed="false">
      <c r="A2107" s="6" t="str">
        <f aca="false">'Dish Database'!A565</f>
        <v>D564</v>
      </c>
      <c r="B2107" s="6" t="str">
        <f aca="false">'Dish Database'!B565</f>
        <v>Phirni</v>
      </c>
      <c r="C2107" s="6" t="str">
        <f aca="false">'Dish Database'!D565</f>
        <v>Desserts (Kheer, Halwa, Ice Cream)</v>
      </c>
      <c r="D2107" s="6" t="str">
        <f aca="false">'Dish Database'!F565</f>
        <v>Veg</v>
      </c>
      <c r="E2107" s="6" t="str">
        <f aca="false">'Dish Database'!E565</f>
        <v>North</v>
      </c>
      <c r="F2107" s="6" t="s">
        <v>2246</v>
      </c>
      <c r="G2107" s="6" t="s">
        <v>2261</v>
      </c>
      <c r="H2107" s="16" t="n">
        <v>200</v>
      </c>
      <c r="I2107" s="6" t="str">
        <f aca="false">'Dish Database'!I565</f>
        <v>g</v>
      </c>
      <c r="J2107" s="13" t="n">
        <f aca="false">'Dish Database'!J565*H2107/100</f>
        <v>234.2</v>
      </c>
      <c r="K2107" s="17" t="n">
        <f aca="false">'Dish Database'!K565*H2107/100</f>
        <v>7</v>
      </c>
      <c r="L2107" s="17" t="n">
        <f aca="false">'Dish Database'!L565*H2107/100</f>
        <v>36</v>
      </c>
      <c r="M2107" s="17" t="n">
        <f aca="false">'Dish Database'!M565*H2107/100</f>
        <v>7</v>
      </c>
      <c r="N2107" s="17" t="n">
        <f aca="false">'Dish Database'!N565*H2107/100</f>
        <v>0.4</v>
      </c>
      <c r="O2107" s="17" t="n">
        <f aca="false">'Dish Database'!O565*H2107/100</f>
        <v>24</v>
      </c>
      <c r="P2107" s="13" t="n">
        <f aca="false">'Dish Database'!P565*H2107/100</f>
        <v>90</v>
      </c>
    </row>
    <row r="2108" customFormat="false" ht="15" hidden="false" customHeight="false" outlineLevel="0" collapsed="false">
      <c r="A2108" s="6" t="str">
        <f aca="false">'Dish Database'!A566</f>
        <v>D565</v>
      </c>
      <c r="B2108" s="6" t="str">
        <f aca="false">'Dish Database'!B566</f>
        <v>Semiya payasam</v>
      </c>
      <c r="C2108" s="6" t="str">
        <f aca="false">'Dish Database'!D566</f>
        <v>Desserts (Kheer, Halwa, Ice Cream)</v>
      </c>
      <c r="D2108" s="6" t="str">
        <f aca="false">'Dish Database'!F566</f>
        <v>Veg</v>
      </c>
      <c r="E2108" s="6" t="str">
        <f aca="false">'Dish Database'!E566</f>
        <v>South</v>
      </c>
      <c r="F2108" s="6" t="s">
        <v>2243</v>
      </c>
      <c r="G2108" s="6" t="s">
        <v>2259</v>
      </c>
      <c r="H2108" s="16" t="n">
        <v>100</v>
      </c>
      <c r="I2108" s="6" t="str">
        <f aca="false">'Dish Database'!I566</f>
        <v>g</v>
      </c>
      <c r="J2108" s="13" t="n">
        <f aca="false">'Dish Database'!J566*H2108/100</f>
        <v>140.7</v>
      </c>
      <c r="K2108" s="17" t="n">
        <f aca="false">'Dish Database'!K566*H2108/100</f>
        <v>3.2</v>
      </c>
      <c r="L2108" s="17" t="n">
        <f aca="false">'Dish Database'!L566*H2108/100</f>
        <v>22</v>
      </c>
      <c r="M2108" s="17" t="n">
        <f aca="false">'Dish Database'!M566*H2108/100</f>
        <v>4.5</v>
      </c>
      <c r="N2108" s="17" t="n">
        <f aca="false">'Dish Database'!N566*H2108/100</f>
        <v>0.3</v>
      </c>
      <c r="O2108" s="17" t="n">
        <f aca="false">'Dish Database'!O566*H2108/100</f>
        <v>15</v>
      </c>
      <c r="P2108" s="13" t="n">
        <f aca="false">'Dish Database'!P566*H2108/100</f>
        <v>45</v>
      </c>
    </row>
    <row r="2109" customFormat="false" ht="15" hidden="false" customHeight="false" outlineLevel="0" collapsed="false">
      <c r="A2109" s="6" t="str">
        <f aca="false">'Dish Database'!A566</f>
        <v>D565</v>
      </c>
      <c r="B2109" s="6" t="str">
        <f aca="false">'Dish Database'!B566</f>
        <v>Semiya payasam</v>
      </c>
      <c r="C2109" s="6" t="str">
        <f aca="false">'Dish Database'!D566</f>
        <v>Desserts (Kheer, Halwa, Ice Cream)</v>
      </c>
      <c r="D2109" s="6" t="str">
        <f aca="false">'Dish Database'!F566</f>
        <v>Veg</v>
      </c>
      <c r="E2109" s="6" t="str">
        <f aca="false">'Dish Database'!E566</f>
        <v>South</v>
      </c>
      <c r="F2109" s="6" t="s">
        <v>103</v>
      </c>
      <c r="G2109" s="6" t="s">
        <v>2260</v>
      </c>
      <c r="H2109" s="16" t="n">
        <v>150</v>
      </c>
      <c r="I2109" s="6" t="str">
        <f aca="false">'Dish Database'!I566</f>
        <v>g</v>
      </c>
      <c r="J2109" s="13" t="n">
        <f aca="false">'Dish Database'!J566*H2109/100</f>
        <v>211.05</v>
      </c>
      <c r="K2109" s="17" t="n">
        <f aca="false">'Dish Database'!K566*H2109/100</f>
        <v>4.8</v>
      </c>
      <c r="L2109" s="17" t="n">
        <f aca="false">'Dish Database'!L566*H2109/100</f>
        <v>33</v>
      </c>
      <c r="M2109" s="17" t="n">
        <f aca="false">'Dish Database'!M566*H2109/100</f>
        <v>6.75</v>
      </c>
      <c r="N2109" s="17" t="n">
        <f aca="false">'Dish Database'!N566*H2109/100</f>
        <v>0.45</v>
      </c>
      <c r="O2109" s="17" t="n">
        <f aca="false">'Dish Database'!O566*H2109/100</f>
        <v>22.5</v>
      </c>
      <c r="P2109" s="13" t="n">
        <f aca="false">'Dish Database'!P566*H2109/100</f>
        <v>67.5</v>
      </c>
    </row>
    <row r="2110" customFormat="false" ht="15" hidden="false" customHeight="false" outlineLevel="0" collapsed="false">
      <c r="A2110" s="6" t="str">
        <f aca="false">'Dish Database'!A566</f>
        <v>D565</v>
      </c>
      <c r="B2110" s="6" t="str">
        <f aca="false">'Dish Database'!B566</f>
        <v>Semiya payasam</v>
      </c>
      <c r="C2110" s="6" t="str">
        <f aca="false">'Dish Database'!D566</f>
        <v>Desserts (Kheer, Halwa, Ice Cream)</v>
      </c>
      <c r="D2110" s="6" t="str">
        <f aca="false">'Dish Database'!F566</f>
        <v>Veg</v>
      </c>
      <c r="E2110" s="6" t="str">
        <f aca="false">'Dish Database'!E566</f>
        <v>South</v>
      </c>
      <c r="F2110" s="6" t="s">
        <v>2246</v>
      </c>
      <c r="G2110" s="6" t="s">
        <v>2261</v>
      </c>
      <c r="H2110" s="16" t="n">
        <v>200</v>
      </c>
      <c r="I2110" s="6" t="str">
        <f aca="false">'Dish Database'!I566</f>
        <v>g</v>
      </c>
      <c r="J2110" s="13" t="n">
        <f aca="false">'Dish Database'!J566*H2110/100</f>
        <v>281.4</v>
      </c>
      <c r="K2110" s="17" t="n">
        <f aca="false">'Dish Database'!K566*H2110/100</f>
        <v>6.4</v>
      </c>
      <c r="L2110" s="17" t="n">
        <f aca="false">'Dish Database'!L566*H2110/100</f>
        <v>44</v>
      </c>
      <c r="M2110" s="17" t="n">
        <f aca="false">'Dish Database'!M566*H2110/100</f>
        <v>9</v>
      </c>
      <c r="N2110" s="17" t="n">
        <f aca="false">'Dish Database'!N566*H2110/100</f>
        <v>0.6</v>
      </c>
      <c r="O2110" s="17" t="n">
        <f aca="false">'Dish Database'!O566*H2110/100</f>
        <v>30</v>
      </c>
      <c r="P2110" s="13" t="n">
        <f aca="false">'Dish Database'!P566*H2110/100</f>
        <v>90</v>
      </c>
    </row>
    <row r="2111" customFormat="false" ht="15" hidden="false" customHeight="false" outlineLevel="0" collapsed="false">
      <c r="A2111" s="6" t="str">
        <f aca="false">'Dish Database'!A567</f>
        <v>D566</v>
      </c>
      <c r="B2111" s="6" t="str">
        <f aca="false">'Dish Database'!B567</f>
        <v>Palada payasam</v>
      </c>
      <c r="C2111" s="6" t="str">
        <f aca="false">'Dish Database'!D567</f>
        <v>Desserts (Kheer, Halwa, Ice Cream)</v>
      </c>
      <c r="D2111" s="6" t="str">
        <f aca="false">'Dish Database'!F567</f>
        <v>Veg</v>
      </c>
      <c r="E2111" s="6" t="str">
        <f aca="false">'Dish Database'!E567</f>
        <v>South</v>
      </c>
      <c r="F2111" s="6" t="s">
        <v>2243</v>
      </c>
      <c r="G2111" s="6" t="s">
        <v>2259</v>
      </c>
      <c r="H2111" s="16" t="n">
        <v>100</v>
      </c>
      <c r="I2111" s="6" t="str">
        <f aca="false">'Dish Database'!I567</f>
        <v>g</v>
      </c>
      <c r="J2111" s="13" t="n">
        <f aca="false">'Dish Database'!J567*H2111/100</f>
        <v>145.8</v>
      </c>
      <c r="K2111" s="17" t="n">
        <f aca="false">'Dish Database'!K567*H2111/100</f>
        <v>3.5</v>
      </c>
      <c r="L2111" s="17" t="n">
        <f aca="false">'Dish Database'!L567*H2111/100</f>
        <v>24</v>
      </c>
      <c r="M2111" s="17" t="n">
        <f aca="false">'Dish Database'!M567*H2111/100</f>
        <v>4</v>
      </c>
      <c r="N2111" s="17" t="n">
        <f aca="false">'Dish Database'!N567*H2111/100</f>
        <v>0.1</v>
      </c>
      <c r="O2111" s="17" t="n">
        <f aca="false">'Dish Database'!O567*H2111/100</f>
        <v>16</v>
      </c>
      <c r="P2111" s="13" t="n">
        <f aca="false">'Dish Database'!P567*H2111/100</f>
        <v>45</v>
      </c>
    </row>
    <row r="2112" customFormat="false" ht="15" hidden="false" customHeight="false" outlineLevel="0" collapsed="false">
      <c r="A2112" s="6" t="str">
        <f aca="false">'Dish Database'!A567</f>
        <v>D566</v>
      </c>
      <c r="B2112" s="6" t="str">
        <f aca="false">'Dish Database'!B567</f>
        <v>Palada payasam</v>
      </c>
      <c r="C2112" s="6" t="str">
        <f aca="false">'Dish Database'!D567</f>
        <v>Desserts (Kheer, Halwa, Ice Cream)</v>
      </c>
      <c r="D2112" s="6" t="str">
        <f aca="false">'Dish Database'!F567</f>
        <v>Veg</v>
      </c>
      <c r="E2112" s="6" t="str">
        <f aca="false">'Dish Database'!E567</f>
        <v>South</v>
      </c>
      <c r="F2112" s="6" t="s">
        <v>103</v>
      </c>
      <c r="G2112" s="6" t="s">
        <v>2260</v>
      </c>
      <c r="H2112" s="16" t="n">
        <v>150</v>
      </c>
      <c r="I2112" s="6" t="str">
        <f aca="false">'Dish Database'!I567</f>
        <v>g</v>
      </c>
      <c r="J2112" s="13" t="n">
        <f aca="false">'Dish Database'!J567*H2112/100</f>
        <v>218.7</v>
      </c>
      <c r="K2112" s="17" t="n">
        <f aca="false">'Dish Database'!K567*H2112/100</f>
        <v>5.25</v>
      </c>
      <c r="L2112" s="17" t="n">
        <f aca="false">'Dish Database'!L567*H2112/100</f>
        <v>36</v>
      </c>
      <c r="M2112" s="17" t="n">
        <f aca="false">'Dish Database'!M567*H2112/100</f>
        <v>6</v>
      </c>
      <c r="N2112" s="17" t="n">
        <f aca="false">'Dish Database'!N567*H2112/100</f>
        <v>0.15</v>
      </c>
      <c r="O2112" s="17" t="n">
        <f aca="false">'Dish Database'!O567*H2112/100</f>
        <v>24</v>
      </c>
      <c r="P2112" s="13" t="n">
        <f aca="false">'Dish Database'!P567*H2112/100</f>
        <v>67.5</v>
      </c>
    </row>
    <row r="2113" customFormat="false" ht="15" hidden="false" customHeight="false" outlineLevel="0" collapsed="false">
      <c r="A2113" s="6" t="str">
        <f aca="false">'Dish Database'!A567</f>
        <v>D566</v>
      </c>
      <c r="B2113" s="6" t="str">
        <f aca="false">'Dish Database'!B567</f>
        <v>Palada payasam</v>
      </c>
      <c r="C2113" s="6" t="str">
        <f aca="false">'Dish Database'!D567</f>
        <v>Desserts (Kheer, Halwa, Ice Cream)</v>
      </c>
      <c r="D2113" s="6" t="str">
        <f aca="false">'Dish Database'!F567</f>
        <v>Veg</v>
      </c>
      <c r="E2113" s="6" t="str">
        <f aca="false">'Dish Database'!E567</f>
        <v>South</v>
      </c>
      <c r="F2113" s="6" t="s">
        <v>2246</v>
      </c>
      <c r="G2113" s="6" t="s">
        <v>2261</v>
      </c>
      <c r="H2113" s="16" t="n">
        <v>200</v>
      </c>
      <c r="I2113" s="6" t="str">
        <f aca="false">'Dish Database'!I567</f>
        <v>g</v>
      </c>
      <c r="J2113" s="13" t="n">
        <f aca="false">'Dish Database'!J567*H2113/100</f>
        <v>291.6</v>
      </c>
      <c r="K2113" s="17" t="n">
        <f aca="false">'Dish Database'!K567*H2113/100</f>
        <v>7</v>
      </c>
      <c r="L2113" s="17" t="n">
        <f aca="false">'Dish Database'!L567*H2113/100</f>
        <v>48</v>
      </c>
      <c r="M2113" s="17" t="n">
        <f aca="false">'Dish Database'!M567*H2113/100</f>
        <v>8</v>
      </c>
      <c r="N2113" s="17" t="n">
        <f aca="false">'Dish Database'!N567*H2113/100</f>
        <v>0.2</v>
      </c>
      <c r="O2113" s="17" t="n">
        <f aca="false">'Dish Database'!O567*H2113/100</f>
        <v>32</v>
      </c>
      <c r="P2113" s="13" t="n">
        <f aca="false">'Dish Database'!P567*H2113/100</f>
        <v>90</v>
      </c>
    </row>
    <row r="2114" customFormat="false" ht="15" hidden="false" customHeight="false" outlineLevel="0" collapsed="false">
      <c r="A2114" s="6" t="str">
        <f aca="false">'Dish Database'!A568</f>
        <v>D567</v>
      </c>
      <c r="B2114" s="6" t="str">
        <f aca="false">'Dish Database'!B568</f>
        <v>Ada pradhaman</v>
      </c>
      <c r="C2114" s="6" t="str">
        <f aca="false">'Dish Database'!D568</f>
        <v>Desserts (Kheer, Halwa, Ice Cream)</v>
      </c>
      <c r="D2114" s="6" t="str">
        <f aca="false">'Dish Database'!F568</f>
        <v>Veg</v>
      </c>
      <c r="E2114" s="6" t="str">
        <f aca="false">'Dish Database'!E568</f>
        <v>South</v>
      </c>
      <c r="F2114" s="6" t="s">
        <v>2243</v>
      </c>
      <c r="G2114" s="6" t="s">
        <v>2259</v>
      </c>
      <c r="H2114" s="16" t="n">
        <v>100</v>
      </c>
      <c r="I2114" s="6" t="str">
        <f aca="false">'Dish Database'!I568</f>
        <v>g</v>
      </c>
      <c r="J2114" s="13" t="n">
        <f aca="false">'Dish Database'!J568*H2114/100</f>
        <v>196.6</v>
      </c>
      <c r="K2114" s="17" t="n">
        <f aca="false">'Dish Database'!K568*H2114/100</f>
        <v>1.8</v>
      </c>
      <c r="L2114" s="17" t="n">
        <f aca="false">'Dish Database'!L568*H2114/100</f>
        <v>32</v>
      </c>
      <c r="M2114" s="17" t="n">
        <f aca="false">'Dish Database'!M568*H2114/100</f>
        <v>7</v>
      </c>
      <c r="N2114" s="17" t="n">
        <f aca="false">'Dish Database'!N568*H2114/100</f>
        <v>0.8</v>
      </c>
      <c r="O2114" s="17" t="n">
        <f aca="false">'Dish Database'!O568*H2114/100</f>
        <v>25</v>
      </c>
      <c r="P2114" s="13" t="n">
        <f aca="false">'Dish Database'!P568*H2114/100</f>
        <v>20</v>
      </c>
    </row>
    <row r="2115" customFormat="false" ht="15" hidden="false" customHeight="false" outlineLevel="0" collapsed="false">
      <c r="A2115" s="6" t="str">
        <f aca="false">'Dish Database'!A568</f>
        <v>D567</v>
      </c>
      <c r="B2115" s="6" t="str">
        <f aca="false">'Dish Database'!B568</f>
        <v>Ada pradhaman</v>
      </c>
      <c r="C2115" s="6" t="str">
        <f aca="false">'Dish Database'!D568</f>
        <v>Desserts (Kheer, Halwa, Ice Cream)</v>
      </c>
      <c r="D2115" s="6" t="str">
        <f aca="false">'Dish Database'!F568</f>
        <v>Veg</v>
      </c>
      <c r="E2115" s="6" t="str">
        <f aca="false">'Dish Database'!E568</f>
        <v>South</v>
      </c>
      <c r="F2115" s="6" t="s">
        <v>103</v>
      </c>
      <c r="G2115" s="6" t="s">
        <v>2260</v>
      </c>
      <c r="H2115" s="16" t="n">
        <v>150</v>
      </c>
      <c r="I2115" s="6" t="str">
        <f aca="false">'Dish Database'!I568</f>
        <v>g</v>
      </c>
      <c r="J2115" s="13" t="n">
        <f aca="false">'Dish Database'!J568*H2115/100</f>
        <v>294.9</v>
      </c>
      <c r="K2115" s="17" t="n">
        <f aca="false">'Dish Database'!K568*H2115/100</f>
        <v>2.7</v>
      </c>
      <c r="L2115" s="17" t="n">
        <f aca="false">'Dish Database'!L568*H2115/100</f>
        <v>48</v>
      </c>
      <c r="M2115" s="17" t="n">
        <f aca="false">'Dish Database'!M568*H2115/100</f>
        <v>10.5</v>
      </c>
      <c r="N2115" s="17" t="n">
        <f aca="false">'Dish Database'!N568*H2115/100</f>
        <v>1.2</v>
      </c>
      <c r="O2115" s="17" t="n">
        <f aca="false">'Dish Database'!O568*H2115/100</f>
        <v>37.5</v>
      </c>
      <c r="P2115" s="13" t="n">
        <f aca="false">'Dish Database'!P568*H2115/100</f>
        <v>30</v>
      </c>
    </row>
    <row r="2116" customFormat="false" ht="15" hidden="false" customHeight="false" outlineLevel="0" collapsed="false">
      <c r="A2116" s="6" t="str">
        <f aca="false">'Dish Database'!A568</f>
        <v>D567</v>
      </c>
      <c r="B2116" s="6" t="str">
        <f aca="false">'Dish Database'!B568</f>
        <v>Ada pradhaman</v>
      </c>
      <c r="C2116" s="6" t="str">
        <f aca="false">'Dish Database'!D568</f>
        <v>Desserts (Kheer, Halwa, Ice Cream)</v>
      </c>
      <c r="D2116" s="6" t="str">
        <f aca="false">'Dish Database'!F568</f>
        <v>Veg</v>
      </c>
      <c r="E2116" s="6" t="str">
        <f aca="false">'Dish Database'!E568</f>
        <v>South</v>
      </c>
      <c r="F2116" s="6" t="s">
        <v>2246</v>
      </c>
      <c r="G2116" s="6" t="s">
        <v>2261</v>
      </c>
      <c r="H2116" s="16" t="n">
        <v>200</v>
      </c>
      <c r="I2116" s="6" t="str">
        <f aca="false">'Dish Database'!I568</f>
        <v>g</v>
      </c>
      <c r="J2116" s="13" t="n">
        <f aca="false">'Dish Database'!J568*H2116/100</f>
        <v>393.2</v>
      </c>
      <c r="K2116" s="17" t="n">
        <f aca="false">'Dish Database'!K568*H2116/100</f>
        <v>3.6</v>
      </c>
      <c r="L2116" s="17" t="n">
        <f aca="false">'Dish Database'!L568*H2116/100</f>
        <v>64</v>
      </c>
      <c r="M2116" s="17" t="n">
        <f aca="false">'Dish Database'!M568*H2116/100</f>
        <v>14</v>
      </c>
      <c r="N2116" s="17" t="n">
        <f aca="false">'Dish Database'!N568*H2116/100</f>
        <v>1.6</v>
      </c>
      <c r="O2116" s="17" t="n">
        <f aca="false">'Dish Database'!O568*H2116/100</f>
        <v>50</v>
      </c>
      <c r="P2116" s="13" t="n">
        <f aca="false">'Dish Database'!P568*H2116/100</f>
        <v>40</v>
      </c>
    </row>
    <row r="2117" customFormat="false" ht="15" hidden="false" customHeight="false" outlineLevel="0" collapsed="false">
      <c r="A2117" s="6" t="str">
        <f aca="false">'Dish Database'!A569</f>
        <v>D568</v>
      </c>
      <c r="B2117" s="6" t="str">
        <f aca="false">'Dish Database'!B569</f>
        <v>Parippu payasam</v>
      </c>
      <c r="C2117" s="6" t="str">
        <f aca="false">'Dish Database'!D569</f>
        <v>Desserts (Kheer, Halwa, Ice Cream)</v>
      </c>
      <c r="D2117" s="6" t="str">
        <f aca="false">'Dish Database'!F569</f>
        <v>Veg</v>
      </c>
      <c r="E2117" s="6" t="str">
        <f aca="false">'Dish Database'!E569</f>
        <v>South</v>
      </c>
      <c r="F2117" s="6" t="s">
        <v>2243</v>
      </c>
      <c r="G2117" s="6" t="s">
        <v>2259</v>
      </c>
      <c r="H2117" s="16" t="n">
        <v>100</v>
      </c>
      <c r="I2117" s="6" t="str">
        <f aca="false">'Dish Database'!I569</f>
        <v>g</v>
      </c>
      <c r="J2117" s="13" t="n">
        <f aca="false">'Dish Database'!J569*H2117/100</f>
        <v>183</v>
      </c>
      <c r="K2117" s="17" t="n">
        <f aca="false">'Dish Database'!K569*H2117/100</f>
        <v>3</v>
      </c>
      <c r="L2117" s="17" t="n">
        <f aca="false">'Dish Database'!L569*H2117/100</f>
        <v>30</v>
      </c>
      <c r="M2117" s="17" t="n">
        <f aca="false">'Dish Database'!M569*H2117/100</f>
        <v>6</v>
      </c>
      <c r="N2117" s="17" t="n">
        <f aca="false">'Dish Database'!N569*H2117/100</f>
        <v>1.5</v>
      </c>
      <c r="O2117" s="17" t="n">
        <f aca="false">'Dish Database'!O569*H2117/100</f>
        <v>20</v>
      </c>
      <c r="P2117" s="13" t="n">
        <f aca="false">'Dish Database'!P569*H2117/100</f>
        <v>20</v>
      </c>
    </row>
    <row r="2118" customFormat="false" ht="15" hidden="false" customHeight="false" outlineLevel="0" collapsed="false">
      <c r="A2118" s="6" t="str">
        <f aca="false">'Dish Database'!A569</f>
        <v>D568</v>
      </c>
      <c r="B2118" s="6" t="str">
        <f aca="false">'Dish Database'!B569</f>
        <v>Parippu payasam</v>
      </c>
      <c r="C2118" s="6" t="str">
        <f aca="false">'Dish Database'!D569</f>
        <v>Desserts (Kheer, Halwa, Ice Cream)</v>
      </c>
      <c r="D2118" s="6" t="str">
        <f aca="false">'Dish Database'!F569</f>
        <v>Veg</v>
      </c>
      <c r="E2118" s="6" t="str">
        <f aca="false">'Dish Database'!E569</f>
        <v>South</v>
      </c>
      <c r="F2118" s="6" t="s">
        <v>103</v>
      </c>
      <c r="G2118" s="6" t="s">
        <v>2260</v>
      </c>
      <c r="H2118" s="16" t="n">
        <v>150</v>
      </c>
      <c r="I2118" s="6" t="str">
        <f aca="false">'Dish Database'!I569</f>
        <v>g</v>
      </c>
      <c r="J2118" s="13" t="n">
        <f aca="false">'Dish Database'!J569*H2118/100</f>
        <v>274.5</v>
      </c>
      <c r="K2118" s="17" t="n">
        <f aca="false">'Dish Database'!K569*H2118/100</f>
        <v>4.5</v>
      </c>
      <c r="L2118" s="17" t="n">
        <f aca="false">'Dish Database'!L569*H2118/100</f>
        <v>45</v>
      </c>
      <c r="M2118" s="17" t="n">
        <f aca="false">'Dish Database'!M569*H2118/100</f>
        <v>9</v>
      </c>
      <c r="N2118" s="17" t="n">
        <f aca="false">'Dish Database'!N569*H2118/100</f>
        <v>2.25</v>
      </c>
      <c r="O2118" s="17" t="n">
        <f aca="false">'Dish Database'!O569*H2118/100</f>
        <v>30</v>
      </c>
      <c r="P2118" s="13" t="n">
        <f aca="false">'Dish Database'!P569*H2118/100</f>
        <v>30</v>
      </c>
    </row>
    <row r="2119" customFormat="false" ht="15" hidden="false" customHeight="false" outlineLevel="0" collapsed="false">
      <c r="A2119" s="6" t="str">
        <f aca="false">'Dish Database'!A569</f>
        <v>D568</v>
      </c>
      <c r="B2119" s="6" t="str">
        <f aca="false">'Dish Database'!B569</f>
        <v>Parippu payasam</v>
      </c>
      <c r="C2119" s="6" t="str">
        <f aca="false">'Dish Database'!D569</f>
        <v>Desserts (Kheer, Halwa, Ice Cream)</v>
      </c>
      <c r="D2119" s="6" t="str">
        <f aca="false">'Dish Database'!F569</f>
        <v>Veg</v>
      </c>
      <c r="E2119" s="6" t="str">
        <f aca="false">'Dish Database'!E569</f>
        <v>South</v>
      </c>
      <c r="F2119" s="6" t="s">
        <v>2246</v>
      </c>
      <c r="G2119" s="6" t="s">
        <v>2261</v>
      </c>
      <c r="H2119" s="16" t="n">
        <v>200</v>
      </c>
      <c r="I2119" s="6" t="str">
        <f aca="false">'Dish Database'!I569</f>
        <v>g</v>
      </c>
      <c r="J2119" s="13" t="n">
        <f aca="false">'Dish Database'!J569*H2119/100</f>
        <v>366</v>
      </c>
      <c r="K2119" s="17" t="n">
        <f aca="false">'Dish Database'!K569*H2119/100</f>
        <v>6</v>
      </c>
      <c r="L2119" s="17" t="n">
        <f aca="false">'Dish Database'!L569*H2119/100</f>
        <v>60</v>
      </c>
      <c r="M2119" s="17" t="n">
        <f aca="false">'Dish Database'!M569*H2119/100</f>
        <v>12</v>
      </c>
      <c r="N2119" s="17" t="n">
        <f aca="false">'Dish Database'!N569*H2119/100</f>
        <v>3</v>
      </c>
      <c r="O2119" s="17" t="n">
        <f aca="false">'Dish Database'!O569*H2119/100</f>
        <v>40</v>
      </c>
      <c r="P2119" s="13" t="n">
        <f aca="false">'Dish Database'!P569*H2119/100</f>
        <v>40</v>
      </c>
    </row>
    <row r="2120" customFormat="false" ht="15" hidden="false" customHeight="false" outlineLevel="0" collapsed="false">
      <c r="A2120" s="6" t="str">
        <f aca="false">'Dish Database'!A570</f>
        <v>D569</v>
      </c>
      <c r="B2120" s="6" t="str">
        <f aca="false">'Dish Database'!B570</f>
        <v>Sabudana kheer</v>
      </c>
      <c r="C2120" s="6" t="str">
        <f aca="false">'Dish Database'!D570</f>
        <v>Desserts (Kheer, Halwa, Ice Cream)</v>
      </c>
      <c r="D2120" s="6" t="str">
        <f aca="false">'Dish Database'!F570</f>
        <v>Veg</v>
      </c>
      <c r="E2120" s="6" t="str">
        <f aca="false">'Dish Database'!E570</f>
        <v>West</v>
      </c>
      <c r="F2120" s="6" t="s">
        <v>2243</v>
      </c>
      <c r="G2120" s="6" t="s">
        <v>2259</v>
      </c>
      <c r="H2120" s="16" t="n">
        <v>100</v>
      </c>
      <c r="I2120" s="6" t="str">
        <f aca="false">'Dish Database'!I570</f>
        <v>g</v>
      </c>
      <c r="J2120" s="13" t="n">
        <f aca="false">'Dish Database'!J570*H2120/100</f>
        <v>131.3</v>
      </c>
      <c r="K2120" s="17" t="n">
        <f aca="false">'Dish Database'!K570*H2120/100</f>
        <v>3</v>
      </c>
      <c r="L2120" s="17" t="n">
        <f aca="false">'Dish Database'!L570*H2120/100</f>
        <v>22</v>
      </c>
      <c r="M2120" s="17" t="n">
        <f aca="false">'Dish Database'!M570*H2120/100</f>
        <v>3.5</v>
      </c>
      <c r="N2120" s="17" t="n">
        <f aca="false">'Dish Database'!N570*H2120/100</f>
        <v>0.1</v>
      </c>
      <c r="O2120" s="17" t="n">
        <f aca="false">'Dish Database'!O570*H2120/100</f>
        <v>13</v>
      </c>
      <c r="P2120" s="13" t="n">
        <f aca="false">'Dish Database'!P570*H2120/100</f>
        <v>45</v>
      </c>
    </row>
    <row r="2121" customFormat="false" ht="15" hidden="false" customHeight="false" outlineLevel="0" collapsed="false">
      <c r="A2121" s="6" t="str">
        <f aca="false">'Dish Database'!A570</f>
        <v>D569</v>
      </c>
      <c r="B2121" s="6" t="str">
        <f aca="false">'Dish Database'!B570</f>
        <v>Sabudana kheer</v>
      </c>
      <c r="C2121" s="6" t="str">
        <f aca="false">'Dish Database'!D570</f>
        <v>Desserts (Kheer, Halwa, Ice Cream)</v>
      </c>
      <c r="D2121" s="6" t="str">
        <f aca="false">'Dish Database'!F570</f>
        <v>Veg</v>
      </c>
      <c r="E2121" s="6" t="str">
        <f aca="false">'Dish Database'!E570</f>
        <v>West</v>
      </c>
      <c r="F2121" s="6" t="s">
        <v>103</v>
      </c>
      <c r="G2121" s="6" t="s">
        <v>2260</v>
      </c>
      <c r="H2121" s="16" t="n">
        <v>150</v>
      </c>
      <c r="I2121" s="6" t="str">
        <f aca="false">'Dish Database'!I570</f>
        <v>g</v>
      </c>
      <c r="J2121" s="13" t="n">
        <f aca="false">'Dish Database'!J570*H2121/100</f>
        <v>196.95</v>
      </c>
      <c r="K2121" s="17" t="n">
        <f aca="false">'Dish Database'!K570*H2121/100</f>
        <v>4.5</v>
      </c>
      <c r="L2121" s="17" t="n">
        <f aca="false">'Dish Database'!L570*H2121/100</f>
        <v>33</v>
      </c>
      <c r="M2121" s="17" t="n">
        <f aca="false">'Dish Database'!M570*H2121/100</f>
        <v>5.25</v>
      </c>
      <c r="N2121" s="17" t="n">
        <f aca="false">'Dish Database'!N570*H2121/100</f>
        <v>0.15</v>
      </c>
      <c r="O2121" s="17" t="n">
        <f aca="false">'Dish Database'!O570*H2121/100</f>
        <v>19.5</v>
      </c>
      <c r="P2121" s="13" t="n">
        <f aca="false">'Dish Database'!P570*H2121/100</f>
        <v>67.5</v>
      </c>
    </row>
    <row r="2122" customFormat="false" ht="15" hidden="false" customHeight="false" outlineLevel="0" collapsed="false">
      <c r="A2122" s="6" t="str">
        <f aca="false">'Dish Database'!A570</f>
        <v>D569</v>
      </c>
      <c r="B2122" s="6" t="str">
        <f aca="false">'Dish Database'!B570</f>
        <v>Sabudana kheer</v>
      </c>
      <c r="C2122" s="6" t="str">
        <f aca="false">'Dish Database'!D570</f>
        <v>Desserts (Kheer, Halwa, Ice Cream)</v>
      </c>
      <c r="D2122" s="6" t="str">
        <f aca="false">'Dish Database'!F570</f>
        <v>Veg</v>
      </c>
      <c r="E2122" s="6" t="str">
        <f aca="false">'Dish Database'!E570</f>
        <v>West</v>
      </c>
      <c r="F2122" s="6" t="s">
        <v>2246</v>
      </c>
      <c r="G2122" s="6" t="s">
        <v>2261</v>
      </c>
      <c r="H2122" s="16" t="n">
        <v>200</v>
      </c>
      <c r="I2122" s="6" t="str">
        <f aca="false">'Dish Database'!I570</f>
        <v>g</v>
      </c>
      <c r="J2122" s="13" t="n">
        <f aca="false">'Dish Database'!J570*H2122/100</f>
        <v>262.6</v>
      </c>
      <c r="K2122" s="17" t="n">
        <f aca="false">'Dish Database'!K570*H2122/100</f>
        <v>6</v>
      </c>
      <c r="L2122" s="17" t="n">
        <f aca="false">'Dish Database'!L570*H2122/100</f>
        <v>44</v>
      </c>
      <c r="M2122" s="17" t="n">
        <f aca="false">'Dish Database'!M570*H2122/100</f>
        <v>7</v>
      </c>
      <c r="N2122" s="17" t="n">
        <f aca="false">'Dish Database'!N570*H2122/100</f>
        <v>0.2</v>
      </c>
      <c r="O2122" s="17" t="n">
        <f aca="false">'Dish Database'!O570*H2122/100</f>
        <v>26</v>
      </c>
      <c r="P2122" s="13" t="n">
        <f aca="false">'Dish Database'!P570*H2122/100</f>
        <v>90</v>
      </c>
    </row>
    <row r="2123" customFormat="false" ht="15" hidden="false" customHeight="false" outlineLevel="0" collapsed="false">
      <c r="A2123" s="6" t="str">
        <f aca="false">'Dish Database'!A571</f>
        <v>D570</v>
      </c>
      <c r="B2123" s="6" t="str">
        <f aca="false">'Dish Database'!B571</f>
        <v>Rabri</v>
      </c>
      <c r="C2123" s="6" t="str">
        <f aca="false">'Dish Database'!D571</f>
        <v>Desserts (Kheer, Halwa, Ice Cream)</v>
      </c>
      <c r="D2123" s="6" t="str">
        <f aca="false">'Dish Database'!F571</f>
        <v>Veg</v>
      </c>
      <c r="E2123" s="6" t="str">
        <f aca="false">'Dish Database'!E571</f>
        <v>North</v>
      </c>
      <c r="F2123" s="6" t="s">
        <v>2243</v>
      </c>
      <c r="G2123" s="6" t="s">
        <v>2422</v>
      </c>
      <c r="H2123" s="16" t="n">
        <v>50</v>
      </c>
      <c r="I2123" s="6" t="str">
        <f aca="false">'Dish Database'!I571</f>
        <v>g</v>
      </c>
      <c r="J2123" s="13" t="n">
        <f aca="false">'Dish Database'!J571*H2123/100</f>
        <v>121</v>
      </c>
      <c r="K2123" s="17" t="n">
        <f aca="false">'Dish Database'!K571*H2123/100</f>
        <v>3.25</v>
      </c>
      <c r="L2123" s="17" t="n">
        <f aca="false">'Dish Database'!L571*H2123/100</f>
        <v>13.5</v>
      </c>
      <c r="M2123" s="17" t="n">
        <f aca="false">'Dish Database'!M571*H2123/100</f>
        <v>6</v>
      </c>
      <c r="N2123" s="17" t="n">
        <f aca="false">'Dish Database'!N571*H2123/100</f>
        <v>0</v>
      </c>
      <c r="O2123" s="17" t="n">
        <f aca="false">'Dish Database'!O571*H2123/100</f>
        <v>12.5</v>
      </c>
      <c r="P2123" s="13" t="n">
        <f aca="false">'Dish Database'!P571*H2123/100</f>
        <v>35</v>
      </c>
    </row>
    <row r="2124" customFormat="false" ht="15" hidden="false" customHeight="false" outlineLevel="0" collapsed="false">
      <c r="A2124" s="6" t="str">
        <f aca="false">'Dish Database'!A571</f>
        <v>D570</v>
      </c>
      <c r="B2124" s="6" t="str">
        <f aca="false">'Dish Database'!B571</f>
        <v>Rabri</v>
      </c>
      <c r="C2124" s="6" t="str">
        <f aca="false">'Dish Database'!D571</f>
        <v>Desserts (Kheer, Halwa, Ice Cream)</v>
      </c>
      <c r="D2124" s="6" t="str">
        <f aca="false">'Dish Database'!F571</f>
        <v>Veg</v>
      </c>
      <c r="E2124" s="6" t="str">
        <f aca="false">'Dish Database'!E571</f>
        <v>North</v>
      </c>
      <c r="F2124" s="6" t="s">
        <v>103</v>
      </c>
      <c r="G2124" s="6" t="s">
        <v>2259</v>
      </c>
      <c r="H2124" s="16" t="n">
        <v>100</v>
      </c>
      <c r="I2124" s="6" t="str">
        <f aca="false">'Dish Database'!I571</f>
        <v>g</v>
      </c>
      <c r="J2124" s="13" t="n">
        <f aca="false">'Dish Database'!J571*H2124/100</f>
        <v>242</v>
      </c>
      <c r="K2124" s="17" t="n">
        <f aca="false">'Dish Database'!K571*H2124/100</f>
        <v>6.5</v>
      </c>
      <c r="L2124" s="17" t="n">
        <f aca="false">'Dish Database'!L571*H2124/100</f>
        <v>27</v>
      </c>
      <c r="M2124" s="17" t="n">
        <f aca="false">'Dish Database'!M571*H2124/100</f>
        <v>12</v>
      </c>
      <c r="N2124" s="17" t="n">
        <f aca="false">'Dish Database'!N571*H2124/100</f>
        <v>0</v>
      </c>
      <c r="O2124" s="17" t="n">
        <f aca="false">'Dish Database'!O571*H2124/100</f>
        <v>25</v>
      </c>
      <c r="P2124" s="13" t="n">
        <f aca="false">'Dish Database'!P571*H2124/100</f>
        <v>70</v>
      </c>
    </row>
    <row r="2125" customFormat="false" ht="15" hidden="false" customHeight="false" outlineLevel="0" collapsed="false">
      <c r="A2125" s="6" t="str">
        <f aca="false">'Dish Database'!A571</f>
        <v>D570</v>
      </c>
      <c r="B2125" s="6" t="str">
        <f aca="false">'Dish Database'!B571</f>
        <v>Rabri</v>
      </c>
      <c r="C2125" s="6" t="str">
        <f aca="false">'Dish Database'!D571</f>
        <v>Desserts (Kheer, Halwa, Ice Cream)</v>
      </c>
      <c r="D2125" s="6" t="str">
        <f aca="false">'Dish Database'!F571</f>
        <v>Veg</v>
      </c>
      <c r="E2125" s="6" t="str">
        <f aca="false">'Dish Database'!E571</f>
        <v>North</v>
      </c>
      <c r="F2125" s="6" t="s">
        <v>2246</v>
      </c>
      <c r="G2125" s="6" t="s">
        <v>2260</v>
      </c>
      <c r="H2125" s="16" t="n">
        <v>150</v>
      </c>
      <c r="I2125" s="6" t="str">
        <f aca="false">'Dish Database'!I571</f>
        <v>g</v>
      </c>
      <c r="J2125" s="13" t="n">
        <f aca="false">'Dish Database'!J571*H2125/100</f>
        <v>363</v>
      </c>
      <c r="K2125" s="17" t="n">
        <f aca="false">'Dish Database'!K571*H2125/100</f>
        <v>9.75</v>
      </c>
      <c r="L2125" s="17" t="n">
        <f aca="false">'Dish Database'!L571*H2125/100</f>
        <v>40.5</v>
      </c>
      <c r="M2125" s="17" t="n">
        <f aca="false">'Dish Database'!M571*H2125/100</f>
        <v>18</v>
      </c>
      <c r="N2125" s="17" t="n">
        <f aca="false">'Dish Database'!N571*H2125/100</f>
        <v>0</v>
      </c>
      <c r="O2125" s="17" t="n">
        <f aca="false">'Dish Database'!O571*H2125/100</f>
        <v>37.5</v>
      </c>
      <c r="P2125" s="13" t="n">
        <f aca="false">'Dish Database'!P571*H2125/100</f>
        <v>105</v>
      </c>
    </row>
    <row r="2126" customFormat="false" ht="15" hidden="false" customHeight="false" outlineLevel="0" collapsed="false">
      <c r="A2126" s="6" t="str">
        <f aca="false">'Dish Database'!A572</f>
        <v>D571</v>
      </c>
      <c r="B2126" s="6" t="str">
        <f aca="false">'Dish Database'!B572</f>
        <v>Basundi</v>
      </c>
      <c r="C2126" s="6" t="str">
        <f aca="false">'Dish Database'!D572</f>
        <v>Desserts (Kheer, Halwa, Ice Cream)</v>
      </c>
      <c r="D2126" s="6" t="str">
        <f aca="false">'Dish Database'!F572</f>
        <v>Veg</v>
      </c>
      <c r="E2126" s="6" t="str">
        <f aca="false">'Dish Database'!E572</f>
        <v>West</v>
      </c>
      <c r="F2126" s="6" t="s">
        <v>2243</v>
      </c>
      <c r="G2126" s="6" t="s">
        <v>2422</v>
      </c>
      <c r="H2126" s="16" t="n">
        <v>50</v>
      </c>
      <c r="I2126" s="6" t="str">
        <f aca="false">'Dish Database'!I572</f>
        <v>g</v>
      </c>
      <c r="J2126" s="13" t="n">
        <f aca="false">'Dish Database'!J572*H2126/100</f>
        <v>96.5</v>
      </c>
      <c r="K2126" s="17" t="n">
        <f aca="false">'Dish Database'!K572*H2126/100</f>
        <v>3</v>
      </c>
      <c r="L2126" s="17" t="n">
        <f aca="false">'Dish Database'!L572*H2126/100</f>
        <v>11</v>
      </c>
      <c r="M2126" s="17" t="n">
        <f aca="false">'Dish Database'!M572*H2126/100</f>
        <v>4.5</v>
      </c>
      <c r="N2126" s="17" t="n">
        <f aca="false">'Dish Database'!N572*H2126/100</f>
        <v>0</v>
      </c>
      <c r="O2126" s="17" t="n">
        <f aca="false">'Dish Database'!O572*H2126/100</f>
        <v>10</v>
      </c>
      <c r="P2126" s="13" t="n">
        <f aca="false">'Dish Database'!P572*H2126/100</f>
        <v>30</v>
      </c>
    </row>
    <row r="2127" customFormat="false" ht="15" hidden="false" customHeight="false" outlineLevel="0" collapsed="false">
      <c r="A2127" s="6" t="str">
        <f aca="false">'Dish Database'!A572</f>
        <v>D571</v>
      </c>
      <c r="B2127" s="6" t="str">
        <f aca="false">'Dish Database'!B572</f>
        <v>Basundi</v>
      </c>
      <c r="C2127" s="6" t="str">
        <f aca="false">'Dish Database'!D572</f>
        <v>Desserts (Kheer, Halwa, Ice Cream)</v>
      </c>
      <c r="D2127" s="6" t="str">
        <f aca="false">'Dish Database'!F572</f>
        <v>Veg</v>
      </c>
      <c r="E2127" s="6" t="str">
        <f aca="false">'Dish Database'!E572</f>
        <v>West</v>
      </c>
      <c r="F2127" s="6" t="s">
        <v>103</v>
      </c>
      <c r="G2127" s="6" t="s">
        <v>2259</v>
      </c>
      <c r="H2127" s="16" t="n">
        <v>100</v>
      </c>
      <c r="I2127" s="6" t="str">
        <f aca="false">'Dish Database'!I572</f>
        <v>g</v>
      </c>
      <c r="J2127" s="13" t="n">
        <f aca="false">'Dish Database'!J572*H2127/100</f>
        <v>193</v>
      </c>
      <c r="K2127" s="17" t="n">
        <f aca="false">'Dish Database'!K572*H2127/100</f>
        <v>6</v>
      </c>
      <c r="L2127" s="17" t="n">
        <f aca="false">'Dish Database'!L572*H2127/100</f>
        <v>22</v>
      </c>
      <c r="M2127" s="17" t="n">
        <f aca="false">'Dish Database'!M572*H2127/100</f>
        <v>9</v>
      </c>
      <c r="N2127" s="17" t="n">
        <f aca="false">'Dish Database'!N572*H2127/100</f>
        <v>0</v>
      </c>
      <c r="O2127" s="17" t="n">
        <f aca="false">'Dish Database'!O572*H2127/100</f>
        <v>20</v>
      </c>
      <c r="P2127" s="13" t="n">
        <f aca="false">'Dish Database'!P572*H2127/100</f>
        <v>60</v>
      </c>
    </row>
    <row r="2128" customFormat="false" ht="15" hidden="false" customHeight="false" outlineLevel="0" collapsed="false">
      <c r="A2128" s="6" t="str">
        <f aca="false">'Dish Database'!A572</f>
        <v>D571</v>
      </c>
      <c r="B2128" s="6" t="str">
        <f aca="false">'Dish Database'!B572</f>
        <v>Basundi</v>
      </c>
      <c r="C2128" s="6" t="str">
        <f aca="false">'Dish Database'!D572</f>
        <v>Desserts (Kheer, Halwa, Ice Cream)</v>
      </c>
      <c r="D2128" s="6" t="str">
        <f aca="false">'Dish Database'!F572</f>
        <v>Veg</v>
      </c>
      <c r="E2128" s="6" t="str">
        <f aca="false">'Dish Database'!E572</f>
        <v>West</v>
      </c>
      <c r="F2128" s="6" t="s">
        <v>2246</v>
      </c>
      <c r="G2128" s="6" t="s">
        <v>2260</v>
      </c>
      <c r="H2128" s="16" t="n">
        <v>150</v>
      </c>
      <c r="I2128" s="6" t="str">
        <f aca="false">'Dish Database'!I572</f>
        <v>g</v>
      </c>
      <c r="J2128" s="13" t="n">
        <f aca="false">'Dish Database'!J572*H2128/100</f>
        <v>289.5</v>
      </c>
      <c r="K2128" s="17" t="n">
        <f aca="false">'Dish Database'!K572*H2128/100</f>
        <v>9</v>
      </c>
      <c r="L2128" s="17" t="n">
        <f aca="false">'Dish Database'!L572*H2128/100</f>
        <v>33</v>
      </c>
      <c r="M2128" s="17" t="n">
        <f aca="false">'Dish Database'!M572*H2128/100</f>
        <v>13.5</v>
      </c>
      <c r="N2128" s="17" t="n">
        <f aca="false">'Dish Database'!N572*H2128/100</f>
        <v>0</v>
      </c>
      <c r="O2128" s="17" t="n">
        <f aca="false">'Dish Database'!O572*H2128/100</f>
        <v>30</v>
      </c>
      <c r="P2128" s="13" t="n">
        <f aca="false">'Dish Database'!P572*H2128/100</f>
        <v>90</v>
      </c>
    </row>
    <row r="2129" customFormat="false" ht="15" hidden="false" customHeight="false" outlineLevel="0" collapsed="false">
      <c r="A2129" s="6" t="str">
        <f aca="false">'Dish Database'!A573</f>
        <v>D572</v>
      </c>
      <c r="B2129" s="6" t="str">
        <f aca="false">'Dish Database'!B573</f>
        <v>Shrikhand</v>
      </c>
      <c r="C2129" s="6" t="str">
        <f aca="false">'Dish Database'!D573</f>
        <v>Desserts (Kheer, Halwa, Ice Cream)</v>
      </c>
      <c r="D2129" s="6" t="str">
        <f aca="false">'Dish Database'!F573</f>
        <v>Veg</v>
      </c>
      <c r="E2129" s="6" t="str">
        <f aca="false">'Dish Database'!E573</f>
        <v>West</v>
      </c>
      <c r="F2129" s="6" t="s">
        <v>2243</v>
      </c>
      <c r="G2129" s="6" t="s">
        <v>2422</v>
      </c>
      <c r="H2129" s="16" t="n">
        <v>50</v>
      </c>
      <c r="I2129" s="6" t="str">
        <f aca="false">'Dish Database'!I573</f>
        <v>g</v>
      </c>
      <c r="J2129" s="13" t="n">
        <f aca="false">'Dish Database'!J573*H2129/100</f>
        <v>126.25</v>
      </c>
      <c r="K2129" s="17" t="n">
        <f aca="false">'Dish Database'!K573*H2129/100</f>
        <v>3</v>
      </c>
      <c r="L2129" s="17" t="n">
        <f aca="false">'Dish Database'!L573*H2129/100</f>
        <v>19</v>
      </c>
      <c r="M2129" s="17" t="n">
        <f aca="false">'Dish Database'!M573*H2129/100</f>
        <v>4.25</v>
      </c>
      <c r="N2129" s="17" t="n">
        <f aca="false">'Dish Database'!N573*H2129/100</f>
        <v>0</v>
      </c>
      <c r="O2129" s="17" t="n">
        <f aca="false">'Dish Database'!O573*H2129/100</f>
        <v>18</v>
      </c>
      <c r="P2129" s="13" t="n">
        <f aca="false">'Dish Database'!P573*H2129/100</f>
        <v>20</v>
      </c>
    </row>
    <row r="2130" customFormat="false" ht="15" hidden="false" customHeight="false" outlineLevel="0" collapsed="false">
      <c r="A2130" s="6" t="str">
        <f aca="false">'Dish Database'!A573</f>
        <v>D572</v>
      </c>
      <c r="B2130" s="6" t="str">
        <f aca="false">'Dish Database'!B573</f>
        <v>Shrikhand</v>
      </c>
      <c r="C2130" s="6" t="str">
        <f aca="false">'Dish Database'!D573</f>
        <v>Desserts (Kheer, Halwa, Ice Cream)</v>
      </c>
      <c r="D2130" s="6" t="str">
        <f aca="false">'Dish Database'!F573</f>
        <v>Veg</v>
      </c>
      <c r="E2130" s="6" t="str">
        <f aca="false">'Dish Database'!E573</f>
        <v>West</v>
      </c>
      <c r="F2130" s="6" t="s">
        <v>103</v>
      </c>
      <c r="G2130" s="6" t="s">
        <v>2259</v>
      </c>
      <c r="H2130" s="16" t="n">
        <v>100</v>
      </c>
      <c r="I2130" s="6" t="str">
        <f aca="false">'Dish Database'!I573</f>
        <v>g</v>
      </c>
      <c r="J2130" s="13" t="n">
        <f aca="false">'Dish Database'!J573*H2130/100</f>
        <v>252.5</v>
      </c>
      <c r="K2130" s="17" t="n">
        <f aca="false">'Dish Database'!K573*H2130/100</f>
        <v>6</v>
      </c>
      <c r="L2130" s="17" t="n">
        <f aca="false">'Dish Database'!L573*H2130/100</f>
        <v>38</v>
      </c>
      <c r="M2130" s="17" t="n">
        <f aca="false">'Dish Database'!M573*H2130/100</f>
        <v>8.5</v>
      </c>
      <c r="N2130" s="17" t="n">
        <f aca="false">'Dish Database'!N573*H2130/100</f>
        <v>0</v>
      </c>
      <c r="O2130" s="17" t="n">
        <f aca="false">'Dish Database'!O573*H2130/100</f>
        <v>36</v>
      </c>
      <c r="P2130" s="13" t="n">
        <f aca="false">'Dish Database'!P573*H2130/100</f>
        <v>40</v>
      </c>
    </row>
    <row r="2131" customFormat="false" ht="15" hidden="false" customHeight="false" outlineLevel="0" collapsed="false">
      <c r="A2131" s="6" t="str">
        <f aca="false">'Dish Database'!A573</f>
        <v>D572</v>
      </c>
      <c r="B2131" s="6" t="str">
        <f aca="false">'Dish Database'!B573</f>
        <v>Shrikhand</v>
      </c>
      <c r="C2131" s="6" t="str">
        <f aca="false">'Dish Database'!D573</f>
        <v>Desserts (Kheer, Halwa, Ice Cream)</v>
      </c>
      <c r="D2131" s="6" t="str">
        <f aca="false">'Dish Database'!F573</f>
        <v>Veg</v>
      </c>
      <c r="E2131" s="6" t="str">
        <f aca="false">'Dish Database'!E573</f>
        <v>West</v>
      </c>
      <c r="F2131" s="6" t="s">
        <v>2246</v>
      </c>
      <c r="G2131" s="6" t="s">
        <v>2260</v>
      </c>
      <c r="H2131" s="16" t="n">
        <v>150</v>
      </c>
      <c r="I2131" s="6" t="str">
        <f aca="false">'Dish Database'!I573</f>
        <v>g</v>
      </c>
      <c r="J2131" s="13" t="n">
        <f aca="false">'Dish Database'!J573*H2131/100</f>
        <v>378.75</v>
      </c>
      <c r="K2131" s="17" t="n">
        <f aca="false">'Dish Database'!K573*H2131/100</f>
        <v>9</v>
      </c>
      <c r="L2131" s="17" t="n">
        <f aca="false">'Dish Database'!L573*H2131/100</f>
        <v>57</v>
      </c>
      <c r="M2131" s="17" t="n">
        <f aca="false">'Dish Database'!M573*H2131/100</f>
        <v>12.75</v>
      </c>
      <c r="N2131" s="17" t="n">
        <f aca="false">'Dish Database'!N573*H2131/100</f>
        <v>0</v>
      </c>
      <c r="O2131" s="17" t="n">
        <f aca="false">'Dish Database'!O573*H2131/100</f>
        <v>54</v>
      </c>
      <c r="P2131" s="13" t="n">
        <f aca="false">'Dish Database'!P573*H2131/100</f>
        <v>60</v>
      </c>
    </row>
    <row r="2132" customFormat="false" ht="15" hidden="false" customHeight="false" outlineLevel="0" collapsed="false">
      <c r="A2132" s="6" t="str">
        <f aca="false">'Dish Database'!A574</f>
        <v>D573</v>
      </c>
      <c r="B2132" s="6" t="str">
        <f aca="false">'Dish Database'!B574</f>
        <v>Kulfi (malai)</v>
      </c>
      <c r="C2132" s="6" t="str">
        <f aca="false">'Dish Database'!D574</f>
        <v>Desserts (Kheer, Halwa, Ice Cream)</v>
      </c>
      <c r="D2132" s="6" t="str">
        <f aca="false">'Dish Database'!F574</f>
        <v>Veg</v>
      </c>
      <c r="E2132" s="6" t="str">
        <f aca="false">'Dish Database'!E574</f>
        <v>North</v>
      </c>
      <c r="F2132" s="6" t="s">
        <v>2243</v>
      </c>
      <c r="G2132" s="6" t="s">
        <v>2697</v>
      </c>
      <c r="H2132" s="16" t="n">
        <v>50</v>
      </c>
      <c r="I2132" s="6" t="str">
        <f aca="false">'Dish Database'!I574</f>
        <v>g</v>
      </c>
      <c r="J2132" s="13" t="n">
        <f aca="false">'Dish Database'!J574*H2132/100</f>
        <v>107.5</v>
      </c>
      <c r="K2132" s="17" t="n">
        <f aca="false">'Dish Database'!K574*H2132/100</f>
        <v>2.5</v>
      </c>
      <c r="L2132" s="17" t="n">
        <f aca="false">'Dish Database'!L574*H2132/100</f>
        <v>12</v>
      </c>
      <c r="M2132" s="17" t="n">
        <f aca="false">'Dish Database'!M574*H2132/100</f>
        <v>5.5</v>
      </c>
      <c r="N2132" s="17" t="n">
        <f aca="false">'Dish Database'!N574*H2132/100</f>
        <v>0</v>
      </c>
      <c r="O2132" s="17" t="n">
        <f aca="false">'Dish Database'!O574*H2132/100</f>
        <v>10</v>
      </c>
      <c r="P2132" s="13" t="n">
        <f aca="false">'Dish Database'!P574*H2132/100</f>
        <v>30</v>
      </c>
    </row>
    <row r="2133" customFormat="false" ht="15" hidden="false" customHeight="false" outlineLevel="0" collapsed="false">
      <c r="A2133" s="6" t="str">
        <f aca="false">'Dish Database'!A574</f>
        <v>D573</v>
      </c>
      <c r="B2133" s="6" t="str">
        <f aca="false">'Dish Database'!B574</f>
        <v>Kulfi (malai)</v>
      </c>
      <c r="C2133" s="6" t="str">
        <f aca="false">'Dish Database'!D574</f>
        <v>Desserts (Kheer, Halwa, Ice Cream)</v>
      </c>
      <c r="D2133" s="6" t="str">
        <f aca="false">'Dish Database'!F574</f>
        <v>Veg</v>
      </c>
      <c r="E2133" s="6" t="str">
        <f aca="false">'Dish Database'!E574</f>
        <v>North</v>
      </c>
      <c r="F2133" s="6" t="s">
        <v>103</v>
      </c>
      <c r="G2133" s="6" t="s">
        <v>2698</v>
      </c>
      <c r="H2133" s="16" t="n">
        <v>70</v>
      </c>
      <c r="I2133" s="6" t="str">
        <f aca="false">'Dish Database'!I574</f>
        <v>g</v>
      </c>
      <c r="J2133" s="13" t="n">
        <f aca="false">'Dish Database'!J574*H2133/100</f>
        <v>150.5</v>
      </c>
      <c r="K2133" s="17" t="n">
        <f aca="false">'Dish Database'!K574*H2133/100</f>
        <v>3.5</v>
      </c>
      <c r="L2133" s="17" t="n">
        <f aca="false">'Dish Database'!L574*H2133/100</f>
        <v>16.8</v>
      </c>
      <c r="M2133" s="17" t="n">
        <f aca="false">'Dish Database'!M574*H2133/100</f>
        <v>7.7</v>
      </c>
      <c r="N2133" s="17" t="n">
        <f aca="false">'Dish Database'!N574*H2133/100</f>
        <v>0</v>
      </c>
      <c r="O2133" s="17" t="n">
        <f aca="false">'Dish Database'!O574*H2133/100</f>
        <v>14</v>
      </c>
      <c r="P2133" s="13" t="n">
        <f aca="false">'Dish Database'!P574*H2133/100</f>
        <v>42</v>
      </c>
    </row>
    <row r="2134" customFormat="false" ht="15" hidden="false" customHeight="false" outlineLevel="0" collapsed="false">
      <c r="A2134" s="6" t="str">
        <f aca="false">'Dish Database'!A574</f>
        <v>D573</v>
      </c>
      <c r="B2134" s="6" t="str">
        <f aca="false">'Dish Database'!B574</f>
        <v>Kulfi (malai)</v>
      </c>
      <c r="C2134" s="6" t="str">
        <f aca="false">'Dish Database'!D574</f>
        <v>Desserts (Kheer, Halwa, Ice Cream)</v>
      </c>
      <c r="D2134" s="6" t="str">
        <f aca="false">'Dish Database'!F574</f>
        <v>Veg</v>
      </c>
      <c r="E2134" s="6" t="str">
        <f aca="false">'Dish Database'!E574</f>
        <v>North</v>
      </c>
      <c r="F2134" s="6" t="s">
        <v>2246</v>
      </c>
      <c r="G2134" s="6" t="s">
        <v>2699</v>
      </c>
      <c r="H2134" s="16" t="n">
        <v>100</v>
      </c>
      <c r="I2134" s="6" t="str">
        <f aca="false">'Dish Database'!I574</f>
        <v>g</v>
      </c>
      <c r="J2134" s="13" t="n">
        <f aca="false">'Dish Database'!J574*H2134/100</f>
        <v>215</v>
      </c>
      <c r="K2134" s="17" t="n">
        <f aca="false">'Dish Database'!K574*H2134/100</f>
        <v>5</v>
      </c>
      <c r="L2134" s="17" t="n">
        <f aca="false">'Dish Database'!L574*H2134/100</f>
        <v>24</v>
      </c>
      <c r="M2134" s="17" t="n">
        <f aca="false">'Dish Database'!M574*H2134/100</f>
        <v>11</v>
      </c>
      <c r="N2134" s="17" t="n">
        <f aca="false">'Dish Database'!N574*H2134/100</f>
        <v>0</v>
      </c>
      <c r="O2134" s="17" t="n">
        <f aca="false">'Dish Database'!O574*H2134/100</f>
        <v>20</v>
      </c>
      <c r="P2134" s="13" t="n">
        <f aca="false">'Dish Database'!P574*H2134/100</f>
        <v>60</v>
      </c>
    </row>
    <row r="2135" customFormat="false" ht="15" hidden="false" customHeight="false" outlineLevel="0" collapsed="false">
      <c r="A2135" s="6" t="str">
        <f aca="false">'Dish Database'!A575</f>
        <v>D574</v>
      </c>
      <c r="B2135" s="6" t="str">
        <f aca="false">'Dish Database'!B575</f>
        <v>Ice cream (vanilla)</v>
      </c>
      <c r="C2135" s="6" t="str">
        <f aca="false">'Dish Database'!D575</f>
        <v>Desserts (Kheer, Halwa, Ice Cream)</v>
      </c>
      <c r="D2135" s="6" t="str">
        <f aca="false">'Dish Database'!F575</f>
        <v>Veg</v>
      </c>
      <c r="E2135" s="6" t="str">
        <f aca="false">'Dish Database'!E575</f>
        <v>Pan-India</v>
      </c>
      <c r="F2135" s="6" t="s">
        <v>2243</v>
      </c>
      <c r="G2135" s="6" t="s">
        <v>2700</v>
      </c>
      <c r="H2135" s="16" t="n">
        <v>50</v>
      </c>
      <c r="I2135" s="6" t="str">
        <f aca="false">'Dish Database'!I575</f>
        <v>g</v>
      </c>
      <c r="J2135" s="13" t="n">
        <f aca="false">'Dish Database'!J575*H2135/100</f>
        <v>104.5</v>
      </c>
      <c r="K2135" s="17" t="n">
        <f aca="false">'Dish Database'!K575*H2135/100</f>
        <v>1.75</v>
      </c>
      <c r="L2135" s="17" t="n">
        <f aca="false">'Dish Database'!L575*H2135/100</f>
        <v>12</v>
      </c>
      <c r="M2135" s="17" t="n">
        <f aca="false">'Dish Database'!M575*H2135/100</f>
        <v>5.5</v>
      </c>
      <c r="N2135" s="17" t="n">
        <f aca="false">'Dish Database'!N575*H2135/100</f>
        <v>0</v>
      </c>
      <c r="O2135" s="17" t="n">
        <f aca="false">'Dish Database'!O575*H2135/100</f>
        <v>10.5</v>
      </c>
      <c r="P2135" s="13" t="n">
        <f aca="false">'Dish Database'!P575*H2135/100</f>
        <v>40</v>
      </c>
    </row>
    <row r="2136" customFormat="false" ht="15" hidden="false" customHeight="false" outlineLevel="0" collapsed="false">
      <c r="A2136" s="6" t="str">
        <f aca="false">'Dish Database'!A575</f>
        <v>D574</v>
      </c>
      <c r="B2136" s="6" t="str">
        <f aca="false">'Dish Database'!B575</f>
        <v>Ice cream (vanilla)</v>
      </c>
      <c r="C2136" s="6" t="str">
        <f aca="false">'Dish Database'!D575</f>
        <v>Desserts (Kheer, Halwa, Ice Cream)</v>
      </c>
      <c r="D2136" s="6" t="str">
        <f aca="false">'Dish Database'!F575</f>
        <v>Veg</v>
      </c>
      <c r="E2136" s="6" t="str">
        <f aca="false">'Dish Database'!E575</f>
        <v>Pan-India</v>
      </c>
      <c r="F2136" s="6" t="s">
        <v>103</v>
      </c>
      <c r="G2136" s="6" t="s">
        <v>2701</v>
      </c>
      <c r="H2136" s="16" t="n">
        <v>75</v>
      </c>
      <c r="I2136" s="6" t="str">
        <f aca="false">'Dish Database'!I575</f>
        <v>g</v>
      </c>
      <c r="J2136" s="13" t="n">
        <f aca="false">'Dish Database'!J575*H2136/100</f>
        <v>156.75</v>
      </c>
      <c r="K2136" s="17" t="n">
        <f aca="false">'Dish Database'!K575*H2136/100</f>
        <v>2.625</v>
      </c>
      <c r="L2136" s="17" t="n">
        <f aca="false">'Dish Database'!L575*H2136/100</f>
        <v>18</v>
      </c>
      <c r="M2136" s="17" t="n">
        <f aca="false">'Dish Database'!M575*H2136/100</f>
        <v>8.25</v>
      </c>
      <c r="N2136" s="17" t="n">
        <f aca="false">'Dish Database'!N575*H2136/100</f>
        <v>0</v>
      </c>
      <c r="O2136" s="17" t="n">
        <f aca="false">'Dish Database'!O575*H2136/100</f>
        <v>15.75</v>
      </c>
      <c r="P2136" s="13" t="n">
        <f aca="false">'Dish Database'!P575*H2136/100</f>
        <v>60</v>
      </c>
    </row>
    <row r="2137" customFormat="false" ht="15" hidden="false" customHeight="false" outlineLevel="0" collapsed="false">
      <c r="A2137" s="6" t="str">
        <f aca="false">'Dish Database'!A575</f>
        <v>D574</v>
      </c>
      <c r="B2137" s="6" t="str">
        <f aca="false">'Dish Database'!B575</f>
        <v>Ice cream (vanilla)</v>
      </c>
      <c r="C2137" s="6" t="str">
        <f aca="false">'Dish Database'!D575</f>
        <v>Desserts (Kheer, Halwa, Ice Cream)</v>
      </c>
      <c r="D2137" s="6" t="str">
        <f aca="false">'Dish Database'!F575</f>
        <v>Veg</v>
      </c>
      <c r="E2137" s="6" t="str">
        <f aca="false">'Dish Database'!E575</f>
        <v>Pan-India</v>
      </c>
      <c r="F2137" s="6" t="s">
        <v>2246</v>
      </c>
      <c r="G2137" s="6" t="s">
        <v>2702</v>
      </c>
      <c r="H2137" s="16" t="n">
        <v>100</v>
      </c>
      <c r="I2137" s="6" t="str">
        <f aca="false">'Dish Database'!I575</f>
        <v>g</v>
      </c>
      <c r="J2137" s="13" t="n">
        <f aca="false">'Dish Database'!J575*H2137/100</f>
        <v>209</v>
      </c>
      <c r="K2137" s="17" t="n">
        <f aca="false">'Dish Database'!K575*H2137/100</f>
        <v>3.5</v>
      </c>
      <c r="L2137" s="17" t="n">
        <f aca="false">'Dish Database'!L575*H2137/100</f>
        <v>24</v>
      </c>
      <c r="M2137" s="17" t="n">
        <f aca="false">'Dish Database'!M575*H2137/100</f>
        <v>11</v>
      </c>
      <c r="N2137" s="17" t="n">
        <f aca="false">'Dish Database'!N575*H2137/100</f>
        <v>0</v>
      </c>
      <c r="O2137" s="17" t="n">
        <f aca="false">'Dish Database'!O575*H2137/100</f>
        <v>21</v>
      </c>
      <c r="P2137" s="13" t="n">
        <f aca="false">'Dish Database'!P575*H2137/100</f>
        <v>80</v>
      </c>
    </row>
    <row r="2138" customFormat="false" ht="15" hidden="false" customHeight="false" outlineLevel="0" collapsed="false">
      <c r="A2138" s="6" t="str">
        <f aca="false">'Dish Database'!A576</f>
        <v>D575</v>
      </c>
      <c r="B2138" s="6" t="str">
        <f aca="false">'Dish Database'!B576</f>
        <v>Fruit custard</v>
      </c>
      <c r="C2138" s="6" t="str">
        <f aca="false">'Dish Database'!D576</f>
        <v>Desserts (Kheer, Halwa, Ice Cream)</v>
      </c>
      <c r="D2138" s="6" t="str">
        <f aca="false">'Dish Database'!F576</f>
        <v>Veg</v>
      </c>
      <c r="E2138" s="6" t="str">
        <f aca="false">'Dish Database'!E576</f>
        <v>Pan-India</v>
      </c>
      <c r="F2138" s="6" t="s">
        <v>2243</v>
      </c>
      <c r="G2138" s="6" t="s">
        <v>2259</v>
      </c>
      <c r="H2138" s="16" t="n">
        <v>100</v>
      </c>
      <c r="I2138" s="6" t="str">
        <f aca="false">'Dish Database'!I576</f>
        <v>g</v>
      </c>
      <c r="J2138" s="13" t="n">
        <f aca="false">'Dish Database'!J576*H2138/100</f>
        <v>109.4</v>
      </c>
      <c r="K2138" s="17" t="n">
        <f aca="false">'Dish Database'!K576*H2138/100</f>
        <v>3</v>
      </c>
      <c r="L2138" s="17" t="n">
        <f aca="false">'Dish Database'!L576*H2138/100</f>
        <v>18</v>
      </c>
      <c r="M2138" s="17" t="n">
        <f aca="false">'Dish Database'!M576*H2138/100</f>
        <v>3</v>
      </c>
      <c r="N2138" s="17" t="n">
        <f aca="false">'Dish Database'!N576*H2138/100</f>
        <v>0.8</v>
      </c>
      <c r="O2138" s="17" t="n">
        <f aca="false">'Dish Database'!O576*H2138/100</f>
        <v>14</v>
      </c>
      <c r="P2138" s="13" t="n">
        <f aca="false">'Dish Database'!P576*H2138/100</f>
        <v>45</v>
      </c>
    </row>
    <row r="2139" customFormat="false" ht="15" hidden="false" customHeight="false" outlineLevel="0" collapsed="false">
      <c r="A2139" s="6" t="str">
        <f aca="false">'Dish Database'!A576</f>
        <v>D575</v>
      </c>
      <c r="B2139" s="6" t="str">
        <f aca="false">'Dish Database'!B576</f>
        <v>Fruit custard</v>
      </c>
      <c r="C2139" s="6" t="str">
        <f aca="false">'Dish Database'!D576</f>
        <v>Desserts (Kheer, Halwa, Ice Cream)</v>
      </c>
      <c r="D2139" s="6" t="str">
        <f aca="false">'Dish Database'!F576</f>
        <v>Veg</v>
      </c>
      <c r="E2139" s="6" t="str">
        <f aca="false">'Dish Database'!E576</f>
        <v>Pan-India</v>
      </c>
      <c r="F2139" s="6" t="s">
        <v>103</v>
      </c>
      <c r="G2139" s="6" t="s">
        <v>2260</v>
      </c>
      <c r="H2139" s="16" t="n">
        <v>150</v>
      </c>
      <c r="I2139" s="6" t="str">
        <f aca="false">'Dish Database'!I576</f>
        <v>g</v>
      </c>
      <c r="J2139" s="13" t="n">
        <f aca="false">'Dish Database'!J576*H2139/100</f>
        <v>164.1</v>
      </c>
      <c r="K2139" s="17" t="n">
        <f aca="false">'Dish Database'!K576*H2139/100</f>
        <v>4.5</v>
      </c>
      <c r="L2139" s="17" t="n">
        <f aca="false">'Dish Database'!L576*H2139/100</f>
        <v>27</v>
      </c>
      <c r="M2139" s="17" t="n">
        <f aca="false">'Dish Database'!M576*H2139/100</f>
        <v>4.5</v>
      </c>
      <c r="N2139" s="17" t="n">
        <f aca="false">'Dish Database'!N576*H2139/100</f>
        <v>1.2</v>
      </c>
      <c r="O2139" s="17" t="n">
        <f aca="false">'Dish Database'!O576*H2139/100</f>
        <v>21</v>
      </c>
      <c r="P2139" s="13" t="n">
        <f aca="false">'Dish Database'!P576*H2139/100</f>
        <v>67.5</v>
      </c>
    </row>
    <row r="2140" customFormat="false" ht="15" hidden="false" customHeight="false" outlineLevel="0" collapsed="false">
      <c r="A2140" s="6" t="str">
        <f aca="false">'Dish Database'!A576</f>
        <v>D575</v>
      </c>
      <c r="B2140" s="6" t="str">
        <f aca="false">'Dish Database'!B576</f>
        <v>Fruit custard</v>
      </c>
      <c r="C2140" s="6" t="str">
        <f aca="false">'Dish Database'!D576</f>
        <v>Desserts (Kheer, Halwa, Ice Cream)</v>
      </c>
      <c r="D2140" s="6" t="str">
        <f aca="false">'Dish Database'!F576</f>
        <v>Veg</v>
      </c>
      <c r="E2140" s="6" t="str">
        <f aca="false">'Dish Database'!E576</f>
        <v>Pan-India</v>
      </c>
      <c r="F2140" s="6" t="s">
        <v>2246</v>
      </c>
      <c r="G2140" s="6" t="s">
        <v>2261</v>
      </c>
      <c r="H2140" s="16" t="n">
        <v>200</v>
      </c>
      <c r="I2140" s="6" t="str">
        <f aca="false">'Dish Database'!I576</f>
        <v>g</v>
      </c>
      <c r="J2140" s="13" t="n">
        <f aca="false">'Dish Database'!J576*H2140/100</f>
        <v>218.8</v>
      </c>
      <c r="K2140" s="17" t="n">
        <f aca="false">'Dish Database'!K576*H2140/100</f>
        <v>6</v>
      </c>
      <c r="L2140" s="17" t="n">
        <f aca="false">'Dish Database'!L576*H2140/100</f>
        <v>36</v>
      </c>
      <c r="M2140" s="17" t="n">
        <f aca="false">'Dish Database'!M576*H2140/100</f>
        <v>6</v>
      </c>
      <c r="N2140" s="17" t="n">
        <f aca="false">'Dish Database'!N576*H2140/100</f>
        <v>1.6</v>
      </c>
      <c r="O2140" s="17" t="n">
        <f aca="false">'Dish Database'!O576*H2140/100</f>
        <v>28</v>
      </c>
      <c r="P2140" s="13" t="n">
        <f aca="false">'Dish Database'!P576*H2140/100</f>
        <v>90</v>
      </c>
    </row>
    <row r="2141" customFormat="false" ht="15" hidden="false" customHeight="false" outlineLevel="0" collapsed="false">
      <c r="A2141" s="6" t="str">
        <f aca="false">'Dish Database'!A577</f>
        <v>D576</v>
      </c>
      <c r="B2141" s="6" t="str">
        <f aca="false">'Dish Database'!B577</f>
        <v>Caramel custard</v>
      </c>
      <c r="C2141" s="6" t="str">
        <f aca="false">'Dish Database'!D577</f>
        <v>Desserts (Kheer, Halwa, Ice Cream)</v>
      </c>
      <c r="D2141" s="6" t="str">
        <f aca="false">'Dish Database'!F577</f>
        <v>Egg</v>
      </c>
      <c r="E2141" s="6" t="str">
        <f aca="false">'Dish Database'!E577</f>
        <v>Pan-India</v>
      </c>
      <c r="F2141" s="6" t="s">
        <v>2243</v>
      </c>
      <c r="G2141" s="6" t="s">
        <v>2259</v>
      </c>
      <c r="H2141" s="16" t="n">
        <v>100</v>
      </c>
      <c r="I2141" s="6" t="str">
        <f aca="false">'Dish Database'!I577</f>
        <v>g</v>
      </c>
      <c r="J2141" s="13" t="n">
        <f aca="false">'Dish Database'!J577*H2141/100</f>
        <v>134</v>
      </c>
      <c r="K2141" s="17" t="n">
        <f aca="false">'Dish Database'!K577*H2141/100</f>
        <v>4.5</v>
      </c>
      <c r="L2141" s="17" t="n">
        <f aca="false">'Dish Database'!L577*H2141/100</f>
        <v>20</v>
      </c>
      <c r="M2141" s="17" t="n">
        <f aca="false">'Dish Database'!M577*H2141/100</f>
        <v>4</v>
      </c>
      <c r="N2141" s="17" t="n">
        <f aca="false">'Dish Database'!N577*H2141/100</f>
        <v>0</v>
      </c>
      <c r="O2141" s="17" t="n">
        <f aca="false">'Dish Database'!O577*H2141/100</f>
        <v>18</v>
      </c>
      <c r="P2141" s="13" t="n">
        <f aca="false">'Dish Database'!P577*H2141/100</f>
        <v>60</v>
      </c>
    </row>
    <row r="2142" customFormat="false" ht="15" hidden="false" customHeight="false" outlineLevel="0" collapsed="false">
      <c r="A2142" s="6" t="str">
        <f aca="false">'Dish Database'!A577</f>
        <v>D576</v>
      </c>
      <c r="B2142" s="6" t="str">
        <f aca="false">'Dish Database'!B577</f>
        <v>Caramel custard</v>
      </c>
      <c r="C2142" s="6" t="str">
        <f aca="false">'Dish Database'!D577</f>
        <v>Desserts (Kheer, Halwa, Ice Cream)</v>
      </c>
      <c r="D2142" s="6" t="str">
        <f aca="false">'Dish Database'!F577</f>
        <v>Egg</v>
      </c>
      <c r="E2142" s="6" t="str">
        <f aca="false">'Dish Database'!E577</f>
        <v>Pan-India</v>
      </c>
      <c r="F2142" s="6" t="s">
        <v>103</v>
      </c>
      <c r="G2142" s="6" t="s">
        <v>2260</v>
      </c>
      <c r="H2142" s="16" t="n">
        <v>150</v>
      </c>
      <c r="I2142" s="6" t="str">
        <f aca="false">'Dish Database'!I577</f>
        <v>g</v>
      </c>
      <c r="J2142" s="13" t="n">
        <f aca="false">'Dish Database'!J577*H2142/100</f>
        <v>201</v>
      </c>
      <c r="K2142" s="17" t="n">
        <f aca="false">'Dish Database'!K577*H2142/100</f>
        <v>6.75</v>
      </c>
      <c r="L2142" s="17" t="n">
        <f aca="false">'Dish Database'!L577*H2142/100</f>
        <v>30</v>
      </c>
      <c r="M2142" s="17" t="n">
        <f aca="false">'Dish Database'!M577*H2142/100</f>
        <v>6</v>
      </c>
      <c r="N2142" s="17" t="n">
        <f aca="false">'Dish Database'!N577*H2142/100</f>
        <v>0</v>
      </c>
      <c r="O2142" s="17" t="n">
        <f aca="false">'Dish Database'!O577*H2142/100</f>
        <v>27</v>
      </c>
      <c r="P2142" s="13" t="n">
        <f aca="false">'Dish Database'!P577*H2142/100</f>
        <v>90</v>
      </c>
    </row>
    <row r="2143" customFormat="false" ht="15" hidden="false" customHeight="false" outlineLevel="0" collapsed="false">
      <c r="A2143" s="6" t="str">
        <f aca="false">'Dish Database'!A577</f>
        <v>D576</v>
      </c>
      <c r="B2143" s="6" t="str">
        <f aca="false">'Dish Database'!B577</f>
        <v>Caramel custard</v>
      </c>
      <c r="C2143" s="6" t="str">
        <f aca="false">'Dish Database'!D577</f>
        <v>Desserts (Kheer, Halwa, Ice Cream)</v>
      </c>
      <c r="D2143" s="6" t="str">
        <f aca="false">'Dish Database'!F577</f>
        <v>Egg</v>
      </c>
      <c r="E2143" s="6" t="str">
        <f aca="false">'Dish Database'!E577</f>
        <v>Pan-India</v>
      </c>
      <c r="F2143" s="6" t="s">
        <v>2246</v>
      </c>
      <c r="G2143" s="6" t="s">
        <v>2261</v>
      </c>
      <c r="H2143" s="16" t="n">
        <v>200</v>
      </c>
      <c r="I2143" s="6" t="str">
        <f aca="false">'Dish Database'!I577</f>
        <v>g</v>
      </c>
      <c r="J2143" s="13" t="n">
        <f aca="false">'Dish Database'!J577*H2143/100</f>
        <v>268</v>
      </c>
      <c r="K2143" s="17" t="n">
        <f aca="false">'Dish Database'!K577*H2143/100</f>
        <v>9</v>
      </c>
      <c r="L2143" s="17" t="n">
        <f aca="false">'Dish Database'!L577*H2143/100</f>
        <v>40</v>
      </c>
      <c r="M2143" s="17" t="n">
        <f aca="false">'Dish Database'!M577*H2143/100</f>
        <v>8</v>
      </c>
      <c r="N2143" s="17" t="n">
        <f aca="false">'Dish Database'!N577*H2143/100</f>
        <v>0</v>
      </c>
      <c r="O2143" s="17" t="n">
        <f aca="false">'Dish Database'!O577*H2143/100</f>
        <v>36</v>
      </c>
      <c r="P2143" s="13" t="n">
        <f aca="false">'Dish Database'!P577*H2143/100</f>
        <v>120</v>
      </c>
    </row>
    <row r="2144" customFormat="false" ht="15" hidden="false" customHeight="false" outlineLevel="0" collapsed="false">
      <c r="A2144" s="6" t="str">
        <f aca="false">'Dish Database'!A578</f>
        <v>D577</v>
      </c>
      <c r="B2144" s="6" t="str">
        <f aca="false">'Dish Database'!B578</f>
        <v>Ghee</v>
      </c>
      <c r="C2144" s="6" t="str">
        <f aca="false">'Dish Database'!D578</f>
        <v>Basics &amp; Add-ons</v>
      </c>
      <c r="D2144" s="6" t="str">
        <f aca="false">'Dish Database'!F578</f>
        <v>Veg</v>
      </c>
      <c r="E2144" s="6" t="str">
        <f aca="false">'Dish Database'!E578</f>
        <v>Pan-India</v>
      </c>
      <c r="F2144" s="6" t="s">
        <v>2243</v>
      </c>
      <c r="G2144" s="6" t="s">
        <v>2622</v>
      </c>
      <c r="H2144" s="16" t="n">
        <v>5</v>
      </c>
      <c r="I2144" s="6" t="str">
        <f aca="false">'Dish Database'!I578</f>
        <v>g</v>
      </c>
      <c r="J2144" s="13" t="n">
        <f aca="false">'Dish Database'!J578*H2144/100</f>
        <v>44.91</v>
      </c>
      <c r="K2144" s="17" t="n">
        <f aca="false">'Dish Database'!K578*H2144/100</f>
        <v>0</v>
      </c>
      <c r="L2144" s="17" t="n">
        <f aca="false">'Dish Database'!L578*H2144/100</f>
        <v>0</v>
      </c>
      <c r="M2144" s="17" t="n">
        <f aca="false">'Dish Database'!M578*H2144/100</f>
        <v>4.99</v>
      </c>
      <c r="N2144" s="17" t="n">
        <f aca="false">'Dish Database'!N578*H2144/100</f>
        <v>0</v>
      </c>
      <c r="O2144" s="17" t="n">
        <f aca="false">'Dish Database'!O578*H2144/100</f>
        <v>0</v>
      </c>
      <c r="P2144" s="13" t="n">
        <f aca="false">'Dish Database'!P578*H2144/100</f>
        <v>0.1</v>
      </c>
    </row>
    <row r="2145" customFormat="false" ht="15" hidden="false" customHeight="false" outlineLevel="0" collapsed="false">
      <c r="A2145" s="6" t="str">
        <f aca="false">'Dish Database'!A578</f>
        <v>D577</v>
      </c>
      <c r="B2145" s="6" t="str">
        <f aca="false">'Dish Database'!B578</f>
        <v>Ghee</v>
      </c>
      <c r="C2145" s="6" t="str">
        <f aca="false">'Dish Database'!D578</f>
        <v>Basics &amp; Add-ons</v>
      </c>
      <c r="D2145" s="6" t="str">
        <f aca="false">'Dish Database'!F578</f>
        <v>Veg</v>
      </c>
      <c r="E2145" s="6" t="str">
        <f aca="false">'Dish Database'!E578</f>
        <v>Pan-India</v>
      </c>
      <c r="F2145" s="6" t="s">
        <v>103</v>
      </c>
      <c r="G2145" s="6" t="s">
        <v>2623</v>
      </c>
      <c r="H2145" s="16" t="n">
        <v>10</v>
      </c>
      <c r="I2145" s="6" t="str">
        <f aca="false">'Dish Database'!I578</f>
        <v>g</v>
      </c>
      <c r="J2145" s="13" t="n">
        <f aca="false">'Dish Database'!J578*H2145/100</f>
        <v>89.82</v>
      </c>
      <c r="K2145" s="17" t="n">
        <f aca="false">'Dish Database'!K578*H2145/100</f>
        <v>0</v>
      </c>
      <c r="L2145" s="17" t="n">
        <f aca="false">'Dish Database'!L578*H2145/100</f>
        <v>0</v>
      </c>
      <c r="M2145" s="17" t="n">
        <f aca="false">'Dish Database'!M578*H2145/100</f>
        <v>9.98</v>
      </c>
      <c r="N2145" s="17" t="n">
        <f aca="false">'Dish Database'!N578*H2145/100</f>
        <v>0</v>
      </c>
      <c r="O2145" s="17" t="n">
        <f aca="false">'Dish Database'!O578*H2145/100</f>
        <v>0</v>
      </c>
      <c r="P2145" s="13" t="n">
        <f aca="false">'Dish Database'!P578*H2145/100</f>
        <v>0.2</v>
      </c>
    </row>
    <row r="2146" customFormat="false" ht="15" hidden="false" customHeight="false" outlineLevel="0" collapsed="false">
      <c r="A2146" s="6" t="str">
        <f aca="false">'Dish Database'!A578</f>
        <v>D577</v>
      </c>
      <c r="B2146" s="6" t="str">
        <f aca="false">'Dish Database'!B578</f>
        <v>Ghee</v>
      </c>
      <c r="C2146" s="6" t="str">
        <f aca="false">'Dish Database'!D578</f>
        <v>Basics &amp; Add-ons</v>
      </c>
      <c r="D2146" s="6" t="str">
        <f aca="false">'Dish Database'!F578</f>
        <v>Veg</v>
      </c>
      <c r="E2146" s="6" t="str">
        <f aca="false">'Dish Database'!E578</f>
        <v>Pan-India</v>
      </c>
      <c r="F2146" s="6" t="s">
        <v>2246</v>
      </c>
      <c r="G2146" s="6" t="s">
        <v>2620</v>
      </c>
      <c r="H2146" s="16" t="n">
        <v>15</v>
      </c>
      <c r="I2146" s="6" t="str">
        <f aca="false">'Dish Database'!I578</f>
        <v>g</v>
      </c>
      <c r="J2146" s="13" t="n">
        <f aca="false">'Dish Database'!J578*H2146/100</f>
        <v>134.73</v>
      </c>
      <c r="K2146" s="17" t="n">
        <f aca="false">'Dish Database'!K578*H2146/100</f>
        <v>0</v>
      </c>
      <c r="L2146" s="17" t="n">
        <f aca="false">'Dish Database'!L578*H2146/100</f>
        <v>0</v>
      </c>
      <c r="M2146" s="17" t="n">
        <f aca="false">'Dish Database'!M578*H2146/100</f>
        <v>14.97</v>
      </c>
      <c r="N2146" s="17" t="n">
        <f aca="false">'Dish Database'!N578*H2146/100</f>
        <v>0</v>
      </c>
      <c r="O2146" s="17" t="n">
        <f aca="false">'Dish Database'!O578*H2146/100</f>
        <v>0</v>
      </c>
      <c r="P2146" s="13" t="n">
        <f aca="false">'Dish Database'!P578*H2146/100</f>
        <v>0.3</v>
      </c>
    </row>
    <row r="2147" customFormat="false" ht="15" hidden="false" customHeight="false" outlineLevel="0" collapsed="false">
      <c r="A2147" s="6" t="str">
        <f aca="false">'Dish Database'!A579</f>
        <v>D578</v>
      </c>
      <c r="B2147" s="6" t="str">
        <f aca="false">'Dish Database'!B579</f>
        <v>Cooking oil (any)</v>
      </c>
      <c r="C2147" s="6" t="str">
        <f aca="false">'Dish Database'!D579</f>
        <v>Basics &amp; Add-ons</v>
      </c>
      <c r="D2147" s="6" t="str">
        <f aca="false">'Dish Database'!F579</f>
        <v>Veg</v>
      </c>
      <c r="E2147" s="6" t="str">
        <f aca="false">'Dish Database'!E579</f>
        <v>Pan-India</v>
      </c>
      <c r="F2147" s="6" t="s">
        <v>2243</v>
      </c>
      <c r="G2147" s="6" t="s">
        <v>2622</v>
      </c>
      <c r="H2147" s="16" t="n">
        <v>5</v>
      </c>
      <c r="I2147" s="6" t="str">
        <f aca="false">'Dish Database'!I579</f>
        <v>g</v>
      </c>
      <c r="J2147" s="13" t="n">
        <f aca="false">'Dish Database'!J579*H2147/100</f>
        <v>45</v>
      </c>
      <c r="K2147" s="17" t="n">
        <f aca="false">'Dish Database'!K579*H2147/100</f>
        <v>0</v>
      </c>
      <c r="L2147" s="17" t="n">
        <f aca="false">'Dish Database'!L579*H2147/100</f>
        <v>0</v>
      </c>
      <c r="M2147" s="17" t="n">
        <f aca="false">'Dish Database'!M579*H2147/100</f>
        <v>5</v>
      </c>
      <c r="N2147" s="17" t="n">
        <f aca="false">'Dish Database'!N579*H2147/100</f>
        <v>0</v>
      </c>
      <c r="O2147" s="17" t="n">
        <f aca="false">'Dish Database'!O579*H2147/100</f>
        <v>0</v>
      </c>
      <c r="P2147" s="13" t="n">
        <f aca="false">'Dish Database'!P579*H2147/100</f>
        <v>0</v>
      </c>
    </row>
    <row r="2148" customFormat="false" ht="15" hidden="false" customHeight="false" outlineLevel="0" collapsed="false">
      <c r="A2148" s="6" t="str">
        <f aca="false">'Dish Database'!A579</f>
        <v>D578</v>
      </c>
      <c r="B2148" s="6" t="str">
        <f aca="false">'Dish Database'!B579</f>
        <v>Cooking oil (any)</v>
      </c>
      <c r="C2148" s="6" t="str">
        <f aca="false">'Dish Database'!D579</f>
        <v>Basics &amp; Add-ons</v>
      </c>
      <c r="D2148" s="6" t="str">
        <f aca="false">'Dish Database'!F579</f>
        <v>Veg</v>
      </c>
      <c r="E2148" s="6" t="str">
        <f aca="false">'Dish Database'!E579</f>
        <v>Pan-India</v>
      </c>
      <c r="F2148" s="6" t="s">
        <v>103</v>
      </c>
      <c r="G2148" s="6" t="s">
        <v>2623</v>
      </c>
      <c r="H2148" s="16" t="n">
        <v>10</v>
      </c>
      <c r="I2148" s="6" t="str">
        <f aca="false">'Dish Database'!I579</f>
        <v>g</v>
      </c>
      <c r="J2148" s="13" t="n">
        <f aca="false">'Dish Database'!J579*H2148/100</f>
        <v>90</v>
      </c>
      <c r="K2148" s="17" t="n">
        <f aca="false">'Dish Database'!K579*H2148/100</f>
        <v>0</v>
      </c>
      <c r="L2148" s="17" t="n">
        <f aca="false">'Dish Database'!L579*H2148/100</f>
        <v>0</v>
      </c>
      <c r="M2148" s="17" t="n">
        <f aca="false">'Dish Database'!M579*H2148/100</f>
        <v>10</v>
      </c>
      <c r="N2148" s="17" t="n">
        <f aca="false">'Dish Database'!N579*H2148/100</f>
        <v>0</v>
      </c>
      <c r="O2148" s="17" t="n">
        <f aca="false">'Dish Database'!O579*H2148/100</f>
        <v>0</v>
      </c>
      <c r="P2148" s="13" t="n">
        <f aca="false">'Dish Database'!P579*H2148/100</f>
        <v>0</v>
      </c>
    </row>
    <row r="2149" customFormat="false" ht="15" hidden="false" customHeight="false" outlineLevel="0" collapsed="false">
      <c r="A2149" s="6" t="str">
        <f aca="false">'Dish Database'!A579</f>
        <v>D578</v>
      </c>
      <c r="B2149" s="6" t="str">
        <f aca="false">'Dish Database'!B579</f>
        <v>Cooking oil (any)</v>
      </c>
      <c r="C2149" s="6" t="str">
        <f aca="false">'Dish Database'!D579</f>
        <v>Basics &amp; Add-ons</v>
      </c>
      <c r="D2149" s="6" t="str">
        <f aca="false">'Dish Database'!F579</f>
        <v>Veg</v>
      </c>
      <c r="E2149" s="6" t="str">
        <f aca="false">'Dish Database'!E579</f>
        <v>Pan-India</v>
      </c>
      <c r="F2149" s="6" t="s">
        <v>2246</v>
      </c>
      <c r="G2149" s="6" t="s">
        <v>2620</v>
      </c>
      <c r="H2149" s="16" t="n">
        <v>15</v>
      </c>
      <c r="I2149" s="6" t="str">
        <f aca="false">'Dish Database'!I579</f>
        <v>g</v>
      </c>
      <c r="J2149" s="13" t="n">
        <f aca="false">'Dish Database'!J579*H2149/100</f>
        <v>135</v>
      </c>
      <c r="K2149" s="17" t="n">
        <f aca="false">'Dish Database'!K579*H2149/100</f>
        <v>0</v>
      </c>
      <c r="L2149" s="17" t="n">
        <f aca="false">'Dish Database'!L579*H2149/100</f>
        <v>0</v>
      </c>
      <c r="M2149" s="17" t="n">
        <f aca="false">'Dish Database'!M579*H2149/100</f>
        <v>15</v>
      </c>
      <c r="N2149" s="17" t="n">
        <f aca="false">'Dish Database'!N579*H2149/100</f>
        <v>0</v>
      </c>
      <c r="O2149" s="17" t="n">
        <f aca="false">'Dish Database'!O579*H2149/100</f>
        <v>0</v>
      </c>
      <c r="P2149" s="13" t="n">
        <f aca="false">'Dish Database'!P579*H2149/100</f>
        <v>0</v>
      </c>
    </row>
    <row r="2150" customFormat="false" ht="15" hidden="false" customHeight="false" outlineLevel="0" collapsed="false">
      <c r="A2150" s="6" t="str">
        <f aca="false">'Dish Database'!A580</f>
        <v>D579</v>
      </c>
      <c r="B2150" s="6" t="str">
        <f aca="false">'Dish Database'!B580</f>
        <v>Butter (salted)</v>
      </c>
      <c r="C2150" s="6" t="str">
        <f aca="false">'Dish Database'!D580</f>
        <v>Basics &amp; Add-ons</v>
      </c>
      <c r="D2150" s="6" t="str">
        <f aca="false">'Dish Database'!F580</f>
        <v>Veg</v>
      </c>
      <c r="E2150" s="6" t="str">
        <f aca="false">'Dish Database'!E580</f>
        <v>Pan-India</v>
      </c>
      <c r="F2150" s="6" t="s">
        <v>2243</v>
      </c>
      <c r="G2150" s="6" t="s">
        <v>2622</v>
      </c>
      <c r="H2150" s="16" t="n">
        <v>5</v>
      </c>
      <c r="I2150" s="6" t="str">
        <f aca="false">'Dish Database'!I580</f>
        <v>g</v>
      </c>
      <c r="J2150" s="13" t="n">
        <f aca="false">'Dish Database'!J580*H2150/100</f>
        <v>36.65</v>
      </c>
      <c r="K2150" s="17" t="n">
        <f aca="false">'Dish Database'!K580*H2150/100</f>
        <v>0.045</v>
      </c>
      <c r="L2150" s="17" t="n">
        <f aca="false">'Dish Database'!L580*H2150/100</f>
        <v>0.005</v>
      </c>
      <c r="M2150" s="17" t="n">
        <f aca="false">'Dish Database'!M580*H2150/100</f>
        <v>4.05</v>
      </c>
      <c r="N2150" s="17" t="n">
        <f aca="false">'Dish Database'!N580*H2150/100</f>
        <v>0</v>
      </c>
      <c r="O2150" s="17" t="n">
        <f aca="false">'Dish Database'!O580*H2150/100</f>
        <v>0.005</v>
      </c>
      <c r="P2150" s="13" t="n">
        <f aca="false">'Dish Database'!P580*H2150/100</f>
        <v>29</v>
      </c>
    </row>
    <row r="2151" customFormat="false" ht="15" hidden="false" customHeight="false" outlineLevel="0" collapsed="false">
      <c r="A2151" s="6" t="str">
        <f aca="false">'Dish Database'!A580</f>
        <v>D579</v>
      </c>
      <c r="B2151" s="6" t="str">
        <f aca="false">'Dish Database'!B580</f>
        <v>Butter (salted)</v>
      </c>
      <c r="C2151" s="6" t="str">
        <f aca="false">'Dish Database'!D580</f>
        <v>Basics &amp; Add-ons</v>
      </c>
      <c r="D2151" s="6" t="str">
        <f aca="false">'Dish Database'!F580</f>
        <v>Veg</v>
      </c>
      <c r="E2151" s="6" t="str">
        <f aca="false">'Dish Database'!E580</f>
        <v>Pan-India</v>
      </c>
      <c r="F2151" s="6" t="s">
        <v>103</v>
      </c>
      <c r="G2151" s="6" t="s">
        <v>2623</v>
      </c>
      <c r="H2151" s="16" t="n">
        <v>10</v>
      </c>
      <c r="I2151" s="6" t="str">
        <f aca="false">'Dish Database'!I580</f>
        <v>g</v>
      </c>
      <c r="J2151" s="13" t="n">
        <f aca="false">'Dish Database'!J580*H2151/100</f>
        <v>73.3</v>
      </c>
      <c r="K2151" s="17" t="n">
        <f aca="false">'Dish Database'!K580*H2151/100</f>
        <v>0.09</v>
      </c>
      <c r="L2151" s="17" t="n">
        <f aca="false">'Dish Database'!L580*H2151/100</f>
        <v>0.01</v>
      </c>
      <c r="M2151" s="17" t="n">
        <f aca="false">'Dish Database'!M580*H2151/100</f>
        <v>8.1</v>
      </c>
      <c r="N2151" s="17" t="n">
        <f aca="false">'Dish Database'!N580*H2151/100</f>
        <v>0</v>
      </c>
      <c r="O2151" s="17" t="n">
        <f aca="false">'Dish Database'!O580*H2151/100</f>
        <v>0.01</v>
      </c>
      <c r="P2151" s="13" t="n">
        <f aca="false">'Dish Database'!P580*H2151/100</f>
        <v>58</v>
      </c>
    </row>
    <row r="2152" customFormat="false" ht="15" hidden="false" customHeight="false" outlineLevel="0" collapsed="false">
      <c r="A2152" s="6" t="str">
        <f aca="false">'Dish Database'!A580</f>
        <v>D579</v>
      </c>
      <c r="B2152" s="6" t="str">
        <f aca="false">'Dish Database'!B580</f>
        <v>Butter (salted)</v>
      </c>
      <c r="C2152" s="6" t="str">
        <f aca="false">'Dish Database'!D580</f>
        <v>Basics &amp; Add-ons</v>
      </c>
      <c r="D2152" s="6" t="str">
        <f aca="false">'Dish Database'!F580</f>
        <v>Veg</v>
      </c>
      <c r="E2152" s="6" t="str">
        <f aca="false">'Dish Database'!E580</f>
        <v>Pan-India</v>
      </c>
      <c r="F2152" s="6" t="s">
        <v>2246</v>
      </c>
      <c r="G2152" s="6" t="s">
        <v>2620</v>
      </c>
      <c r="H2152" s="16" t="n">
        <v>15</v>
      </c>
      <c r="I2152" s="6" t="str">
        <f aca="false">'Dish Database'!I580</f>
        <v>g</v>
      </c>
      <c r="J2152" s="13" t="n">
        <f aca="false">'Dish Database'!J580*H2152/100</f>
        <v>109.95</v>
      </c>
      <c r="K2152" s="17" t="n">
        <f aca="false">'Dish Database'!K580*H2152/100</f>
        <v>0.135</v>
      </c>
      <c r="L2152" s="17" t="n">
        <f aca="false">'Dish Database'!L580*H2152/100</f>
        <v>0.015</v>
      </c>
      <c r="M2152" s="17" t="n">
        <f aca="false">'Dish Database'!M580*H2152/100</f>
        <v>12.15</v>
      </c>
      <c r="N2152" s="17" t="n">
        <f aca="false">'Dish Database'!N580*H2152/100</f>
        <v>0</v>
      </c>
      <c r="O2152" s="17" t="n">
        <f aca="false">'Dish Database'!O580*H2152/100</f>
        <v>0.015</v>
      </c>
      <c r="P2152" s="13" t="n">
        <f aca="false">'Dish Database'!P580*H2152/100</f>
        <v>87</v>
      </c>
    </row>
    <row r="2153" customFormat="false" ht="15" hidden="false" customHeight="false" outlineLevel="0" collapsed="false">
      <c r="A2153" s="6" t="str">
        <f aca="false">'Dish Database'!A581</f>
        <v>D580</v>
      </c>
      <c r="B2153" s="6" t="str">
        <f aca="false">'Dish Database'!B581</f>
        <v>White sugar</v>
      </c>
      <c r="C2153" s="6" t="str">
        <f aca="false">'Dish Database'!D581</f>
        <v>Basics &amp; Add-ons</v>
      </c>
      <c r="D2153" s="6" t="str">
        <f aca="false">'Dish Database'!F581</f>
        <v>Veg</v>
      </c>
      <c r="E2153" s="6" t="str">
        <f aca="false">'Dish Database'!E581</f>
        <v>Pan-India</v>
      </c>
      <c r="F2153" s="6" t="s">
        <v>2243</v>
      </c>
      <c r="G2153" s="6" t="s">
        <v>2622</v>
      </c>
      <c r="H2153" s="16" t="n">
        <v>5</v>
      </c>
      <c r="I2153" s="6" t="str">
        <f aca="false">'Dish Database'!I581</f>
        <v>g</v>
      </c>
      <c r="J2153" s="13" t="n">
        <f aca="false">'Dish Database'!J581*H2153/100</f>
        <v>20</v>
      </c>
      <c r="K2153" s="17" t="n">
        <f aca="false">'Dish Database'!K581*H2153/100</f>
        <v>0</v>
      </c>
      <c r="L2153" s="17" t="n">
        <f aca="false">'Dish Database'!L581*H2153/100</f>
        <v>5</v>
      </c>
      <c r="M2153" s="17" t="n">
        <f aca="false">'Dish Database'!M581*H2153/100</f>
        <v>0</v>
      </c>
      <c r="N2153" s="17" t="n">
        <f aca="false">'Dish Database'!N581*H2153/100</f>
        <v>0</v>
      </c>
      <c r="O2153" s="17" t="n">
        <f aca="false">'Dish Database'!O581*H2153/100</f>
        <v>5</v>
      </c>
      <c r="P2153" s="13" t="n">
        <f aca="false">'Dish Database'!P581*H2153/100</f>
        <v>0.05</v>
      </c>
    </row>
    <row r="2154" customFormat="false" ht="15" hidden="false" customHeight="false" outlineLevel="0" collapsed="false">
      <c r="A2154" s="6" t="str">
        <f aca="false">'Dish Database'!A581</f>
        <v>D580</v>
      </c>
      <c r="B2154" s="6" t="str">
        <f aca="false">'Dish Database'!B581</f>
        <v>White sugar</v>
      </c>
      <c r="C2154" s="6" t="str">
        <f aca="false">'Dish Database'!D581</f>
        <v>Basics &amp; Add-ons</v>
      </c>
      <c r="D2154" s="6" t="str">
        <f aca="false">'Dish Database'!F581</f>
        <v>Veg</v>
      </c>
      <c r="E2154" s="6" t="str">
        <f aca="false">'Dish Database'!E581</f>
        <v>Pan-India</v>
      </c>
      <c r="F2154" s="6" t="s">
        <v>103</v>
      </c>
      <c r="G2154" s="6" t="s">
        <v>2623</v>
      </c>
      <c r="H2154" s="16" t="n">
        <v>10</v>
      </c>
      <c r="I2154" s="6" t="str">
        <f aca="false">'Dish Database'!I581</f>
        <v>g</v>
      </c>
      <c r="J2154" s="13" t="n">
        <f aca="false">'Dish Database'!J581*H2154/100</f>
        <v>40</v>
      </c>
      <c r="K2154" s="17" t="n">
        <f aca="false">'Dish Database'!K581*H2154/100</f>
        <v>0</v>
      </c>
      <c r="L2154" s="17" t="n">
        <f aca="false">'Dish Database'!L581*H2154/100</f>
        <v>10</v>
      </c>
      <c r="M2154" s="17" t="n">
        <f aca="false">'Dish Database'!M581*H2154/100</f>
        <v>0</v>
      </c>
      <c r="N2154" s="17" t="n">
        <f aca="false">'Dish Database'!N581*H2154/100</f>
        <v>0</v>
      </c>
      <c r="O2154" s="17" t="n">
        <f aca="false">'Dish Database'!O581*H2154/100</f>
        <v>10</v>
      </c>
      <c r="P2154" s="13" t="n">
        <f aca="false">'Dish Database'!P581*H2154/100</f>
        <v>0.1</v>
      </c>
    </row>
    <row r="2155" customFormat="false" ht="15" hidden="false" customHeight="false" outlineLevel="0" collapsed="false">
      <c r="A2155" s="6" t="str">
        <f aca="false">'Dish Database'!A581</f>
        <v>D580</v>
      </c>
      <c r="B2155" s="6" t="str">
        <f aca="false">'Dish Database'!B581</f>
        <v>White sugar</v>
      </c>
      <c r="C2155" s="6" t="str">
        <f aca="false">'Dish Database'!D581</f>
        <v>Basics &amp; Add-ons</v>
      </c>
      <c r="D2155" s="6" t="str">
        <f aca="false">'Dish Database'!F581</f>
        <v>Veg</v>
      </c>
      <c r="E2155" s="6" t="str">
        <f aca="false">'Dish Database'!E581</f>
        <v>Pan-India</v>
      </c>
      <c r="F2155" s="6" t="s">
        <v>2246</v>
      </c>
      <c r="G2155" s="6" t="s">
        <v>2620</v>
      </c>
      <c r="H2155" s="16" t="n">
        <v>15</v>
      </c>
      <c r="I2155" s="6" t="str">
        <f aca="false">'Dish Database'!I581</f>
        <v>g</v>
      </c>
      <c r="J2155" s="13" t="n">
        <f aca="false">'Dish Database'!J581*H2155/100</f>
        <v>60</v>
      </c>
      <c r="K2155" s="17" t="n">
        <f aca="false">'Dish Database'!K581*H2155/100</f>
        <v>0</v>
      </c>
      <c r="L2155" s="17" t="n">
        <f aca="false">'Dish Database'!L581*H2155/100</f>
        <v>15</v>
      </c>
      <c r="M2155" s="17" t="n">
        <f aca="false">'Dish Database'!M581*H2155/100</f>
        <v>0</v>
      </c>
      <c r="N2155" s="17" t="n">
        <f aca="false">'Dish Database'!N581*H2155/100</f>
        <v>0</v>
      </c>
      <c r="O2155" s="17" t="n">
        <f aca="false">'Dish Database'!O581*H2155/100</f>
        <v>15</v>
      </c>
      <c r="P2155" s="13" t="n">
        <f aca="false">'Dish Database'!P581*H2155/100</f>
        <v>0.15</v>
      </c>
    </row>
    <row r="2156" customFormat="false" ht="15" hidden="false" customHeight="false" outlineLevel="0" collapsed="false">
      <c r="A2156" s="6" t="str">
        <f aca="false">'Dish Database'!A582</f>
        <v>D581</v>
      </c>
      <c r="B2156" s="6" t="str">
        <f aca="false">'Dish Database'!B582</f>
        <v>Jaggery</v>
      </c>
      <c r="C2156" s="6" t="str">
        <f aca="false">'Dish Database'!D582</f>
        <v>Basics &amp; Add-ons</v>
      </c>
      <c r="D2156" s="6" t="str">
        <f aca="false">'Dish Database'!F582</f>
        <v>Veg</v>
      </c>
      <c r="E2156" s="6" t="str">
        <f aca="false">'Dish Database'!E582</f>
        <v>Pan-India</v>
      </c>
      <c r="F2156" s="6" t="s">
        <v>2243</v>
      </c>
      <c r="G2156" s="6" t="s">
        <v>2622</v>
      </c>
      <c r="H2156" s="16" t="n">
        <v>5</v>
      </c>
      <c r="I2156" s="6" t="str">
        <f aca="false">'Dish Database'!I582</f>
        <v>g</v>
      </c>
      <c r="J2156" s="13" t="n">
        <f aca="false">'Dish Database'!J582*H2156/100</f>
        <v>19.125</v>
      </c>
      <c r="K2156" s="17" t="n">
        <f aca="false">'Dish Database'!K582*H2156/100</f>
        <v>0.02</v>
      </c>
      <c r="L2156" s="17" t="n">
        <f aca="false">'Dish Database'!L582*H2156/100</f>
        <v>4.75</v>
      </c>
      <c r="M2156" s="17" t="n">
        <f aca="false">'Dish Database'!M582*H2156/100</f>
        <v>0.005</v>
      </c>
      <c r="N2156" s="17" t="n">
        <f aca="false">'Dish Database'!N582*H2156/100</f>
        <v>0</v>
      </c>
      <c r="O2156" s="17" t="n">
        <f aca="false">'Dish Database'!O582*H2156/100</f>
        <v>4.25</v>
      </c>
      <c r="P2156" s="13" t="n">
        <f aca="false">'Dish Database'!P582*H2156/100</f>
        <v>1.5</v>
      </c>
    </row>
    <row r="2157" customFormat="false" ht="15" hidden="false" customHeight="false" outlineLevel="0" collapsed="false">
      <c r="A2157" s="6" t="str">
        <f aca="false">'Dish Database'!A582</f>
        <v>D581</v>
      </c>
      <c r="B2157" s="6" t="str">
        <f aca="false">'Dish Database'!B582</f>
        <v>Jaggery</v>
      </c>
      <c r="C2157" s="6" t="str">
        <f aca="false">'Dish Database'!D582</f>
        <v>Basics &amp; Add-ons</v>
      </c>
      <c r="D2157" s="6" t="str">
        <f aca="false">'Dish Database'!F582</f>
        <v>Veg</v>
      </c>
      <c r="E2157" s="6" t="str">
        <f aca="false">'Dish Database'!E582</f>
        <v>Pan-India</v>
      </c>
      <c r="F2157" s="6" t="s">
        <v>103</v>
      </c>
      <c r="G2157" s="6" t="s">
        <v>2623</v>
      </c>
      <c r="H2157" s="16" t="n">
        <v>10</v>
      </c>
      <c r="I2157" s="6" t="str">
        <f aca="false">'Dish Database'!I582</f>
        <v>g</v>
      </c>
      <c r="J2157" s="13" t="n">
        <f aca="false">'Dish Database'!J582*H2157/100</f>
        <v>38.25</v>
      </c>
      <c r="K2157" s="17" t="n">
        <f aca="false">'Dish Database'!K582*H2157/100</f>
        <v>0.04</v>
      </c>
      <c r="L2157" s="17" t="n">
        <f aca="false">'Dish Database'!L582*H2157/100</f>
        <v>9.5</v>
      </c>
      <c r="M2157" s="17" t="n">
        <f aca="false">'Dish Database'!M582*H2157/100</f>
        <v>0.01</v>
      </c>
      <c r="N2157" s="17" t="n">
        <f aca="false">'Dish Database'!N582*H2157/100</f>
        <v>0</v>
      </c>
      <c r="O2157" s="17" t="n">
        <f aca="false">'Dish Database'!O582*H2157/100</f>
        <v>8.5</v>
      </c>
      <c r="P2157" s="13" t="n">
        <f aca="false">'Dish Database'!P582*H2157/100</f>
        <v>3</v>
      </c>
    </row>
    <row r="2158" customFormat="false" ht="15" hidden="false" customHeight="false" outlineLevel="0" collapsed="false">
      <c r="A2158" s="6" t="str">
        <f aca="false">'Dish Database'!A582</f>
        <v>D581</v>
      </c>
      <c r="B2158" s="6" t="str">
        <f aca="false">'Dish Database'!B582</f>
        <v>Jaggery</v>
      </c>
      <c r="C2158" s="6" t="str">
        <f aca="false">'Dish Database'!D582</f>
        <v>Basics &amp; Add-ons</v>
      </c>
      <c r="D2158" s="6" t="str">
        <f aca="false">'Dish Database'!F582</f>
        <v>Veg</v>
      </c>
      <c r="E2158" s="6" t="str">
        <f aca="false">'Dish Database'!E582</f>
        <v>Pan-India</v>
      </c>
      <c r="F2158" s="6" t="s">
        <v>2246</v>
      </c>
      <c r="G2158" s="6" t="s">
        <v>2620</v>
      </c>
      <c r="H2158" s="16" t="n">
        <v>15</v>
      </c>
      <c r="I2158" s="6" t="str">
        <f aca="false">'Dish Database'!I582</f>
        <v>g</v>
      </c>
      <c r="J2158" s="13" t="n">
        <f aca="false">'Dish Database'!J582*H2158/100</f>
        <v>57.375</v>
      </c>
      <c r="K2158" s="17" t="n">
        <f aca="false">'Dish Database'!K582*H2158/100</f>
        <v>0.06</v>
      </c>
      <c r="L2158" s="17" t="n">
        <f aca="false">'Dish Database'!L582*H2158/100</f>
        <v>14.25</v>
      </c>
      <c r="M2158" s="17" t="n">
        <f aca="false">'Dish Database'!M582*H2158/100</f>
        <v>0.015</v>
      </c>
      <c r="N2158" s="17" t="n">
        <f aca="false">'Dish Database'!N582*H2158/100</f>
        <v>0</v>
      </c>
      <c r="O2158" s="17" t="n">
        <f aca="false">'Dish Database'!O582*H2158/100</f>
        <v>12.75</v>
      </c>
      <c r="P2158" s="13" t="n">
        <f aca="false">'Dish Database'!P582*H2158/100</f>
        <v>4.5</v>
      </c>
    </row>
    <row r="2159" customFormat="false" ht="15" hidden="false" customHeight="false" outlineLevel="0" collapsed="false">
      <c r="A2159" s="6" t="str">
        <f aca="false">'Dish Database'!A583</f>
        <v>D582</v>
      </c>
      <c r="B2159" s="6" t="str">
        <f aca="false">'Dish Database'!B583</f>
        <v>Honey</v>
      </c>
      <c r="C2159" s="6" t="str">
        <f aca="false">'Dish Database'!D583</f>
        <v>Basics &amp; Add-ons</v>
      </c>
      <c r="D2159" s="6" t="str">
        <f aca="false">'Dish Database'!F583</f>
        <v>Veg</v>
      </c>
      <c r="E2159" s="6" t="str">
        <f aca="false">'Dish Database'!E583</f>
        <v>Pan-India</v>
      </c>
      <c r="F2159" s="6" t="s">
        <v>2243</v>
      </c>
      <c r="G2159" s="6" t="s">
        <v>2622</v>
      </c>
      <c r="H2159" s="16" t="n">
        <v>7</v>
      </c>
      <c r="I2159" s="6" t="str">
        <f aca="false">'Dish Database'!I583</f>
        <v>g</v>
      </c>
      <c r="J2159" s="13" t="n">
        <f aca="false">'Dish Database'!J583*H2159/100</f>
        <v>23.016</v>
      </c>
      <c r="K2159" s="17" t="n">
        <f aca="false">'Dish Database'!K583*H2159/100</f>
        <v>0.021</v>
      </c>
      <c r="L2159" s="17" t="n">
        <f aca="false">'Dish Database'!L583*H2159/100</f>
        <v>5.74</v>
      </c>
      <c r="M2159" s="17" t="n">
        <f aca="false">'Dish Database'!M583*H2159/100</f>
        <v>0</v>
      </c>
      <c r="N2159" s="17" t="n">
        <f aca="false">'Dish Database'!N583*H2159/100</f>
        <v>0.014</v>
      </c>
      <c r="O2159" s="17" t="n">
        <f aca="false">'Dish Database'!O583*H2159/100</f>
        <v>5.74</v>
      </c>
      <c r="P2159" s="13" t="n">
        <f aca="false">'Dish Database'!P583*H2159/100</f>
        <v>0.28</v>
      </c>
    </row>
    <row r="2160" customFormat="false" ht="15" hidden="false" customHeight="false" outlineLevel="0" collapsed="false">
      <c r="A2160" s="6" t="str">
        <f aca="false">'Dish Database'!A583</f>
        <v>D582</v>
      </c>
      <c r="B2160" s="6" t="str">
        <f aca="false">'Dish Database'!B583</f>
        <v>Honey</v>
      </c>
      <c r="C2160" s="6" t="str">
        <f aca="false">'Dish Database'!D583</f>
        <v>Basics &amp; Add-ons</v>
      </c>
      <c r="D2160" s="6" t="str">
        <f aca="false">'Dish Database'!F583</f>
        <v>Veg</v>
      </c>
      <c r="E2160" s="6" t="str">
        <f aca="false">'Dish Database'!E583</f>
        <v>Pan-India</v>
      </c>
      <c r="F2160" s="6" t="s">
        <v>103</v>
      </c>
      <c r="G2160" s="6" t="s">
        <v>2623</v>
      </c>
      <c r="H2160" s="16" t="n">
        <v>14</v>
      </c>
      <c r="I2160" s="6" t="str">
        <f aca="false">'Dish Database'!I583</f>
        <v>g</v>
      </c>
      <c r="J2160" s="13" t="n">
        <f aca="false">'Dish Database'!J583*H2160/100</f>
        <v>46.032</v>
      </c>
      <c r="K2160" s="17" t="n">
        <f aca="false">'Dish Database'!K583*H2160/100</f>
        <v>0.042</v>
      </c>
      <c r="L2160" s="17" t="n">
        <f aca="false">'Dish Database'!L583*H2160/100</f>
        <v>11.48</v>
      </c>
      <c r="M2160" s="17" t="n">
        <f aca="false">'Dish Database'!M583*H2160/100</f>
        <v>0</v>
      </c>
      <c r="N2160" s="17" t="n">
        <f aca="false">'Dish Database'!N583*H2160/100</f>
        <v>0.028</v>
      </c>
      <c r="O2160" s="17" t="n">
        <f aca="false">'Dish Database'!O583*H2160/100</f>
        <v>11.48</v>
      </c>
      <c r="P2160" s="13" t="n">
        <f aca="false">'Dish Database'!P583*H2160/100</f>
        <v>0.56</v>
      </c>
    </row>
    <row r="2161" customFormat="false" ht="15" hidden="false" customHeight="false" outlineLevel="0" collapsed="false">
      <c r="A2161" s="6" t="str">
        <f aca="false">'Dish Database'!A583</f>
        <v>D582</v>
      </c>
      <c r="B2161" s="6" t="str">
        <f aca="false">'Dish Database'!B583</f>
        <v>Honey</v>
      </c>
      <c r="C2161" s="6" t="str">
        <f aca="false">'Dish Database'!D583</f>
        <v>Basics &amp; Add-ons</v>
      </c>
      <c r="D2161" s="6" t="str">
        <f aca="false">'Dish Database'!F583</f>
        <v>Veg</v>
      </c>
      <c r="E2161" s="6" t="str">
        <f aca="false">'Dish Database'!E583</f>
        <v>Pan-India</v>
      </c>
      <c r="F2161" s="6" t="s">
        <v>2246</v>
      </c>
      <c r="G2161" s="6" t="s">
        <v>2620</v>
      </c>
      <c r="H2161" s="16" t="n">
        <v>21</v>
      </c>
      <c r="I2161" s="6" t="str">
        <f aca="false">'Dish Database'!I583</f>
        <v>g</v>
      </c>
      <c r="J2161" s="13" t="n">
        <f aca="false">'Dish Database'!J583*H2161/100</f>
        <v>69.048</v>
      </c>
      <c r="K2161" s="17" t="n">
        <f aca="false">'Dish Database'!K583*H2161/100</f>
        <v>0.063</v>
      </c>
      <c r="L2161" s="17" t="n">
        <f aca="false">'Dish Database'!L583*H2161/100</f>
        <v>17.22</v>
      </c>
      <c r="M2161" s="17" t="n">
        <f aca="false">'Dish Database'!M583*H2161/100</f>
        <v>0</v>
      </c>
      <c r="N2161" s="17" t="n">
        <f aca="false">'Dish Database'!N583*H2161/100</f>
        <v>0.042</v>
      </c>
      <c r="O2161" s="17" t="n">
        <f aca="false">'Dish Database'!O583*H2161/100</f>
        <v>17.22</v>
      </c>
      <c r="P2161" s="13" t="n">
        <f aca="false">'Dish Database'!P583*H2161/100</f>
        <v>0.84</v>
      </c>
    </row>
    <row r="2162" customFormat="false" ht="15" hidden="false" customHeight="false" outlineLevel="0" collapsed="false">
      <c r="A2162" s="6" t="str">
        <f aca="false">'Dish Database'!A584</f>
        <v>D583</v>
      </c>
      <c r="B2162" s="6" t="str">
        <f aca="false">'Dish Database'!B584</f>
        <v>Fresh cream / malai</v>
      </c>
      <c r="C2162" s="6" t="str">
        <f aca="false">'Dish Database'!D584</f>
        <v>Basics &amp; Add-ons</v>
      </c>
      <c r="D2162" s="6" t="str">
        <f aca="false">'Dish Database'!F584</f>
        <v>Veg</v>
      </c>
      <c r="E2162" s="6" t="str">
        <f aca="false">'Dish Database'!E584</f>
        <v>Pan-India</v>
      </c>
      <c r="F2162" s="6" t="s">
        <v>2243</v>
      </c>
      <c r="G2162" s="6" t="s">
        <v>2622</v>
      </c>
      <c r="H2162" s="16" t="n">
        <v>5</v>
      </c>
      <c r="I2162" s="6" t="str">
        <f aca="false">'Dish Database'!I584</f>
        <v>g</v>
      </c>
      <c r="J2162" s="13" t="n">
        <f aca="false">'Dish Database'!J584*H2162/100</f>
        <v>12.25</v>
      </c>
      <c r="K2162" s="17" t="n">
        <f aca="false">'Dish Database'!K584*H2162/100</f>
        <v>0.1</v>
      </c>
      <c r="L2162" s="17" t="n">
        <f aca="false">'Dish Database'!L584*H2162/100</f>
        <v>0.15</v>
      </c>
      <c r="M2162" s="17" t="n">
        <f aca="false">'Dish Database'!M584*H2162/100</f>
        <v>1.25</v>
      </c>
      <c r="N2162" s="17" t="n">
        <f aca="false">'Dish Database'!N584*H2162/100</f>
        <v>0</v>
      </c>
      <c r="O2162" s="17" t="n">
        <f aca="false">'Dish Database'!O584*H2162/100</f>
        <v>0.15</v>
      </c>
      <c r="P2162" s="13" t="n">
        <f aca="false">'Dish Database'!P584*H2162/100</f>
        <v>1.75</v>
      </c>
    </row>
    <row r="2163" customFormat="false" ht="15" hidden="false" customHeight="false" outlineLevel="0" collapsed="false">
      <c r="A2163" s="6" t="str">
        <f aca="false">'Dish Database'!A584</f>
        <v>D583</v>
      </c>
      <c r="B2163" s="6" t="str">
        <f aca="false">'Dish Database'!B584</f>
        <v>Fresh cream / malai</v>
      </c>
      <c r="C2163" s="6" t="str">
        <f aca="false">'Dish Database'!D584</f>
        <v>Basics &amp; Add-ons</v>
      </c>
      <c r="D2163" s="6" t="str">
        <f aca="false">'Dish Database'!F584</f>
        <v>Veg</v>
      </c>
      <c r="E2163" s="6" t="str">
        <f aca="false">'Dish Database'!E584</f>
        <v>Pan-India</v>
      </c>
      <c r="F2163" s="6" t="s">
        <v>103</v>
      </c>
      <c r="G2163" s="6" t="s">
        <v>2623</v>
      </c>
      <c r="H2163" s="16" t="n">
        <v>10</v>
      </c>
      <c r="I2163" s="6" t="str">
        <f aca="false">'Dish Database'!I584</f>
        <v>g</v>
      </c>
      <c r="J2163" s="13" t="n">
        <f aca="false">'Dish Database'!J584*H2163/100</f>
        <v>24.5</v>
      </c>
      <c r="K2163" s="17" t="n">
        <f aca="false">'Dish Database'!K584*H2163/100</f>
        <v>0.2</v>
      </c>
      <c r="L2163" s="17" t="n">
        <f aca="false">'Dish Database'!L584*H2163/100</f>
        <v>0.3</v>
      </c>
      <c r="M2163" s="17" t="n">
        <f aca="false">'Dish Database'!M584*H2163/100</f>
        <v>2.5</v>
      </c>
      <c r="N2163" s="17" t="n">
        <f aca="false">'Dish Database'!N584*H2163/100</f>
        <v>0</v>
      </c>
      <c r="O2163" s="17" t="n">
        <f aca="false">'Dish Database'!O584*H2163/100</f>
        <v>0.3</v>
      </c>
      <c r="P2163" s="13" t="n">
        <f aca="false">'Dish Database'!P584*H2163/100</f>
        <v>3.5</v>
      </c>
    </row>
    <row r="2164" customFormat="false" ht="15" hidden="false" customHeight="false" outlineLevel="0" collapsed="false">
      <c r="A2164" s="6" t="str">
        <f aca="false">'Dish Database'!A584</f>
        <v>D583</v>
      </c>
      <c r="B2164" s="6" t="str">
        <f aca="false">'Dish Database'!B584</f>
        <v>Fresh cream / malai</v>
      </c>
      <c r="C2164" s="6" t="str">
        <f aca="false">'Dish Database'!D584</f>
        <v>Basics &amp; Add-ons</v>
      </c>
      <c r="D2164" s="6" t="str">
        <f aca="false">'Dish Database'!F584</f>
        <v>Veg</v>
      </c>
      <c r="E2164" s="6" t="str">
        <f aca="false">'Dish Database'!E584</f>
        <v>Pan-India</v>
      </c>
      <c r="F2164" s="6" t="s">
        <v>2246</v>
      </c>
      <c r="G2164" s="6" t="s">
        <v>2620</v>
      </c>
      <c r="H2164" s="16" t="n">
        <v>15</v>
      </c>
      <c r="I2164" s="6" t="str">
        <f aca="false">'Dish Database'!I584</f>
        <v>g</v>
      </c>
      <c r="J2164" s="13" t="n">
        <f aca="false">'Dish Database'!J584*H2164/100</f>
        <v>36.75</v>
      </c>
      <c r="K2164" s="17" t="n">
        <f aca="false">'Dish Database'!K584*H2164/100</f>
        <v>0.3</v>
      </c>
      <c r="L2164" s="17" t="n">
        <f aca="false">'Dish Database'!L584*H2164/100</f>
        <v>0.45</v>
      </c>
      <c r="M2164" s="17" t="n">
        <f aca="false">'Dish Database'!M584*H2164/100</f>
        <v>3.75</v>
      </c>
      <c r="N2164" s="17" t="n">
        <f aca="false">'Dish Database'!N584*H2164/100</f>
        <v>0</v>
      </c>
      <c r="O2164" s="17" t="n">
        <f aca="false">'Dish Database'!O584*H2164/100</f>
        <v>0.45</v>
      </c>
      <c r="P2164" s="13" t="n">
        <f aca="false">'Dish Database'!P584*H2164/100</f>
        <v>5.25</v>
      </c>
    </row>
    <row r="2165" customFormat="false" ht="15" hidden="false" customHeight="false" outlineLevel="0" collapsed="false">
      <c r="A2165" s="6" t="str">
        <f aca="false">'Dish Database'!A585</f>
        <v>D584</v>
      </c>
      <c r="B2165" s="6" t="str">
        <f aca="false">'Dish Database'!B585</f>
        <v>Cheese slice (processed)</v>
      </c>
      <c r="C2165" s="6" t="str">
        <f aca="false">'Dish Database'!D585</f>
        <v>Basics &amp; Add-ons</v>
      </c>
      <c r="D2165" s="6" t="str">
        <f aca="false">'Dish Database'!F585</f>
        <v>Veg</v>
      </c>
      <c r="E2165" s="6" t="str">
        <f aca="false">'Dish Database'!E585</f>
        <v>Pan-India</v>
      </c>
      <c r="F2165" s="6" t="s">
        <v>2243</v>
      </c>
      <c r="G2165" s="6" t="s">
        <v>2703</v>
      </c>
      <c r="H2165" s="16" t="n">
        <v>15</v>
      </c>
      <c r="I2165" s="6" t="str">
        <f aca="false">'Dish Database'!I585</f>
        <v>g</v>
      </c>
      <c r="J2165" s="13" t="n">
        <f aca="false">'Dish Database'!J585*H2165/100</f>
        <v>44.1</v>
      </c>
      <c r="K2165" s="17" t="n">
        <f aca="false">'Dish Database'!K585*H2165/100</f>
        <v>3</v>
      </c>
      <c r="L2165" s="17" t="n">
        <f aca="false">'Dish Database'!L585*H2165/100</f>
        <v>0.6</v>
      </c>
      <c r="M2165" s="17" t="n">
        <f aca="false">'Dish Database'!M585*H2165/100</f>
        <v>3.3</v>
      </c>
      <c r="N2165" s="17" t="n">
        <f aca="false">'Dish Database'!N585*H2165/100</f>
        <v>0</v>
      </c>
      <c r="O2165" s="17" t="n">
        <f aca="false">'Dish Database'!O585*H2165/100</f>
        <v>0.15</v>
      </c>
      <c r="P2165" s="13" t="n">
        <f aca="false">'Dish Database'!P585*H2165/100</f>
        <v>180</v>
      </c>
    </row>
    <row r="2166" customFormat="false" ht="15" hidden="false" customHeight="false" outlineLevel="0" collapsed="false">
      <c r="A2166" s="6" t="str">
        <f aca="false">'Dish Database'!A585</f>
        <v>D584</v>
      </c>
      <c r="B2166" s="6" t="str">
        <f aca="false">'Dish Database'!B585</f>
        <v>Cheese slice (processed)</v>
      </c>
      <c r="C2166" s="6" t="str">
        <f aca="false">'Dish Database'!D585</f>
        <v>Basics &amp; Add-ons</v>
      </c>
      <c r="D2166" s="6" t="str">
        <f aca="false">'Dish Database'!F585</f>
        <v>Veg</v>
      </c>
      <c r="E2166" s="6" t="str">
        <f aca="false">'Dish Database'!E585</f>
        <v>Pan-India</v>
      </c>
      <c r="F2166" s="6" t="s">
        <v>103</v>
      </c>
      <c r="G2166" s="6" t="s">
        <v>2704</v>
      </c>
      <c r="H2166" s="16" t="n">
        <v>20</v>
      </c>
      <c r="I2166" s="6" t="str">
        <f aca="false">'Dish Database'!I585</f>
        <v>g</v>
      </c>
      <c r="J2166" s="13" t="n">
        <f aca="false">'Dish Database'!J585*H2166/100</f>
        <v>58.8</v>
      </c>
      <c r="K2166" s="17" t="n">
        <f aca="false">'Dish Database'!K585*H2166/100</f>
        <v>4</v>
      </c>
      <c r="L2166" s="17" t="n">
        <f aca="false">'Dish Database'!L585*H2166/100</f>
        <v>0.8</v>
      </c>
      <c r="M2166" s="17" t="n">
        <f aca="false">'Dish Database'!M585*H2166/100</f>
        <v>4.4</v>
      </c>
      <c r="N2166" s="17" t="n">
        <f aca="false">'Dish Database'!N585*H2166/100</f>
        <v>0</v>
      </c>
      <c r="O2166" s="17" t="n">
        <f aca="false">'Dish Database'!O585*H2166/100</f>
        <v>0.2</v>
      </c>
      <c r="P2166" s="13" t="n">
        <f aca="false">'Dish Database'!P585*H2166/100</f>
        <v>240</v>
      </c>
    </row>
    <row r="2167" customFormat="false" ht="15" hidden="false" customHeight="false" outlineLevel="0" collapsed="false">
      <c r="A2167" s="6" t="str">
        <f aca="false">'Dish Database'!A585</f>
        <v>D584</v>
      </c>
      <c r="B2167" s="6" t="str">
        <f aca="false">'Dish Database'!B585</f>
        <v>Cheese slice (processed)</v>
      </c>
      <c r="C2167" s="6" t="str">
        <f aca="false">'Dish Database'!D585</f>
        <v>Basics &amp; Add-ons</v>
      </c>
      <c r="D2167" s="6" t="str">
        <f aca="false">'Dish Database'!F585</f>
        <v>Veg</v>
      </c>
      <c r="E2167" s="6" t="str">
        <f aca="false">'Dish Database'!E585</f>
        <v>Pan-India</v>
      </c>
      <c r="F2167" s="6" t="s">
        <v>2246</v>
      </c>
      <c r="G2167" s="6" t="s">
        <v>2705</v>
      </c>
      <c r="H2167" s="16" t="n">
        <v>25</v>
      </c>
      <c r="I2167" s="6" t="str">
        <f aca="false">'Dish Database'!I585</f>
        <v>g</v>
      </c>
      <c r="J2167" s="13" t="n">
        <f aca="false">'Dish Database'!J585*H2167/100</f>
        <v>73.5</v>
      </c>
      <c r="K2167" s="17" t="n">
        <f aca="false">'Dish Database'!K585*H2167/100</f>
        <v>5</v>
      </c>
      <c r="L2167" s="17" t="n">
        <f aca="false">'Dish Database'!L585*H2167/100</f>
        <v>1</v>
      </c>
      <c r="M2167" s="17" t="n">
        <f aca="false">'Dish Database'!M585*H2167/100</f>
        <v>5.5</v>
      </c>
      <c r="N2167" s="17" t="n">
        <f aca="false">'Dish Database'!N585*H2167/100</f>
        <v>0</v>
      </c>
      <c r="O2167" s="17" t="n">
        <f aca="false">'Dish Database'!O585*H2167/100</f>
        <v>0.25</v>
      </c>
      <c r="P2167" s="13" t="n">
        <f aca="false">'Dish Database'!P585*H2167/100</f>
        <v>300</v>
      </c>
    </row>
    <row r="2168" customFormat="false" ht="15" hidden="false" customHeight="false" outlineLevel="0" collapsed="false">
      <c r="A2168" s="6" t="str">
        <f aca="false">'Dish Database'!A586</f>
        <v>D585</v>
      </c>
      <c r="B2168" s="6" t="str">
        <f aca="false">'Dish Database'!B586</f>
        <v>Paneer (raw, full-fat)</v>
      </c>
      <c r="C2168" s="6" t="str">
        <f aca="false">'Dish Database'!D586</f>
        <v>Basics &amp; Add-ons</v>
      </c>
      <c r="D2168" s="6" t="str">
        <f aca="false">'Dish Database'!F586</f>
        <v>Veg</v>
      </c>
      <c r="E2168" s="6" t="str">
        <f aca="false">'Dish Database'!E586</f>
        <v>Pan-India</v>
      </c>
      <c r="F2168" s="6" t="s">
        <v>2243</v>
      </c>
      <c r="G2168" s="6" t="s">
        <v>2706</v>
      </c>
      <c r="H2168" s="16" t="n">
        <v>50</v>
      </c>
      <c r="I2168" s="6" t="str">
        <f aca="false">'Dish Database'!I586</f>
        <v>g</v>
      </c>
      <c r="J2168" s="13" t="n">
        <f aca="false">'Dish Database'!J586*H2168/100</f>
        <v>132</v>
      </c>
      <c r="K2168" s="17" t="n">
        <f aca="false">'Dish Database'!K586*H2168/100</f>
        <v>9</v>
      </c>
      <c r="L2168" s="17" t="n">
        <f aca="false">'Dish Database'!L586*H2168/100</f>
        <v>1.5</v>
      </c>
      <c r="M2168" s="17" t="n">
        <f aca="false">'Dish Database'!M586*H2168/100</f>
        <v>10</v>
      </c>
      <c r="N2168" s="17" t="n">
        <f aca="false">'Dish Database'!N586*H2168/100</f>
        <v>0</v>
      </c>
      <c r="O2168" s="17" t="n">
        <f aca="false">'Dish Database'!O586*H2168/100</f>
        <v>0.75</v>
      </c>
      <c r="P2168" s="13" t="n">
        <f aca="false">'Dish Database'!P586*H2168/100</f>
        <v>15</v>
      </c>
    </row>
    <row r="2169" customFormat="false" ht="15" hidden="false" customHeight="false" outlineLevel="0" collapsed="false">
      <c r="A2169" s="6" t="str">
        <f aca="false">'Dish Database'!A586</f>
        <v>D585</v>
      </c>
      <c r="B2169" s="6" t="str">
        <f aca="false">'Dish Database'!B586</f>
        <v>Paneer (raw, full-fat)</v>
      </c>
      <c r="C2169" s="6" t="str">
        <f aca="false">'Dish Database'!D586</f>
        <v>Basics &amp; Add-ons</v>
      </c>
      <c r="D2169" s="6" t="str">
        <f aca="false">'Dish Database'!F586</f>
        <v>Veg</v>
      </c>
      <c r="E2169" s="6" t="str">
        <f aca="false">'Dish Database'!E586</f>
        <v>Pan-India</v>
      </c>
      <c r="F2169" s="6" t="s">
        <v>103</v>
      </c>
      <c r="G2169" s="6" t="s">
        <v>2707</v>
      </c>
      <c r="H2169" s="16" t="n">
        <v>100</v>
      </c>
      <c r="I2169" s="6" t="str">
        <f aca="false">'Dish Database'!I586</f>
        <v>g</v>
      </c>
      <c r="J2169" s="13" t="n">
        <f aca="false">'Dish Database'!J586*H2169/100</f>
        <v>264</v>
      </c>
      <c r="K2169" s="17" t="n">
        <f aca="false">'Dish Database'!K586*H2169/100</f>
        <v>18</v>
      </c>
      <c r="L2169" s="17" t="n">
        <f aca="false">'Dish Database'!L586*H2169/100</f>
        <v>3</v>
      </c>
      <c r="M2169" s="17" t="n">
        <f aca="false">'Dish Database'!M586*H2169/100</f>
        <v>20</v>
      </c>
      <c r="N2169" s="17" t="n">
        <f aca="false">'Dish Database'!N586*H2169/100</f>
        <v>0</v>
      </c>
      <c r="O2169" s="17" t="n">
        <f aca="false">'Dish Database'!O586*H2169/100</f>
        <v>1.5</v>
      </c>
      <c r="P2169" s="13" t="n">
        <f aca="false">'Dish Database'!P586*H2169/100</f>
        <v>30</v>
      </c>
    </row>
    <row r="2170" customFormat="false" ht="15" hidden="false" customHeight="false" outlineLevel="0" collapsed="false">
      <c r="A2170" s="6" t="str">
        <f aca="false">'Dish Database'!A586</f>
        <v>D585</v>
      </c>
      <c r="B2170" s="6" t="str">
        <f aca="false">'Dish Database'!B586</f>
        <v>Paneer (raw, full-fat)</v>
      </c>
      <c r="C2170" s="6" t="str">
        <f aca="false">'Dish Database'!D586</f>
        <v>Basics &amp; Add-ons</v>
      </c>
      <c r="D2170" s="6" t="str">
        <f aca="false">'Dish Database'!F586</f>
        <v>Veg</v>
      </c>
      <c r="E2170" s="6" t="str">
        <f aca="false">'Dish Database'!E586</f>
        <v>Pan-India</v>
      </c>
      <c r="F2170" s="6" t="s">
        <v>2246</v>
      </c>
      <c r="G2170" s="6" t="s">
        <v>2708</v>
      </c>
      <c r="H2170" s="16" t="n">
        <v>150</v>
      </c>
      <c r="I2170" s="6" t="str">
        <f aca="false">'Dish Database'!I586</f>
        <v>g</v>
      </c>
      <c r="J2170" s="13" t="n">
        <f aca="false">'Dish Database'!J586*H2170/100</f>
        <v>396</v>
      </c>
      <c r="K2170" s="17" t="n">
        <f aca="false">'Dish Database'!K586*H2170/100</f>
        <v>27</v>
      </c>
      <c r="L2170" s="17" t="n">
        <f aca="false">'Dish Database'!L586*H2170/100</f>
        <v>4.5</v>
      </c>
      <c r="M2170" s="17" t="n">
        <f aca="false">'Dish Database'!M586*H2170/100</f>
        <v>30</v>
      </c>
      <c r="N2170" s="17" t="n">
        <f aca="false">'Dish Database'!N586*H2170/100</f>
        <v>0</v>
      </c>
      <c r="O2170" s="17" t="n">
        <f aca="false">'Dish Database'!O586*H2170/100</f>
        <v>2.25</v>
      </c>
      <c r="P2170" s="13" t="n">
        <f aca="false">'Dish Database'!P586*H2170/100</f>
        <v>45</v>
      </c>
    </row>
  </sheetData>
  <autoFilter ref="A1:P21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11" min="4" style="0" width="10"/>
  </cols>
  <sheetData>
    <row r="1" customFormat="false" ht="36" hidden="false" customHeight="true" outlineLevel="0" collapsed="false">
      <c r="A1" s="8" t="s">
        <v>2709</v>
      </c>
      <c r="B1" s="8" t="s">
        <v>2710</v>
      </c>
      <c r="C1" s="8" t="s">
        <v>2711</v>
      </c>
      <c r="D1" s="8" t="s">
        <v>2712</v>
      </c>
      <c r="E1" s="8" t="s">
        <v>2236</v>
      </c>
      <c r="F1" s="8" t="s">
        <v>2237</v>
      </c>
      <c r="G1" s="8" t="s">
        <v>2238</v>
      </c>
      <c r="H1" s="8" t="s">
        <v>2239</v>
      </c>
      <c r="I1" s="8" t="s">
        <v>2240</v>
      </c>
      <c r="J1" s="8" t="s">
        <v>2241</v>
      </c>
      <c r="K1" s="8" t="s">
        <v>2242</v>
      </c>
    </row>
    <row r="2" customFormat="false" ht="15" hidden="false" customHeight="false" outlineLevel="0" collapsed="false">
      <c r="A2" s="18" t="s">
        <v>2713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customFormat="false" ht="15" hidden="false" customHeight="false" outlineLevel="0" collapsed="false">
      <c r="B3" s="6" t="str">
        <f aca="false">INDEX('Dish Database'!$B:$B,MATCH(C3,'Dish Database'!$A:$A,0))</f>
        <v>Idli</v>
      </c>
      <c r="C3" s="16" t="s">
        <v>639</v>
      </c>
      <c r="D3" s="16" t="n">
        <v>80</v>
      </c>
      <c r="E3" s="13" t="n">
        <f aca="false">D3/100*INDEX('Dish Database'!$J:$J,MATCH(C3,'Dish Database'!$A:$A,0))</f>
        <v>106</v>
      </c>
      <c r="F3" s="17" t="n">
        <f aca="false">D3/100*INDEX('Dish Database'!$K:$K,MATCH(C3,'Dish Database'!$A:$A,0))</f>
        <v>3.36</v>
      </c>
      <c r="G3" s="17" t="n">
        <f aca="false">D3/100*INDEX('Dish Database'!$L:$L,MATCH(C3,'Dish Database'!$A:$A,0))</f>
        <v>22.8</v>
      </c>
      <c r="H3" s="17" t="n">
        <f aca="false">D3/100*INDEX('Dish Database'!$M:$M,MATCH(C3,'Dish Database'!$A:$A,0))</f>
        <v>0.4</v>
      </c>
      <c r="I3" s="17" t="n">
        <f aca="false">D3/100*INDEX('Dish Database'!$N:$N,MATCH(C3,'Dish Database'!$A:$A,0))</f>
        <v>1.12</v>
      </c>
      <c r="J3" s="17" t="n">
        <f aca="false">D3/100*INDEX('Dish Database'!$O:$O,MATCH(C3,'Dish Database'!$A:$A,0))</f>
        <v>0.16</v>
      </c>
      <c r="K3" s="13" t="n">
        <f aca="false">D3/100*INDEX('Dish Database'!$P:$P,MATCH(C3,'Dish Database'!$A:$A,0))</f>
        <v>200</v>
      </c>
    </row>
    <row r="4" customFormat="false" ht="15" hidden="false" customHeight="false" outlineLevel="0" collapsed="false">
      <c r="B4" s="6" t="str">
        <f aca="false">INDEX('Dish Database'!$B:$B,MATCH(C4,'Dish Database'!$A:$A,0))</f>
        <v>Sambar</v>
      </c>
      <c r="C4" s="16" t="s">
        <v>1051</v>
      </c>
      <c r="D4" s="16" t="n">
        <v>150</v>
      </c>
      <c r="E4" s="13" t="n">
        <f aca="false">D4/100*INDEX('Dish Database'!$J:$J,MATCH(C4,'Dish Database'!$A:$A,0))</f>
        <v>114</v>
      </c>
      <c r="F4" s="17" t="n">
        <f aca="false">D4/100*INDEX('Dish Database'!$K:$K,MATCH(C4,'Dish Database'!$A:$A,0))</f>
        <v>5.25</v>
      </c>
      <c r="G4" s="17" t="n">
        <f aca="false">D4/100*INDEX('Dish Database'!$L:$L,MATCH(C4,'Dish Database'!$A:$A,0))</f>
        <v>15.75</v>
      </c>
      <c r="H4" s="17" t="n">
        <f aca="false">D4/100*INDEX('Dish Database'!$M:$M,MATCH(C4,'Dish Database'!$A:$A,0))</f>
        <v>4.2</v>
      </c>
      <c r="I4" s="17" t="n">
        <f aca="false">D4/100*INDEX('Dish Database'!$N:$N,MATCH(C4,'Dish Database'!$A:$A,0))</f>
        <v>3.9</v>
      </c>
      <c r="J4" s="17" t="n">
        <f aca="false">D4/100*INDEX('Dish Database'!$O:$O,MATCH(C4,'Dish Database'!$A:$A,0))</f>
        <v>3</v>
      </c>
      <c r="K4" s="13" t="n">
        <f aca="false">D4/100*INDEX('Dish Database'!$P:$P,MATCH(C4,'Dish Database'!$A:$A,0))</f>
        <v>495</v>
      </c>
    </row>
    <row r="5" customFormat="false" ht="15" hidden="false" customHeight="false" outlineLevel="0" collapsed="false">
      <c r="B5" s="6" t="str">
        <f aca="false">INDEX('Dish Database'!$B:$B,MATCH(C5,'Dish Database'!$A:$A,0))</f>
        <v>Coconut chutney</v>
      </c>
      <c r="C5" s="16" t="s">
        <v>1899</v>
      </c>
      <c r="D5" s="16" t="n">
        <v>30</v>
      </c>
      <c r="E5" s="13" t="n">
        <f aca="false">D5/100*INDEX('Dish Database'!$J:$J,MATCH(C5,'Dish Database'!$A:$A,0))</f>
        <v>65.25</v>
      </c>
      <c r="F5" s="17" t="n">
        <f aca="false">D5/100*INDEX('Dish Database'!$K:$K,MATCH(C5,'Dish Database'!$A:$A,0))</f>
        <v>1.05</v>
      </c>
      <c r="G5" s="17" t="n">
        <f aca="false">D5/100*INDEX('Dish Database'!$L:$L,MATCH(C5,'Dish Database'!$A:$A,0))</f>
        <v>3.6</v>
      </c>
      <c r="H5" s="17" t="n">
        <f aca="false">D5/100*INDEX('Dish Database'!$M:$M,MATCH(C5,'Dish Database'!$A:$A,0))</f>
        <v>5.55</v>
      </c>
      <c r="I5" s="17" t="n">
        <f aca="false">D5/100*INDEX('Dish Database'!$N:$N,MATCH(C5,'Dish Database'!$A:$A,0))</f>
        <v>1.65</v>
      </c>
      <c r="J5" s="17" t="n">
        <f aca="false">D5/100*INDEX('Dish Database'!$O:$O,MATCH(C5,'Dish Database'!$A:$A,0))</f>
        <v>0.75</v>
      </c>
      <c r="K5" s="13" t="n">
        <f aca="false">D5/100*INDEX('Dish Database'!$P:$P,MATCH(C5,'Dish Database'!$A:$A,0))</f>
        <v>90</v>
      </c>
    </row>
    <row r="6" customFormat="false" ht="15" hidden="false" customHeight="false" outlineLevel="0" collapsed="false">
      <c r="A6" s="20"/>
      <c r="B6" s="21" t="s">
        <v>2714</v>
      </c>
      <c r="C6" s="20"/>
      <c r="D6" s="22" t="n">
        <f aca="false">SUM(D3:D5)</f>
        <v>260</v>
      </c>
      <c r="E6" s="22" t="n">
        <f aca="false">SUM(E3:E5)</f>
        <v>285.25</v>
      </c>
      <c r="F6" s="23" t="n">
        <f aca="false">SUM(F3:F5)</f>
        <v>9.66</v>
      </c>
      <c r="G6" s="23" t="n">
        <f aca="false">SUM(G3:G5)</f>
        <v>42.15</v>
      </c>
      <c r="H6" s="23" t="n">
        <f aca="false">SUM(H3:H5)</f>
        <v>10.15</v>
      </c>
      <c r="I6" s="23" t="n">
        <f aca="false">SUM(I3:I5)</f>
        <v>6.67</v>
      </c>
      <c r="J6" s="23" t="n">
        <f aca="false">SUM(J3:J5)</f>
        <v>3.91</v>
      </c>
      <c r="K6" s="22" t="n">
        <f aca="false">SUM(K3:K5)</f>
        <v>785</v>
      </c>
    </row>
    <row r="8" customFormat="false" ht="15" hidden="false" customHeight="false" outlineLevel="0" collapsed="false">
      <c r="A8" s="18" t="s">
        <v>2715</v>
      </c>
      <c r="B8" s="19"/>
      <c r="C8" s="19"/>
      <c r="D8" s="19"/>
      <c r="E8" s="19"/>
      <c r="F8" s="19"/>
      <c r="G8" s="19"/>
      <c r="H8" s="19"/>
      <c r="I8" s="19"/>
      <c r="J8" s="19"/>
      <c r="K8" s="19"/>
    </row>
    <row r="9" customFormat="false" ht="15" hidden="false" customHeight="false" outlineLevel="0" collapsed="false">
      <c r="B9" s="6" t="str">
        <f aca="false">INDEX('Dish Database'!$B:$B,MATCH(C9,'Dish Database'!$A:$A,0))</f>
        <v>Masala dosa</v>
      </c>
      <c r="C9" s="16" t="s">
        <v>664</v>
      </c>
      <c r="D9" s="16" t="n">
        <v>170</v>
      </c>
      <c r="E9" s="13" t="n">
        <f aca="false">D9/100*INDEX('Dish Database'!$J:$J,MATCH(C9,'Dish Database'!$A:$A,0))</f>
        <v>286.28</v>
      </c>
      <c r="F9" s="17" t="n">
        <f aca="false">D9/100*INDEX('Dish Database'!$K:$K,MATCH(C9,'Dish Database'!$A:$A,0))</f>
        <v>6.12</v>
      </c>
      <c r="G9" s="17" t="n">
        <f aca="false">D9/100*INDEX('Dish Database'!$L:$L,MATCH(C9,'Dish Database'!$A:$A,0))</f>
        <v>44.2</v>
      </c>
      <c r="H9" s="17" t="n">
        <f aca="false">D9/100*INDEX('Dish Database'!$M:$M,MATCH(C9,'Dish Database'!$A:$A,0))</f>
        <v>10.2</v>
      </c>
      <c r="I9" s="17" t="n">
        <f aca="false">D9/100*INDEX('Dish Database'!$N:$N,MATCH(C9,'Dish Database'!$A:$A,0))</f>
        <v>3.4</v>
      </c>
      <c r="J9" s="17" t="n">
        <f aca="false">D9/100*INDEX('Dish Database'!$O:$O,MATCH(C9,'Dish Database'!$A:$A,0))</f>
        <v>1.7</v>
      </c>
      <c r="K9" s="13" t="n">
        <f aca="false">D9/100*INDEX('Dish Database'!$P:$P,MATCH(C9,'Dish Database'!$A:$A,0))</f>
        <v>561</v>
      </c>
    </row>
    <row r="10" customFormat="false" ht="15" hidden="false" customHeight="false" outlineLevel="0" collapsed="false">
      <c r="B10" s="6" t="str">
        <f aca="false">INDEX('Dish Database'!$B:$B,MATCH(C10,'Dish Database'!$A:$A,0))</f>
        <v>Sambar</v>
      </c>
      <c r="C10" s="16" t="s">
        <v>1051</v>
      </c>
      <c r="D10" s="16" t="n">
        <v>150</v>
      </c>
      <c r="E10" s="13" t="n">
        <f aca="false">D10/100*INDEX('Dish Database'!$J:$J,MATCH(C10,'Dish Database'!$A:$A,0))</f>
        <v>114</v>
      </c>
      <c r="F10" s="17" t="n">
        <f aca="false">D10/100*INDEX('Dish Database'!$K:$K,MATCH(C10,'Dish Database'!$A:$A,0))</f>
        <v>5.25</v>
      </c>
      <c r="G10" s="17" t="n">
        <f aca="false">D10/100*INDEX('Dish Database'!$L:$L,MATCH(C10,'Dish Database'!$A:$A,0))</f>
        <v>15.75</v>
      </c>
      <c r="H10" s="17" t="n">
        <f aca="false">D10/100*INDEX('Dish Database'!$M:$M,MATCH(C10,'Dish Database'!$A:$A,0))</f>
        <v>4.2</v>
      </c>
      <c r="I10" s="17" t="n">
        <f aca="false">D10/100*INDEX('Dish Database'!$N:$N,MATCH(C10,'Dish Database'!$A:$A,0))</f>
        <v>3.9</v>
      </c>
      <c r="J10" s="17" t="n">
        <f aca="false">D10/100*INDEX('Dish Database'!$O:$O,MATCH(C10,'Dish Database'!$A:$A,0))</f>
        <v>3</v>
      </c>
      <c r="K10" s="13" t="n">
        <f aca="false">D10/100*INDEX('Dish Database'!$P:$P,MATCH(C10,'Dish Database'!$A:$A,0))</f>
        <v>495</v>
      </c>
    </row>
    <row r="11" customFormat="false" ht="15" hidden="false" customHeight="false" outlineLevel="0" collapsed="false">
      <c r="B11" s="6" t="str">
        <f aca="false">INDEX('Dish Database'!$B:$B,MATCH(C11,'Dish Database'!$A:$A,0))</f>
        <v>Coconut chutney</v>
      </c>
      <c r="C11" s="16" t="s">
        <v>1899</v>
      </c>
      <c r="D11" s="16" t="n">
        <v>30</v>
      </c>
      <c r="E11" s="13" t="n">
        <f aca="false">D11/100*INDEX('Dish Database'!$J:$J,MATCH(C11,'Dish Database'!$A:$A,0))</f>
        <v>65.25</v>
      </c>
      <c r="F11" s="17" t="n">
        <f aca="false">D11/100*INDEX('Dish Database'!$K:$K,MATCH(C11,'Dish Database'!$A:$A,0))</f>
        <v>1.05</v>
      </c>
      <c r="G11" s="17" t="n">
        <f aca="false">D11/100*INDEX('Dish Database'!$L:$L,MATCH(C11,'Dish Database'!$A:$A,0))</f>
        <v>3.6</v>
      </c>
      <c r="H11" s="17" t="n">
        <f aca="false">D11/100*INDEX('Dish Database'!$M:$M,MATCH(C11,'Dish Database'!$A:$A,0))</f>
        <v>5.55</v>
      </c>
      <c r="I11" s="17" t="n">
        <f aca="false">D11/100*INDEX('Dish Database'!$N:$N,MATCH(C11,'Dish Database'!$A:$A,0))</f>
        <v>1.65</v>
      </c>
      <c r="J11" s="17" t="n">
        <f aca="false">D11/100*INDEX('Dish Database'!$O:$O,MATCH(C11,'Dish Database'!$A:$A,0))</f>
        <v>0.75</v>
      </c>
      <c r="K11" s="13" t="n">
        <f aca="false">D11/100*INDEX('Dish Database'!$P:$P,MATCH(C11,'Dish Database'!$A:$A,0))</f>
        <v>90</v>
      </c>
    </row>
    <row r="12" customFormat="false" ht="15" hidden="false" customHeight="false" outlineLevel="0" collapsed="false">
      <c r="A12" s="20"/>
      <c r="B12" s="21" t="s">
        <v>2714</v>
      </c>
      <c r="C12" s="20"/>
      <c r="D12" s="22" t="n">
        <f aca="false">SUM(D9:D11)</f>
        <v>350</v>
      </c>
      <c r="E12" s="22" t="n">
        <f aca="false">SUM(E9:E11)</f>
        <v>465.53</v>
      </c>
      <c r="F12" s="23" t="n">
        <f aca="false">SUM(F9:F11)</f>
        <v>12.42</v>
      </c>
      <c r="G12" s="23" t="n">
        <f aca="false">SUM(G9:G11)</f>
        <v>63.55</v>
      </c>
      <c r="H12" s="23" t="n">
        <f aca="false">SUM(H9:H11)</f>
        <v>19.95</v>
      </c>
      <c r="I12" s="23" t="n">
        <f aca="false">SUM(I9:I11)</f>
        <v>8.95</v>
      </c>
      <c r="J12" s="23" t="n">
        <f aca="false">SUM(J9:J11)</f>
        <v>5.45</v>
      </c>
      <c r="K12" s="22" t="n">
        <f aca="false">SUM(K9:K11)</f>
        <v>1146</v>
      </c>
    </row>
    <row r="14" customFormat="false" ht="15" hidden="false" customHeight="false" outlineLevel="0" collapsed="false">
      <c r="A14" s="18" t="s">
        <v>2716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</row>
    <row r="15" customFormat="false" ht="15" hidden="false" customHeight="false" outlineLevel="0" collapsed="false">
      <c r="B15" s="6" t="str">
        <f aca="false">INDEX('Dish Database'!$B:$B,MATCH(C15,'Dish Database'!$A:$A,0))</f>
        <v>Medu vada</v>
      </c>
      <c r="C15" s="16" t="s">
        <v>729</v>
      </c>
      <c r="D15" s="16" t="n">
        <v>100</v>
      </c>
      <c r="E15" s="13" t="n">
        <f aca="false">D15/100*INDEX('Dish Database'!$J:$J,MATCH(C15,'Dish Database'!$A:$A,0))</f>
        <v>280</v>
      </c>
      <c r="F15" s="17" t="n">
        <f aca="false">D15/100*INDEX('Dish Database'!$K:$K,MATCH(C15,'Dish Database'!$A:$A,0))</f>
        <v>10</v>
      </c>
      <c r="G15" s="17" t="n">
        <f aca="false">D15/100*INDEX('Dish Database'!$L:$L,MATCH(C15,'Dish Database'!$A:$A,0))</f>
        <v>24</v>
      </c>
      <c r="H15" s="17" t="n">
        <f aca="false">D15/100*INDEX('Dish Database'!$M:$M,MATCH(C15,'Dish Database'!$A:$A,0))</f>
        <v>17</v>
      </c>
      <c r="I15" s="17" t="n">
        <f aca="false">D15/100*INDEX('Dish Database'!$N:$N,MATCH(C15,'Dish Database'!$A:$A,0))</f>
        <v>4.5</v>
      </c>
      <c r="J15" s="17" t="n">
        <f aca="false">D15/100*INDEX('Dish Database'!$O:$O,MATCH(C15,'Dish Database'!$A:$A,0))</f>
        <v>0.5</v>
      </c>
      <c r="K15" s="13" t="n">
        <f aca="false">D15/100*INDEX('Dish Database'!$P:$P,MATCH(C15,'Dish Database'!$A:$A,0))</f>
        <v>380</v>
      </c>
    </row>
    <row r="16" customFormat="false" ht="15" hidden="false" customHeight="false" outlineLevel="0" collapsed="false">
      <c r="B16" s="6" t="str">
        <f aca="false">INDEX('Dish Database'!$B:$B,MATCH(C16,'Dish Database'!$A:$A,0))</f>
        <v>Sambar</v>
      </c>
      <c r="C16" s="16" t="s">
        <v>1051</v>
      </c>
      <c r="D16" s="16" t="n">
        <v>150</v>
      </c>
      <c r="E16" s="13" t="n">
        <f aca="false">D16/100*INDEX('Dish Database'!$J:$J,MATCH(C16,'Dish Database'!$A:$A,0))</f>
        <v>114</v>
      </c>
      <c r="F16" s="17" t="n">
        <f aca="false">D16/100*INDEX('Dish Database'!$K:$K,MATCH(C16,'Dish Database'!$A:$A,0))</f>
        <v>5.25</v>
      </c>
      <c r="G16" s="17" t="n">
        <f aca="false">D16/100*INDEX('Dish Database'!$L:$L,MATCH(C16,'Dish Database'!$A:$A,0))</f>
        <v>15.75</v>
      </c>
      <c r="H16" s="17" t="n">
        <f aca="false">D16/100*INDEX('Dish Database'!$M:$M,MATCH(C16,'Dish Database'!$A:$A,0))</f>
        <v>4.2</v>
      </c>
      <c r="I16" s="17" t="n">
        <f aca="false">D16/100*INDEX('Dish Database'!$N:$N,MATCH(C16,'Dish Database'!$A:$A,0))</f>
        <v>3.9</v>
      </c>
      <c r="J16" s="17" t="n">
        <f aca="false">D16/100*INDEX('Dish Database'!$O:$O,MATCH(C16,'Dish Database'!$A:$A,0))</f>
        <v>3</v>
      </c>
      <c r="K16" s="13" t="n">
        <f aca="false">D16/100*INDEX('Dish Database'!$P:$P,MATCH(C16,'Dish Database'!$A:$A,0))</f>
        <v>495</v>
      </c>
    </row>
    <row r="17" customFormat="false" ht="15" hidden="false" customHeight="false" outlineLevel="0" collapsed="false">
      <c r="B17" s="6" t="str">
        <f aca="false">INDEX('Dish Database'!$B:$B,MATCH(C17,'Dish Database'!$A:$A,0))</f>
        <v>Coconut chutney</v>
      </c>
      <c r="C17" s="16" t="s">
        <v>1899</v>
      </c>
      <c r="D17" s="16" t="n">
        <v>30</v>
      </c>
      <c r="E17" s="13" t="n">
        <f aca="false">D17/100*INDEX('Dish Database'!$J:$J,MATCH(C17,'Dish Database'!$A:$A,0))</f>
        <v>65.25</v>
      </c>
      <c r="F17" s="17" t="n">
        <f aca="false">D17/100*INDEX('Dish Database'!$K:$K,MATCH(C17,'Dish Database'!$A:$A,0))</f>
        <v>1.05</v>
      </c>
      <c r="G17" s="17" t="n">
        <f aca="false">D17/100*INDEX('Dish Database'!$L:$L,MATCH(C17,'Dish Database'!$A:$A,0))</f>
        <v>3.6</v>
      </c>
      <c r="H17" s="17" t="n">
        <f aca="false">D17/100*INDEX('Dish Database'!$M:$M,MATCH(C17,'Dish Database'!$A:$A,0))</f>
        <v>5.55</v>
      </c>
      <c r="I17" s="17" t="n">
        <f aca="false">D17/100*INDEX('Dish Database'!$N:$N,MATCH(C17,'Dish Database'!$A:$A,0))</f>
        <v>1.65</v>
      </c>
      <c r="J17" s="17" t="n">
        <f aca="false">D17/100*INDEX('Dish Database'!$O:$O,MATCH(C17,'Dish Database'!$A:$A,0))</f>
        <v>0.75</v>
      </c>
      <c r="K17" s="13" t="n">
        <f aca="false">D17/100*INDEX('Dish Database'!$P:$P,MATCH(C17,'Dish Database'!$A:$A,0))</f>
        <v>90</v>
      </c>
    </row>
    <row r="18" customFormat="false" ht="15" hidden="false" customHeight="false" outlineLevel="0" collapsed="false">
      <c r="A18" s="20"/>
      <c r="B18" s="21" t="s">
        <v>2714</v>
      </c>
      <c r="C18" s="20"/>
      <c r="D18" s="22" t="n">
        <f aca="false">SUM(D15:D17)</f>
        <v>280</v>
      </c>
      <c r="E18" s="22" t="n">
        <f aca="false">SUM(E15:E17)</f>
        <v>459.25</v>
      </c>
      <c r="F18" s="23" t="n">
        <f aca="false">SUM(F15:F17)</f>
        <v>16.3</v>
      </c>
      <c r="G18" s="23" t="n">
        <f aca="false">SUM(G15:G17)</f>
        <v>43.35</v>
      </c>
      <c r="H18" s="23" t="n">
        <f aca="false">SUM(H15:H17)</f>
        <v>26.75</v>
      </c>
      <c r="I18" s="23" t="n">
        <f aca="false">SUM(I15:I17)</f>
        <v>10.05</v>
      </c>
      <c r="J18" s="23" t="n">
        <f aca="false">SUM(J15:J17)</f>
        <v>4.25</v>
      </c>
      <c r="K18" s="22" t="n">
        <f aca="false">SUM(K15:K17)</f>
        <v>965</v>
      </c>
    </row>
    <row r="20" customFormat="false" ht="15" hidden="false" customHeight="false" outlineLevel="0" collapsed="false">
      <c r="A20" s="18" t="s">
        <v>2717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customFormat="false" ht="15" hidden="false" customHeight="false" outlineLevel="0" collapsed="false">
      <c r="B21" s="6" t="str">
        <f aca="false">INDEX('Dish Database'!$B:$B,MATCH(C21,'Dish Database'!$A:$A,0))</f>
        <v>Ven pongal</v>
      </c>
      <c r="C21" s="16" t="s">
        <v>741</v>
      </c>
      <c r="D21" s="16" t="n">
        <v>175</v>
      </c>
      <c r="E21" s="13" t="n">
        <f aca="false">D21/100*INDEX('Dish Database'!$J:$J,MATCH(C21,'Dish Database'!$A:$A,0))</f>
        <v>273.175</v>
      </c>
      <c r="F21" s="17" t="n">
        <f aca="false">D21/100*INDEX('Dish Database'!$K:$K,MATCH(C21,'Dish Database'!$A:$A,0))</f>
        <v>7</v>
      </c>
      <c r="G21" s="17" t="n">
        <f aca="false">D21/100*INDEX('Dish Database'!$L:$L,MATCH(C21,'Dish Database'!$A:$A,0))</f>
        <v>36.75</v>
      </c>
      <c r="H21" s="17" t="n">
        <f aca="false">D21/100*INDEX('Dish Database'!$M:$M,MATCH(C21,'Dish Database'!$A:$A,0))</f>
        <v>11.375</v>
      </c>
      <c r="I21" s="17" t="n">
        <f aca="false">D21/100*INDEX('Dish Database'!$N:$N,MATCH(C21,'Dish Database'!$A:$A,0))</f>
        <v>2.1</v>
      </c>
      <c r="J21" s="17" t="n">
        <f aca="false">D21/100*INDEX('Dish Database'!$O:$O,MATCH(C21,'Dish Database'!$A:$A,0))</f>
        <v>0.525</v>
      </c>
      <c r="K21" s="13" t="n">
        <f aca="false">D21/100*INDEX('Dish Database'!$P:$P,MATCH(C21,'Dish Database'!$A:$A,0))</f>
        <v>525</v>
      </c>
    </row>
    <row r="22" customFormat="false" ht="15" hidden="false" customHeight="false" outlineLevel="0" collapsed="false">
      <c r="B22" s="6" t="str">
        <f aca="false">INDEX('Dish Database'!$B:$B,MATCH(C22,'Dish Database'!$A:$A,0))</f>
        <v>Medu vada</v>
      </c>
      <c r="C22" s="16" t="s">
        <v>729</v>
      </c>
      <c r="D22" s="16" t="n">
        <v>50</v>
      </c>
      <c r="E22" s="13" t="n">
        <f aca="false">D22/100*INDEX('Dish Database'!$J:$J,MATCH(C22,'Dish Database'!$A:$A,0))</f>
        <v>140</v>
      </c>
      <c r="F22" s="17" t="n">
        <f aca="false">D22/100*INDEX('Dish Database'!$K:$K,MATCH(C22,'Dish Database'!$A:$A,0))</f>
        <v>5</v>
      </c>
      <c r="G22" s="17" t="n">
        <f aca="false">D22/100*INDEX('Dish Database'!$L:$L,MATCH(C22,'Dish Database'!$A:$A,0))</f>
        <v>12</v>
      </c>
      <c r="H22" s="17" t="n">
        <f aca="false">D22/100*INDEX('Dish Database'!$M:$M,MATCH(C22,'Dish Database'!$A:$A,0))</f>
        <v>8.5</v>
      </c>
      <c r="I22" s="17" t="n">
        <f aca="false">D22/100*INDEX('Dish Database'!$N:$N,MATCH(C22,'Dish Database'!$A:$A,0))</f>
        <v>2.25</v>
      </c>
      <c r="J22" s="17" t="n">
        <f aca="false">D22/100*INDEX('Dish Database'!$O:$O,MATCH(C22,'Dish Database'!$A:$A,0))</f>
        <v>0.25</v>
      </c>
      <c r="K22" s="13" t="n">
        <f aca="false">D22/100*INDEX('Dish Database'!$P:$P,MATCH(C22,'Dish Database'!$A:$A,0))</f>
        <v>190</v>
      </c>
    </row>
    <row r="23" customFormat="false" ht="15" hidden="false" customHeight="false" outlineLevel="0" collapsed="false">
      <c r="B23" s="6" t="str">
        <f aca="false">INDEX('Dish Database'!$B:$B,MATCH(C23,'Dish Database'!$A:$A,0))</f>
        <v>Sambar</v>
      </c>
      <c r="C23" s="16" t="s">
        <v>1051</v>
      </c>
      <c r="D23" s="16" t="n">
        <v>100</v>
      </c>
      <c r="E23" s="13" t="n">
        <f aca="false">D23/100*INDEX('Dish Database'!$J:$J,MATCH(C23,'Dish Database'!$A:$A,0))</f>
        <v>76</v>
      </c>
      <c r="F23" s="17" t="n">
        <f aca="false">D23/100*INDEX('Dish Database'!$K:$K,MATCH(C23,'Dish Database'!$A:$A,0))</f>
        <v>3.5</v>
      </c>
      <c r="G23" s="17" t="n">
        <f aca="false">D23/100*INDEX('Dish Database'!$L:$L,MATCH(C23,'Dish Database'!$A:$A,0))</f>
        <v>10.5</v>
      </c>
      <c r="H23" s="17" t="n">
        <f aca="false">D23/100*INDEX('Dish Database'!$M:$M,MATCH(C23,'Dish Database'!$A:$A,0))</f>
        <v>2.8</v>
      </c>
      <c r="I23" s="17" t="n">
        <f aca="false">D23/100*INDEX('Dish Database'!$N:$N,MATCH(C23,'Dish Database'!$A:$A,0))</f>
        <v>2.6</v>
      </c>
      <c r="J23" s="17" t="n">
        <f aca="false">D23/100*INDEX('Dish Database'!$O:$O,MATCH(C23,'Dish Database'!$A:$A,0))</f>
        <v>2</v>
      </c>
      <c r="K23" s="13" t="n">
        <f aca="false">D23/100*INDEX('Dish Database'!$P:$P,MATCH(C23,'Dish Database'!$A:$A,0))</f>
        <v>330</v>
      </c>
    </row>
    <row r="24" customFormat="false" ht="15" hidden="false" customHeight="false" outlineLevel="0" collapsed="false">
      <c r="B24" s="6" t="str">
        <f aca="false">INDEX('Dish Database'!$B:$B,MATCH(C24,'Dish Database'!$A:$A,0))</f>
        <v>Coconut chutney</v>
      </c>
      <c r="C24" s="16" t="s">
        <v>1899</v>
      </c>
      <c r="D24" s="16" t="n">
        <v>30</v>
      </c>
      <c r="E24" s="13" t="n">
        <f aca="false">D24/100*INDEX('Dish Database'!$J:$J,MATCH(C24,'Dish Database'!$A:$A,0))</f>
        <v>65.25</v>
      </c>
      <c r="F24" s="17" t="n">
        <f aca="false">D24/100*INDEX('Dish Database'!$K:$K,MATCH(C24,'Dish Database'!$A:$A,0))</f>
        <v>1.05</v>
      </c>
      <c r="G24" s="17" t="n">
        <f aca="false">D24/100*INDEX('Dish Database'!$L:$L,MATCH(C24,'Dish Database'!$A:$A,0))</f>
        <v>3.6</v>
      </c>
      <c r="H24" s="17" t="n">
        <f aca="false">D24/100*INDEX('Dish Database'!$M:$M,MATCH(C24,'Dish Database'!$A:$A,0))</f>
        <v>5.55</v>
      </c>
      <c r="I24" s="17" t="n">
        <f aca="false">D24/100*INDEX('Dish Database'!$N:$N,MATCH(C24,'Dish Database'!$A:$A,0))</f>
        <v>1.65</v>
      </c>
      <c r="J24" s="17" t="n">
        <f aca="false">D24/100*INDEX('Dish Database'!$O:$O,MATCH(C24,'Dish Database'!$A:$A,0))</f>
        <v>0.75</v>
      </c>
      <c r="K24" s="13" t="n">
        <f aca="false">D24/100*INDEX('Dish Database'!$P:$P,MATCH(C24,'Dish Database'!$A:$A,0))</f>
        <v>90</v>
      </c>
    </row>
    <row r="25" customFormat="false" ht="15" hidden="false" customHeight="false" outlineLevel="0" collapsed="false">
      <c r="A25" s="20"/>
      <c r="B25" s="21" t="s">
        <v>2714</v>
      </c>
      <c r="C25" s="20"/>
      <c r="D25" s="22" t="n">
        <f aca="false">SUM(D21:D24)</f>
        <v>355</v>
      </c>
      <c r="E25" s="22" t="n">
        <f aca="false">SUM(E21:E24)</f>
        <v>554.425</v>
      </c>
      <c r="F25" s="23" t="n">
        <f aca="false">SUM(F21:F24)</f>
        <v>16.55</v>
      </c>
      <c r="G25" s="23" t="n">
        <f aca="false">SUM(G21:G24)</f>
        <v>62.85</v>
      </c>
      <c r="H25" s="23" t="n">
        <f aca="false">SUM(H21:H24)</f>
        <v>28.225</v>
      </c>
      <c r="I25" s="23" t="n">
        <f aca="false">SUM(I21:I24)</f>
        <v>8.6</v>
      </c>
      <c r="J25" s="23" t="n">
        <f aca="false">SUM(J21:J24)</f>
        <v>3.525</v>
      </c>
      <c r="K25" s="22" t="n">
        <f aca="false">SUM(K21:K24)</f>
        <v>1135</v>
      </c>
    </row>
    <row r="27" customFormat="false" ht="15" hidden="false" customHeight="false" outlineLevel="0" collapsed="false">
      <c r="A27" s="18" t="s">
        <v>2718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customFormat="false" ht="15" hidden="false" customHeight="false" outlineLevel="0" collapsed="false">
      <c r="B28" s="6" t="str">
        <f aca="false">INDEX('Dish Database'!$B:$B,MATCH(C28,'Dish Database'!$A:$A,0))</f>
        <v>Upma (rava)</v>
      </c>
      <c r="C28" s="16" t="s">
        <v>445</v>
      </c>
      <c r="D28" s="16" t="n">
        <v>175</v>
      </c>
      <c r="E28" s="13" t="n">
        <f aca="false">D28/100*INDEX('Dish Database'!$J:$J,MATCH(C28,'Dish Database'!$A:$A,0))</f>
        <v>260.925</v>
      </c>
      <c r="F28" s="17" t="n">
        <f aca="false">D28/100*INDEX('Dish Database'!$K:$K,MATCH(C28,'Dish Database'!$A:$A,0))</f>
        <v>6.125</v>
      </c>
      <c r="G28" s="17" t="n">
        <f aca="false">D28/100*INDEX('Dish Database'!$L:$L,MATCH(C28,'Dish Database'!$A:$A,0))</f>
        <v>38.5</v>
      </c>
      <c r="H28" s="17" t="n">
        <f aca="false">D28/100*INDEX('Dish Database'!$M:$M,MATCH(C28,'Dish Database'!$A:$A,0))</f>
        <v>9.625</v>
      </c>
      <c r="I28" s="17" t="n">
        <f aca="false">D28/100*INDEX('Dish Database'!$N:$N,MATCH(C28,'Dish Database'!$A:$A,0))</f>
        <v>2.1</v>
      </c>
      <c r="J28" s="17" t="n">
        <f aca="false">D28/100*INDEX('Dish Database'!$O:$O,MATCH(C28,'Dish Database'!$A:$A,0))</f>
        <v>1.75</v>
      </c>
      <c r="K28" s="13" t="n">
        <f aca="false">D28/100*INDEX('Dish Database'!$P:$P,MATCH(C28,'Dish Database'!$A:$A,0))</f>
        <v>577.5</v>
      </c>
    </row>
    <row r="29" customFormat="false" ht="15" hidden="false" customHeight="false" outlineLevel="0" collapsed="false">
      <c r="B29" s="6" t="str">
        <f aca="false">INDEX('Dish Database'!$B:$B,MATCH(C29,'Dish Database'!$A:$A,0))</f>
        <v>South Indian filter coffee (milk + sugar)</v>
      </c>
      <c r="C29" s="16" t="s">
        <v>132</v>
      </c>
      <c r="D29" s="16" t="n">
        <v>150</v>
      </c>
      <c r="E29" s="13" t="n">
        <f aca="false">D29/100*INDEX('Dish Database'!$J:$J,MATCH(C29,'Dish Database'!$A:$A,0))</f>
        <v>106.35</v>
      </c>
      <c r="F29" s="17" t="n">
        <f aca="false">D29/100*INDEX('Dish Database'!$K:$K,MATCH(C29,'Dish Database'!$A:$A,0))</f>
        <v>3.9</v>
      </c>
      <c r="G29" s="17" t="n">
        <f aca="false">D29/100*INDEX('Dish Database'!$L:$L,MATCH(C29,'Dish Database'!$A:$A,0))</f>
        <v>14.25</v>
      </c>
      <c r="H29" s="17" t="n">
        <f aca="false">D29/100*INDEX('Dish Database'!$M:$M,MATCH(C29,'Dish Database'!$A:$A,0))</f>
        <v>3.75</v>
      </c>
      <c r="I29" s="17" t="n">
        <f aca="false">D29/100*INDEX('Dish Database'!$N:$N,MATCH(C29,'Dish Database'!$A:$A,0))</f>
        <v>0</v>
      </c>
      <c r="J29" s="17" t="n">
        <f aca="false">D29/100*INDEX('Dish Database'!$O:$O,MATCH(C29,'Dish Database'!$A:$A,0))</f>
        <v>14.25</v>
      </c>
      <c r="K29" s="13" t="n">
        <f aca="false">D29/100*INDEX('Dish Database'!$P:$P,MATCH(C29,'Dish Database'!$A:$A,0))</f>
        <v>52.5</v>
      </c>
    </row>
    <row r="30" customFormat="false" ht="15" hidden="false" customHeight="false" outlineLevel="0" collapsed="false">
      <c r="A30" s="20"/>
      <c r="B30" s="21" t="s">
        <v>2714</v>
      </c>
      <c r="C30" s="20"/>
      <c r="D30" s="22" t="n">
        <f aca="false">SUM(D28:D29)</f>
        <v>325</v>
      </c>
      <c r="E30" s="22" t="n">
        <f aca="false">SUM(E28:E29)</f>
        <v>367.275</v>
      </c>
      <c r="F30" s="23" t="n">
        <f aca="false">SUM(F28:F29)</f>
        <v>10.025</v>
      </c>
      <c r="G30" s="23" t="n">
        <f aca="false">SUM(G28:G29)</f>
        <v>52.75</v>
      </c>
      <c r="H30" s="23" t="n">
        <f aca="false">SUM(H28:H29)</f>
        <v>13.375</v>
      </c>
      <c r="I30" s="23" t="n">
        <f aca="false">SUM(I28:I29)</f>
        <v>2.1</v>
      </c>
      <c r="J30" s="23" t="n">
        <f aca="false">SUM(J28:J29)</f>
        <v>16</v>
      </c>
      <c r="K30" s="22" t="n">
        <f aca="false">SUM(K28:K29)</f>
        <v>630</v>
      </c>
    </row>
    <row r="32" customFormat="false" ht="15" hidden="false" customHeight="false" outlineLevel="0" collapsed="false">
      <c r="A32" s="18" t="s">
        <v>2719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customFormat="false" ht="15" hidden="false" customHeight="false" outlineLevel="0" collapsed="false">
      <c r="B33" s="6" t="str">
        <f aca="false">INDEX('Dish Database'!$B:$B,MATCH(C33,'Dish Database'!$A:$A,0))</f>
        <v>Poha (kanda/Indori, with peanuts)</v>
      </c>
      <c r="C33" s="16" t="s">
        <v>439</v>
      </c>
      <c r="D33" s="16" t="n">
        <v>175</v>
      </c>
      <c r="E33" s="13" t="n">
        <f aca="false">D33/100*INDEX('Dish Database'!$J:$J,MATCH(C33,'Dish Database'!$A:$A,0))</f>
        <v>289.45</v>
      </c>
      <c r="F33" s="17" t="n">
        <f aca="false">D33/100*INDEX('Dish Database'!$K:$K,MATCH(C33,'Dish Database'!$A:$A,0))</f>
        <v>6.3</v>
      </c>
      <c r="G33" s="17" t="n">
        <f aca="false">D33/100*INDEX('Dish Database'!$L:$L,MATCH(C33,'Dish Database'!$A:$A,0))</f>
        <v>44.625</v>
      </c>
      <c r="H33" s="17" t="n">
        <f aca="false">D33/100*INDEX('Dish Database'!$M:$M,MATCH(C33,'Dish Database'!$A:$A,0))</f>
        <v>10.15</v>
      </c>
      <c r="I33" s="17" t="n">
        <f aca="false">D33/100*INDEX('Dish Database'!$N:$N,MATCH(C33,'Dish Database'!$A:$A,0))</f>
        <v>2.8</v>
      </c>
      <c r="J33" s="17" t="n">
        <f aca="false">D33/100*INDEX('Dish Database'!$O:$O,MATCH(C33,'Dish Database'!$A:$A,0))</f>
        <v>3.15</v>
      </c>
      <c r="K33" s="13" t="n">
        <f aca="false">D33/100*INDEX('Dish Database'!$P:$P,MATCH(C33,'Dish Database'!$A:$A,0))</f>
        <v>560</v>
      </c>
    </row>
    <row r="34" customFormat="false" ht="15" hidden="false" customHeight="false" outlineLevel="0" collapsed="false">
      <c r="B34" s="6" t="str">
        <f aca="false">INDEX('Dish Database'!$B:$B,MATCH(C34,'Dish Database'!$A:$A,0))</f>
        <v>Masala chai (milk + sugar)</v>
      </c>
      <c r="C34" s="16" t="s">
        <v>96</v>
      </c>
      <c r="D34" s="16" t="n">
        <v>150</v>
      </c>
      <c r="E34" s="13" t="n">
        <f aca="false">D34/100*INDEX('Dish Database'!$J:$J,MATCH(C34,'Dish Database'!$A:$A,0))</f>
        <v>83.25</v>
      </c>
      <c r="F34" s="17" t="n">
        <f aca="false">D34/100*INDEX('Dish Database'!$K:$K,MATCH(C34,'Dish Database'!$A:$A,0))</f>
        <v>2.4</v>
      </c>
      <c r="G34" s="17" t="n">
        <f aca="false">D34/100*INDEX('Dish Database'!$L:$L,MATCH(C34,'Dish Database'!$A:$A,0))</f>
        <v>13.35</v>
      </c>
      <c r="H34" s="17" t="n">
        <f aca="false">D34/100*INDEX('Dish Database'!$M:$M,MATCH(C34,'Dish Database'!$A:$A,0))</f>
        <v>2.25</v>
      </c>
      <c r="I34" s="17" t="n">
        <f aca="false">D34/100*INDEX('Dish Database'!$N:$N,MATCH(C34,'Dish Database'!$A:$A,0))</f>
        <v>0</v>
      </c>
      <c r="J34" s="17" t="n">
        <f aca="false">D34/100*INDEX('Dish Database'!$O:$O,MATCH(C34,'Dish Database'!$A:$A,0))</f>
        <v>13.35</v>
      </c>
      <c r="K34" s="13" t="n">
        <f aca="false">D34/100*INDEX('Dish Database'!$P:$P,MATCH(C34,'Dish Database'!$A:$A,0))</f>
        <v>33</v>
      </c>
    </row>
    <row r="35" customFormat="false" ht="15" hidden="false" customHeight="false" outlineLevel="0" collapsed="false">
      <c r="A35" s="20"/>
      <c r="B35" s="21" t="s">
        <v>2714</v>
      </c>
      <c r="C35" s="20"/>
      <c r="D35" s="22" t="n">
        <f aca="false">SUM(D33:D34)</f>
        <v>325</v>
      </c>
      <c r="E35" s="22" t="n">
        <f aca="false">SUM(E33:E34)</f>
        <v>372.7</v>
      </c>
      <c r="F35" s="23" t="n">
        <f aca="false">SUM(F33:F34)</f>
        <v>8.7</v>
      </c>
      <c r="G35" s="23" t="n">
        <f aca="false">SUM(G33:G34)</f>
        <v>57.975</v>
      </c>
      <c r="H35" s="23" t="n">
        <f aca="false">SUM(H33:H34)</f>
        <v>12.4</v>
      </c>
      <c r="I35" s="23" t="n">
        <f aca="false">SUM(I33:I34)</f>
        <v>2.8</v>
      </c>
      <c r="J35" s="23" t="n">
        <f aca="false">SUM(J33:J34)</f>
        <v>16.5</v>
      </c>
      <c r="K35" s="22" t="n">
        <f aca="false">SUM(K33:K34)</f>
        <v>593</v>
      </c>
    </row>
    <row r="37" customFormat="false" ht="15" hidden="false" customHeight="false" outlineLevel="0" collapsed="false">
      <c r="A37" s="18" t="s">
        <v>2720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customFormat="false" ht="15" hidden="false" customHeight="false" outlineLevel="0" collapsed="false">
      <c r="B38" s="6" t="str">
        <f aca="false">INDEX('Dish Database'!$B:$B,MATCH(C38,'Dish Database'!$A:$A,0))</f>
        <v>Aloo paratha</v>
      </c>
      <c r="C38" s="16" t="s">
        <v>491</v>
      </c>
      <c r="D38" s="16" t="n">
        <v>240</v>
      </c>
      <c r="E38" s="13" t="n">
        <f aca="false">D38/100*INDEX('Dish Database'!$J:$J,MATCH(C38,'Dish Database'!$A:$A,0))</f>
        <v>560.4</v>
      </c>
      <c r="F38" s="17" t="n">
        <f aca="false">D38/100*INDEX('Dish Database'!$K:$K,MATCH(C38,'Dish Database'!$A:$A,0))</f>
        <v>12</v>
      </c>
      <c r="G38" s="17" t="n">
        <f aca="false">D38/100*INDEX('Dish Database'!$L:$L,MATCH(C38,'Dish Database'!$A:$A,0))</f>
        <v>81.6</v>
      </c>
      <c r="H38" s="17" t="n">
        <f aca="false">D38/100*INDEX('Dish Database'!$M:$M,MATCH(C38,'Dish Database'!$A:$A,0))</f>
        <v>22.8</v>
      </c>
      <c r="I38" s="17" t="n">
        <f aca="false">D38/100*INDEX('Dish Database'!$N:$N,MATCH(C38,'Dish Database'!$A:$A,0))</f>
        <v>9.6</v>
      </c>
      <c r="J38" s="17" t="n">
        <f aca="false">D38/100*INDEX('Dish Database'!$O:$O,MATCH(C38,'Dish Database'!$A:$A,0))</f>
        <v>3.6</v>
      </c>
      <c r="K38" s="13" t="n">
        <f aca="false">D38/100*INDEX('Dish Database'!$P:$P,MATCH(C38,'Dish Database'!$A:$A,0))</f>
        <v>840</v>
      </c>
    </row>
    <row r="39" customFormat="false" ht="15" hidden="false" customHeight="false" outlineLevel="0" collapsed="false">
      <c r="B39" s="6" t="str">
        <f aca="false">INDEX('Dish Database'!$B:$B,MATCH(C39,'Dish Database'!$A:$A,0))</f>
        <v>Plain curd (dahi, whole milk)</v>
      </c>
      <c r="C39" s="16" t="s">
        <v>1852</v>
      </c>
      <c r="D39" s="16" t="n">
        <v>100</v>
      </c>
      <c r="E39" s="13" t="n">
        <f aca="false">D39/100*INDEX('Dish Database'!$J:$J,MATCH(C39,'Dish Database'!$A:$A,0))</f>
        <v>65.4</v>
      </c>
      <c r="F39" s="17" t="n">
        <f aca="false">D39/100*INDEX('Dish Database'!$K:$K,MATCH(C39,'Dish Database'!$A:$A,0))</f>
        <v>3.3</v>
      </c>
      <c r="G39" s="17" t="n">
        <f aca="false">D39/100*INDEX('Dish Database'!$L:$L,MATCH(C39,'Dish Database'!$A:$A,0))</f>
        <v>4.5</v>
      </c>
      <c r="H39" s="17" t="n">
        <f aca="false">D39/100*INDEX('Dish Database'!$M:$M,MATCH(C39,'Dish Database'!$A:$A,0))</f>
        <v>3.8</v>
      </c>
      <c r="I39" s="17" t="n">
        <f aca="false">D39/100*INDEX('Dish Database'!$N:$N,MATCH(C39,'Dish Database'!$A:$A,0))</f>
        <v>0</v>
      </c>
      <c r="J39" s="17" t="n">
        <f aca="false">D39/100*INDEX('Dish Database'!$O:$O,MATCH(C39,'Dish Database'!$A:$A,0))</f>
        <v>4.5</v>
      </c>
      <c r="K39" s="13" t="n">
        <f aca="false">D39/100*INDEX('Dish Database'!$P:$P,MATCH(C39,'Dish Database'!$A:$A,0))</f>
        <v>45</v>
      </c>
    </row>
    <row r="40" customFormat="false" ht="15" hidden="false" customHeight="false" outlineLevel="0" collapsed="false">
      <c r="B40" s="6" t="str">
        <f aca="false">INDEX('Dish Database'!$B:$B,MATCH(C40,'Dish Database'!$A:$A,0))</f>
        <v>Butter (salted)</v>
      </c>
      <c r="C40" s="16" t="s">
        <v>2212</v>
      </c>
      <c r="D40" s="16" t="n">
        <v>10</v>
      </c>
      <c r="E40" s="13" t="n">
        <f aca="false">D40/100*INDEX('Dish Database'!$J:$J,MATCH(C40,'Dish Database'!$A:$A,0))</f>
        <v>73.3</v>
      </c>
      <c r="F40" s="17" t="n">
        <f aca="false">D40/100*INDEX('Dish Database'!$K:$K,MATCH(C40,'Dish Database'!$A:$A,0))</f>
        <v>0.09</v>
      </c>
      <c r="G40" s="17" t="n">
        <f aca="false">D40/100*INDEX('Dish Database'!$L:$L,MATCH(C40,'Dish Database'!$A:$A,0))</f>
        <v>0.01</v>
      </c>
      <c r="H40" s="17" t="n">
        <f aca="false">D40/100*INDEX('Dish Database'!$M:$M,MATCH(C40,'Dish Database'!$A:$A,0))</f>
        <v>8.1</v>
      </c>
      <c r="I40" s="17" t="n">
        <f aca="false">D40/100*INDEX('Dish Database'!$N:$N,MATCH(C40,'Dish Database'!$A:$A,0))</f>
        <v>0</v>
      </c>
      <c r="J40" s="17" t="n">
        <f aca="false">D40/100*INDEX('Dish Database'!$O:$O,MATCH(C40,'Dish Database'!$A:$A,0))</f>
        <v>0.01</v>
      </c>
      <c r="K40" s="13" t="n">
        <f aca="false">D40/100*INDEX('Dish Database'!$P:$P,MATCH(C40,'Dish Database'!$A:$A,0))</f>
        <v>58</v>
      </c>
    </row>
    <row r="41" customFormat="false" ht="15" hidden="false" customHeight="false" outlineLevel="0" collapsed="false">
      <c r="B41" s="6" t="str">
        <f aca="false">INDEX('Dish Database'!$B:$B,MATCH(C41,'Dish Database'!$A:$A,0))</f>
        <v>Mango pickle (in oil)</v>
      </c>
      <c r="C41" s="16" t="s">
        <v>1933</v>
      </c>
      <c r="D41" s="16" t="n">
        <v>10</v>
      </c>
      <c r="E41" s="13" t="n">
        <f aca="false">D41/100*INDEX('Dish Database'!$J:$J,MATCH(C41,'Dish Database'!$A:$A,0))</f>
        <v>16.6</v>
      </c>
      <c r="F41" s="17" t="n">
        <f aca="false">D41/100*INDEX('Dish Database'!$K:$K,MATCH(C41,'Dish Database'!$A:$A,0))</f>
        <v>0.1</v>
      </c>
      <c r="G41" s="17" t="n">
        <f aca="false">D41/100*INDEX('Dish Database'!$L:$L,MATCH(C41,'Dish Database'!$A:$A,0))</f>
        <v>0.8</v>
      </c>
      <c r="H41" s="17" t="n">
        <f aca="false">D41/100*INDEX('Dish Database'!$M:$M,MATCH(C41,'Dish Database'!$A:$A,0))</f>
        <v>1.5</v>
      </c>
      <c r="I41" s="17" t="n">
        <f aca="false">D41/100*INDEX('Dish Database'!$N:$N,MATCH(C41,'Dish Database'!$A:$A,0))</f>
        <v>0.25</v>
      </c>
      <c r="J41" s="17" t="n">
        <f aca="false">D41/100*INDEX('Dish Database'!$O:$O,MATCH(C41,'Dish Database'!$A:$A,0))</f>
        <v>0.15</v>
      </c>
      <c r="K41" s="13" t="n">
        <f aca="false">D41/100*INDEX('Dish Database'!$P:$P,MATCH(C41,'Dish Database'!$A:$A,0))</f>
        <v>260</v>
      </c>
    </row>
    <row r="42" customFormat="false" ht="15" hidden="false" customHeight="false" outlineLevel="0" collapsed="false">
      <c r="A42" s="20"/>
      <c r="B42" s="21" t="s">
        <v>2714</v>
      </c>
      <c r="C42" s="20"/>
      <c r="D42" s="22" t="n">
        <f aca="false">SUM(D38:D41)</f>
        <v>360</v>
      </c>
      <c r="E42" s="22" t="n">
        <f aca="false">SUM(E38:E41)</f>
        <v>715.7</v>
      </c>
      <c r="F42" s="23" t="n">
        <f aca="false">SUM(F38:F41)</f>
        <v>15.49</v>
      </c>
      <c r="G42" s="23" t="n">
        <f aca="false">SUM(G38:G41)</f>
        <v>86.91</v>
      </c>
      <c r="H42" s="23" t="n">
        <f aca="false">SUM(H38:H41)</f>
        <v>36.2</v>
      </c>
      <c r="I42" s="23" t="n">
        <f aca="false">SUM(I38:I41)</f>
        <v>9.85</v>
      </c>
      <c r="J42" s="23" t="n">
        <f aca="false">SUM(J38:J41)</f>
        <v>8.26</v>
      </c>
      <c r="K42" s="22" t="n">
        <f aca="false">SUM(K38:K41)</f>
        <v>1203</v>
      </c>
    </row>
    <row r="44" customFormat="false" ht="15" hidden="false" customHeight="false" outlineLevel="0" collapsed="false">
      <c r="A44" s="18" t="s">
        <v>2721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customFormat="false" ht="15" hidden="false" customHeight="false" outlineLevel="0" collapsed="false">
      <c r="B45" s="6" t="str">
        <f aca="false">INDEX('Dish Database'!$B:$B,MATCH(C45,'Dish Database'!$A:$A,0))</f>
        <v>Bhatura</v>
      </c>
      <c r="C45" s="16" t="s">
        <v>832</v>
      </c>
      <c r="D45" s="16" t="n">
        <v>160</v>
      </c>
      <c r="E45" s="13" t="n">
        <f aca="false">D45/100*INDEX('Dish Database'!$J:$J,MATCH(C45,'Dish Database'!$A:$A,0))</f>
        <v>531.2</v>
      </c>
      <c r="F45" s="17" t="n">
        <f aca="false">D45/100*INDEX('Dish Database'!$K:$K,MATCH(C45,'Dish Database'!$A:$A,0))</f>
        <v>12</v>
      </c>
      <c r="G45" s="17" t="n">
        <f aca="false">D45/100*INDEX('Dish Database'!$L:$L,MATCH(C45,'Dish Database'!$A:$A,0))</f>
        <v>72</v>
      </c>
      <c r="H45" s="17" t="n">
        <f aca="false">D45/100*INDEX('Dish Database'!$M:$M,MATCH(C45,'Dish Database'!$A:$A,0))</f>
        <v>22.4</v>
      </c>
      <c r="I45" s="17" t="n">
        <f aca="false">D45/100*INDEX('Dish Database'!$N:$N,MATCH(C45,'Dish Database'!$A:$A,0))</f>
        <v>3.2</v>
      </c>
      <c r="J45" s="17" t="n">
        <f aca="false">D45/100*INDEX('Dish Database'!$O:$O,MATCH(C45,'Dish Database'!$A:$A,0))</f>
        <v>3.2</v>
      </c>
      <c r="K45" s="13" t="n">
        <f aca="false">D45/100*INDEX('Dish Database'!$P:$P,MATCH(C45,'Dish Database'!$A:$A,0))</f>
        <v>640</v>
      </c>
    </row>
    <row r="46" customFormat="false" ht="15" hidden="false" customHeight="false" outlineLevel="0" collapsed="false">
      <c r="B46" s="6" t="str">
        <f aca="false">INDEX('Dish Database'!$B:$B,MATCH(C46,'Dish Database'!$A:$A,0))</f>
        <v>Chole / Chana masala</v>
      </c>
      <c r="C46" s="16" t="s">
        <v>1015</v>
      </c>
      <c r="D46" s="16" t="n">
        <v>150</v>
      </c>
      <c r="E46" s="13" t="n">
        <f aca="false">D46/100*INDEX('Dish Database'!$J:$J,MATCH(C46,'Dish Database'!$A:$A,0))</f>
        <v>217.5</v>
      </c>
      <c r="F46" s="17" t="n">
        <f aca="false">D46/100*INDEX('Dish Database'!$K:$K,MATCH(C46,'Dish Database'!$A:$A,0))</f>
        <v>9.75</v>
      </c>
      <c r="G46" s="17" t="n">
        <f aca="false">D46/100*INDEX('Dish Database'!$L:$L,MATCH(C46,'Dish Database'!$A:$A,0))</f>
        <v>28.5</v>
      </c>
      <c r="H46" s="17" t="n">
        <f aca="false">D46/100*INDEX('Dish Database'!$M:$M,MATCH(C46,'Dish Database'!$A:$A,0))</f>
        <v>9</v>
      </c>
      <c r="I46" s="17" t="n">
        <f aca="false">D46/100*INDEX('Dish Database'!$N:$N,MATCH(C46,'Dish Database'!$A:$A,0))</f>
        <v>8.25</v>
      </c>
      <c r="J46" s="17" t="n">
        <f aca="false">D46/100*INDEX('Dish Database'!$O:$O,MATCH(C46,'Dish Database'!$A:$A,0))</f>
        <v>3</v>
      </c>
      <c r="K46" s="13" t="n">
        <f aca="false">D46/100*INDEX('Dish Database'!$P:$P,MATCH(C46,'Dish Database'!$A:$A,0))</f>
        <v>600</v>
      </c>
    </row>
    <row r="47" customFormat="false" ht="15" hidden="false" customHeight="false" outlineLevel="0" collapsed="false">
      <c r="B47" s="6" t="str">
        <f aca="false">INDEX('Dish Database'!$B:$B,MATCH(C47,'Dish Database'!$A:$A,0))</f>
        <v>Green salad</v>
      </c>
      <c r="C47" s="16" t="s">
        <v>1878</v>
      </c>
      <c r="D47" s="16" t="n">
        <v>50</v>
      </c>
      <c r="E47" s="13" t="n">
        <f aca="false">D47/100*INDEX('Dish Database'!$J:$J,MATCH(C47,'Dish Database'!$A:$A,0))</f>
        <v>12.3</v>
      </c>
      <c r="F47" s="17" t="n">
        <f aca="false">D47/100*INDEX('Dish Database'!$K:$K,MATCH(C47,'Dish Database'!$A:$A,0))</f>
        <v>0.5</v>
      </c>
      <c r="G47" s="17" t="n">
        <f aca="false">D47/100*INDEX('Dish Database'!$L:$L,MATCH(C47,'Dish Database'!$A:$A,0))</f>
        <v>2.75</v>
      </c>
      <c r="H47" s="17" t="n">
        <f aca="false">D47/100*INDEX('Dish Database'!$M:$M,MATCH(C47,'Dish Database'!$A:$A,0))</f>
        <v>0.1</v>
      </c>
      <c r="I47" s="17" t="n">
        <f aca="false">D47/100*INDEX('Dish Database'!$N:$N,MATCH(C47,'Dish Database'!$A:$A,0))</f>
        <v>0.8</v>
      </c>
      <c r="J47" s="17" t="n">
        <f aca="false">D47/100*INDEX('Dish Database'!$O:$O,MATCH(C47,'Dish Database'!$A:$A,0))</f>
        <v>1.5</v>
      </c>
      <c r="K47" s="13" t="n">
        <f aca="false">D47/100*INDEX('Dish Database'!$P:$P,MATCH(C47,'Dish Database'!$A:$A,0))</f>
        <v>5</v>
      </c>
    </row>
    <row r="48" customFormat="false" ht="15" hidden="false" customHeight="false" outlineLevel="0" collapsed="false">
      <c r="B48" s="6" t="str">
        <f aca="false">INDEX('Dish Database'!$B:$B,MATCH(C48,'Dish Database'!$A:$A,0))</f>
        <v>Mango pickle (in oil)</v>
      </c>
      <c r="C48" s="16" t="s">
        <v>1933</v>
      </c>
      <c r="D48" s="16" t="n">
        <v>5</v>
      </c>
      <c r="E48" s="13" t="n">
        <f aca="false">D48/100*INDEX('Dish Database'!$J:$J,MATCH(C48,'Dish Database'!$A:$A,0))</f>
        <v>8.3</v>
      </c>
      <c r="F48" s="17" t="n">
        <f aca="false">D48/100*INDEX('Dish Database'!$K:$K,MATCH(C48,'Dish Database'!$A:$A,0))</f>
        <v>0.05</v>
      </c>
      <c r="G48" s="17" t="n">
        <f aca="false">D48/100*INDEX('Dish Database'!$L:$L,MATCH(C48,'Dish Database'!$A:$A,0))</f>
        <v>0.4</v>
      </c>
      <c r="H48" s="17" t="n">
        <f aca="false">D48/100*INDEX('Dish Database'!$M:$M,MATCH(C48,'Dish Database'!$A:$A,0))</f>
        <v>0.75</v>
      </c>
      <c r="I48" s="17" t="n">
        <f aca="false">D48/100*INDEX('Dish Database'!$N:$N,MATCH(C48,'Dish Database'!$A:$A,0))</f>
        <v>0.125</v>
      </c>
      <c r="J48" s="17" t="n">
        <f aca="false">D48/100*INDEX('Dish Database'!$O:$O,MATCH(C48,'Dish Database'!$A:$A,0))</f>
        <v>0.075</v>
      </c>
      <c r="K48" s="13" t="n">
        <f aca="false">D48/100*INDEX('Dish Database'!$P:$P,MATCH(C48,'Dish Database'!$A:$A,0))</f>
        <v>130</v>
      </c>
    </row>
    <row r="49" customFormat="false" ht="15" hidden="false" customHeight="false" outlineLevel="0" collapsed="false">
      <c r="A49" s="20"/>
      <c r="B49" s="21" t="s">
        <v>2714</v>
      </c>
      <c r="C49" s="20"/>
      <c r="D49" s="22" t="n">
        <f aca="false">SUM(D45:D48)</f>
        <v>365</v>
      </c>
      <c r="E49" s="22" t="n">
        <f aca="false">SUM(E45:E48)</f>
        <v>769.3</v>
      </c>
      <c r="F49" s="23" t="n">
        <f aca="false">SUM(F45:F48)</f>
        <v>22.3</v>
      </c>
      <c r="G49" s="23" t="n">
        <f aca="false">SUM(G45:G48)</f>
        <v>103.65</v>
      </c>
      <c r="H49" s="23" t="n">
        <f aca="false">SUM(H45:H48)</f>
        <v>32.25</v>
      </c>
      <c r="I49" s="23" t="n">
        <f aca="false">SUM(I45:I48)</f>
        <v>12.375</v>
      </c>
      <c r="J49" s="23" t="n">
        <f aca="false">SUM(J45:J48)</f>
        <v>7.775</v>
      </c>
      <c r="K49" s="22" t="n">
        <f aca="false">SUM(K45:K48)</f>
        <v>1375</v>
      </c>
    </row>
    <row r="51" customFormat="false" ht="15" hidden="false" customHeight="false" outlineLevel="0" collapsed="false">
      <c r="A51" s="18" t="s">
        <v>2722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customFormat="false" ht="15" hidden="false" customHeight="false" outlineLevel="0" collapsed="false">
      <c r="B52" s="6" t="str">
        <f aca="false">INDEX('Dish Database'!$B:$B,MATCH(C52,'Dish Database'!$A:$A,0))</f>
        <v>Poori (wheat, deep fried)</v>
      </c>
      <c r="C52" s="16" t="s">
        <v>572</v>
      </c>
      <c r="D52" s="16" t="n">
        <v>120</v>
      </c>
      <c r="E52" s="13" t="n">
        <f aca="false">D52/100*INDEX('Dish Database'!$J:$J,MATCH(C52,'Dish Database'!$A:$A,0))</f>
        <v>387.6</v>
      </c>
      <c r="F52" s="17" t="n">
        <f aca="false">D52/100*INDEX('Dish Database'!$K:$K,MATCH(C52,'Dish Database'!$A:$A,0))</f>
        <v>9</v>
      </c>
      <c r="G52" s="17" t="n">
        <f aca="false">D52/100*INDEX('Dish Database'!$L:$L,MATCH(C52,'Dish Database'!$A:$A,0))</f>
        <v>50.4</v>
      </c>
      <c r="H52" s="17" t="n">
        <f aca="false">D52/100*INDEX('Dish Database'!$M:$M,MATCH(C52,'Dish Database'!$A:$A,0))</f>
        <v>18</v>
      </c>
      <c r="I52" s="17" t="n">
        <f aca="false">D52/100*INDEX('Dish Database'!$N:$N,MATCH(C52,'Dish Database'!$A:$A,0))</f>
        <v>6</v>
      </c>
      <c r="J52" s="17" t="n">
        <f aca="false">D52/100*INDEX('Dish Database'!$O:$O,MATCH(C52,'Dish Database'!$A:$A,0))</f>
        <v>1.2</v>
      </c>
      <c r="K52" s="13" t="n">
        <f aca="false">D52/100*INDEX('Dish Database'!$P:$P,MATCH(C52,'Dish Database'!$A:$A,0))</f>
        <v>336</v>
      </c>
    </row>
    <row r="53" customFormat="false" ht="15" hidden="false" customHeight="false" outlineLevel="0" collapsed="false">
      <c r="B53" s="6" t="str">
        <f aca="false">INDEX('Dish Database'!$B:$B,MATCH(C53,'Dish Database'!$A:$A,0))</f>
        <v>Aloo tamatar (rasedar aloo)</v>
      </c>
      <c r="C53" s="16" t="s">
        <v>1146</v>
      </c>
      <c r="D53" s="16" t="n">
        <v>150</v>
      </c>
      <c r="E53" s="13" t="n">
        <f aca="false">D53/100*INDEX('Dish Database'!$J:$J,MATCH(C53,'Dish Database'!$A:$A,0))</f>
        <v>131.4</v>
      </c>
      <c r="F53" s="17" t="n">
        <f aca="false">D53/100*INDEX('Dish Database'!$K:$K,MATCH(C53,'Dish Database'!$A:$A,0))</f>
        <v>2.7</v>
      </c>
      <c r="G53" s="17" t="n">
        <f aca="false">D53/100*INDEX('Dish Database'!$L:$L,MATCH(C53,'Dish Database'!$A:$A,0))</f>
        <v>18</v>
      </c>
      <c r="H53" s="17" t="n">
        <f aca="false">D53/100*INDEX('Dish Database'!$M:$M,MATCH(C53,'Dish Database'!$A:$A,0))</f>
        <v>6</v>
      </c>
      <c r="I53" s="17" t="n">
        <f aca="false">D53/100*INDEX('Dish Database'!$N:$N,MATCH(C53,'Dish Database'!$A:$A,0))</f>
        <v>2.7</v>
      </c>
      <c r="J53" s="17" t="n">
        <f aca="false">D53/100*INDEX('Dish Database'!$O:$O,MATCH(C53,'Dish Database'!$A:$A,0))</f>
        <v>3.75</v>
      </c>
      <c r="K53" s="13" t="n">
        <f aca="false">D53/100*INDEX('Dish Database'!$P:$P,MATCH(C53,'Dish Database'!$A:$A,0))</f>
        <v>525</v>
      </c>
    </row>
    <row r="54" customFormat="false" ht="15" hidden="false" customHeight="false" outlineLevel="0" collapsed="false">
      <c r="A54" s="20"/>
      <c r="B54" s="21" t="s">
        <v>2714</v>
      </c>
      <c r="C54" s="20"/>
      <c r="D54" s="22" t="n">
        <f aca="false">SUM(D52:D53)</f>
        <v>270</v>
      </c>
      <c r="E54" s="22" t="n">
        <f aca="false">SUM(E52:E53)</f>
        <v>519</v>
      </c>
      <c r="F54" s="23" t="n">
        <f aca="false">SUM(F52:F53)</f>
        <v>11.7</v>
      </c>
      <c r="G54" s="23" t="n">
        <f aca="false">SUM(G52:G53)</f>
        <v>68.4</v>
      </c>
      <c r="H54" s="23" t="n">
        <f aca="false">SUM(H52:H53)</f>
        <v>24</v>
      </c>
      <c r="I54" s="23" t="n">
        <f aca="false">SUM(I52:I53)</f>
        <v>8.7</v>
      </c>
      <c r="J54" s="23" t="n">
        <f aca="false">SUM(J52:J53)</f>
        <v>4.95</v>
      </c>
      <c r="K54" s="22" t="n">
        <f aca="false">SUM(K52:K53)</f>
        <v>861</v>
      </c>
    </row>
    <row r="56" customFormat="false" ht="15" hidden="false" customHeight="false" outlineLevel="0" collapsed="false">
      <c r="A56" s="18" t="s">
        <v>2723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customFormat="false" ht="15" hidden="false" customHeight="false" outlineLevel="0" collapsed="false">
      <c r="B57" s="6" t="str">
        <f aca="false">INDEX('Dish Database'!$B:$B,MATCH(C57,'Dish Database'!$A:$A,0))</f>
        <v>Butter pav (toasted)</v>
      </c>
      <c r="C57" s="16" t="s">
        <v>844</v>
      </c>
      <c r="D57" s="16" t="n">
        <v>90</v>
      </c>
      <c r="E57" s="13" t="n">
        <f aca="false">D57/100*INDEX('Dish Database'!$J:$J,MATCH(C57,'Dish Database'!$A:$A,0))</f>
        <v>279.18</v>
      </c>
      <c r="F57" s="17" t="n">
        <f aca="false">D57/100*INDEX('Dish Database'!$K:$K,MATCH(C57,'Dish Database'!$A:$A,0))</f>
        <v>6.75</v>
      </c>
      <c r="G57" s="17" t="n">
        <f aca="false">D57/100*INDEX('Dish Database'!$L:$L,MATCH(C57,'Dish Database'!$A:$A,0))</f>
        <v>39.6</v>
      </c>
      <c r="H57" s="17" t="n">
        <f aca="false">D57/100*INDEX('Dish Database'!$M:$M,MATCH(C57,'Dish Database'!$A:$A,0))</f>
        <v>10.8</v>
      </c>
      <c r="I57" s="17" t="n">
        <f aca="false">D57/100*INDEX('Dish Database'!$N:$N,MATCH(C57,'Dish Database'!$A:$A,0))</f>
        <v>1.71</v>
      </c>
      <c r="J57" s="17" t="n">
        <f aca="false">D57/100*INDEX('Dish Database'!$O:$O,MATCH(C57,'Dish Database'!$A:$A,0))</f>
        <v>3.15</v>
      </c>
      <c r="K57" s="13" t="n">
        <f aca="false">D57/100*INDEX('Dish Database'!$P:$P,MATCH(C57,'Dish Database'!$A:$A,0))</f>
        <v>432</v>
      </c>
    </row>
    <row r="58" customFormat="false" ht="15" hidden="false" customHeight="false" outlineLevel="0" collapsed="false">
      <c r="B58" s="6" t="str">
        <f aca="false">INDEX('Dish Database'!$B:$B,MATCH(C58,'Dish Database'!$A:$A,0))</f>
        <v>Pav bhaji - bhaji only</v>
      </c>
      <c r="C58" s="16" t="s">
        <v>1187</v>
      </c>
      <c r="D58" s="16" t="n">
        <v>200</v>
      </c>
      <c r="E58" s="13" t="n">
        <f aca="false">D58/100*INDEX('Dish Database'!$J:$J,MATCH(C58,'Dish Database'!$A:$A,0))</f>
        <v>247</v>
      </c>
      <c r="F58" s="17" t="n">
        <f aca="false">D58/100*INDEX('Dish Database'!$K:$K,MATCH(C58,'Dish Database'!$A:$A,0))</f>
        <v>5</v>
      </c>
      <c r="G58" s="17" t="n">
        <f aca="false">D58/100*INDEX('Dish Database'!$L:$L,MATCH(C58,'Dish Database'!$A:$A,0))</f>
        <v>26</v>
      </c>
      <c r="H58" s="17" t="n">
        <f aca="false">D58/100*INDEX('Dish Database'!$M:$M,MATCH(C58,'Dish Database'!$A:$A,0))</f>
        <v>15</v>
      </c>
      <c r="I58" s="17" t="n">
        <f aca="false">D58/100*INDEX('Dish Database'!$N:$N,MATCH(C58,'Dish Database'!$A:$A,0))</f>
        <v>6</v>
      </c>
      <c r="J58" s="17" t="n">
        <f aca="false">D58/100*INDEX('Dish Database'!$O:$O,MATCH(C58,'Dish Database'!$A:$A,0))</f>
        <v>7</v>
      </c>
      <c r="K58" s="13" t="n">
        <f aca="false">D58/100*INDEX('Dish Database'!$P:$P,MATCH(C58,'Dish Database'!$A:$A,0))</f>
        <v>900</v>
      </c>
    </row>
    <row r="59" customFormat="false" ht="15" hidden="false" customHeight="false" outlineLevel="0" collapsed="false">
      <c r="B59" s="6" t="str">
        <f aca="false">INDEX('Dish Database'!$B:$B,MATCH(C59,'Dish Database'!$A:$A,0))</f>
        <v>Butter (salted)</v>
      </c>
      <c r="C59" s="16" t="s">
        <v>2212</v>
      </c>
      <c r="D59" s="16" t="n">
        <v>10</v>
      </c>
      <c r="E59" s="13" t="n">
        <f aca="false">D59/100*INDEX('Dish Database'!$J:$J,MATCH(C59,'Dish Database'!$A:$A,0))</f>
        <v>73.3</v>
      </c>
      <c r="F59" s="17" t="n">
        <f aca="false">D59/100*INDEX('Dish Database'!$K:$K,MATCH(C59,'Dish Database'!$A:$A,0))</f>
        <v>0.09</v>
      </c>
      <c r="G59" s="17" t="n">
        <f aca="false">D59/100*INDEX('Dish Database'!$L:$L,MATCH(C59,'Dish Database'!$A:$A,0))</f>
        <v>0.01</v>
      </c>
      <c r="H59" s="17" t="n">
        <f aca="false">D59/100*INDEX('Dish Database'!$M:$M,MATCH(C59,'Dish Database'!$A:$A,0))</f>
        <v>8.1</v>
      </c>
      <c r="I59" s="17" t="n">
        <f aca="false">D59/100*INDEX('Dish Database'!$N:$N,MATCH(C59,'Dish Database'!$A:$A,0))</f>
        <v>0</v>
      </c>
      <c r="J59" s="17" t="n">
        <f aca="false">D59/100*INDEX('Dish Database'!$O:$O,MATCH(C59,'Dish Database'!$A:$A,0))</f>
        <v>0.01</v>
      </c>
      <c r="K59" s="13" t="n">
        <f aca="false">D59/100*INDEX('Dish Database'!$P:$P,MATCH(C59,'Dish Database'!$A:$A,0))</f>
        <v>58</v>
      </c>
    </row>
    <row r="60" customFormat="false" ht="15" hidden="false" customHeight="false" outlineLevel="0" collapsed="false">
      <c r="B60" s="6" t="str">
        <f aca="false">INDEX('Dish Database'!$B:$B,MATCH(C60,'Dish Database'!$A:$A,0))</f>
        <v>Green salad</v>
      </c>
      <c r="C60" s="16" t="s">
        <v>1878</v>
      </c>
      <c r="D60" s="16" t="n">
        <v>30</v>
      </c>
      <c r="E60" s="13" t="n">
        <f aca="false">D60/100*INDEX('Dish Database'!$J:$J,MATCH(C60,'Dish Database'!$A:$A,0))</f>
        <v>7.38</v>
      </c>
      <c r="F60" s="17" t="n">
        <f aca="false">D60/100*INDEX('Dish Database'!$K:$K,MATCH(C60,'Dish Database'!$A:$A,0))</f>
        <v>0.3</v>
      </c>
      <c r="G60" s="17" t="n">
        <f aca="false">D60/100*INDEX('Dish Database'!$L:$L,MATCH(C60,'Dish Database'!$A:$A,0))</f>
        <v>1.65</v>
      </c>
      <c r="H60" s="17" t="n">
        <f aca="false">D60/100*INDEX('Dish Database'!$M:$M,MATCH(C60,'Dish Database'!$A:$A,0))</f>
        <v>0.06</v>
      </c>
      <c r="I60" s="17" t="n">
        <f aca="false">D60/100*INDEX('Dish Database'!$N:$N,MATCH(C60,'Dish Database'!$A:$A,0))</f>
        <v>0.48</v>
      </c>
      <c r="J60" s="17" t="n">
        <f aca="false">D60/100*INDEX('Dish Database'!$O:$O,MATCH(C60,'Dish Database'!$A:$A,0))</f>
        <v>0.9</v>
      </c>
      <c r="K60" s="13" t="n">
        <f aca="false">D60/100*INDEX('Dish Database'!$P:$P,MATCH(C60,'Dish Database'!$A:$A,0))</f>
        <v>3</v>
      </c>
    </row>
    <row r="61" customFormat="false" ht="15" hidden="false" customHeight="false" outlineLevel="0" collapsed="false">
      <c r="A61" s="20"/>
      <c r="B61" s="21" t="s">
        <v>2714</v>
      </c>
      <c r="C61" s="20"/>
      <c r="D61" s="22" t="n">
        <f aca="false">SUM(D57:D60)</f>
        <v>330</v>
      </c>
      <c r="E61" s="22" t="n">
        <f aca="false">SUM(E57:E60)</f>
        <v>606.86</v>
      </c>
      <c r="F61" s="23" t="n">
        <f aca="false">SUM(F57:F60)</f>
        <v>12.14</v>
      </c>
      <c r="G61" s="23" t="n">
        <f aca="false">SUM(G57:G60)</f>
        <v>67.26</v>
      </c>
      <c r="H61" s="23" t="n">
        <f aca="false">SUM(H57:H60)</f>
        <v>33.96</v>
      </c>
      <c r="I61" s="23" t="n">
        <f aca="false">SUM(I57:I60)</f>
        <v>8.19</v>
      </c>
      <c r="J61" s="23" t="n">
        <f aca="false">SUM(J57:J60)</f>
        <v>11.06</v>
      </c>
      <c r="K61" s="22" t="n">
        <f aca="false">SUM(K57:K60)</f>
        <v>1393</v>
      </c>
    </row>
    <row r="63" customFormat="false" ht="15" hidden="false" customHeight="false" outlineLevel="0" collapsed="false">
      <c r="A63" s="18" t="s">
        <v>2724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customFormat="false" ht="15" hidden="false" customHeight="false" outlineLevel="0" collapsed="false">
      <c r="B64" s="6" t="str">
        <f aca="false">INDEX('Dish Database'!$B:$B,MATCH(C64,'Dish Database'!$A:$A,0))</f>
        <v>Misal (usal + farsan, without pav)</v>
      </c>
      <c r="C64" s="16" t="s">
        <v>596</v>
      </c>
      <c r="D64" s="16" t="n">
        <v>200</v>
      </c>
      <c r="E64" s="13" t="n">
        <f aca="false">D64/100*INDEX('Dish Database'!$J:$J,MATCH(C64,'Dish Database'!$A:$A,0))</f>
        <v>358</v>
      </c>
      <c r="F64" s="17" t="n">
        <f aca="false">D64/100*INDEX('Dish Database'!$K:$K,MATCH(C64,'Dish Database'!$A:$A,0))</f>
        <v>14</v>
      </c>
      <c r="G64" s="17" t="n">
        <f aca="false">D64/100*INDEX('Dish Database'!$L:$L,MATCH(C64,'Dish Database'!$A:$A,0))</f>
        <v>40</v>
      </c>
      <c r="H64" s="17" t="n">
        <f aca="false">D64/100*INDEX('Dish Database'!$M:$M,MATCH(C64,'Dish Database'!$A:$A,0))</f>
        <v>18</v>
      </c>
      <c r="I64" s="17" t="n">
        <f aca="false">D64/100*INDEX('Dish Database'!$N:$N,MATCH(C64,'Dish Database'!$A:$A,0))</f>
        <v>10</v>
      </c>
      <c r="J64" s="17" t="n">
        <f aca="false">D64/100*INDEX('Dish Database'!$O:$O,MATCH(C64,'Dish Database'!$A:$A,0))</f>
        <v>5</v>
      </c>
      <c r="K64" s="13" t="n">
        <f aca="false">D64/100*INDEX('Dish Database'!$P:$P,MATCH(C64,'Dish Database'!$A:$A,0))</f>
        <v>840</v>
      </c>
    </row>
    <row r="65" customFormat="false" ht="15" hidden="false" customHeight="false" outlineLevel="0" collapsed="false">
      <c r="B65" s="6" t="str">
        <f aca="false">INDEX('Dish Database'!$B:$B,MATCH(C65,'Dish Database'!$A:$A,0))</f>
        <v>Pav (ladi pav)</v>
      </c>
      <c r="C65" s="16" t="s">
        <v>840</v>
      </c>
      <c r="D65" s="16" t="n">
        <v>80</v>
      </c>
      <c r="E65" s="13" t="n">
        <f aca="false">D65/100*INDEX('Dish Database'!$J:$J,MATCH(C65,'Dish Database'!$A:$A,0))</f>
        <v>212.48</v>
      </c>
      <c r="F65" s="17" t="n">
        <f aca="false">D65/100*INDEX('Dish Database'!$K:$K,MATCH(C65,'Dish Database'!$A:$A,0))</f>
        <v>6.8</v>
      </c>
      <c r="G65" s="17" t="n">
        <f aca="false">D65/100*INDEX('Dish Database'!$L:$L,MATCH(C65,'Dish Database'!$A:$A,0))</f>
        <v>40</v>
      </c>
      <c r="H65" s="17" t="n">
        <f aca="false">D65/100*INDEX('Dish Database'!$M:$M,MATCH(C65,'Dish Database'!$A:$A,0))</f>
        <v>3.2</v>
      </c>
      <c r="I65" s="17" t="n">
        <f aca="false">D65/100*INDEX('Dish Database'!$N:$N,MATCH(C65,'Dish Database'!$A:$A,0))</f>
        <v>1.76</v>
      </c>
      <c r="J65" s="17" t="n">
        <f aca="false">D65/100*INDEX('Dish Database'!$O:$O,MATCH(C65,'Dish Database'!$A:$A,0))</f>
        <v>3.2</v>
      </c>
      <c r="K65" s="13" t="n">
        <f aca="false">D65/100*INDEX('Dish Database'!$P:$P,MATCH(C65,'Dish Database'!$A:$A,0))</f>
        <v>360</v>
      </c>
    </row>
    <row r="66" customFormat="false" ht="15" hidden="false" customHeight="false" outlineLevel="0" collapsed="false">
      <c r="A66" s="20"/>
      <c r="B66" s="21" t="s">
        <v>2714</v>
      </c>
      <c r="C66" s="20"/>
      <c r="D66" s="22" t="n">
        <f aca="false">SUM(D64:D65)</f>
        <v>280</v>
      </c>
      <c r="E66" s="22" t="n">
        <f aca="false">SUM(E64:E65)</f>
        <v>570.48</v>
      </c>
      <c r="F66" s="23" t="n">
        <f aca="false">SUM(F64:F65)</f>
        <v>20.8</v>
      </c>
      <c r="G66" s="23" t="n">
        <f aca="false">SUM(G64:G65)</f>
        <v>80</v>
      </c>
      <c r="H66" s="23" t="n">
        <f aca="false">SUM(H64:H65)</f>
        <v>21.2</v>
      </c>
      <c r="I66" s="23" t="n">
        <f aca="false">SUM(I64:I65)</f>
        <v>11.76</v>
      </c>
      <c r="J66" s="23" t="n">
        <f aca="false">SUM(J64:J65)</f>
        <v>8.2</v>
      </c>
      <c r="K66" s="22" t="n">
        <f aca="false">SUM(K64:K65)</f>
        <v>1200</v>
      </c>
    </row>
    <row r="68" customFormat="false" ht="15" hidden="false" customHeight="false" outlineLevel="0" collapsed="false">
      <c r="A68" s="18" t="s">
        <v>2725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customFormat="false" ht="15" hidden="false" customHeight="false" outlineLevel="0" collapsed="false">
      <c r="B69" s="6" t="str">
        <f aca="false">INDEX('Dish Database'!$B:$B,MATCH(C69,'Dish Database'!$A:$A,0))</f>
        <v>Vada pav</v>
      </c>
      <c r="C69" s="16" t="s">
        <v>1695</v>
      </c>
      <c r="D69" s="16" t="n">
        <v>140</v>
      </c>
      <c r="E69" s="13" t="n">
        <f aca="false">D69/100*INDEX('Dish Database'!$J:$J,MATCH(C69,'Dish Database'!$A:$A,0))</f>
        <v>351.26</v>
      </c>
      <c r="F69" s="17" t="n">
        <f aca="false">D69/100*INDEX('Dish Database'!$K:$K,MATCH(C69,'Dish Database'!$A:$A,0))</f>
        <v>7.98</v>
      </c>
      <c r="G69" s="17" t="n">
        <f aca="false">D69/100*INDEX('Dish Database'!$L:$L,MATCH(C69,'Dish Database'!$A:$A,0))</f>
        <v>48.16</v>
      </c>
      <c r="H69" s="17" t="n">
        <f aca="false">D69/100*INDEX('Dish Database'!$M:$M,MATCH(C69,'Dish Database'!$A:$A,0))</f>
        <v>14.98</v>
      </c>
      <c r="I69" s="17" t="n">
        <f aca="false">D69/100*INDEX('Dish Database'!$N:$N,MATCH(C69,'Dish Database'!$A:$A,0))</f>
        <v>4.06</v>
      </c>
      <c r="J69" s="17" t="n">
        <f aca="false">D69/100*INDEX('Dish Database'!$O:$O,MATCH(C69,'Dish Database'!$A:$A,0))</f>
        <v>4.2</v>
      </c>
      <c r="K69" s="13" t="n">
        <f aca="false">D69/100*INDEX('Dish Database'!$P:$P,MATCH(C69,'Dish Database'!$A:$A,0))</f>
        <v>700</v>
      </c>
    </row>
    <row r="70" customFormat="false" ht="15" hidden="false" customHeight="false" outlineLevel="0" collapsed="false">
      <c r="B70" s="6" t="str">
        <f aca="false">INDEX('Dish Database'!$B:$B,MATCH(C70,'Dish Database'!$A:$A,0))</f>
        <v>Cutting chai (strong, extra milk &amp; sugar)</v>
      </c>
      <c r="C70" s="16" t="s">
        <v>111</v>
      </c>
      <c r="D70" s="16" t="n">
        <v>75</v>
      </c>
      <c r="E70" s="13" t="n">
        <f aca="false">D70/100*INDEX('Dish Database'!$J:$J,MATCH(C70,'Dish Database'!$A:$A,0))</f>
        <v>51</v>
      </c>
      <c r="F70" s="17" t="n">
        <f aca="false">D70/100*INDEX('Dish Database'!$K:$K,MATCH(C70,'Dish Database'!$A:$A,0))</f>
        <v>1.5</v>
      </c>
      <c r="G70" s="17" t="n">
        <f aca="false">D70/100*INDEX('Dish Database'!$L:$L,MATCH(C70,'Dish Database'!$A:$A,0))</f>
        <v>7.875</v>
      </c>
      <c r="H70" s="17" t="n">
        <f aca="false">D70/100*INDEX('Dish Database'!$M:$M,MATCH(C70,'Dish Database'!$A:$A,0))</f>
        <v>1.5</v>
      </c>
      <c r="I70" s="17" t="n">
        <f aca="false">D70/100*INDEX('Dish Database'!$N:$N,MATCH(C70,'Dish Database'!$A:$A,0))</f>
        <v>0</v>
      </c>
      <c r="J70" s="17" t="n">
        <f aca="false">D70/100*INDEX('Dish Database'!$O:$O,MATCH(C70,'Dish Database'!$A:$A,0))</f>
        <v>7.875</v>
      </c>
      <c r="K70" s="13" t="n">
        <f aca="false">D70/100*INDEX('Dish Database'!$P:$P,MATCH(C70,'Dish Database'!$A:$A,0))</f>
        <v>21</v>
      </c>
    </row>
    <row r="71" customFormat="false" ht="15" hidden="false" customHeight="false" outlineLevel="0" collapsed="false">
      <c r="A71" s="20"/>
      <c r="B71" s="21" t="s">
        <v>2714</v>
      </c>
      <c r="C71" s="20"/>
      <c r="D71" s="22" t="n">
        <f aca="false">SUM(D69:D70)</f>
        <v>215</v>
      </c>
      <c r="E71" s="22" t="n">
        <f aca="false">SUM(E69:E70)</f>
        <v>402.26</v>
      </c>
      <c r="F71" s="23" t="n">
        <f aca="false">SUM(F69:F70)</f>
        <v>9.48</v>
      </c>
      <c r="G71" s="23" t="n">
        <f aca="false">SUM(G69:G70)</f>
        <v>56.035</v>
      </c>
      <c r="H71" s="23" t="n">
        <f aca="false">SUM(H69:H70)</f>
        <v>16.48</v>
      </c>
      <c r="I71" s="23" t="n">
        <f aca="false">SUM(I69:I70)</f>
        <v>4.06</v>
      </c>
      <c r="J71" s="23" t="n">
        <f aca="false">SUM(J69:J70)</f>
        <v>12.075</v>
      </c>
      <c r="K71" s="22" t="n">
        <f aca="false">SUM(K69:K70)</f>
        <v>721</v>
      </c>
    </row>
    <row r="73" customFormat="false" ht="15" hidden="false" customHeight="false" outlineLevel="0" collapsed="false">
      <c r="A73" s="18" t="s">
        <v>2726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customFormat="false" ht="15" hidden="false" customHeight="false" outlineLevel="0" collapsed="false">
      <c r="B74" s="6" t="str">
        <f aca="false">INDEX('Dish Database'!$B:$B,MATCH(C74,'Dish Database'!$A:$A,0))</f>
        <v>Samosa (aloo)</v>
      </c>
      <c r="C74" s="16" t="s">
        <v>1607</v>
      </c>
      <c r="D74" s="16" t="n">
        <v>70</v>
      </c>
      <c r="E74" s="13" t="n">
        <f aca="false">D74/100*INDEX('Dish Database'!$J:$J,MATCH(C74,'Dish Database'!$A:$A,0))</f>
        <v>206.5</v>
      </c>
      <c r="F74" s="17" t="n">
        <f aca="false">D74/100*INDEX('Dish Database'!$K:$K,MATCH(C74,'Dish Database'!$A:$A,0))</f>
        <v>3.5</v>
      </c>
      <c r="G74" s="17" t="n">
        <f aca="false">D74/100*INDEX('Dish Database'!$L:$L,MATCH(C74,'Dish Database'!$A:$A,0))</f>
        <v>22.4</v>
      </c>
      <c r="H74" s="17" t="n">
        <f aca="false">D74/100*INDEX('Dish Database'!$M:$M,MATCH(C74,'Dish Database'!$A:$A,0))</f>
        <v>11.9</v>
      </c>
      <c r="I74" s="17" t="n">
        <f aca="false">D74/100*INDEX('Dish Database'!$N:$N,MATCH(C74,'Dish Database'!$A:$A,0))</f>
        <v>2.1</v>
      </c>
      <c r="J74" s="17" t="n">
        <f aca="false">D74/100*INDEX('Dish Database'!$O:$O,MATCH(C74,'Dish Database'!$A:$A,0))</f>
        <v>1.4</v>
      </c>
      <c r="K74" s="13" t="n">
        <f aca="false">D74/100*INDEX('Dish Database'!$P:$P,MATCH(C74,'Dish Database'!$A:$A,0))</f>
        <v>280</v>
      </c>
    </row>
    <row r="75" customFormat="false" ht="15" hidden="false" customHeight="false" outlineLevel="0" collapsed="false">
      <c r="B75" s="6" t="str">
        <f aca="false">INDEX('Dish Database'!$B:$B,MATCH(C75,'Dish Database'!$A:$A,0))</f>
        <v>Masala chai (milk + sugar)</v>
      </c>
      <c r="C75" s="16" t="s">
        <v>96</v>
      </c>
      <c r="D75" s="16" t="n">
        <v>150</v>
      </c>
      <c r="E75" s="13" t="n">
        <f aca="false">D75/100*INDEX('Dish Database'!$J:$J,MATCH(C75,'Dish Database'!$A:$A,0))</f>
        <v>83.25</v>
      </c>
      <c r="F75" s="17" t="n">
        <f aca="false">D75/100*INDEX('Dish Database'!$K:$K,MATCH(C75,'Dish Database'!$A:$A,0))</f>
        <v>2.4</v>
      </c>
      <c r="G75" s="17" t="n">
        <f aca="false">D75/100*INDEX('Dish Database'!$L:$L,MATCH(C75,'Dish Database'!$A:$A,0))</f>
        <v>13.35</v>
      </c>
      <c r="H75" s="17" t="n">
        <f aca="false">D75/100*INDEX('Dish Database'!$M:$M,MATCH(C75,'Dish Database'!$A:$A,0))</f>
        <v>2.25</v>
      </c>
      <c r="I75" s="17" t="n">
        <f aca="false">D75/100*INDEX('Dish Database'!$N:$N,MATCH(C75,'Dish Database'!$A:$A,0))</f>
        <v>0</v>
      </c>
      <c r="J75" s="17" t="n">
        <f aca="false">D75/100*INDEX('Dish Database'!$O:$O,MATCH(C75,'Dish Database'!$A:$A,0))</f>
        <v>13.35</v>
      </c>
      <c r="K75" s="13" t="n">
        <f aca="false">D75/100*INDEX('Dish Database'!$P:$P,MATCH(C75,'Dish Database'!$A:$A,0))</f>
        <v>33</v>
      </c>
    </row>
    <row r="76" customFormat="false" ht="15" hidden="false" customHeight="false" outlineLevel="0" collapsed="false">
      <c r="B76" s="6" t="str">
        <f aca="false">INDEX('Dish Database'!$B:$B,MATCH(C76,'Dish Database'!$A:$A,0))</f>
        <v>Green chutney (mint-coriander)</v>
      </c>
      <c r="C76" s="16" t="s">
        <v>1914</v>
      </c>
      <c r="D76" s="16" t="n">
        <v>15</v>
      </c>
      <c r="E76" s="13" t="n">
        <f aca="false">D76/100*INDEX('Dish Database'!$J:$J,MATCH(C76,'Dish Database'!$A:$A,0))</f>
        <v>6.15</v>
      </c>
      <c r="F76" s="17" t="n">
        <f aca="false">D76/100*INDEX('Dish Database'!$K:$K,MATCH(C76,'Dish Database'!$A:$A,0))</f>
        <v>0.375</v>
      </c>
      <c r="G76" s="17" t="n">
        <f aca="false">D76/100*INDEX('Dish Database'!$L:$L,MATCH(C76,'Dish Database'!$A:$A,0))</f>
        <v>1.05</v>
      </c>
      <c r="H76" s="17" t="n">
        <f aca="false">D76/100*INDEX('Dish Database'!$M:$M,MATCH(C76,'Dish Database'!$A:$A,0))</f>
        <v>0.15</v>
      </c>
      <c r="I76" s="17" t="n">
        <f aca="false">D76/100*INDEX('Dish Database'!$N:$N,MATCH(C76,'Dish Database'!$A:$A,0))</f>
        <v>0.45</v>
      </c>
      <c r="J76" s="17" t="n">
        <f aca="false">D76/100*INDEX('Dish Database'!$O:$O,MATCH(C76,'Dish Database'!$A:$A,0))</f>
        <v>0.375</v>
      </c>
      <c r="K76" s="13" t="n">
        <f aca="false">D76/100*INDEX('Dish Database'!$P:$P,MATCH(C76,'Dish Database'!$A:$A,0))</f>
        <v>60</v>
      </c>
    </row>
    <row r="77" customFormat="false" ht="15" hidden="false" customHeight="false" outlineLevel="0" collapsed="false">
      <c r="A77" s="20"/>
      <c r="B77" s="21" t="s">
        <v>2714</v>
      </c>
      <c r="C77" s="20"/>
      <c r="D77" s="22" t="n">
        <f aca="false">SUM(D74:D76)</f>
        <v>235</v>
      </c>
      <c r="E77" s="22" t="n">
        <f aca="false">SUM(E74:E76)</f>
        <v>295.9</v>
      </c>
      <c r="F77" s="23" t="n">
        <f aca="false">SUM(F74:F76)</f>
        <v>6.275</v>
      </c>
      <c r="G77" s="23" t="n">
        <f aca="false">SUM(G74:G76)</f>
        <v>36.8</v>
      </c>
      <c r="H77" s="23" t="n">
        <f aca="false">SUM(H74:H76)</f>
        <v>14.3</v>
      </c>
      <c r="I77" s="23" t="n">
        <f aca="false">SUM(I74:I76)</f>
        <v>2.55</v>
      </c>
      <c r="J77" s="23" t="n">
        <f aca="false">SUM(J74:J76)</f>
        <v>15.125</v>
      </c>
      <c r="K77" s="22" t="n">
        <f aca="false">SUM(K74:K76)</f>
        <v>373</v>
      </c>
    </row>
    <row r="79" customFormat="false" ht="15" hidden="false" customHeight="false" outlineLevel="0" collapsed="false">
      <c r="A79" s="18" t="s">
        <v>2727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customFormat="false" ht="15" hidden="false" customHeight="false" outlineLevel="0" collapsed="false">
      <c r="B80" s="6" t="str">
        <f aca="false">INDEX('Dish Database'!$B:$B,MATCH(C80,'Dish Database'!$A:$A,0))</f>
        <v>Bread omelette</v>
      </c>
      <c r="C80" s="16" t="s">
        <v>541</v>
      </c>
      <c r="D80" s="16" t="n">
        <v>180</v>
      </c>
      <c r="E80" s="13" t="n">
        <f aca="false">D80/100*INDEX('Dish Database'!$J:$J,MATCH(C80,'Dish Database'!$A:$A,0))</f>
        <v>394.92</v>
      </c>
      <c r="F80" s="17" t="n">
        <f aca="false">D80/100*INDEX('Dish Database'!$K:$K,MATCH(C80,'Dish Database'!$A:$A,0))</f>
        <v>18</v>
      </c>
      <c r="G80" s="17" t="n">
        <f aca="false">D80/100*INDEX('Dish Database'!$L:$L,MATCH(C80,'Dish Database'!$A:$A,0))</f>
        <v>33.3</v>
      </c>
      <c r="H80" s="17" t="n">
        <f aca="false">D80/100*INDEX('Dish Database'!$M:$M,MATCH(C80,'Dish Database'!$A:$A,0))</f>
        <v>21.6</v>
      </c>
      <c r="I80" s="17" t="n">
        <f aca="false">D80/100*INDEX('Dish Database'!$N:$N,MATCH(C80,'Dish Database'!$A:$A,0))</f>
        <v>2.34</v>
      </c>
      <c r="J80" s="17" t="n">
        <f aca="false">D80/100*INDEX('Dish Database'!$O:$O,MATCH(C80,'Dish Database'!$A:$A,0))</f>
        <v>4.5</v>
      </c>
      <c r="K80" s="13" t="n">
        <f aca="false">D80/100*INDEX('Dish Database'!$P:$P,MATCH(C80,'Dish Database'!$A:$A,0))</f>
        <v>810</v>
      </c>
    </row>
    <row r="81" customFormat="false" ht="15" hidden="false" customHeight="false" outlineLevel="0" collapsed="false">
      <c r="B81" s="6" t="str">
        <f aca="false">INDEX('Dish Database'!$B:$B,MATCH(C81,'Dish Database'!$A:$A,0))</f>
        <v>Masala chai (milk + sugar)</v>
      </c>
      <c r="C81" s="16" t="s">
        <v>96</v>
      </c>
      <c r="D81" s="16" t="n">
        <v>150</v>
      </c>
      <c r="E81" s="13" t="n">
        <f aca="false">D81/100*INDEX('Dish Database'!$J:$J,MATCH(C81,'Dish Database'!$A:$A,0))</f>
        <v>83.25</v>
      </c>
      <c r="F81" s="17" t="n">
        <f aca="false">D81/100*INDEX('Dish Database'!$K:$K,MATCH(C81,'Dish Database'!$A:$A,0))</f>
        <v>2.4</v>
      </c>
      <c r="G81" s="17" t="n">
        <f aca="false">D81/100*INDEX('Dish Database'!$L:$L,MATCH(C81,'Dish Database'!$A:$A,0))</f>
        <v>13.35</v>
      </c>
      <c r="H81" s="17" t="n">
        <f aca="false">D81/100*INDEX('Dish Database'!$M:$M,MATCH(C81,'Dish Database'!$A:$A,0))</f>
        <v>2.25</v>
      </c>
      <c r="I81" s="17" t="n">
        <f aca="false">D81/100*INDEX('Dish Database'!$N:$N,MATCH(C81,'Dish Database'!$A:$A,0))</f>
        <v>0</v>
      </c>
      <c r="J81" s="17" t="n">
        <f aca="false">D81/100*INDEX('Dish Database'!$O:$O,MATCH(C81,'Dish Database'!$A:$A,0))</f>
        <v>13.35</v>
      </c>
      <c r="K81" s="13" t="n">
        <f aca="false">D81/100*INDEX('Dish Database'!$P:$P,MATCH(C81,'Dish Database'!$A:$A,0))</f>
        <v>33</v>
      </c>
    </row>
    <row r="82" customFormat="false" ht="15" hidden="false" customHeight="false" outlineLevel="0" collapsed="false">
      <c r="A82" s="20"/>
      <c r="B82" s="21" t="s">
        <v>2714</v>
      </c>
      <c r="C82" s="20"/>
      <c r="D82" s="22" t="n">
        <f aca="false">SUM(D80:D81)</f>
        <v>330</v>
      </c>
      <c r="E82" s="22" t="n">
        <f aca="false">SUM(E80:E81)</f>
        <v>478.17</v>
      </c>
      <c r="F82" s="23" t="n">
        <f aca="false">SUM(F80:F81)</f>
        <v>20.4</v>
      </c>
      <c r="G82" s="23" t="n">
        <f aca="false">SUM(G80:G81)</f>
        <v>46.65</v>
      </c>
      <c r="H82" s="23" t="n">
        <f aca="false">SUM(H80:H81)</f>
        <v>23.85</v>
      </c>
      <c r="I82" s="23" t="n">
        <f aca="false">SUM(I80:I81)</f>
        <v>2.34</v>
      </c>
      <c r="J82" s="23" t="n">
        <f aca="false">SUM(J80:J81)</f>
        <v>17.85</v>
      </c>
      <c r="K82" s="22" t="n">
        <f aca="false">SUM(K80:K81)</f>
        <v>843</v>
      </c>
    </row>
    <row r="84" customFormat="false" ht="15" hidden="false" customHeight="false" outlineLevel="0" collapsed="false">
      <c r="A84" s="18" t="s">
        <v>2728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</row>
    <row r="85" customFormat="false" ht="15" hidden="false" customHeight="false" outlineLevel="0" collapsed="false">
      <c r="B85" s="6" t="str">
        <f aca="false">INDEX('Dish Database'!$B:$B,MATCH(C85,'Dish Database'!$A:$A,0))</f>
        <v>Rajma masala</v>
      </c>
      <c r="C85" s="16" t="s">
        <v>1010</v>
      </c>
      <c r="D85" s="16" t="n">
        <v>150</v>
      </c>
      <c r="E85" s="13" t="n">
        <f aca="false">D85/100*INDEX('Dish Database'!$J:$J,MATCH(C85,'Dish Database'!$A:$A,0))</f>
        <v>173.25</v>
      </c>
      <c r="F85" s="17" t="n">
        <f aca="false">D85/100*INDEX('Dish Database'!$K:$K,MATCH(C85,'Dish Database'!$A:$A,0))</f>
        <v>7.5</v>
      </c>
      <c r="G85" s="17" t="n">
        <f aca="false">D85/100*INDEX('Dish Database'!$L:$L,MATCH(C85,'Dish Database'!$A:$A,0))</f>
        <v>24</v>
      </c>
      <c r="H85" s="17" t="n">
        <f aca="false">D85/100*INDEX('Dish Database'!$M:$M,MATCH(C85,'Dish Database'!$A:$A,0))</f>
        <v>6.75</v>
      </c>
      <c r="I85" s="17" t="n">
        <f aca="false">D85/100*INDEX('Dish Database'!$N:$N,MATCH(C85,'Dish Database'!$A:$A,0))</f>
        <v>6.75</v>
      </c>
      <c r="J85" s="17" t="n">
        <f aca="false">D85/100*INDEX('Dish Database'!$O:$O,MATCH(C85,'Dish Database'!$A:$A,0))</f>
        <v>2.25</v>
      </c>
      <c r="K85" s="13" t="n">
        <f aca="false">D85/100*INDEX('Dish Database'!$P:$P,MATCH(C85,'Dish Database'!$A:$A,0))</f>
        <v>525</v>
      </c>
    </row>
    <row r="86" customFormat="false" ht="15" hidden="false" customHeight="false" outlineLevel="0" collapsed="false">
      <c r="B86" s="6" t="str">
        <f aca="false">INDEX('Dish Database'!$B:$B,MATCH(C86,'Dish Database'!$A:$A,0))</f>
        <v>Steamed white rice</v>
      </c>
      <c r="C86" s="16" t="s">
        <v>853</v>
      </c>
      <c r="D86" s="16" t="n">
        <v>200</v>
      </c>
      <c r="E86" s="13" t="n">
        <f aca="false">D86/100*INDEX('Dish Database'!$J:$J,MATCH(C86,'Dish Database'!$A:$A,0))</f>
        <v>251</v>
      </c>
      <c r="F86" s="17" t="n">
        <f aca="false">D86/100*INDEX('Dish Database'!$K:$K,MATCH(C86,'Dish Database'!$A:$A,0))</f>
        <v>5.4</v>
      </c>
      <c r="G86" s="17" t="n">
        <f aca="false">D86/100*INDEX('Dish Database'!$L:$L,MATCH(C86,'Dish Database'!$A:$A,0))</f>
        <v>56.4</v>
      </c>
      <c r="H86" s="17" t="n">
        <f aca="false">D86/100*INDEX('Dish Database'!$M:$M,MATCH(C86,'Dish Database'!$A:$A,0))</f>
        <v>0.6</v>
      </c>
      <c r="I86" s="17" t="n">
        <f aca="false">D86/100*INDEX('Dish Database'!$N:$N,MATCH(C86,'Dish Database'!$A:$A,0))</f>
        <v>0.8</v>
      </c>
      <c r="J86" s="17" t="n">
        <f aca="false">D86/100*INDEX('Dish Database'!$O:$O,MATCH(C86,'Dish Database'!$A:$A,0))</f>
        <v>0.2</v>
      </c>
      <c r="K86" s="13" t="n">
        <f aca="false">D86/100*INDEX('Dish Database'!$P:$P,MATCH(C86,'Dish Database'!$A:$A,0))</f>
        <v>2</v>
      </c>
    </row>
    <row r="87" customFormat="false" ht="15" hidden="false" customHeight="false" outlineLevel="0" collapsed="false">
      <c r="B87" s="6" t="str">
        <f aca="false">INDEX('Dish Database'!$B:$B,MATCH(C87,'Dish Database'!$A:$A,0))</f>
        <v>Green salad</v>
      </c>
      <c r="C87" s="16" t="s">
        <v>1878</v>
      </c>
      <c r="D87" s="16" t="n">
        <v>50</v>
      </c>
      <c r="E87" s="13" t="n">
        <f aca="false">D87/100*INDEX('Dish Database'!$J:$J,MATCH(C87,'Dish Database'!$A:$A,0))</f>
        <v>12.3</v>
      </c>
      <c r="F87" s="17" t="n">
        <f aca="false">D87/100*INDEX('Dish Database'!$K:$K,MATCH(C87,'Dish Database'!$A:$A,0))</f>
        <v>0.5</v>
      </c>
      <c r="G87" s="17" t="n">
        <f aca="false">D87/100*INDEX('Dish Database'!$L:$L,MATCH(C87,'Dish Database'!$A:$A,0))</f>
        <v>2.75</v>
      </c>
      <c r="H87" s="17" t="n">
        <f aca="false">D87/100*INDEX('Dish Database'!$M:$M,MATCH(C87,'Dish Database'!$A:$A,0))</f>
        <v>0.1</v>
      </c>
      <c r="I87" s="17" t="n">
        <f aca="false">D87/100*INDEX('Dish Database'!$N:$N,MATCH(C87,'Dish Database'!$A:$A,0))</f>
        <v>0.8</v>
      </c>
      <c r="J87" s="17" t="n">
        <f aca="false">D87/100*INDEX('Dish Database'!$O:$O,MATCH(C87,'Dish Database'!$A:$A,0))</f>
        <v>1.5</v>
      </c>
      <c r="K87" s="13" t="n">
        <f aca="false">D87/100*INDEX('Dish Database'!$P:$P,MATCH(C87,'Dish Database'!$A:$A,0))</f>
        <v>5</v>
      </c>
    </row>
    <row r="88" customFormat="false" ht="15" hidden="false" customHeight="false" outlineLevel="0" collapsed="false">
      <c r="A88" s="20"/>
      <c r="B88" s="21" t="s">
        <v>2714</v>
      </c>
      <c r="C88" s="20"/>
      <c r="D88" s="22" t="n">
        <f aca="false">SUM(D85:D87)</f>
        <v>400</v>
      </c>
      <c r="E88" s="22" t="n">
        <f aca="false">SUM(E85:E87)</f>
        <v>436.55</v>
      </c>
      <c r="F88" s="23" t="n">
        <f aca="false">SUM(F85:F87)</f>
        <v>13.4</v>
      </c>
      <c r="G88" s="23" t="n">
        <f aca="false">SUM(G85:G87)</f>
        <v>83.15</v>
      </c>
      <c r="H88" s="23" t="n">
        <f aca="false">SUM(H85:H87)</f>
        <v>7.45</v>
      </c>
      <c r="I88" s="23" t="n">
        <f aca="false">SUM(I85:I87)</f>
        <v>8.35</v>
      </c>
      <c r="J88" s="23" t="n">
        <f aca="false">SUM(J85:J87)</f>
        <v>3.95</v>
      </c>
      <c r="K88" s="22" t="n">
        <f aca="false">SUM(K85:K87)</f>
        <v>532</v>
      </c>
    </row>
    <row r="90" customFormat="false" ht="15" hidden="false" customHeight="false" outlineLevel="0" collapsed="false">
      <c r="A90" s="18" t="s">
        <v>2729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 customFormat="false" ht="15" hidden="false" customHeight="false" outlineLevel="0" collapsed="false">
      <c r="B91" s="6" t="str">
        <f aca="false">INDEX('Dish Database'!$B:$B,MATCH(C91,'Dish Database'!$A:$A,0))</f>
        <v>Toor / arhar dal (home, light tadka)</v>
      </c>
      <c r="C91" s="16" t="s">
        <v>965</v>
      </c>
      <c r="D91" s="16" t="n">
        <v>150</v>
      </c>
      <c r="E91" s="13" t="n">
        <f aca="false">D91/100*INDEX('Dish Database'!$J:$J,MATCH(C91,'Dish Database'!$A:$A,0))</f>
        <v>125.4</v>
      </c>
      <c r="F91" s="17" t="n">
        <f aca="false">D91/100*INDEX('Dish Database'!$K:$K,MATCH(C91,'Dish Database'!$A:$A,0))</f>
        <v>7.2</v>
      </c>
      <c r="G91" s="17" t="n">
        <f aca="false">D91/100*INDEX('Dish Database'!$L:$L,MATCH(C91,'Dish Database'!$A:$A,0))</f>
        <v>19.5</v>
      </c>
      <c r="H91" s="17" t="n">
        <f aca="false">D91/100*INDEX('Dish Database'!$M:$M,MATCH(C91,'Dish Database'!$A:$A,0))</f>
        <v>3</v>
      </c>
      <c r="I91" s="17" t="n">
        <f aca="false">D91/100*INDEX('Dish Database'!$N:$N,MATCH(C91,'Dish Database'!$A:$A,0))</f>
        <v>4.2</v>
      </c>
      <c r="J91" s="17" t="n">
        <f aca="false">D91/100*INDEX('Dish Database'!$O:$O,MATCH(C91,'Dish Database'!$A:$A,0))</f>
        <v>1.2</v>
      </c>
      <c r="K91" s="13" t="n">
        <f aca="false">D91/100*INDEX('Dish Database'!$P:$P,MATCH(C91,'Dish Database'!$A:$A,0))</f>
        <v>450</v>
      </c>
    </row>
    <row r="92" customFormat="false" ht="15" hidden="false" customHeight="false" outlineLevel="0" collapsed="false">
      <c r="B92" s="6" t="str">
        <f aca="false">INDEX('Dish Database'!$B:$B,MATCH(C92,'Dish Database'!$A:$A,0))</f>
        <v>Steamed white rice</v>
      </c>
      <c r="C92" s="16" t="s">
        <v>853</v>
      </c>
      <c r="D92" s="16" t="n">
        <v>200</v>
      </c>
      <c r="E92" s="13" t="n">
        <f aca="false">D92/100*INDEX('Dish Database'!$J:$J,MATCH(C92,'Dish Database'!$A:$A,0))</f>
        <v>251</v>
      </c>
      <c r="F92" s="17" t="n">
        <f aca="false">D92/100*INDEX('Dish Database'!$K:$K,MATCH(C92,'Dish Database'!$A:$A,0))</f>
        <v>5.4</v>
      </c>
      <c r="G92" s="17" t="n">
        <f aca="false">D92/100*INDEX('Dish Database'!$L:$L,MATCH(C92,'Dish Database'!$A:$A,0))</f>
        <v>56.4</v>
      </c>
      <c r="H92" s="17" t="n">
        <f aca="false">D92/100*INDEX('Dish Database'!$M:$M,MATCH(C92,'Dish Database'!$A:$A,0))</f>
        <v>0.6</v>
      </c>
      <c r="I92" s="17" t="n">
        <f aca="false">D92/100*INDEX('Dish Database'!$N:$N,MATCH(C92,'Dish Database'!$A:$A,0))</f>
        <v>0.8</v>
      </c>
      <c r="J92" s="17" t="n">
        <f aca="false">D92/100*INDEX('Dish Database'!$O:$O,MATCH(C92,'Dish Database'!$A:$A,0))</f>
        <v>0.2</v>
      </c>
      <c r="K92" s="13" t="n">
        <f aca="false">D92/100*INDEX('Dish Database'!$P:$P,MATCH(C92,'Dish Database'!$A:$A,0))</f>
        <v>2</v>
      </c>
    </row>
    <row r="93" customFormat="false" ht="15" hidden="false" customHeight="false" outlineLevel="0" collapsed="false">
      <c r="B93" s="6" t="str">
        <f aca="false">INDEX('Dish Database'!$B:$B,MATCH(C93,'Dish Database'!$A:$A,0))</f>
        <v>Ghee</v>
      </c>
      <c r="C93" s="16" t="s">
        <v>2205</v>
      </c>
      <c r="D93" s="16" t="n">
        <v>5</v>
      </c>
      <c r="E93" s="13" t="n">
        <f aca="false">D93/100*INDEX('Dish Database'!$J:$J,MATCH(C93,'Dish Database'!$A:$A,0))</f>
        <v>44.91</v>
      </c>
      <c r="F93" s="17" t="n">
        <f aca="false">D93/100*INDEX('Dish Database'!$K:$K,MATCH(C93,'Dish Database'!$A:$A,0))</f>
        <v>0</v>
      </c>
      <c r="G93" s="17" t="n">
        <f aca="false">D93/100*INDEX('Dish Database'!$L:$L,MATCH(C93,'Dish Database'!$A:$A,0))</f>
        <v>0</v>
      </c>
      <c r="H93" s="17" t="n">
        <f aca="false">D93/100*INDEX('Dish Database'!$M:$M,MATCH(C93,'Dish Database'!$A:$A,0))</f>
        <v>4.99</v>
      </c>
      <c r="I93" s="17" t="n">
        <f aca="false">D93/100*INDEX('Dish Database'!$N:$N,MATCH(C93,'Dish Database'!$A:$A,0))</f>
        <v>0</v>
      </c>
      <c r="J93" s="17" t="n">
        <f aca="false">D93/100*INDEX('Dish Database'!$O:$O,MATCH(C93,'Dish Database'!$A:$A,0))</f>
        <v>0</v>
      </c>
      <c r="K93" s="13" t="n">
        <f aca="false">D93/100*INDEX('Dish Database'!$P:$P,MATCH(C93,'Dish Database'!$A:$A,0))</f>
        <v>0.1</v>
      </c>
    </row>
    <row r="94" customFormat="false" ht="15" hidden="false" customHeight="false" outlineLevel="0" collapsed="false">
      <c r="A94" s="20"/>
      <c r="B94" s="21" t="s">
        <v>2714</v>
      </c>
      <c r="C94" s="20"/>
      <c r="D94" s="22" t="n">
        <f aca="false">SUM(D91:D93)</f>
        <v>355</v>
      </c>
      <c r="E94" s="22" t="n">
        <f aca="false">SUM(E91:E93)</f>
        <v>421.31</v>
      </c>
      <c r="F94" s="23" t="n">
        <f aca="false">SUM(F91:F93)</f>
        <v>12.6</v>
      </c>
      <c r="G94" s="23" t="n">
        <f aca="false">SUM(G91:G93)</f>
        <v>75.9</v>
      </c>
      <c r="H94" s="23" t="n">
        <f aca="false">SUM(H91:H93)</f>
        <v>8.59</v>
      </c>
      <c r="I94" s="23" t="n">
        <f aca="false">SUM(I91:I93)</f>
        <v>5</v>
      </c>
      <c r="J94" s="23" t="n">
        <f aca="false">SUM(J91:J93)</f>
        <v>1.4</v>
      </c>
      <c r="K94" s="22" t="n">
        <f aca="false">SUM(K91:K93)</f>
        <v>452.1</v>
      </c>
    </row>
    <row r="96" customFormat="false" ht="15" hidden="false" customHeight="false" outlineLevel="0" collapsed="false">
      <c r="A96" s="18" t="s">
        <v>2730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</row>
    <row r="97" customFormat="false" ht="15" hidden="false" customHeight="false" outlineLevel="0" collapsed="false">
      <c r="B97" s="6" t="str">
        <f aca="false">INDEX('Dish Database'!$B:$B,MATCH(C97,'Dish Database'!$A:$A,0))</f>
        <v>Kadhi pakora (Punjabi)</v>
      </c>
      <c r="C97" s="16" t="s">
        <v>1037</v>
      </c>
      <c r="D97" s="16" t="n">
        <v>200</v>
      </c>
      <c r="E97" s="13" t="n">
        <f aca="false">D97/100*INDEX('Dish Database'!$J:$J,MATCH(C97,'Dish Database'!$A:$A,0))</f>
        <v>213</v>
      </c>
      <c r="F97" s="17" t="n">
        <f aca="false">D97/100*INDEX('Dish Database'!$K:$K,MATCH(C97,'Dish Database'!$A:$A,0))</f>
        <v>7</v>
      </c>
      <c r="G97" s="17" t="n">
        <f aca="false">D97/100*INDEX('Dish Database'!$L:$L,MATCH(C97,'Dish Database'!$A:$A,0))</f>
        <v>18</v>
      </c>
      <c r="H97" s="17" t="n">
        <f aca="false">D97/100*INDEX('Dish Database'!$M:$M,MATCH(C97,'Dish Database'!$A:$A,0))</f>
        <v>13</v>
      </c>
      <c r="I97" s="17" t="n">
        <f aca="false">D97/100*INDEX('Dish Database'!$N:$N,MATCH(C97,'Dish Database'!$A:$A,0))</f>
        <v>2</v>
      </c>
      <c r="J97" s="17" t="n">
        <f aca="false">D97/100*INDEX('Dish Database'!$O:$O,MATCH(C97,'Dish Database'!$A:$A,0))</f>
        <v>5</v>
      </c>
      <c r="K97" s="13" t="n">
        <f aca="false">D97/100*INDEX('Dish Database'!$P:$P,MATCH(C97,'Dish Database'!$A:$A,0))</f>
        <v>760</v>
      </c>
    </row>
    <row r="98" customFormat="false" ht="15" hidden="false" customHeight="false" outlineLevel="0" collapsed="false">
      <c r="B98" s="6" t="str">
        <f aca="false">INDEX('Dish Database'!$B:$B,MATCH(C98,'Dish Database'!$A:$A,0))</f>
        <v>Steamed white rice</v>
      </c>
      <c r="C98" s="16" t="s">
        <v>853</v>
      </c>
      <c r="D98" s="16" t="n">
        <v>200</v>
      </c>
      <c r="E98" s="13" t="n">
        <f aca="false">D98/100*INDEX('Dish Database'!$J:$J,MATCH(C98,'Dish Database'!$A:$A,0))</f>
        <v>251</v>
      </c>
      <c r="F98" s="17" t="n">
        <f aca="false">D98/100*INDEX('Dish Database'!$K:$K,MATCH(C98,'Dish Database'!$A:$A,0))</f>
        <v>5.4</v>
      </c>
      <c r="G98" s="17" t="n">
        <f aca="false">D98/100*INDEX('Dish Database'!$L:$L,MATCH(C98,'Dish Database'!$A:$A,0))</f>
        <v>56.4</v>
      </c>
      <c r="H98" s="17" t="n">
        <f aca="false">D98/100*INDEX('Dish Database'!$M:$M,MATCH(C98,'Dish Database'!$A:$A,0))</f>
        <v>0.6</v>
      </c>
      <c r="I98" s="17" t="n">
        <f aca="false">D98/100*INDEX('Dish Database'!$N:$N,MATCH(C98,'Dish Database'!$A:$A,0))</f>
        <v>0.8</v>
      </c>
      <c r="J98" s="17" t="n">
        <f aca="false">D98/100*INDEX('Dish Database'!$O:$O,MATCH(C98,'Dish Database'!$A:$A,0))</f>
        <v>0.2</v>
      </c>
      <c r="K98" s="13" t="n">
        <f aca="false">D98/100*INDEX('Dish Database'!$P:$P,MATCH(C98,'Dish Database'!$A:$A,0))</f>
        <v>2</v>
      </c>
    </row>
    <row r="99" customFormat="false" ht="15" hidden="false" customHeight="false" outlineLevel="0" collapsed="false">
      <c r="A99" s="20"/>
      <c r="B99" s="21" t="s">
        <v>2714</v>
      </c>
      <c r="C99" s="20"/>
      <c r="D99" s="22" t="n">
        <f aca="false">SUM(D97:D98)</f>
        <v>400</v>
      </c>
      <c r="E99" s="22" t="n">
        <f aca="false">SUM(E97:E98)</f>
        <v>464</v>
      </c>
      <c r="F99" s="23" t="n">
        <f aca="false">SUM(F97:F98)</f>
        <v>12.4</v>
      </c>
      <c r="G99" s="23" t="n">
        <f aca="false">SUM(G97:G98)</f>
        <v>74.4</v>
      </c>
      <c r="H99" s="23" t="n">
        <f aca="false">SUM(H97:H98)</f>
        <v>13.6</v>
      </c>
      <c r="I99" s="23" t="n">
        <f aca="false">SUM(I97:I98)</f>
        <v>2.8</v>
      </c>
      <c r="J99" s="23" t="n">
        <f aca="false">SUM(J97:J98)</f>
        <v>5.2</v>
      </c>
      <c r="K99" s="22" t="n">
        <f aca="false">SUM(K97:K98)</f>
        <v>762</v>
      </c>
    </row>
    <row r="101" customFormat="false" ht="15" hidden="false" customHeight="false" outlineLevel="0" collapsed="false">
      <c r="A101" s="18" t="s">
        <v>2731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 customFormat="false" ht="15" hidden="false" customHeight="false" outlineLevel="0" collapsed="false">
      <c r="B102" s="6" t="str">
        <f aca="false">INDEX('Dish Database'!$B:$B,MATCH(C102,'Dish Database'!$A:$A,0))</f>
        <v>Curd rice</v>
      </c>
      <c r="C102" s="16" t="s">
        <v>892</v>
      </c>
      <c r="D102" s="16" t="n">
        <v>250</v>
      </c>
      <c r="E102" s="13" t="n">
        <f aca="false">D102/100*INDEX('Dish Database'!$J:$J,MATCH(C102,'Dish Database'!$A:$A,0))</f>
        <v>296.75</v>
      </c>
      <c r="F102" s="17" t="n">
        <f aca="false">D102/100*INDEX('Dish Database'!$K:$K,MATCH(C102,'Dish Database'!$A:$A,0))</f>
        <v>7.5</v>
      </c>
      <c r="G102" s="17" t="n">
        <f aca="false">D102/100*INDEX('Dish Database'!$L:$L,MATCH(C102,'Dish Database'!$A:$A,0))</f>
        <v>47.5</v>
      </c>
      <c r="H102" s="17" t="n">
        <f aca="false">D102/100*INDEX('Dish Database'!$M:$M,MATCH(C102,'Dish Database'!$A:$A,0))</f>
        <v>8.75</v>
      </c>
      <c r="I102" s="17" t="n">
        <f aca="false">D102/100*INDEX('Dish Database'!$N:$N,MATCH(C102,'Dish Database'!$A:$A,0))</f>
        <v>1</v>
      </c>
      <c r="J102" s="17" t="n">
        <f aca="false">D102/100*INDEX('Dish Database'!$O:$O,MATCH(C102,'Dish Database'!$A:$A,0))</f>
        <v>3.75</v>
      </c>
      <c r="K102" s="13" t="n">
        <f aca="false">D102/100*INDEX('Dish Database'!$P:$P,MATCH(C102,'Dish Database'!$A:$A,0))</f>
        <v>700</v>
      </c>
    </row>
    <row r="103" customFormat="false" ht="15" hidden="false" customHeight="false" outlineLevel="0" collapsed="false">
      <c r="B103" s="6" t="str">
        <f aca="false">INDEX('Dish Database'!$B:$B,MATCH(C103,'Dish Database'!$A:$A,0))</f>
        <v>Mango pickle (in oil)</v>
      </c>
      <c r="C103" s="16" t="s">
        <v>1933</v>
      </c>
      <c r="D103" s="16" t="n">
        <v>10</v>
      </c>
      <c r="E103" s="13" t="n">
        <f aca="false">D103/100*INDEX('Dish Database'!$J:$J,MATCH(C103,'Dish Database'!$A:$A,0))</f>
        <v>16.6</v>
      </c>
      <c r="F103" s="17" t="n">
        <f aca="false">D103/100*INDEX('Dish Database'!$K:$K,MATCH(C103,'Dish Database'!$A:$A,0))</f>
        <v>0.1</v>
      </c>
      <c r="G103" s="17" t="n">
        <f aca="false">D103/100*INDEX('Dish Database'!$L:$L,MATCH(C103,'Dish Database'!$A:$A,0))</f>
        <v>0.8</v>
      </c>
      <c r="H103" s="17" t="n">
        <f aca="false">D103/100*INDEX('Dish Database'!$M:$M,MATCH(C103,'Dish Database'!$A:$A,0))</f>
        <v>1.5</v>
      </c>
      <c r="I103" s="17" t="n">
        <f aca="false">D103/100*INDEX('Dish Database'!$N:$N,MATCH(C103,'Dish Database'!$A:$A,0))</f>
        <v>0.25</v>
      </c>
      <c r="J103" s="17" t="n">
        <f aca="false">D103/100*INDEX('Dish Database'!$O:$O,MATCH(C103,'Dish Database'!$A:$A,0))</f>
        <v>0.15</v>
      </c>
      <c r="K103" s="13" t="n">
        <f aca="false">D103/100*INDEX('Dish Database'!$P:$P,MATCH(C103,'Dish Database'!$A:$A,0))</f>
        <v>260</v>
      </c>
    </row>
    <row r="104" customFormat="false" ht="15" hidden="false" customHeight="false" outlineLevel="0" collapsed="false">
      <c r="A104" s="20"/>
      <c r="B104" s="21" t="s">
        <v>2714</v>
      </c>
      <c r="C104" s="20"/>
      <c r="D104" s="22" t="n">
        <f aca="false">SUM(D102:D103)</f>
        <v>260</v>
      </c>
      <c r="E104" s="22" t="n">
        <f aca="false">SUM(E102:E103)</f>
        <v>313.35</v>
      </c>
      <c r="F104" s="23" t="n">
        <f aca="false">SUM(F102:F103)</f>
        <v>7.6</v>
      </c>
      <c r="G104" s="23" t="n">
        <f aca="false">SUM(G102:G103)</f>
        <v>48.3</v>
      </c>
      <c r="H104" s="23" t="n">
        <f aca="false">SUM(H102:H103)</f>
        <v>10.25</v>
      </c>
      <c r="I104" s="23" t="n">
        <f aca="false">SUM(I102:I103)</f>
        <v>1.25</v>
      </c>
      <c r="J104" s="23" t="n">
        <f aca="false">SUM(J102:J103)</f>
        <v>3.9</v>
      </c>
      <c r="K104" s="22" t="n">
        <f aca="false">SUM(K102:K103)</f>
        <v>960</v>
      </c>
    </row>
    <row r="106" customFormat="false" ht="15" hidden="false" customHeight="false" outlineLevel="0" collapsed="false">
      <c r="A106" s="18" t="s">
        <v>2732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</row>
    <row r="107" customFormat="false" ht="15" hidden="false" customHeight="false" outlineLevel="0" collapsed="false">
      <c r="B107" s="6" t="str">
        <f aca="false">INDEX('Dish Database'!$B:$B,MATCH(C107,'Dish Database'!$A:$A,0))</f>
        <v>Sarson ka saag</v>
      </c>
      <c r="C107" s="16" t="s">
        <v>1168</v>
      </c>
      <c r="D107" s="16" t="n">
        <v>200</v>
      </c>
      <c r="E107" s="13" t="n">
        <f aca="false">D107/100*INDEX('Dish Database'!$J:$J,MATCH(C107,'Dish Database'!$A:$A,0))</f>
        <v>176</v>
      </c>
      <c r="F107" s="17" t="n">
        <f aca="false">D107/100*INDEX('Dish Database'!$K:$K,MATCH(C107,'Dish Database'!$A:$A,0))</f>
        <v>6</v>
      </c>
      <c r="G107" s="17" t="n">
        <f aca="false">D107/100*INDEX('Dish Database'!$L:$L,MATCH(C107,'Dish Database'!$A:$A,0))</f>
        <v>14</v>
      </c>
      <c r="H107" s="17" t="n">
        <f aca="false">D107/100*INDEX('Dish Database'!$M:$M,MATCH(C107,'Dish Database'!$A:$A,0))</f>
        <v>12</v>
      </c>
      <c r="I107" s="17" t="n">
        <f aca="false">D107/100*INDEX('Dish Database'!$N:$N,MATCH(C107,'Dish Database'!$A:$A,0))</f>
        <v>6</v>
      </c>
      <c r="J107" s="17" t="n">
        <f aca="false">D107/100*INDEX('Dish Database'!$O:$O,MATCH(C107,'Dish Database'!$A:$A,0))</f>
        <v>3</v>
      </c>
      <c r="K107" s="13" t="n">
        <f aca="false">D107/100*INDEX('Dish Database'!$P:$P,MATCH(C107,'Dish Database'!$A:$A,0))</f>
        <v>700</v>
      </c>
    </row>
    <row r="108" customFormat="false" ht="15" hidden="false" customHeight="false" outlineLevel="0" collapsed="false">
      <c r="B108" s="6" t="str">
        <f aca="false">INDEX('Dish Database'!$B:$B,MATCH(C108,'Dish Database'!$A:$A,0))</f>
        <v>Makki di roti (with ghee)</v>
      </c>
      <c r="C108" s="16" t="s">
        <v>813</v>
      </c>
      <c r="D108" s="16" t="n">
        <v>140</v>
      </c>
      <c r="E108" s="13" t="n">
        <f aca="false">D108/100*INDEX('Dish Database'!$J:$J,MATCH(C108,'Dish Database'!$A:$A,0))</f>
        <v>401.8</v>
      </c>
      <c r="F108" s="17" t="n">
        <f aca="false">D108/100*INDEX('Dish Database'!$K:$K,MATCH(C108,'Dish Database'!$A:$A,0))</f>
        <v>9.1</v>
      </c>
      <c r="G108" s="17" t="n">
        <f aca="false">D108/100*INDEX('Dish Database'!$L:$L,MATCH(C108,'Dish Database'!$A:$A,0))</f>
        <v>67.2</v>
      </c>
      <c r="H108" s="17" t="n">
        <f aca="false">D108/100*INDEX('Dish Database'!$M:$M,MATCH(C108,'Dish Database'!$A:$A,0))</f>
        <v>12.6</v>
      </c>
      <c r="I108" s="17" t="n">
        <f aca="false">D108/100*INDEX('Dish Database'!$N:$N,MATCH(C108,'Dish Database'!$A:$A,0))</f>
        <v>8.4</v>
      </c>
      <c r="J108" s="17" t="n">
        <f aca="false">D108/100*INDEX('Dish Database'!$O:$O,MATCH(C108,'Dish Database'!$A:$A,0))</f>
        <v>1.4</v>
      </c>
      <c r="K108" s="13" t="n">
        <f aca="false">D108/100*INDEX('Dish Database'!$P:$P,MATCH(C108,'Dish Database'!$A:$A,0))</f>
        <v>280</v>
      </c>
    </row>
    <row r="109" customFormat="false" ht="15" hidden="false" customHeight="false" outlineLevel="0" collapsed="false">
      <c r="B109" s="6" t="str">
        <f aca="false">INDEX('Dish Database'!$B:$B,MATCH(C109,'Dish Database'!$A:$A,0))</f>
        <v>Butter (salted)</v>
      </c>
      <c r="C109" s="16" t="s">
        <v>2212</v>
      </c>
      <c r="D109" s="16" t="n">
        <v>10</v>
      </c>
      <c r="E109" s="13" t="n">
        <f aca="false">D109/100*INDEX('Dish Database'!$J:$J,MATCH(C109,'Dish Database'!$A:$A,0))</f>
        <v>73.3</v>
      </c>
      <c r="F109" s="17" t="n">
        <f aca="false">D109/100*INDEX('Dish Database'!$K:$K,MATCH(C109,'Dish Database'!$A:$A,0))</f>
        <v>0.09</v>
      </c>
      <c r="G109" s="17" t="n">
        <f aca="false">D109/100*INDEX('Dish Database'!$L:$L,MATCH(C109,'Dish Database'!$A:$A,0))</f>
        <v>0.01</v>
      </c>
      <c r="H109" s="17" t="n">
        <f aca="false">D109/100*INDEX('Dish Database'!$M:$M,MATCH(C109,'Dish Database'!$A:$A,0))</f>
        <v>8.1</v>
      </c>
      <c r="I109" s="17" t="n">
        <f aca="false">D109/100*INDEX('Dish Database'!$N:$N,MATCH(C109,'Dish Database'!$A:$A,0))</f>
        <v>0</v>
      </c>
      <c r="J109" s="17" t="n">
        <f aca="false">D109/100*INDEX('Dish Database'!$O:$O,MATCH(C109,'Dish Database'!$A:$A,0))</f>
        <v>0.01</v>
      </c>
      <c r="K109" s="13" t="n">
        <f aca="false">D109/100*INDEX('Dish Database'!$P:$P,MATCH(C109,'Dish Database'!$A:$A,0))</f>
        <v>58</v>
      </c>
    </row>
    <row r="110" customFormat="false" ht="15" hidden="false" customHeight="false" outlineLevel="0" collapsed="false">
      <c r="B110" s="6" t="str">
        <f aca="false">INDEX('Dish Database'!$B:$B,MATCH(C110,'Dish Database'!$A:$A,0))</f>
        <v>Jaggery</v>
      </c>
      <c r="C110" s="16" t="s">
        <v>2219</v>
      </c>
      <c r="D110" s="16" t="n">
        <v>10</v>
      </c>
      <c r="E110" s="13" t="n">
        <f aca="false">D110/100*INDEX('Dish Database'!$J:$J,MATCH(C110,'Dish Database'!$A:$A,0))</f>
        <v>38.25</v>
      </c>
      <c r="F110" s="17" t="n">
        <f aca="false">D110/100*INDEX('Dish Database'!$K:$K,MATCH(C110,'Dish Database'!$A:$A,0))</f>
        <v>0.04</v>
      </c>
      <c r="G110" s="17" t="n">
        <f aca="false">D110/100*INDEX('Dish Database'!$L:$L,MATCH(C110,'Dish Database'!$A:$A,0))</f>
        <v>9.5</v>
      </c>
      <c r="H110" s="17" t="n">
        <f aca="false">D110/100*INDEX('Dish Database'!$M:$M,MATCH(C110,'Dish Database'!$A:$A,0))</f>
        <v>0.01</v>
      </c>
      <c r="I110" s="17" t="n">
        <f aca="false">D110/100*INDEX('Dish Database'!$N:$N,MATCH(C110,'Dish Database'!$A:$A,0))</f>
        <v>0</v>
      </c>
      <c r="J110" s="17" t="n">
        <f aca="false">D110/100*INDEX('Dish Database'!$O:$O,MATCH(C110,'Dish Database'!$A:$A,0))</f>
        <v>8.5</v>
      </c>
      <c r="K110" s="13" t="n">
        <f aca="false">D110/100*INDEX('Dish Database'!$P:$P,MATCH(C110,'Dish Database'!$A:$A,0))</f>
        <v>3</v>
      </c>
    </row>
    <row r="111" customFormat="false" ht="15" hidden="false" customHeight="false" outlineLevel="0" collapsed="false">
      <c r="A111" s="20"/>
      <c r="B111" s="21" t="s">
        <v>2714</v>
      </c>
      <c r="C111" s="20"/>
      <c r="D111" s="22" t="n">
        <f aca="false">SUM(D107:D110)</f>
        <v>360</v>
      </c>
      <c r="E111" s="22" t="n">
        <f aca="false">SUM(E107:E110)</f>
        <v>689.35</v>
      </c>
      <c r="F111" s="23" t="n">
        <f aca="false">SUM(F107:F110)</f>
        <v>15.23</v>
      </c>
      <c r="G111" s="23" t="n">
        <f aca="false">SUM(G107:G110)</f>
        <v>90.71</v>
      </c>
      <c r="H111" s="23" t="n">
        <f aca="false">SUM(H107:H110)</f>
        <v>32.71</v>
      </c>
      <c r="I111" s="23" t="n">
        <f aca="false">SUM(I107:I110)</f>
        <v>14.4</v>
      </c>
      <c r="J111" s="23" t="n">
        <f aca="false">SUM(J107:J110)</f>
        <v>12.91</v>
      </c>
      <c r="K111" s="22" t="n">
        <f aca="false">SUM(K107:K110)</f>
        <v>1041</v>
      </c>
    </row>
    <row r="113" customFormat="false" ht="15" hidden="false" customHeight="false" outlineLevel="0" collapsed="false">
      <c r="A113" s="18" t="s">
        <v>2733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</row>
    <row r="114" customFormat="false" ht="15" hidden="false" customHeight="false" outlineLevel="0" collapsed="false">
      <c r="B114" s="6" t="str">
        <f aca="false">INDEX('Dish Database'!$B:$B,MATCH(C114,'Dish Database'!$A:$A,0))</f>
        <v>Mixed dal / Panchmel dal</v>
      </c>
      <c r="C114" s="16" t="s">
        <v>997</v>
      </c>
      <c r="D114" s="16" t="n">
        <v>150</v>
      </c>
      <c r="E114" s="13" t="n">
        <f aca="false">D114/100*INDEX('Dish Database'!$J:$J,MATCH(C114,'Dish Database'!$A:$A,0))</f>
        <v>154.65</v>
      </c>
      <c r="F114" s="17" t="n">
        <f aca="false">D114/100*INDEX('Dish Database'!$K:$K,MATCH(C114,'Dish Database'!$A:$A,0))</f>
        <v>8.25</v>
      </c>
      <c r="G114" s="17" t="n">
        <f aca="false">D114/100*INDEX('Dish Database'!$L:$L,MATCH(C114,'Dish Database'!$A:$A,0))</f>
        <v>21</v>
      </c>
      <c r="H114" s="17" t="n">
        <f aca="false">D114/100*INDEX('Dish Database'!$M:$M,MATCH(C114,'Dish Database'!$A:$A,0))</f>
        <v>5.25</v>
      </c>
      <c r="I114" s="17" t="n">
        <f aca="false">D114/100*INDEX('Dish Database'!$N:$N,MATCH(C114,'Dish Database'!$A:$A,0))</f>
        <v>4.8</v>
      </c>
      <c r="J114" s="17" t="n">
        <f aca="false">D114/100*INDEX('Dish Database'!$O:$O,MATCH(C114,'Dish Database'!$A:$A,0))</f>
        <v>1.5</v>
      </c>
      <c r="K114" s="13" t="n">
        <f aca="false">D114/100*INDEX('Dish Database'!$P:$P,MATCH(C114,'Dish Database'!$A:$A,0))</f>
        <v>480</v>
      </c>
    </row>
    <row r="115" customFormat="false" ht="15" hidden="false" customHeight="false" outlineLevel="0" collapsed="false">
      <c r="B115" s="6" t="str">
        <f aca="false">INDEX('Dish Database'!$B:$B,MATCH(C115,'Dish Database'!$A:$A,0))</f>
        <v>Baati (ghee-dipped)</v>
      </c>
      <c r="C115" s="16" t="s">
        <v>836</v>
      </c>
      <c r="D115" s="16" t="n">
        <v>160</v>
      </c>
      <c r="E115" s="13" t="n">
        <f aca="false">D115/100*INDEX('Dish Database'!$J:$J,MATCH(C115,'Dish Database'!$A:$A,0))</f>
        <v>612.8</v>
      </c>
      <c r="F115" s="17" t="n">
        <f aca="false">D115/100*INDEX('Dish Database'!$K:$K,MATCH(C115,'Dish Database'!$A:$A,0))</f>
        <v>12.8</v>
      </c>
      <c r="G115" s="17" t="n">
        <f aca="false">D115/100*INDEX('Dish Database'!$L:$L,MATCH(C115,'Dish Database'!$A:$A,0))</f>
        <v>80</v>
      </c>
      <c r="H115" s="17" t="n">
        <f aca="false">D115/100*INDEX('Dish Database'!$M:$M,MATCH(C115,'Dish Database'!$A:$A,0))</f>
        <v>28.8</v>
      </c>
      <c r="I115" s="17" t="n">
        <f aca="false">D115/100*INDEX('Dish Database'!$N:$N,MATCH(C115,'Dish Database'!$A:$A,0))</f>
        <v>8.8</v>
      </c>
      <c r="J115" s="17" t="n">
        <f aca="false">D115/100*INDEX('Dish Database'!$O:$O,MATCH(C115,'Dish Database'!$A:$A,0))</f>
        <v>1.6</v>
      </c>
      <c r="K115" s="13" t="n">
        <f aca="false">D115/100*INDEX('Dish Database'!$P:$P,MATCH(C115,'Dish Database'!$A:$A,0))</f>
        <v>480</v>
      </c>
    </row>
    <row r="116" customFormat="false" ht="15" hidden="false" customHeight="false" outlineLevel="0" collapsed="false">
      <c r="B116" s="6" t="str">
        <f aca="false">INDEX('Dish Database'!$B:$B,MATCH(C116,'Dish Database'!$A:$A,0))</f>
        <v>Churma</v>
      </c>
      <c r="C116" s="16" t="s">
        <v>2082</v>
      </c>
      <c r="D116" s="16" t="n">
        <v>50</v>
      </c>
      <c r="E116" s="13" t="n">
        <f aca="false">D116/100*INDEX('Dish Database'!$J:$J,MATCH(C116,'Dish Database'!$A:$A,0))</f>
        <v>218</v>
      </c>
      <c r="F116" s="17" t="n">
        <f aca="false">D116/100*INDEX('Dish Database'!$K:$K,MATCH(C116,'Dish Database'!$A:$A,0))</f>
        <v>3.25</v>
      </c>
      <c r="G116" s="17" t="n">
        <f aca="false">D116/100*INDEX('Dish Database'!$L:$L,MATCH(C116,'Dish Database'!$A:$A,0))</f>
        <v>27.5</v>
      </c>
      <c r="H116" s="17" t="n">
        <f aca="false">D116/100*INDEX('Dish Database'!$M:$M,MATCH(C116,'Dish Database'!$A:$A,0))</f>
        <v>11</v>
      </c>
      <c r="I116" s="17" t="n">
        <f aca="false">D116/100*INDEX('Dish Database'!$N:$N,MATCH(C116,'Dish Database'!$A:$A,0))</f>
        <v>2</v>
      </c>
      <c r="J116" s="17" t="n">
        <f aca="false">D116/100*INDEX('Dish Database'!$O:$O,MATCH(C116,'Dish Database'!$A:$A,0))</f>
        <v>12.5</v>
      </c>
      <c r="K116" s="13" t="n">
        <f aca="false">D116/100*INDEX('Dish Database'!$P:$P,MATCH(C116,'Dish Database'!$A:$A,0))</f>
        <v>10</v>
      </c>
    </row>
    <row r="117" customFormat="false" ht="15" hidden="false" customHeight="false" outlineLevel="0" collapsed="false">
      <c r="A117" s="20"/>
      <c r="B117" s="21" t="s">
        <v>2714</v>
      </c>
      <c r="C117" s="20"/>
      <c r="D117" s="22" t="n">
        <f aca="false">SUM(D114:D116)</f>
        <v>360</v>
      </c>
      <c r="E117" s="22" t="n">
        <f aca="false">SUM(E114:E116)</f>
        <v>985.45</v>
      </c>
      <c r="F117" s="23" t="n">
        <f aca="false">SUM(F114:F116)</f>
        <v>24.3</v>
      </c>
      <c r="G117" s="23" t="n">
        <f aca="false">SUM(G114:G116)</f>
        <v>128.5</v>
      </c>
      <c r="H117" s="23" t="n">
        <f aca="false">SUM(H114:H116)</f>
        <v>45.05</v>
      </c>
      <c r="I117" s="23" t="n">
        <f aca="false">SUM(I114:I116)</f>
        <v>15.6</v>
      </c>
      <c r="J117" s="23" t="n">
        <f aca="false">SUM(J114:J116)</f>
        <v>15.6</v>
      </c>
      <c r="K117" s="22" t="n">
        <f aca="false">SUM(K114:K116)</f>
        <v>970</v>
      </c>
    </row>
    <row r="119" customFormat="false" ht="15" hidden="false" customHeight="false" outlineLevel="0" collapsed="false">
      <c r="A119" s="18" t="s">
        <v>2734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</row>
    <row r="120" customFormat="false" ht="15" hidden="false" customHeight="false" outlineLevel="0" collapsed="false">
      <c r="B120" s="6" t="str">
        <f aca="false">INDEX('Dish Database'!$B:$B,MATCH(C120,'Dish Database'!$A:$A,0))</f>
        <v>Litti (baked, ghee-dipped)</v>
      </c>
      <c r="C120" s="16" t="s">
        <v>582</v>
      </c>
      <c r="D120" s="16" t="n">
        <v>150</v>
      </c>
      <c r="E120" s="13" t="n">
        <f aca="false">D120/100*INDEX('Dish Database'!$J:$J,MATCH(C120,'Dish Database'!$A:$A,0))</f>
        <v>438</v>
      </c>
      <c r="F120" s="17" t="n">
        <f aca="false">D120/100*INDEX('Dish Database'!$K:$K,MATCH(C120,'Dish Database'!$A:$A,0))</f>
        <v>13.5</v>
      </c>
      <c r="G120" s="17" t="n">
        <f aca="false">D120/100*INDEX('Dish Database'!$L:$L,MATCH(C120,'Dish Database'!$A:$A,0))</f>
        <v>67.5</v>
      </c>
      <c r="H120" s="17" t="n">
        <f aca="false">D120/100*INDEX('Dish Database'!$M:$M,MATCH(C120,'Dish Database'!$A:$A,0))</f>
        <v>15</v>
      </c>
      <c r="I120" s="17" t="n">
        <f aca="false">D120/100*INDEX('Dish Database'!$N:$N,MATCH(C120,'Dish Database'!$A:$A,0))</f>
        <v>10.5</v>
      </c>
      <c r="J120" s="17" t="n">
        <f aca="false">D120/100*INDEX('Dish Database'!$O:$O,MATCH(C120,'Dish Database'!$A:$A,0))</f>
        <v>2.25</v>
      </c>
      <c r="K120" s="13" t="n">
        <f aca="false">D120/100*INDEX('Dish Database'!$P:$P,MATCH(C120,'Dish Database'!$A:$A,0))</f>
        <v>450</v>
      </c>
    </row>
    <row r="121" customFormat="false" ht="15" hidden="false" customHeight="false" outlineLevel="0" collapsed="false">
      <c r="B121" s="6" t="str">
        <f aca="false">INDEX('Dish Database'!$B:$B,MATCH(C121,'Dish Database'!$A:$A,0))</f>
        <v>Chokha (baingan-aloo-tomato)</v>
      </c>
      <c r="C121" s="16" t="s">
        <v>586</v>
      </c>
      <c r="D121" s="16" t="n">
        <v>100</v>
      </c>
      <c r="E121" s="13" t="n">
        <f aca="false">D121/100*INDEX('Dish Database'!$J:$J,MATCH(C121,'Dish Database'!$A:$A,0))</f>
        <v>82.2</v>
      </c>
      <c r="F121" s="17" t="n">
        <f aca="false">D121/100*INDEX('Dish Database'!$K:$K,MATCH(C121,'Dish Database'!$A:$A,0))</f>
        <v>1.8</v>
      </c>
      <c r="G121" s="17" t="n">
        <f aca="false">D121/100*INDEX('Dish Database'!$L:$L,MATCH(C121,'Dish Database'!$A:$A,0))</f>
        <v>11</v>
      </c>
      <c r="H121" s="17" t="n">
        <f aca="false">D121/100*INDEX('Dish Database'!$M:$M,MATCH(C121,'Dish Database'!$A:$A,0))</f>
        <v>4</v>
      </c>
      <c r="I121" s="17" t="n">
        <f aca="false">D121/100*INDEX('Dish Database'!$N:$N,MATCH(C121,'Dish Database'!$A:$A,0))</f>
        <v>2.5</v>
      </c>
      <c r="J121" s="17" t="n">
        <f aca="false">D121/100*INDEX('Dish Database'!$O:$O,MATCH(C121,'Dish Database'!$A:$A,0))</f>
        <v>3.5</v>
      </c>
      <c r="K121" s="13" t="n">
        <f aca="false">D121/100*INDEX('Dish Database'!$P:$P,MATCH(C121,'Dish Database'!$A:$A,0))</f>
        <v>350</v>
      </c>
    </row>
    <row r="122" customFormat="false" ht="15" hidden="false" customHeight="false" outlineLevel="0" collapsed="false">
      <c r="A122" s="20"/>
      <c r="B122" s="21" t="s">
        <v>2714</v>
      </c>
      <c r="C122" s="20"/>
      <c r="D122" s="22" t="n">
        <f aca="false">SUM(D120:D121)</f>
        <v>250</v>
      </c>
      <c r="E122" s="22" t="n">
        <f aca="false">SUM(E120:E121)</f>
        <v>520.2</v>
      </c>
      <c r="F122" s="23" t="n">
        <f aca="false">SUM(F120:F121)</f>
        <v>15.3</v>
      </c>
      <c r="G122" s="23" t="n">
        <f aca="false">SUM(G120:G121)</f>
        <v>78.5</v>
      </c>
      <c r="H122" s="23" t="n">
        <f aca="false">SUM(H120:H121)</f>
        <v>19</v>
      </c>
      <c r="I122" s="23" t="n">
        <f aca="false">SUM(I120:I121)</f>
        <v>13</v>
      </c>
      <c r="J122" s="23" t="n">
        <f aca="false">SUM(J120:J121)</f>
        <v>5.75</v>
      </c>
      <c r="K122" s="22" t="n">
        <f aca="false">SUM(K120:K121)</f>
        <v>800</v>
      </c>
    </row>
    <row r="124" customFormat="false" ht="15" hidden="false" customHeight="false" outlineLevel="0" collapsed="false">
      <c r="A124" s="18" t="s">
        <v>2735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</row>
    <row r="125" customFormat="false" ht="15" hidden="false" customHeight="false" outlineLevel="0" collapsed="false">
      <c r="B125" s="6" t="str">
        <f aca="false">INDEX('Dish Database'!$B:$B,MATCH(C125,'Dish Database'!$A:$A,0))</f>
        <v>Paneer butter masala</v>
      </c>
      <c r="C125" s="16" t="s">
        <v>1092</v>
      </c>
      <c r="D125" s="16" t="n">
        <v>150</v>
      </c>
      <c r="E125" s="13" t="n">
        <f aca="false">D125/100*INDEX('Dish Database'!$J:$J,MATCH(C125,'Dish Database'!$A:$A,0))</f>
        <v>291.9</v>
      </c>
      <c r="F125" s="17" t="n">
        <f aca="false">D125/100*INDEX('Dish Database'!$K:$K,MATCH(C125,'Dish Database'!$A:$A,0))</f>
        <v>11.25</v>
      </c>
      <c r="G125" s="17" t="n">
        <f aca="false">D125/100*INDEX('Dish Database'!$L:$L,MATCH(C125,'Dish Database'!$A:$A,0))</f>
        <v>12</v>
      </c>
      <c r="H125" s="17" t="n">
        <f aca="false">D125/100*INDEX('Dish Database'!$M:$M,MATCH(C125,'Dish Database'!$A:$A,0))</f>
        <v>22.5</v>
      </c>
      <c r="I125" s="17" t="n">
        <f aca="false">D125/100*INDEX('Dish Database'!$N:$N,MATCH(C125,'Dish Database'!$A:$A,0))</f>
        <v>1.8</v>
      </c>
      <c r="J125" s="17" t="n">
        <f aca="false">D125/100*INDEX('Dish Database'!$O:$O,MATCH(C125,'Dish Database'!$A:$A,0))</f>
        <v>6</v>
      </c>
      <c r="K125" s="13" t="n">
        <f aca="false">D125/100*INDEX('Dish Database'!$P:$P,MATCH(C125,'Dish Database'!$A:$A,0))</f>
        <v>675</v>
      </c>
    </row>
    <row r="126" customFormat="false" ht="15" hidden="false" customHeight="false" outlineLevel="0" collapsed="false">
      <c r="B126" s="6" t="str">
        <f aca="false">INDEX('Dish Database'!$B:$B,MATCH(C126,'Dish Database'!$A:$A,0))</f>
        <v>Chapati / phulka (no ghee)</v>
      </c>
      <c r="C126" s="16" t="s">
        <v>774</v>
      </c>
      <c r="D126" s="16" t="n">
        <v>70</v>
      </c>
      <c r="E126" s="13" t="n">
        <f aca="false">D126/100*INDEX('Dish Database'!$J:$J,MATCH(C126,'Dish Database'!$A:$A,0))</f>
        <v>170.94</v>
      </c>
      <c r="F126" s="17" t="n">
        <f aca="false">D126/100*INDEX('Dish Database'!$K:$K,MATCH(C126,'Dish Database'!$A:$A,0))</f>
        <v>5.95</v>
      </c>
      <c r="G126" s="17" t="n">
        <f aca="false">D126/100*INDEX('Dish Database'!$L:$L,MATCH(C126,'Dish Database'!$A:$A,0))</f>
        <v>36.4</v>
      </c>
      <c r="H126" s="17" t="n">
        <f aca="false">D126/100*INDEX('Dish Database'!$M:$M,MATCH(C126,'Dish Database'!$A:$A,0))</f>
        <v>1.26</v>
      </c>
      <c r="I126" s="17" t="n">
        <f aca="false">D126/100*INDEX('Dish Database'!$N:$N,MATCH(C126,'Dish Database'!$A:$A,0))</f>
        <v>4.9</v>
      </c>
      <c r="J126" s="17" t="n">
        <f aca="false">D126/100*INDEX('Dish Database'!$O:$O,MATCH(C126,'Dish Database'!$A:$A,0))</f>
        <v>1.05</v>
      </c>
      <c r="K126" s="13" t="n">
        <f aca="false">D126/100*INDEX('Dish Database'!$P:$P,MATCH(C126,'Dish Database'!$A:$A,0))</f>
        <v>3.5</v>
      </c>
    </row>
    <row r="127" customFormat="false" ht="15" hidden="false" customHeight="false" outlineLevel="0" collapsed="false">
      <c r="A127" s="20"/>
      <c r="B127" s="21" t="s">
        <v>2714</v>
      </c>
      <c r="C127" s="20"/>
      <c r="D127" s="22" t="n">
        <f aca="false">SUM(D125:D126)</f>
        <v>220</v>
      </c>
      <c r="E127" s="22" t="n">
        <f aca="false">SUM(E125:E126)</f>
        <v>462.84</v>
      </c>
      <c r="F127" s="23" t="n">
        <f aca="false">SUM(F125:F126)</f>
        <v>17.2</v>
      </c>
      <c r="G127" s="23" t="n">
        <f aca="false">SUM(G125:G126)</f>
        <v>48.4</v>
      </c>
      <c r="H127" s="23" t="n">
        <f aca="false">SUM(H125:H126)</f>
        <v>23.76</v>
      </c>
      <c r="I127" s="23" t="n">
        <f aca="false">SUM(I125:I126)</f>
        <v>6.7</v>
      </c>
      <c r="J127" s="23" t="n">
        <f aca="false">SUM(J125:J126)</f>
        <v>7.05</v>
      </c>
      <c r="K127" s="22" t="n">
        <f aca="false">SUM(K125:K126)</f>
        <v>678.5</v>
      </c>
    </row>
    <row r="129" customFormat="false" ht="15" hidden="false" customHeight="false" outlineLevel="0" collapsed="false">
      <c r="A129" s="18" t="s">
        <v>2736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</row>
    <row r="130" customFormat="false" ht="15" hidden="false" customHeight="false" outlineLevel="0" collapsed="false">
      <c r="B130" s="6" t="str">
        <f aca="false">INDEX('Dish Database'!$B:$B,MATCH(C130,'Dish Database'!$A:$A,0))</f>
        <v>Butter chicken</v>
      </c>
      <c r="C130" s="16" t="s">
        <v>1309</v>
      </c>
      <c r="D130" s="16" t="n">
        <v>250</v>
      </c>
      <c r="E130" s="13" t="n">
        <f aca="false">D130/100*INDEX('Dish Database'!$J:$J,MATCH(C130,'Dish Database'!$A:$A,0))</f>
        <v>446</v>
      </c>
      <c r="F130" s="17" t="n">
        <f aca="false">D130/100*INDEX('Dish Database'!$K:$K,MATCH(C130,'Dish Database'!$A:$A,0))</f>
        <v>30</v>
      </c>
      <c r="G130" s="17" t="n">
        <f aca="false">D130/100*INDEX('Dish Database'!$L:$L,MATCH(C130,'Dish Database'!$A:$A,0))</f>
        <v>15</v>
      </c>
      <c r="H130" s="17" t="n">
        <f aca="false">D130/100*INDEX('Dish Database'!$M:$M,MATCH(C130,'Dish Database'!$A:$A,0))</f>
        <v>30</v>
      </c>
      <c r="I130" s="17" t="n">
        <f aca="false">D130/100*INDEX('Dish Database'!$N:$N,MATCH(C130,'Dish Database'!$A:$A,0))</f>
        <v>2</v>
      </c>
      <c r="J130" s="17" t="n">
        <f aca="false">D130/100*INDEX('Dish Database'!$O:$O,MATCH(C130,'Dish Database'!$A:$A,0))</f>
        <v>8.75</v>
      </c>
      <c r="K130" s="13" t="n">
        <f aca="false">D130/100*INDEX('Dish Database'!$P:$P,MATCH(C130,'Dish Database'!$A:$A,0))</f>
        <v>1200</v>
      </c>
    </row>
    <row r="131" customFormat="false" ht="15" hidden="false" customHeight="false" outlineLevel="0" collapsed="false">
      <c r="B131" s="6" t="str">
        <f aca="false">INDEX('Dish Database'!$B:$B,MATCH(C131,'Dish Database'!$A:$A,0))</f>
        <v>Butter naan</v>
      </c>
      <c r="C131" s="16" t="s">
        <v>794</v>
      </c>
      <c r="D131" s="16" t="n">
        <v>190</v>
      </c>
      <c r="E131" s="13" t="n">
        <f aca="false">D131/100*INDEX('Dish Database'!$J:$J,MATCH(C131,'Dish Database'!$A:$A,0))</f>
        <v>591.85</v>
      </c>
      <c r="F131" s="17" t="n">
        <f aca="false">D131/100*INDEX('Dish Database'!$K:$K,MATCH(C131,'Dish Database'!$A:$A,0))</f>
        <v>15.77</v>
      </c>
      <c r="G131" s="17" t="n">
        <f aca="false">D131/100*INDEX('Dish Database'!$L:$L,MATCH(C131,'Dish Database'!$A:$A,0))</f>
        <v>89.3</v>
      </c>
      <c r="H131" s="17" t="n">
        <f aca="false">D131/100*INDEX('Dish Database'!$M:$M,MATCH(C131,'Dish Database'!$A:$A,0))</f>
        <v>19.95</v>
      </c>
      <c r="I131" s="17" t="n">
        <f aca="false">D131/100*INDEX('Dish Database'!$N:$N,MATCH(C131,'Dish Database'!$A:$A,0))</f>
        <v>3.99</v>
      </c>
      <c r="J131" s="17" t="n">
        <f aca="false">D131/100*INDEX('Dish Database'!$O:$O,MATCH(C131,'Dish Database'!$A:$A,0))</f>
        <v>6.27</v>
      </c>
      <c r="K131" s="13" t="n">
        <f aca="false">D131/100*INDEX('Dish Database'!$P:$P,MATCH(C131,'Dish Database'!$A:$A,0))</f>
        <v>912</v>
      </c>
    </row>
    <row r="132" customFormat="false" ht="15" hidden="false" customHeight="false" outlineLevel="0" collapsed="false">
      <c r="A132" s="20"/>
      <c r="B132" s="21" t="s">
        <v>2714</v>
      </c>
      <c r="C132" s="20"/>
      <c r="D132" s="22" t="n">
        <f aca="false">SUM(D130:D131)</f>
        <v>440</v>
      </c>
      <c r="E132" s="22" t="n">
        <f aca="false">SUM(E130:E131)</f>
        <v>1037.85</v>
      </c>
      <c r="F132" s="23" t="n">
        <f aca="false">SUM(F130:F131)</f>
        <v>45.77</v>
      </c>
      <c r="G132" s="23" t="n">
        <f aca="false">SUM(G130:G131)</f>
        <v>104.3</v>
      </c>
      <c r="H132" s="23" t="n">
        <f aca="false">SUM(H130:H131)</f>
        <v>49.95</v>
      </c>
      <c r="I132" s="23" t="n">
        <f aca="false">SUM(I130:I131)</f>
        <v>5.99</v>
      </c>
      <c r="J132" s="23" t="n">
        <f aca="false">SUM(J130:J131)</f>
        <v>15.02</v>
      </c>
      <c r="K132" s="22" t="n">
        <f aca="false">SUM(K130:K131)</f>
        <v>2112</v>
      </c>
    </row>
    <row r="134" customFormat="false" ht="15" hidden="false" customHeight="false" outlineLevel="0" collapsed="false">
      <c r="A134" s="18" t="s">
        <v>2737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</row>
    <row r="135" customFormat="false" ht="15" hidden="false" customHeight="false" outlineLevel="0" collapsed="false">
      <c r="B135" s="6" t="str">
        <f aca="false">INDEX('Dish Database'!$B:$B,MATCH(C135,'Dish Database'!$A:$A,0))</f>
        <v>Chicken biryani</v>
      </c>
      <c r="C135" s="16" t="s">
        <v>935</v>
      </c>
      <c r="D135" s="16" t="n">
        <v>350</v>
      </c>
      <c r="E135" s="13" t="n">
        <f aca="false">D135/100*INDEX('Dish Database'!$J:$J,MATCH(C135,'Dish Database'!$A:$A,0))</f>
        <v>647.15</v>
      </c>
      <c r="F135" s="17" t="n">
        <f aca="false">D135/100*INDEX('Dish Database'!$K:$K,MATCH(C135,'Dish Database'!$A:$A,0))</f>
        <v>31.5</v>
      </c>
      <c r="G135" s="17" t="n">
        <f aca="false">D135/100*INDEX('Dish Database'!$L:$L,MATCH(C135,'Dish Database'!$A:$A,0))</f>
        <v>80.5</v>
      </c>
      <c r="H135" s="17" t="n">
        <f aca="false">D135/100*INDEX('Dish Database'!$M:$M,MATCH(C135,'Dish Database'!$A:$A,0))</f>
        <v>22.75</v>
      </c>
      <c r="I135" s="17" t="n">
        <f aca="false">D135/100*INDEX('Dish Database'!$N:$N,MATCH(C135,'Dish Database'!$A:$A,0))</f>
        <v>2.8</v>
      </c>
      <c r="J135" s="17" t="n">
        <f aca="false">D135/100*INDEX('Dish Database'!$O:$O,MATCH(C135,'Dish Database'!$A:$A,0))</f>
        <v>3.5</v>
      </c>
      <c r="K135" s="13" t="n">
        <f aca="false">D135/100*INDEX('Dish Database'!$P:$P,MATCH(C135,'Dish Database'!$A:$A,0))</f>
        <v>1470</v>
      </c>
    </row>
    <row r="136" customFormat="false" ht="15" hidden="false" customHeight="false" outlineLevel="0" collapsed="false">
      <c r="B136" s="6" t="str">
        <f aca="false">INDEX('Dish Database'!$B:$B,MATCH(C136,'Dish Database'!$A:$A,0))</f>
        <v>Mirchi ka salan</v>
      </c>
      <c r="C136" s="16" t="s">
        <v>1193</v>
      </c>
      <c r="D136" s="16" t="n">
        <v>100</v>
      </c>
      <c r="E136" s="13" t="n">
        <f aca="false">D136/100*INDEX('Dish Database'!$J:$J,MATCH(C136,'Dish Database'!$A:$A,0))</f>
        <v>161</v>
      </c>
      <c r="F136" s="17" t="n">
        <f aca="false">D136/100*INDEX('Dish Database'!$K:$K,MATCH(C136,'Dish Database'!$A:$A,0))</f>
        <v>3.5</v>
      </c>
      <c r="G136" s="17" t="n">
        <f aca="false">D136/100*INDEX('Dish Database'!$L:$L,MATCH(C136,'Dish Database'!$A:$A,0))</f>
        <v>9</v>
      </c>
      <c r="H136" s="17" t="n">
        <f aca="false">D136/100*INDEX('Dish Database'!$M:$M,MATCH(C136,'Dish Database'!$A:$A,0))</f>
        <v>13</v>
      </c>
      <c r="I136" s="17" t="n">
        <f aca="false">D136/100*INDEX('Dish Database'!$N:$N,MATCH(C136,'Dish Database'!$A:$A,0))</f>
        <v>3</v>
      </c>
      <c r="J136" s="17" t="n">
        <f aca="false">D136/100*INDEX('Dish Database'!$O:$O,MATCH(C136,'Dish Database'!$A:$A,0))</f>
        <v>3</v>
      </c>
      <c r="K136" s="13" t="n">
        <f aca="false">D136/100*INDEX('Dish Database'!$P:$P,MATCH(C136,'Dish Database'!$A:$A,0))</f>
        <v>400</v>
      </c>
    </row>
    <row r="137" customFormat="false" ht="15" hidden="false" customHeight="false" outlineLevel="0" collapsed="false">
      <c r="B137" s="6" t="str">
        <f aca="false">INDEX('Dish Database'!$B:$B,MATCH(C137,'Dish Database'!$A:$A,0))</f>
        <v>Cucumber raita</v>
      </c>
      <c r="C137" s="16" t="s">
        <v>1861</v>
      </c>
      <c r="D137" s="16" t="n">
        <v>100</v>
      </c>
      <c r="E137" s="13" t="n">
        <f aca="false">D137/100*INDEX('Dish Database'!$J:$J,MATCH(C137,'Dish Database'!$A:$A,0))</f>
        <v>55.4</v>
      </c>
      <c r="F137" s="17" t="n">
        <f aca="false">D137/100*INDEX('Dish Database'!$K:$K,MATCH(C137,'Dish Database'!$A:$A,0))</f>
        <v>2.8</v>
      </c>
      <c r="G137" s="17" t="n">
        <f aca="false">D137/100*INDEX('Dish Database'!$L:$L,MATCH(C137,'Dish Database'!$A:$A,0))</f>
        <v>4.5</v>
      </c>
      <c r="H137" s="17" t="n">
        <f aca="false">D137/100*INDEX('Dish Database'!$M:$M,MATCH(C137,'Dish Database'!$A:$A,0))</f>
        <v>3</v>
      </c>
      <c r="I137" s="17" t="n">
        <f aca="false">D137/100*INDEX('Dish Database'!$N:$N,MATCH(C137,'Dish Database'!$A:$A,0))</f>
        <v>0.4</v>
      </c>
      <c r="J137" s="17" t="n">
        <f aca="false">D137/100*INDEX('Dish Database'!$O:$O,MATCH(C137,'Dish Database'!$A:$A,0))</f>
        <v>3.5</v>
      </c>
      <c r="K137" s="13" t="n">
        <f aca="false">D137/100*INDEX('Dish Database'!$P:$P,MATCH(C137,'Dish Database'!$A:$A,0))</f>
        <v>280</v>
      </c>
    </row>
    <row r="138" customFormat="false" ht="15" hidden="false" customHeight="false" outlineLevel="0" collapsed="false">
      <c r="A138" s="20"/>
      <c r="B138" s="21" t="s">
        <v>2714</v>
      </c>
      <c r="C138" s="20"/>
      <c r="D138" s="22" t="n">
        <f aca="false">SUM(D135:D137)</f>
        <v>550</v>
      </c>
      <c r="E138" s="22" t="n">
        <f aca="false">SUM(E135:E137)</f>
        <v>863.55</v>
      </c>
      <c r="F138" s="23" t="n">
        <f aca="false">SUM(F135:F137)</f>
        <v>37.8</v>
      </c>
      <c r="G138" s="23" t="n">
        <f aca="false">SUM(G135:G137)</f>
        <v>94</v>
      </c>
      <c r="H138" s="23" t="n">
        <f aca="false">SUM(H135:H137)</f>
        <v>38.75</v>
      </c>
      <c r="I138" s="23" t="n">
        <f aca="false">SUM(I135:I137)</f>
        <v>6.2</v>
      </c>
      <c r="J138" s="23" t="n">
        <f aca="false">SUM(J135:J137)</f>
        <v>10</v>
      </c>
      <c r="K138" s="22" t="n">
        <f aca="false">SUM(K135:K137)</f>
        <v>2150</v>
      </c>
    </row>
    <row r="140" customFormat="false" ht="15" hidden="false" customHeight="false" outlineLevel="0" collapsed="false">
      <c r="A140" s="18" t="s">
        <v>2738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</row>
    <row r="141" customFormat="false" ht="15" hidden="false" customHeight="false" outlineLevel="0" collapsed="false">
      <c r="B141" s="6" t="str">
        <f aca="false">INDEX('Dish Database'!$B:$B,MATCH(C141,'Dish Database'!$A:$A,0))</f>
        <v>Egg curry</v>
      </c>
      <c r="C141" s="16" t="s">
        <v>1468</v>
      </c>
      <c r="D141" s="16" t="n">
        <v>200</v>
      </c>
      <c r="E141" s="13" t="n">
        <f aca="false">D141/100*INDEX('Dish Database'!$J:$J,MATCH(C141,'Dish Database'!$A:$A,0))</f>
        <v>261.2</v>
      </c>
      <c r="F141" s="17" t="n">
        <f aca="false">D141/100*INDEX('Dish Database'!$K:$K,MATCH(C141,'Dish Database'!$A:$A,0))</f>
        <v>15</v>
      </c>
      <c r="G141" s="17" t="n">
        <f aca="false">D141/100*INDEX('Dish Database'!$L:$L,MATCH(C141,'Dish Database'!$A:$A,0))</f>
        <v>11</v>
      </c>
      <c r="H141" s="17" t="n">
        <f aca="false">D141/100*INDEX('Dish Database'!$M:$M,MATCH(C141,'Dish Database'!$A:$A,0))</f>
        <v>18</v>
      </c>
      <c r="I141" s="17" t="n">
        <f aca="false">D141/100*INDEX('Dish Database'!$N:$N,MATCH(C141,'Dish Database'!$A:$A,0))</f>
        <v>2.4</v>
      </c>
      <c r="J141" s="17" t="n">
        <f aca="false">D141/100*INDEX('Dish Database'!$O:$O,MATCH(C141,'Dish Database'!$A:$A,0))</f>
        <v>5</v>
      </c>
      <c r="K141" s="13" t="n">
        <f aca="false">D141/100*INDEX('Dish Database'!$P:$P,MATCH(C141,'Dish Database'!$A:$A,0))</f>
        <v>800</v>
      </c>
    </row>
    <row r="142" customFormat="false" ht="15" hidden="false" customHeight="false" outlineLevel="0" collapsed="false">
      <c r="B142" s="6" t="str">
        <f aca="false">INDEX('Dish Database'!$B:$B,MATCH(C142,'Dish Database'!$A:$A,0))</f>
        <v>Steamed white rice</v>
      </c>
      <c r="C142" s="16" t="s">
        <v>853</v>
      </c>
      <c r="D142" s="16" t="n">
        <v>200</v>
      </c>
      <c r="E142" s="13" t="n">
        <f aca="false">D142/100*INDEX('Dish Database'!$J:$J,MATCH(C142,'Dish Database'!$A:$A,0))</f>
        <v>251</v>
      </c>
      <c r="F142" s="17" t="n">
        <f aca="false">D142/100*INDEX('Dish Database'!$K:$K,MATCH(C142,'Dish Database'!$A:$A,0))</f>
        <v>5.4</v>
      </c>
      <c r="G142" s="17" t="n">
        <f aca="false">D142/100*INDEX('Dish Database'!$L:$L,MATCH(C142,'Dish Database'!$A:$A,0))</f>
        <v>56.4</v>
      </c>
      <c r="H142" s="17" t="n">
        <f aca="false">D142/100*INDEX('Dish Database'!$M:$M,MATCH(C142,'Dish Database'!$A:$A,0))</f>
        <v>0.6</v>
      </c>
      <c r="I142" s="17" t="n">
        <f aca="false">D142/100*INDEX('Dish Database'!$N:$N,MATCH(C142,'Dish Database'!$A:$A,0))</f>
        <v>0.8</v>
      </c>
      <c r="J142" s="17" t="n">
        <f aca="false">D142/100*INDEX('Dish Database'!$O:$O,MATCH(C142,'Dish Database'!$A:$A,0))</f>
        <v>0.2</v>
      </c>
      <c r="K142" s="13" t="n">
        <f aca="false">D142/100*INDEX('Dish Database'!$P:$P,MATCH(C142,'Dish Database'!$A:$A,0))</f>
        <v>2</v>
      </c>
    </row>
    <row r="143" customFormat="false" ht="15" hidden="false" customHeight="false" outlineLevel="0" collapsed="false">
      <c r="A143" s="20"/>
      <c r="B143" s="21" t="s">
        <v>2714</v>
      </c>
      <c r="C143" s="20"/>
      <c r="D143" s="22" t="n">
        <f aca="false">SUM(D141:D142)</f>
        <v>400</v>
      </c>
      <c r="E143" s="22" t="n">
        <f aca="false">SUM(E141:E142)</f>
        <v>512.2</v>
      </c>
      <c r="F143" s="23" t="n">
        <f aca="false">SUM(F141:F142)</f>
        <v>20.4</v>
      </c>
      <c r="G143" s="23" t="n">
        <f aca="false">SUM(G141:G142)</f>
        <v>67.4</v>
      </c>
      <c r="H143" s="23" t="n">
        <f aca="false">SUM(H141:H142)</f>
        <v>18.6</v>
      </c>
      <c r="I143" s="23" t="n">
        <f aca="false">SUM(I141:I142)</f>
        <v>3.2</v>
      </c>
      <c r="J143" s="23" t="n">
        <f aca="false">SUM(J141:J142)</f>
        <v>5.2</v>
      </c>
      <c r="K143" s="22" t="n">
        <f aca="false">SUM(K141:K142)</f>
        <v>802</v>
      </c>
    </row>
    <row r="145" customFormat="false" ht="15" hidden="false" customHeight="false" outlineLevel="0" collapsed="false">
      <c r="A145" s="18" t="s">
        <v>2739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</row>
    <row r="146" customFormat="false" ht="15" hidden="false" customHeight="false" outlineLevel="0" collapsed="false">
      <c r="B146" s="6" t="str">
        <f aca="false">INDEX('Dish Database'!$B:$B,MATCH(C146,'Dish Database'!$A:$A,0))</f>
        <v>Steamed white rice</v>
      </c>
      <c r="C146" s="16" t="s">
        <v>853</v>
      </c>
      <c r="D146" s="16" t="n">
        <v>250</v>
      </c>
      <c r="E146" s="13" t="n">
        <f aca="false">D146/100*INDEX('Dish Database'!$J:$J,MATCH(C146,'Dish Database'!$A:$A,0))</f>
        <v>313.75</v>
      </c>
      <c r="F146" s="17" t="n">
        <f aca="false">D146/100*INDEX('Dish Database'!$K:$K,MATCH(C146,'Dish Database'!$A:$A,0))</f>
        <v>6.75</v>
      </c>
      <c r="G146" s="17" t="n">
        <f aca="false">D146/100*INDEX('Dish Database'!$L:$L,MATCH(C146,'Dish Database'!$A:$A,0))</f>
        <v>70.5</v>
      </c>
      <c r="H146" s="17" t="n">
        <f aca="false">D146/100*INDEX('Dish Database'!$M:$M,MATCH(C146,'Dish Database'!$A:$A,0))</f>
        <v>0.75</v>
      </c>
      <c r="I146" s="17" t="n">
        <f aca="false">D146/100*INDEX('Dish Database'!$N:$N,MATCH(C146,'Dish Database'!$A:$A,0))</f>
        <v>1</v>
      </c>
      <c r="J146" s="17" t="n">
        <f aca="false">D146/100*INDEX('Dish Database'!$O:$O,MATCH(C146,'Dish Database'!$A:$A,0))</f>
        <v>0.25</v>
      </c>
      <c r="K146" s="13" t="n">
        <f aca="false">D146/100*INDEX('Dish Database'!$P:$P,MATCH(C146,'Dish Database'!$A:$A,0))</f>
        <v>2.5</v>
      </c>
    </row>
    <row r="147" customFormat="false" ht="15" hidden="false" customHeight="false" outlineLevel="0" collapsed="false">
      <c r="B147" s="6" t="str">
        <f aca="false">INDEX('Dish Database'!$B:$B,MATCH(C147,'Dish Database'!$A:$A,0))</f>
        <v>Fish curry (Kerala / coconut)</v>
      </c>
      <c r="C147" s="16" t="s">
        <v>1415</v>
      </c>
      <c r="D147" s="16" t="n">
        <v>200</v>
      </c>
      <c r="E147" s="13" t="n">
        <f aca="false">D147/100*INDEX('Dish Database'!$J:$J,MATCH(C147,'Dish Database'!$A:$A,0))</f>
        <v>242.8</v>
      </c>
      <c r="F147" s="17" t="n">
        <f aca="false">D147/100*INDEX('Dish Database'!$K:$K,MATCH(C147,'Dish Database'!$A:$A,0))</f>
        <v>22</v>
      </c>
      <c r="G147" s="17" t="n">
        <f aca="false">D147/100*INDEX('Dish Database'!$L:$L,MATCH(C147,'Dish Database'!$A:$A,0))</f>
        <v>8</v>
      </c>
      <c r="H147" s="17" t="n">
        <f aca="false">D147/100*INDEX('Dish Database'!$M:$M,MATCH(C147,'Dish Database'!$A:$A,0))</f>
        <v>14</v>
      </c>
      <c r="I147" s="17" t="n">
        <f aca="false">D147/100*INDEX('Dish Database'!$N:$N,MATCH(C147,'Dish Database'!$A:$A,0))</f>
        <v>1.6</v>
      </c>
      <c r="J147" s="17" t="n">
        <f aca="false">D147/100*INDEX('Dish Database'!$O:$O,MATCH(C147,'Dish Database'!$A:$A,0))</f>
        <v>3</v>
      </c>
      <c r="K147" s="13" t="n">
        <f aca="false">D147/100*INDEX('Dish Database'!$P:$P,MATCH(C147,'Dish Database'!$A:$A,0))</f>
        <v>900</v>
      </c>
    </row>
    <row r="148" customFormat="false" ht="15" hidden="false" customHeight="false" outlineLevel="0" collapsed="false">
      <c r="B148" s="6" t="str">
        <f aca="false">INDEX('Dish Database'!$B:$B,MATCH(C148,'Dish Database'!$A:$A,0))</f>
        <v>Cabbage thoran</v>
      </c>
      <c r="C148" s="16" t="s">
        <v>1286</v>
      </c>
      <c r="D148" s="16" t="n">
        <v>100</v>
      </c>
      <c r="E148" s="13" t="n">
        <f aca="false">D148/100*INDEX('Dish Database'!$J:$J,MATCH(C148,'Dish Database'!$A:$A,0))</f>
        <v>105.9</v>
      </c>
      <c r="F148" s="17" t="n">
        <f aca="false">D148/100*INDEX('Dish Database'!$K:$K,MATCH(C148,'Dish Database'!$A:$A,0))</f>
        <v>2.2</v>
      </c>
      <c r="G148" s="17" t="n">
        <f aca="false">D148/100*INDEX('Dish Database'!$L:$L,MATCH(C148,'Dish Database'!$A:$A,0))</f>
        <v>9</v>
      </c>
      <c r="H148" s="17" t="n">
        <f aca="false">D148/100*INDEX('Dish Database'!$M:$M,MATCH(C148,'Dish Database'!$A:$A,0))</f>
        <v>7.5</v>
      </c>
      <c r="I148" s="17" t="n">
        <f aca="false">D148/100*INDEX('Dish Database'!$N:$N,MATCH(C148,'Dish Database'!$A:$A,0))</f>
        <v>3.2</v>
      </c>
      <c r="J148" s="17" t="n">
        <f aca="false">D148/100*INDEX('Dish Database'!$O:$O,MATCH(C148,'Dish Database'!$A:$A,0))</f>
        <v>3</v>
      </c>
      <c r="K148" s="13" t="n">
        <f aca="false">D148/100*INDEX('Dish Database'!$P:$P,MATCH(C148,'Dish Database'!$A:$A,0))</f>
        <v>250</v>
      </c>
    </row>
    <row r="149" customFormat="false" ht="15" hidden="false" customHeight="false" outlineLevel="0" collapsed="false">
      <c r="A149" s="20"/>
      <c r="B149" s="21" t="s">
        <v>2714</v>
      </c>
      <c r="C149" s="20"/>
      <c r="D149" s="22" t="n">
        <f aca="false">SUM(D146:D148)</f>
        <v>550</v>
      </c>
      <c r="E149" s="22" t="n">
        <f aca="false">SUM(E146:E148)</f>
        <v>662.45</v>
      </c>
      <c r="F149" s="23" t="n">
        <f aca="false">SUM(F146:F148)</f>
        <v>30.95</v>
      </c>
      <c r="G149" s="23" t="n">
        <f aca="false">SUM(G146:G148)</f>
        <v>87.5</v>
      </c>
      <c r="H149" s="23" t="n">
        <f aca="false">SUM(H146:H148)</f>
        <v>22.25</v>
      </c>
      <c r="I149" s="23" t="n">
        <f aca="false">SUM(I146:I148)</f>
        <v>5.8</v>
      </c>
      <c r="J149" s="23" t="n">
        <f aca="false">SUM(J146:J148)</f>
        <v>6.25</v>
      </c>
      <c r="K149" s="22" t="n">
        <f aca="false">SUM(K146:K148)</f>
        <v>1152.5</v>
      </c>
    </row>
    <row r="151" customFormat="false" ht="15" hidden="false" customHeight="false" outlineLevel="0" collapsed="false">
      <c r="A151" s="18" t="s">
        <v>2740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</row>
    <row r="152" customFormat="false" ht="15" hidden="false" customHeight="false" outlineLevel="0" collapsed="false">
      <c r="B152" s="6" t="str">
        <f aca="false">INDEX('Dish Database'!$B:$B,MATCH(C152,'Dish Database'!$A:$A,0))</f>
        <v>Steamed white rice</v>
      </c>
      <c r="C152" s="16" t="s">
        <v>853</v>
      </c>
      <c r="D152" s="16" t="n">
        <v>250</v>
      </c>
      <c r="E152" s="13" t="n">
        <f aca="false">D152/100*INDEX('Dish Database'!$J:$J,MATCH(C152,'Dish Database'!$A:$A,0))</f>
        <v>313.75</v>
      </c>
      <c r="F152" s="17" t="n">
        <f aca="false">D152/100*INDEX('Dish Database'!$K:$K,MATCH(C152,'Dish Database'!$A:$A,0))</f>
        <v>6.75</v>
      </c>
      <c r="G152" s="17" t="n">
        <f aca="false">D152/100*INDEX('Dish Database'!$L:$L,MATCH(C152,'Dish Database'!$A:$A,0))</f>
        <v>70.5</v>
      </c>
      <c r="H152" s="17" t="n">
        <f aca="false">D152/100*INDEX('Dish Database'!$M:$M,MATCH(C152,'Dish Database'!$A:$A,0))</f>
        <v>0.75</v>
      </c>
      <c r="I152" s="17" t="n">
        <f aca="false">D152/100*INDEX('Dish Database'!$N:$N,MATCH(C152,'Dish Database'!$A:$A,0))</f>
        <v>1</v>
      </c>
      <c r="J152" s="17" t="n">
        <f aca="false">D152/100*INDEX('Dish Database'!$O:$O,MATCH(C152,'Dish Database'!$A:$A,0))</f>
        <v>0.25</v>
      </c>
      <c r="K152" s="13" t="n">
        <f aca="false">D152/100*INDEX('Dish Database'!$P:$P,MATCH(C152,'Dish Database'!$A:$A,0))</f>
        <v>2.5</v>
      </c>
    </row>
    <row r="153" customFormat="false" ht="15" hidden="false" customHeight="false" outlineLevel="0" collapsed="false">
      <c r="B153" s="6" t="str">
        <f aca="false">INDEX('Dish Database'!$B:$B,MATCH(C153,'Dish Database'!$A:$A,0))</f>
        <v>Macher jhol (Bengali fish curry)</v>
      </c>
      <c r="C153" s="16" t="s">
        <v>1420</v>
      </c>
      <c r="D153" s="16" t="n">
        <v>200</v>
      </c>
      <c r="E153" s="13" t="n">
        <f aca="false">D153/100*INDEX('Dish Database'!$J:$J,MATCH(C153,'Dish Database'!$A:$A,0))</f>
        <v>256.2</v>
      </c>
      <c r="F153" s="17" t="n">
        <f aca="false">D153/100*INDEX('Dish Database'!$K:$K,MATCH(C153,'Dish Database'!$A:$A,0))</f>
        <v>24</v>
      </c>
      <c r="G153" s="17" t="n">
        <f aca="false">D153/100*INDEX('Dish Database'!$L:$L,MATCH(C153,'Dish Database'!$A:$A,0))</f>
        <v>7</v>
      </c>
      <c r="H153" s="17" t="n">
        <f aca="false">D153/100*INDEX('Dish Database'!$M:$M,MATCH(C153,'Dish Database'!$A:$A,0))</f>
        <v>15</v>
      </c>
      <c r="I153" s="17" t="n">
        <f aca="false">D153/100*INDEX('Dish Database'!$N:$N,MATCH(C153,'Dish Database'!$A:$A,0))</f>
        <v>1.4</v>
      </c>
      <c r="J153" s="17" t="n">
        <f aca="false">D153/100*INDEX('Dish Database'!$O:$O,MATCH(C153,'Dish Database'!$A:$A,0))</f>
        <v>2</v>
      </c>
      <c r="K153" s="13" t="n">
        <f aca="false">D153/100*INDEX('Dish Database'!$P:$P,MATCH(C153,'Dish Database'!$A:$A,0))</f>
        <v>840</v>
      </c>
    </row>
    <row r="154" customFormat="false" ht="15" hidden="false" customHeight="false" outlineLevel="0" collapsed="false">
      <c r="B154" s="6" t="str">
        <f aca="false">INDEX('Dish Database'!$B:$B,MATCH(C154,'Dish Database'!$A:$A,0))</f>
        <v>Moong dal (yellow)</v>
      </c>
      <c r="C154" s="16" t="s">
        <v>974</v>
      </c>
      <c r="D154" s="16" t="n">
        <v>150</v>
      </c>
      <c r="E154" s="13" t="n">
        <f aca="false">D154/100*INDEX('Dish Database'!$J:$J,MATCH(C154,'Dish Database'!$A:$A,0))</f>
        <v>127.2</v>
      </c>
      <c r="F154" s="17" t="n">
        <f aca="false">D154/100*INDEX('Dish Database'!$K:$K,MATCH(C154,'Dish Database'!$A:$A,0))</f>
        <v>7.95</v>
      </c>
      <c r="G154" s="17" t="n">
        <f aca="false">D154/100*INDEX('Dish Database'!$L:$L,MATCH(C154,'Dish Database'!$A:$A,0))</f>
        <v>18.75</v>
      </c>
      <c r="H154" s="17" t="n">
        <f aca="false">D154/100*INDEX('Dish Database'!$M:$M,MATCH(C154,'Dish Database'!$A:$A,0))</f>
        <v>3</v>
      </c>
      <c r="I154" s="17" t="n">
        <f aca="false">D154/100*INDEX('Dish Database'!$N:$N,MATCH(C154,'Dish Database'!$A:$A,0))</f>
        <v>3.3</v>
      </c>
      <c r="J154" s="17" t="n">
        <f aca="false">D154/100*INDEX('Dish Database'!$O:$O,MATCH(C154,'Dish Database'!$A:$A,0))</f>
        <v>0.75</v>
      </c>
      <c r="K154" s="13" t="n">
        <f aca="false">D154/100*INDEX('Dish Database'!$P:$P,MATCH(C154,'Dish Database'!$A:$A,0))</f>
        <v>420</v>
      </c>
    </row>
    <row r="155" customFormat="false" ht="15" hidden="false" customHeight="false" outlineLevel="0" collapsed="false">
      <c r="B155" s="6" t="str">
        <f aca="false">INDEX('Dish Database'!$B:$B,MATCH(C155,'Dish Database'!$A:$A,0))</f>
        <v>Begun bhaja</v>
      </c>
      <c r="C155" s="16" t="s">
        <v>1295</v>
      </c>
      <c r="D155" s="16" t="n">
        <v>50</v>
      </c>
      <c r="E155" s="13" t="n">
        <f aca="false">D155/100*INDEX('Dish Database'!$J:$J,MATCH(C155,'Dish Database'!$A:$A,0))</f>
        <v>70</v>
      </c>
      <c r="F155" s="17" t="n">
        <f aca="false">D155/100*INDEX('Dish Database'!$K:$K,MATCH(C155,'Dish Database'!$A:$A,0))</f>
        <v>0.75</v>
      </c>
      <c r="G155" s="17" t="n">
        <f aca="false">D155/100*INDEX('Dish Database'!$L:$L,MATCH(C155,'Dish Database'!$A:$A,0))</f>
        <v>4</v>
      </c>
      <c r="H155" s="17" t="n">
        <f aca="false">D155/100*INDEX('Dish Database'!$M:$M,MATCH(C155,'Dish Database'!$A:$A,0))</f>
        <v>6</v>
      </c>
      <c r="I155" s="17" t="n">
        <f aca="false">D155/100*INDEX('Dish Database'!$N:$N,MATCH(C155,'Dish Database'!$A:$A,0))</f>
        <v>1.5</v>
      </c>
      <c r="J155" s="17" t="n">
        <f aca="false">D155/100*INDEX('Dish Database'!$O:$O,MATCH(C155,'Dish Database'!$A:$A,0))</f>
        <v>1.5</v>
      </c>
      <c r="K155" s="13" t="n">
        <f aca="false">D155/100*INDEX('Dish Database'!$P:$P,MATCH(C155,'Dish Database'!$A:$A,0))</f>
        <v>150</v>
      </c>
    </row>
    <row r="156" customFormat="false" ht="15" hidden="false" customHeight="false" outlineLevel="0" collapsed="false">
      <c r="B156" s="6" t="str">
        <f aca="false">INDEX('Dish Database'!$B:$B,MATCH(C156,'Dish Database'!$A:$A,0))</f>
        <v>Mishti doi</v>
      </c>
      <c r="C156" s="16" t="s">
        <v>2013</v>
      </c>
      <c r="D156" s="16" t="n">
        <v>100</v>
      </c>
      <c r="E156" s="13" t="n">
        <f aca="false">D156/100*INDEX('Dish Database'!$J:$J,MATCH(C156,'Dish Database'!$A:$A,0))</f>
        <v>135.5</v>
      </c>
      <c r="F156" s="17" t="n">
        <f aca="false">D156/100*INDEX('Dish Database'!$K:$K,MATCH(C156,'Dish Database'!$A:$A,0))</f>
        <v>4</v>
      </c>
      <c r="G156" s="17" t="n">
        <f aca="false">D156/100*INDEX('Dish Database'!$L:$L,MATCH(C156,'Dish Database'!$A:$A,0))</f>
        <v>22</v>
      </c>
      <c r="H156" s="17" t="n">
        <f aca="false">D156/100*INDEX('Dish Database'!$M:$M,MATCH(C156,'Dish Database'!$A:$A,0))</f>
        <v>3.5</v>
      </c>
      <c r="I156" s="17" t="n">
        <f aca="false">D156/100*INDEX('Dish Database'!$N:$N,MATCH(C156,'Dish Database'!$A:$A,0))</f>
        <v>0</v>
      </c>
      <c r="J156" s="17" t="n">
        <f aca="false">D156/100*INDEX('Dish Database'!$O:$O,MATCH(C156,'Dish Database'!$A:$A,0))</f>
        <v>20</v>
      </c>
      <c r="K156" s="13" t="n">
        <f aca="false">D156/100*INDEX('Dish Database'!$P:$P,MATCH(C156,'Dish Database'!$A:$A,0))</f>
        <v>50</v>
      </c>
    </row>
    <row r="157" customFormat="false" ht="15" hidden="false" customHeight="false" outlineLevel="0" collapsed="false">
      <c r="A157" s="20"/>
      <c r="B157" s="21" t="s">
        <v>2714</v>
      </c>
      <c r="C157" s="20"/>
      <c r="D157" s="22" t="n">
        <f aca="false">SUM(D152:D156)</f>
        <v>750</v>
      </c>
      <c r="E157" s="22" t="n">
        <f aca="false">SUM(E152:E156)</f>
        <v>902.65</v>
      </c>
      <c r="F157" s="23" t="n">
        <f aca="false">SUM(F152:F156)</f>
        <v>43.45</v>
      </c>
      <c r="G157" s="23" t="n">
        <f aca="false">SUM(G152:G156)</f>
        <v>122.25</v>
      </c>
      <c r="H157" s="23" t="n">
        <f aca="false">SUM(H152:H156)</f>
        <v>28.25</v>
      </c>
      <c r="I157" s="23" t="n">
        <f aca="false">SUM(I152:I156)</f>
        <v>7.2</v>
      </c>
      <c r="J157" s="23" t="n">
        <f aca="false">SUM(J152:J156)</f>
        <v>24.5</v>
      </c>
      <c r="K157" s="22" t="n">
        <f aca="false">SUM(K152:K156)</f>
        <v>1462.5</v>
      </c>
    </row>
    <row r="159" customFormat="false" ht="15" hidden="false" customHeight="false" outlineLevel="0" collapsed="false">
      <c r="A159" s="18" t="s">
        <v>2741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</row>
    <row r="160" customFormat="false" ht="15" hidden="false" customHeight="false" outlineLevel="0" collapsed="false">
      <c r="B160" s="6" t="str">
        <f aca="false">INDEX('Dish Database'!$B:$B,MATCH(C160,'Dish Database'!$A:$A,0))</f>
        <v>Chapati / phulka (no ghee)</v>
      </c>
      <c r="C160" s="16" t="s">
        <v>774</v>
      </c>
      <c r="D160" s="16" t="n">
        <v>105</v>
      </c>
      <c r="E160" s="13" t="n">
        <f aca="false">D160/100*INDEX('Dish Database'!$J:$J,MATCH(C160,'Dish Database'!$A:$A,0))</f>
        <v>256.41</v>
      </c>
      <c r="F160" s="17" t="n">
        <f aca="false">D160/100*INDEX('Dish Database'!$K:$K,MATCH(C160,'Dish Database'!$A:$A,0))</f>
        <v>8.925</v>
      </c>
      <c r="G160" s="17" t="n">
        <f aca="false">D160/100*INDEX('Dish Database'!$L:$L,MATCH(C160,'Dish Database'!$A:$A,0))</f>
        <v>54.6</v>
      </c>
      <c r="H160" s="17" t="n">
        <f aca="false">D160/100*INDEX('Dish Database'!$M:$M,MATCH(C160,'Dish Database'!$A:$A,0))</f>
        <v>1.89</v>
      </c>
      <c r="I160" s="17" t="n">
        <f aca="false">D160/100*INDEX('Dish Database'!$N:$N,MATCH(C160,'Dish Database'!$A:$A,0))</f>
        <v>7.35</v>
      </c>
      <c r="J160" s="17" t="n">
        <f aca="false">D160/100*INDEX('Dish Database'!$O:$O,MATCH(C160,'Dish Database'!$A:$A,0))</f>
        <v>1.575</v>
      </c>
      <c r="K160" s="13" t="n">
        <f aca="false">D160/100*INDEX('Dish Database'!$P:$P,MATCH(C160,'Dish Database'!$A:$A,0))</f>
        <v>5.25</v>
      </c>
    </row>
    <row r="161" customFormat="false" ht="15" hidden="false" customHeight="false" outlineLevel="0" collapsed="false">
      <c r="B161" s="6" t="str">
        <f aca="false">INDEX('Dish Database'!$B:$B,MATCH(C161,'Dish Database'!$A:$A,0))</f>
        <v>Dal tadka (restaurant)</v>
      </c>
      <c r="C161" s="16" t="s">
        <v>968</v>
      </c>
      <c r="D161" s="16" t="n">
        <v>150</v>
      </c>
      <c r="E161" s="13" t="n">
        <f aca="false">D161/100*INDEX('Dish Database'!$J:$J,MATCH(C161,'Dish Database'!$A:$A,0))</f>
        <v>173.85</v>
      </c>
      <c r="F161" s="17" t="n">
        <f aca="false">D161/100*INDEX('Dish Database'!$K:$K,MATCH(C161,'Dish Database'!$A:$A,0))</f>
        <v>7.5</v>
      </c>
      <c r="G161" s="17" t="n">
        <f aca="false">D161/100*INDEX('Dish Database'!$L:$L,MATCH(C161,'Dish Database'!$A:$A,0))</f>
        <v>19.5</v>
      </c>
      <c r="H161" s="17" t="n">
        <f aca="false">D161/100*INDEX('Dish Database'!$M:$M,MATCH(C161,'Dish Database'!$A:$A,0))</f>
        <v>8.25</v>
      </c>
      <c r="I161" s="17" t="n">
        <f aca="false">D161/100*INDEX('Dish Database'!$N:$N,MATCH(C161,'Dish Database'!$A:$A,0))</f>
        <v>4.2</v>
      </c>
      <c r="J161" s="17" t="n">
        <f aca="false">D161/100*INDEX('Dish Database'!$O:$O,MATCH(C161,'Dish Database'!$A:$A,0))</f>
        <v>1.8</v>
      </c>
      <c r="K161" s="13" t="n">
        <f aca="false">D161/100*INDEX('Dish Database'!$P:$P,MATCH(C161,'Dish Database'!$A:$A,0))</f>
        <v>570</v>
      </c>
    </row>
    <row r="162" customFormat="false" ht="15" hidden="false" customHeight="false" outlineLevel="0" collapsed="false">
      <c r="B162" s="6" t="str">
        <f aca="false">INDEX('Dish Database'!$B:$B,MATCH(C162,'Dish Database'!$A:$A,0))</f>
        <v>Paneer butter masala</v>
      </c>
      <c r="C162" s="16" t="s">
        <v>1092</v>
      </c>
      <c r="D162" s="16" t="n">
        <v>150</v>
      </c>
      <c r="E162" s="13" t="n">
        <f aca="false">D162/100*INDEX('Dish Database'!$J:$J,MATCH(C162,'Dish Database'!$A:$A,0))</f>
        <v>291.9</v>
      </c>
      <c r="F162" s="17" t="n">
        <f aca="false">D162/100*INDEX('Dish Database'!$K:$K,MATCH(C162,'Dish Database'!$A:$A,0))</f>
        <v>11.25</v>
      </c>
      <c r="G162" s="17" t="n">
        <f aca="false">D162/100*INDEX('Dish Database'!$L:$L,MATCH(C162,'Dish Database'!$A:$A,0))</f>
        <v>12</v>
      </c>
      <c r="H162" s="17" t="n">
        <f aca="false">D162/100*INDEX('Dish Database'!$M:$M,MATCH(C162,'Dish Database'!$A:$A,0))</f>
        <v>22.5</v>
      </c>
      <c r="I162" s="17" t="n">
        <f aca="false">D162/100*INDEX('Dish Database'!$N:$N,MATCH(C162,'Dish Database'!$A:$A,0))</f>
        <v>1.8</v>
      </c>
      <c r="J162" s="17" t="n">
        <f aca="false">D162/100*INDEX('Dish Database'!$O:$O,MATCH(C162,'Dish Database'!$A:$A,0))</f>
        <v>6</v>
      </c>
      <c r="K162" s="13" t="n">
        <f aca="false">D162/100*INDEX('Dish Database'!$P:$P,MATCH(C162,'Dish Database'!$A:$A,0))</f>
        <v>675</v>
      </c>
    </row>
    <row r="163" customFormat="false" ht="15" hidden="false" customHeight="false" outlineLevel="0" collapsed="false">
      <c r="B163" s="6" t="str">
        <f aca="false">INDEX('Dish Database'!$B:$B,MATCH(C163,'Dish Database'!$A:$A,0))</f>
        <v>Mix veg dry</v>
      </c>
      <c r="C163" s="16" t="s">
        <v>1279</v>
      </c>
      <c r="D163" s="16" t="n">
        <v>100</v>
      </c>
      <c r="E163" s="13" t="n">
        <f aca="false">D163/100*INDEX('Dish Database'!$J:$J,MATCH(C163,'Dish Database'!$A:$A,0))</f>
        <v>85</v>
      </c>
      <c r="F163" s="17" t="n">
        <f aca="false">D163/100*INDEX('Dish Database'!$K:$K,MATCH(C163,'Dish Database'!$A:$A,0))</f>
        <v>2.5</v>
      </c>
      <c r="G163" s="17" t="n">
        <f aca="false">D163/100*INDEX('Dish Database'!$L:$L,MATCH(C163,'Dish Database'!$A:$A,0))</f>
        <v>9</v>
      </c>
      <c r="H163" s="17" t="n">
        <f aca="false">D163/100*INDEX('Dish Database'!$M:$M,MATCH(C163,'Dish Database'!$A:$A,0))</f>
        <v>5</v>
      </c>
      <c r="I163" s="17" t="n">
        <f aca="false">D163/100*INDEX('Dish Database'!$N:$N,MATCH(C163,'Dish Database'!$A:$A,0))</f>
        <v>3</v>
      </c>
      <c r="J163" s="17" t="n">
        <f aca="false">D163/100*INDEX('Dish Database'!$O:$O,MATCH(C163,'Dish Database'!$A:$A,0))</f>
        <v>3</v>
      </c>
      <c r="K163" s="13" t="n">
        <f aca="false">D163/100*INDEX('Dish Database'!$P:$P,MATCH(C163,'Dish Database'!$A:$A,0))</f>
        <v>330</v>
      </c>
    </row>
    <row r="164" customFormat="false" ht="15" hidden="false" customHeight="false" outlineLevel="0" collapsed="false">
      <c r="B164" s="6" t="str">
        <f aca="false">INDEX('Dish Database'!$B:$B,MATCH(C164,'Dish Database'!$A:$A,0))</f>
        <v>Steamed white rice</v>
      </c>
      <c r="C164" s="16" t="s">
        <v>853</v>
      </c>
      <c r="D164" s="16" t="n">
        <v>150</v>
      </c>
      <c r="E164" s="13" t="n">
        <f aca="false">D164/100*INDEX('Dish Database'!$J:$J,MATCH(C164,'Dish Database'!$A:$A,0))</f>
        <v>188.25</v>
      </c>
      <c r="F164" s="17" t="n">
        <f aca="false">D164/100*INDEX('Dish Database'!$K:$K,MATCH(C164,'Dish Database'!$A:$A,0))</f>
        <v>4.05</v>
      </c>
      <c r="G164" s="17" t="n">
        <f aca="false">D164/100*INDEX('Dish Database'!$L:$L,MATCH(C164,'Dish Database'!$A:$A,0))</f>
        <v>42.3</v>
      </c>
      <c r="H164" s="17" t="n">
        <f aca="false">D164/100*INDEX('Dish Database'!$M:$M,MATCH(C164,'Dish Database'!$A:$A,0))</f>
        <v>0.45</v>
      </c>
      <c r="I164" s="17" t="n">
        <f aca="false">D164/100*INDEX('Dish Database'!$N:$N,MATCH(C164,'Dish Database'!$A:$A,0))</f>
        <v>0.6</v>
      </c>
      <c r="J164" s="17" t="n">
        <f aca="false">D164/100*INDEX('Dish Database'!$O:$O,MATCH(C164,'Dish Database'!$A:$A,0))</f>
        <v>0.15</v>
      </c>
      <c r="K164" s="13" t="n">
        <f aca="false">D164/100*INDEX('Dish Database'!$P:$P,MATCH(C164,'Dish Database'!$A:$A,0))</f>
        <v>1.5</v>
      </c>
    </row>
    <row r="165" customFormat="false" ht="15" hidden="false" customHeight="false" outlineLevel="0" collapsed="false">
      <c r="B165" s="6" t="str">
        <f aca="false">INDEX('Dish Database'!$B:$B,MATCH(C165,'Dish Database'!$A:$A,0))</f>
        <v>Boondi raita</v>
      </c>
      <c r="C165" s="16" t="s">
        <v>1858</v>
      </c>
      <c r="D165" s="16" t="n">
        <v>100</v>
      </c>
      <c r="E165" s="13" t="n">
        <f aca="false">D165/100*INDEX('Dish Database'!$J:$J,MATCH(C165,'Dish Database'!$A:$A,0))</f>
        <v>103</v>
      </c>
      <c r="F165" s="17" t="n">
        <f aca="false">D165/100*INDEX('Dish Database'!$K:$K,MATCH(C165,'Dish Database'!$A:$A,0))</f>
        <v>3.5</v>
      </c>
      <c r="G165" s="17" t="n">
        <f aca="false">D165/100*INDEX('Dish Database'!$L:$L,MATCH(C165,'Dish Database'!$A:$A,0))</f>
        <v>9</v>
      </c>
      <c r="H165" s="17" t="n">
        <f aca="false">D165/100*INDEX('Dish Database'!$M:$M,MATCH(C165,'Dish Database'!$A:$A,0))</f>
        <v>6</v>
      </c>
      <c r="I165" s="17" t="n">
        <f aca="false">D165/100*INDEX('Dish Database'!$N:$N,MATCH(C165,'Dish Database'!$A:$A,0))</f>
        <v>0.5</v>
      </c>
      <c r="J165" s="17" t="n">
        <f aca="false">D165/100*INDEX('Dish Database'!$O:$O,MATCH(C165,'Dish Database'!$A:$A,0))</f>
        <v>3.5</v>
      </c>
      <c r="K165" s="13" t="n">
        <f aca="false">D165/100*INDEX('Dish Database'!$P:$P,MATCH(C165,'Dish Database'!$A:$A,0))</f>
        <v>350</v>
      </c>
    </row>
    <row r="166" customFormat="false" ht="15" hidden="false" customHeight="false" outlineLevel="0" collapsed="false">
      <c r="B166" s="6" t="str">
        <f aca="false">INDEX('Dish Database'!$B:$B,MATCH(C166,'Dish Database'!$A:$A,0))</f>
        <v>Green salad</v>
      </c>
      <c r="C166" s="16" t="s">
        <v>1878</v>
      </c>
      <c r="D166" s="16" t="n">
        <v>50</v>
      </c>
      <c r="E166" s="13" t="n">
        <f aca="false">D166/100*INDEX('Dish Database'!$J:$J,MATCH(C166,'Dish Database'!$A:$A,0))</f>
        <v>12.3</v>
      </c>
      <c r="F166" s="17" t="n">
        <f aca="false">D166/100*INDEX('Dish Database'!$K:$K,MATCH(C166,'Dish Database'!$A:$A,0))</f>
        <v>0.5</v>
      </c>
      <c r="G166" s="17" t="n">
        <f aca="false">D166/100*INDEX('Dish Database'!$L:$L,MATCH(C166,'Dish Database'!$A:$A,0))</f>
        <v>2.75</v>
      </c>
      <c r="H166" s="17" t="n">
        <f aca="false">D166/100*INDEX('Dish Database'!$M:$M,MATCH(C166,'Dish Database'!$A:$A,0))</f>
        <v>0.1</v>
      </c>
      <c r="I166" s="17" t="n">
        <f aca="false">D166/100*INDEX('Dish Database'!$N:$N,MATCH(C166,'Dish Database'!$A:$A,0))</f>
        <v>0.8</v>
      </c>
      <c r="J166" s="17" t="n">
        <f aca="false">D166/100*INDEX('Dish Database'!$O:$O,MATCH(C166,'Dish Database'!$A:$A,0))</f>
        <v>1.5</v>
      </c>
      <c r="K166" s="13" t="n">
        <f aca="false">D166/100*INDEX('Dish Database'!$P:$P,MATCH(C166,'Dish Database'!$A:$A,0))</f>
        <v>5</v>
      </c>
    </row>
    <row r="167" customFormat="false" ht="15" hidden="false" customHeight="false" outlineLevel="0" collapsed="false">
      <c r="B167" s="6" t="str">
        <f aca="false">INDEX('Dish Database'!$B:$B,MATCH(C167,'Dish Database'!$A:$A,0))</f>
        <v>Papad (roasted)</v>
      </c>
      <c r="C167" s="16" t="s">
        <v>1942</v>
      </c>
      <c r="D167" s="16" t="n">
        <v>12</v>
      </c>
      <c r="E167" s="13" t="n">
        <f aca="false">D167/100*INDEX('Dish Database'!$J:$J,MATCH(C167,'Dish Database'!$A:$A,0))</f>
        <v>38.256</v>
      </c>
      <c r="F167" s="17" t="n">
        <f aca="false">D167/100*INDEX('Dish Database'!$K:$K,MATCH(C167,'Dish Database'!$A:$A,0))</f>
        <v>2.64</v>
      </c>
      <c r="G167" s="17" t="n">
        <f aca="false">D167/100*INDEX('Dish Database'!$L:$L,MATCH(C167,'Dish Database'!$A:$A,0))</f>
        <v>6.6</v>
      </c>
      <c r="H167" s="17" t="n">
        <f aca="false">D167/100*INDEX('Dish Database'!$M:$M,MATCH(C167,'Dish Database'!$A:$A,0))</f>
        <v>0.384</v>
      </c>
      <c r="I167" s="17" t="n">
        <f aca="false">D167/100*INDEX('Dish Database'!$N:$N,MATCH(C167,'Dish Database'!$A:$A,0))</f>
        <v>1.08</v>
      </c>
      <c r="J167" s="17" t="n">
        <f aca="false">D167/100*INDEX('Dish Database'!$O:$O,MATCH(C167,'Dish Database'!$A:$A,0))</f>
        <v>0.12</v>
      </c>
      <c r="K167" s="13" t="n">
        <f aca="false">D167/100*INDEX('Dish Database'!$P:$P,MATCH(C167,'Dish Database'!$A:$A,0))</f>
        <v>204</v>
      </c>
    </row>
    <row r="168" customFormat="false" ht="15" hidden="false" customHeight="false" outlineLevel="0" collapsed="false">
      <c r="B168" s="6" t="str">
        <f aca="false">INDEX('Dish Database'!$B:$B,MATCH(C168,'Dish Database'!$A:$A,0))</f>
        <v>Gulab jamun</v>
      </c>
      <c r="C168" s="16" t="s">
        <v>1993</v>
      </c>
      <c r="D168" s="16" t="n">
        <v>50</v>
      </c>
      <c r="E168" s="13" t="n">
        <f aca="false">D168/100*INDEX('Dish Database'!$J:$J,MATCH(C168,'Dish Database'!$A:$A,0))</f>
        <v>166.7</v>
      </c>
      <c r="F168" s="17" t="n">
        <f aca="false">D168/100*INDEX('Dish Database'!$K:$K,MATCH(C168,'Dish Database'!$A:$A,0))</f>
        <v>2.25</v>
      </c>
      <c r="G168" s="17" t="n">
        <f aca="false">D168/100*INDEX('Dish Database'!$L:$L,MATCH(C168,'Dish Database'!$A:$A,0))</f>
        <v>26</v>
      </c>
      <c r="H168" s="17" t="n">
        <f aca="false">D168/100*INDEX('Dish Database'!$M:$M,MATCH(C168,'Dish Database'!$A:$A,0))</f>
        <v>6</v>
      </c>
      <c r="I168" s="17" t="n">
        <f aca="false">D168/100*INDEX('Dish Database'!$N:$N,MATCH(C168,'Dish Database'!$A:$A,0))</f>
        <v>0.15</v>
      </c>
      <c r="J168" s="17" t="n">
        <f aca="false">D168/100*INDEX('Dish Database'!$O:$O,MATCH(C168,'Dish Database'!$A:$A,0))</f>
        <v>21</v>
      </c>
      <c r="K168" s="13" t="n">
        <f aca="false">D168/100*INDEX('Dish Database'!$P:$P,MATCH(C168,'Dish Database'!$A:$A,0))</f>
        <v>20</v>
      </c>
    </row>
    <row r="169" customFormat="false" ht="15" hidden="false" customHeight="false" outlineLevel="0" collapsed="false">
      <c r="A169" s="20"/>
      <c r="B169" s="21" t="s">
        <v>2714</v>
      </c>
      <c r="C169" s="20"/>
      <c r="D169" s="22" t="n">
        <f aca="false">SUM(D160:D168)</f>
        <v>867</v>
      </c>
      <c r="E169" s="22" t="n">
        <f aca="false">SUM(E160:E168)</f>
        <v>1315.666</v>
      </c>
      <c r="F169" s="23" t="n">
        <f aca="false">SUM(F160:F168)</f>
        <v>43.115</v>
      </c>
      <c r="G169" s="23" t="n">
        <f aca="false">SUM(G160:G168)</f>
        <v>181.75</v>
      </c>
      <c r="H169" s="23" t="n">
        <f aca="false">SUM(H160:H168)</f>
        <v>50.574</v>
      </c>
      <c r="I169" s="23" t="n">
        <f aca="false">SUM(I160:I168)</f>
        <v>19.48</v>
      </c>
      <c r="J169" s="23" t="n">
        <f aca="false">SUM(J160:J168)</f>
        <v>38.645</v>
      </c>
      <c r="K169" s="22" t="n">
        <f aca="false">SUM(K160:K168)</f>
        <v>2160.75</v>
      </c>
    </row>
    <row r="171" customFormat="false" ht="15" hidden="false" customHeight="false" outlineLevel="0" collapsed="false">
      <c r="A171" s="18" t="s">
        <v>2742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</row>
    <row r="172" customFormat="false" ht="15" hidden="false" customHeight="false" outlineLevel="0" collapsed="false">
      <c r="B172" s="6" t="str">
        <f aca="false">INDEX('Dish Database'!$B:$B,MATCH(C172,'Dish Database'!$A:$A,0))</f>
        <v>Butter naan</v>
      </c>
      <c r="C172" s="16" t="s">
        <v>794</v>
      </c>
      <c r="D172" s="16" t="n">
        <v>95</v>
      </c>
      <c r="E172" s="13" t="n">
        <f aca="false">D172/100*INDEX('Dish Database'!$J:$J,MATCH(C172,'Dish Database'!$A:$A,0))</f>
        <v>295.925</v>
      </c>
      <c r="F172" s="17" t="n">
        <f aca="false">D172/100*INDEX('Dish Database'!$K:$K,MATCH(C172,'Dish Database'!$A:$A,0))</f>
        <v>7.885</v>
      </c>
      <c r="G172" s="17" t="n">
        <f aca="false">D172/100*INDEX('Dish Database'!$L:$L,MATCH(C172,'Dish Database'!$A:$A,0))</f>
        <v>44.65</v>
      </c>
      <c r="H172" s="17" t="n">
        <f aca="false">D172/100*INDEX('Dish Database'!$M:$M,MATCH(C172,'Dish Database'!$A:$A,0))</f>
        <v>9.975</v>
      </c>
      <c r="I172" s="17" t="n">
        <f aca="false">D172/100*INDEX('Dish Database'!$N:$N,MATCH(C172,'Dish Database'!$A:$A,0))</f>
        <v>1.995</v>
      </c>
      <c r="J172" s="17" t="n">
        <f aca="false">D172/100*INDEX('Dish Database'!$O:$O,MATCH(C172,'Dish Database'!$A:$A,0))</f>
        <v>3.135</v>
      </c>
      <c r="K172" s="13" t="n">
        <f aca="false">D172/100*INDEX('Dish Database'!$P:$P,MATCH(C172,'Dish Database'!$A:$A,0))</f>
        <v>456</v>
      </c>
    </row>
    <row r="173" customFormat="false" ht="15" hidden="false" customHeight="false" outlineLevel="0" collapsed="false">
      <c r="B173" s="6" t="str">
        <f aca="false">INDEX('Dish Database'!$B:$B,MATCH(C173,'Dish Database'!$A:$A,0))</f>
        <v>Chapati / phulka (no ghee)</v>
      </c>
      <c r="C173" s="16" t="s">
        <v>774</v>
      </c>
      <c r="D173" s="16" t="n">
        <v>70</v>
      </c>
      <c r="E173" s="13" t="n">
        <f aca="false">D173/100*INDEX('Dish Database'!$J:$J,MATCH(C173,'Dish Database'!$A:$A,0))</f>
        <v>170.94</v>
      </c>
      <c r="F173" s="17" t="n">
        <f aca="false">D173/100*INDEX('Dish Database'!$K:$K,MATCH(C173,'Dish Database'!$A:$A,0))</f>
        <v>5.95</v>
      </c>
      <c r="G173" s="17" t="n">
        <f aca="false">D173/100*INDEX('Dish Database'!$L:$L,MATCH(C173,'Dish Database'!$A:$A,0))</f>
        <v>36.4</v>
      </c>
      <c r="H173" s="17" t="n">
        <f aca="false">D173/100*INDEX('Dish Database'!$M:$M,MATCH(C173,'Dish Database'!$A:$A,0))</f>
        <v>1.26</v>
      </c>
      <c r="I173" s="17" t="n">
        <f aca="false">D173/100*INDEX('Dish Database'!$N:$N,MATCH(C173,'Dish Database'!$A:$A,0))</f>
        <v>4.9</v>
      </c>
      <c r="J173" s="17" t="n">
        <f aca="false">D173/100*INDEX('Dish Database'!$O:$O,MATCH(C173,'Dish Database'!$A:$A,0))</f>
        <v>1.05</v>
      </c>
      <c r="K173" s="13" t="n">
        <f aca="false">D173/100*INDEX('Dish Database'!$P:$P,MATCH(C173,'Dish Database'!$A:$A,0))</f>
        <v>3.5</v>
      </c>
    </row>
    <row r="174" customFormat="false" ht="15" hidden="false" customHeight="false" outlineLevel="0" collapsed="false">
      <c r="B174" s="6" t="str">
        <f aca="false">INDEX('Dish Database'!$B:$B,MATCH(C174,'Dish Database'!$A:$A,0))</f>
        <v>Chicken curry (restaurant / dhaba)</v>
      </c>
      <c r="C174" s="16" t="s">
        <v>1325</v>
      </c>
      <c r="D174" s="16" t="n">
        <v>200</v>
      </c>
      <c r="E174" s="13" t="n">
        <f aca="false">D174/100*INDEX('Dish Database'!$J:$J,MATCH(C174,'Dish Database'!$A:$A,0))</f>
        <v>330</v>
      </c>
      <c r="F174" s="17" t="n">
        <f aca="false">D174/100*INDEX('Dish Database'!$K:$K,MATCH(C174,'Dish Database'!$A:$A,0))</f>
        <v>24</v>
      </c>
      <c r="G174" s="17" t="n">
        <f aca="false">D174/100*INDEX('Dish Database'!$L:$L,MATCH(C174,'Dish Database'!$A:$A,0))</f>
        <v>10</v>
      </c>
      <c r="H174" s="17" t="n">
        <f aca="false">D174/100*INDEX('Dish Database'!$M:$M,MATCH(C174,'Dish Database'!$A:$A,0))</f>
        <v>22</v>
      </c>
      <c r="I174" s="17" t="n">
        <f aca="false">D174/100*INDEX('Dish Database'!$N:$N,MATCH(C174,'Dish Database'!$A:$A,0))</f>
        <v>2</v>
      </c>
      <c r="J174" s="17" t="n">
        <f aca="false">D174/100*INDEX('Dish Database'!$O:$O,MATCH(C174,'Dish Database'!$A:$A,0))</f>
        <v>4</v>
      </c>
      <c r="K174" s="13" t="n">
        <f aca="false">D174/100*INDEX('Dish Database'!$P:$P,MATCH(C174,'Dish Database'!$A:$A,0))</f>
        <v>900</v>
      </c>
    </row>
    <row r="175" customFormat="false" ht="15" hidden="false" customHeight="false" outlineLevel="0" collapsed="false">
      <c r="B175" s="6" t="str">
        <f aca="false">INDEX('Dish Database'!$B:$B,MATCH(C175,'Dish Database'!$A:$A,0))</f>
        <v>Dal makhani (restaurant)</v>
      </c>
      <c r="C175" s="16" t="s">
        <v>1002</v>
      </c>
      <c r="D175" s="16" t="n">
        <v>150</v>
      </c>
      <c r="E175" s="13" t="n">
        <f aca="false">D175/100*INDEX('Dish Database'!$J:$J,MATCH(C175,'Dish Database'!$A:$A,0))</f>
        <v>219.75</v>
      </c>
      <c r="F175" s="17" t="n">
        <f aca="false">D175/100*INDEX('Dish Database'!$K:$K,MATCH(C175,'Dish Database'!$A:$A,0))</f>
        <v>8.25</v>
      </c>
      <c r="G175" s="17" t="n">
        <f aca="false">D175/100*INDEX('Dish Database'!$L:$L,MATCH(C175,'Dish Database'!$A:$A,0))</f>
        <v>21</v>
      </c>
      <c r="H175" s="17" t="n">
        <f aca="false">D175/100*INDEX('Dish Database'!$M:$M,MATCH(C175,'Dish Database'!$A:$A,0))</f>
        <v>12.75</v>
      </c>
      <c r="I175" s="17" t="n">
        <f aca="false">D175/100*INDEX('Dish Database'!$N:$N,MATCH(C175,'Dish Database'!$A:$A,0))</f>
        <v>6</v>
      </c>
      <c r="J175" s="17" t="n">
        <f aca="false">D175/100*INDEX('Dish Database'!$O:$O,MATCH(C175,'Dish Database'!$A:$A,0))</f>
        <v>2.25</v>
      </c>
      <c r="K175" s="13" t="n">
        <f aca="false">D175/100*INDEX('Dish Database'!$P:$P,MATCH(C175,'Dish Database'!$A:$A,0))</f>
        <v>600</v>
      </c>
    </row>
    <row r="176" customFormat="false" ht="15" hidden="false" customHeight="false" outlineLevel="0" collapsed="false">
      <c r="B176" s="6" t="str">
        <f aca="false">INDEX('Dish Database'!$B:$B,MATCH(C176,'Dish Database'!$A:$A,0))</f>
        <v>Jeera rice</v>
      </c>
      <c r="C176" s="16" t="s">
        <v>861</v>
      </c>
      <c r="D176" s="16" t="n">
        <v>150</v>
      </c>
      <c r="E176" s="13" t="n">
        <f aca="false">D176/100*INDEX('Dish Database'!$J:$J,MATCH(C176,'Dish Database'!$A:$A,0))</f>
        <v>237</v>
      </c>
      <c r="F176" s="17" t="n">
        <f aca="false">D176/100*INDEX('Dish Database'!$K:$K,MATCH(C176,'Dish Database'!$A:$A,0))</f>
        <v>4.2</v>
      </c>
      <c r="G176" s="17" t="n">
        <f aca="false">D176/100*INDEX('Dish Database'!$L:$L,MATCH(C176,'Dish Database'!$A:$A,0))</f>
        <v>42</v>
      </c>
      <c r="H176" s="17" t="n">
        <f aca="false">D176/100*INDEX('Dish Database'!$M:$M,MATCH(C176,'Dish Database'!$A:$A,0))</f>
        <v>6</v>
      </c>
      <c r="I176" s="17" t="n">
        <f aca="false">D176/100*INDEX('Dish Database'!$N:$N,MATCH(C176,'Dish Database'!$A:$A,0))</f>
        <v>0.9</v>
      </c>
      <c r="J176" s="17" t="n">
        <f aca="false">D176/100*INDEX('Dish Database'!$O:$O,MATCH(C176,'Dish Database'!$A:$A,0))</f>
        <v>0.3</v>
      </c>
      <c r="K176" s="13" t="n">
        <f aca="false">D176/100*INDEX('Dish Database'!$P:$P,MATCH(C176,'Dish Database'!$A:$A,0))</f>
        <v>375</v>
      </c>
    </row>
    <row r="177" customFormat="false" ht="15" hidden="false" customHeight="false" outlineLevel="0" collapsed="false">
      <c r="B177" s="6" t="str">
        <f aca="false">INDEX('Dish Database'!$B:$B,MATCH(C177,'Dish Database'!$A:$A,0))</f>
        <v>Cucumber raita</v>
      </c>
      <c r="C177" s="16" t="s">
        <v>1861</v>
      </c>
      <c r="D177" s="16" t="n">
        <v>100</v>
      </c>
      <c r="E177" s="13" t="n">
        <f aca="false">D177/100*INDEX('Dish Database'!$J:$J,MATCH(C177,'Dish Database'!$A:$A,0))</f>
        <v>55.4</v>
      </c>
      <c r="F177" s="17" t="n">
        <f aca="false">D177/100*INDEX('Dish Database'!$K:$K,MATCH(C177,'Dish Database'!$A:$A,0))</f>
        <v>2.8</v>
      </c>
      <c r="G177" s="17" t="n">
        <f aca="false">D177/100*INDEX('Dish Database'!$L:$L,MATCH(C177,'Dish Database'!$A:$A,0))</f>
        <v>4.5</v>
      </c>
      <c r="H177" s="17" t="n">
        <f aca="false">D177/100*INDEX('Dish Database'!$M:$M,MATCH(C177,'Dish Database'!$A:$A,0))</f>
        <v>3</v>
      </c>
      <c r="I177" s="17" t="n">
        <f aca="false">D177/100*INDEX('Dish Database'!$N:$N,MATCH(C177,'Dish Database'!$A:$A,0))</f>
        <v>0.4</v>
      </c>
      <c r="J177" s="17" t="n">
        <f aca="false">D177/100*INDEX('Dish Database'!$O:$O,MATCH(C177,'Dish Database'!$A:$A,0))</f>
        <v>3.5</v>
      </c>
      <c r="K177" s="13" t="n">
        <f aca="false">D177/100*INDEX('Dish Database'!$P:$P,MATCH(C177,'Dish Database'!$A:$A,0))</f>
        <v>280</v>
      </c>
    </row>
    <row r="178" customFormat="false" ht="15" hidden="false" customHeight="false" outlineLevel="0" collapsed="false">
      <c r="B178" s="6" t="str">
        <f aca="false">INDEX('Dish Database'!$B:$B,MATCH(C178,'Dish Database'!$A:$A,0))</f>
        <v>Green salad</v>
      </c>
      <c r="C178" s="16" t="s">
        <v>1878</v>
      </c>
      <c r="D178" s="16" t="n">
        <v>50</v>
      </c>
      <c r="E178" s="13" t="n">
        <f aca="false">D178/100*INDEX('Dish Database'!$J:$J,MATCH(C178,'Dish Database'!$A:$A,0))</f>
        <v>12.3</v>
      </c>
      <c r="F178" s="17" t="n">
        <f aca="false">D178/100*INDEX('Dish Database'!$K:$K,MATCH(C178,'Dish Database'!$A:$A,0))</f>
        <v>0.5</v>
      </c>
      <c r="G178" s="17" t="n">
        <f aca="false">D178/100*INDEX('Dish Database'!$L:$L,MATCH(C178,'Dish Database'!$A:$A,0))</f>
        <v>2.75</v>
      </c>
      <c r="H178" s="17" t="n">
        <f aca="false">D178/100*INDEX('Dish Database'!$M:$M,MATCH(C178,'Dish Database'!$A:$A,0))</f>
        <v>0.1</v>
      </c>
      <c r="I178" s="17" t="n">
        <f aca="false">D178/100*INDEX('Dish Database'!$N:$N,MATCH(C178,'Dish Database'!$A:$A,0))</f>
        <v>0.8</v>
      </c>
      <c r="J178" s="17" t="n">
        <f aca="false">D178/100*INDEX('Dish Database'!$O:$O,MATCH(C178,'Dish Database'!$A:$A,0))</f>
        <v>1.5</v>
      </c>
      <c r="K178" s="13" t="n">
        <f aca="false">D178/100*INDEX('Dish Database'!$P:$P,MATCH(C178,'Dish Database'!$A:$A,0))</f>
        <v>5</v>
      </c>
    </row>
    <row r="179" customFormat="false" ht="15" hidden="false" customHeight="false" outlineLevel="0" collapsed="false">
      <c r="A179" s="20"/>
      <c r="B179" s="21" t="s">
        <v>2714</v>
      </c>
      <c r="C179" s="20"/>
      <c r="D179" s="22" t="n">
        <f aca="false">SUM(D172:D178)</f>
        <v>815</v>
      </c>
      <c r="E179" s="22" t="n">
        <f aca="false">SUM(E172:E178)</f>
        <v>1321.315</v>
      </c>
      <c r="F179" s="23" t="n">
        <f aca="false">SUM(F172:F178)</f>
        <v>53.585</v>
      </c>
      <c r="G179" s="23" t="n">
        <f aca="false">SUM(G172:G178)</f>
        <v>161.3</v>
      </c>
      <c r="H179" s="23" t="n">
        <f aca="false">SUM(H172:H178)</f>
        <v>55.085</v>
      </c>
      <c r="I179" s="23" t="n">
        <f aca="false">SUM(I172:I178)</f>
        <v>16.995</v>
      </c>
      <c r="J179" s="23" t="n">
        <f aca="false">SUM(J172:J178)</f>
        <v>15.735</v>
      </c>
      <c r="K179" s="22" t="n">
        <f aca="false">SUM(K172:K178)</f>
        <v>2619.5</v>
      </c>
    </row>
    <row r="181" customFormat="false" ht="15" hidden="false" customHeight="false" outlineLevel="0" collapsed="false">
      <c r="A181" s="18" t="s">
        <v>2743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</row>
    <row r="182" customFormat="false" ht="15" hidden="false" customHeight="false" outlineLevel="0" collapsed="false">
      <c r="B182" s="6" t="str">
        <f aca="false">INDEX('Dish Database'!$B:$B,MATCH(C182,'Dish Database'!$A:$A,0))</f>
        <v>Steamed white rice</v>
      </c>
      <c r="C182" s="16" t="s">
        <v>853</v>
      </c>
      <c r="D182" s="16" t="n">
        <v>250</v>
      </c>
      <c r="E182" s="13" t="n">
        <f aca="false">D182/100*INDEX('Dish Database'!$J:$J,MATCH(C182,'Dish Database'!$A:$A,0))</f>
        <v>313.75</v>
      </c>
      <c r="F182" s="17" t="n">
        <f aca="false">D182/100*INDEX('Dish Database'!$K:$K,MATCH(C182,'Dish Database'!$A:$A,0))</f>
        <v>6.75</v>
      </c>
      <c r="G182" s="17" t="n">
        <f aca="false">D182/100*INDEX('Dish Database'!$L:$L,MATCH(C182,'Dish Database'!$A:$A,0))</f>
        <v>70.5</v>
      </c>
      <c r="H182" s="17" t="n">
        <f aca="false">D182/100*INDEX('Dish Database'!$M:$M,MATCH(C182,'Dish Database'!$A:$A,0))</f>
        <v>0.75</v>
      </c>
      <c r="I182" s="17" t="n">
        <f aca="false">D182/100*INDEX('Dish Database'!$N:$N,MATCH(C182,'Dish Database'!$A:$A,0))</f>
        <v>1</v>
      </c>
      <c r="J182" s="17" t="n">
        <f aca="false">D182/100*INDEX('Dish Database'!$O:$O,MATCH(C182,'Dish Database'!$A:$A,0))</f>
        <v>0.25</v>
      </c>
      <c r="K182" s="13" t="n">
        <f aca="false">D182/100*INDEX('Dish Database'!$P:$P,MATCH(C182,'Dish Database'!$A:$A,0))</f>
        <v>2.5</v>
      </c>
    </row>
    <row r="183" customFormat="false" ht="15" hidden="false" customHeight="false" outlineLevel="0" collapsed="false">
      <c r="B183" s="6" t="str">
        <f aca="false">INDEX('Dish Database'!$B:$B,MATCH(C183,'Dish Database'!$A:$A,0))</f>
        <v>Sambar</v>
      </c>
      <c r="C183" s="16" t="s">
        <v>1051</v>
      </c>
      <c r="D183" s="16" t="n">
        <v>150</v>
      </c>
      <c r="E183" s="13" t="n">
        <f aca="false">D183/100*INDEX('Dish Database'!$J:$J,MATCH(C183,'Dish Database'!$A:$A,0))</f>
        <v>114</v>
      </c>
      <c r="F183" s="17" t="n">
        <f aca="false">D183/100*INDEX('Dish Database'!$K:$K,MATCH(C183,'Dish Database'!$A:$A,0))</f>
        <v>5.25</v>
      </c>
      <c r="G183" s="17" t="n">
        <f aca="false">D183/100*INDEX('Dish Database'!$L:$L,MATCH(C183,'Dish Database'!$A:$A,0))</f>
        <v>15.75</v>
      </c>
      <c r="H183" s="17" t="n">
        <f aca="false">D183/100*INDEX('Dish Database'!$M:$M,MATCH(C183,'Dish Database'!$A:$A,0))</f>
        <v>4.2</v>
      </c>
      <c r="I183" s="17" t="n">
        <f aca="false">D183/100*INDEX('Dish Database'!$N:$N,MATCH(C183,'Dish Database'!$A:$A,0))</f>
        <v>3.9</v>
      </c>
      <c r="J183" s="17" t="n">
        <f aca="false">D183/100*INDEX('Dish Database'!$O:$O,MATCH(C183,'Dish Database'!$A:$A,0))</f>
        <v>3</v>
      </c>
      <c r="K183" s="13" t="n">
        <f aca="false">D183/100*INDEX('Dish Database'!$P:$P,MATCH(C183,'Dish Database'!$A:$A,0))</f>
        <v>495</v>
      </c>
    </row>
    <row r="184" customFormat="false" ht="15" hidden="false" customHeight="false" outlineLevel="0" collapsed="false">
      <c r="B184" s="6" t="str">
        <f aca="false">INDEX('Dish Database'!$B:$B,MATCH(C184,'Dish Database'!$A:$A,0))</f>
        <v>Rasam</v>
      </c>
      <c r="C184" s="16" t="s">
        <v>1056</v>
      </c>
      <c r="D184" s="16" t="n">
        <v>150</v>
      </c>
      <c r="E184" s="13" t="n">
        <f aca="false">D184/100*INDEX('Dish Database'!$J:$J,MATCH(C184,'Dish Database'!$A:$A,0))</f>
        <v>44.4</v>
      </c>
      <c r="F184" s="17" t="n">
        <f aca="false">D184/100*INDEX('Dish Database'!$K:$K,MATCH(C184,'Dish Database'!$A:$A,0))</f>
        <v>1.5</v>
      </c>
      <c r="G184" s="17" t="n">
        <f aca="false">D184/100*INDEX('Dish Database'!$L:$L,MATCH(C184,'Dish Database'!$A:$A,0))</f>
        <v>6</v>
      </c>
      <c r="H184" s="17" t="n">
        <f aca="false">D184/100*INDEX('Dish Database'!$M:$M,MATCH(C184,'Dish Database'!$A:$A,0))</f>
        <v>1.8</v>
      </c>
      <c r="I184" s="17" t="n">
        <f aca="false">D184/100*INDEX('Dish Database'!$N:$N,MATCH(C184,'Dish Database'!$A:$A,0))</f>
        <v>0.9</v>
      </c>
      <c r="J184" s="17" t="n">
        <f aca="false">D184/100*INDEX('Dish Database'!$O:$O,MATCH(C184,'Dish Database'!$A:$A,0))</f>
        <v>2.25</v>
      </c>
      <c r="K184" s="13" t="n">
        <f aca="false">D184/100*INDEX('Dish Database'!$P:$P,MATCH(C184,'Dish Database'!$A:$A,0))</f>
        <v>525</v>
      </c>
    </row>
    <row r="185" customFormat="false" ht="15" hidden="false" customHeight="false" outlineLevel="0" collapsed="false">
      <c r="B185" s="6" t="str">
        <f aca="false">INDEX('Dish Database'!$B:$B,MATCH(C185,'Dish Database'!$A:$A,0))</f>
        <v>Beans / carrot poriyal</v>
      </c>
      <c r="C185" s="16" t="s">
        <v>1282</v>
      </c>
      <c r="D185" s="16" t="n">
        <v>100</v>
      </c>
      <c r="E185" s="13" t="n">
        <f aca="false">D185/100*INDEX('Dish Database'!$J:$J,MATCH(C185,'Dish Database'!$A:$A,0))</f>
        <v>83.8</v>
      </c>
      <c r="F185" s="17" t="n">
        <f aca="false">D185/100*INDEX('Dish Database'!$K:$K,MATCH(C185,'Dish Database'!$A:$A,0))</f>
        <v>2.2</v>
      </c>
      <c r="G185" s="17" t="n">
        <f aca="false">D185/100*INDEX('Dish Database'!$L:$L,MATCH(C185,'Dish Database'!$A:$A,0))</f>
        <v>9</v>
      </c>
      <c r="H185" s="17" t="n">
        <f aca="false">D185/100*INDEX('Dish Database'!$M:$M,MATCH(C185,'Dish Database'!$A:$A,0))</f>
        <v>5</v>
      </c>
      <c r="I185" s="17" t="n">
        <f aca="false">D185/100*INDEX('Dish Database'!$N:$N,MATCH(C185,'Dish Database'!$A:$A,0))</f>
        <v>3</v>
      </c>
      <c r="J185" s="17" t="n">
        <f aca="false">D185/100*INDEX('Dish Database'!$O:$O,MATCH(C185,'Dish Database'!$A:$A,0))</f>
        <v>3</v>
      </c>
      <c r="K185" s="13" t="n">
        <f aca="false">D185/100*INDEX('Dish Database'!$P:$P,MATCH(C185,'Dish Database'!$A:$A,0))</f>
        <v>250</v>
      </c>
    </row>
    <row r="186" customFormat="false" ht="15" hidden="false" customHeight="false" outlineLevel="0" collapsed="false">
      <c r="B186" s="6" t="str">
        <f aca="false">INDEX('Dish Database'!$B:$B,MATCH(C186,'Dish Database'!$A:$A,0))</f>
        <v>Kootu</v>
      </c>
      <c r="C186" s="16" t="s">
        <v>1213</v>
      </c>
      <c r="D186" s="16" t="n">
        <v>100</v>
      </c>
      <c r="E186" s="13" t="n">
        <f aca="false">D186/100*INDEX('Dish Database'!$J:$J,MATCH(C186,'Dish Database'!$A:$A,0))</f>
        <v>88.5</v>
      </c>
      <c r="F186" s="17" t="n">
        <f aca="false">D186/100*INDEX('Dish Database'!$K:$K,MATCH(C186,'Dish Database'!$A:$A,0))</f>
        <v>3.5</v>
      </c>
      <c r="G186" s="17" t="n">
        <f aca="false">D186/100*INDEX('Dish Database'!$L:$L,MATCH(C186,'Dish Database'!$A:$A,0))</f>
        <v>10</v>
      </c>
      <c r="H186" s="17" t="n">
        <f aca="false">D186/100*INDEX('Dish Database'!$M:$M,MATCH(C186,'Dish Database'!$A:$A,0))</f>
        <v>4.5</v>
      </c>
      <c r="I186" s="17" t="n">
        <f aca="false">D186/100*INDEX('Dish Database'!$N:$N,MATCH(C186,'Dish Database'!$A:$A,0))</f>
        <v>3</v>
      </c>
      <c r="J186" s="17" t="n">
        <f aca="false">D186/100*INDEX('Dish Database'!$O:$O,MATCH(C186,'Dish Database'!$A:$A,0))</f>
        <v>2</v>
      </c>
      <c r="K186" s="13" t="n">
        <f aca="false">D186/100*INDEX('Dish Database'!$P:$P,MATCH(C186,'Dish Database'!$A:$A,0))</f>
        <v>280</v>
      </c>
    </row>
    <row r="187" customFormat="false" ht="15" hidden="false" customHeight="false" outlineLevel="0" collapsed="false">
      <c r="B187" s="6" t="str">
        <f aca="false">INDEX('Dish Database'!$B:$B,MATCH(C187,'Dish Database'!$A:$A,0))</f>
        <v>Plain curd (dahi, whole milk)</v>
      </c>
      <c r="C187" s="16" t="s">
        <v>1852</v>
      </c>
      <c r="D187" s="16" t="n">
        <v>100</v>
      </c>
      <c r="E187" s="13" t="n">
        <f aca="false">D187/100*INDEX('Dish Database'!$J:$J,MATCH(C187,'Dish Database'!$A:$A,0))</f>
        <v>65.4</v>
      </c>
      <c r="F187" s="17" t="n">
        <f aca="false">D187/100*INDEX('Dish Database'!$K:$K,MATCH(C187,'Dish Database'!$A:$A,0))</f>
        <v>3.3</v>
      </c>
      <c r="G187" s="17" t="n">
        <f aca="false">D187/100*INDEX('Dish Database'!$L:$L,MATCH(C187,'Dish Database'!$A:$A,0))</f>
        <v>4.5</v>
      </c>
      <c r="H187" s="17" t="n">
        <f aca="false">D187/100*INDEX('Dish Database'!$M:$M,MATCH(C187,'Dish Database'!$A:$A,0))</f>
        <v>3.8</v>
      </c>
      <c r="I187" s="17" t="n">
        <f aca="false">D187/100*INDEX('Dish Database'!$N:$N,MATCH(C187,'Dish Database'!$A:$A,0))</f>
        <v>0</v>
      </c>
      <c r="J187" s="17" t="n">
        <f aca="false">D187/100*INDEX('Dish Database'!$O:$O,MATCH(C187,'Dish Database'!$A:$A,0))</f>
        <v>4.5</v>
      </c>
      <c r="K187" s="13" t="n">
        <f aca="false">D187/100*INDEX('Dish Database'!$P:$P,MATCH(C187,'Dish Database'!$A:$A,0))</f>
        <v>45</v>
      </c>
    </row>
    <row r="188" customFormat="false" ht="15" hidden="false" customHeight="false" outlineLevel="0" collapsed="false">
      <c r="B188" s="6" t="str">
        <f aca="false">INDEX('Dish Database'!$B:$B,MATCH(C188,'Dish Database'!$A:$A,0))</f>
        <v>Papad (fried)</v>
      </c>
      <c r="C188" s="16" t="s">
        <v>1945</v>
      </c>
      <c r="D188" s="16" t="n">
        <v>15</v>
      </c>
      <c r="E188" s="13" t="n">
        <f aca="false">D188/100*INDEX('Dish Database'!$J:$J,MATCH(C188,'Dish Database'!$A:$A,0))</f>
        <v>69.45</v>
      </c>
      <c r="F188" s="17" t="n">
        <f aca="false">D188/100*INDEX('Dish Database'!$K:$K,MATCH(C188,'Dish Database'!$A:$A,0))</f>
        <v>2.7</v>
      </c>
      <c r="G188" s="17" t="n">
        <f aca="false">D188/100*INDEX('Dish Database'!$L:$L,MATCH(C188,'Dish Database'!$A:$A,0))</f>
        <v>6.75</v>
      </c>
      <c r="H188" s="17" t="n">
        <f aca="false">D188/100*INDEX('Dish Database'!$M:$M,MATCH(C188,'Dish Database'!$A:$A,0))</f>
        <v>3.75</v>
      </c>
      <c r="I188" s="17" t="n">
        <f aca="false">D188/100*INDEX('Dish Database'!$N:$N,MATCH(C188,'Dish Database'!$A:$A,0))</f>
        <v>1.05</v>
      </c>
      <c r="J188" s="17" t="n">
        <f aca="false">D188/100*INDEX('Dish Database'!$O:$O,MATCH(C188,'Dish Database'!$A:$A,0))</f>
        <v>0.15</v>
      </c>
      <c r="K188" s="13" t="n">
        <f aca="false">D188/100*INDEX('Dish Database'!$P:$P,MATCH(C188,'Dish Database'!$A:$A,0))</f>
        <v>210</v>
      </c>
    </row>
    <row r="189" customFormat="false" ht="15" hidden="false" customHeight="false" outlineLevel="0" collapsed="false">
      <c r="B189" s="6" t="str">
        <f aca="false">INDEX('Dish Database'!$B:$B,MATCH(C189,'Dish Database'!$A:$A,0))</f>
        <v>Semiya payasam</v>
      </c>
      <c r="C189" s="16" t="s">
        <v>2165</v>
      </c>
      <c r="D189" s="16" t="n">
        <v>100</v>
      </c>
      <c r="E189" s="13" t="n">
        <f aca="false">D189/100*INDEX('Dish Database'!$J:$J,MATCH(C189,'Dish Database'!$A:$A,0))</f>
        <v>140.7</v>
      </c>
      <c r="F189" s="17" t="n">
        <f aca="false">D189/100*INDEX('Dish Database'!$K:$K,MATCH(C189,'Dish Database'!$A:$A,0))</f>
        <v>3.2</v>
      </c>
      <c r="G189" s="17" t="n">
        <f aca="false">D189/100*INDEX('Dish Database'!$L:$L,MATCH(C189,'Dish Database'!$A:$A,0))</f>
        <v>22</v>
      </c>
      <c r="H189" s="17" t="n">
        <f aca="false">D189/100*INDEX('Dish Database'!$M:$M,MATCH(C189,'Dish Database'!$A:$A,0))</f>
        <v>4.5</v>
      </c>
      <c r="I189" s="17" t="n">
        <f aca="false">D189/100*INDEX('Dish Database'!$N:$N,MATCH(C189,'Dish Database'!$A:$A,0))</f>
        <v>0.3</v>
      </c>
      <c r="J189" s="17" t="n">
        <f aca="false">D189/100*INDEX('Dish Database'!$O:$O,MATCH(C189,'Dish Database'!$A:$A,0))</f>
        <v>15</v>
      </c>
      <c r="K189" s="13" t="n">
        <f aca="false">D189/100*INDEX('Dish Database'!$P:$P,MATCH(C189,'Dish Database'!$A:$A,0))</f>
        <v>45</v>
      </c>
    </row>
    <row r="190" customFormat="false" ht="15" hidden="false" customHeight="false" outlineLevel="0" collapsed="false">
      <c r="B190" s="6" t="str">
        <f aca="false">INDEX('Dish Database'!$B:$B,MATCH(C190,'Dish Database'!$A:$A,0))</f>
        <v>Mango pickle (in oil)</v>
      </c>
      <c r="C190" s="16" t="s">
        <v>1933</v>
      </c>
      <c r="D190" s="16" t="n">
        <v>5</v>
      </c>
      <c r="E190" s="13" t="n">
        <f aca="false">D190/100*INDEX('Dish Database'!$J:$J,MATCH(C190,'Dish Database'!$A:$A,0))</f>
        <v>8.3</v>
      </c>
      <c r="F190" s="17" t="n">
        <f aca="false">D190/100*INDEX('Dish Database'!$K:$K,MATCH(C190,'Dish Database'!$A:$A,0))</f>
        <v>0.05</v>
      </c>
      <c r="G190" s="17" t="n">
        <f aca="false">D190/100*INDEX('Dish Database'!$L:$L,MATCH(C190,'Dish Database'!$A:$A,0))</f>
        <v>0.4</v>
      </c>
      <c r="H190" s="17" t="n">
        <f aca="false">D190/100*INDEX('Dish Database'!$M:$M,MATCH(C190,'Dish Database'!$A:$A,0))</f>
        <v>0.75</v>
      </c>
      <c r="I190" s="17" t="n">
        <f aca="false">D190/100*INDEX('Dish Database'!$N:$N,MATCH(C190,'Dish Database'!$A:$A,0))</f>
        <v>0.125</v>
      </c>
      <c r="J190" s="17" t="n">
        <f aca="false">D190/100*INDEX('Dish Database'!$O:$O,MATCH(C190,'Dish Database'!$A:$A,0))</f>
        <v>0.075</v>
      </c>
      <c r="K190" s="13" t="n">
        <f aca="false">D190/100*INDEX('Dish Database'!$P:$P,MATCH(C190,'Dish Database'!$A:$A,0))</f>
        <v>130</v>
      </c>
    </row>
    <row r="191" customFormat="false" ht="15" hidden="false" customHeight="false" outlineLevel="0" collapsed="false">
      <c r="A191" s="20"/>
      <c r="B191" s="21" t="s">
        <v>2714</v>
      </c>
      <c r="C191" s="20"/>
      <c r="D191" s="22" t="n">
        <f aca="false">SUM(D182:D190)</f>
        <v>970</v>
      </c>
      <c r="E191" s="22" t="n">
        <f aca="false">SUM(E182:E190)</f>
        <v>928.3</v>
      </c>
      <c r="F191" s="23" t="n">
        <f aca="false">SUM(F182:F190)</f>
        <v>28.45</v>
      </c>
      <c r="G191" s="23" t="n">
        <f aca="false">SUM(G182:G190)</f>
        <v>144.9</v>
      </c>
      <c r="H191" s="23" t="n">
        <f aca="false">SUM(H182:H190)</f>
        <v>29.05</v>
      </c>
      <c r="I191" s="23" t="n">
        <f aca="false">SUM(I182:I190)</f>
        <v>13.275</v>
      </c>
      <c r="J191" s="23" t="n">
        <f aca="false">SUM(J182:J190)</f>
        <v>30.225</v>
      </c>
      <c r="K191" s="22" t="n">
        <f aca="false">SUM(K182:K190)</f>
        <v>1982.5</v>
      </c>
    </row>
    <row r="193" customFormat="false" ht="15" hidden="false" customHeight="false" outlineLevel="0" collapsed="false">
      <c r="A193" s="18" t="s">
        <v>2744</v>
      </c>
      <c r="B193" s="19"/>
      <c r="C193" s="19"/>
      <c r="D193" s="19"/>
      <c r="E193" s="19"/>
      <c r="F193" s="19"/>
      <c r="G193" s="19"/>
      <c r="H193" s="19"/>
      <c r="I193" s="19"/>
      <c r="J193" s="19"/>
      <c r="K193" s="19"/>
    </row>
    <row r="194" customFormat="false" ht="15" hidden="false" customHeight="false" outlineLevel="0" collapsed="false">
      <c r="B194" s="6" t="str">
        <f aca="false">INDEX('Dish Database'!$B:$B,MATCH(C194,'Dish Database'!$A:$A,0))</f>
        <v>Steamed white rice</v>
      </c>
      <c r="C194" s="16" t="s">
        <v>853</v>
      </c>
      <c r="D194" s="16" t="n">
        <v>250</v>
      </c>
      <c r="E194" s="13" t="n">
        <f aca="false">D194/100*INDEX('Dish Database'!$J:$J,MATCH(C194,'Dish Database'!$A:$A,0))</f>
        <v>313.75</v>
      </c>
      <c r="F194" s="17" t="n">
        <f aca="false">D194/100*INDEX('Dish Database'!$K:$K,MATCH(C194,'Dish Database'!$A:$A,0))</f>
        <v>6.75</v>
      </c>
      <c r="G194" s="17" t="n">
        <f aca="false">D194/100*INDEX('Dish Database'!$L:$L,MATCH(C194,'Dish Database'!$A:$A,0))</f>
        <v>70.5</v>
      </c>
      <c r="H194" s="17" t="n">
        <f aca="false">D194/100*INDEX('Dish Database'!$M:$M,MATCH(C194,'Dish Database'!$A:$A,0))</f>
        <v>0.75</v>
      </c>
      <c r="I194" s="17" t="n">
        <f aca="false">D194/100*INDEX('Dish Database'!$N:$N,MATCH(C194,'Dish Database'!$A:$A,0))</f>
        <v>1</v>
      </c>
      <c r="J194" s="17" t="n">
        <f aca="false">D194/100*INDEX('Dish Database'!$O:$O,MATCH(C194,'Dish Database'!$A:$A,0))</f>
        <v>0.25</v>
      </c>
      <c r="K194" s="13" t="n">
        <f aca="false">D194/100*INDEX('Dish Database'!$P:$P,MATCH(C194,'Dish Database'!$A:$A,0))</f>
        <v>2.5</v>
      </c>
    </row>
    <row r="195" customFormat="false" ht="15" hidden="false" customHeight="false" outlineLevel="0" collapsed="false">
      <c r="B195" s="6" t="str">
        <f aca="false">INDEX('Dish Database'!$B:$B,MATCH(C195,'Dish Database'!$A:$A,0))</f>
        <v>Sambar</v>
      </c>
      <c r="C195" s="16" t="s">
        <v>1051</v>
      </c>
      <c r="D195" s="16" t="n">
        <v>150</v>
      </c>
      <c r="E195" s="13" t="n">
        <f aca="false">D195/100*INDEX('Dish Database'!$J:$J,MATCH(C195,'Dish Database'!$A:$A,0))</f>
        <v>114</v>
      </c>
      <c r="F195" s="17" t="n">
        <f aca="false">D195/100*INDEX('Dish Database'!$K:$K,MATCH(C195,'Dish Database'!$A:$A,0))</f>
        <v>5.25</v>
      </c>
      <c r="G195" s="17" t="n">
        <f aca="false">D195/100*INDEX('Dish Database'!$L:$L,MATCH(C195,'Dish Database'!$A:$A,0))</f>
        <v>15.75</v>
      </c>
      <c r="H195" s="17" t="n">
        <f aca="false">D195/100*INDEX('Dish Database'!$M:$M,MATCH(C195,'Dish Database'!$A:$A,0))</f>
        <v>4.2</v>
      </c>
      <c r="I195" s="17" t="n">
        <f aca="false">D195/100*INDEX('Dish Database'!$N:$N,MATCH(C195,'Dish Database'!$A:$A,0))</f>
        <v>3.9</v>
      </c>
      <c r="J195" s="17" t="n">
        <f aca="false">D195/100*INDEX('Dish Database'!$O:$O,MATCH(C195,'Dish Database'!$A:$A,0))</f>
        <v>3</v>
      </c>
      <c r="K195" s="13" t="n">
        <f aca="false">D195/100*INDEX('Dish Database'!$P:$P,MATCH(C195,'Dish Database'!$A:$A,0))</f>
        <v>495</v>
      </c>
    </row>
    <row r="196" customFormat="false" ht="15" hidden="false" customHeight="false" outlineLevel="0" collapsed="false">
      <c r="B196" s="6" t="str">
        <f aca="false">INDEX('Dish Database'!$B:$B,MATCH(C196,'Dish Database'!$A:$A,0))</f>
        <v>Avial</v>
      </c>
      <c r="C196" s="16" t="s">
        <v>1201</v>
      </c>
      <c r="D196" s="16" t="n">
        <v>100</v>
      </c>
      <c r="E196" s="13" t="n">
        <f aca="false">D196/100*INDEX('Dish Database'!$J:$J,MATCH(C196,'Dish Database'!$A:$A,0))</f>
        <v>112.9</v>
      </c>
      <c r="F196" s="17" t="n">
        <f aca="false">D196/100*INDEX('Dish Database'!$K:$K,MATCH(C196,'Dish Database'!$A:$A,0))</f>
        <v>2.5</v>
      </c>
      <c r="G196" s="17" t="n">
        <f aca="false">D196/100*INDEX('Dish Database'!$L:$L,MATCH(C196,'Dish Database'!$A:$A,0))</f>
        <v>8</v>
      </c>
      <c r="H196" s="17" t="n">
        <f aca="false">D196/100*INDEX('Dish Database'!$M:$M,MATCH(C196,'Dish Database'!$A:$A,0))</f>
        <v>8.5</v>
      </c>
      <c r="I196" s="17" t="n">
        <f aca="false">D196/100*INDEX('Dish Database'!$N:$N,MATCH(C196,'Dish Database'!$A:$A,0))</f>
        <v>2.8</v>
      </c>
      <c r="J196" s="17" t="n">
        <f aca="false">D196/100*INDEX('Dish Database'!$O:$O,MATCH(C196,'Dish Database'!$A:$A,0))</f>
        <v>2.5</v>
      </c>
      <c r="K196" s="13" t="n">
        <f aca="false">D196/100*INDEX('Dish Database'!$P:$P,MATCH(C196,'Dish Database'!$A:$A,0))</f>
        <v>250</v>
      </c>
    </row>
    <row r="197" customFormat="false" ht="15" hidden="false" customHeight="false" outlineLevel="0" collapsed="false">
      <c r="B197" s="6" t="str">
        <f aca="false">INDEX('Dish Database'!$B:$B,MATCH(C197,'Dish Database'!$A:$A,0))</f>
        <v>Cabbage thoran</v>
      </c>
      <c r="C197" s="16" t="s">
        <v>1286</v>
      </c>
      <c r="D197" s="16" t="n">
        <v>100</v>
      </c>
      <c r="E197" s="13" t="n">
        <f aca="false">D197/100*INDEX('Dish Database'!$J:$J,MATCH(C197,'Dish Database'!$A:$A,0))</f>
        <v>105.9</v>
      </c>
      <c r="F197" s="17" t="n">
        <f aca="false">D197/100*INDEX('Dish Database'!$K:$K,MATCH(C197,'Dish Database'!$A:$A,0))</f>
        <v>2.2</v>
      </c>
      <c r="G197" s="17" t="n">
        <f aca="false">D197/100*INDEX('Dish Database'!$L:$L,MATCH(C197,'Dish Database'!$A:$A,0))</f>
        <v>9</v>
      </c>
      <c r="H197" s="17" t="n">
        <f aca="false">D197/100*INDEX('Dish Database'!$M:$M,MATCH(C197,'Dish Database'!$A:$A,0))</f>
        <v>7.5</v>
      </c>
      <c r="I197" s="17" t="n">
        <f aca="false">D197/100*INDEX('Dish Database'!$N:$N,MATCH(C197,'Dish Database'!$A:$A,0))</f>
        <v>3.2</v>
      </c>
      <c r="J197" s="17" t="n">
        <f aca="false">D197/100*INDEX('Dish Database'!$O:$O,MATCH(C197,'Dish Database'!$A:$A,0))</f>
        <v>3</v>
      </c>
      <c r="K197" s="13" t="n">
        <f aca="false">D197/100*INDEX('Dish Database'!$P:$P,MATCH(C197,'Dish Database'!$A:$A,0))</f>
        <v>250</v>
      </c>
    </row>
    <row r="198" customFormat="false" ht="15" hidden="false" customHeight="false" outlineLevel="0" collapsed="false">
      <c r="B198" s="6" t="str">
        <f aca="false">INDEX('Dish Database'!$B:$B,MATCH(C198,'Dish Database'!$A:$A,0))</f>
        <v>Olan</v>
      </c>
      <c r="C198" s="16" t="s">
        <v>1211</v>
      </c>
      <c r="D198" s="16" t="n">
        <v>100</v>
      </c>
      <c r="E198" s="13" t="n">
        <f aca="false">D198/100*INDEX('Dish Database'!$J:$J,MATCH(C198,'Dish Database'!$A:$A,0))</f>
        <v>70</v>
      </c>
      <c r="F198" s="17" t="n">
        <f aca="false">D198/100*INDEX('Dish Database'!$K:$K,MATCH(C198,'Dish Database'!$A:$A,0))</f>
        <v>1.5</v>
      </c>
      <c r="G198" s="17" t="n">
        <f aca="false">D198/100*INDEX('Dish Database'!$L:$L,MATCH(C198,'Dish Database'!$A:$A,0))</f>
        <v>5.5</v>
      </c>
      <c r="H198" s="17" t="n">
        <f aca="false">D198/100*INDEX('Dish Database'!$M:$M,MATCH(C198,'Dish Database'!$A:$A,0))</f>
        <v>5</v>
      </c>
      <c r="I198" s="17" t="n">
        <f aca="false">D198/100*INDEX('Dish Database'!$N:$N,MATCH(C198,'Dish Database'!$A:$A,0))</f>
        <v>1.5</v>
      </c>
      <c r="J198" s="17" t="n">
        <f aca="false">D198/100*INDEX('Dish Database'!$O:$O,MATCH(C198,'Dish Database'!$A:$A,0))</f>
        <v>2</v>
      </c>
      <c r="K198" s="13" t="n">
        <f aca="false">D198/100*INDEX('Dish Database'!$P:$P,MATCH(C198,'Dish Database'!$A:$A,0))</f>
        <v>250</v>
      </c>
    </row>
    <row r="199" customFormat="false" ht="15" hidden="false" customHeight="false" outlineLevel="0" collapsed="false">
      <c r="B199" s="6" t="str">
        <f aca="false">INDEX('Dish Database'!$B:$B,MATCH(C199,'Dish Database'!$A:$A,0))</f>
        <v>Pachadi (South curd pachadi)</v>
      </c>
      <c r="C199" s="16" t="s">
        <v>1875</v>
      </c>
      <c r="D199" s="16" t="n">
        <v>50</v>
      </c>
      <c r="E199" s="13" t="n">
        <f aca="false">D199/100*INDEX('Dish Database'!$J:$J,MATCH(C199,'Dish Database'!$A:$A,0))</f>
        <v>36.7</v>
      </c>
      <c r="F199" s="17" t="n">
        <f aca="false">D199/100*INDEX('Dish Database'!$K:$K,MATCH(C199,'Dish Database'!$A:$A,0))</f>
        <v>1.25</v>
      </c>
      <c r="G199" s="17" t="n">
        <f aca="false">D199/100*INDEX('Dish Database'!$L:$L,MATCH(C199,'Dish Database'!$A:$A,0))</f>
        <v>2.5</v>
      </c>
      <c r="H199" s="17" t="n">
        <f aca="false">D199/100*INDEX('Dish Database'!$M:$M,MATCH(C199,'Dish Database'!$A:$A,0))</f>
        <v>2.5</v>
      </c>
      <c r="I199" s="17" t="n">
        <f aca="false">D199/100*INDEX('Dish Database'!$N:$N,MATCH(C199,'Dish Database'!$A:$A,0))</f>
        <v>0.4</v>
      </c>
      <c r="J199" s="17" t="n">
        <f aca="false">D199/100*INDEX('Dish Database'!$O:$O,MATCH(C199,'Dish Database'!$A:$A,0))</f>
        <v>1.5</v>
      </c>
      <c r="K199" s="13" t="n">
        <f aca="false">D199/100*INDEX('Dish Database'!$P:$P,MATCH(C199,'Dish Database'!$A:$A,0))</f>
        <v>140</v>
      </c>
    </row>
    <row r="200" customFormat="false" ht="15" hidden="false" customHeight="false" outlineLevel="0" collapsed="false">
      <c r="B200" s="6" t="str">
        <f aca="false">INDEX('Dish Database'!$B:$B,MATCH(C200,'Dish Database'!$A:$A,0))</f>
        <v>Banana chips (Kerala)</v>
      </c>
      <c r="C200" s="16" t="s">
        <v>1974</v>
      </c>
      <c r="D200" s="16" t="n">
        <v>15</v>
      </c>
      <c r="E200" s="13" t="n">
        <f aca="false">D200/100*INDEX('Dish Database'!$J:$J,MATCH(C200,'Dish Database'!$A:$A,0))</f>
        <v>79.77</v>
      </c>
      <c r="F200" s="17" t="n">
        <f aca="false">D200/100*INDEX('Dish Database'!$K:$K,MATCH(C200,'Dish Database'!$A:$A,0))</f>
        <v>0.345</v>
      </c>
      <c r="G200" s="17" t="n">
        <f aca="false">D200/100*INDEX('Dish Database'!$L:$L,MATCH(C200,'Dish Database'!$A:$A,0))</f>
        <v>8.7</v>
      </c>
      <c r="H200" s="17" t="n">
        <f aca="false">D200/100*INDEX('Dish Database'!$M:$M,MATCH(C200,'Dish Database'!$A:$A,0))</f>
        <v>5.1</v>
      </c>
      <c r="I200" s="17" t="n">
        <f aca="false">D200/100*INDEX('Dish Database'!$N:$N,MATCH(C200,'Dish Database'!$A:$A,0))</f>
        <v>1.155</v>
      </c>
      <c r="J200" s="17" t="n">
        <f aca="false">D200/100*INDEX('Dish Database'!$O:$O,MATCH(C200,'Dish Database'!$A:$A,0))</f>
        <v>0.525</v>
      </c>
      <c r="K200" s="13" t="n">
        <f aca="false">D200/100*INDEX('Dish Database'!$P:$P,MATCH(C200,'Dish Database'!$A:$A,0))</f>
        <v>45</v>
      </c>
    </row>
    <row r="201" customFormat="false" ht="15" hidden="false" customHeight="false" outlineLevel="0" collapsed="false">
      <c r="B201" s="6" t="str">
        <f aca="false">INDEX('Dish Database'!$B:$B,MATCH(C201,'Dish Database'!$A:$A,0))</f>
        <v>Papad (fried)</v>
      </c>
      <c r="C201" s="16" t="s">
        <v>1945</v>
      </c>
      <c r="D201" s="16" t="n">
        <v>15</v>
      </c>
      <c r="E201" s="13" t="n">
        <f aca="false">D201/100*INDEX('Dish Database'!$J:$J,MATCH(C201,'Dish Database'!$A:$A,0))</f>
        <v>69.45</v>
      </c>
      <c r="F201" s="17" t="n">
        <f aca="false">D201/100*INDEX('Dish Database'!$K:$K,MATCH(C201,'Dish Database'!$A:$A,0))</f>
        <v>2.7</v>
      </c>
      <c r="G201" s="17" t="n">
        <f aca="false">D201/100*INDEX('Dish Database'!$L:$L,MATCH(C201,'Dish Database'!$A:$A,0))</f>
        <v>6.75</v>
      </c>
      <c r="H201" s="17" t="n">
        <f aca="false">D201/100*INDEX('Dish Database'!$M:$M,MATCH(C201,'Dish Database'!$A:$A,0))</f>
        <v>3.75</v>
      </c>
      <c r="I201" s="17" t="n">
        <f aca="false">D201/100*INDEX('Dish Database'!$N:$N,MATCH(C201,'Dish Database'!$A:$A,0))</f>
        <v>1.05</v>
      </c>
      <c r="J201" s="17" t="n">
        <f aca="false">D201/100*INDEX('Dish Database'!$O:$O,MATCH(C201,'Dish Database'!$A:$A,0))</f>
        <v>0.15</v>
      </c>
      <c r="K201" s="13" t="n">
        <f aca="false">D201/100*INDEX('Dish Database'!$P:$P,MATCH(C201,'Dish Database'!$A:$A,0))</f>
        <v>210</v>
      </c>
    </row>
    <row r="202" customFormat="false" ht="15" hidden="false" customHeight="false" outlineLevel="0" collapsed="false">
      <c r="B202" s="6" t="str">
        <f aca="false">INDEX('Dish Database'!$B:$B,MATCH(C202,'Dish Database'!$A:$A,0))</f>
        <v>Ada pradhaman</v>
      </c>
      <c r="C202" s="16" t="s">
        <v>2171</v>
      </c>
      <c r="D202" s="16" t="n">
        <v>100</v>
      </c>
      <c r="E202" s="13" t="n">
        <f aca="false">D202/100*INDEX('Dish Database'!$J:$J,MATCH(C202,'Dish Database'!$A:$A,0))</f>
        <v>196.6</v>
      </c>
      <c r="F202" s="17" t="n">
        <f aca="false">D202/100*INDEX('Dish Database'!$K:$K,MATCH(C202,'Dish Database'!$A:$A,0))</f>
        <v>1.8</v>
      </c>
      <c r="G202" s="17" t="n">
        <f aca="false">D202/100*INDEX('Dish Database'!$L:$L,MATCH(C202,'Dish Database'!$A:$A,0))</f>
        <v>32</v>
      </c>
      <c r="H202" s="17" t="n">
        <f aca="false">D202/100*INDEX('Dish Database'!$M:$M,MATCH(C202,'Dish Database'!$A:$A,0))</f>
        <v>7</v>
      </c>
      <c r="I202" s="17" t="n">
        <f aca="false">D202/100*INDEX('Dish Database'!$N:$N,MATCH(C202,'Dish Database'!$A:$A,0))</f>
        <v>0.8</v>
      </c>
      <c r="J202" s="17" t="n">
        <f aca="false">D202/100*INDEX('Dish Database'!$O:$O,MATCH(C202,'Dish Database'!$A:$A,0))</f>
        <v>25</v>
      </c>
      <c r="K202" s="13" t="n">
        <f aca="false">D202/100*INDEX('Dish Database'!$P:$P,MATCH(C202,'Dish Database'!$A:$A,0))</f>
        <v>20</v>
      </c>
    </row>
    <row r="203" customFormat="false" ht="15" hidden="false" customHeight="false" outlineLevel="0" collapsed="false">
      <c r="B203" s="6" t="str">
        <f aca="false">INDEX('Dish Database'!$B:$B,MATCH(C203,'Dish Database'!$A:$A,0))</f>
        <v>Mango pickle (in oil)</v>
      </c>
      <c r="C203" s="16" t="s">
        <v>1933</v>
      </c>
      <c r="D203" s="16" t="n">
        <v>5</v>
      </c>
      <c r="E203" s="13" t="n">
        <f aca="false">D203/100*INDEX('Dish Database'!$J:$J,MATCH(C203,'Dish Database'!$A:$A,0))</f>
        <v>8.3</v>
      </c>
      <c r="F203" s="17" t="n">
        <f aca="false">D203/100*INDEX('Dish Database'!$K:$K,MATCH(C203,'Dish Database'!$A:$A,0))</f>
        <v>0.05</v>
      </c>
      <c r="G203" s="17" t="n">
        <f aca="false">D203/100*INDEX('Dish Database'!$L:$L,MATCH(C203,'Dish Database'!$A:$A,0))</f>
        <v>0.4</v>
      </c>
      <c r="H203" s="17" t="n">
        <f aca="false">D203/100*INDEX('Dish Database'!$M:$M,MATCH(C203,'Dish Database'!$A:$A,0))</f>
        <v>0.75</v>
      </c>
      <c r="I203" s="17" t="n">
        <f aca="false">D203/100*INDEX('Dish Database'!$N:$N,MATCH(C203,'Dish Database'!$A:$A,0))</f>
        <v>0.125</v>
      </c>
      <c r="J203" s="17" t="n">
        <f aca="false">D203/100*INDEX('Dish Database'!$O:$O,MATCH(C203,'Dish Database'!$A:$A,0))</f>
        <v>0.075</v>
      </c>
      <c r="K203" s="13" t="n">
        <f aca="false">D203/100*INDEX('Dish Database'!$P:$P,MATCH(C203,'Dish Database'!$A:$A,0))</f>
        <v>130</v>
      </c>
    </row>
    <row r="204" customFormat="false" ht="15" hidden="false" customHeight="false" outlineLevel="0" collapsed="false">
      <c r="A204" s="20"/>
      <c r="B204" s="21" t="s">
        <v>2714</v>
      </c>
      <c r="C204" s="20"/>
      <c r="D204" s="22" t="n">
        <f aca="false">SUM(D194:D203)</f>
        <v>885</v>
      </c>
      <c r="E204" s="22" t="n">
        <f aca="false">SUM(E194:E203)</f>
        <v>1107.37</v>
      </c>
      <c r="F204" s="23" t="n">
        <f aca="false">SUM(F194:F203)</f>
        <v>24.345</v>
      </c>
      <c r="G204" s="23" t="n">
        <f aca="false">SUM(G194:G203)</f>
        <v>159.1</v>
      </c>
      <c r="H204" s="23" t="n">
        <f aca="false">SUM(H194:H203)</f>
        <v>45.05</v>
      </c>
      <c r="I204" s="23" t="n">
        <f aca="false">SUM(I194:I203)</f>
        <v>15.93</v>
      </c>
      <c r="J204" s="23" t="n">
        <f aca="false">SUM(J194:J203)</f>
        <v>38</v>
      </c>
      <c r="K204" s="22" t="n">
        <f aca="false">SUM(K194:K203)</f>
        <v>1792.5</v>
      </c>
    </row>
    <row r="206" customFormat="false" ht="15" hidden="false" customHeight="false" outlineLevel="0" collapsed="false">
      <c r="A206" s="18" t="s">
        <v>2745</v>
      </c>
      <c r="B206" s="19"/>
      <c r="C206" s="19"/>
      <c r="D206" s="19"/>
      <c r="E206" s="19"/>
      <c r="F206" s="19"/>
      <c r="G206" s="19"/>
      <c r="H206" s="19"/>
      <c r="I206" s="19"/>
      <c r="J206" s="19"/>
      <c r="K206" s="19"/>
    </row>
    <row r="207" customFormat="false" ht="15" hidden="false" customHeight="false" outlineLevel="0" collapsed="false">
      <c r="B207" s="6" t="str">
        <f aca="false">INDEX('Dish Database'!$B:$B,MATCH(C207,'Dish Database'!$A:$A,0))</f>
        <v>Chapati with ghee</v>
      </c>
      <c r="C207" s="16" t="s">
        <v>780</v>
      </c>
      <c r="D207" s="16" t="n">
        <v>120</v>
      </c>
      <c r="E207" s="13" t="n">
        <f aca="false">D207/100*INDEX('Dish Database'!$J:$J,MATCH(C207,'Dish Database'!$A:$A,0))</f>
        <v>344.16</v>
      </c>
      <c r="F207" s="17" t="n">
        <f aca="false">D207/100*INDEX('Dish Database'!$K:$K,MATCH(C207,'Dish Database'!$A:$A,0))</f>
        <v>9.6</v>
      </c>
      <c r="G207" s="17" t="n">
        <f aca="false">D207/100*INDEX('Dish Database'!$L:$L,MATCH(C207,'Dish Database'!$A:$A,0))</f>
        <v>58.8</v>
      </c>
      <c r="H207" s="17" t="n">
        <f aca="false">D207/100*INDEX('Dish Database'!$M:$M,MATCH(C207,'Dish Database'!$A:$A,0))</f>
        <v>9.6</v>
      </c>
      <c r="I207" s="17" t="n">
        <f aca="false">D207/100*INDEX('Dish Database'!$N:$N,MATCH(C207,'Dish Database'!$A:$A,0))</f>
        <v>7.92</v>
      </c>
      <c r="J207" s="17" t="n">
        <f aca="false">D207/100*INDEX('Dish Database'!$O:$O,MATCH(C207,'Dish Database'!$A:$A,0))</f>
        <v>1.68</v>
      </c>
      <c r="K207" s="13" t="n">
        <f aca="false">D207/100*INDEX('Dish Database'!$P:$P,MATCH(C207,'Dish Database'!$A:$A,0))</f>
        <v>6</v>
      </c>
    </row>
    <row r="208" customFormat="false" ht="15" hidden="false" customHeight="false" outlineLevel="0" collapsed="false">
      <c r="B208" s="6" t="str">
        <f aca="false">INDEX('Dish Database'!$B:$B,MATCH(C208,'Dish Database'!$A:$A,0))</f>
        <v>Gujarati dal (sweet-sour)</v>
      </c>
      <c r="C208" s="16" t="s">
        <v>1044</v>
      </c>
      <c r="D208" s="16" t="n">
        <v>150</v>
      </c>
      <c r="E208" s="13" t="n">
        <f aca="false">D208/100*INDEX('Dish Database'!$J:$J,MATCH(C208,'Dish Database'!$A:$A,0))</f>
        <v>134.25</v>
      </c>
      <c r="F208" s="17" t="n">
        <f aca="false">D208/100*INDEX('Dish Database'!$K:$K,MATCH(C208,'Dish Database'!$A:$A,0))</f>
        <v>6</v>
      </c>
      <c r="G208" s="17" t="n">
        <f aca="false">D208/100*INDEX('Dish Database'!$L:$L,MATCH(C208,'Dish Database'!$A:$A,0))</f>
        <v>21</v>
      </c>
      <c r="H208" s="17" t="n">
        <f aca="false">D208/100*INDEX('Dish Database'!$M:$M,MATCH(C208,'Dish Database'!$A:$A,0))</f>
        <v>3.75</v>
      </c>
      <c r="I208" s="17" t="n">
        <f aca="false">D208/100*INDEX('Dish Database'!$N:$N,MATCH(C208,'Dish Database'!$A:$A,0))</f>
        <v>3.75</v>
      </c>
      <c r="J208" s="17" t="n">
        <f aca="false">D208/100*INDEX('Dish Database'!$O:$O,MATCH(C208,'Dish Database'!$A:$A,0))</f>
        <v>6</v>
      </c>
      <c r="K208" s="13" t="n">
        <f aca="false">D208/100*INDEX('Dish Database'!$P:$P,MATCH(C208,'Dish Database'!$A:$A,0))</f>
        <v>495</v>
      </c>
    </row>
    <row r="209" customFormat="false" ht="15" hidden="false" customHeight="false" outlineLevel="0" collapsed="false">
      <c r="B209" s="6" t="str">
        <f aca="false">INDEX('Dish Database'!$B:$B,MATCH(C209,'Dish Database'!$A:$A,0))</f>
        <v>Gujarati kadhi</v>
      </c>
      <c r="C209" s="16" t="s">
        <v>1041</v>
      </c>
      <c r="D209" s="16" t="n">
        <v>150</v>
      </c>
      <c r="E209" s="13" t="n">
        <f aca="false">D209/100*INDEX('Dish Database'!$J:$J,MATCH(C209,'Dish Database'!$A:$A,0))</f>
        <v>86.25</v>
      </c>
      <c r="F209" s="17" t="n">
        <f aca="false">D209/100*INDEX('Dish Database'!$K:$K,MATCH(C209,'Dish Database'!$A:$A,0))</f>
        <v>3</v>
      </c>
      <c r="G209" s="17" t="n">
        <f aca="false">D209/100*INDEX('Dish Database'!$L:$L,MATCH(C209,'Dish Database'!$A:$A,0))</f>
        <v>10.5</v>
      </c>
      <c r="H209" s="17" t="n">
        <f aca="false">D209/100*INDEX('Dish Database'!$M:$M,MATCH(C209,'Dish Database'!$A:$A,0))</f>
        <v>3.75</v>
      </c>
      <c r="I209" s="17" t="n">
        <f aca="false">D209/100*INDEX('Dish Database'!$N:$N,MATCH(C209,'Dish Database'!$A:$A,0))</f>
        <v>0.75</v>
      </c>
      <c r="J209" s="17" t="n">
        <f aca="false">D209/100*INDEX('Dish Database'!$O:$O,MATCH(C209,'Dish Database'!$A:$A,0))</f>
        <v>6</v>
      </c>
      <c r="K209" s="13" t="n">
        <f aca="false">D209/100*INDEX('Dish Database'!$P:$P,MATCH(C209,'Dish Database'!$A:$A,0))</f>
        <v>525</v>
      </c>
    </row>
    <row r="210" customFormat="false" ht="15" hidden="false" customHeight="false" outlineLevel="0" collapsed="false">
      <c r="B210" s="6" t="str">
        <f aca="false">INDEX('Dish Database'!$B:$B,MATCH(C210,'Dish Database'!$A:$A,0))</f>
        <v>Undhiyu</v>
      </c>
      <c r="C210" s="16" t="s">
        <v>1182</v>
      </c>
      <c r="D210" s="16" t="n">
        <v>100</v>
      </c>
      <c r="E210" s="13" t="n">
        <f aca="false">D210/100*INDEX('Dish Database'!$J:$J,MATCH(C210,'Dish Database'!$A:$A,0))</f>
        <v>170</v>
      </c>
      <c r="F210" s="17" t="n">
        <f aca="false">D210/100*INDEX('Dish Database'!$K:$K,MATCH(C210,'Dish Database'!$A:$A,0))</f>
        <v>4</v>
      </c>
      <c r="G210" s="17" t="n">
        <f aca="false">D210/100*INDEX('Dish Database'!$L:$L,MATCH(C210,'Dish Database'!$A:$A,0))</f>
        <v>16</v>
      </c>
      <c r="H210" s="17" t="n">
        <f aca="false">D210/100*INDEX('Dish Database'!$M:$M,MATCH(C210,'Dish Database'!$A:$A,0))</f>
        <v>11</v>
      </c>
      <c r="I210" s="17" t="n">
        <f aca="false">D210/100*INDEX('Dish Database'!$N:$N,MATCH(C210,'Dish Database'!$A:$A,0))</f>
        <v>4.5</v>
      </c>
      <c r="J210" s="17" t="n">
        <f aca="false">D210/100*INDEX('Dish Database'!$O:$O,MATCH(C210,'Dish Database'!$A:$A,0))</f>
        <v>3</v>
      </c>
      <c r="K210" s="13" t="n">
        <f aca="false">D210/100*INDEX('Dish Database'!$P:$P,MATCH(C210,'Dish Database'!$A:$A,0))</f>
        <v>380</v>
      </c>
    </row>
    <row r="211" customFormat="false" ht="15" hidden="false" customHeight="false" outlineLevel="0" collapsed="false">
      <c r="B211" s="6" t="str">
        <f aca="false">INDEX('Dish Database'!$B:$B,MATCH(C211,'Dish Database'!$A:$A,0))</f>
        <v>Steamed white rice</v>
      </c>
      <c r="C211" s="16" t="s">
        <v>853</v>
      </c>
      <c r="D211" s="16" t="n">
        <v>150</v>
      </c>
      <c r="E211" s="13" t="n">
        <f aca="false">D211/100*INDEX('Dish Database'!$J:$J,MATCH(C211,'Dish Database'!$A:$A,0))</f>
        <v>188.25</v>
      </c>
      <c r="F211" s="17" t="n">
        <f aca="false">D211/100*INDEX('Dish Database'!$K:$K,MATCH(C211,'Dish Database'!$A:$A,0))</f>
        <v>4.05</v>
      </c>
      <c r="G211" s="17" t="n">
        <f aca="false">D211/100*INDEX('Dish Database'!$L:$L,MATCH(C211,'Dish Database'!$A:$A,0))</f>
        <v>42.3</v>
      </c>
      <c r="H211" s="17" t="n">
        <f aca="false">D211/100*INDEX('Dish Database'!$M:$M,MATCH(C211,'Dish Database'!$A:$A,0))</f>
        <v>0.45</v>
      </c>
      <c r="I211" s="17" t="n">
        <f aca="false">D211/100*INDEX('Dish Database'!$N:$N,MATCH(C211,'Dish Database'!$A:$A,0))</f>
        <v>0.6</v>
      </c>
      <c r="J211" s="17" t="n">
        <f aca="false">D211/100*INDEX('Dish Database'!$O:$O,MATCH(C211,'Dish Database'!$A:$A,0))</f>
        <v>0.15</v>
      </c>
      <c r="K211" s="13" t="n">
        <f aca="false">D211/100*INDEX('Dish Database'!$P:$P,MATCH(C211,'Dish Database'!$A:$A,0))</f>
        <v>1.5</v>
      </c>
    </row>
    <row r="212" customFormat="false" ht="15" hidden="false" customHeight="false" outlineLevel="0" collapsed="false">
      <c r="B212" s="6" t="str">
        <f aca="false">INDEX('Dish Database'!$B:$B,MATCH(C212,'Dish Database'!$A:$A,0))</f>
        <v>Dhokla (khaman)</v>
      </c>
      <c r="C212" s="16" t="s">
        <v>612</v>
      </c>
      <c r="D212" s="16" t="n">
        <v>80</v>
      </c>
      <c r="E212" s="13" t="n">
        <f aca="false">D212/100*INDEX('Dish Database'!$J:$J,MATCH(C212,'Dish Database'!$A:$A,0))</f>
        <v>122.8</v>
      </c>
      <c r="F212" s="17" t="n">
        <f aca="false">D212/100*INDEX('Dish Database'!$K:$K,MATCH(C212,'Dish Database'!$A:$A,0))</f>
        <v>4.8</v>
      </c>
      <c r="G212" s="17" t="n">
        <f aca="false">D212/100*INDEX('Dish Database'!$L:$L,MATCH(C212,'Dish Database'!$A:$A,0))</f>
        <v>18.4</v>
      </c>
      <c r="H212" s="17" t="n">
        <f aca="false">D212/100*INDEX('Dish Database'!$M:$M,MATCH(C212,'Dish Database'!$A:$A,0))</f>
        <v>3.6</v>
      </c>
      <c r="I212" s="17" t="n">
        <f aca="false">D212/100*INDEX('Dish Database'!$N:$N,MATCH(C212,'Dish Database'!$A:$A,0))</f>
        <v>1.2</v>
      </c>
      <c r="J212" s="17" t="n">
        <f aca="false">D212/100*INDEX('Dish Database'!$O:$O,MATCH(C212,'Dish Database'!$A:$A,0))</f>
        <v>4.8</v>
      </c>
      <c r="K212" s="13" t="n">
        <f aca="false">D212/100*INDEX('Dish Database'!$P:$P,MATCH(C212,'Dish Database'!$A:$A,0))</f>
        <v>400</v>
      </c>
    </row>
    <row r="213" customFormat="false" ht="15" hidden="false" customHeight="false" outlineLevel="0" collapsed="false">
      <c r="B213" s="6" t="str">
        <f aca="false">INDEX('Dish Database'!$B:$B,MATCH(C213,'Dish Database'!$A:$A,0))</f>
        <v>Shrikhand</v>
      </c>
      <c r="C213" s="16" t="s">
        <v>2187</v>
      </c>
      <c r="D213" s="16" t="n">
        <v>100</v>
      </c>
      <c r="E213" s="13" t="n">
        <f aca="false">D213/100*INDEX('Dish Database'!$J:$J,MATCH(C213,'Dish Database'!$A:$A,0))</f>
        <v>252.5</v>
      </c>
      <c r="F213" s="17" t="n">
        <f aca="false">D213/100*INDEX('Dish Database'!$K:$K,MATCH(C213,'Dish Database'!$A:$A,0))</f>
        <v>6</v>
      </c>
      <c r="G213" s="17" t="n">
        <f aca="false">D213/100*INDEX('Dish Database'!$L:$L,MATCH(C213,'Dish Database'!$A:$A,0))</f>
        <v>38</v>
      </c>
      <c r="H213" s="17" t="n">
        <f aca="false">D213/100*INDEX('Dish Database'!$M:$M,MATCH(C213,'Dish Database'!$A:$A,0))</f>
        <v>8.5</v>
      </c>
      <c r="I213" s="17" t="n">
        <f aca="false">D213/100*INDEX('Dish Database'!$N:$N,MATCH(C213,'Dish Database'!$A:$A,0))</f>
        <v>0</v>
      </c>
      <c r="J213" s="17" t="n">
        <f aca="false">D213/100*INDEX('Dish Database'!$O:$O,MATCH(C213,'Dish Database'!$A:$A,0))</f>
        <v>36</v>
      </c>
      <c r="K213" s="13" t="n">
        <f aca="false">D213/100*INDEX('Dish Database'!$P:$P,MATCH(C213,'Dish Database'!$A:$A,0))</f>
        <v>40</v>
      </c>
    </row>
    <row r="214" customFormat="false" ht="15" hidden="false" customHeight="false" outlineLevel="0" collapsed="false">
      <c r="B214" s="6" t="str">
        <f aca="false">INDEX('Dish Database'!$B:$B,MATCH(C214,'Dish Database'!$A:$A,0))</f>
        <v>Papad (roasted)</v>
      </c>
      <c r="C214" s="16" t="s">
        <v>1942</v>
      </c>
      <c r="D214" s="16" t="n">
        <v>12</v>
      </c>
      <c r="E214" s="13" t="n">
        <f aca="false">D214/100*INDEX('Dish Database'!$J:$J,MATCH(C214,'Dish Database'!$A:$A,0))</f>
        <v>38.256</v>
      </c>
      <c r="F214" s="17" t="n">
        <f aca="false">D214/100*INDEX('Dish Database'!$K:$K,MATCH(C214,'Dish Database'!$A:$A,0))</f>
        <v>2.64</v>
      </c>
      <c r="G214" s="17" t="n">
        <f aca="false">D214/100*INDEX('Dish Database'!$L:$L,MATCH(C214,'Dish Database'!$A:$A,0))</f>
        <v>6.6</v>
      </c>
      <c r="H214" s="17" t="n">
        <f aca="false">D214/100*INDEX('Dish Database'!$M:$M,MATCH(C214,'Dish Database'!$A:$A,0))</f>
        <v>0.384</v>
      </c>
      <c r="I214" s="17" t="n">
        <f aca="false">D214/100*INDEX('Dish Database'!$N:$N,MATCH(C214,'Dish Database'!$A:$A,0))</f>
        <v>1.08</v>
      </c>
      <c r="J214" s="17" t="n">
        <f aca="false">D214/100*INDEX('Dish Database'!$O:$O,MATCH(C214,'Dish Database'!$A:$A,0))</f>
        <v>0.12</v>
      </c>
      <c r="K214" s="13" t="n">
        <f aca="false">D214/100*INDEX('Dish Database'!$P:$P,MATCH(C214,'Dish Database'!$A:$A,0))</f>
        <v>204</v>
      </c>
    </row>
    <row r="215" customFormat="false" ht="15" hidden="false" customHeight="false" outlineLevel="0" collapsed="false">
      <c r="B215" s="6" t="str">
        <f aca="false">INDEX('Dish Database'!$B:$B,MATCH(C215,'Dish Database'!$A:$A,0))</f>
        <v>Masala chaas</v>
      </c>
      <c r="C215" s="16" t="s">
        <v>393</v>
      </c>
      <c r="D215" s="16" t="n">
        <v>250</v>
      </c>
      <c r="E215" s="13" t="n">
        <f aca="false">D215/100*INDEX('Dish Database'!$J:$J,MATCH(C215,'Dish Database'!$A:$A,0))</f>
        <v>42.5</v>
      </c>
      <c r="F215" s="17" t="n">
        <f aca="false">D215/100*INDEX('Dish Database'!$K:$K,MATCH(C215,'Dish Database'!$A:$A,0))</f>
        <v>2.25</v>
      </c>
      <c r="G215" s="17" t="n">
        <f aca="false">D215/100*INDEX('Dish Database'!$L:$L,MATCH(C215,'Dish Database'!$A:$A,0))</f>
        <v>4</v>
      </c>
      <c r="H215" s="17" t="n">
        <f aca="false">D215/100*INDEX('Dish Database'!$M:$M,MATCH(C215,'Dish Database'!$A:$A,0))</f>
        <v>2</v>
      </c>
      <c r="I215" s="17" t="n">
        <f aca="false">D215/100*INDEX('Dish Database'!$N:$N,MATCH(C215,'Dish Database'!$A:$A,0))</f>
        <v>0.25</v>
      </c>
      <c r="J215" s="17" t="n">
        <f aca="false">D215/100*INDEX('Dish Database'!$O:$O,MATCH(C215,'Dish Database'!$A:$A,0))</f>
        <v>3</v>
      </c>
      <c r="K215" s="13" t="n">
        <f aca="false">D215/100*INDEX('Dish Database'!$P:$P,MATCH(C215,'Dish Database'!$A:$A,0))</f>
        <v>625</v>
      </c>
    </row>
    <row r="216" customFormat="false" ht="15" hidden="false" customHeight="false" outlineLevel="0" collapsed="false">
      <c r="A216" s="20"/>
      <c r="B216" s="21" t="s">
        <v>2714</v>
      </c>
      <c r="C216" s="20"/>
      <c r="D216" s="22" t="n">
        <f aca="false">SUM(D207:D215)</f>
        <v>1112</v>
      </c>
      <c r="E216" s="22" t="n">
        <f aca="false">SUM(E207:E215)</f>
        <v>1378.966</v>
      </c>
      <c r="F216" s="23" t="n">
        <f aca="false">SUM(F207:F215)</f>
        <v>42.34</v>
      </c>
      <c r="G216" s="23" t="n">
        <f aca="false">SUM(G207:G215)</f>
        <v>215.6</v>
      </c>
      <c r="H216" s="23" t="n">
        <f aca="false">SUM(H207:H215)</f>
        <v>43.034</v>
      </c>
      <c r="I216" s="23" t="n">
        <f aca="false">SUM(I207:I215)</f>
        <v>20.05</v>
      </c>
      <c r="J216" s="23" t="n">
        <f aca="false">SUM(J207:J215)</f>
        <v>60.75</v>
      </c>
      <c r="K216" s="22" t="n">
        <f aca="false">SUM(K207:K215)</f>
        <v>2676.5</v>
      </c>
    </row>
    <row r="218" customFormat="false" ht="15" hidden="false" customHeight="false" outlineLevel="0" collapsed="false">
      <c r="A218" s="24" t="s">
        <v>2746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5" min="4" style="0" width="32"/>
    <col collapsed="false" customWidth="true" hidden="false" outlineLevel="0" max="7" min="6" style="0" width="30"/>
  </cols>
  <sheetData>
    <row r="1" customFormat="false" ht="36" hidden="false" customHeight="true" outlineLevel="0" collapsed="false">
      <c r="A1" s="8" t="s">
        <v>2747</v>
      </c>
      <c r="B1" s="8" t="s">
        <v>2748</v>
      </c>
      <c r="C1" s="8" t="s">
        <v>2243</v>
      </c>
      <c r="D1" s="8" t="s">
        <v>103</v>
      </c>
      <c r="E1" s="8" t="s">
        <v>2246</v>
      </c>
      <c r="F1" s="8" t="s">
        <v>2749</v>
      </c>
      <c r="G1" s="8" t="s">
        <v>2750</v>
      </c>
    </row>
    <row r="2" customFormat="false" ht="15" hidden="false" customHeight="false" outlineLevel="0" collapsed="false">
      <c r="A2" s="4" t="s">
        <v>2751</v>
      </c>
      <c r="B2" s="6" t="s">
        <v>2752</v>
      </c>
      <c r="C2" s="6" t="s">
        <v>2753</v>
      </c>
      <c r="D2" s="6" t="s">
        <v>2754</v>
      </c>
      <c r="E2" s="6" t="s">
        <v>2755</v>
      </c>
      <c r="F2" s="6" t="s">
        <v>2756</v>
      </c>
      <c r="G2" s="6" t="s">
        <v>2757</v>
      </c>
    </row>
    <row r="3" customFormat="false" ht="15" hidden="false" customHeight="false" outlineLevel="0" collapsed="false">
      <c r="A3" s="4" t="s">
        <v>2758</v>
      </c>
      <c r="B3" s="6" t="s">
        <v>2759</v>
      </c>
      <c r="C3" s="6" t="s">
        <v>2760</v>
      </c>
      <c r="D3" s="6" t="s">
        <v>2761</v>
      </c>
      <c r="E3" s="6" t="s">
        <v>2762</v>
      </c>
      <c r="F3" s="6" t="s">
        <v>2763</v>
      </c>
      <c r="G3" s="6" t="s">
        <v>2764</v>
      </c>
    </row>
    <row r="4" customFormat="false" ht="15" hidden="false" customHeight="false" outlineLevel="0" collapsed="false">
      <c r="A4" s="4" t="s">
        <v>2765</v>
      </c>
      <c r="B4" s="6" t="s">
        <v>2766</v>
      </c>
      <c r="C4" s="6" t="s">
        <v>2767</v>
      </c>
      <c r="D4" s="6" t="s">
        <v>2768</v>
      </c>
      <c r="E4" s="6" t="s">
        <v>2769</v>
      </c>
      <c r="F4" s="6" t="s">
        <v>2770</v>
      </c>
      <c r="G4" s="6" t="s">
        <v>2771</v>
      </c>
    </row>
    <row r="5" customFormat="false" ht="15" hidden="false" customHeight="false" outlineLevel="0" collapsed="false">
      <c r="A5" s="4" t="s">
        <v>2772</v>
      </c>
      <c r="B5" s="6" t="s">
        <v>2773</v>
      </c>
      <c r="C5" s="6" t="s">
        <v>2774</v>
      </c>
      <c r="D5" s="6" t="s">
        <v>2775</v>
      </c>
      <c r="E5" s="6" t="s">
        <v>2776</v>
      </c>
      <c r="F5" s="6" t="s">
        <v>2777</v>
      </c>
      <c r="G5" s="6" t="s">
        <v>2778</v>
      </c>
    </row>
    <row r="6" customFormat="false" ht="15" hidden="false" customHeight="false" outlineLevel="0" collapsed="false">
      <c r="A6" s="4" t="s">
        <v>2779</v>
      </c>
      <c r="B6" s="6" t="s">
        <v>2780</v>
      </c>
      <c r="C6" s="6" t="s">
        <v>2781</v>
      </c>
      <c r="D6" s="6" t="s">
        <v>2782</v>
      </c>
      <c r="E6" s="6" t="s">
        <v>2783</v>
      </c>
      <c r="F6" s="6" t="s">
        <v>2784</v>
      </c>
      <c r="G6" s="6" t="s">
        <v>2785</v>
      </c>
    </row>
    <row r="7" customFormat="false" ht="15" hidden="false" customHeight="false" outlineLevel="0" collapsed="false">
      <c r="A7" s="4" t="s">
        <v>2786</v>
      </c>
      <c r="B7" s="6" t="s">
        <v>2787</v>
      </c>
      <c r="C7" s="6" t="s">
        <v>2774</v>
      </c>
      <c r="D7" s="6" t="s">
        <v>2788</v>
      </c>
      <c r="E7" s="6" t="s">
        <v>2776</v>
      </c>
      <c r="F7" s="6" t="s">
        <v>2770</v>
      </c>
      <c r="G7" s="6" t="s">
        <v>2771</v>
      </c>
    </row>
    <row r="8" customFormat="false" ht="15" hidden="false" customHeight="false" outlineLevel="0" collapsed="false">
      <c r="A8" s="4" t="s">
        <v>2789</v>
      </c>
      <c r="B8" s="6" t="s">
        <v>2790</v>
      </c>
      <c r="C8" s="6" t="s">
        <v>2791</v>
      </c>
      <c r="D8" s="6" t="s">
        <v>2792</v>
      </c>
      <c r="E8" s="6" t="s">
        <v>2793</v>
      </c>
    </row>
    <row r="9" customFormat="false" ht="15" hidden="false" customHeight="false" outlineLevel="0" collapsed="false">
      <c r="A9" s="4" t="s">
        <v>2794</v>
      </c>
      <c r="B9" s="6" t="s">
        <v>2795</v>
      </c>
      <c r="C9" s="6" t="s">
        <v>2796</v>
      </c>
      <c r="D9" s="6" t="s">
        <v>2797</v>
      </c>
      <c r="E9" s="6" t="s">
        <v>2798</v>
      </c>
      <c r="F9" s="6" t="s">
        <v>2799</v>
      </c>
      <c r="G9" s="6" t="s">
        <v>2800</v>
      </c>
    </row>
    <row r="10" customFormat="false" ht="15" hidden="false" customHeight="false" outlineLevel="0" collapsed="false">
      <c r="A10" s="4" t="s">
        <v>2801</v>
      </c>
      <c r="B10" s="6" t="s">
        <v>2802</v>
      </c>
      <c r="C10" s="6" t="s">
        <v>2791</v>
      </c>
      <c r="D10" s="6" t="s">
        <v>2803</v>
      </c>
      <c r="E10" s="6" t="s">
        <v>2804</v>
      </c>
    </row>
    <row r="11" customFormat="false" ht="15" hidden="false" customHeight="false" outlineLevel="0" collapsed="false">
      <c r="A11" s="4" t="s">
        <v>2805</v>
      </c>
      <c r="B11" s="6" t="s">
        <v>2806</v>
      </c>
      <c r="C11" s="6" t="s">
        <v>2807</v>
      </c>
      <c r="D11" s="6" t="s">
        <v>2808</v>
      </c>
      <c r="E11" s="6" t="s">
        <v>2809</v>
      </c>
    </row>
    <row r="12" customFormat="false" ht="15" hidden="false" customHeight="false" outlineLevel="0" collapsed="false">
      <c r="A12" s="4" t="s">
        <v>2810</v>
      </c>
      <c r="B12" s="6" t="s">
        <v>2811</v>
      </c>
      <c r="C12" s="6" t="s">
        <v>2812</v>
      </c>
      <c r="D12" s="6" t="s">
        <v>2813</v>
      </c>
      <c r="E12" s="6" t="s">
        <v>2814</v>
      </c>
    </row>
    <row r="13" customFormat="false" ht="15" hidden="false" customHeight="false" outlineLevel="0" collapsed="false">
      <c r="A13" s="4" t="s">
        <v>2815</v>
      </c>
      <c r="B13" s="6" t="s">
        <v>2816</v>
      </c>
      <c r="C13" s="6" t="s">
        <v>2817</v>
      </c>
      <c r="D13" s="6" t="s">
        <v>2818</v>
      </c>
      <c r="E13" s="6" t="s">
        <v>2819</v>
      </c>
    </row>
    <row r="14" customFormat="false" ht="15" hidden="false" customHeight="false" outlineLevel="0" collapsed="false">
      <c r="A14" s="4" t="s">
        <v>2820</v>
      </c>
      <c r="B14" s="6" t="s">
        <v>2821</v>
      </c>
      <c r="C14" s="6" t="s">
        <v>2822</v>
      </c>
      <c r="D14" s="6" t="s">
        <v>2823</v>
      </c>
      <c r="E14" s="6" t="s">
        <v>2824</v>
      </c>
    </row>
    <row r="15" customFormat="false" ht="15" hidden="false" customHeight="false" outlineLevel="0" collapsed="false">
      <c r="A15" s="4" t="s">
        <v>2825</v>
      </c>
      <c r="B15" s="6" t="s">
        <v>2826</v>
      </c>
      <c r="C15" s="6" t="s">
        <v>2822</v>
      </c>
      <c r="D15" s="6" t="s">
        <v>2827</v>
      </c>
      <c r="E15" s="6" t="s">
        <v>2828</v>
      </c>
    </row>
    <row r="16" customFormat="false" ht="15" hidden="false" customHeight="false" outlineLevel="0" collapsed="false">
      <c r="A16" s="4" t="s">
        <v>2829</v>
      </c>
      <c r="B16" s="6" t="s">
        <v>2830</v>
      </c>
      <c r="C16" s="6" t="s">
        <v>2831</v>
      </c>
      <c r="D16" s="6" t="s">
        <v>2832</v>
      </c>
      <c r="E16" s="6" t="s">
        <v>2833</v>
      </c>
    </row>
    <row r="17" customFormat="false" ht="15" hidden="false" customHeight="false" outlineLevel="0" collapsed="false">
      <c r="A17" s="4" t="s">
        <v>2834</v>
      </c>
      <c r="B17" s="6" t="s">
        <v>2835</v>
      </c>
      <c r="C17" s="6" t="s">
        <v>2836</v>
      </c>
      <c r="D17" s="6" t="s">
        <v>2837</v>
      </c>
      <c r="E17" s="6" t="s">
        <v>2838</v>
      </c>
    </row>
    <row r="18" customFormat="false" ht="15" hidden="false" customHeight="false" outlineLevel="0" collapsed="false">
      <c r="A18" s="4" t="s">
        <v>2839</v>
      </c>
      <c r="B18" s="6" t="s">
        <v>2840</v>
      </c>
      <c r="C18" s="6" t="s">
        <v>2841</v>
      </c>
      <c r="D18" s="6" t="s">
        <v>2842</v>
      </c>
      <c r="E18" s="6" t="s">
        <v>2843</v>
      </c>
    </row>
    <row r="19" customFormat="false" ht="15" hidden="false" customHeight="false" outlineLevel="0" collapsed="false">
      <c r="A19" s="4" t="s">
        <v>2844</v>
      </c>
      <c r="B19" s="6" t="s">
        <v>2845</v>
      </c>
      <c r="C19" s="6" t="s">
        <v>2846</v>
      </c>
      <c r="D19" s="6" t="s">
        <v>2847</v>
      </c>
      <c r="E19" s="6" t="s">
        <v>2848</v>
      </c>
    </row>
    <row r="20" customFormat="false" ht="15" hidden="false" customHeight="false" outlineLevel="0" collapsed="false">
      <c r="A20" s="4" t="s">
        <v>2849</v>
      </c>
      <c r="B20" s="6" t="s">
        <v>2850</v>
      </c>
      <c r="C20" s="6" t="s">
        <v>2842</v>
      </c>
      <c r="D20" s="6" t="s">
        <v>2843</v>
      </c>
      <c r="E20" s="6" t="s">
        <v>2851</v>
      </c>
    </row>
    <row r="21" customFormat="false" ht="15" hidden="false" customHeight="false" outlineLevel="0" collapsed="false">
      <c r="A21" s="4" t="s">
        <v>2852</v>
      </c>
      <c r="B21" s="6" t="s">
        <v>2853</v>
      </c>
      <c r="C21" s="6" t="s">
        <v>2854</v>
      </c>
      <c r="D21" s="6" t="s">
        <v>2855</v>
      </c>
      <c r="E21" s="6" t="s">
        <v>2856</v>
      </c>
    </row>
    <row r="22" customFormat="false" ht="15" hidden="false" customHeight="false" outlineLevel="0" collapsed="false">
      <c r="A22" s="4" t="s">
        <v>2857</v>
      </c>
      <c r="B22" s="6" t="s">
        <v>2858</v>
      </c>
      <c r="C22" s="6" t="s">
        <v>2859</v>
      </c>
      <c r="D22" s="6" t="s">
        <v>2860</v>
      </c>
      <c r="E22" s="6" t="s">
        <v>2861</v>
      </c>
    </row>
    <row r="23" customFormat="false" ht="15" hidden="false" customHeight="false" outlineLevel="0" collapsed="false">
      <c r="A23" s="4" t="s">
        <v>2862</v>
      </c>
      <c r="B23" s="6" t="s">
        <v>2863</v>
      </c>
      <c r="C23" s="6" t="s">
        <v>2842</v>
      </c>
      <c r="D23" s="6" t="s">
        <v>2843</v>
      </c>
      <c r="E23" s="6" t="s">
        <v>2851</v>
      </c>
    </row>
    <row r="24" customFormat="false" ht="15" hidden="false" customHeight="false" outlineLevel="0" collapsed="false">
      <c r="A24" s="4" t="s">
        <v>2864</v>
      </c>
      <c r="B24" s="6" t="s">
        <v>2865</v>
      </c>
      <c r="C24" s="6" t="s">
        <v>2841</v>
      </c>
      <c r="D24" s="6" t="s">
        <v>2842</v>
      </c>
      <c r="E24" s="6" t="s">
        <v>2843</v>
      </c>
    </row>
    <row r="25" customFormat="false" ht="15" hidden="false" customHeight="false" outlineLevel="0" collapsed="false">
      <c r="A25" s="4" t="s">
        <v>2866</v>
      </c>
      <c r="B25" s="6" t="s">
        <v>2867</v>
      </c>
      <c r="C25" s="6" t="s">
        <v>2868</v>
      </c>
      <c r="D25" s="6" t="s">
        <v>2869</v>
      </c>
      <c r="E25" s="6" t="s">
        <v>2870</v>
      </c>
    </row>
    <row r="26" customFormat="false" ht="15" hidden="false" customHeight="false" outlineLevel="0" collapsed="false">
      <c r="A26" s="4" t="s">
        <v>2871</v>
      </c>
      <c r="B26" s="6" t="s">
        <v>2872</v>
      </c>
      <c r="C26" s="6" t="s">
        <v>2868</v>
      </c>
      <c r="D26" s="6" t="s">
        <v>2873</v>
      </c>
      <c r="E26" s="6" t="s">
        <v>2874</v>
      </c>
    </row>
    <row r="27" customFormat="false" ht="15" hidden="false" customHeight="false" outlineLevel="0" collapsed="false">
      <c r="A27" s="4" t="s">
        <v>2875</v>
      </c>
      <c r="B27" s="6" t="s">
        <v>2876</v>
      </c>
      <c r="C27" s="6" t="s">
        <v>2877</v>
      </c>
      <c r="D27" s="6" t="s">
        <v>2878</v>
      </c>
      <c r="E27" s="6" t="s">
        <v>2879</v>
      </c>
    </row>
    <row r="28" customFormat="false" ht="15" hidden="false" customHeight="false" outlineLevel="0" collapsed="false">
      <c r="A28" s="4" t="s">
        <v>2880</v>
      </c>
      <c r="B28" s="6" t="s">
        <v>2881</v>
      </c>
      <c r="C28" s="6" t="s">
        <v>2877</v>
      </c>
      <c r="D28" s="6" t="s">
        <v>2882</v>
      </c>
      <c r="E28" s="6" t="s">
        <v>2883</v>
      </c>
    </row>
    <row r="29" customFormat="false" ht="15" hidden="false" customHeight="false" outlineLevel="0" collapsed="false">
      <c r="A29" s="4" t="s">
        <v>2884</v>
      </c>
      <c r="B29" s="6" t="s">
        <v>2885</v>
      </c>
      <c r="C29" s="6" t="s">
        <v>2886</v>
      </c>
      <c r="D29" s="6" t="s">
        <v>2887</v>
      </c>
      <c r="E29" s="6" t="s">
        <v>2888</v>
      </c>
    </row>
    <row r="31" customFormat="false" ht="30" hidden="false" customHeight="true" outlineLevel="0" collapsed="false">
      <c r="A31" s="2" t="s">
        <v>2889</v>
      </c>
      <c r="B31" s="2"/>
      <c r="C31" s="2"/>
      <c r="D31" s="2"/>
      <c r="E31" s="2"/>
      <c r="F31" s="2"/>
      <c r="G31" s="2"/>
    </row>
    <row r="32" customFormat="false" ht="30" hidden="false" customHeight="true" outlineLevel="0" collapsed="false">
      <c r="A32" s="2" t="s">
        <v>2890</v>
      </c>
      <c r="B32" s="2"/>
      <c r="C32" s="2"/>
      <c r="D32" s="2"/>
      <c r="E32" s="2"/>
      <c r="F32" s="2"/>
      <c r="G32" s="2"/>
    </row>
    <row r="33" customFormat="false" ht="30" hidden="false" customHeight="true" outlineLevel="0" collapsed="false">
      <c r="A33" s="2" t="s">
        <v>2891</v>
      </c>
      <c r="B33" s="2"/>
      <c r="C33" s="2"/>
      <c r="D33" s="2"/>
      <c r="E33" s="2"/>
      <c r="F33" s="2"/>
      <c r="G33" s="2"/>
    </row>
    <row r="34" customFormat="false" ht="30" hidden="false" customHeight="true" outlineLevel="0" collapsed="false">
      <c r="A34" s="2" t="s">
        <v>2892</v>
      </c>
      <c r="B34" s="2"/>
      <c r="C34" s="2"/>
      <c r="D34" s="2"/>
      <c r="E34" s="2"/>
      <c r="F34" s="2"/>
      <c r="G34" s="2"/>
    </row>
  </sheetData>
  <mergeCells count="4">
    <mergeCell ref="A31:G31"/>
    <mergeCell ref="A32:G32"/>
    <mergeCell ref="A33:G33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35" min="4" style="0" width="9"/>
    <col collapsed="false" customWidth="true" hidden="false" outlineLevel="0" max="37" min="36" style="0" width="11"/>
    <col collapsed="false" customWidth="true" hidden="false" outlineLevel="0" max="38" min="38" style="0" width="50"/>
  </cols>
  <sheetData>
    <row r="1" customFormat="false" ht="42" hidden="false" customHeight="true" outlineLevel="0" collapsed="false">
      <c r="A1" s="8" t="s">
        <v>92</v>
      </c>
      <c r="B1" s="8" t="s">
        <v>2893</v>
      </c>
      <c r="C1" s="8" t="s">
        <v>2894</v>
      </c>
      <c r="D1" s="8" t="s">
        <v>2236</v>
      </c>
      <c r="E1" s="8" t="s">
        <v>2237</v>
      </c>
      <c r="F1" s="8" t="s">
        <v>2895</v>
      </c>
      <c r="G1" s="8" t="s">
        <v>2239</v>
      </c>
      <c r="H1" s="8" t="s">
        <v>2240</v>
      </c>
      <c r="I1" s="8" t="s">
        <v>2896</v>
      </c>
      <c r="J1" s="8" t="s">
        <v>2897</v>
      </c>
      <c r="K1" s="8" t="s">
        <v>2898</v>
      </c>
      <c r="L1" s="8" t="s">
        <v>2899</v>
      </c>
      <c r="M1" s="8" t="s">
        <v>2900</v>
      </c>
      <c r="N1" s="8" t="s">
        <v>2242</v>
      </c>
      <c r="O1" s="8" t="s">
        <v>2901</v>
      </c>
      <c r="P1" s="8" t="s">
        <v>2902</v>
      </c>
      <c r="Q1" s="8" t="s">
        <v>2903</v>
      </c>
      <c r="R1" s="8" t="s">
        <v>2904</v>
      </c>
      <c r="S1" s="8" t="s">
        <v>2905</v>
      </c>
      <c r="T1" s="8" t="s">
        <v>2906</v>
      </c>
      <c r="U1" s="8" t="s">
        <v>2907</v>
      </c>
      <c r="V1" s="8" t="s">
        <v>2908</v>
      </c>
      <c r="W1" s="8" t="s">
        <v>2909</v>
      </c>
      <c r="X1" s="8" t="s">
        <v>2910</v>
      </c>
      <c r="Y1" s="8" t="s">
        <v>2911</v>
      </c>
      <c r="Z1" s="8" t="s">
        <v>2912</v>
      </c>
      <c r="AA1" s="8" t="s">
        <v>2913</v>
      </c>
      <c r="AB1" s="8" t="s">
        <v>2914</v>
      </c>
      <c r="AC1" s="8" t="s">
        <v>2915</v>
      </c>
      <c r="AD1" s="8" t="s">
        <v>2916</v>
      </c>
      <c r="AE1" s="8" t="s">
        <v>2917</v>
      </c>
      <c r="AF1" s="8" t="s">
        <v>2918</v>
      </c>
      <c r="AG1" s="8" t="s">
        <v>2919</v>
      </c>
      <c r="AH1" s="8" t="s">
        <v>2920</v>
      </c>
      <c r="AI1" s="8" t="s">
        <v>2921</v>
      </c>
      <c r="AJ1" s="8" t="s">
        <v>2922</v>
      </c>
      <c r="AK1" s="8" t="s">
        <v>2923</v>
      </c>
      <c r="AL1" s="8" t="s">
        <v>2924</v>
      </c>
    </row>
    <row r="2" customFormat="false" ht="15" hidden="false" customHeight="false" outlineLevel="0" collapsed="false">
      <c r="A2" s="6" t="s">
        <v>105</v>
      </c>
      <c r="B2" s="6" t="s">
        <v>2925</v>
      </c>
      <c r="C2" s="6" t="s">
        <v>2926</v>
      </c>
      <c r="D2" s="13" t="n">
        <v>16.1442985534668</v>
      </c>
      <c r="E2" s="25" t="n">
        <v>0.387885987758637</v>
      </c>
      <c r="F2" s="25" t="n">
        <v>2.58194756507874</v>
      </c>
      <c r="G2" s="25" t="n">
        <v>0.532066524028778</v>
      </c>
      <c r="H2" s="25" t="n">
        <v>0</v>
      </c>
      <c r="I2" s="25" t="n">
        <v>2.57600951194763</v>
      </c>
      <c r="J2" s="25" t="n">
        <v>0.321496429443359</v>
      </c>
      <c r="K2" s="25" t="n">
        <v>0.144180526733398</v>
      </c>
      <c r="L2" s="25" t="n">
        <v>0.0163895492553711</v>
      </c>
      <c r="M2" s="25" t="n">
        <v>0</v>
      </c>
      <c r="N2" s="25" t="n">
        <v>3.11876463890076</v>
      </c>
      <c r="O2" s="25" t="n">
        <v>13.9453678131104</v>
      </c>
      <c r="P2" s="25" t="n">
        <v>14.2042751312256</v>
      </c>
      <c r="Q2" s="25" t="n">
        <v>11.5011873245239</v>
      </c>
      <c r="R2" s="25" t="n">
        <v>1.03562939167023</v>
      </c>
      <c r="S2" s="25" t="n">
        <v>0.0216152034699917</v>
      </c>
      <c r="T2" s="25" t="n">
        <v>0.0410926379263401</v>
      </c>
      <c r="U2" s="25" t="n">
        <v>0.00591448927298188</v>
      </c>
      <c r="V2" s="25" t="n">
        <v>0.112826600670815</v>
      </c>
      <c r="W2" s="25" t="n">
        <v>0.00225653196685016</v>
      </c>
      <c r="X2" s="25" t="n">
        <v>0</v>
      </c>
      <c r="Y2" s="25" t="n">
        <v>23.7529697418213</v>
      </c>
      <c r="Z2" s="25" t="n">
        <v>0.0261282660067082</v>
      </c>
      <c r="AA2" s="25" t="n">
        <v>0.00192399055231363</v>
      </c>
      <c r="AB2" s="25" t="n">
        <v>0.238717332482338</v>
      </c>
      <c r="AC2" s="25" t="n">
        <v>0.00356294517405331</v>
      </c>
      <c r="AD2" s="25" t="n">
        <v>0.0132066505029798</v>
      </c>
      <c r="AE2" s="25" t="n">
        <v>0.00950118713080883</v>
      </c>
      <c r="AF2" s="25" t="n">
        <v>0.0406650826334953</v>
      </c>
      <c r="AG2" s="25" t="n">
        <v>0.00475059356540442</v>
      </c>
      <c r="AH2" s="25" t="n">
        <v>0.242280289530754</v>
      </c>
      <c r="AI2" s="25" t="n">
        <v>0.856294572353363</v>
      </c>
      <c r="AJ2" s="6" t="n">
        <v>210.5</v>
      </c>
      <c r="AK2" s="6" t="n">
        <v>34</v>
      </c>
      <c r="AL2" s="26"/>
    </row>
    <row r="3" customFormat="false" ht="15" hidden="false" customHeight="false" outlineLevel="0" collapsed="false">
      <c r="A3" s="6" t="s">
        <v>139</v>
      </c>
      <c r="B3" s="6" t="s">
        <v>2927</v>
      </c>
      <c r="C3" s="6" t="s">
        <v>2926</v>
      </c>
      <c r="D3" s="13" t="n">
        <v>23.1558322906494</v>
      </c>
      <c r="E3" s="25" t="n">
        <v>0.640666663646698</v>
      </c>
      <c r="F3" s="25" t="n">
        <v>3.65333342552185</v>
      </c>
      <c r="G3" s="25" t="n">
        <v>0.746666669845581</v>
      </c>
      <c r="H3" s="25" t="n">
        <v>0</v>
      </c>
      <c r="I3" s="25" t="n">
        <v>3.61500000953674</v>
      </c>
      <c r="J3" s="25" t="n">
        <v>0.451166656494141</v>
      </c>
      <c r="K3" s="25" t="n">
        <v>0.20233332824707</v>
      </c>
      <c r="L3" s="25" t="n">
        <v>0.023</v>
      </c>
      <c r="M3" s="25" t="n">
        <v>0</v>
      </c>
      <c r="N3" s="25" t="n">
        <v>4.91666650772095</v>
      </c>
      <c r="O3" s="25" t="n">
        <v>44.5</v>
      </c>
      <c r="P3" s="25" t="n">
        <v>20.8666667938232</v>
      </c>
      <c r="Q3" s="25" t="n">
        <v>18.1866664886475</v>
      </c>
      <c r="R3" s="25" t="n">
        <v>3.63333320617676</v>
      </c>
      <c r="S3" s="25" t="n">
        <v>0.0609999969601631</v>
      </c>
      <c r="T3" s="25" t="n">
        <v>0.0649999976158142</v>
      </c>
      <c r="U3" s="25" t="n">
        <v>0.0123333334922791</v>
      </c>
      <c r="V3" s="25" t="n">
        <v>0.218333333730698</v>
      </c>
      <c r="W3" s="25" t="n">
        <v>0.0156666673719883</v>
      </c>
      <c r="X3" s="25" t="n">
        <v>0</v>
      </c>
      <c r="Y3" s="25" t="n">
        <v>33.3333320617676</v>
      </c>
      <c r="Z3" s="25" t="n">
        <v>0.0366666689515114</v>
      </c>
      <c r="AA3" s="25" t="n">
        <v>0.0286666657775641</v>
      </c>
      <c r="AB3" s="25" t="n">
        <v>0.33500000834465</v>
      </c>
      <c r="AC3" s="25" t="n">
        <v>0.0052666668780148</v>
      </c>
      <c r="AD3" s="25" t="n">
        <v>0.0197333339601755</v>
      </c>
      <c r="AE3" s="25" t="n">
        <v>0.178666666150093</v>
      </c>
      <c r="AF3" s="25" t="n">
        <v>0.0566666647791863</v>
      </c>
      <c r="AG3" s="25" t="n">
        <v>0.00679999962449074</v>
      </c>
      <c r="AH3" s="25" t="n">
        <v>0.776666641235352</v>
      </c>
      <c r="AI3" s="25" t="n">
        <v>1.24500000476837</v>
      </c>
      <c r="AJ3" s="6" t="n">
        <v>450</v>
      </c>
      <c r="AK3" s="6" t="n">
        <v>104.2</v>
      </c>
      <c r="AL3" s="26"/>
    </row>
    <row r="4" customFormat="false" ht="15" hidden="false" customHeight="false" outlineLevel="0" collapsed="false">
      <c r="A4" s="6" t="s">
        <v>2928</v>
      </c>
      <c r="B4" s="6" t="s">
        <v>2929</v>
      </c>
      <c r="C4" s="6" t="s">
        <v>2926</v>
      </c>
      <c r="D4" s="13" t="n">
        <v>51.5433731079102</v>
      </c>
      <c r="E4" s="25" t="n">
        <v>1.74700307846069</v>
      </c>
      <c r="F4" s="25" t="n">
        <v>6.62050485610962</v>
      </c>
      <c r="G4" s="25" t="n">
        <v>2.13817024230957</v>
      </c>
      <c r="H4" s="25" t="n">
        <v>0</v>
      </c>
      <c r="I4" s="25" t="n">
        <v>6.53375387191773</v>
      </c>
      <c r="J4" s="25" t="n">
        <v>1.291671875</v>
      </c>
      <c r="K4" s="25" t="n">
        <v>0.58015771484375</v>
      </c>
      <c r="L4" s="25" t="n">
        <v>0.0662145080566406</v>
      </c>
      <c r="M4" s="25" t="n">
        <v>0</v>
      </c>
      <c r="N4" s="25" t="n">
        <v>13.9779176712036</v>
      </c>
      <c r="O4" s="25" t="n">
        <v>103.864349365234</v>
      </c>
      <c r="P4" s="25" t="n">
        <v>58.1040992736816</v>
      </c>
      <c r="Q4" s="25" t="n">
        <v>50.249210357666</v>
      </c>
      <c r="R4" s="25" t="n">
        <v>8.57413291931152</v>
      </c>
      <c r="S4" s="25" t="n">
        <v>0.147634074091911</v>
      </c>
      <c r="T4" s="25" t="n">
        <v>0.191482648253441</v>
      </c>
      <c r="U4" s="25" t="n">
        <v>0.0382018946111202</v>
      </c>
      <c r="V4" s="25" t="n">
        <v>0.563091456890106</v>
      </c>
      <c r="W4" s="25" t="n">
        <v>0.0343848578631878</v>
      </c>
      <c r="X4" s="25" t="n">
        <v>0</v>
      </c>
      <c r="Y4" s="25" t="n">
        <v>94.6372222900391</v>
      </c>
      <c r="Z4" s="25" t="n">
        <v>0.105394326150417</v>
      </c>
      <c r="AA4" s="25" t="n">
        <v>0.0542586781084538</v>
      </c>
      <c r="AB4" s="25" t="n">
        <v>0.95110410451889</v>
      </c>
      <c r="AC4" s="25" t="n">
        <v>0.0147634074091911</v>
      </c>
      <c r="AD4" s="25" t="n">
        <v>0.0548895932734013</v>
      </c>
      <c r="AE4" s="25" t="n">
        <v>0.352681368589401</v>
      </c>
      <c r="AF4" s="25" t="n">
        <v>0.161829650402069</v>
      </c>
      <c r="AG4" s="25" t="n">
        <v>0.0192113555967808</v>
      </c>
      <c r="AH4" s="25" t="n">
        <v>1.81072556972504</v>
      </c>
      <c r="AI4" s="25" t="n">
        <v>3.48738169670105</v>
      </c>
      <c r="AJ4" s="6" t="n">
        <v>158.5</v>
      </c>
      <c r="AK4" s="6" t="n">
        <v>81.7</v>
      </c>
      <c r="AL4" s="26"/>
    </row>
    <row r="5" customFormat="false" ht="15" hidden="false" customHeight="false" outlineLevel="0" collapsed="false">
      <c r="A5" s="6" t="s">
        <v>2930</v>
      </c>
      <c r="B5" s="6" t="s">
        <v>2931</v>
      </c>
      <c r="C5" s="6" t="s">
        <v>2932</v>
      </c>
      <c r="D5" s="13" t="n">
        <v>10.3421878814697</v>
      </c>
      <c r="E5" s="25" t="n">
        <v>0.0279687494039536</v>
      </c>
      <c r="F5" s="25" t="n">
        <v>2.70156240463257</v>
      </c>
      <c r="G5" s="25" t="n">
        <v>0.0109374998137355</v>
      </c>
      <c r="H5" s="25" t="n">
        <v>0</v>
      </c>
      <c r="I5" s="25" t="n">
        <v>2.70156240463257</v>
      </c>
      <c r="J5" s="25" t="n">
        <v>0.00546875</v>
      </c>
      <c r="K5" s="25" t="n">
        <v>0</v>
      </c>
      <c r="L5" s="25" t="n">
        <v>0.00546875</v>
      </c>
      <c r="M5" s="25" t="n">
        <v>0</v>
      </c>
      <c r="N5" s="25" t="n">
        <v>0.234375</v>
      </c>
      <c r="O5" s="25" t="n">
        <v>5.21562480926514</v>
      </c>
      <c r="P5" s="25" t="n">
        <v>1.1796875</v>
      </c>
      <c r="Q5" s="25" t="n">
        <v>0.584375023841858</v>
      </c>
      <c r="R5" s="25" t="n">
        <v>0.390624970197678</v>
      </c>
      <c r="S5" s="25" t="n">
        <v>0.0214062500745058</v>
      </c>
      <c r="T5" s="25" t="n">
        <v>0.00796874985098839</v>
      </c>
      <c r="U5" s="25" t="n">
        <v>0.0030625001527369</v>
      </c>
      <c r="V5" s="25" t="n">
        <v>0.0546875</v>
      </c>
      <c r="W5" s="25" t="n">
        <v>0.000937500037252903</v>
      </c>
      <c r="X5" s="25" t="n">
        <v>0</v>
      </c>
      <c r="Y5" s="25" t="n">
        <v>0.21875</v>
      </c>
      <c r="Z5" s="25" t="n">
        <v>0</v>
      </c>
      <c r="AA5" s="25" t="n">
        <v>0.00168750004377216</v>
      </c>
      <c r="AB5" s="25" t="n">
        <v>1.859375</v>
      </c>
      <c r="AC5" s="25" t="n">
        <v>0.00164062494877726</v>
      </c>
      <c r="AD5" s="25" t="n">
        <v>0.000671875022817403</v>
      </c>
      <c r="AE5" s="25" t="n">
        <v>0.00546874990686774</v>
      </c>
      <c r="AF5" s="25" t="n">
        <v>0.00681249983608723</v>
      </c>
      <c r="AG5" s="25" t="n">
        <v>0.00273437495343387</v>
      </c>
      <c r="AH5" s="25" t="n">
        <v>0.00624999962747097</v>
      </c>
      <c r="AI5" s="25" t="n">
        <v>0.401562511920929</v>
      </c>
      <c r="AJ5" s="6" t="n">
        <v>320</v>
      </c>
      <c r="AK5" s="6" t="n">
        <v>33.1</v>
      </c>
      <c r="AL5" s="26"/>
    </row>
    <row r="6" customFormat="false" ht="15" hidden="false" customHeight="false" outlineLevel="0" collapsed="false">
      <c r="A6" s="6" t="s">
        <v>192</v>
      </c>
      <c r="B6" s="6" t="s">
        <v>2933</v>
      </c>
      <c r="C6" s="6" t="s">
        <v>2932</v>
      </c>
      <c r="D6" s="13" t="n">
        <v>35.9182205200195</v>
      </c>
      <c r="E6" s="25" t="n">
        <v>0.157034456729889</v>
      </c>
      <c r="F6" s="25" t="n">
        <v>9.04746723175049</v>
      </c>
      <c r="G6" s="25" t="n">
        <v>0.0263407826423645</v>
      </c>
      <c r="H6" s="25" t="n">
        <v>0.612025141716003</v>
      </c>
      <c r="I6" s="25" t="n">
        <v>7.49084711074829</v>
      </c>
      <c r="J6" s="25" t="n">
        <v>0.00613826847076416</v>
      </c>
      <c r="K6" s="25" t="n">
        <v>0.00588819360733032</v>
      </c>
      <c r="L6" s="25" t="n">
        <v>0.00943063259124756</v>
      </c>
      <c r="M6" s="25" t="n">
        <v>0</v>
      </c>
      <c r="N6" s="25" t="n">
        <v>79.8249740600586</v>
      </c>
      <c r="O6" s="25" t="n">
        <v>31.4529800415039</v>
      </c>
      <c r="P6" s="25" t="n">
        <v>7.07774686813355</v>
      </c>
      <c r="Q6" s="25" t="n">
        <v>3.33519554138184</v>
      </c>
      <c r="R6" s="25" t="n">
        <v>4.24860334396362</v>
      </c>
      <c r="S6" s="25" t="n">
        <v>0.135460898280144</v>
      </c>
      <c r="T6" s="25" t="n">
        <v>0.0290176905691624</v>
      </c>
      <c r="U6" s="25" t="n">
        <v>0.0258193667978048</v>
      </c>
      <c r="V6" s="25" t="n">
        <v>0.047700185328722</v>
      </c>
      <c r="W6" s="25" t="n">
        <v>0.0522299818694592</v>
      </c>
      <c r="X6" s="25" t="n">
        <v>0</v>
      </c>
      <c r="Y6" s="25" t="n">
        <v>167.186218261719</v>
      </c>
      <c r="Z6" s="25" t="n">
        <v>0.172458112239838</v>
      </c>
      <c r="AA6" s="25" t="n">
        <v>3.4436686038971</v>
      </c>
      <c r="AB6" s="25" t="n">
        <v>16.8721046447754</v>
      </c>
      <c r="AC6" s="25" t="n">
        <v>0.00406890129670501</v>
      </c>
      <c r="AD6" s="25" t="n">
        <v>0.00453445035964251</v>
      </c>
      <c r="AE6" s="25" t="n">
        <v>0.0529050268232822</v>
      </c>
      <c r="AF6" s="25" t="n">
        <v>0.0257169455289841</v>
      </c>
      <c r="AG6" s="25" t="n">
        <v>0.0251489747315645</v>
      </c>
      <c r="AH6" s="25" t="n">
        <v>0.272984176874161</v>
      </c>
      <c r="AI6" s="25" t="n">
        <v>5.23355674743652</v>
      </c>
      <c r="AJ6" s="6" t="n">
        <v>268.5</v>
      </c>
      <c r="AK6" s="6" t="n">
        <v>96.4</v>
      </c>
      <c r="AL6" s="26"/>
    </row>
    <row r="7" customFormat="false" ht="15" hidden="false" customHeight="false" outlineLevel="0" collapsed="false">
      <c r="A7" s="6" t="s">
        <v>2934</v>
      </c>
      <c r="B7" s="6" t="s">
        <v>2935</v>
      </c>
      <c r="C7" s="6" t="s">
        <v>2932</v>
      </c>
      <c r="D7" s="13" t="n">
        <v>36.1168441772461</v>
      </c>
      <c r="E7" s="25" t="n">
        <v>0.139348939061165</v>
      </c>
      <c r="F7" s="25" t="n">
        <v>9.38059139251709</v>
      </c>
      <c r="G7" s="25" t="n">
        <v>0.032502043992281</v>
      </c>
      <c r="H7" s="25" t="n">
        <v>0.0600549317896366</v>
      </c>
      <c r="I7" s="25" t="n">
        <v>9.24563789367676</v>
      </c>
      <c r="J7" s="25" t="n">
        <v>0.00620665597915649</v>
      </c>
      <c r="K7" s="25" t="n">
        <v>0.00130173516273499</v>
      </c>
      <c r="L7" s="25" t="n">
        <v>0.0100820264816284</v>
      </c>
      <c r="M7" s="25" t="n">
        <v>0</v>
      </c>
      <c r="N7" s="25" t="n">
        <v>2.6321382522583</v>
      </c>
      <c r="O7" s="25" t="n">
        <v>33.4328117370606</v>
      </c>
      <c r="P7" s="25" t="n">
        <v>5.06800937652588</v>
      </c>
      <c r="Q7" s="25" t="n">
        <v>10.2424974441528</v>
      </c>
      <c r="R7" s="25" t="n">
        <v>3.1966712474823</v>
      </c>
      <c r="S7" s="25" t="n">
        <v>0.101978562772274</v>
      </c>
      <c r="T7" s="25" t="n">
        <v>0.0225660670548677</v>
      </c>
      <c r="U7" s="25" t="n">
        <v>0.00980095006525517</v>
      </c>
      <c r="V7" s="25" t="n">
        <v>0.0305418539792299</v>
      </c>
      <c r="W7" s="25" t="n">
        <v>0.12604370713234</v>
      </c>
      <c r="X7" s="25" t="n">
        <v>0</v>
      </c>
      <c r="Y7" s="25" t="n">
        <v>45.5349464416504</v>
      </c>
      <c r="Z7" s="25" t="n">
        <v>0.0464970991015434</v>
      </c>
      <c r="AA7" s="25" t="n">
        <v>0.561272025108337</v>
      </c>
      <c r="AB7" s="25" t="n">
        <v>7.61277484893799</v>
      </c>
      <c r="AC7" s="25" t="n">
        <v>0.0167085528373718</v>
      </c>
      <c r="AD7" s="25" t="n">
        <v>0.00430497759953141</v>
      </c>
      <c r="AE7" s="25" t="n">
        <v>0.040735024958849</v>
      </c>
      <c r="AF7" s="25" t="n">
        <v>0.0433192811906338</v>
      </c>
      <c r="AG7" s="25" t="n">
        <v>0.0141213592141867</v>
      </c>
      <c r="AH7" s="25" t="n">
        <v>0.15240615606308</v>
      </c>
      <c r="AI7" s="25" t="n">
        <v>4.51407670974731</v>
      </c>
      <c r="AJ7" s="6" t="n">
        <v>544.3</v>
      </c>
      <c r="AK7" s="6" t="n">
        <v>196.6</v>
      </c>
      <c r="AL7" s="26"/>
    </row>
    <row r="8" customFormat="false" ht="15" hidden="false" customHeight="false" outlineLevel="0" collapsed="false">
      <c r="A8" s="6" t="s">
        <v>2936</v>
      </c>
      <c r="B8" s="6" t="s">
        <v>2937</v>
      </c>
      <c r="C8" s="6" t="s">
        <v>2932</v>
      </c>
      <c r="D8" s="13" t="n">
        <v>23.1282825469971</v>
      </c>
      <c r="E8" s="25" t="n">
        <v>0.0723448097705841</v>
      </c>
      <c r="F8" s="25" t="n">
        <v>5.98985576629639</v>
      </c>
      <c r="G8" s="25" t="n">
        <v>0.01683852635324</v>
      </c>
      <c r="H8" s="25" t="n">
        <v>0.168226152658463</v>
      </c>
      <c r="I8" s="25" t="n">
        <v>5.88343906402588</v>
      </c>
      <c r="J8" s="25" t="n">
        <v>0.00523004579544067</v>
      </c>
      <c r="K8" s="25" t="n">
        <v>0.00163140988349915</v>
      </c>
      <c r="L8" s="25" t="n">
        <v>0.00707369184494019</v>
      </c>
      <c r="M8" s="25" t="n">
        <v>0</v>
      </c>
      <c r="N8" s="25" t="n">
        <v>2.25748014450073</v>
      </c>
      <c r="O8" s="25" t="n">
        <v>16.6498947143555</v>
      </c>
      <c r="P8" s="25" t="n">
        <v>3.30087399482727</v>
      </c>
      <c r="Q8" s="25" t="n">
        <v>9.2650671005249</v>
      </c>
      <c r="R8" s="25" t="n">
        <v>1.88433575630188</v>
      </c>
      <c r="S8" s="25" t="n">
        <v>0.0614724531769753</v>
      </c>
      <c r="T8" s="25" t="n">
        <v>0.0118995299562812</v>
      </c>
      <c r="U8" s="25" t="n">
        <v>0.00700030801817775</v>
      </c>
      <c r="V8" s="25" t="n">
        <v>0.0354490056633949</v>
      </c>
      <c r="W8" s="25" t="n">
        <v>0.0818558782339096</v>
      </c>
      <c r="X8" s="25" t="n">
        <v>0</v>
      </c>
      <c r="Y8" s="25" t="n">
        <v>55.6862373352051</v>
      </c>
      <c r="Z8" s="25" t="n">
        <v>0.0279614590108395</v>
      </c>
      <c r="AA8" s="25" t="n">
        <v>0.652341246604919</v>
      </c>
      <c r="AB8" s="25" t="n">
        <v>2.99949288368225</v>
      </c>
      <c r="AC8" s="25" t="n">
        <v>0.0046636569313705</v>
      </c>
      <c r="AD8" s="25" t="n">
        <v>0.00242296187207103</v>
      </c>
      <c r="AE8" s="25" t="n">
        <v>0.0179452504962683</v>
      </c>
      <c r="AF8" s="25" t="n">
        <v>0.0164670329540968</v>
      </c>
      <c r="AG8" s="25" t="n">
        <v>0.00843566935509443</v>
      </c>
      <c r="AH8" s="25" t="n">
        <v>0.078176736831665</v>
      </c>
      <c r="AI8" s="25" t="n">
        <v>1.81589376926422</v>
      </c>
      <c r="AJ8" s="6" t="n">
        <v>502.8</v>
      </c>
      <c r="AK8" s="6" t="n">
        <v>116.3</v>
      </c>
      <c r="AL8" s="26"/>
    </row>
    <row r="9" customFormat="false" ht="15" hidden="false" customHeight="false" outlineLevel="0" collapsed="false">
      <c r="A9" s="6" t="s">
        <v>173</v>
      </c>
      <c r="B9" s="6" t="s">
        <v>2938</v>
      </c>
      <c r="C9" s="6" t="s">
        <v>2815</v>
      </c>
      <c r="D9" s="13" t="n">
        <v>20.7989826202393</v>
      </c>
      <c r="E9" s="25" t="n">
        <v>0.0348174683749676</v>
      </c>
      <c r="F9" s="25" t="n">
        <v>5.4785680770874</v>
      </c>
      <c r="G9" s="25" t="n">
        <v>0.010450966656208</v>
      </c>
      <c r="H9" s="25" t="n">
        <v>0.0168647095561028</v>
      </c>
      <c r="I9" s="25" t="n">
        <v>5.47195386886597</v>
      </c>
      <c r="J9" s="25" t="n">
        <v>0.00465282726287842</v>
      </c>
      <c r="K9" s="25" t="n">
        <v>3.7881176918745E-005</v>
      </c>
      <c r="L9" s="25" t="n">
        <v>0.00530279159545898</v>
      </c>
      <c r="M9" s="25" t="n">
        <v>0</v>
      </c>
      <c r="N9" s="25" t="n">
        <v>28.5236072540283</v>
      </c>
      <c r="O9" s="25" t="n">
        <v>5.73013591766357</v>
      </c>
      <c r="P9" s="25" t="n">
        <v>1.83965635299683</v>
      </c>
      <c r="Q9" s="25" t="n">
        <v>0.668575525283814</v>
      </c>
      <c r="R9" s="25" t="n">
        <v>0.730136036872864</v>
      </c>
      <c r="S9" s="25" t="n">
        <v>0.0479169674217701</v>
      </c>
      <c r="T9" s="25" t="n">
        <v>0.0116678597405553</v>
      </c>
      <c r="U9" s="25" t="n">
        <v>0.00730136036872864</v>
      </c>
      <c r="V9" s="25" t="n">
        <v>0.0738439559936523</v>
      </c>
      <c r="W9" s="25" t="n">
        <v>0.00303507503122091</v>
      </c>
      <c r="X9" s="25" t="n">
        <v>0</v>
      </c>
      <c r="Y9" s="25" t="n">
        <v>53.6950569152832</v>
      </c>
      <c r="Z9" s="25" t="n">
        <v>0.00131710816640407</v>
      </c>
      <c r="AA9" s="25" t="n">
        <v>0.469577670097351</v>
      </c>
      <c r="AB9" s="25" t="n">
        <v>1.50940585136414</v>
      </c>
      <c r="AC9" s="25" t="n">
        <v>0.00134574086405337</v>
      </c>
      <c r="AD9" s="25" t="n">
        <v>0.00097351468866691</v>
      </c>
      <c r="AE9" s="25" t="n">
        <v>0.00641374383121729</v>
      </c>
      <c r="AF9" s="25" t="n">
        <v>0.00612741569057107</v>
      </c>
      <c r="AG9" s="25" t="n">
        <v>0.00263421609997749</v>
      </c>
      <c r="AH9" s="25" t="n">
        <v>0.00632784515619278</v>
      </c>
      <c r="AI9" s="25" t="n">
        <v>0.604151725769043</v>
      </c>
      <c r="AJ9" s="6" t="n">
        <v>349.3</v>
      </c>
      <c r="AK9" s="6" t="n">
        <v>72.6</v>
      </c>
      <c r="AL9" s="26"/>
    </row>
    <row r="10" customFormat="false" ht="15" hidden="false" customHeight="false" outlineLevel="0" collapsed="false">
      <c r="A10" s="6" t="s">
        <v>2939</v>
      </c>
      <c r="B10" s="6" t="s">
        <v>2940</v>
      </c>
      <c r="C10" s="6" t="s">
        <v>2815</v>
      </c>
      <c r="D10" s="13" t="n">
        <v>21.5173645019531</v>
      </c>
      <c r="E10" s="25" t="n">
        <v>0.0807568356394768</v>
      </c>
      <c r="F10" s="25" t="n">
        <v>5.55196905136108</v>
      </c>
      <c r="G10" s="25" t="n">
        <v>0.0281009096652269</v>
      </c>
      <c r="H10" s="25" t="n">
        <v>0.129194110631943</v>
      </c>
      <c r="I10" s="25" t="n">
        <v>5.38445663452148</v>
      </c>
      <c r="J10" s="25" t="n">
        <v>0.00941135311126709</v>
      </c>
      <c r="K10" s="25" t="n">
        <v>0.00146602666378021</v>
      </c>
      <c r="L10" s="25" t="n">
        <v>0.0132011213302612</v>
      </c>
      <c r="M10" s="25" t="n">
        <v>0</v>
      </c>
      <c r="N10" s="25" t="n">
        <v>28.1348152160645</v>
      </c>
      <c r="O10" s="25" t="n">
        <v>14.1660823822022</v>
      </c>
      <c r="P10" s="25" t="n">
        <v>2.1978976726532</v>
      </c>
      <c r="Q10" s="25" t="n">
        <v>1.5871057510376</v>
      </c>
      <c r="R10" s="25" t="n">
        <v>1.86391031742096</v>
      </c>
      <c r="S10" s="25" t="n">
        <v>0.0868535414338112</v>
      </c>
      <c r="T10" s="25" t="n">
        <v>0.0196215827018023</v>
      </c>
      <c r="U10" s="25" t="n">
        <v>0.00988086871802807</v>
      </c>
      <c r="V10" s="25" t="n">
        <v>0.0722915232181549</v>
      </c>
      <c r="W10" s="25" t="n">
        <v>0.0839103013277054</v>
      </c>
      <c r="X10" s="25" t="n">
        <v>0</v>
      </c>
      <c r="Y10" s="25" t="n">
        <v>59.4828300476074</v>
      </c>
      <c r="Z10" s="25" t="n">
        <v>0.00801681820303202</v>
      </c>
      <c r="AA10" s="25" t="n">
        <v>0.996846497058868</v>
      </c>
      <c r="AB10" s="25" t="n">
        <v>1.59182894229889</v>
      </c>
      <c r="AC10" s="25" t="n">
        <v>0.00215837405994535</v>
      </c>
      <c r="AD10" s="25" t="n">
        <v>0.00179397338069975</v>
      </c>
      <c r="AE10" s="25" t="n">
        <v>0.0151086198166013</v>
      </c>
      <c r="AF10" s="25" t="n">
        <v>0.0110441483557224</v>
      </c>
      <c r="AG10" s="25" t="n">
        <v>0.006783461663872</v>
      </c>
      <c r="AH10" s="25" t="n">
        <v>0.0286895595490933</v>
      </c>
      <c r="AI10" s="25" t="n">
        <v>0.818920791149139</v>
      </c>
      <c r="AJ10" s="6" t="n">
        <v>356.8</v>
      </c>
      <c r="AK10" s="6" t="n">
        <v>76.8</v>
      </c>
      <c r="AL10" s="26"/>
    </row>
    <row r="11" customFormat="false" ht="15" hidden="false" customHeight="false" outlineLevel="0" collapsed="false">
      <c r="A11" s="6" t="s">
        <v>2941</v>
      </c>
      <c r="B11" s="6" t="s">
        <v>2942</v>
      </c>
      <c r="C11" s="6" t="s">
        <v>2815</v>
      </c>
      <c r="D11" s="13" t="n">
        <v>9.08980655670166</v>
      </c>
      <c r="E11" s="25" t="n">
        <v>0.169516786932945</v>
      </c>
      <c r="F11" s="25" t="n">
        <v>1.864382147789</v>
      </c>
      <c r="G11" s="25" t="n">
        <v>0.110490590333939</v>
      </c>
      <c r="H11" s="25" t="n">
        <v>0.463533759117127</v>
      </c>
      <c r="I11" s="25" t="n">
        <v>1.46160089969635</v>
      </c>
      <c r="J11" s="25" t="n">
        <v>0.014501070022583</v>
      </c>
      <c r="K11" s="25" t="n">
        <v>0.0400364570617676</v>
      </c>
      <c r="L11" s="25" t="n">
        <v>0.0335278472900391</v>
      </c>
      <c r="M11" s="25" t="n">
        <v>0</v>
      </c>
      <c r="N11" s="25" t="n">
        <v>189.595123291016</v>
      </c>
      <c r="O11" s="25" t="n">
        <v>32.151237487793</v>
      </c>
      <c r="P11" s="25" t="n">
        <v>10.8438215255737</v>
      </c>
      <c r="Q11" s="25" t="n">
        <v>4.47207689285278</v>
      </c>
      <c r="R11" s="25" t="n">
        <v>5.28011798858643</v>
      </c>
      <c r="S11" s="25" t="n">
        <v>0.31502029299736</v>
      </c>
      <c r="T11" s="25" t="n">
        <v>0.0427369959652424</v>
      </c>
      <c r="U11" s="25" t="n">
        <v>0.0174843240529299</v>
      </c>
      <c r="V11" s="25" t="n">
        <v>0.129450380802155</v>
      </c>
      <c r="W11" s="25" t="n">
        <v>0.233412027359009</v>
      </c>
      <c r="X11" s="25" t="n">
        <v>0</v>
      </c>
      <c r="Y11" s="25" t="n">
        <v>64.0936889648438</v>
      </c>
      <c r="Z11" s="25" t="n">
        <v>0.0134931765496731</v>
      </c>
      <c r="AA11" s="25" t="n">
        <v>1.76872003078461</v>
      </c>
      <c r="AB11" s="25" t="n">
        <v>1.06627810001373</v>
      </c>
      <c r="AC11" s="25" t="n">
        <v>0.00966433063149452</v>
      </c>
      <c r="AD11" s="25" t="n">
        <v>0.0032976760994643</v>
      </c>
      <c r="AE11" s="25" t="n">
        <v>0.0490077473223209</v>
      </c>
      <c r="AF11" s="25" t="n">
        <v>0.010947990231216</v>
      </c>
      <c r="AG11" s="25" t="n">
        <v>0.0065953521989286</v>
      </c>
      <c r="AH11" s="25" t="n">
        <v>0.0347989685833454</v>
      </c>
      <c r="AI11" s="25" t="n">
        <v>0.92672073841095</v>
      </c>
      <c r="AJ11" s="6" t="n">
        <v>338.9</v>
      </c>
      <c r="AK11" s="6" t="n">
        <v>30.8</v>
      </c>
      <c r="AL11" s="26"/>
    </row>
    <row r="12" customFormat="false" ht="15" hidden="false" customHeight="false" outlineLevel="0" collapsed="false">
      <c r="A12" s="6" t="s">
        <v>2943</v>
      </c>
      <c r="B12" s="6" t="s">
        <v>2944</v>
      </c>
      <c r="C12" s="6" t="s">
        <v>2932</v>
      </c>
      <c r="D12" s="13" t="n">
        <v>32.7487602233887</v>
      </c>
      <c r="E12" s="25" t="n">
        <v>0.555053234100342</v>
      </c>
      <c r="F12" s="25" t="n">
        <v>5.71768617630005</v>
      </c>
      <c r="G12" s="25" t="n">
        <v>0.999981462955475</v>
      </c>
      <c r="H12" s="25" t="n">
        <v>0.257246643304825</v>
      </c>
      <c r="I12" s="25" t="n">
        <v>5.52344274520874</v>
      </c>
      <c r="J12" s="25" t="n">
        <v>0.6273115234375</v>
      </c>
      <c r="K12" s="25" t="n">
        <v>0.248961044311523</v>
      </c>
      <c r="L12" s="25" t="n">
        <v>0.0414986381530762</v>
      </c>
      <c r="M12" s="25" t="n">
        <v>3.40120315551758</v>
      </c>
      <c r="N12" s="25" t="n">
        <v>23.1958141326904</v>
      </c>
      <c r="O12" s="25" t="n">
        <v>66.6499328613281</v>
      </c>
      <c r="P12" s="25" t="n">
        <v>17.8104019165039</v>
      </c>
      <c r="Q12" s="25" t="n">
        <v>13.4688158035278</v>
      </c>
      <c r="R12" s="25" t="n">
        <v>6.5913143157959</v>
      </c>
      <c r="S12" s="25" t="n">
        <v>0.125765845179558</v>
      </c>
      <c r="T12" s="25" t="n">
        <v>0.0691115260124207</v>
      </c>
      <c r="U12" s="25" t="n">
        <v>0.0142272096127272</v>
      </c>
      <c r="V12" s="25" t="n">
        <v>0.305127263069153</v>
      </c>
      <c r="W12" s="25" t="n">
        <v>0.13448865711689</v>
      </c>
      <c r="X12" s="25" t="n">
        <v>10.527533531189</v>
      </c>
      <c r="Y12" s="25" t="n">
        <v>96.5533218383789</v>
      </c>
      <c r="Z12" s="25" t="n">
        <v>0.0675266087055206</v>
      </c>
      <c r="AA12" s="25" t="n">
        <v>0.843776047229767</v>
      </c>
      <c r="AB12" s="25" t="n">
        <v>2.46873903274536</v>
      </c>
      <c r="AC12" s="25" t="n">
        <v>0.0253933351486921</v>
      </c>
      <c r="AD12" s="25" t="n">
        <v>0.0430610850453377</v>
      </c>
      <c r="AE12" s="25" t="n">
        <v>0.0547755658626556</v>
      </c>
      <c r="AF12" s="25" t="n">
        <v>0.142505779862404</v>
      </c>
      <c r="AG12" s="25" t="n">
        <v>0.0183734390884638</v>
      </c>
      <c r="AH12" s="25" t="n">
        <v>0.291311889886856</v>
      </c>
      <c r="AI12" s="25" t="n">
        <v>2.92451882362366</v>
      </c>
      <c r="AJ12" s="6" t="n">
        <v>432.2</v>
      </c>
      <c r="AK12" s="6" t="n">
        <v>141.5</v>
      </c>
      <c r="AL12" s="26"/>
    </row>
    <row r="13" customFormat="false" ht="15" hidden="false" customHeight="false" outlineLevel="0" collapsed="false">
      <c r="A13" s="6" t="s">
        <v>2945</v>
      </c>
      <c r="B13" s="6" t="s">
        <v>2946</v>
      </c>
      <c r="C13" s="6" t="s">
        <v>2932</v>
      </c>
      <c r="D13" s="13" t="n">
        <v>22.4288311004639</v>
      </c>
      <c r="E13" s="25" t="n">
        <v>0.373903691768646</v>
      </c>
      <c r="F13" s="25" t="n">
        <v>5.43163061141968</v>
      </c>
      <c r="G13" s="25" t="n">
        <v>0.0354000739753246</v>
      </c>
      <c r="H13" s="25" t="n">
        <v>0.196716129779816</v>
      </c>
      <c r="I13" s="25" t="n">
        <v>5.21223592758179</v>
      </c>
      <c r="J13" s="25" t="n">
        <v>0.0107133388519287</v>
      </c>
      <c r="K13" s="25" t="n">
        <v>0.00187330722808838</v>
      </c>
      <c r="L13" s="25" t="n">
        <v>0.0168468437194824</v>
      </c>
      <c r="M13" s="25" t="n">
        <v>0</v>
      </c>
      <c r="N13" s="25" t="n">
        <v>1.57346427440643</v>
      </c>
      <c r="O13" s="25" t="n">
        <v>93.0631561279297</v>
      </c>
      <c r="P13" s="25" t="n">
        <v>8.12986850738525</v>
      </c>
      <c r="Q13" s="25" t="n">
        <v>11.4560461044312</v>
      </c>
      <c r="R13" s="25" t="n">
        <v>7.62340927124023</v>
      </c>
      <c r="S13" s="25" t="n">
        <v>0.27676385641098</v>
      </c>
      <c r="T13" s="25" t="n">
        <v>0.0429333299398422</v>
      </c>
      <c r="U13" s="25" t="n">
        <v>0.00828003045171499</v>
      </c>
      <c r="V13" s="25" t="n">
        <v>0.168701738119125</v>
      </c>
      <c r="W13" s="25" t="n">
        <v>0.156958311796188</v>
      </c>
      <c r="X13" s="25" t="n">
        <v>0</v>
      </c>
      <c r="Y13" s="25" t="n">
        <v>219.747177124023</v>
      </c>
      <c r="Z13" s="25" t="n">
        <v>0.154350861907005</v>
      </c>
      <c r="AA13" s="25" t="n">
        <v>2.31161403656006</v>
      </c>
      <c r="AB13" s="25" t="n">
        <v>20.9225406646729</v>
      </c>
      <c r="AC13" s="25" t="n">
        <v>0.0346326753497124</v>
      </c>
      <c r="AD13" s="25" t="n">
        <v>0.0125973392277956</v>
      </c>
      <c r="AE13" s="25" t="n">
        <v>0.107482314109802</v>
      </c>
      <c r="AF13" s="25" t="n">
        <v>0.122990339994431</v>
      </c>
      <c r="AG13" s="25" t="n">
        <v>0.0288218166679144</v>
      </c>
      <c r="AH13" s="25" t="n">
        <v>0.454041570425034</v>
      </c>
      <c r="AI13" s="25" t="n">
        <v>12.9169149398804</v>
      </c>
      <c r="AJ13" s="6" t="n">
        <v>494.7</v>
      </c>
      <c r="AK13" s="6" t="n">
        <v>110.9</v>
      </c>
      <c r="AL13" s="26"/>
    </row>
    <row r="14" customFormat="false" ht="15" hidden="false" customHeight="false" outlineLevel="0" collapsed="false">
      <c r="A14" s="6" t="s">
        <v>2947</v>
      </c>
      <c r="B14" s="6" t="s">
        <v>2948</v>
      </c>
      <c r="C14" s="6" t="s">
        <v>2949</v>
      </c>
      <c r="D14" s="13" t="n">
        <v>90.0999984741211</v>
      </c>
      <c r="E14" s="25" t="n">
        <v>3.36282730102539</v>
      </c>
      <c r="F14" s="25" t="n">
        <v>9.23403167724609</v>
      </c>
      <c r="G14" s="25" t="n">
        <v>4.56282711029053</v>
      </c>
      <c r="H14" s="25" t="n">
        <v>0</v>
      </c>
      <c r="I14" s="25" t="n">
        <v>9.00628280639648</v>
      </c>
      <c r="J14" s="25" t="n">
        <v>2.75214672851563</v>
      </c>
      <c r="K14" s="25" t="n">
        <v>1.25717272949219</v>
      </c>
      <c r="L14" s="25" t="n">
        <v>0.139476440429688</v>
      </c>
      <c r="M14" s="25" t="n">
        <v>0</v>
      </c>
      <c r="N14" s="25" t="n">
        <v>24.2031402587891</v>
      </c>
      <c r="O14" s="25" t="n">
        <v>132.146591186523</v>
      </c>
      <c r="P14" s="25" t="n">
        <v>113.664916992188</v>
      </c>
      <c r="Q14" s="25" t="n">
        <v>101.407325744629</v>
      </c>
      <c r="R14" s="25" t="n">
        <v>16.0544509887695</v>
      </c>
      <c r="S14" s="25" t="n">
        <v>0.314659684896469</v>
      </c>
      <c r="T14" s="25" t="n">
        <v>0.423560202121735</v>
      </c>
      <c r="U14" s="25" t="n">
        <v>0.0945549756288528</v>
      </c>
      <c r="V14" s="25" t="n">
        <v>0.895287990570068</v>
      </c>
      <c r="W14" s="25" t="n">
        <v>0.00942408293485642</v>
      </c>
      <c r="X14" s="25" t="n">
        <v>0</v>
      </c>
      <c r="Y14" s="25" t="n">
        <v>189.109954833984</v>
      </c>
      <c r="Z14" s="25" t="n">
        <v>0.218010470271111</v>
      </c>
      <c r="AA14" s="25" t="n">
        <v>0.0235602110624313</v>
      </c>
      <c r="AB14" s="25" t="n">
        <v>1.89424085617065</v>
      </c>
      <c r="AC14" s="25" t="n">
        <v>0.0307853408157826</v>
      </c>
      <c r="AD14" s="25" t="n">
        <v>0.104607328772545</v>
      </c>
      <c r="AE14" s="25" t="n">
        <v>0.102094240486622</v>
      </c>
      <c r="AF14" s="25" t="n">
        <v>0.320418834686279</v>
      </c>
      <c r="AG14" s="25" t="n">
        <v>0.0387958101928234</v>
      </c>
      <c r="AH14" s="25" t="n">
        <v>1.86596858501434</v>
      </c>
      <c r="AI14" s="25" t="n">
        <v>7.22198963165283</v>
      </c>
      <c r="AJ14" s="6" t="n">
        <v>191</v>
      </c>
      <c r="AK14" s="6" t="n">
        <v>172.1</v>
      </c>
      <c r="AL14" s="26"/>
    </row>
    <row r="15" customFormat="false" ht="15" hidden="false" customHeight="false" outlineLevel="0" collapsed="false">
      <c r="A15" s="6" t="s">
        <v>253</v>
      </c>
      <c r="B15" s="6" t="s">
        <v>251</v>
      </c>
      <c r="C15" s="6" t="s">
        <v>2932</v>
      </c>
      <c r="D15" s="13" t="n">
        <v>67.8487548828125</v>
      </c>
      <c r="E15" s="25" t="n">
        <v>1.57014918327332</v>
      </c>
      <c r="F15" s="25" t="n">
        <v>11.244776725769</v>
      </c>
      <c r="G15" s="25" t="n">
        <v>2.10945272445679</v>
      </c>
      <c r="H15" s="25" t="n">
        <v>0.00796019937843084</v>
      </c>
      <c r="I15" s="25" t="n">
        <v>11.1800994873047</v>
      </c>
      <c r="J15" s="25" t="n">
        <v>1.28398010253906</v>
      </c>
      <c r="K15" s="25" t="n">
        <v>0.567960205078125</v>
      </c>
      <c r="L15" s="25" t="n">
        <v>0.0676616973876953</v>
      </c>
      <c r="M15" s="25" t="n">
        <v>1.17014932632446</v>
      </c>
      <c r="N15" s="25" t="n">
        <v>13.8447761535645</v>
      </c>
      <c r="O15" s="25" t="n">
        <v>90.2686538696289</v>
      </c>
      <c r="P15" s="25" t="n">
        <v>53.2935333251953</v>
      </c>
      <c r="Q15" s="25" t="n">
        <v>44.9791069030762</v>
      </c>
      <c r="R15" s="25" t="n">
        <v>7.25572109222412</v>
      </c>
      <c r="S15" s="25" t="n">
        <v>0.123781092464924</v>
      </c>
      <c r="T15" s="25" t="n">
        <v>0.162189051508904</v>
      </c>
      <c r="U15" s="25" t="n">
        <v>0.028457710519433</v>
      </c>
      <c r="V15" s="25" t="n">
        <v>0.507462680339813</v>
      </c>
      <c r="W15" s="25" t="n">
        <v>0.0248756222426891</v>
      </c>
      <c r="X15" s="25" t="n">
        <v>3.62189054489136</v>
      </c>
      <c r="Y15" s="25" t="n">
        <v>81.3930358886719</v>
      </c>
      <c r="Z15" s="25" t="n">
        <v>0.107064679265022</v>
      </c>
      <c r="AA15" s="25" t="n">
        <v>0.042786069214344</v>
      </c>
      <c r="AB15" s="25" t="n">
        <v>0.839800953865051</v>
      </c>
      <c r="AC15" s="25" t="n">
        <v>0.0163184069097042</v>
      </c>
      <c r="AD15" s="25" t="n">
        <v>0.057014923542738</v>
      </c>
      <c r="AE15" s="25" t="n">
        <v>0.286567181348801</v>
      </c>
      <c r="AF15" s="25" t="n">
        <v>0.177114427089691</v>
      </c>
      <c r="AG15" s="25" t="n">
        <v>0.0177114438265562</v>
      </c>
      <c r="AH15" s="25" t="n">
        <v>1.54228854179382</v>
      </c>
      <c r="AI15" s="25" t="n">
        <v>3.14626860618591</v>
      </c>
      <c r="AJ15" s="6" t="n">
        <v>301.5</v>
      </c>
      <c r="AK15" s="6" t="n">
        <v>204.6</v>
      </c>
      <c r="AL15" s="26"/>
    </row>
    <row r="16" customFormat="false" ht="15" hidden="false" customHeight="false" outlineLevel="0" collapsed="false">
      <c r="A16" s="6" t="s">
        <v>404</v>
      </c>
      <c r="B16" s="6" t="s">
        <v>2950</v>
      </c>
      <c r="C16" s="6" t="s">
        <v>2932</v>
      </c>
      <c r="D16" s="13" t="n">
        <v>65.3064498901367</v>
      </c>
      <c r="E16" s="25" t="n">
        <v>1.84329962730408</v>
      </c>
      <c r="F16" s="25" t="n">
        <v>9.14558601379395</v>
      </c>
      <c r="G16" s="25" t="n">
        <v>2.37123012542725</v>
      </c>
      <c r="H16" s="25" t="n">
        <v>0.255861073732376</v>
      </c>
      <c r="I16" s="25" t="n">
        <v>7.95600605010986</v>
      </c>
      <c r="J16" s="25" t="n">
        <v>1.42306799316406</v>
      </c>
      <c r="K16" s="25" t="n">
        <v>0.63416845703125</v>
      </c>
      <c r="L16" s="25" t="n">
        <v>0.0871895751953125</v>
      </c>
      <c r="M16" s="25" t="n">
        <v>0</v>
      </c>
      <c r="N16" s="25" t="n">
        <v>13.6086826324463</v>
      </c>
      <c r="O16" s="25" t="n">
        <v>102.425468444824</v>
      </c>
      <c r="P16" s="25" t="n">
        <v>62.6390724182129</v>
      </c>
      <c r="Q16" s="25" t="n">
        <v>52.7722129821777</v>
      </c>
      <c r="R16" s="25" t="n">
        <v>7.91664266586304</v>
      </c>
      <c r="S16" s="25" t="n">
        <v>0.131751090288162</v>
      </c>
      <c r="T16" s="25" t="n">
        <v>0.193082481622696</v>
      </c>
      <c r="U16" s="25" t="n">
        <v>0.0338986963033676</v>
      </c>
      <c r="V16" s="25" t="n">
        <v>0.494934886693955</v>
      </c>
      <c r="W16" s="25" t="n">
        <v>0.0475542657077313</v>
      </c>
      <c r="X16" s="25" t="n">
        <v>0</v>
      </c>
      <c r="Y16" s="25" t="n">
        <v>134.298126220703</v>
      </c>
      <c r="Z16" s="25" t="n">
        <v>0.125036180019379</v>
      </c>
      <c r="AA16" s="25" t="n">
        <v>0.254703313112259</v>
      </c>
      <c r="AB16" s="25" t="n">
        <v>1.98031842708588</v>
      </c>
      <c r="AC16" s="25" t="n">
        <v>0.0168191026896238</v>
      </c>
      <c r="AD16" s="25" t="n">
        <v>0.0622141808271408</v>
      </c>
      <c r="AE16" s="25" t="n">
        <v>0.0984804630279541</v>
      </c>
      <c r="AF16" s="25" t="n">
        <v>0.217756867408752</v>
      </c>
      <c r="AG16" s="25" t="n">
        <v>0.079959474503994</v>
      </c>
      <c r="AH16" s="25" t="n">
        <v>1.20984077453613</v>
      </c>
      <c r="AI16" s="25" t="n">
        <v>5.73835039138794</v>
      </c>
      <c r="AJ16" s="6" t="n">
        <v>345.5</v>
      </c>
      <c r="AK16" s="6" t="n">
        <v>225.6</v>
      </c>
      <c r="AL16" s="26"/>
    </row>
    <row r="17" customFormat="false" ht="15" hidden="false" customHeight="false" outlineLevel="0" collapsed="false">
      <c r="A17" s="6" t="s">
        <v>410</v>
      </c>
      <c r="B17" s="6" t="s">
        <v>2951</v>
      </c>
      <c r="C17" s="6" t="s">
        <v>2932</v>
      </c>
      <c r="D17" s="13" t="n">
        <v>56.901123046875</v>
      </c>
      <c r="E17" s="25" t="n">
        <v>1.72675108909607</v>
      </c>
      <c r="F17" s="25" t="n">
        <v>7.23150491714478</v>
      </c>
      <c r="G17" s="25" t="n">
        <v>2.34587907791138</v>
      </c>
      <c r="H17" s="25" t="n">
        <v>0.264416307210922</v>
      </c>
      <c r="I17" s="25" t="n">
        <v>7.14852333068848</v>
      </c>
      <c r="J17" s="25" t="n">
        <v>1.39457104492188</v>
      </c>
      <c r="K17" s="25" t="n">
        <v>0.633558349609375</v>
      </c>
      <c r="L17" s="25" t="n">
        <v>0.088450065612793</v>
      </c>
      <c r="M17" s="25" t="n">
        <v>0</v>
      </c>
      <c r="N17" s="25" t="n">
        <v>13.2736988067627</v>
      </c>
      <c r="O17" s="25" t="n">
        <v>79.0661010742188</v>
      </c>
      <c r="P17" s="25" t="n">
        <v>62.3333320617676</v>
      </c>
      <c r="Q17" s="25" t="n">
        <v>50.4987335205078</v>
      </c>
      <c r="R17" s="25" t="n">
        <v>6.1713080406189</v>
      </c>
      <c r="S17" s="25" t="n">
        <v>0.15476793050766</v>
      </c>
      <c r="T17" s="25" t="n">
        <v>0.187651187181473</v>
      </c>
      <c r="U17" s="25" t="n">
        <v>0.0335077345371246</v>
      </c>
      <c r="V17" s="25" t="n">
        <v>0.74964839220047</v>
      </c>
      <c r="W17" s="25" t="n">
        <v>0.0366526022553444</v>
      </c>
      <c r="X17" s="25" t="n">
        <v>0</v>
      </c>
      <c r="Y17" s="25" t="n">
        <v>301.547119140625</v>
      </c>
      <c r="Z17" s="25" t="n">
        <v>0.15077355504036</v>
      </c>
      <c r="AA17" s="25" t="n">
        <v>0.670886099338532</v>
      </c>
      <c r="AB17" s="25" t="n">
        <v>5.65485239028931</v>
      </c>
      <c r="AC17" s="25" t="n">
        <v>0.0194402262568474</v>
      </c>
      <c r="AD17" s="25" t="n">
        <v>0.0615893118083477</v>
      </c>
      <c r="AE17" s="25" t="n">
        <v>0.0782700404524803</v>
      </c>
      <c r="AF17" s="25" t="n">
        <v>0.18912798166275</v>
      </c>
      <c r="AG17" s="25" t="n">
        <v>0.0372039377689362</v>
      </c>
      <c r="AH17" s="25" t="n">
        <v>1.22756683826447</v>
      </c>
      <c r="AI17" s="25" t="n">
        <v>15.0995788574219</v>
      </c>
      <c r="AJ17" s="6" t="n">
        <v>355.5</v>
      </c>
      <c r="AK17" s="6" t="n">
        <v>202.3</v>
      </c>
      <c r="AL17" s="26"/>
    </row>
    <row r="18" customFormat="false" ht="15" hidden="false" customHeight="false" outlineLevel="0" collapsed="false">
      <c r="A18" s="6" t="s">
        <v>2952</v>
      </c>
      <c r="B18" s="6" t="s">
        <v>2953</v>
      </c>
      <c r="C18" s="6" t="s">
        <v>2932</v>
      </c>
      <c r="D18" s="13" t="n">
        <v>55.7176933288574</v>
      </c>
      <c r="E18" s="25" t="n">
        <v>1.65925931930542</v>
      </c>
      <c r="F18" s="25" t="n">
        <v>7.62469148635864</v>
      </c>
      <c r="G18" s="25" t="n">
        <v>2.22880673408508</v>
      </c>
      <c r="H18" s="25" t="n">
        <v>0</v>
      </c>
      <c r="I18" s="25" t="n">
        <v>7.60000038146973</v>
      </c>
      <c r="J18" s="25" t="n">
        <v>1.33679016113281</v>
      </c>
      <c r="K18" s="25" t="n">
        <v>0.599506164550781</v>
      </c>
      <c r="L18" s="25" t="n">
        <v>0.0681481475830078</v>
      </c>
      <c r="M18" s="25" t="n">
        <v>0</v>
      </c>
      <c r="N18" s="25" t="n">
        <v>14.0543203353882</v>
      </c>
      <c r="O18" s="25" t="n">
        <v>65.6790084838867</v>
      </c>
      <c r="P18" s="25" t="n">
        <v>59.9176940917969</v>
      </c>
      <c r="Q18" s="25" t="n">
        <v>47.8814811706543</v>
      </c>
      <c r="R18" s="25" t="n">
        <v>5.14238691329956</v>
      </c>
      <c r="S18" s="25" t="n">
        <v>0.113580249249935</v>
      </c>
      <c r="T18" s="25" t="n">
        <v>0.18271604180336</v>
      </c>
      <c r="U18" s="25" t="n">
        <v>0.0220576133579016</v>
      </c>
      <c r="V18" s="25" t="n">
        <v>0.469135820865631</v>
      </c>
      <c r="W18" s="25" t="n">
        <v>0.120164602994919</v>
      </c>
      <c r="X18" s="25" t="n">
        <v>0</v>
      </c>
      <c r="Y18" s="25" t="n">
        <v>100.082305908203</v>
      </c>
      <c r="Z18" s="25" t="n">
        <v>0.113580249249935</v>
      </c>
      <c r="AA18" s="25" t="n">
        <v>0</v>
      </c>
      <c r="AB18" s="25" t="n">
        <v>2.8032922744751</v>
      </c>
      <c r="AC18" s="25" t="n">
        <v>0.0246913582086563</v>
      </c>
      <c r="AD18" s="25" t="n">
        <v>0.0559670776128769</v>
      </c>
      <c r="AE18" s="25" t="n">
        <v>0.0559670776128769</v>
      </c>
      <c r="AF18" s="25" t="n">
        <v>0.179423868656158</v>
      </c>
      <c r="AG18" s="25" t="n">
        <v>0.0279835388064385</v>
      </c>
      <c r="AH18" s="25" t="n">
        <v>0.977777719497681</v>
      </c>
      <c r="AI18" s="25" t="n">
        <v>4.78847742080689</v>
      </c>
      <c r="AJ18" s="6" t="n">
        <v>364.5</v>
      </c>
      <c r="AK18" s="6" t="n">
        <v>203.1</v>
      </c>
      <c r="AL18" s="26"/>
    </row>
    <row r="19" customFormat="false" ht="15" hidden="false" customHeight="false" outlineLevel="0" collapsed="false">
      <c r="A19" s="6" t="s">
        <v>2954</v>
      </c>
      <c r="B19" s="6" t="s">
        <v>2955</v>
      </c>
      <c r="C19" s="6" t="s">
        <v>2932</v>
      </c>
      <c r="D19" s="13" t="n">
        <v>57.4150238037109</v>
      </c>
      <c r="E19" s="25" t="n">
        <v>1.86478877067566</v>
      </c>
      <c r="F19" s="25" t="n">
        <v>7.10704231262207</v>
      </c>
      <c r="G19" s="25" t="n">
        <v>2.52394366264343</v>
      </c>
      <c r="H19" s="25" t="n">
        <v>0</v>
      </c>
      <c r="I19" s="25" t="n">
        <v>7.07887315750122</v>
      </c>
      <c r="J19" s="25" t="n">
        <v>1.52507043457031</v>
      </c>
      <c r="K19" s="25" t="n">
        <v>0.683943664550781</v>
      </c>
      <c r="L19" s="25" t="n">
        <v>0.0777464752197266</v>
      </c>
      <c r="M19" s="25" t="n">
        <v>0</v>
      </c>
      <c r="N19" s="25" t="n">
        <v>14.6253519058228</v>
      </c>
      <c r="O19" s="25" t="n">
        <v>73.4272308349609</v>
      </c>
      <c r="P19" s="25" t="n">
        <v>67.417839050293</v>
      </c>
      <c r="Q19" s="25" t="n">
        <v>55.4704208374023</v>
      </c>
      <c r="R19" s="25" t="n">
        <v>5.3032865524292</v>
      </c>
      <c r="S19" s="25" t="n">
        <v>0.106103293597698</v>
      </c>
      <c r="T19" s="25" t="n">
        <v>0.189671352505684</v>
      </c>
      <c r="U19" s="25" t="n">
        <v>0.0214084517210722</v>
      </c>
      <c r="V19" s="25" t="n">
        <v>0.535211265087128</v>
      </c>
      <c r="W19" s="25" t="n">
        <v>0.0103286383673549</v>
      </c>
      <c r="X19" s="25" t="n">
        <v>0</v>
      </c>
      <c r="Y19" s="25" t="n">
        <v>115.25821685791</v>
      </c>
      <c r="Z19" s="25" t="n">
        <v>0.140375584363937</v>
      </c>
      <c r="AA19" s="25" t="n">
        <v>0</v>
      </c>
      <c r="AB19" s="25" t="n">
        <v>3.38591551780701</v>
      </c>
      <c r="AC19" s="25" t="n">
        <v>0.0206572767347097</v>
      </c>
      <c r="AD19" s="25" t="n">
        <v>0.062910795211792</v>
      </c>
      <c r="AE19" s="25" t="n">
        <v>0.0544600933790207</v>
      </c>
      <c r="AF19" s="25" t="n">
        <v>0.204225346446037</v>
      </c>
      <c r="AG19" s="25" t="n">
        <v>0.0248826276510954</v>
      </c>
      <c r="AH19" s="25" t="n">
        <v>1.16244125366211</v>
      </c>
      <c r="AI19" s="25" t="n">
        <v>5.27511739730835</v>
      </c>
      <c r="AJ19" s="6" t="n">
        <v>319.5</v>
      </c>
      <c r="AK19" s="6" t="n">
        <v>183.4</v>
      </c>
      <c r="AL19" s="26"/>
    </row>
    <row r="20" customFormat="false" ht="15" hidden="false" customHeight="false" outlineLevel="0" collapsed="false">
      <c r="A20" s="6" t="s">
        <v>2956</v>
      </c>
      <c r="B20" s="6" t="s">
        <v>2957</v>
      </c>
      <c r="C20" s="6" t="s">
        <v>2932</v>
      </c>
      <c r="D20" s="13" t="n">
        <v>97.1414489746094</v>
      </c>
      <c r="E20" s="25" t="n">
        <v>4.77630949020386</v>
      </c>
      <c r="F20" s="25" t="n">
        <v>8.14504146575928</v>
      </c>
      <c r="G20" s="25" t="n">
        <v>5.11044454574585</v>
      </c>
      <c r="H20" s="25" t="n">
        <v>0.0197528842836618</v>
      </c>
      <c r="I20" s="25" t="n">
        <v>8.06174659729004</v>
      </c>
      <c r="J20" s="25" t="n">
        <v>2.63350732421875</v>
      </c>
      <c r="K20" s="25" t="n">
        <v>1.53620593261719</v>
      </c>
      <c r="L20" s="25" t="n">
        <v>0.299550262451172</v>
      </c>
      <c r="M20" s="25" t="n">
        <v>60.2965393066406</v>
      </c>
      <c r="N20" s="25" t="n">
        <v>40.6476287841797</v>
      </c>
      <c r="O20" s="25" t="n">
        <v>115.140029907227</v>
      </c>
      <c r="P20" s="25" t="n">
        <v>102.131797790527</v>
      </c>
      <c r="Q20" s="25" t="n">
        <v>107.235260009766</v>
      </c>
      <c r="R20" s="25" t="n">
        <v>8.99406909942627</v>
      </c>
      <c r="S20" s="25" t="n">
        <v>0.430593103170395</v>
      </c>
      <c r="T20" s="25" t="n">
        <v>0.470296531915665</v>
      </c>
      <c r="U20" s="25" t="n">
        <v>0.0422141663730145</v>
      </c>
      <c r="V20" s="25" t="n">
        <v>7.42558479309082</v>
      </c>
      <c r="W20" s="25" t="n">
        <v>0.0175947286188602</v>
      </c>
      <c r="X20" s="25" t="n">
        <v>32.6194381713867</v>
      </c>
      <c r="Y20" s="25" t="n">
        <v>180.528686523438</v>
      </c>
      <c r="Z20" s="25" t="n">
        <v>0.424728155136108</v>
      </c>
      <c r="AA20" s="25" t="n">
        <v>0.100362434983254</v>
      </c>
      <c r="AB20" s="25" t="n">
        <v>1.58945631980896</v>
      </c>
      <c r="AC20" s="25" t="n">
        <v>0.0337100476026535</v>
      </c>
      <c r="AD20" s="25" t="n">
        <v>0.118682041764259</v>
      </c>
      <c r="AE20" s="25" t="n">
        <v>0.0836243852972984</v>
      </c>
      <c r="AF20" s="25" t="n">
        <v>0.511696875095367</v>
      </c>
      <c r="AG20" s="25" t="n">
        <v>0.0582405254244804</v>
      </c>
      <c r="AH20" s="25" t="n">
        <v>4.5732946395874</v>
      </c>
      <c r="AI20" s="25" t="n">
        <v>13.807544708252</v>
      </c>
      <c r="AJ20" s="6" t="n">
        <v>303.5</v>
      </c>
      <c r="AK20" s="6" t="n">
        <v>294.8</v>
      </c>
      <c r="AL20" s="26"/>
    </row>
    <row r="21" customFormat="false" ht="15" hidden="false" customHeight="false" outlineLevel="0" collapsed="false">
      <c r="A21" s="6" t="s">
        <v>367</v>
      </c>
      <c r="B21" s="6" t="s">
        <v>2958</v>
      </c>
      <c r="C21" s="6" t="s">
        <v>2932</v>
      </c>
      <c r="D21" s="13" t="n">
        <v>35.661018371582</v>
      </c>
      <c r="E21" s="25" t="n">
        <v>1.28813552856445</v>
      </c>
      <c r="F21" s="25" t="n">
        <v>6.50847482681274</v>
      </c>
      <c r="G21" s="25" t="n">
        <v>0.677966117858887</v>
      </c>
      <c r="H21" s="25" t="n">
        <v>0</v>
      </c>
      <c r="I21" s="25" t="n">
        <v>6.50847482681274</v>
      </c>
      <c r="J21" s="25" t="n">
        <v>0.431638427734375</v>
      </c>
      <c r="K21" s="25" t="n">
        <v>0.178531066894531</v>
      </c>
      <c r="L21" s="25" t="n">
        <v>0.0225988693237305</v>
      </c>
      <c r="M21" s="25" t="n">
        <v>2.48587560653687</v>
      </c>
      <c r="N21" s="25" t="n">
        <v>18.3050842285156</v>
      </c>
      <c r="O21" s="25" t="n">
        <v>63.5028266906738</v>
      </c>
      <c r="P21" s="25" t="n">
        <v>45.6497192382813</v>
      </c>
      <c r="Q21" s="25" t="n">
        <v>38.4632759094238</v>
      </c>
      <c r="R21" s="25" t="n">
        <v>4.38418102264404</v>
      </c>
      <c r="S21" s="25" t="n">
        <v>0.0316384173929691</v>
      </c>
      <c r="T21" s="25" t="n">
        <v>0.16271185874939</v>
      </c>
      <c r="U21" s="25" t="n">
        <v>0.00542372884228826</v>
      </c>
      <c r="V21" s="25" t="n">
        <v>0.451977401971817</v>
      </c>
      <c r="W21" s="25" t="n">
        <v>0</v>
      </c>
      <c r="X21" s="25" t="n">
        <v>6.3276834487915</v>
      </c>
      <c r="Y21" s="25" t="n">
        <v>4.74576282501221</v>
      </c>
      <c r="Z21" s="25" t="n">
        <v>0.0112994350492954</v>
      </c>
      <c r="AA21" s="25" t="n">
        <v>0</v>
      </c>
      <c r="AB21" s="25" t="n">
        <v>0.225988700985909</v>
      </c>
      <c r="AC21" s="25" t="n">
        <v>0.01355932187289</v>
      </c>
      <c r="AD21" s="25" t="n">
        <v>0.0610169507563114</v>
      </c>
      <c r="AE21" s="25" t="n">
        <v>0.0451977401971817</v>
      </c>
      <c r="AF21" s="25" t="n">
        <v>0.112994350492954</v>
      </c>
      <c r="AG21" s="25" t="n">
        <v>0.0225988700985909</v>
      </c>
      <c r="AH21" s="25" t="n">
        <v>0.587570607662201</v>
      </c>
      <c r="AI21" s="25" t="n">
        <v>4.06779670715332</v>
      </c>
      <c r="AJ21" s="6" t="n">
        <v>442.5</v>
      </c>
      <c r="AK21" s="6" t="n">
        <v>157.8</v>
      </c>
      <c r="AL21" s="26"/>
    </row>
    <row r="22" customFormat="false" ht="15" hidden="false" customHeight="false" outlineLevel="0" collapsed="false">
      <c r="A22" s="6" t="s">
        <v>373</v>
      </c>
      <c r="B22" s="6" t="s">
        <v>2959</v>
      </c>
      <c r="C22" s="6" t="s">
        <v>2932</v>
      </c>
      <c r="D22" s="13" t="n">
        <v>18.8449420928955</v>
      </c>
      <c r="E22" s="25" t="n">
        <v>1.35493791103363</v>
      </c>
      <c r="F22" s="25" t="n">
        <v>1.8562433719635</v>
      </c>
      <c r="G22" s="25" t="n">
        <v>0.718629658222199</v>
      </c>
      <c r="H22" s="25" t="n">
        <v>0.0179267562925816</v>
      </c>
      <c r="I22" s="25" t="n">
        <v>1.84369766712189</v>
      </c>
      <c r="J22" s="25" t="n">
        <v>0.451635559082031</v>
      </c>
      <c r="K22" s="25" t="n">
        <v>0.191600112915039</v>
      </c>
      <c r="L22" s="25" t="n">
        <v>0.0261742477416992</v>
      </c>
      <c r="M22" s="25" t="n">
        <v>2.59893679618835</v>
      </c>
      <c r="N22" s="25" t="n">
        <v>65.4016571044922</v>
      </c>
      <c r="O22" s="25" t="n">
        <v>67.373893737793</v>
      </c>
      <c r="P22" s="25" t="n">
        <v>47.7838172912598</v>
      </c>
      <c r="Q22" s="25" t="n">
        <v>40.392204284668</v>
      </c>
      <c r="R22" s="25" t="n">
        <v>4.83992910385132</v>
      </c>
      <c r="S22" s="25" t="n">
        <v>0.0361370332539082</v>
      </c>
      <c r="T22" s="25" t="n">
        <v>0.168038979172707</v>
      </c>
      <c r="U22" s="25" t="n">
        <v>0.000767867721151561</v>
      </c>
      <c r="V22" s="25" t="n">
        <v>0.474902540445328</v>
      </c>
      <c r="W22" s="25" t="n">
        <v>0.00248670997098088</v>
      </c>
      <c r="X22" s="25" t="n">
        <v>6.61547565460205</v>
      </c>
      <c r="Y22" s="25" t="n">
        <v>5.288245677948</v>
      </c>
      <c r="Z22" s="25" t="n">
        <v>0.0126934433355928</v>
      </c>
      <c r="AA22" s="25" t="n">
        <v>0.0862374529242516</v>
      </c>
      <c r="AB22" s="25" t="n">
        <v>0.240992322564125</v>
      </c>
      <c r="AC22" s="25" t="n">
        <v>0.0144831659272313</v>
      </c>
      <c r="AD22" s="25" t="n">
        <v>0.063868872821331</v>
      </c>
      <c r="AE22" s="25" t="n">
        <v>0.0489486120641232</v>
      </c>
      <c r="AF22" s="25" t="n">
        <v>0.118263438344002</v>
      </c>
      <c r="AG22" s="25" t="n">
        <v>0.0238570589572191</v>
      </c>
      <c r="AH22" s="25" t="n">
        <v>0.615002930164337</v>
      </c>
      <c r="AI22" s="25" t="n">
        <v>4.26922035217285</v>
      </c>
      <c r="AJ22" s="6" t="n">
        <v>423.2</v>
      </c>
      <c r="AK22" s="6" t="n">
        <v>79.8</v>
      </c>
      <c r="AL22" s="26"/>
    </row>
    <row r="23" customFormat="false" ht="15" hidden="false" customHeight="false" outlineLevel="0" collapsed="false">
      <c r="A23" s="6" t="s">
        <v>560</v>
      </c>
      <c r="B23" s="6" t="s">
        <v>2960</v>
      </c>
      <c r="C23" s="6" t="s">
        <v>2961</v>
      </c>
      <c r="D23" s="13" t="n">
        <v>218.114669799805</v>
      </c>
      <c r="E23" s="25" t="n">
        <v>6.79560518264771</v>
      </c>
      <c r="F23" s="25" t="n">
        <v>27.4014339447022</v>
      </c>
      <c r="G23" s="25" t="n">
        <v>9.78044891357422</v>
      </c>
      <c r="H23" s="25" t="n">
        <v>2.07874441146851</v>
      </c>
      <c r="I23" s="25" t="n">
        <v>2.3799102306366</v>
      </c>
      <c r="J23" s="25" t="n">
        <v>5.27639111328125</v>
      </c>
      <c r="K23" s="25" t="n">
        <v>2.27700170898438</v>
      </c>
      <c r="L23" s="25" t="n">
        <v>0.351372192382813</v>
      </c>
      <c r="M23" s="25" t="n">
        <v>23.0493259429932</v>
      </c>
      <c r="N23" s="25" t="n">
        <v>437.500793457031</v>
      </c>
      <c r="O23" s="25" t="n">
        <v>142.313903808594</v>
      </c>
      <c r="P23" s="25" t="n">
        <v>113.789237976074</v>
      </c>
      <c r="Q23" s="25" t="n">
        <v>89.9775772094727</v>
      </c>
      <c r="R23" s="25" t="n">
        <v>18.8591918945313</v>
      </c>
      <c r="S23" s="25" t="n">
        <v>0.990627765655518</v>
      </c>
      <c r="T23" s="25" t="n">
        <v>0.55533629655838</v>
      </c>
      <c r="U23" s="25" t="n">
        <v>0.0961434990167618</v>
      </c>
      <c r="V23" s="25" t="n">
        <v>4.57098627090454</v>
      </c>
      <c r="W23" s="25" t="n">
        <v>0.322869956493378</v>
      </c>
      <c r="X23" s="25" t="n">
        <v>97.3991088867188</v>
      </c>
      <c r="Y23" s="25" t="n">
        <v>518.112121582031</v>
      </c>
      <c r="Z23" s="25" t="n">
        <v>0.252331852912903</v>
      </c>
      <c r="AA23" s="25" t="n">
        <v>5.85381174087524</v>
      </c>
      <c r="AB23" s="25" t="n">
        <v>22.062780380249</v>
      </c>
      <c r="AC23" s="25" t="n">
        <v>0.136591926217079</v>
      </c>
      <c r="AD23" s="25" t="n">
        <v>0.0927802696824074</v>
      </c>
      <c r="AE23" s="25" t="n">
        <v>1.00112104415894</v>
      </c>
      <c r="AF23" s="25" t="n">
        <v>0.0973094180226326</v>
      </c>
      <c r="AG23" s="25" t="n">
        <v>0.0747533589601517</v>
      </c>
      <c r="AH23" s="25" t="n">
        <v>1.77170395851135</v>
      </c>
      <c r="AI23" s="25" t="n">
        <v>28.9501781463623</v>
      </c>
      <c r="AJ23" s="6" t="n">
        <v>55.8</v>
      </c>
      <c r="AK23" s="6" t="n">
        <v>121.6</v>
      </c>
      <c r="AL23" s="26"/>
    </row>
    <row r="24" customFormat="false" ht="15" hidden="false" customHeight="false" outlineLevel="0" collapsed="false">
      <c r="A24" s="6" t="s">
        <v>565</v>
      </c>
      <c r="B24" s="6" t="s">
        <v>2962</v>
      </c>
      <c r="C24" s="6" t="s">
        <v>2961</v>
      </c>
      <c r="D24" s="13" t="n">
        <v>285.957092285156</v>
      </c>
      <c r="E24" s="25" t="n">
        <v>8.69467926025391</v>
      </c>
      <c r="F24" s="25" t="n">
        <v>29.1572399139404</v>
      </c>
      <c r="G24" s="25" t="n">
        <v>15.7977342605591</v>
      </c>
      <c r="H24" s="25" t="n">
        <v>1.87763547897339</v>
      </c>
      <c r="I24" s="25" t="n">
        <v>1.86364531517029</v>
      </c>
      <c r="J24" s="25" t="n">
        <v>8.4372119140625</v>
      </c>
      <c r="K24" s="25" t="n">
        <v>4.04735473632813</v>
      </c>
      <c r="L24" s="25" t="n">
        <v>0.733871948242188</v>
      </c>
      <c r="M24" s="25" t="n">
        <v>121.625617980957</v>
      </c>
      <c r="N24" s="25" t="n">
        <v>461.670349121094</v>
      </c>
      <c r="O24" s="25" t="n">
        <v>129.586212158203</v>
      </c>
      <c r="P24" s="25" t="n">
        <v>110.133003234863</v>
      </c>
      <c r="Q24" s="25" t="n">
        <v>107.315269470215</v>
      </c>
      <c r="R24" s="25" t="n">
        <v>18.8793106079102</v>
      </c>
      <c r="S24" s="25" t="n">
        <v>1.44192111492157</v>
      </c>
      <c r="T24" s="25" t="n">
        <v>0.770147800445557</v>
      </c>
      <c r="U24" s="25" t="n">
        <v>0.111527092754841</v>
      </c>
      <c r="V24" s="25" t="n">
        <v>14.1582756042481</v>
      </c>
      <c r="W24" s="25" t="n">
        <v>0.339901477098465</v>
      </c>
      <c r="X24" s="25" t="n">
        <v>190.344818115234</v>
      </c>
      <c r="Y24" s="25" t="n">
        <v>134.034484863281</v>
      </c>
      <c r="Z24" s="25" t="n">
        <v>0.69886702299118</v>
      </c>
      <c r="AA24" s="25" t="n">
        <v>1.93596065044403</v>
      </c>
      <c r="AB24" s="25" t="n">
        <v>0</v>
      </c>
      <c r="AC24" s="25" t="n">
        <v>0.145123153924942</v>
      </c>
      <c r="AD24" s="25" t="n">
        <v>0.0989655181765556</v>
      </c>
      <c r="AE24" s="25" t="n">
        <v>0.977093577384949</v>
      </c>
      <c r="AF24" s="25" t="n">
        <v>0.37093597650528</v>
      </c>
      <c r="AG24" s="25" t="n">
        <v>0.0821182280778885</v>
      </c>
      <c r="AH24" s="25" t="n">
        <v>4.53935956954956</v>
      </c>
      <c r="AI24" s="25" t="n">
        <v>29.3984718322754</v>
      </c>
      <c r="AJ24" s="6" t="n">
        <v>50.8</v>
      </c>
      <c r="AK24" s="6" t="n">
        <v>145.1</v>
      </c>
      <c r="AL24" s="26"/>
    </row>
    <row r="25" customFormat="false" ht="15" hidden="false" customHeight="false" outlineLevel="0" collapsed="false">
      <c r="A25" s="6" t="s">
        <v>2963</v>
      </c>
      <c r="B25" s="6" t="s">
        <v>2964</v>
      </c>
      <c r="C25" s="6" t="s">
        <v>2961</v>
      </c>
      <c r="D25" s="13" t="n">
        <v>188.597900390625</v>
      </c>
      <c r="E25" s="25" t="n">
        <v>4.79843616485596</v>
      </c>
      <c r="F25" s="25" t="n">
        <v>25.7651023864746</v>
      </c>
      <c r="G25" s="25" t="n">
        <v>7.9976954460144</v>
      </c>
      <c r="H25" s="25" t="n">
        <v>2.44921827316284</v>
      </c>
      <c r="I25" s="25" t="n">
        <v>1.64329218864441</v>
      </c>
      <c r="J25" s="25" t="n">
        <v>4.32251416015625</v>
      </c>
      <c r="K25" s="25" t="n">
        <v>1.80872424316406</v>
      </c>
      <c r="L25" s="25" t="n">
        <v>0.287526763916016</v>
      </c>
      <c r="M25" s="25" t="n">
        <v>17.5308628082275</v>
      </c>
      <c r="N25" s="25" t="n">
        <v>362.642303466797</v>
      </c>
      <c r="O25" s="25" t="n">
        <v>154.0576171875</v>
      </c>
      <c r="P25" s="25" t="n">
        <v>87.8353881835938</v>
      </c>
      <c r="Q25" s="25" t="n">
        <v>62.3004112243652</v>
      </c>
      <c r="R25" s="25" t="n">
        <v>21.6049385070801</v>
      </c>
      <c r="S25" s="25" t="n">
        <v>1.01938271522522</v>
      </c>
      <c r="T25" s="25" t="n">
        <v>0.456131666898727</v>
      </c>
      <c r="U25" s="25" t="n">
        <v>0.0948148146271706</v>
      </c>
      <c r="V25" s="25" t="n">
        <v>3.57666659355164</v>
      </c>
      <c r="W25" s="25" t="n">
        <v>0.312757194042206</v>
      </c>
      <c r="X25" s="25" t="n">
        <v>78.8477401733398</v>
      </c>
      <c r="Y25" s="25" t="n">
        <v>129.543212890625</v>
      </c>
      <c r="Z25" s="25" t="n">
        <v>0.205226346850395</v>
      </c>
      <c r="AA25" s="25" t="n">
        <v>4.68724250793457</v>
      </c>
      <c r="AB25" s="25" t="n">
        <v>2.51440334320068</v>
      </c>
      <c r="AC25" s="25" t="n">
        <v>0.117119342088699</v>
      </c>
      <c r="AD25" s="25" t="n">
        <v>0.0448148138821125</v>
      </c>
      <c r="AE25" s="25" t="n">
        <v>0.937654316425324</v>
      </c>
      <c r="AF25" s="25" t="n">
        <v>0.190534979104996</v>
      </c>
      <c r="AG25" s="25" t="n">
        <v>0.0603703707456589</v>
      </c>
      <c r="AH25" s="25" t="n">
        <v>1.19131684303284</v>
      </c>
      <c r="AI25" s="25" t="n">
        <v>21.3411102294922</v>
      </c>
      <c r="AJ25" s="6" t="n">
        <v>60.8</v>
      </c>
      <c r="AK25" s="6" t="n">
        <v>114.6</v>
      </c>
      <c r="AL25" s="26"/>
    </row>
    <row r="26" customFormat="false" ht="15" hidden="false" customHeight="false" outlineLevel="0" collapsed="false">
      <c r="A26" s="6" t="s">
        <v>2965</v>
      </c>
      <c r="B26" s="6" t="s">
        <v>2966</v>
      </c>
      <c r="C26" s="6" t="s">
        <v>2961</v>
      </c>
      <c r="D26" s="13" t="n">
        <v>257.714324951172</v>
      </c>
      <c r="E26" s="25" t="n">
        <v>8.19650173187256</v>
      </c>
      <c r="F26" s="25" t="n">
        <v>29.1018829345703</v>
      </c>
      <c r="G26" s="25" t="n">
        <v>12.7974891662598</v>
      </c>
      <c r="H26" s="25" t="n">
        <v>2.32986545562744</v>
      </c>
      <c r="I26" s="25" t="n">
        <v>4.10188341140747</v>
      </c>
      <c r="J26" s="25" t="n">
        <v>7.25918212890625</v>
      </c>
      <c r="K26" s="25" t="n">
        <v>3.10900903320313</v>
      </c>
      <c r="L26" s="25" t="n">
        <v>0.440297760009766</v>
      </c>
      <c r="M26" s="25" t="n">
        <v>34.3497734069824</v>
      </c>
      <c r="N26" s="25" t="n">
        <v>571.956420898438</v>
      </c>
      <c r="O26" s="25" t="n">
        <v>143.39013671875</v>
      </c>
      <c r="P26" s="25" t="n">
        <v>199.731842041016</v>
      </c>
      <c r="Q26" s="25" t="n">
        <v>195.369506835938</v>
      </c>
      <c r="R26" s="25" t="n">
        <v>21.5210762023926</v>
      </c>
      <c r="S26" s="25" t="n">
        <v>1.04443943500519</v>
      </c>
      <c r="T26" s="25" t="n">
        <v>0.905112087726593</v>
      </c>
      <c r="U26" s="25" t="n">
        <v>0.0979372188448906</v>
      </c>
      <c r="V26" s="25" t="n">
        <v>4.73242139816284</v>
      </c>
      <c r="W26" s="25" t="n">
        <v>0.541704058647156</v>
      </c>
      <c r="X26" s="25" t="n">
        <v>134.34977722168</v>
      </c>
      <c r="Y26" s="25" t="n">
        <v>97.0017929077148</v>
      </c>
      <c r="Z26" s="25" t="n">
        <v>0.394035875797272</v>
      </c>
      <c r="AA26" s="25" t="n">
        <v>2.14798212051392</v>
      </c>
      <c r="AB26" s="25" t="n">
        <v>6.52376699447632</v>
      </c>
      <c r="AC26" s="25" t="n">
        <v>0.138385653495789</v>
      </c>
      <c r="AD26" s="25" t="n">
        <v>0.0945739895105362</v>
      </c>
      <c r="AE26" s="25" t="n">
        <v>0.904260098934174</v>
      </c>
      <c r="AF26" s="25" t="n">
        <v>0.13677129149437</v>
      </c>
      <c r="AG26" s="25" t="n">
        <v>0.0747533664107323</v>
      </c>
      <c r="AH26" s="25" t="n">
        <v>1.22641253471375</v>
      </c>
      <c r="AI26" s="25" t="n">
        <v>21.6604919433594</v>
      </c>
      <c r="AJ26" s="6" t="n">
        <v>55.7</v>
      </c>
      <c r="AK26" s="6" t="n">
        <v>143.7</v>
      </c>
      <c r="AL26" s="26"/>
    </row>
    <row r="27" customFormat="false" ht="15" hidden="false" customHeight="false" outlineLevel="0" collapsed="false">
      <c r="A27" s="6" t="s">
        <v>2967</v>
      </c>
      <c r="B27" s="6" t="s">
        <v>2968</v>
      </c>
      <c r="C27" s="6" t="s">
        <v>2961</v>
      </c>
      <c r="D27" s="13" t="n">
        <v>243.319915771484</v>
      </c>
      <c r="E27" s="25" t="n">
        <v>7.91854047775269</v>
      </c>
      <c r="F27" s="25" t="n">
        <v>26.9224033355713</v>
      </c>
      <c r="G27" s="25" t="n">
        <v>12.2744207382202</v>
      </c>
      <c r="H27" s="25" t="n">
        <v>1.9749356508255</v>
      </c>
      <c r="I27" s="25" t="n">
        <v>2.8468668460846</v>
      </c>
      <c r="J27" s="25" t="n">
        <v>6.94908349609375</v>
      </c>
      <c r="K27" s="25" t="n">
        <v>2.9767724609375</v>
      </c>
      <c r="L27" s="25" t="n">
        <v>0.438738189697266</v>
      </c>
      <c r="M27" s="25" t="n">
        <v>32.8755340576172</v>
      </c>
      <c r="N27" s="25" t="n">
        <v>549.70849609375</v>
      </c>
      <c r="O27" s="25" t="n">
        <v>148.52360534668</v>
      </c>
      <c r="P27" s="25" t="n">
        <v>191.201721191406</v>
      </c>
      <c r="Q27" s="25" t="n">
        <v>187.972106933594</v>
      </c>
      <c r="R27" s="25" t="n">
        <v>20.9656658172607</v>
      </c>
      <c r="S27" s="25" t="n">
        <v>0.9987553358078</v>
      </c>
      <c r="T27" s="25" t="n">
        <v>0.872703850269318</v>
      </c>
      <c r="U27" s="25" t="n">
        <v>0.0903004258871079</v>
      </c>
      <c r="V27" s="25" t="n">
        <v>4.51557922363281</v>
      </c>
      <c r="W27" s="25" t="n">
        <v>0.318025767803192</v>
      </c>
      <c r="X27" s="25" t="n">
        <v>128.583694458008</v>
      </c>
      <c r="Y27" s="25" t="n">
        <v>1328.23608398438</v>
      </c>
      <c r="Z27" s="25" t="n">
        <v>0.347081542015076</v>
      </c>
      <c r="AA27" s="25" t="n">
        <v>6.81974267959595</v>
      </c>
      <c r="AB27" s="25" t="n">
        <v>5.4227466583252</v>
      </c>
      <c r="AC27" s="25" t="n">
        <v>0.132446348667145</v>
      </c>
      <c r="AD27" s="25" t="n">
        <v>0.0896566510200501</v>
      </c>
      <c r="AE27" s="25" t="n">
        <v>0.954291820526123</v>
      </c>
      <c r="AF27" s="25" t="n">
        <v>0.14721029996872</v>
      </c>
      <c r="AG27" s="25" t="n">
        <v>0.0663948506116867</v>
      </c>
      <c r="AH27" s="25" t="n">
        <v>1.22742486000061</v>
      </c>
      <c r="AI27" s="25" t="n">
        <v>20.9115447998047</v>
      </c>
      <c r="AJ27" s="6" t="n">
        <v>58.3</v>
      </c>
      <c r="AK27" s="6" t="n">
        <v>141.7</v>
      </c>
      <c r="AL27" s="26"/>
    </row>
    <row r="28" customFormat="false" ht="15" hidden="false" customHeight="false" outlineLevel="0" collapsed="false">
      <c r="A28" s="6" t="s">
        <v>570</v>
      </c>
      <c r="B28" s="6" t="s">
        <v>568</v>
      </c>
      <c r="C28" s="6" t="s">
        <v>2961</v>
      </c>
      <c r="D28" s="13" t="n">
        <v>253.272674560547</v>
      </c>
      <c r="E28" s="25" t="n">
        <v>13.124119758606</v>
      </c>
      <c r="F28" s="25" t="n">
        <v>25.3773384094238</v>
      </c>
      <c r="G28" s="25" t="n">
        <v>11.7486696243286</v>
      </c>
      <c r="H28" s="25" t="n">
        <v>1.63587987422943</v>
      </c>
      <c r="I28" s="25" t="n">
        <v>1.59793984889984</v>
      </c>
      <c r="J28" s="25" t="n">
        <v>4.7956826171875</v>
      </c>
      <c r="K28" s="25" t="n">
        <v>2.26460522460938</v>
      </c>
      <c r="L28" s="25" t="n">
        <v>0.412472106933594</v>
      </c>
      <c r="M28" s="25" t="n">
        <v>42.0579376220703</v>
      </c>
      <c r="N28" s="25" t="n">
        <v>389.665588378906</v>
      </c>
      <c r="O28" s="25" t="n">
        <v>196.077255249023</v>
      </c>
      <c r="P28" s="25" t="n">
        <v>89.5575103759766</v>
      </c>
      <c r="Q28" s="25" t="n">
        <v>121.566520690918</v>
      </c>
      <c r="R28" s="25" t="n">
        <v>21.5879821777344</v>
      </c>
      <c r="S28" s="25" t="n">
        <v>1.1863089799881</v>
      </c>
      <c r="T28" s="25" t="n">
        <v>0.704034328460693</v>
      </c>
      <c r="U28" s="25" t="n">
        <v>0.186008587479591</v>
      </c>
      <c r="V28" s="25" t="n">
        <v>10.8263092041016</v>
      </c>
      <c r="W28" s="25" t="n">
        <v>0.299570828676224</v>
      </c>
      <c r="X28" s="25" t="n">
        <v>84.9201736450195</v>
      </c>
      <c r="Y28" s="25" t="n">
        <v>61.7124443054199</v>
      </c>
      <c r="Z28" s="25" t="n">
        <v>0.31746780872345</v>
      </c>
      <c r="AA28" s="25" t="n">
        <v>1.36909878253937</v>
      </c>
      <c r="AB28" s="25" t="n">
        <v>0</v>
      </c>
      <c r="AC28" s="25" t="n">
        <v>0.152188837528229</v>
      </c>
      <c r="AD28" s="25" t="n">
        <v>0.0656223148107529</v>
      </c>
      <c r="AE28" s="25" t="n">
        <v>3.94098711013794</v>
      </c>
      <c r="AF28" s="25" t="n">
        <v>0.449785381555557</v>
      </c>
      <c r="AG28" s="25" t="n">
        <v>0.241931334137917</v>
      </c>
      <c r="AH28" s="25" t="n">
        <v>1.61969947814941</v>
      </c>
      <c r="AI28" s="25" t="n">
        <v>19.0621891021729</v>
      </c>
      <c r="AJ28" s="6" t="n">
        <v>58.2</v>
      </c>
      <c r="AK28" s="6" t="n">
        <v>147.5</v>
      </c>
      <c r="AL28" s="26"/>
    </row>
    <row r="29" customFormat="false" ht="15" hidden="false" customHeight="false" outlineLevel="0" collapsed="false">
      <c r="A29" s="6" t="s">
        <v>2969</v>
      </c>
      <c r="B29" s="6" t="s">
        <v>2970</v>
      </c>
      <c r="C29" s="6" t="s">
        <v>2961</v>
      </c>
      <c r="D29" s="13" t="n">
        <v>291.426910400391</v>
      </c>
      <c r="E29" s="25" t="n">
        <v>9.52888870239258</v>
      </c>
      <c r="F29" s="25" t="n">
        <v>28.5449371337891</v>
      </c>
      <c r="G29" s="25" t="n">
        <v>16.1376132965088</v>
      </c>
      <c r="H29" s="25" t="n">
        <v>4.02946519851685</v>
      </c>
      <c r="I29" s="25" t="n">
        <v>2.81613159179688</v>
      </c>
      <c r="J29" s="25" t="n">
        <v>5.9816318359375</v>
      </c>
      <c r="K29" s="25" t="n">
        <v>5.5836953125</v>
      </c>
      <c r="L29" s="25" t="n">
        <v>2.6675966796875</v>
      </c>
      <c r="M29" s="25" t="n">
        <v>17.5308628082275</v>
      </c>
      <c r="N29" s="25" t="n">
        <v>364.990051269531</v>
      </c>
      <c r="O29" s="25" t="n">
        <v>252.823043823242</v>
      </c>
      <c r="P29" s="25" t="n">
        <v>94.0329208374023</v>
      </c>
      <c r="Q29" s="25" t="n">
        <v>134.269546508789</v>
      </c>
      <c r="R29" s="25" t="n">
        <v>56.193416595459</v>
      </c>
      <c r="S29" s="25" t="n">
        <v>1.58316874504089</v>
      </c>
      <c r="T29" s="25" t="n">
        <v>1.0631275177002</v>
      </c>
      <c r="U29" s="25" t="n">
        <v>0.27588477730751</v>
      </c>
      <c r="V29" s="25" t="n">
        <v>4.20835399627686</v>
      </c>
      <c r="W29" s="25" t="n">
        <v>0.631687223911285</v>
      </c>
      <c r="X29" s="25" t="n">
        <v>78.8477401733398</v>
      </c>
      <c r="Y29" s="25" t="n">
        <v>1274.97534179688</v>
      </c>
      <c r="Z29" s="25" t="n">
        <v>1.12292182445526</v>
      </c>
      <c r="AA29" s="25" t="n">
        <v>6.790123462677</v>
      </c>
      <c r="AB29" s="25" t="n">
        <v>5.19958877563477</v>
      </c>
      <c r="AC29" s="25" t="n">
        <v>0.234403297305107</v>
      </c>
      <c r="AD29" s="25" t="n">
        <v>0.0695061683654785</v>
      </c>
      <c r="AE29" s="25" t="n">
        <v>3.2339506149292</v>
      </c>
      <c r="AF29" s="25" t="n">
        <v>0.250205755233765</v>
      </c>
      <c r="AG29" s="25" t="n">
        <v>0.0994650200009346</v>
      </c>
      <c r="AH29" s="25" t="n">
        <v>0.586378633975983</v>
      </c>
      <c r="AI29" s="25" t="n">
        <v>36.2793846130371</v>
      </c>
      <c r="AJ29" s="6" t="n">
        <v>60.8</v>
      </c>
      <c r="AK29" s="6" t="n">
        <v>177</v>
      </c>
      <c r="AL29" s="26"/>
    </row>
    <row r="30" customFormat="false" ht="15" hidden="false" customHeight="false" outlineLevel="0" collapsed="false">
      <c r="A30" s="6" t="s">
        <v>2971</v>
      </c>
      <c r="B30" s="6" t="s">
        <v>2972</v>
      </c>
      <c r="C30" s="6" t="s">
        <v>2961</v>
      </c>
      <c r="D30" s="13" t="n">
        <v>272.751403808594</v>
      </c>
      <c r="E30" s="25" t="n">
        <v>7.74661779403687</v>
      </c>
      <c r="F30" s="25" t="n">
        <v>34.2639465332031</v>
      </c>
      <c r="G30" s="25" t="n">
        <v>12.5395765304565</v>
      </c>
      <c r="H30" s="25" t="n">
        <v>2.10280179977417</v>
      </c>
      <c r="I30" s="25" t="n">
        <v>4.04527425765991</v>
      </c>
      <c r="J30" s="25" t="n">
        <v>7.0219560546875</v>
      </c>
      <c r="K30" s="25" t="n">
        <v>2.9342099609375</v>
      </c>
      <c r="L30" s="25" t="n">
        <v>0.411222686767578</v>
      </c>
      <c r="M30" s="25" t="n">
        <v>31.155252456665</v>
      </c>
      <c r="N30" s="25" t="n">
        <v>612.485778808594</v>
      </c>
      <c r="O30" s="25" t="n">
        <v>143.974380493164</v>
      </c>
      <c r="P30" s="25" t="n">
        <v>172.0380859375</v>
      </c>
      <c r="Q30" s="25" t="n">
        <v>149.850646972656</v>
      </c>
      <c r="R30" s="25" t="n">
        <v>20.42751121521</v>
      </c>
      <c r="S30" s="25" t="n">
        <v>1.20384216308594</v>
      </c>
      <c r="T30" s="25" t="n">
        <v>0.762603223323822</v>
      </c>
      <c r="U30" s="25" t="n">
        <v>0.101359121501446</v>
      </c>
      <c r="V30" s="25" t="n">
        <v>4.99848365783691</v>
      </c>
      <c r="W30" s="25" t="n">
        <v>0.361756414175034</v>
      </c>
      <c r="X30" s="25" t="n">
        <v>128.384735107422</v>
      </c>
      <c r="Y30" s="25" t="n">
        <v>188.087295532227</v>
      </c>
      <c r="Z30" s="25" t="n">
        <v>0.361505478620529</v>
      </c>
      <c r="AA30" s="25" t="n">
        <v>2.147381067276</v>
      </c>
      <c r="AB30" s="25" t="n">
        <v>2.11741256713867</v>
      </c>
      <c r="AC30" s="25" t="n">
        <v>0.20014114677906</v>
      </c>
      <c r="AD30" s="25" t="n">
        <v>0.090710923075676</v>
      </c>
      <c r="AE30" s="25" t="n">
        <v>1.15594351291657</v>
      </c>
      <c r="AF30" s="25" t="n">
        <v>0.0823105052113533</v>
      </c>
      <c r="AG30" s="25" t="n">
        <v>0.0598222687840462</v>
      </c>
      <c r="AH30" s="25" t="n">
        <v>0.683894395828247</v>
      </c>
      <c r="AI30" s="25" t="n">
        <v>21.6939105987549</v>
      </c>
      <c r="AJ30" s="6" t="n">
        <v>47.8</v>
      </c>
      <c r="AK30" s="6" t="n">
        <v>130.4</v>
      </c>
      <c r="AL30" s="26"/>
    </row>
    <row r="31" customFormat="false" ht="15" hidden="false" customHeight="false" outlineLevel="0" collapsed="false">
      <c r="A31" s="6" t="s">
        <v>2973</v>
      </c>
      <c r="B31" s="6" t="s">
        <v>2974</v>
      </c>
      <c r="C31" s="6" t="s">
        <v>2961</v>
      </c>
      <c r="D31" s="13" t="n">
        <v>235.324172973633</v>
      </c>
      <c r="E31" s="25" t="n">
        <v>7.31012773513794</v>
      </c>
      <c r="F31" s="25" t="n">
        <v>18.5084209442139</v>
      </c>
      <c r="G31" s="25" t="n">
        <v>15.1215362548828</v>
      </c>
      <c r="H31" s="25" t="n">
        <v>1.80819344520569</v>
      </c>
      <c r="I31" s="25" t="n">
        <v>2.01325750350952</v>
      </c>
      <c r="J31" s="25" t="n">
        <v>6.110900390625</v>
      </c>
      <c r="K31" s="25" t="n">
        <v>5.72570751953125</v>
      </c>
      <c r="L31" s="25" t="n">
        <v>1.62537548828125</v>
      </c>
      <c r="M31" s="25" t="n">
        <v>31.2603130340576</v>
      </c>
      <c r="N31" s="25" t="n">
        <v>461.66015625</v>
      </c>
      <c r="O31" s="25" t="n">
        <v>168.998580932617</v>
      </c>
      <c r="P31" s="25" t="n">
        <v>115.678520202637</v>
      </c>
      <c r="Q31" s="25" t="n">
        <v>128.024887084961</v>
      </c>
      <c r="R31" s="25" t="n">
        <v>18.599573135376</v>
      </c>
      <c r="S31" s="25" t="n">
        <v>0.862034142017365</v>
      </c>
      <c r="T31" s="25" t="n">
        <v>0.874594569206238</v>
      </c>
      <c r="U31" s="25" t="n">
        <v>0.0784352794289589</v>
      </c>
      <c r="V31" s="25" t="n">
        <v>3.73133707046509</v>
      </c>
      <c r="W31" s="25" t="n">
        <v>0.226742535829544</v>
      </c>
      <c r="X31" s="25" t="n">
        <v>80.8819351196289</v>
      </c>
      <c r="Y31" s="25" t="n">
        <v>918.334289550781</v>
      </c>
      <c r="Z31" s="25" t="n">
        <v>1.18829309940338</v>
      </c>
      <c r="AA31" s="25" t="n">
        <v>13.5615930557251</v>
      </c>
      <c r="AB31" s="25" t="n">
        <v>6.82859182357788</v>
      </c>
      <c r="AC31" s="25" t="n">
        <v>0.15926031768322</v>
      </c>
      <c r="AD31" s="25" t="n">
        <v>0.0876102447509766</v>
      </c>
      <c r="AE31" s="25" t="n">
        <v>1.33264577388763</v>
      </c>
      <c r="AF31" s="25" t="n">
        <v>0.356472253799439</v>
      </c>
      <c r="AG31" s="25" t="n">
        <v>0.104224748909473</v>
      </c>
      <c r="AH31" s="25" t="n">
        <v>1.97722613811493</v>
      </c>
      <c r="AI31" s="25" t="n">
        <v>19.8220348358154</v>
      </c>
      <c r="AJ31" s="6" t="n">
        <v>87.9</v>
      </c>
      <c r="AK31" s="6" t="n">
        <v>206.8</v>
      </c>
      <c r="AL31" s="26"/>
    </row>
    <row r="32" customFormat="false" ht="15" hidden="false" customHeight="false" outlineLevel="0" collapsed="false">
      <c r="A32" s="6" t="s">
        <v>2975</v>
      </c>
      <c r="B32" s="6" t="s">
        <v>2976</v>
      </c>
      <c r="C32" s="6" t="s">
        <v>2961</v>
      </c>
      <c r="D32" s="13" t="n">
        <v>198.329254150391</v>
      </c>
      <c r="E32" s="25" t="n">
        <v>5.45131206512451</v>
      </c>
      <c r="F32" s="25" t="n">
        <v>19.6841926574707</v>
      </c>
      <c r="G32" s="25" t="n">
        <v>11.3291702270508</v>
      </c>
      <c r="H32" s="25" t="n">
        <v>2.05665159225464</v>
      </c>
      <c r="I32" s="25" t="n">
        <v>2.08042240142822</v>
      </c>
      <c r="J32" s="25" t="n">
        <v>4.72168701171875</v>
      </c>
      <c r="K32" s="25" t="n">
        <v>3.93581494140625</v>
      </c>
      <c r="L32" s="25" t="n">
        <v>1.20838464355469</v>
      </c>
      <c r="M32" s="25" t="n">
        <v>23.1312217712402</v>
      </c>
      <c r="N32" s="25" t="n">
        <v>305.363311767578</v>
      </c>
      <c r="O32" s="25" t="n">
        <v>159.767730712891</v>
      </c>
      <c r="P32" s="25" t="n">
        <v>122.43921661377</v>
      </c>
      <c r="Q32" s="25" t="n">
        <v>120.491554260254</v>
      </c>
      <c r="R32" s="25" t="n">
        <v>18.6538467407227</v>
      </c>
      <c r="S32" s="25" t="n">
        <v>0.774675726890564</v>
      </c>
      <c r="T32" s="25" t="n">
        <v>0.575625896453857</v>
      </c>
      <c r="U32" s="25" t="n">
        <v>0.0741176456212997</v>
      </c>
      <c r="V32" s="25" t="n">
        <v>3.11180973052979</v>
      </c>
      <c r="W32" s="25" t="n">
        <v>0.244645550847054</v>
      </c>
      <c r="X32" s="25" t="n">
        <v>85.7616882324219</v>
      </c>
      <c r="Y32" s="25" t="n">
        <v>973.739074707031</v>
      </c>
      <c r="Z32" s="25" t="n">
        <v>1.23283565044403</v>
      </c>
      <c r="AA32" s="25" t="n">
        <v>15</v>
      </c>
      <c r="AB32" s="25" t="n">
        <v>7.24057340621948</v>
      </c>
      <c r="AC32" s="25" t="n">
        <v>0.0970739051699638</v>
      </c>
      <c r="AD32" s="25" t="n">
        <v>0.0669532418251038</v>
      </c>
      <c r="AE32" s="25" t="n">
        <v>0.778355956077576</v>
      </c>
      <c r="AF32" s="25" t="n">
        <v>0.203619912266731</v>
      </c>
      <c r="AG32" s="25" t="n">
        <v>0.074313722550869</v>
      </c>
      <c r="AH32" s="25" t="n">
        <v>1.8087329864502</v>
      </c>
      <c r="AI32" s="25" t="n">
        <v>21.1554908752441</v>
      </c>
      <c r="AJ32" s="6" t="n">
        <v>82.9</v>
      </c>
      <c r="AK32" s="6" t="n">
        <v>164.4</v>
      </c>
      <c r="AL32" s="26"/>
    </row>
    <row r="33" customFormat="false" ht="15" hidden="false" customHeight="false" outlineLevel="0" collapsed="false">
      <c r="A33" s="6" t="s">
        <v>2977</v>
      </c>
      <c r="B33" s="6" t="s">
        <v>2978</v>
      </c>
      <c r="C33" s="6" t="s">
        <v>2961</v>
      </c>
      <c r="D33" s="13" t="n">
        <v>311.520599365234</v>
      </c>
      <c r="E33" s="25" t="n">
        <v>8.76690578460693</v>
      </c>
      <c r="F33" s="25" t="n">
        <v>14.0041255950928</v>
      </c>
      <c r="G33" s="25" t="n">
        <v>24.9347095489502</v>
      </c>
      <c r="H33" s="25" t="n">
        <v>0.928968608379364</v>
      </c>
      <c r="I33" s="25" t="n">
        <v>1.45434975624085</v>
      </c>
      <c r="J33" s="25" t="n">
        <v>2.8562958984375</v>
      </c>
      <c r="K33" s="25" t="n">
        <v>13.90745703125</v>
      </c>
      <c r="L33" s="25" t="n">
        <v>5.90796435546875</v>
      </c>
      <c r="M33" s="25" t="n">
        <v>179.515701293945</v>
      </c>
      <c r="N33" s="25" t="n">
        <v>374.390502929688</v>
      </c>
      <c r="O33" s="25" t="n">
        <v>110.295967102051</v>
      </c>
      <c r="P33" s="25" t="n">
        <v>67.7533645629883</v>
      </c>
      <c r="Q33" s="25" t="n">
        <v>111.591926574707</v>
      </c>
      <c r="R33" s="25" t="n">
        <v>13.6905832290649</v>
      </c>
      <c r="S33" s="25" t="n">
        <v>1.36013448238373</v>
      </c>
      <c r="T33" s="25" t="n">
        <v>0.801973104476929</v>
      </c>
      <c r="U33" s="25" t="n">
        <v>0.0782062783837318</v>
      </c>
      <c r="V33" s="25" t="n">
        <v>20.0723304748535</v>
      </c>
      <c r="W33" s="25" t="n">
        <v>0.182062774896622</v>
      </c>
      <c r="X33" s="25" t="n">
        <v>109.775787353516</v>
      </c>
      <c r="Y33" s="25" t="n">
        <v>70.4887924194336</v>
      </c>
      <c r="Z33" s="25" t="n">
        <v>6.65053844451904</v>
      </c>
      <c r="AA33" s="25" t="n">
        <v>0.766816139221191</v>
      </c>
      <c r="AB33" s="25" t="n">
        <v>0</v>
      </c>
      <c r="AC33" s="25" t="n">
        <v>0.0863677114248276</v>
      </c>
      <c r="AD33" s="25" t="n">
        <v>0.13134528696537</v>
      </c>
      <c r="AE33" s="25" t="n">
        <v>0.483632266521454</v>
      </c>
      <c r="AF33" s="25" t="n">
        <v>0.700896859169006</v>
      </c>
      <c r="AG33" s="25" t="n">
        <v>0.116008967161179</v>
      </c>
      <c r="AH33" s="25" t="n">
        <v>8.38336277008057</v>
      </c>
      <c r="AI33" s="25" t="n">
        <v>32.4389686584473</v>
      </c>
      <c r="AJ33" s="6" t="n">
        <v>27.9</v>
      </c>
      <c r="AK33" s="6" t="n">
        <v>86.8</v>
      </c>
      <c r="AL33" s="26"/>
    </row>
    <row r="34" customFormat="false" ht="15" hidden="false" customHeight="false" outlineLevel="0" collapsed="false">
      <c r="A34" s="6" t="s">
        <v>2979</v>
      </c>
      <c r="B34" s="6" t="s">
        <v>2980</v>
      </c>
      <c r="C34" s="6" t="s">
        <v>2961</v>
      </c>
      <c r="D34" s="13" t="n">
        <v>214.111846923828</v>
      </c>
      <c r="E34" s="25" t="n">
        <v>5.29737758636475</v>
      </c>
      <c r="F34" s="25" t="n">
        <v>29.0449619293213</v>
      </c>
      <c r="G34" s="25" t="n">
        <v>9.12398433685303</v>
      </c>
      <c r="H34" s="25" t="n">
        <v>3.65604114532471</v>
      </c>
      <c r="I34" s="25" t="n">
        <v>5.29516696929932</v>
      </c>
      <c r="J34" s="25" t="n">
        <v>5.16119580078125</v>
      </c>
      <c r="K34" s="25" t="n">
        <v>2.211029296875</v>
      </c>
      <c r="L34" s="25" t="n">
        <v>0.628976867675781</v>
      </c>
      <c r="M34" s="25" t="n">
        <v>21.0539855957031</v>
      </c>
      <c r="N34" s="25" t="n">
        <v>302.882720947266</v>
      </c>
      <c r="O34" s="25" t="n">
        <v>228.817474365234</v>
      </c>
      <c r="P34" s="25" t="n">
        <v>118.047508239746</v>
      </c>
      <c r="Q34" s="25" t="n">
        <v>97.764778137207</v>
      </c>
      <c r="R34" s="25" t="n">
        <v>31.4888420104981</v>
      </c>
      <c r="S34" s="25" t="n">
        <v>1.79754495620728</v>
      </c>
      <c r="T34" s="25" t="n">
        <v>0.780334174633026</v>
      </c>
      <c r="U34" s="25" t="n">
        <v>0.138149097561836</v>
      </c>
      <c r="V34" s="25" t="n">
        <v>3.59908747673035</v>
      </c>
      <c r="W34" s="25" t="n">
        <v>0.631850898265839</v>
      </c>
      <c r="X34" s="25" t="n">
        <v>89.305908203125</v>
      </c>
      <c r="Y34" s="25" t="n">
        <v>2220.142578125</v>
      </c>
      <c r="Z34" s="25" t="n">
        <v>0.247339338064194</v>
      </c>
      <c r="AA34" s="25" t="n">
        <v>14.8988170623779</v>
      </c>
      <c r="AB34" s="25" t="n">
        <v>2.78066849708557</v>
      </c>
      <c r="AC34" s="25" t="n">
        <v>0.126555263996124</v>
      </c>
      <c r="AD34" s="25" t="n">
        <v>0.0680334195494652</v>
      </c>
      <c r="AE34" s="25" t="n">
        <v>1.43929302692413</v>
      </c>
      <c r="AF34" s="25" t="n">
        <v>0.209074556827545</v>
      </c>
      <c r="AG34" s="25" t="n">
        <v>0.0960796922445297</v>
      </c>
      <c r="AH34" s="25" t="n">
        <v>1.71271204948425</v>
      </c>
      <c r="AI34" s="25" t="n">
        <v>22.3163623809815</v>
      </c>
      <c r="AJ34" s="6" t="n">
        <v>97.2</v>
      </c>
      <c r="AK34" s="6" t="n">
        <v>208.2</v>
      </c>
      <c r="AL34" s="26"/>
    </row>
    <row r="35" customFormat="false" ht="15" hidden="false" customHeight="false" outlineLevel="0" collapsed="false">
      <c r="A35" s="6" t="s">
        <v>2981</v>
      </c>
      <c r="B35" s="6" t="s">
        <v>2982</v>
      </c>
      <c r="C35" s="6" t="s">
        <v>2961</v>
      </c>
      <c r="D35" s="13" t="n">
        <v>255.593704223633</v>
      </c>
      <c r="E35" s="25" t="n">
        <v>8.6956901550293</v>
      </c>
      <c r="F35" s="25" t="n">
        <v>21.5384502410889</v>
      </c>
      <c r="G35" s="25" t="n">
        <v>15.5098991394043</v>
      </c>
      <c r="H35" s="25" t="n">
        <v>1.969562292099</v>
      </c>
      <c r="I35" s="25" t="n">
        <v>1.99636363983154</v>
      </c>
      <c r="J35" s="25" t="n">
        <v>6.87504248046875</v>
      </c>
      <c r="K35" s="25" t="n">
        <v>5.5316787109375</v>
      </c>
      <c r="L35" s="25" t="n">
        <v>1.23808215332031</v>
      </c>
      <c r="M35" s="25" t="n">
        <v>33.3468017578125</v>
      </c>
      <c r="N35" s="25" t="n">
        <v>662.745727539063</v>
      </c>
      <c r="O35" s="25" t="n">
        <v>194.060607910156</v>
      </c>
      <c r="P35" s="25" t="n">
        <v>73.5427627563477</v>
      </c>
      <c r="Q35" s="25" t="n">
        <v>88.6134643554688</v>
      </c>
      <c r="R35" s="25" t="n">
        <v>20.8094272613525</v>
      </c>
      <c r="S35" s="25" t="n">
        <v>1.10676765441895</v>
      </c>
      <c r="T35" s="25" t="n">
        <v>1.0506397485733</v>
      </c>
      <c r="U35" s="25" t="n">
        <v>0.103367000818253</v>
      </c>
      <c r="V35" s="25" t="n">
        <v>4.51760959625244</v>
      </c>
      <c r="W35" s="25" t="n">
        <v>0.261683493852615</v>
      </c>
      <c r="X35" s="25" t="n">
        <v>64.5117874145508</v>
      </c>
      <c r="Y35" s="25" t="n">
        <v>104.030303955078</v>
      </c>
      <c r="Z35" s="25" t="n">
        <v>0.219225585460663</v>
      </c>
      <c r="AA35" s="25" t="n">
        <v>3.53696966171265</v>
      </c>
      <c r="AB35" s="25" t="n">
        <v>1.68619525432587</v>
      </c>
      <c r="AC35" s="25" t="n">
        <v>0.25205385684967</v>
      </c>
      <c r="AD35" s="25" t="n">
        <v>0.0904713794589043</v>
      </c>
      <c r="AE35" s="25" t="n">
        <v>2.06818175315857</v>
      </c>
      <c r="AF35" s="25" t="n">
        <v>0.505656599998474</v>
      </c>
      <c r="AG35" s="25" t="n">
        <v>0.128383845090866</v>
      </c>
      <c r="AH35" s="25" t="n">
        <v>2.38750839233398</v>
      </c>
      <c r="AI35" s="25" t="n">
        <v>17.0339736938477</v>
      </c>
      <c r="AJ35" s="6" t="n">
        <v>74.2</v>
      </c>
      <c r="AK35" s="6" t="n">
        <v>189.8</v>
      </c>
      <c r="AL35" s="26"/>
    </row>
    <row r="36" customFormat="false" ht="15" hidden="false" customHeight="false" outlineLevel="0" collapsed="false">
      <c r="A36" s="6" t="s">
        <v>2983</v>
      </c>
      <c r="B36" s="6" t="s">
        <v>2984</v>
      </c>
      <c r="C36" s="6" t="s">
        <v>2961</v>
      </c>
      <c r="D36" s="13" t="n">
        <v>244.262496948242</v>
      </c>
      <c r="E36" s="25" t="n">
        <v>4.47367477416992</v>
      </c>
      <c r="F36" s="25" t="n">
        <v>23.2014122009277</v>
      </c>
      <c r="G36" s="25" t="n">
        <v>15.3984041213989</v>
      </c>
      <c r="H36" s="25" t="n">
        <v>2.35120058059692</v>
      </c>
      <c r="I36" s="25" t="n">
        <v>2.34887981414795</v>
      </c>
      <c r="J36" s="25" t="n">
        <v>4.46759814453125</v>
      </c>
      <c r="K36" s="25" t="n">
        <v>6.61459716796875</v>
      </c>
      <c r="L36" s="25" t="n">
        <v>2.48748095703125</v>
      </c>
      <c r="M36" s="25" t="n">
        <v>21.8740844726563</v>
      </c>
      <c r="N36" s="25" t="n">
        <v>342.695770263672</v>
      </c>
      <c r="O36" s="25" t="n">
        <v>143.102493286133</v>
      </c>
      <c r="P36" s="25" t="n">
        <v>79.5275115966797</v>
      </c>
      <c r="Q36" s="25" t="n">
        <v>55.5542945861816</v>
      </c>
      <c r="R36" s="25" t="n">
        <v>16.6997146606445</v>
      </c>
      <c r="S36" s="25" t="n">
        <v>0.914824306964874</v>
      </c>
      <c r="T36" s="25" t="n">
        <v>0.416815519332886</v>
      </c>
      <c r="U36" s="25" t="n">
        <v>0.0916983857750893</v>
      </c>
      <c r="V36" s="25" t="n">
        <v>3.16797208786011</v>
      </c>
      <c r="W36" s="25" t="n">
        <v>0.300248891115189</v>
      </c>
      <c r="X36" s="25" t="n">
        <v>78.6969223022461</v>
      </c>
      <c r="Y36" s="25" t="n">
        <v>2218.25268554688</v>
      </c>
      <c r="Z36" s="25" t="n">
        <v>2.66314053535461</v>
      </c>
      <c r="AA36" s="25" t="n">
        <v>9.37460517883301</v>
      </c>
      <c r="AB36" s="25" t="n">
        <v>18.8871383666992</v>
      </c>
      <c r="AC36" s="25" t="n">
        <v>0.112745240330696</v>
      </c>
      <c r="AD36" s="25" t="n">
        <v>0.0569619312882423</v>
      </c>
      <c r="AE36" s="25" t="n">
        <v>0.863601744174957</v>
      </c>
      <c r="AF36" s="25" t="n">
        <v>0.105585657060146</v>
      </c>
      <c r="AG36" s="25" t="n">
        <v>0.0831844806671143</v>
      </c>
      <c r="AH36" s="25" t="n">
        <v>0.982071757316589</v>
      </c>
      <c r="AI36" s="25" t="n">
        <v>24.9681911468506</v>
      </c>
      <c r="AJ36" s="6" t="n">
        <v>68.3</v>
      </c>
      <c r="AK36" s="6" t="n">
        <v>166.8</v>
      </c>
      <c r="AL36" s="26"/>
    </row>
    <row r="37" customFormat="false" ht="15" hidden="false" customHeight="false" outlineLevel="0" collapsed="false">
      <c r="A37" s="6" t="s">
        <v>2985</v>
      </c>
      <c r="B37" s="6" t="s">
        <v>2986</v>
      </c>
      <c r="C37" s="6" t="s">
        <v>2961</v>
      </c>
      <c r="D37" s="13" t="n">
        <v>222.106369018555</v>
      </c>
      <c r="E37" s="25" t="n">
        <v>7.65554618835449</v>
      </c>
      <c r="F37" s="25" t="n">
        <v>25.9030246734619</v>
      </c>
      <c r="G37" s="25" t="n">
        <v>10.509202003479</v>
      </c>
      <c r="H37" s="25" t="n">
        <v>1.76747906208038</v>
      </c>
      <c r="I37" s="25" t="n">
        <v>2.0916805267334</v>
      </c>
      <c r="J37" s="25" t="n">
        <v>5.1640556640625</v>
      </c>
      <c r="K37" s="25" t="n">
        <v>2.76166186523438</v>
      </c>
      <c r="L37" s="25" t="n">
        <v>0.61197900390625</v>
      </c>
      <c r="M37" s="25" t="n">
        <v>95.6302490234375</v>
      </c>
      <c r="N37" s="25" t="n">
        <v>423.258728027344</v>
      </c>
      <c r="O37" s="25" t="n">
        <v>150.466384887695</v>
      </c>
      <c r="P37" s="25" t="n">
        <v>95.7121810913086</v>
      </c>
      <c r="Q37" s="25" t="n">
        <v>95.4674377441406</v>
      </c>
      <c r="R37" s="25" t="n">
        <v>18.1050415039063</v>
      </c>
      <c r="S37" s="25" t="n">
        <v>1.30340337753296</v>
      </c>
      <c r="T37" s="25" t="n">
        <v>0.689453780651093</v>
      </c>
      <c r="U37" s="25" t="n">
        <v>0.10142856836319</v>
      </c>
      <c r="V37" s="25" t="n">
        <v>12.1602096557617</v>
      </c>
      <c r="W37" s="25" t="n">
        <v>0.307773113250732</v>
      </c>
      <c r="X37" s="25" t="n">
        <v>124.285713195801</v>
      </c>
      <c r="Y37" s="25" t="n">
        <v>790.668090820313</v>
      </c>
      <c r="Z37" s="25" t="n">
        <v>0.665000021457672</v>
      </c>
      <c r="AA37" s="25" t="n">
        <v>3.87394976615906</v>
      </c>
      <c r="AB37" s="25" t="n">
        <v>3.3266806602478</v>
      </c>
      <c r="AC37" s="25" t="n">
        <v>0.137226894497871</v>
      </c>
      <c r="AD37" s="25" t="n">
        <v>0.0852520987391472</v>
      </c>
      <c r="AE37" s="25" t="n">
        <v>0.987815082073212</v>
      </c>
      <c r="AF37" s="25" t="n">
        <v>0.351680666208267</v>
      </c>
      <c r="AG37" s="25" t="n">
        <v>0.0902100801467896</v>
      </c>
      <c r="AH37" s="25" t="n">
        <v>4.07873964309692</v>
      </c>
      <c r="AI37" s="25" t="n">
        <v>27.4501667022705</v>
      </c>
      <c r="AJ37" s="6" t="n">
        <v>59.5</v>
      </c>
      <c r="AK37" s="6" t="n">
        <v>132.2</v>
      </c>
      <c r="AL37" s="26"/>
    </row>
    <row r="38" customFormat="false" ht="15" hidden="false" customHeight="false" outlineLevel="0" collapsed="false">
      <c r="A38" s="6" t="s">
        <v>2987</v>
      </c>
      <c r="B38" s="6" t="s">
        <v>2988</v>
      </c>
      <c r="C38" s="6" t="s">
        <v>2961</v>
      </c>
      <c r="D38" s="13" t="n">
        <v>244.245803833008</v>
      </c>
      <c r="E38" s="25" t="n">
        <v>4.98542356491089</v>
      </c>
      <c r="F38" s="25" t="n">
        <v>39.2437286376953</v>
      </c>
      <c r="G38" s="25" t="n">
        <v>8.15389823913574</v>
      </c>
      <c r="H38" s="25" t="n">
        <v>2.35661029815674</v>
      </c>
      <c r="I38" s="25" t="n">
        <v>12.2308473587036</v>
      </c>
      <c r="J38" s="25" t="n">
        <v>4.4538125</v>
      </c>
      <c r="K38" s="25" t="n">
        <v>1.77848571777344</v>
      </c>
      <c r="L38" s="25" t="n">
        <v>0.289966094970703</v>
      </c>
      <c r="M38" s="25" t="n">
        <v>18.0508460998535</v>
      </c>
      <c r="N38" s="25" t="n">
        <v>205.270843505859</v>
      </c>
      <c r="O38" s="25" t="n">
        <v>230.966110229492</v>
      </c>
      <c r="P38" s="25" t="n">
        <v>85.1844100952148</v>
      </c>
      <c r="Q38" s="25" t="n">
        <v>60.4955902099609</v>
      </c>
      <c r="R38" s="25" t="n">
        <v>22.7444076538086</v>
      </c>
      <c r="S38" s="25" t="n">
        <v>1.14610171318054</v>
      </c>
      <c r="T38" s="25" t="n">
        <v>0.426101684570313</v>
      </c>
      <c r="U38" s="25" t="n">
        <v>0.130338981747627</v>
      </c>
      <c r="V38" s="25" t="n">
        <v>3.6223726272583</v>
      </c>
      <c r="W38" s="25" t="n">
        <v>0.388813555240631</v>
      </c>
      <c r="X38" s="25" t="n">
        <v>81.1864395141602</v>
      </c>
      <c r="Y38" s="25" t="n">
        <v>146.677963256836</v>
      </c>
      <c r="Z38" s="25" t="n">
        <v>0.228644073009491</v>
      </c>
      <c r="AA38" s="25" t="n">
        <v>1.42813563346863</v>
      </c>
      <c r="AB38" s="25" t="n">
        <v>2.80169486999512</v>
      </c>
      <c r="AC38" s="25" t="n">
        <v>0.118305087089539</v>
      </c>
      <c r="AD38" s="25" t="n">
        <v>0.0564406774938107</v>
      </c>
      <c r="AE38" s="25" t="n">
        <v>0.992542386054993</v>
      </c>
      <c r="AF38" s="25" t="n">
        <v>0.129999995231628</v>
      </c>
      <c r="AG38" s="25" t="n">
        <v>0.214237287640572</v>
      </c>
      <c r="AH38" s="25" t="n">
        <v>0.56372880935669</v>
      </c>
      <c r="AI38" s="25" t="n">
        <v>22.122034072876</v>
      </c>
      <c r="AJ38" s="6" t="n">
        <v>59</v>
      </c>
      <c r="AK38" s="6" t="n">
        <v>144.1</v>
      </c>
      <c r="AL38" s="26"/>
    </row>
    <row r="39" customFormat="false" ht="15" hidden="false" customHeight="false" outlineLevel="0" collapsed="false">
      <c r="A39" s="6" t="s">
        <v>2989</v>
      </c>
      <c r="B39" s="6" t="s">
        <v>2990</v>
      </c>
      <c r="C39" s="6" t="s">
        <v>2961</v>
      </c>
      <c r="D39" s="13" t="n">
        <v>227.41911315918</v>
      </c>
      <c r="E39" s="25" t="n">
        <v>7.78554439544678</v>
      </c>
      <c r="F39" s="25" t="n">
        <v>21.0129375457764</v>
      </c>
      <c r="G39" s="25" t="n">
        <v>13.0080528259277</v>
      </c>
      <c r="H39" s="25" t="n">
        <v>2.28435635566711</v>
      </c>
      <c r="I39" s="25" t="n">
        <v>2.10666656494141</v>
      </c>
      <c r="J39" s="25" t="n">
        <v>7.54832666015625</v>
      </c>
      <c r="K39" s="25" t="n">
        <v>3.185626953125</v>
      </c>
      <c r="L39" s="25" t="n">
        <v>0.525333312988281</v>
      </c>
      <c r="M39" s="25" t="n">
        <v>35.1155128479004</v>
      </c>
      <c r="N39" s="25" t="n">
        <v>456.571228027344</v>
      </c>
      <c r="O39" s="25" t="n">
        <v>198.369644165039</v>
      </c>
      <c r="P39" s="25" t="n">
        <v>172.353134155273</v>
      </c>
      <c r="Q39" s="25" t="n">
        <v>196.851486206055</v>
      </c>
      <c r="R39" s="25" t="n">
        <v>21.1617164611816</v>
      </c>
      <c r="S39" s="25" t="n">
        <v>0.843927383422852</v>
      </c>
      <c r="T39" s="25" t="n">
        <v>0.798151791095734</v>
      </c>
      <c r="U39" s="25" t="n">
        <v>0.0928712859749794</v>
      </c>
      <c r="V39" s="25" t="n">
        <v>3.63739252090454</v>
      </c>
      <c r="W39" s="25" t="n">
        <v>0.280528068542481</v>
      </c>
      <c r="X39" s="25" t="n">
        <v>139.405944824219</v>
      </c>
      <c r="Y39" s="25" t="n">
        <v>83.1980209350586</v>
      </c>
      <c r="Z39" s="25" t="n">
        <v>0.313102304935455</v>
      </c>
      <c r="AA39" s="25" t="n">
        <v>5.68646860122681</v>
      </c>
      <c r="AB39" s="25" t="n">
        <v>0</v>
      </c>
      <c r="AC39" s="25" t="n">
        <v>0.100528053939343</v>
      </c>
      <c r="AD39" s="25" t="n">
        <v>0.0861056074500084</v>
      </c>
      <c r="AE39" s="25" t="n">
        <v>0.877392709255219</v>
      </c>
      <c r="AF39" s="25" t="n">
        <v>0.246864691376686</v>
      </c>
      <c r="AG39" s="25" t="n">
        <v>0.0797689780592918</v>
      </c>
      <c r="AH39" s="25" t="n">
        <v>4.00161695480347</v>
      </c>
      <c r="AI39" s="25" t="n">
        <v>16.7653141021729</v>
      </c>
      <c r="AJ39" s="6" t="n">
        <v>75.7</v>
      </c>
      <c r="AK39" s="6" t="n">
        <v>172.3</v>
      </c>
      <c r="AL39" s="26"/>
    </row>
    <row r="40" customFormat="false" ht="15" hidden="false" customHeight="false" outlineLevel="0" collapsed="false">
      <c r="A40" s="6" t="s">
        <v>2991</v>
      </c>
      <c r="B40" s="6" t="s">
        <v>2992</v>
      </c>
      <c r="C40" s="6" t="s">
        <v>2961</v>
      </c>
      <c r="D40" s="13" t="n">
        <v>224.579513549805</v>
      </c>
      <c r="E40" s="25" t="n">
        <v>6.82184791564941</v>
      </c>
      <c r="F40" s="25" t="n">
        <v>21.4155769348145</v>
      </c>
      <c r="G40" s="25" t="n">
        <v>12.9519472122192</v>
      </c>
      <c r="H40" s="25" t="n">
        <v>1.77940595149994</v>
      </c>
      <c r="I40" s="25" t="n">
        <v>2.67432332038879</v>
      </c>
      <c r="J40" s="25" t="n">
        <v>7.543296875</v>
      </c>
      <c r="K40" s="25" t="n">
        <v>3.19344213867188</v>
      </c>
      <c r="L40" s="25" t="n">
        <v>0.47780859375</v>
      </c>
      <c r="M40" s="25" t="n">
        <v>35.1155128479004</v>
      </c>
      <c r="N40" s="25" t="n">
        <v>457.937561035156</v>
      </c>
      <c r="O40" s="25" t="n">
        <v>148.534652709961</v>
      </c>
      <c r="P40" s="25" t="n">
        <v>169.224426269531</v>
      </c>
      <c r="Q40" s="25" t="n">
        <v>173.201324462891</v>
      </c>
      <c r="R40" s="25" t="n">
        <v>19.0363025665283</v>
      </c>
      <c r="S40" s="25" t="n">
        <v>0.820825040340424</v>
      </c>
      <c r="T40" s="25" t="n">
        <v>0.778349816799164</v>
      </c>
      <c r="U40" s="25" t="n">
        <v>0.0763696357607842</v>
      </c>
      <c r="V40" s="25" t="n">
        <v>3.63739252090454</v>
      </c>
      <c r="W40" s="25" t="n">
        <v>0.260726064443588</v>
      </c>
      <c r="X40" s="25" t="n">
        <v>139.405944824219</v>
      </c>
      <c r="Y40" s="25" t="n">
        <v>2005.97033691406</v>
      </c>
      <c r="Z40" s="25" t="n">
        <v>0.382409244775772</v>
      </c>
      <c r="AA40" s="25" t="n">
        <v>9.52145290374756</v>
      </c>
      <c r="AB40" s="25" t="n">
        <v>8.33993434906006</v>
      </c>
      <c r="AC40" s="25" t="n">
        <v>0.110429041087627</v>
      </c>
      <c r="AD40" s="25" t="n">
        <v>0.0828052833676338</v>
      </c>
      <c r="AE40" s="25" t="n">
        <v>0.821287095546722</v>
      </c>
      <c r="AF40" s="25" t="n">
        <v>0.16435644030571</v>
      </c>
      <c r="AG40" s="25" t="n">
        <v>0.0665676593780518</v>
      </c>
      <c r="AH40" s="25" t="n">
        <v>1.31514847278595</v>
      </c>
      <c r="AI40" s="25" t="n">
        <v>19.1184482574463</v>
      </c>
      <c r="AJ40" s="6" t="n">
        <v>75.7</v>
      </c>
      <c r="AK40" s="6" t="n">
        <v>170.1</v>
      </c>
      <c r="AL40" s="26"/>
    </row>
    <row r="41" customFormat="false" ht="15" hidden="false" customHeight="false" outlineLevel="0" collapsed="false">
      <c r="A41" s="6" t="s">
        <v>2993</v>
      </c>
      <c r="B41" s="6" t="s">
        <v>2994</v>
      </c>
      <c r="C41" s="6" t="s">
        <v>2995</v>
      </c>
      <c r="D41" s="13" t="n">
        <v>164.900650024414</v>
      </c>
      <c r="E41" s="25" t="n">
        <v>4.60491561889648</v>
      </c>
      <c r="F41" s="25" t="n">
        <v>25.1683616638184</v>
      </c>
      <c r="G41" s="25" t="n">
        <v>5.42716121673584</v>
      </c>
      <c r="H41" s="25" t="n">
        <v>2.88590550422669</v>
      </c>
      <c r="I41" s="25" t="n">
        <v>1.33277750015259</v>
      </c>
      <c r="J41" s="25" t="n">
        <v>0.576467834472656</v>
      </c>
      <c r="K41" s="25" t="n">
        <v>0.962906494140625</v>
      </c>
      <c r="L41" s="25" t="n">
        <v>2.95417846679688</v>
      </c>
      <c r="M41" s="25" t="n">
        <v>0</v>
      </c>
      <c r="N41" s="25" t="n">
        <v>262.628204345703</v>
      </c>
      <c r="O41" s="25" t="n">
        <v>342.732940673828</v>
      </c>
      <c r="P41" s="25" t="n">
        <v>64.1531448364258</v>
      </c>
      <c r="Q41" s="25" t="n">
        <v>61.7998199462891</v>
      </c>
      <c r="R41" s="25" t="n">
        <v>26.6628952026367</v>
      </c>
      <c r="S41" s="25" t="n">
        <v>1.10715043544769</v>
      </c>
      <c r="T41" s="25" t="n">
        <v>0.519772708415985</v>
      </c>
      <c r="U41" s="25" t="n">
        <v>0.123844720423222</v>
      </c>
      <c r="V41" s="25" t="n">
        <v>2.89510536193848</v>
      </c>
      <c r="W41" s="25" t="n">
        <v>0.434138387441635</v>
      </c>
      <c r="X41" s="25" t="n">
        <v>0</v>
      </c>
      <c r="Y41" s="25" t="n">
        <v>289.260528564453</v>
      </c>
      <c r="Z41" s="25" t="n">
        <v>2.31100702285767</v>
      </c>
      <c r="AA41" s="25" t="n">
        <v>7.8626561164856</v>
      </c>
      <c r="AB41" s="25" t="n">
        <v>15.8746490478516</v>
      </c>
      <c r="AC41" s="25" t="n">
        <v>0.13572995364666</v>
      </c>
      <c r="AD41" s="25" t="n">
        <v>0.0356506332755089</v>
      </c>
      <c r="AE41" s="25" t="n">
        <v>1.19988691806793</v>
      </c>
      <c r="AF41" s="25" t="n">
        <v>0.260023057460785</v>
      </c>
      <c r="AG41" s="25" t="n">
        <v>0.103817716240883</v>
      </c>
      <c r="AH41" s="25" t="n">
        <v>1.10956513881683</v>
      </c>
      <c r="AI41" s="25" t="n">
        <v>23.637077331543</v>
      </c>
      <c r="AJ41" s="6" t="n">
        <v>88.9</v>
      </c>
      <c r="AK41" s="6" t="n">
        <v>146.6</v>
      </c>
      <c r="AL41" s="26"/>
    </row>
    <row r="42" customFormat="false" ht="15" hidden="false" customHeight="false" outlineLevel="0" collapsed="false">
      <c r="A42" s="6" t="s">
        <v>2996</v>
      </c>
      <c r="B42" s="6" t="s">
        <v>2997</v>
      </c>
      <c r="C42" s="6" t="s">
        <v>2995</v>
      </c>
      <c r="D42" s="13" t="n">
        <v>249.555725097656</v>
      </c>
      <c r="E42" s="25" t="n">
        <v>12.4001340866089</v>
      </c>
      <c r="F42" s="25" t="n">
        <v>24.0521869659424</v>
      </c>
      <c r="G42" s="25" t="n">
        <v>11.9756851196289</v>
      </c>
      <c r="H42" s="25" t="n">
        <v>2.11628532409668</v>
      </c>
      <c r="I42" s="25" t="n">
        <v>6.39606857299805</v>
      </c>
      <c r="J42" s="25" t="n">
        <v>4.54043505859375</v>
      </c>
      <c r="K42" s="25" t="n">
        <v>2.89198876953125</v>
      </c>
      <c r="L42" s="25" t="n">
        <v>3.09370043945313</v>
      </c>
      <c r="M42" s="25" t="n">
        <v>0</v>
      </c>
      <c r="N42" s="25" t="n">
        <v>268.897705078125</v>
      </c>
      <c r="O42" s="25" t="n">
        <v>127.837860107422</v>
      </c>
      <c r="P42" s="25" t="n">
        <v>274.101959228516</v>
      </c>
      <c r="Q42" s="25" t="n">
        <v>190.780975341797</v>
      </c>
      <c r="R42" s="25" t="n">
        <v>27.8105735778809</v>
      </c>
      <c r="S42" s="25" t="n">
        <v>1.25567376613617</v>
      </c>
      <c r="T42" s="25" t="n">
        <v>1.62694561481476</v>
      </c>
      <c r="U42" s="25" t="n">
        <v>0.128345429897308</v>
      </c>
      <c r="V42" s="25" t="n">
        <v>12.9721794128418</v>
      </c>
      <c r="W42" s="25" t="n">
        <v>0.42963770031929</v>
      </c>
      <c r="X42" s="25" t="n">
        <v>0</v>
      </c>
      <c r="Y42" s="25" t="n">
        <v>282.959564208984</v>
      </c>
      <c r="Z42" s="25" t="n">
        <v>2.29300427436829</v>
      </c>
      <c r="AA42" s="25" t="n">
        <v>6.90850687026978</v>
      </c>
      <c r="AB42" s="25" t="n">
        <v>5.45552062988281</v>
      </c>
      <c r="AC42" s="25" t="n">
        <v>0.117727145552635</v>
      </c>
      <c r="AD42" s="25" t="n">
        <v>0.076156958937645</v>
      </c>
      <c r="AE42" s="25" t="n">
        <v>0.79032289981842</v>
      </c>
      <c r="AF42" s="25" t="n">
        <v>0.309530794620514</v>
      </c>
      <c r="AG42" s="25" t="n">
        <v>0.0768135040998459</v>
      </c>
      <c r="AH42" s="25" t="n">
        <v>9.97144985198975</v>
      </c>
      <c r="AI42" s="25" t="n">
        <v>58.6525497436523</v>
      </c>
      <c r="AJ42" s="6" t="n">
        <v>88.9</v>
      </c>
      <c r="AK42" s="6" t="n">
        <v>221.8</v>
      </c>
      <c r="AL42" s="26"/>
    </row>
    <row r="43" customFormat="false" ht="15" hidden="false" customHeight="false" outlineLevel="0" collapsed="false">
      <c r="A43" s="6" t="s">
        <v>2998</v>
      </c>
      <c r="B43" s="6" t="s">
        <v>2999</v>
      </c>
      <c r="C43" s="6" t="s">
        <v>2995</v>
      </c>
      <c r="D43" s="13" t="n">
        <v>167.367980957031</v>
      </c>
      <c r="E43" s="25" t="n">
        <v>12.0810527801514</v>
      </c>
      <c r="F43" s="25" t="n">
        <v>18.819356918335</v>
      </c>
      <c r="G43" s="25" t="n">
        <v>5.31561422348023</v>
      </c>
      <c r="H43" s="25" t="n">
        <v>1.6419882774353</v>
      </c>
      <c r="I43" s="25" t="n">
        <v>2.13426899909973</v>
      </c>
      <c r="J43" s="25" t="n">
        <v>1.14177661132813</v>
      </c>
      <c r="K43" s="25" t="n">
        <v>0.725923400878906</v>
      </c>
      <c r="L43" s="25" t="n">
        <v>0.21308772277832</v>
      </c>
      <c r="M43" s="25" t="n">
        <v>26.5672512054443</v>
      </c>
      <c r="N43" s="25" t="n">
        <v>327.548767089844</v>
      </c>
      <c r="O43" s="25" t="n">
        <v>203.555557250977</v>
      </c>
      <c r="P43" s="25" t="n">
        <v>99.9865493774414</v>
      </c>
      <c r="Q43" s="25" t="n">
        <v>147.949127197266</v>
      </c>
      <c r="R43" s="25" t="n">
        <v>20.6666660308838</v>
      </c>
      <c r="S43" s="25" t="n">
        <v>0.988918125629425</v>
      </c>
      <c r="T43" s="25" t="n">
        <v>0.733742654323578</v>
      </c>
      <c r="U43" s="25" t="n">
        <v>0.16912280023098</v>
      </c>
      <c r="V43" s="25" t="n">
        <v>9.35827445983887</v>
      </c>
      <c r="W43" s="25" t="n">
        <v>0.242982462048531</v>
      </c>
      <c r="X43" s="25" t="n">
        <v>18.2315788269043</v>
      </c>
      <c r="Y43" s="25" t="n">
        <v>316.149139404297</v>
      </c>
      <c r="Z43" s="25" t="n">
        <v>0.179736837744713</v>
      </c>
      <c r="AA43" s="25" t="n">
        <v>4.00409364700317</v>
      </c>
      <c r="AB43" s="25" t="n">
        <v>15.1684217453003</v>
      </c>
      <c r="AC43" s="25" t="n">
        <v>0.126491233706474</v>
      </c>
      <c r="AD43" s="25" t="n">
        <v>0.06517543643713</v>
      </c>
      <c r="AE43" s="25" t="n">
        <v>3.50307011604309</v>
      </c>
      <c r="AF43" s="25" t="n">
        <v>0.499122798442841</v>
      </c>
      <c r="AG43" s="25" t="n">
        <v>0.244649112224579</v>
      </c>
      <c r="AH43" s="25" t="n">
        <v>2.62190055847168</v>
      </c>
      <c r="AI43" s="25" t="n">
        <v>24.2219009399414</v>
      </c>
      <c r="AJ43" s="6" t="n">
        <v>85.5</v>
      </c>
      <c r="AK43" s="6" t="n">
        <v>143.1</v>
      </c>
      <c r="AL43" s="26"/>
    </row>
    <row r="44" customFormat="false" ht="15" hidden="false" customHeight="false" outlineLevel="0" collapsed="false">
      <c r="A44" s="6" t="s">
        <v>3000</v>
      </c>
      <c r="B44" s="6" t="s">
        <v>3001</v>
      </c>
      <c r="C44" s="6" t="s">
        <v>2995</v>
      </c>
      <c r="D44" s="13" t="n">
        <v>171.775161743164</v>
      </c>
      <c r="E44" s="25" t="n">
        <v>11.055025100708</v>
      </c>
      <c r="F44" s="25" t="n">
        <v>20.2555065155029</v>
      </c>
      <c r="G44" s="25" t="n">
        <v>5.61141014099121</v>
      </c>
      <c r="H44" s="25" t="n">
        <v>2.45340752601624</v>
      </c>
      <c r="I44" s="25" t="n">
        <v>1.94306063652039</v>
      </c>
      <c r="J44" s="25" t="n">
        <v>2.22236791992188</v>
      </c>
      <c r="K44" s="25" t="n">
        <v>1.91894604492188</v>
      </c>
      <c r="L44" s="25" t="n">
        <v>0.274915100097656</v>
      </c>
      <c r="M44" s="25" t="n">
        <v>27.2920608520508</v>
      </c>
      <c r="N44" s="25" t="n">
        <v>290.072296142578</v>
      </c>
      <c r="O44" s="25" t="n">
        <v>234.351425170898</v>
      </c>
      <c r="P44" s="25" t="n">
        <v>70.7867126464844</v>
      </c>
      <c r="Q44" s="25" t="n">
        <v>115.546112060547</v>
      </c>
      <c r="R44" s="25" t="n">
        <v>26.192195892334</v>
      </c>
      <c r="S44" s="25" t="n">
        <v>1.5065690279007</v>
      </c>
      <c r="T44" s="25" t="n">
        <v>1.69540226459503</v>
      </c>
      <c r="U44" s="25" t="n">
        <v>0.128413870930672</v>
      </c>
      <c r="V44" s="25" t="n">
        <v>3.43575716018677</v>
      </c>
      <c r="W44" s="25" t="n">
        <v>0.42164757847786</v>
      </c>
      <c r="X44" s="25" t="n">
        <v>1.77221167087555</v>
      </c>
      <c r="Y44" s="25" t="n">
        <v>216.200790405273</v>
      </c>
      <c r="Z44" s="25" t="n">
        <v>0.1419517993927</v>
      </c>
      <c r="AA44" s="25" t="n">
        <v>7.49150800704956</v>
      </c>
      <c r="AB44" s="25" t="n">
        <v>6.50012350082398</v>
      </c>
      <c r="AC44" s="25" t="n">
        <v>0.161440804600716</v>
      </c>
      <c r="AD44" s="25" t="n">
        <v>0.0977091193199158</v>
      </c>
      <c r="AE44" s="25" t="n">
        <v>2.51008152961731</v>
      </c>
      <c r="AF44" s="25" t="n">
        <v>0.447930663824081</v>
      </c>
      <c r="AG44" s="25" t="n">
        <v>0.144506141543388</v>
      </c>
      <c r="AH44" s="25" t="n">
        <v>1.54444766044617</v>
      </c>
      <c r="AI44" s="25" t="n">
        <v>21.6146945953369</v>
      </c>
      <c r="AJ44" s="6" t="n">
        <v>84.6</v>
      </c>
      <c r="AK44" s="6" t="n">
        <v>145.4</v>
      </c>
      <c r="AL44" s="26"/>
    </row>
    <row r="45" customFormat="false" ht="15" hidden="false" customHeight="false" outlineLevel="0" collapsed="false">
      <c r="A45" s="6" t="s">
        <v>3002</v>
      </c>
      <c r="B45" s="6" t="s">
        <v>3003</v>
      </c>
      <c r="C45" s="6" t="s">
        <v>2961</v>
      </c>
      <c r="D45" s="13" t="n">
        <v>200.830993652344</v>
      </c>
      <c r="E45" s="25" t="n">
        <v>6.73637580871582</v>
      </c>
      <c r="F45" s="25" t="n">
        <v>18.4915885925293</v>
      </c>
      <c r="G45" s="25" t="n">
        <v>11.5625953674316</v>
      </c>
      <c r="H45" s="25" t="n">
        <v>1.62384784221649</v>
      </c>
      <c r="I45" s="25" t="n">
        <v>1.85722589492798</v>
      </c>
      <c r="J45" s="25" t="n">
        <v>4.63253271484375</v>
      </c>
      <c r="K45" s="25" t="n">
        <v>4.00240014648438</v>
      </c>
      <c r="L45" s="25" t="n">
        <v>1.49610717773438</v>
      </c>
      <c r="M45" s="25" t="n">
        <v>62.8747215270996</v>
      </c>
      <c r="N45" s="25" t="n">
        <v>277.492218017578</v>
      </c>
      <c r="O45" s="25" t="n">
        <v>167.568237304688</v>
      </c>
      <c r="P45" s="25" t="n">
        <v>107.726486206055</v>
      </c>
      <c r="Q45" s="25" t="n">
        <v>127.977851867676</v>
      </c>
      <c r="R45" s="25" t="n">
        <v>20.0158386230469</v>
      </c>
      <c r="S45" s="25" t="n">
        <v>1.0937807559967</v>
      </c>
      <c r="T45" s="25" t="n">
        <v>0.726711392402649</v>
      </c>
      <c r="U45" s="25" t="n">
        <v>0.0804250538349152</v>
      </c>
      <c r="V45" s="25" t="n">
        <v>7.87816524505615</v>
      </c>
      <c r="W45" s="25" t="n">
        <v>0.244451895356178</v>
      </c>
      <c r="X45" s="25" t="n">
        <v>97.1633071899414</v>
      </c>
      <c r="Y45" s="25" t="n">
        <v>1056.79638671875</v>
      </c>
      <c r="Z45" s="25" t="n">
        <v>1.43277406692505</v>
      </c>
      <c r="AA45" s="25" t="n">
        <v>20.7881870269775</v>
      </c>
      <c r="AB45" s="25" t="n">
        <v>7.2448320388794</v>
      </c>
      <c r="AC45" s="25" t="n">
        <v>0.114138700067997</v>
      </c>
      <c r="AD45" s="25" t="n">
        <v>0.0841163322329521</v>
      </c>
      <c r="AE45" s="25" t="n">
        <v>0.875570476055145</v>
      </c>
      <c r="AF45" s="25" t="n">
        <v>0.356308728456497</v>
      </c>
      <c r="AG45" s="25" t="n">
        <v>0.100984342396259</v>
      </c>
      <c r="AH45" s="25" t="n">
        <v>3.54183435440064</v>
      </c>
      <c r="AI45" s="25" t="n">
        <v>25.4589710235596</v>
      </c>
      <c r="AJ45" s="6" t="n">
        <v>223.5</v>
      </c>
      <c r="AK45" s="6" t="n">
        <v>448.9</v>
      </c>
      <c r="AL45" s="26"/>
    </row>
    <row r="46" customFormat="false" ht="15" hidden="false" customHeight="false" outlineLevel="0" collapsed="false">
      <c r="A46" s="6" t="s">
        <v>3004</v>
      </c>
      <c r="B46" s="6" t="s">
        <v>3005</v>
      </c>
      <c r="C46" s="6" t="s">
        <v>2995</v>
      </c>
      <c r="D46" s="13" t="n">
        <v>495.186340332031</v>
      </c>
      <c r="E46" s="25" t="n">
        <v>1.89909911155701</v>
      </c>
      <c r="F46" s="25" t="n">
        <v>11.1469669342041</v>
      </c>
      <c r="G46" s="25" t="n">
        <v>49.3781776428223</v>
      </c>
      <c r="H46" s="25" t="n">
        <v>1.31897902488709</v>
      </c>
      <c r="I46" s="25" t="n">
        <v>1.46264266967773</v>
      </c>
      <c r="J46" s="25" t="n">
        <v>5.92663232421875</v>
      </c>
      <c r="K46" s="25" t="n">
        <v>10.1682275390625</v>
      </c>
      <c r="L46" s="25" t="n">
        <v>30.988806640625</v>
      </c>
      <c r="M46" s="25" t="n">
        <v>0</v>
      </c>
      <c r="N46" s="25" t="n">
        <v>128.775192260742</v>
      </c>
      <c r="O46" s="25" t="n">
        <v>172.984985351563</v>
      </c>
      <c r="P46" s="25" t="n">
        <v>43.4448432922363</v>
      </c>
      <c r="Q46" s="25" t="n">
        <v>36.6672668457031</v>
      </c>
      <c r="R46" s="25" t="n">
        <v>15.3367366790772</v>
      </c>
      <c r="S46" s="25" t="n">
        <v>0.718878865242004</v>
      </c>
      <c r="T46" s="25" t="n">
        <v>0.295075088739395</v>
      </c>
      <c r="U46" s="25" t="n">
        <v>0.0727827847003937</v>
      </c>
      <c r="V46" s="25" t="n">
        <v>1.38914906978607</v>
      </c>
      <c r="W46" s="25" t="n">
        <v>0.144484490156174</v>
      </c>
      <c r="X46" s="25" t="n">
        <v>0</v>
      </c>
      <c r="Y46" s="25" t="n">
        <v>744.635498046875</v>
      </c>
      <c r="Z46" s="25" t="n">
        <v>23.9089088439941</v>
      </c>
      <c r="AA46" s="25" t="n">
        <v>7.05165147781372</v>
      </c>
      <c r="AB46" s="25" t="n">
        <v>11.0752754211426</v>
      </c>
      <c r="AC46" s="25" t="n">
        <v>0.0741741731762886</v>
      </c>
      <c r="AD46" s="25" t="n">
        <v>0.0182482488453388</v>
      </c>
      <c r="AE46" s="25" t="n">
        <v>0.56432431936264</v>
      </c>
      <c r="AF46" s="25" t="n">
        <v>0.11291291564703</v>
      </c>
      <c r="AG46" s="25" t="n">
        <v>0.0561561547219753</v>
      </c>
      <c r="AH46" s="25" t="n">
        <v>0.596636652946472</v>
      </c>
      <c r="AI46" s="25" t="n">
        <v>14.2006006240845</v>
      </c>
      <c r="AJ46" s="6" t="n">
        <v>62.4</v>
      </c>
      <c r="AK46" s="6" t="n">
        <v>309.2</v>
      </c>
      <c r="AL46" s="26"/>
    </row>
    <row r="47" customFormat="false" ht="15" hidden="false" customHeight="false" outlineLevel="0" collapsed="false">
      <c r="A47" s="6" t="s">
        <v>468</v>
      </c>
      <c r="B47" s="6" t="s">
        <v>3006</v>
      </c>
      <c r="C47" s="6" t="s">
        <v>3007</v>
      </c>
      <c r="D47" s="13" t="n">
        <v>81.5651397705078</v>
      </c>
      <c r="E47" s="25" t="n">
        <v>2.6426796913147</v>
      </c>
      <c r="F47" s="25" t="n">
        <v>8.87096786499023</v>
      </c>
      <c r="G47" s="25" t="n">
        <v>4.0806450843811</v>
      </c>
      <c r="H47" s="25" t="n">
        <v>0.620347380638123</v>
      </c>
      <c r="I47" s="25" t="n">
        <v>5.11786603927612</v>
      </c>
      <c r="J47" s="25" t="n">
        <v>1.82816381835938</v>
      </c>
      <c r="K47" s="25" t="n">
        <v>1.00744415283203</v>
      </c>
      <c r="L47" s="25" t="n">
        <v>0.870967712402344</v>
      </c>
      <c r="M47" s="25" t="n">
        <v>0</v>
      </c>
      <c r="N47" s="25" t="n">
        <v>15.8933010101318</v>
      </c>
      <c r="O47" s="25" t="n">
        <v>71.439208984375</v>
      </c>
      <c r="P47" s="25" t="n">
        <v>75.8808898925781</v>
      </c>
      <c r="Q47" s="25" t="n">
        <v>59.9205932617188</v>
      </c>
      <c r="R47" s="25" t="n">
        <v>5.17617893218994</v>
      </c>
      <c r="S47" s="25" t="n">
        <v>0.321588069200516</v>
      </c>
      <c r="T47" s="25" t="n">
        <v>0.206699743866921</v>
      </c>
      <c r="U47" s="25" t="n">
        <v>0.0211166255176067</v>
      </c>
      <c r="V47" s="25" t="n">
        <v>0.589330017566681</v>
      </c>
      <c r="W47" s="25" t="n">
        <v>0.00620347401127219</v>
      </c>
      <c r="X47" s="25" t="n">
        <v>0</v>
      </c>
      <c r="Y47" s="25" t="n">
        <v>124.069480895996</v>
      </c>
      <c r="Z47" s="25" t="n">
        <v>0.747146368026733</v>
      </c>
      <c r="AA47" s="25" t="n">
        <v>0.0781637728214264</v>
      </c>
      <c r="AB47" s="25" t="n">
        <v>1.24689829349518</v>
      </c>
      <c r="AC47" s="25" t="n">
        <v>0.0186104234308004</v>
      </c>
      <c r="AD47" s="25" t="n">
        <v>0.0682382136583328</v>
      </c>
      <c r="AE47" s="25" t="n">
        <v>0.0496277920901775</v>
      </c>
      <c r="AF47" s="25" t="n">
        <v>0.210918113589287</v>
      </c>
      <c r="AG47" s="25" t="n">
        <v>0.0248138960450888</v>
      </c>
      <c r="AH47" s="25" t="n">
        <v>1.22828781604767</v>
      </c>
      <c r="AI47" s="25" t="n">
        <v>4.36104249954224</v>
      </c>
      <c r="AJ47" s="6" t="n">
        <v>403</v>
      </c>
      <c r="AK47" s="6" t="n">
        <v>328.7</v>
      </c>
      <c r="AL47" s="26"/>
    </row>
    <row r="48" customFormat="false" ht="15" hidden="false" customHeight="false" outlineLevel="0" collapsed="false">
      <c r="A48" s="6" t="s">
        <v>3008</v>
      </c>
      <c r="B48" s="6" t="s">
        <v>3009</v>
      </c>
      <c r="C48" s="6" t="s">
        <v>3007</v>
      </c>
      <c r="D48" s="13" t="n">
        <v>100.894355773926</v>
      </c>
      <c r="E48" s="25" t="n">
        <v>3.75035953521729</v>
      </c>
      <c r="F48" s="25" t="n">
        <v>12.3870506286621</v>
      </c>
      <c r="G48" s="25" t="n">
        <v>4.08201408386231</v>
      </c>
      <c r="H48" s="25" t="n">
        <v>0.699280560016632</v>
      </c>
      <c r="I48" s="25" t="n">
        <v>7.53776979446411</v>
      </c>
      <c r="J48" s="25" t="n">
        <v>2.44074609375</v>
      </c>
      <c r="K48" s="25" t="n">
        <v>1.09657116699219</v>
      </c>
      <c r="L48" s="25" t="n">
        <v>0.147482009887695</v>
      </c>
      <c r="M48" s="25" t="n">
        <v>0</v>
      </c>
      <c r="N48" s="25" t="n">
        <v>23.2057552337647</v>
      </c>
      <c r="O48" s="25" t="n">
        <v>123.992805480957</v>
      </c>
      <c r="P48" s="25" t="n">
        <v>108.516548156738</v>
      </c>
      <c r="Q48" s="25" t="n">
        <v>95.4244613647461</v>
      </c>
      <c r="R48" s="25" t="n">
        <v>10.2294969558716</v>
      </c>
      <c r="S48" s="25" t="n">
        <v>0.355035990476608</v>
      </c>
      <c r="T48" s="25" t="n">
        <v>0.452877700328827</v>
      </c>
      <c r="U48" s="25" t="n">
        <v>0.0635251775383949</v>
      </c>
      <c r="V48" s="25" t="n">
        <v>1.64064753055573</v>
      </c>
      <c r="W48" s="25" t="n">
        <v>0.151438847184181</v>
      </c>
      <c r="X48" s="25" t="n">
        <v>0</v>
      </c>
      <c r="Y48" s="25" t="n">
        <v>199.71223449707</v>
      </c>
      <c r="Z48" s="25" t="n">
        <v>0.21223022043705</v>
      </c>
      <c r="AA48" s="25" t="n">
        <v>0.0863309353590012</v>
      </c>
      <c r="AB48" s="25" t="n">
        <v>1.80755400657654</v>
      </c>
      <c r="AC48" s="25" t="n">
        <v>0.0478417277336121</v>
      </c>
      <c r="AD48" s="25" t="n">
        <v>0.101798564195633</v>
      </c>
      <c r="AE48" s="25" t="n">
        <v>0.153237402439117</v>
      </c>
      <c r="AF48" s="25" t="n">
        <v>0.359712243080139</v>
      </c>
      <c r="AG48" s="25" t="n">
        <v>0.0438848920166493</v>
      </c>
      <c r="AH48" s="25" t="n">
        <v>1.81223011016846</v>
      </c>
      <c r="AI48" s="25" t="n">
        <v>8.16942501068115</v>
      </c>
      <c r="AJ48" s="6" t="n">
        <v>278</v>
      </c>
      <c r="AK48" s="6" t="n">
        <v>280.5</v>
      </c>
      <c r="AL48" s="26"/>
    </row>
    <row r="49" customFormat="false" ht="15" hidden="false" customHeight="false" outlineLevel="0" collapsed="false">
      <c r="A49" s="6" t="s">
        <v>472</v>
      </c>
      <c r="B49" s="6" t="s">
        <v>3010</v>
      </c>
      <c r="C49" s="6" t="s">
        <v>3007</v>
      </c>
      <c r="D49" s="13" t="n">
        <v>72.853645324707</v>
      </c>
      <c r="E49" s="25" t="n">
        <v>2.59547734260559</v>
      </c>
      <c r="F49" s="25" t="n">
        <v>8.76633167266846</v>
      </c>
      <c r="G49" s="25" t="n">
        <v>3.22110557556152</v>
      </c>
      <c r="H49" s="25" t="n">
        <v>0.3919597864151</v>
      </c>
      <c r="I49" s="25" t="n">
        <v>5.19723606109619</v>
      </c>
      <c r="J49" s="25" t="n">
        <v>1.76469848632813</v>
      </c>
      <c r="K49" s="25" t="n">
        <v>0.91884423828125</v>
      </c>
      <c r="L49" s="25" t="n">
        <v>0.246984924316406</v>
      </c>
      <c r="M49" s="25" t="n">
        <v>0.0150753762573004</v>
      </c>
      <c r="N49" s="25" t="n">
        <v>16.143217086792</v>
      </c>
      <c r="O49" s="25" t="n">
        <v>91.0301513671875</v>
      </c>
      <c r="P49" s="25" t="n">
        <v>76.8341674804688</v>
      </c>
      <c r="Q49" s="25" t="n">
        <v>80.12060546875</v>
      </c>
      <c r="R49" s="25" t="n">
        <v>10.9698495864868</v>
      </c>
      <c r="S49" s="25" t="n">
        <v>0.28115576505661</v>
      </c>
      <c r="T49" s="25" t="n">
        <v>0.324874371290207</v>
      </c>
      <c r="U49" s="25" t="n">
        <v>0.0398492477834225</v>
      </c>
      <c r="V49" s="25" t="n">
        <v>0.747487425804138</v>
      </c>
      <c r="W49" s="25" t="n">
        <v>0.190200999379158</v>
      </c>
      <c r="X49" s="25" t="n">
        <v>0</v>
      </c>
      <c r="Y49" s="25" t="n">
        <v>125.628143310547</v>
      </c>
      <c r="Z49" s="25" t="n">
        <v>0.167839199304581</v>
      </c>
      <c r="AA49" s="25" t="n">
        <v>0</v>
      </c>
      <c r="AB49" s="25" t="n">
        <v>1.26256287097931</v>
      </c>
      <c r="AC49" s="25" t="n">
        <v>0.0716080367565155</v>
      </c>
      <c r="AD49" s="25" t="n">
        <v>0.0716080442070961</v>
      </c>
      <c r="AE49" s="25" t="n">
        <v>0.0904522612690926</v>
      </c>
      <c r="AF49" s="25" t="n">
        <v>0.251256287097931</v>
      </c>
      <c r="AG49" s="25" t="n">
        <v>0.0422110557556152</v>
      </c>
      <c r="AH49" s="25" t="n">
        <v>2.19849228858948</v>
      </c>
      <c r="AI49" s="25" t="n">
        <v>6.02386951446533</v>
      </c>
      <c r="AJ49" s="6" t="n">
        <v>398</v>
      </c>
      <c r="AK49" s="6" t="n">
        <v>290</v>
      </c>
      <c r="AL49" s="26"/>
    </row>
    <row r="50" customFormat="false" ht="15" hidden="false" customHeight="false" outlineLevel="0" collapsed="false">
      <c r="A50" s="6" t="s">
        <v>3011</v>
      </c>
      <c r="B50" s="6" t="s">
        <v>3012</v>
      </c>
      <c r="C50" s="6" t="s">
        <v>3007</v>
      </c>
      <c r="D50" s="13" t="n">
        <v>117.326614379883</v>
      </c>
      <c r="E50" s="25" t="n">
        <v>3.59136700630188</v>
      </c>
      <c r="F50" s="25" t="n">
        <v>14.9482011795044</v>
      </c>
      <c r="G50" s="25" t="n">
        <v>5.11942434310913</v>
      </c>
      <c r="H50" s="25" t="n">
        <v>0.776978433132172</v>
      </c>
      <c r="I50" s="25" t="n">
        <v>9.97338104248047</v>
      </c>
      <c r="J50" s="25" t="n">
        <v>2.78482006835938</v>
      </c>
      <c r="K50" s="25" t="n">
        <v>1.530431640625</v>
      </c>
      <c r="L50" s="25" t="n">
        <v>0.370575531005859</v>
      </c>
      <c r="M50" s="25" t="n">
        <v>0</v>
      </c>
      <c r="N50" s="25" t="n">
        <v>26.5482006072998</v>
      </c>
      <c r="O50" s="25" t="n">
        <v>132.877700805664</v>
      </c>
      <c r="P50" s="25" t="n">
        <v>106.474822998047</v>
      </c>
      <c r="Q50" s="25" t="n">
        <v>108.425903320313</v>
      </c>
      <c r="R50" s="25" t="n">
        <v>14.9755392074585</v>
      </c>
      <c r="S50" s="25" t="n">
        <v>0.4244604408741</v>
      </c>
      <c r="T50" s="25" t="n">
        <v>0.460431635379791</v>
      </c>
      <c r="U50" s="25" t="n">
        <v>0.0617266185581684</v>
      </c>
      <c r="V50" s="25" t="n">
        <v>1.46762585639954</v>
      </c>
      <c r="W50" s="25" t="n">
        <v>0.236330941319466</v>
      </c>
      <c r="X50" s="25" t="n">
        <v>0</v>
      </c>
      <c r="Y50" s="25" t="n">
        <v>172.661865234375</v>
      </c>
      <c r="Z50" s="25" t="n">
        <v>0.338848918676376</v>
      </c>
      <c r="AA50" s="25" t="n">
        <v>0</v>
      </c>
      <c r="AB50" s="25" t="n">
        <v>1.73525178432465</v>
      </c>
      <c r="AC50" s="25" t="n">
        <v>0.135971218347549</v>
      </c>
      <c r="AD50" s="25" t="n">
        <v>0.209352508187294</v>
      </c>
      <c r="AE50" s="25" t="n">
        <v>0.500719428062439</v>
      </c>
      <c r="AF50" s="25" t="n">
        <v>0.328057557344437</v>
      </c>
      <c r="AG50" s="25" t="n">
        <v>0.0528776980936527</v>
      </c>
      <c r="AH50" s="25" t="n">
        <v>2.66978406906128</v>
      </c>
      <c r="AI50" s="25" t="n">
        <v>15.7812948226929</v>
      </c>
      <c r="AJ50" s="6" t="n">
        <v>278</v>
      </c>
      <c r="AK50" s="6" t="n">
        <v>326.2</v>
      </c>
      <c r="AL50" s="26"/>
    </row>
    <row r="51" customFormat="false" ht="15" hidden="false" customHeight="false" outlineLevel="0" collapsed="false">
      <c r="A51" s="6" t="s">
        <v>3013</v>
      </c>
      <c r="B51" s="6" t="s">
        <v>3014</v>
      </c>
      <c r="C51" s="6" t="s">
        <v>3007</v>
      </c>
      <c r="D51" s="13" t="n">
        <v>112.440284729004</v>
      </c>
      <c r="E51" s="25" t="n">
        <v>3.6172661781311</v>
      </c>
      <c r="F51" s="25" t="n">
        <v>15.5687046051025</v>
      </c>
      <c r="G51" s="25" t="n">
        <v>3.990647315979</v>
      </c>
      <c r="H51" s="25" t="n">
        <v>0.373381286859512</v>
      </c>
      <c r="I51" s="25" t="n">
        <v>7.27985620498657</v>
      </c>
      <c r="J51" s="25" t="n">
        <v>2.36762573242188</v>
      </c>
      <c r="K51" s="25" t="n">
        <v>1.0939208984375</v>
      </c>
      <c r="L51" s="25" t="n">
        <v>0.181402877807617</v>
      </c>
      <c r="M51" s="25" t="n">
        <v>0</v>
      </c>
      <c r="N51" s="25" t="n">
        <v>22.4021587371826</v>
      </c>
      <c r="O51" s="25" t="n">
        <v>115.395683288574</v>
      </c>
      <c r="P51" s="25" t="n">
        <v>103.150001525879</v>
      </c>
      <c r="Q51" s="25" t="n">
        <v>104.433097839356</v>
      </c>
      <c r="R51" s="25" t="n">
        <v>15.6143884658814</v>
      </c>
      <c r="S51" s="25" t="n">
        <v>0.616546809673309</v>
      </c>
      <c r="T51" s="25" t="n">
        <v>0.448561161756516</v>
      </c>
      <c r="U51" s="25" t="n">
        <v>0.0574100725352764</v>
      </c>
      <c r="V51" s="25" t="n">
        <v>0.82014387845993</v>
      </c>
      <c r="W51" s="25" t="n">
        <v>0.104676254093647</v>
      </c>
      <c r="X51" s="25" t="n">
        <v>0</v>
      </c>
      <c r="Y51" s="25" t="n">
        <v>176.288848876953</v>
      </c>
      <c r="Z51" s="25" t="n">
        <v>0.19532373547554</v>
      </c>
      <c r="AA51" s="25" t="n">
        <v>0.107913672924042</v>
      </c>
      <c r="AB51" s="25" t="n">
        <v>1.73525178432465</v>
      </c>
      <c r="AC51" s="25" t="n">
        <v>0.0388489179313183</v>
      </c>
      <c r="AD51" s="25" t="n">
        <v>0.0992805734276772</v>
      </c>
      <c r="AE51" s="25" t="n">
        <v>0.241726621985436</v>
      </c>
      <c r="AF51" s="25" t="n">
        <v>0.345323741436005</v>
      </c>
      <c r="AG51" s="25" t="n">
        <v>0.0366906486451626</v>
      </c>
      <c r="AH51" s="25" t="n">
        <v>1.75143873691559</v>
      </c>
      <c r="AI51" s="25" t="n">
        <v>6.98201417922974</v>
      </c>
      <c r="AJ51" s="6" t="n">
        <v>278</v>
      </c>
      <c r="AK51" s="6" t="n">
        <v>312.6</v>
      </c>
      <c r="AL51" s="26"/>
    </row>
    <row r="52" customFormat="false" ht="15" hidden="false" customHeight="false" outlineLevel="0" collapsed="false">
      <c r="A52" s="6" t="s">
        <v>3015</v>
      </c>
      <c r="B52" s="6" t="s">
        <v>3016</v>
      </c>
      <c r="C52" s="6" t="s">
        <v>3007</v>
      </c>
      <c r="D52" s="13" t="n">
        <v>112.440284729004</v>
      </c>
      <c r="E52" s="25" t="n">
        <v>3.6172661781311</v>
      </c>
      <c r="F52" s="25" t="n">
        <v>15.5687046051025</v>
      </c>
      <c r="G52" s="25" t="n">
        <v>3.990647315979</v>
      </c>
      <c r="H52" s="25" t="n">
        <v>0.373381286859512</v>
      </c>
      <c r="I52" s="25" t="n">
        <v>7.27985620498657</v>
      </c>
      <c r="J52" s="25" t="n">
        <v>2.36762573242188</v>
      </c>
      <c r="K52" s="25" t="n">
        <v>1.0939208984375</v>
      </c>
      <c r="L52" s="25" t="n">
        <v>0.181402877807617</v>
      </c>
      <c r="M52" s="25" t="n">
        <v>0</v>
      </c>
      <c r="N52" s="25" t="n">
        <v>22.4021587371826</v>
      </c>
      <c r="O52" s="25" t="n">
        <v>115.395683288574</v>
      </c>
      <c r="P52" s="25" t="n">
        <v>103.150001525879</v>
      </c>
      <c r="Q52" s="25" t="n">
        <v>104.433097839356</v>
      </c>
      <c r="R52" s="25" t="n">
        <v>15.6143884658814</v>
      </c>
      <c r="S52" s="25" t="n">
        <v>0.616546809673309</v>
      </c>
      <c r="T52" s="25" t="n">
        <v>0.448561161756516</v>
      </c>
      <c r="U52" s="25" t="n">
        <v>0.0574100725352764</v>
      </c>
      <c r="V52" s="25" t="n">
        <v>0.82014387845993</v>
      </c>
      <c r="W52" s="25" t="n">
        <v>0.104676254093647</v>
      </c>
      <c r="X52" s="25" t="n">
        <v>0</v>
      </c>
      <c r="Y52" s="25" t="n">
        <v>176.288848876953</v>
      </c>
      <c r="Z52" s="25" t="n">
        <v>0.19532373547554</v>
      </c>
      <c r="AA52" s="25" t="n">
        <v>0.107913672924042</v>
      </c>
      <c r="AB52" s="25" t="n">
        <v>1.73525178432465</v>
      </c>
      <c r="AC52" s="25" t="n">
        <v>0.0388489179313183</v>
      </c>
      <c r="AD52" s="25" t="n">
        <v>0.0992805734276772</v>
      </c>
      <c r="AE52" s="25" t="n">
        <v>0.241726621985436</v>
      </c>
      <c r="AF52" s="25" t="n">
        <v>0.345323741436005</v>
      </c>
      <c r="AG52" s="25" t="n">
        <v>0.0366906486451626</v>
      </c>
      <c r="AH52" s="25" t="n">
        <v>1.75143873691559</v>
      </c>
      <c r="AI52" s="25" t="n">
        <v>6.98201417922974</v>
      </c>
      <c r="AJ52" s="6" t="n">
        <v>278</v>
      </c>
      <c r="AK52" s="6" t="n">
        <v>312.6</v>
      </c>
      <c r="AL52" s="26"/>
    </row>
    <row r="53" customFormat="false" ht="15" hidden="false" customHeight="false" outlineLevel="0" collapsed="false">
      <c r="A53" s="6" t="s">
        <v>3017</v>
      </c>
      <c r="B53" s="6" t="s">
        <v>3018</v>
      </c>
      <c r="C53" s="6" t="s">
        <v>3007</v>
      </c>
      <c r="D53" s="13" t="n">
        <v>113.317192077637</v>
      </c>
      <c r="E53" s="25" t="n">
        <v>3.62050342559815</v>
      </c>
      <c r="F53" s="25" t="n">
        <v>15.6690645217896</v>
      </c>
      <c r="G53" s="25" t="n">
        <v>4.04244613647461</v>
      </c>
      <c r="H53" s="25" t="n">
        <v>0.276259005069733</v>
      </c>
      <c r="I53" s="25" t="n">
        <v>7.31223011016846</v>
      </c>
      <c r="J53" s="25" t="n">
        <v>2.34203295898438</v>
      </c>
      <c r="K53" s="25" t="n">
        <v>1.05234936523438</v>
      </c>
      <c r="L53" s="25" t="n">
        <v>0.123971229553223</v>
      </c>
      <c r="M53" s="25" t="n">
        <v>0</v>
      </c>
      <c r="N53" s="25" t="n">
        <v>22.5219421386719</v>
      </c>
      <c r="O53" s="25" t="n">
        <v>114.532371520996</v>
      </c>
      <c r="P53" s="25" t="n">
        <v>103.786697387695</v>
      </c>
      <c r="Q53" s="25" t="n">
        <v>99.7928085327148</v>
      </c>
      <c r="R53" s="25" t="n">
        <v>14.1758995056152</v>
      </c>
      <c r="S53" s="25" t="n">
        <v>0.626259028911591</v>
      </c>
      <c r="T53" s="25" t="n">
        <v>0.444244593381882</v>
      </c>
      <c r="U53" s="25" t="n">
        <v>0.0563309341669083</v>
      </c>
      <c r="V53" s="25" t="n">
        <v>0.82014387845993</v>
      </c>
      <c r="W53" s="25" t="n">
        <v>0.106834530830383</v>
      </c>
      <c r="X53" s="25" t="n">
        <v>0</v>
      </c>
      <c r="Y53" s="25" t="n">
        <v>178.107192993164</v>
      </c>
      <c r="Z53" s="25" t="n">
        <v>0.194244608283043</v>
      </c>
      <c r="AA53" s="25" t="n">
        <v>0.107913672924042</v>
      </c>
      <c r="AB53" s="25" t="n">
        <v>1.73525178432465</v>
      </c>
      <c r="AC53" s="25" t="n">
        <v>0.0377697832882404</v>
      </c>
      <c r="AD53" s="25" t="n">
        <v>0.0992805734276772</v>
      </c>
      <c r="AE53" s="25" t="n">
        <v>0.27086329460144</v>
      </c>
      <c r="AF53" s="25" t="n">
        <v>0.334532380104065</v>
      </c>
      <c r="AG53" s="25" t="n">
        <v>0.0420863293111324</v>
      </c>
      <c r="AH53" s="25" t="n">
        <v>1.84532368183136</v>
      </c>
      <c r="AI53" s="25" t="n">
        <v>6.06906461715698</v>
      </c>
      <c r="AJ53" s="6" t="n">
        <v>278</v>
      </c>
      <c r="AK53" s="6" t="n">
        <v>315</v>
      </c>
      <c r="AL53" s="26"/>
    </row>
    <row r="54" customFormat="false" ht="15" hidden="false" customHeight="false" outlineLevel="0" collapsed="false">
      <c r="A54" s="6" t="s">
        <v>3019</v>
      </c>
      <c r="B54" s="6" t="s">
        <v>3020</v>
      </c>
      <c r="C54" s="6" t="s">
        <v>3007</v>
      </c>
      <c r="D54" s="13" t="n">
        <v>113.317192077637</v>
      </c>
      <c r="E54" s="25" t="n">
        <v>3.62050342559815</v>
      </c>
      <c r="F54" s="25" t="n">
        <v>15.6690645217896</v>
      </c>
      <c r="G54" s="25" t="n">
        <v>4.04244613647461</v>
      </c>
      <c r="H54" s="25" t="n">
        <v>0.276259005069733</v>
      </c>
      <c r="I54" s="25" t="n">
        <v>7.31223011016846</v>
      </c>
      <c r="J54" s="25" t="n">
        <v>2.34203295898438</v>
      </c>
      <c r="K54" s="25" t="n">
        <v>1.05234936523438</v>
      </c>
      <c r="L54" s="25" t="n">
        <v>0.123971229553223</v>
      </c>
      <c r="M54" s="25" t="n">
        <v>0</v>
      </c>
      <c r="N54" s="25" t="n">
        <v>22.5219421386719</v>
      </c>
      <c r="O54" s="25" t="n">
        <v>114.532371520996</v>
      </c>
      <c r="P54" s="25" t="n">
        <v>103.786697387695</v>
      </c>
      <c r="Q54" s="25" t="n">
        <v>99.7928085327148</v>
      </c>
      <c r="R54" s="25" t="n">
        <v>14.1758995056152</v>
      </c>
      <c r="S54" s="25" t="n">
        <v>0.626259028911591</v>
      </c>
      <c r="T54" s="25" t="n">
        <v>0.444244593381882</v>
      </c>
      <c r="U54" s="25" t="n">
        <v>0.0563309341669083</v>
      </c>
      <c r="V54" s="25" t="n">
        <v>0.82014387845993</v>
      </c>
      <c r="W54" s="25" t="n">
        <v>0.106834530830383</v>
      </c>
      <c r="X54" s="25" t="n">
        <v>0</v>
      </c>
      <c r="Y54" s="25" t="n">
        <v>178.107192993164</v>
      </c>
      <c r="Z54" s="25" t="n">
        <v>0.194244608283043</v>
      </c>
      <c r="AA54" s="25" t="n">
        <v>0.107913672924042</v>
      </c>
      <c r="AB54" s="25" t="n">
        <v>1.73525178432465</v>
      </c>
      <c r="AC54" s="25" t="n">
        <v>0.0377697832882404</v>
      </c>
      <c r="AD54" s="25" t="n">
        <v>0.0992805734276772</v>
      </c>
      <c r="AE54" s="25" t="n">
        <v>0.27086329460144</v>
      </c>
      <c r="AF54" s="25" t="n">
        <v>0.334532380104065</v>
      </c>
      <c r="AG54" s="25" t="n">
        <v>0.0420863293111324</v>
      </c>
      <c r="AH54" s="25" t="n">
        <v>1.84532368183136</v>
      </c>
      <c r="AI54" s="25" t="n">
        <v>6.06906461715698</v>
      </c>
      <c r="AJ54" s="6" t="n">
        <v>278</v>
      </c>
      <c r="AK54" s="6" t="n">
        <v>315</v>
      </c>
      <c r="AL54" s="26"/>
    </row>
    <row r="55" customFormat="false" ht="15" hidden="false" customHeight="false" outlineLevel="0" collapsed="false">
      <c r="A55" s="6" t="s">
        <v>1451</v>
      </c>
      <c r="B55" s="6" t="s">
        <v>3021</v>
      </c>
      <c r="C55" s="6" t="s">
        <v>3022</v>
      </c>
      <c r="D55" s="13" t="n">
        <v>45.3546028137207</v>
      </c>
      <c r="E55" s="25" t="n">
        <v>4.43086099624634</v>
      </c>
      <c r="F55" s="25" t="n">
        <v>0.119933769106865</v>
      </c>
      <c r="G55" s="25" t="n">
        <v>3.03887414932251</v>
      </c>
      <c r="H55" s="25" t="n">
        <v>0.109801329672337</v>
      </c>
      <c r="I55" s="25" t="n">
        <v>0.00105960259679705</v>
      </c>
      <c r="J55" s="25" t="n">
        <v>0.9816357421875</v>
      </c>
      <c r="K55" s="25" t="n">
        <v>1.15418212890625</v>
      </c>
      <c r="L55" s="25" t="n">
        <v>0.385019866943359</v>
      </c>
      <c r="M55" s="25" t="n">
        <v>121.192054748535</v>
      </c>
      <c r="N55" s="25" t="n">
        <v>170.940658569336</v>
      </c>
      <c r="O55" s="25" t="n">
        <v>50.9139060974121</v>
      </c>
      <c r="P55" s="25" t="n">
        <v>17.7450332641602</v>
      </c>
      <c r="Q55" s="25" t="n">
        <v>61.738410949707</v>
      </c>
      <c r="R55" s="25" t="n">
        <v>4.87748336791992</v>
      </c>
      <c r="S55" s="25" t="n">
        <v>0.643079459667206</v>
      </c>
      <c r="T55" s="25" t="n">
        <v>0.411721855401993</v>
      </c>
      <c r="U55" s="25" t="n">
        <v>0.0292715225368738</v>
      </c>
      <c r="V55" s="25" t="n">
        <v>13.4308938980103</v>
      </c>
      <c r="W55" s="25" t="n">
        <v>0.0314569547772408</v>
      </c>
      <c r="X55" s="25" t="n">
        <v>65.5629119873047</v>
      </c>
      <c r="Y55" s="25" t="n">
        <v>52.0496673583984</v>
      </c>
      <c r="Z55" s="25" t="n">
        <v>0.504205286502838</v>
      </c>
      <c r="AA55" s="25" t="n">
        <v>0.566225171089172</v>
      </c>
      <c r="AB55" s="25" t="n">
        <v>0</v>
      </c>
      <c r="AC55" s="25" t="n">
        <v>0.0200662240386009</v>
      </c>
      <c r="AD55" s="25" t="n">
        <v>0.0632119178771973</v>
      </c>
      <c r="AE55" s="25" t="n">
        <v>0.0392384119331837</v>
      </c>
      <c r="AF55" s="25" t="n">
        <v>0.487748354673386</v>
      </c>
      <c r="AG55" s="25" t="n">
        <v>0.053874172270298</v>
      </c>
      <c r="AH55" s="25" t="n">
        <v>6.05129146575928</v>
      </c>
      <c r="AI55" s="25" t="n">
        <v>16.4036083221436</v>
      </c>
      <c r="AJ55" s="6" t="n">
        <v>151</v>
      </c>
      <c r="AK55" s="6" t="n">
        <v>68.5</v>
      </c>
      <c r="AL55" s="26"/>
    </row>
    <row r="56" customFormat="false" ht="15" hidden="false" customHeight="false" outlineLevel="0" collapsed="false">
      <c r="A56" s="6" t="s">
        <v>1459</v>
      </c>
      <c r="B56" s="6" t="s">
        <v>3023</v>
      </c>
      <c r="C56" s="6" t="s">
        <v>3022</v>
      </c>
      <c r="D56" s="13" t="n">
        <v>223.667449951172</v>
      </c>
      <c r="E56" s="25" t="n">
        <v>11.5854539871216</v>
      </c>
      <c r="F56" s="25" t="n">
        <v>0.313593059778214</v>
      </c>
      <c r="G56" s="25" t="n">
        <v>19.6224231719971</v>
      </c>
      <c r="H56" s="25" t="n">
        <v>0.287099570035934</v>
      </c>
      <c r="I56" s="25" t="n">
        <v>0.00277056265622377</v>
      </c>
      <c r="J56" s="25" t="n">
        <v>3.96929858398438</v>
      </c>
      <c r="K56" s="25" t="n">
        <v>5.41396533203125</v>
      </c>
      <c r="L56" s="25" t="n">
        <v>8.405419921875</v>
      </c>
      <c r="M56" s="25" t="n">
        <v>316.883117675781</v>
      </c>
      <c r="N56" s="25" t="n">
        <v>446.961730957031</v>
      </c>
      <c r="O56" s="25" t="n">
        <v>133.125534057617</v>
      </c>
      <c r="P56" s="25" t="n">
        <v>46.3982658386231</v>
      </c>
      <c r="Q56" s="25" t="n">
        <v>161.428573608398</v>
      </c>
      <c r="R56" s="25" t="n">
        <v>12.7532472610474</v>
      </c>
      <c r="S56" s="25" t="n">
        <v>1.69316017627716</v>
      </c>
      <c r="T56" s="25" t="n">
        <v>1.07653677463532</v>
      </c>
      <c r="U56" s="25" t="n">
        <v>0.077705629169941</v>
      </c>
      <c r="V56" s="25" t="n">
        <v>35.1180076599121</v>
      </c>
      <c r="W56" s="25" t="n">
        <v>0.0822510868310928</v>
      </c>
      <c r="X56" s="25" t="n">
        <v>171.428573608398</v>
      </c>
      <c r="Y56" s="25" t="n">
        <v>136.095245361328</v>
      </c>
      <c r="Z56" s="25" t="n">
        <v>7.07134199142456</v>
      </c>
      <c r="AA56" s="25" t="n">
        <v>2.21688318252564</v>
      </c>
      <c r="AB56" s="25" t="n">
        <v>0</v>
      </c>
      <c r="AC56" s="25" t="n">
        <v>0.0524675324559212</v>
      </c>
      <c r="AD56" s="25" t="n">
        <v>0.165281385183334</v>
      </c>
      <c r="AE56" s="25" t="n">
        <v>0.102597400546074</v>
      </c>
      <c r="AF56" s="25" t="n">
        <v>1.27532470226288</v>
      </c>
      <c r="AG56" s="25" t="n">
        <v>0.140865802764893</v>
      </c>
      <c r="AH56" s="25" t="n">
        <v>15.8224239349365</v>
      </c>
      <c r="AI56" s="25" t="n">
        <v>42.8908233642578</v>
      </c>
      <c r="AJ56" s="6" t="n">
        <v>57.8</v>
      </c>
      <c r="AK56" s="6" t="n">
        <v>129.2</v>
      </c>
      <c r="AL56" s="26"/>
    </row>
    <row r="57" customFormat="false" ht="15" hidden="false" customHeight="false" outlineLevel="0" collapsed="false">
      <c r="A57" s="6" t="s">
        <v>3024</v>
      </c>
      <c r="B57" s="6" t="s">
        <v>3025</v>
      </c>
      <c r="C57" s="6" t="s">
        <v>3022</v>
      </c>
      <c r="D57" s="13" t="n">
        <v>123.866882324219</v>
      </c>
      <c r="E57" s="25" t="n">
        <v>11.9760713577271</v>
      </c>
      <c r="F57" s="25" t="n">
        <v>0.366249978542328</v>
      </c>
      <c r="G57" s="25" t="n">
        <v>8.19410705566406</v>
      </c>
      <c r="H57" s="25" t="n">
        <v>0.296071439981461</v>
      </c>
      <c r="I57" s="25" t="n">
        <v>0.0457142852246761</v>
      </c>
      <c r="J57" s="25" t="n">
        <v>2.64691064453125</v>
      </c>
      <c r="K57" s="25" t="n">
        <v>3.11216967773438</v>
      </c>
      <c r="L57" s="25" t="n">
        <v>1.03817858886719</v>
      </c>
      <c r="M57" s="25" t="n">
        <v>326.785705566406</v>
      </c>
      <c r="N57" s="25" t="n">
        <v>1163.07214355469</v>
      </c>
      <c r="O57" s="25" t="n">
        <v>141.303573608398</v>
      </c>
      <c r="P57" s="25" t="n">
        <v>48.2410697937012</v>
      </c>
      <c r="Q57" s="25" t="n">
        <v>167.205352783203</v>
      </c>
      <c r="R57" s="25" t="n">
        <v>14.7946434020996</v>
      </c>
      <c r="S57" s="25" t="n">
        <v>1.74651789665222</v>
      </c>
      <c r="T57" s="25" t="n">
        <v>1.11910712718964</v>
      </c>
      <c r="U57" s="25" t="n">
        <v>0.0810714289546013</v>
      </c>
      <c r="V57" s="25" t="n">
        <v>36.2868728637695</v>
      </c>
      <c r="W57" s="25" t="n">
        <v>0.0855357199907303</v>
      </c>
      <c r="X57" s="25" t="n">
        <v>176.785720825195</v>
      </c>
      <c r="Y57" s="25" t="n">
        <v>140.348220825195</v>
      </c>
      <c r="Z57" s="25" t="n">
        <v>1.35955357551575</v>
      </c>
      <c r="AA57" s="25" t="n">
        <v>1.52678573131561</v>
      </c>
      <c r="AB57" s="25" t="n">
        <v>0</v>
      </c>
      <c r="AC57" s="25" t="n">
        <v>0.0541071407496929</v>
      </c>
      <c r="AD57" s="25" t="n">
        <v>0.170446425676346</v>
      </c>
      <c r="AE57" s="25" t="n">
        <v>0.105803571641445</v>
      </c>
      <c r="AF57" s="25" t="n">
        <v>1.31517863273621</v>
      </c>
      <c r="AG57" s="25" t="n">
        <v>0.145267859101296</v>
      </c>
      <c r="AH57" s="25" t="n">
        <v>16.3168754577637</v>
      </c>
      <c r="AI57" s="25" t="n">
        <v>44.2311592102051</v>
      </c>
      <c r="AJ57" s="6" t="n">
        <v>56</v>
      </c>
      <c r="AK57" s="6" t="n">
        <v>69.4</v>
      </c>
      <c r="AL57" s="26"/>
    </row>
    <row r="58" customFormat="false" ht="15" hidden="false" customHeight="false" outlineLevel="0" collapsed="false">
      <c r="A58" s="6" t="s">
        <v>1465</v>
      </c>
      <c r="B58" s="6" t="s">
        <v>3026</v>
      </c>
      <c r="C58" s="6" t="s">
        <v>3022</v>
      </c>
      <c r="D58" s="13" t="n">
        <v>155.971008300781</v>
      </c>
      <c r="E58" s="25" t="n">
        <v>10.2908573150635</v>
      </c>
      <c r="F58" s="25" t="n">
        <v>1.35157144069672</v>
      </c>
      <c r="G58" s="25" t="n">
        <v>12.2124280929565</v>
      </c>
      <c r="H58" s="25" t="n">
        <v>0.236857146024704</v>
      </c>
      <c r="I58" s="25" t="n">
        <v>1.08442854881287</v>
      </c>
      <c r="J58" s="25" t="n">
        <v>5.67417138671875</v>
      </c>
      <c r="K58" s="25" t="n">
        <v>3.94473583984375</v>
      </c>
      <c r="L58" s="25" t="n">
        <v>1.02182855224609</v>
      </c>
      <c r="M58" s="25" t="n">
        <v>273.600006103516</v>
      </c>
      <c r="N58" s="25" t="n">
        <v>374.656280517578</v>
      </c>
      <c r="O58" s="25" t="n">
        <v>136.014282226563</v>
      </c>
      <c r="P58" s="25" t="n">
        <v>64.5928573608398</v>
      </c>
      <c r="Q58" s="25" t="n">
        <v>155.184280395508</v>
      </c>
      <c r="R58" s="25" t="n">
        <v>12.4099998474121</v>
      </c>
      <c r="S58" s="25" t="n">
        <v>1.4193571805954</v>
      </c>
      <c r="T58" s="25" t="n">
        <v>0.964571416378021</v>
      </c>
      <c r="U58" s="25" t="n">
        <v>0.0701428577303886</v>
      </c>
      <c r="V58" s="25" t="n">
        <v>29.1759281158447</v>
      </c>
      <c r="W58" s="25" t="n">
        <v>0.0700000002980232</v>
      </c>
      <c r="X58" s="25" t="n">
        <v>196.171432495117</v>
      </c>
      <c r="Y58" s="25" t="n">
        <v>189.878570556641</v>
      </c>
      <c r="Z58" s="25" t="n">
        <v>1.24049997329712</v>
      </c>
      <c r="AA58" s="25" t="n">
        <v>1.64428579807282</v>
      </c>
      <c r="AB58" s="25" t="n">
        <v>0.430714279413223</v>
      </c>
      <c r="AC58" s="25" t="n">
        <v>0.0497142858803272</v>
      </c>
      <c r="AD58" s="25" t="n">
        <v>0.16392856836319</v>
      </c>
      <c r="AE58" s="25" t="n">
        <v>0.101785711944103</v>
      </c>
      <c r="AF58" s="25" t="n">
        <v>1.12785720825195</v>
      </c>
      <c r="AG58" s="25" t="n">
        <v>0.124785713851452</v>
      </c>
      <c r="AH58" s="25" t="n">
        <v>13.4892139434815</v>
      </c>
      <c r="AI58" s="25" t="n">
        <v>36.891357421875</v>
      </c>
      <c r="AJ58" s="6" t="n">
        <v>70</v>
      </c>
      <c r="AK58" s="6" t="n">
        <v>109.2</v>
      </c>
      <c r="AL58" s="26"/>
    </row>
    <row r="59" customFormat="false" ht="15" hidden="false" customHeight="false" outlineLevel="0" collapsed="false">
      <c r="A59" s="6" t="s">
        <v>3027</v>
      </c>
      <c r="B59" s="6" t="s">
        <v>3028</v>
      </c>
      <c r="C59" s="6" t="s">
        <v>3022</v>
      </c>
      <c r="D59" s="13" t="n">
        <v>218.846984863281</v>
      </c>
      <c r="E59" s="25" t="n">
        <v>11.881781578064</v>
      </c>
      <c r="F59" s="25" t="n">
        <v>15.4169301986694</v>
      </c>
      <c r="G59" s="25" t="n">
        <v>12.652177810669</v>
      </c>
      <c r="H59" s="25" t="n">
        <v>1.02554452419281</v>
      </c>
      <c r="I59" s="25" t="n">
        <v>1.66495048999786</v>
      </c>
      <c r="J59" s="25" t="n">
        <v>6.17303955078125</v>
      </c>
      <c r="K59" s="25" t="n">
        <v>3.7022919921875</v>
      </c>
      <c r="L59" s="25" t="n">
        <v>0.838990112304688</v>
      </c>
      <c r="M59" s="25" t="n">
        <v>204.356430053711</v>
      </c>
      <c r="N59" s="25" t="n">
        <v>523.287536621094</v>
      </c>
      <c r="O59" s="25" t="n">
        <v>143.693069458008</v>
      </c>
      <c r="P59" s="25" t="n">
        <v>164.054458618164</v>
      </c>
      <c r="Q59" s="25" t="n">
        <v>236.014846801758</v>
      </c>
      <c r="R59" s="25" t="n">
        <v>17.9356441497803</v>
      </c>
      <c r="S59" s="25" t="n">
        <v>1.4812376499176</v>
      </c>
      <c r="T59" s="25" t="n">
        <v>1.21455442905426</v>
      </c>
      <c r="U59" s="25" t="n">
        <v>0.0858415812253952</v>
      </c>
      <c r="V59" s="25" t="n">
        <v>22.90163230896</v>
      </c>
      <c r="W59" s="25" t="n">
        <v>0.198514848947525</v>
      </c>
      <c r="X59" s="25" t="n">
        <v>185.544555664063</v>
      </c>
      <c r="Y59" s="25" t="n">
        <v>122.024749755859</v>
      </c>
      <c r="Z59" s="25" t="n">
        <v>0.9508416056633</v>
      </c>
      <c r="AA59" s="25" t="n">
        <v>1.45049512386322</v>
      </c>
      <c r="AB59" s="25" t="n">
        <v>0</v>
      </c>
      <c r="AC59" s="25" t="n">
        <v>0.104257427155972</v>
      </c>
      <c r="AD59" s="25" t="n">
        <v>0.155891090631485</v>
      </c>
      <c r="AE59" s="25" t="n">
        <v>0.548762381076813</v>
      </c>
      <c r="AF59" s="25" t="n">
        <v>0.820792078971863</v>
      </c>
      <c r="AG59" s="25" t="n">
        <v>0.111732669174671</v>
      </c>
      <c r="AH59" s="25" t="n">
        <v>9.88856410980225</v>
      </c>
      <c r="AI59" s="25" t="n">
        <v>35.3657913208008</v>
      </c>
      <c r="AJ59" s="6" t="n">
        <v>101</v>
      </c>
      <c r="AK59" s="6" t="n">
        <v>221</v>
      </c>
      <c r="AL59" s="26"/>
    </row>
    <row r="60" customFormat="false" ht="15" hidden="false" customHeight="false" outlineLevel="0" collapsed="false">
      <c r="A60" s="6" t="s">
        <v>538</v>
      </c>
      <c r="B60" s="6" t="s">
        <v>3029</v>
      </c>
      <c r="C60" s="6" t="s">
        <v>3030</v>
      </c>
      <c r="D60" s="13" t="n">
        <v>272.410980224609</v>
      </c>
      <c r="E60" s="25" t="n">
        <v>9.66405582427979</v>
      </c>
      <c r="F60" s="25" t="n">
        <v>0.644825160503388</v>
      </c>
      <c r="G60" s="25" t="n">
        <v>25.740348815918</v>
      </c>
      <c r="H60" s="25" t="n">
        <v>0.115944057703018</v>
      </c>
      <c r="I60" s="25" t="n">
        <v>0.514055967330933</v>
      </c>
      <c r="J60" s="25" t="n">
        <v>4.62050341796875</v>
      </c>
      <c r="K60" s="25" t="n">
        <v>6.4338564453125</v>
      </c>
      <c r="L60" s="25" t="n">
        <v>12.775580078125</v>
      </c>
      <c r="M60" s="25" t="n">
        <v>255.944061279297</v>
      </c>
      <c r="N60" s="25" t="n">
        <v>226.181396484375</v>
      </c>
      <c r="O60" s="25" t="n">
        <v>114.076919555664</v>
      </c>
      <c r="P60" s="25" t="n">
        <v>48.4020957946777</v>
      </c>
      <c r="Q60" s="25" t="n">
        <v>140.006286621094</v>
      </c>
      <c r="R60" s="25" t="n">
        <v>10.2181816101074</v>
      </c>
      <c r="S60" s="25" t="n">
        <v>1.3500349521637</v>
      </c>
      <c r="T60" s="25" t="n">
        <v>0.899440586566925</v>
      </c>
      <c r="U60" s="25" t="n">
        <v>0.0604195818305016</v>
      </c>
      <c r="V60" s="25" t="n">
        <v>28.421781539917</v>
      </c>
      <c r="W60" s="25" t="n">
        <v>0.0412587411701679</v>
      </c>
      <c r="X60" s="25" t="n">
        <v>138.461532592773</v>
      </c>
      <c r="Y60" s="25" t="n">
        <v>123.143356323242</v>
      </c>
      <c r="Z60" s="25" t="n">
        <v>10.376748085022</v>
      </c>
      <c r="AA60" s="25" t="n">
        <v>1.78741252422333</v>
      </c>
      <c r="AB60" s="25" t="n">
        <v>0.210839152336121</v>
      </c>
      <c r="AC60" s="25" t="n">
        <v>0.045314684510231</v>
      </c>
      <c r="AD60" s="25" t="n">
        <v>0.144720271229744</v>
      </c>
      <c r="AE60" s="25" t="n">
        <v>0.0882867127656937</v>
      </c>
      <c r="AF60" s="25" t="n">
        <v>1.06468534469605</v>
      </c>
      <c r="AG60" s="25" t="n">
        <v>0.117027968168259</v>
      </c>
      <c r="AH60" s="25" t="n">
        <v>12.9751396179199</v>
      </c>
      <c r="AI60" s="25" t="n">
        <v>35.3034629821777</v>
      </c>
      <c r="AJ60" s="6" t="n">
        <v>143</v>
      </c>
      <c r="AK60" s="6" t="n">
        <v>389.5</v>
      </c>
      <c r="AL60" s="26"/>
    </row>
    <row r="61" customFormat="false" ht="15" hidden="false" customHeight="false" outlineLevel="0" collapsed="false">
      <c r="A61" s="6" t="s">
        <v>3031</v>
      </c>
      <c r="B61" s="6" t="s">
        <v>3032</v>
      </c>
      <c r="C61" s="6" t="s">
        <v>3030</v>
      </c>
      <c r="D61" s="13" t="n">
        <v>203.514862060547</v>
      </c>
      <c r="E61" s="25" t="n">
        <v>8.60251903533936</v>
      </c>
      <c r="F61" s="25" t="n">
        <v>2.30194664001465</v>
      </c>
      <c r="G61" s="25" t="n">
        <v>17.7745037078857</v>
      </c>
      <c r="H61" s="25" t="n">
        <v>0.750305354595184</v>
      </c>
      <c r="I61" s="25" t="n">
        <v>1.56835877895355</v>
      </c>
      <c r="J61" s="25" t="n">
        <v>4.762884765625</v>
      </c>
      <c r="K61" s="25" t="n">
        <v>4.5227041015625</v>
      </c>
      <c r="L61" s="25" t="n">
        <v>7.17176708984375</v>
      </c>
      <c r="M61" s="25" t="n">
        <v>154.377868652344</v>
      </c>
      <c r="N61" s="25" t="n">
        <v>267.186798095703</v>
      </c>
      <c r="O61" s="25" t="n">
        <v>161.721374511719</v>
      </c>
      <c r="P61" s="25" t="n">
        <v>89.9093475341797</v>
      </c>
      <c r="Q61" s="25" t="n">
        <v>182.387023925781</v>
      </c>
      <c r="R61" s="25" t="n">
        <v>14.1496181488037</v>
      </c>
      <c r="S61" s="25" t="n">
        <v>0.914332091808319</v>
      </c>
      <c r="T61" s="25" t="n">
        <v>0.903702318668366</v>
      </c>
      <c r="U61" s="25" t="n">
        <v>0.0629007667303085</v>
      </c>
      <c r="V61" s="25" t="n">
        <v>16.6529197692871</v>
      </c>
      <c r="W61" s="25" t="n">
        <v>0.0727099254727364</v>
      </c>
      <c r="X61" s="25" t="n">
        <v>115.96183013916</v>
      </c>
      <c r="Y61" s="25" t="n">
        <v>649.977111816406</v>
      </c>
      <c r="Z61" s="25" t="n">
        <v>5.77337789535523</v>
      </c>
      <c r="AA61" s="25" t="n">
        <v>5.16488552093506</v>
      </c>
      <c r="AB61" s="25" t="n">
        <v>3.16469478607178</v>
      </c>
      <c r="AC61" s="25" t="n">
        <v>0.0848473235964775</v>
      </c>
      <c r="AD61" s="25" t="n">
        <v>0.119370229542255</v>
      </c>
      <c r="AE61" s="25" t="n">
        <v>0.575858771800995</v>
      </c>
      <c r="AF61" s="25" t="n">
        <v>0.784923672676086</v>
      </c>
      <c r="AG61" s="25" t="n">
        <v>0.134103044867516</v>
      </c>
      <c r="AH61" s="25" t="n">
        <v>9.02478981018066</v>
      </c>
      <c r="AI61" s="25" t="n">
        <v>26.8039875030518</v>
      </c>
      <c r="AJ61" s="6" t="n">
        <v>262</v>
      </c>
      <c r="AK61" s="6" t="n">
        <v>533.2</v>
      </c>
      <c r="AL61" s="26"/>
    </row>
    <row r="62" customFormat="false" ht="15" hidden="false" customHeight="false" outlineLevel="0" collapsed="false">
      <c r="A62" s="6" t="s">
        <v>3033</v>
      </c>
      <c r="B62" s="6" t="s">
        <v>3034</v>
      </c>
      <c r="C62" s="6" t="s">
        <v>3035</v>
      </c>
      <c r="D62" s="13" t="n">
        <v>203.355606079102</v>
      </c>
      <c r="E62" s="25" t="n">
        <v>5.68212890625</v>
      </c>
      <c r="F62" s="25" t="n">
        <v>20.4896507263184</v>
      </c>
      <c r="G62" s="25" t="n">
        <v>10.8166170120239</v>
      </c>
      <c r="H62" s="25" t="n">
        <v>0.652868092060089</v>
      </c>
      <c r="I62" s="25" t="n">
        <v>3.31519794464111</v>
      </c>
      <c r="J62" s="25" t="n">
        <v>2.766083984375</v>
      </c>
      <c r="K62" s="25" t="n">
        <v>2.52637622070313</v>
      </c>
      <c r="L62" s="25" t="n">
        <v>4.7678486328125</v>
      </c>
      <c r="M62" s="25" t="n">
        <v>35.9290351867676</v>
      </c>
      <c r="N62" s="25" t="n">
        <v>143.69841003418</v>
      </c>
      <c r="O62" s="25" t="n">
        <v>116.826141357422</v>
      </c>
      <c r="P62" s="25" t="n">
        <v>79.4896774291992</v>
      </c>
      <c r="Q62" s="25" t="n">
        <v>101.28621673584</v>
      </c>
      <c r="R62" s="25" t="n">
        <v>13.5598220825195</v>
      </c>
      <c r="S62" s="25" t="n">
        <v>0.694039046764374</v>
      </c>
      <c r="T62" s="25" t="n">
        <v>0.524352431297302</v>
      </c>
      <c r="U62" s="25" t="n">
        <v>0.0657717362046242</v>
      </c>
      <c r="V62" s="25" t="n">
        <v>4.53166198730469</v>
      </c>
      <c r="W62" s="25" t="n">
        <v>0.156901240348816</v>
      </c>
      <c r="X62" s="25" t="n">
        <v>19.4370193481445</v>
      </c>
      <c r="Y62" s="25" t="n">
        <v>195.393264770508</v>
      </c>
      <c r="Z62" s="25" t="n">
        <v>3.78300428390503</v>
      </c>
      <c r="AA62" s="25" t="n">
        <v>0.683619141578674</v>
      </c>
      <c r="AB62" s="25" t="n">
        <v>1.18864572048187</v>
      </c>
      <c r="AC62" s="25" t="n">
        <v>0.0591129511594772</v>
      </c>
      <c r="AD62" s="25" t="n">
        <v>0.0978947356343269</v>
      </c>
      <c r="AE62" s="25" t="n">
        <v>0.240248367190361</v>
      </c>
      <c r="AF62" s="25" t="n">
        <v>0.515682995319367</v>
      </c>
      <c r="AG62" s="25" t="n">
        <v>0.0582850389182568</v>
      </c>
      <c r="AH62" s="25" t="n">
        <v>3.0986635684967</v>
      </c>
      <c r="AI62" s="25" t="n">
        <v>12.8427677154541</v>
      </c>
      <c r="AJ62" s="6" t="n">
        <v>42.3</v>
      </c>
      <c r="AK62" s="6" t="n">
        <v>86</v>
      </c>
      <c r="AL62" s="26"/>
    </row>
    <row r="63" customFormat="false" ht="15" hidden="false" customHeight="false" outlineLevel="0" collapsed="false">
      <c r="A63" s="6" t="s">
        <v>3036</v>
      </c>
      <c r="B63" s="6" t="s">
        <v>3037</v>
      </c>
      <c r="C63" s="6" t="s">
        <v>3035</v>
      </c>
      <c r="D63" s="13" t="n">
        <v>176.274978637695</v>
      </c>
      <c r="E63" s="25" t="n">
        <v>9.00699996948242</v>
      </c>
      <c r="F63" s="25" t="n">
        <v>9.5593376159668</v>
      </c>
      <c r="G63" s="25" t="n">
        <v>11.2455883026123</v>
      </c>
      <c r="H63" s="25" t="n">
        <v>0.840624213218689</v>
      </c>
      <c r="I63" s="25" t="n">
        <v>2.1966712474823</v>
      </c>
      <c r="J63" s="25" t="n">
        <v>4.7748154296875</v>
      </c>
      <c r="K63" s="25" t="n">
        <v>3.41691772460938</v>
      </c>
      <c r="L63" s="25" t="n">
        <v>2.14888427734375</v>
      </c>
      <c r="M63" s="25" t="n">
        <v>46.4319534301758</v>
      </c>
      <c r="N63" s="25" t="n">
        <v>125.399917602539</v>
      </c>
      <c r="O63" s="25" t="n">
        <v>198.421188354492</v>
      </c>
      <c r="P63" s="25" t="n">
        <v>40.9630661010742</v>
      </c>
      <c r="Q63" s="25" t="n">
        <v>110.675148010254</v>
      </c>
      <c r="R63" s="25" t="n">
        <v>16.9506301879883</v>
      </c>
      <c r="S63" s="25" t="n">
        <v>0.927234888076782</v>
      </c>
      <c r="T63" s="25" t="n">
        <v>1.45506012439728</v>
      </c>
      <c r="U63" s="25" t="n">
        <v>0.0740060731768608</v>
      </c>
      <c r="V63" s="25" t="n">
        <v>2.46973252296448</v>
      </c>
      <c r="W63" s="25" t="n">
        <v>0.165706753730774</v>
      </c>
      <c r="X63" s="25" t="n">
        <v>38.43408203125</v>
      </c>
      <c r="Y63" s="25" t="n">
        <v>770.604125976563</v>
      </c>
      <c r="Z63" s="25" t="n">
        <v>1.60337376594544</v>
      </c>
      <c r="AA63" s="25" t="n">
        <v>4.30061721801758</v>
      </c>
      <c r="AB63" s="25" t="n">
        <v>4.20148992538452</v>
      </c>
      <c r="AC63" s="25" t="n">
        <v>0.0738323554396629</v>
      </c>
      <c r="AD63" s="25" t="n">
        <v>0.105689764022827</v>
      </c>
      <c r="AE63" s="25" t="n">
        <v>1.82724976539612</v>
      </c>
      <c r="AF63" s="25" t="n">
        <v>0.568392157554627</v>
      </c>
      <c r="AG63" s="25" t="n">
        <v>0.116614952683449</v>
      </c>
      <c r="AH63" s="25" t="n">
        <v>2.31981086730957</v>
      </c>
      <c r="AI63" s="25" t="n">
        <v>11.0791101455689</v>
      </c>
      <c r="AJ63" s="6" t="n">
        <v>110.4</v>
      </c>
      <c r="AK63" s="6" t="n">
        <v>194.6</v>
      </c>
      <c r="AL63" s="26"/>
    </row>
    <row r="64" customFormat="false" ht="15" hidden="false" customHeight="false" outlineLevel="0" collapsed="false">
      <c r="A64" s="6" t="s">
        <v>3038</v>
      </c>
      <c r="B64" s="6" t="s">
        <v>3039</v>
      </c>
      <c r="C64" s="6" t="s">
        <v>3035</v>
      </c>
      <c r="D64" s="13" t="n">
        <v>125.176345825195</v>
      </c>
      <c r="E64" s="25" t="n">
        <v>3.86565947532654</v>
      </c>
      <c r="F64" s="25" t="n">
        <v>12.2351684570313</v>
      </c>
      <c r="G64" s="25" t="n">
        <v>6.57317543029785</v>
      </c>
      <c r="H64" s="25" t="n">
        <v>2.47716593742371</v>
      </c>
      <c r="I64" s="25" t="n">
        <v>2.08504056930542</v>
      </c>
      <c r="J64" s="25" t="n">
        <v>2.57450170898438</v>
      </c>
      <c r="K64" s="25" t="n">
        <v>1.57866931152344</v>
      </c>
      <c r="L64" s="25" t="n">
        <v>1.92097998046875</v>
      </c>
      <c r="M64" s="25" t="n">
        <v>19.3151931762695</v>
      </c>
      <c r="N64" s="25" t="n">
        <v>116.694198608398</v>
      </c>
      <c r="O64" s="25" t="n">
        <v>230.717666625977</v>
      </c>
      <c r="P64" s="25" t="n">
        <v>42.8856239318848</v>
      </c>
      <c r="Q64" s="25" t="n">
        <v>63.2474403381348</v>
      </c>
      <c r="R64" s="25" t="n">
        <v>19.90549659729</v>
      </c>
      <c r="S64" s="25" t="n">
        <v>0.785663664340973</v>
      </c>
      <c r="T64" s="25" t="n">
        <v>0.479018360376358</v>
      </c>
      <c r="U64" s="25" t="n">
        <v>0.0887686759233475</v>
      </c>
      <c r="V64" s="25" t="n">
        <v>2.07117795944214</v>
      </c>
      <c r="W64" s="25" t="n">
        <v>0.207814767956734</v>
      </c>
      <c r="X64" s="25" t="n">
        <v>35.1681594848633</v>
      </c>
      <c r="Y64" s="25" t="n">
        <v>1985.42041015625</v>
      </c>
      <c r="Z64" s="25" t="n">
        <v>1.5378383398056</v>
      </c>
      <c r="AA64" s="25" t="n">
        <v>13.9369401931763</v>
      </c>
      <c r="AB64" s="25" t="n">
        <v>17.6067008972168</v>
      </c>
      <c r="AC64" s="25" t="n">
        <v>0.0863657668232918</v>
      </c>
      <c r="AD64" s="25" t="n">
        <v>0.0574455820024014</v>
      </c>
      <c r="AE64" s="25" t="n">
        <v>0.551485240459442</v>
      </c>
      <c r="AF64" s="25" t="n">
        <v>0.459927439689636</v>
      </c>
      <c r="AG64" s="25" t="n">
        <v>0.101485274732113</v>
      </c>
      <c r="AH64" s="25" t="n">
        <v>2.48011946678162</v>
      </c>
      <c r="AI64" s="25" t="n">
        <v>24.389591217041</v>
      </c>
      <c r="AJ64" s="6" t="n">
        <v>117.1</v>
      </c>
      <c r="AK64" s="6" t="n">
        <v>146.6</v>
      </c>
      <c r="AL64" s="26"/>
    </row>
    <row r="65" customFormat="false" ht="15" hidden="false" customHeight="false" outlineLevel="0" collapsed="false">
      <c r="A65" s="6" t="s">
        <v>3040</v>
      </c>
      <c r="B65" s="6" t="s">
        <v>3041</v>
      </c>
      <c r="C65" s="6" t="s">
        <v>3035</v>
      </c>
      <c r="D65" s="13" t="n">
        <v>162.018432617188</v>
      </c>
      <c r="E65" s="25" t="n">
        <v>3.79161143302918</v>
      </c>
      <c r="F65" s="25" t="n">
        <v>20.727575302124</v>
      </c>
      <c r="G65" s="25" t="n">
        <v>7.00803852081299</v>
      </c>
      <c r="H65" s="25" t="n">
        <v>1.20866584777832</v>
      </c>
      <c r="I65" s="25" t="n">
        <v>7.84749126434326</v>
      </c>
      <c r="J65" s="25" t="n">
        <v>1.79272216796875</v>
      </c>
      <c r="K65" s="25" t="n">
        <v>1.63264050292969</v>
      </c>
      <c r="L65" s="25" t="n">
        <v>3.08263500976563</v>
      </c>
      <c r="M65" s="25" t="n">
        <v>23.0923595428467</v>
      </c>
      <c r="N65" s="25" t="n">
        <v>93.0852355957031</v>
      </c>
      <c r="O65" s="25" t="n">
        <v>110.423034667969</v>
      </c>
      <c r="P65" s="25" t="n">
        <v>54.056266784668</v>
      </c>
      <c r="Q65" s="25" t="n">
        <v>68.5414276123047</v>
      </c>
      <c r="R65" s="25" t="n">
        <v>11.9004783630371</v>
      </c>
      <c r="S65" s="25" t="n">
        <v>0.518479645252228</v>
      </c>
      <c r="T65" s="25" t="n">
        <v>0.370269864797592</v>
      </c>
      <c r="U65" s="25" t="n">
        <v>0.059129610657692</v>
      </c>
      <c r="V65" s="25" t="n">
        <v>2.93084001541138</v>
      </c>
      <c r="W65" s="25" t="n">
        <v>0.414222747087479</v>
      </c>
      <c r="X65" s="25" t="n">
        <v>12.4925880432129</v>
      </c>
      <c r="Y65" s="25" t="n">
        <v>146.326782226563</v>
      </c>
      <c r="Z65" s="25" t="n">
        <v>2.53552269935608</v>
      </c>
      <c r="AA65" s="25" t="n">
        <v>1.00380086898804</v>
      </c>
      <c r="AB65" s="25" t="n">
        <v>9.85024738311768</v>
      </c>
      <c r="AC65" s="25" t="n">
        <v>0.0518662109971046</v>
      </c>
      <c r="AD65" s="25" t="n">
        <v>0.0701596364378929</v>
      </c>
      <c r="AE65" s="25" t="n">
        <v>0.185769662261009</v>
      </c>
      <c r="AF65" s="25" t="n">
        <v>0.364355742931366</v>
      </c>
      <c r="AG65" s="25" t="n">
        <v>0.068912960588932</v>
      </c>
      <c r="AH65" s="25" t="n">
        <v>2.24927401542664</v>
      </c>
      <c r="AI65" s="25" t="n">
        <v>12.7950859069824</v>
      </c>
      <c r="AJ65" s="6" t="n">
        <v>65.8</v>
      </c>
      <c r="AK65" s="6" t="n">
        <v>106.6</v>
      </c>
      <c r="AL65" s="26"/>
    </row>
    <row r="66" customFormat="false" ht="15" hidden="false" customHeight="false" outlineLevel="0" collapsed="false">
      <c r="A66" s="6" t="s">
        <v>3042</v>
      </c>
      <c r="B66" s="6" t="s">
        <v>3043</v>
      </c>
      <c r="C66" s="6" t="s">
        <v>3035</v>
      </c>
      <c r="D66" s="13" t="n">
        <v>271.980712890625</v>
      </c>
      <c r="E66" s="25" t="n">
        <v>6.97961330413818</v>
      </c>
      <c r="F66" s="25" t="n">
        <v>27.3231906890869</v>
      </c>
      <c r="G66" s="25" t="n">
        <v>15.2944135665894</v>
      </c>
      <c r="H66" s="25" t="n">
        <v>1.65161621570587</v>
      </c>
      <c r="I66" s="25" t="n">
        <v>16.4708003997803</v>
      </c>
      <c r="J66" s="25" t="n">
        <v>6.9992861328125</v>
      </c>
      <c r="K66" s="25" t="n">
        <v>2.75588793945313</v>
      </c>
      <c r="L66" s="25" t="n">
        <v>3.04007275390625</v>
      </c>
      <c r="M66" s="25" t="n">
        <v>21.3478565216065</v>
      </c>
      <c r="N66" s="25" t="n">
        <v>101.004058837891</v>
      </c>
      <c r="O66" s="25" t="n">
        <v>205.433242797852</v>
      </c>
      <c r="P66" s="25" t="n">
        <v>157.223129272461</v>
      </c>
      <c r="Q66" s="25" t="n">
        <v>151.283905029297</v>
      </c>
      <c r="R66" s="25" t="n">
        <v>22.6088047027588</v>
      </c>
      <c r="S66" s="25" t="n">
        <v>1.11850666999817</v>
      </c>
      <c r="T66" s="25" t="n">
        <v>0.800853788852692</v>
      </c>
      <c r="U66" s="25" t="n">
        <v>0.0962122306227684</v>
      </c>
      <c r="V66" s="25" t="n">
        <v>10.6136999130249</v>
      </c>
      <c r="W66" s="25" t="n">
        <v>0.252009838819504</v>
      </c>
      <c r="X66" s="25" t="n">
        <v>11.5488405227661</v>
      </c>
      <c r="Y66" s="25" t="n">
        <v>171.623336791992</v>
      </c>
      <c r="Z66" s="25" t="n">
        <v>2.54107880592346</v>
      </c>
      <c r="AA66" s="25" t="n">
        <v>2.86579418182373</v>
      </c>
      <c r="AB66" s="25" t="n">
        <v>1.02248764038086</v>
      </c>
      <c r="AC66" s="25" t="n">
        <v>0.0578215047717094</v>
      </c>
      <c r="AD66" s="25" t="n">
        <v>0.0860470831394196</v>
      </c>
      <c r="AE66" s="25" t="n">
        <v>0.251900911331177</v>
      </c>
      <c r="AF66" s="25" t="n">
        <v>0.386988759040833</v>
      </c>
      <c r="AG66" s="25" t="n">
        <v>0.0559768080711365</v>
      </c>
      <c r="AH66" s="25" t="n">
        <v>5.49843263626099</v>
      </c>
      <c r="AI66" s="25" t="n">
        <v>26.8725833892822</v>
      </c>
      <c r="AJ66" s="6" t="n">
        <v>71.2</v>
      </c>
      <c r="AK66" s="6" t="n">
        <v>193.5</v>
      </c>
      <c r="AL66" s="26"/>
    </row>
    <row r="67" customFormat="false" ht="15" hidden="false" customHeight="false" outlineLevel="0" collapsed="false">
      <c r="A67" s="6" t="s">
        <v>3044</v>
      </c>
      <c r="B67" s="6" t="s">
        <v>3045</v>
      </c>
      <c r="C67" s="6" t="s">
        <v>2949</v>
      </c>
      <c r="D67" s="13" t="n">
        <v>21.3248138427734</v>
      </c>
      <c r="E67" s="25" t="n">
        <v>1.9483927488327</v>
      </c>
      <c r="F67" s="25" t="n">
        <v>0.251715272665024</v>
      </c>
      <c r="G67" s="25" t="n">
        <v>1.38406109809876</v>
      </c>
      <c r="H67" s="25" t="n">
        <v>0.0937818214297295</v>
      </c>
      <c r="I67" s="25" t="n">
        <v>0.140245839953423</v>
      </c>
      <c r="J67" s="25" t="n">
        <v>0.00297865557670593</v>
      </c>
      <c r="K67" s="25" t="n">
        <v>0.00163652729988098</v>
      </c>
      <c r="L67" s="25" t="n">
        <v>0.00767062711715698</v>
      </c>
      <c r="M67" s="25" t="n">
        <v>0</v>
      </c>
      <c r="N67" s="25" t="n">
        <v>44.5976028442383</v>
      </c>
      <c r="O67" s="25" t="n">
        <v>36.6777229309082</v>
      </c>
      <c r="P67" s="25" t="n">
        <v>17.1649951934815</v>
      </c>
      <c r="Q67" s="25" t="n">
        <v>16.7844467163086</v>
      </c>
      <c r="R67" s="25" t="n">
        <v>0.717893362045288</v>
      </c>
      <c r="S67" s="25" t="n">
        <v>0.297004073858261</v>
      </c>
      <c r="T67" s="25" t="n">
        <v>0.00978244096040726</v>
      </c>
      <c r="U67" s="25" t="n">
        <v>0.00367021560668945</v>
      </c>
      <c r="V67" s="25" t="n">
        <v>0.0255078952759504</v>
      </c>
      <c r="W67" s="25" t="n">
        <v>0.0150234019383788</v>
      </c>
      <c r="X67" s="25" t="n">
        <v>0</v>
      </c>
      <c r="Y67" s="25" t="n">
        <v>101.742790222168</v>
      </c>
      <c r="Z67" s="25" t="n">
        <v>0.00365427136421204</v>
      </c>
      <c r="AA67" s="25" t="n">
        <v>0.368513107299805</v>
      </c>
      <c r="AB67" s="25" t="n">
        <v>0.307668566703796</v>
      </c>
      <c r="AC67" s="25" t="n">
        <v>0.0199033077806234</v>
      </c>
      <c r="AD67" s="25" t="n">
        <v>0.0151576399803162</v>
      </c>
      <c r="AE67" s="25" t="n">
        <v>0.710834264755249</v>
      </c>
      <c r="AF67" s="25" t="n">
        <v>0.00846062786877155</v>
      </c>
      <c r="AG67" s="25" t="n">
        <v>0.0031913798302412</v>
      </c>
      <c r="AH67" s="25" t="n">
        <v>0.0459985621273518</v>
      </c>
      <c r="AI67" s="25" t="n">
        <v>1.30187475681305</v>
      </c>
      <c r="AJ67" s="6" t="n">
        <v>486.1</v>
      </c>
      <c r="AK67" s="6" t="n">
        <v>103.7</v>
      </c>
      <c r="AL67" s="26"/>
    </row>
    <row r="68" customFormat="false" ht="15" hidden="false" customHeight="false" outlineLevel="0" collapsed="false">
      <c r="A68" s="6" t="s">
        <v>3046</v>
      </c>
      <c r="B68" s="6" t="s">
        <v>3047</v>
      </c>
      <c r="C68" s="6" t="s">
        <v>2949</v>
      </c>
      <c r="D68" s="13" t="n">
        <v>17.6044025421143</v>
      </c>
      <c r="E68" s="25" t="n">
        <v>0.299693077802658</v>
      </c>
      <c r="F68" s="25" t="n">
        <v>0.959589600563049</v>
      </c>
      <c r="G68" s="25" t="n">
        <v>1.37767946720123</v>
      </c>
      <c r="H68" s="25" t="n">
        <v>0.381561040878296</v>
      </c>
      <c r="I68" s="25" t="n">
        <v>0.442907869815826</v>
      </c>
      <c r="J68" s="25" t="n">
        <v>0.853558044433594</v>
      </c>
      <c r="K68" s="25" t="n">
        <v>0.343836456298828</v>
      </c>
      <c r="L68" s="25" t="n">
        <v>0.06721044921875</v>
      </c>
      <c r="M68" s="25" t="n">
        <v>3.46091341972351</v>
      </c>
      <c r="N68" s="25" t="n">
        <v>49.7488250732422</v>
      </c>
      <c r="O68" s="25" t="n">
        <v>30.0496482849121</v>
      </c>
      <c r="P68" s="25" t="n">
        <v>5.08220481872559</v>
      </c>
      <c r="Q68" s="25" t="n">
        <v>5.43359231948853</v>
      </c>
      <c r="R68" s="25" t="n">
        <v>2.63759994506836</v>
      </c>
      <c r="S68" s="25" t="n">
        <v>0.117208287119865</v>
      </c>
      <c r="T68" s="25" t="n">
        <v>0.0528374537825584</v>
      </c>
      <c r="U68" s="25" t="n">
        <v>0.013464524410665</v>
      </c>
      <c r="V68" s="25" t="n">
        <v>0.0974273309111595</v>
      </c>
      <c r="W68" s="25" t="n">
        <v>0.0409159287810326</v>
      </c>
      <c r="X68" s="25" t="n">
        <v>15.5659866333008</v>
      </c>
      <c r="Y68" s="25" t="n">
        <v>330.951141357422</v>
      </c>
      <c r="Z68" s="25" t="n">
        <v>0.044084370136261</v>
      </c>
      <c r="AA68" s="25" t="n">
        <v>2.03111267089844</v>
      </c>
      <c r="AB68" s="25" t="n">
        <v>1.82433652877808</v>
      </c>
      <c r="AC68" s="25" t="n">
        <v>0.0104724075645208</v>
      </c>
      <c r="AD68" s="25" t="n">
        <v>0.00374857080169022</v>
      </c>
      <c r="AE68" s="25" t="n">
        <v>0.0619094930589199</v>
      </c>
      <c r="AF68" s="25" t="n">
        <v>0.0415237434208393</v>
      </c>
      <c r="AG68" s="25" t="n">
        <v>0.0135433590039611</v>
      </c>
      <c r="AH68" s="25" t="n">
        <v>0.230327382683754</v>
      </c>
      <c r="AI68" s="25" t="n">
        <v>3.35176944732666</v>
      </c>
      <c r="AJ68" s="6" t="n">
        <v>415.4</v>
      </c>
      <c r="AK68" s="6" t="n">
        <v>73.1</v>
      </c>
      <c r="AL68" s="26"/>
    </row>
    <row r="69" customFormat="false" ht="15" hidden="false" customHeight="false" outlineLevel="0" collapsed="false">
      <c r="A69" s="6" t="s">
        <v>3048</v>
      </c>
      <c r="B69" s="6" t="s">
        <v>3049</v>
      </c>
      <c r="C69" s="6" t="s">
        <v>2949</v>
      </c>
      <c r="D69" s="13" t="n">
        <v>29.8801975250244</v>
      </c>
      <c r="E69" s="25" t="n">
        <v>3.68646097183228</v>
      </c>
      <c r="F69" s="25" t="n">
        <v>0.367801576852799</v>
      </c>
      <c r="G69" s="25" t="n">
        <v>1.51048016548157</v>
      </c>
      <c r="H69" s="25" t="n">
        <v>0.103511109948158</v>
      </c>
      <c r="I69" s="25" t="n">
        <v>0.195717513561249</v>
      </c>
      <c r="J69" s="25" t="n">
        <v>0.139336685180664</v>
      </c>
      <c r="K69" s="25" t="n">
        <v>0.167217056274414</v>
      </c>
      <c r="L69" s="25" t="n">
        <v>0.0665088424682617</v>
      </c>
      <c r="M69" s="25" t="n">
        <v>10.2324113845825</v>
      </c>
      <c r="N69" s="25" t="n">
        <v>58.5799179077148</v>
      </c>
      <c r="O69" s="25" t="n">
        <v>56.1171684265137</v>
      </c>
      <c r="P69" s="25" t="n">
        <v>3.56962370872498</v>
      </c>
      <c r="Q69" s="25" t="n">
        <v>30.8225822448731</v>
      </c>
      <c r="R69" s="25" t="n">
        <v>4.25056505203247</v>
      </c>
      <c r="S69" s="25" t="n">
        <v>0.183475196361542</v>
      </c>
      <c r="T69" s="25" t="n">
        <v>0.144234612584114</v>
      </c>
      <c r="U69" s="25" t="n">
        <v>0.0500438883900642</v>
      </c>
      <c r="V69" s="25" t="n">
        <v>3.10522031784058</v>
      </c>
      <c r="W69" s="25" t="n">
        <v>0.0206543430685997</v>
      </c>
      <c r="X69" s="25" t="n">
        <v>1.15706872940064</v>
      </c>
      <c r="Y69" s="25" t="n">
        <v>6.41175699234009</v>
      </c>
      <c r="Z69" s="25" t="n">
        <v>0.050718180835247</v>
      </c>
      <c r="AA69" s="25" t="n">
        <v>0.263332903385162</v>
      </c>
      <c r="AB69" s="25" t="n">
        <v>0.222436502575874</v>
      </c>
      <c r="AC69" s="25" t="n">
        <v>0.0179997347295284</v>
      </c>
      <c r="AD69" s="25" t="n">
        <v>0.0105905048549175</v>
      </c>
      <c r="AE69" s="25" t="n">
        <v>1.35287272930145</v>
      </c>
      <c r="AF69" s="25" t="n">
        <v>0.201356559991837</v>
      </c>
      <c r="AG69" s="25" t="n">
        <v>0.0916145816445351</v>
      </c>
      <c r="AH69" s="25" t="n">
        <v>0.772369980812073</v>
      </c>
      <c r="AI69" s="25" t="n">
        <v>2.71039366722107</v>
      </c>
      <c r="AJ69" s="6" t="n">
        <v>375.9</v>
      </c>
      <c r="AK69" s="6" t="n">
        <v>112.3</v>
      </c>
      <c r="AL69" s="26"/>
    </row>
    <row r="70" customFormat="false" ht="15" hidden="false" customHeight="false" outlineLevel="0" collapsed="false">
      <c r="A70" s="6" t="s">
        <v>3050</v>
      </c>
      <c r="B70" s="6" t="s">
        <v>3051</v>
      </c>
      <c r="C70" s="6" t="s">
        <v>3052</v>
      </c>
      <c r="D70" s="13" t="n">
        <v>80.074089050293</v>
      </c>
      <c r="E70" s="25" t="n">
        <v>4.79300928115845</v>
      </c>
      <c r="F70" s="25" t="n">
        <v>3.45068526268005</v>
      </c>
      <c r="G70" s="25" t="n">
        <v>12.2249088287354</v>
      </c>
      <c r="H70" s="25" t="n">
        <v>1.963787317276</v>
      </c>
      <c r="I70" s="25" t="n">
        <v>1.43669056892395</v>
      </c>
      <c r="J70" s="25" t="n">
        <v>0.85147216796875</v>
      </c>
      <c r="K70" s="25" t="n">
        <v>1.41399755859375</v>
      </c>
      <c r="L70" s="25" t="n">
        <v>4.382484375</v>
      </c>
      <c r="M70" s="25" t="n">
        <v>0</v>
      </c>
      <c r="N70" s="25" t="n">
        <v>5135.7421875</v>
      </c>
      <c r="O70" s="25" t="n">
        <v>232.946685791016</v>
      </c>
      <c r="P70" s="25" t="n">
        <v>29.0460205078125</v>
      </c>
      <c r="Q70" s="25" t="n">
        <v>50.3118324279785</v>
      </c>
      <c r="R70" s="25" t="n">
        <v>22.3860168457031</v>
      </c>
      <c r="S70" s="25" t="n">
        <v>1.14449262619019</v>
      </c>
      <c r="T70" s="25" t="n">
        <v>0.231686159968376</v>
      </c>
      <c r="U70" s="25" t="n">
        <v>0.0549930855631828</v>
      </c>
      <c r="V70" s="25" t="n">
        <v>0.206368654966354</v>
      </c>
      <c r="W70" s="25" t="n">
        <v>0.232365146279335</v>
      </c>
      <c r="X70" s="25" t="n">
        <v>0</v>
      </c>
      <c r="Y70" s="25" t="n">
        <v>3417.46948242188</v>
      </c>
      <c r="Z70" s="25" t="n">
        <v>3.47121214866638</v>
      </c>
      <c r="AA70" s="25" t="n">
        <v>14.3242807388306</v>
      </c>
      <c r="AB70" s="25" t="n">
        <v>13.3690433502197</v>
      </c>
      <c r="AC70" s="25" t="n">
        <v>0.0285401735454798</v>
      </c>
      <c r="AD70" s="25" t="n">
        <v>0.0141971576958895</v>
      </c>
      <c r="AE70" s="25" t="n">
        <v>0.322802722454071</v>
      </c>
      <c r="AF70" s="25" t="n">
        <v>0.122557528316975</v>
      </c>
      <c r="AG70" s="25" t="n">
        <v>0.0533697977662087</v>
      </c>
      <c r="AH70" s="25" t="n">
        <v>0.765905976295471</v>
      </c>
      <c r="AI70" s="25" t="n">
        <v>11.0430335998535</v>
      </c>
      <c r="AJ70" s="6" t="n">
        <v>397.6</v>
      </c>
      <c r="AK70" s="6" t="n">
        <v>318.4</v>
      </c>
      <c r="AL70" s="26" t="s">
        <v>3053</v>
      </c>
    </row>
    <row r="71" customFormat="false" ht="15" hidden="false" customHeight="false" outlineLevel="0" collapsed="false">
      <c r="A71" s="6" t="s">
        <v>1845</v>
      </c>
      <c r="B71" s="6" t="s">
        <v>3054</v>
      </c>
      <c r="C71" s="6" t="s">
        <v>3052</v>
      </c>
      <c r="D71" s="13" t="n">
        <v>31.16623878479</v>
      </c>
      <c r="E71" s="25" t="n">
        <v>9.65342521667481</v>
      </c>
      <c r="F71" s="25" t="n">
        <v>3.94458317756653</v>
      </c>
      <c r="G71" s="25" t="n">
        <v>11.6787776947022</v>
      </c>
      <c r="H71" s="25" t="n">
        <v>2.57395052909851</v>
      </c>
      <c r="I71" s="25" t="n">
        <v>1.05516612529755</v>
      </c>
      <c r="J71" s="25" t="n">
        <v>0.568305969238281</v>
      </c>
      <c r="K71" s="25" t="n">
        <v>0.231827133178711</v>
      </c>
      <c r="L71" s="25" t="n">
        <v>0.109954856872559</v>
      </c>
      <c r="M71" s="25" t="n">
        <v>2.18893718719482</v>
      </c>
      <c r="N71" s="25" t="n">
        <v>10418.8427734375</v>
      </c>
      <c r="O71" s="25" t="n">
        <v>350.255157470703</v>
      </c>
      <c r="P71" s="25" t="n">
        <v>40.5683288574219</v>
      </c>
      <c r="Q71" s="25" t="n">
        <v>96.891242980957</v>
      </c>
      <c r="R71" s="25" t="n">
        <v>36.6117897033691</v>
      </c>
      <c r="S71" s="25" t="n">
        <v>2.2592990398407</v>
      </c>
      <c r="T71" s="25" t="n">
        <v>0.46797189116478</v>
      </c>
      <c r="U71" s="25" t="n">
        <v>0.0973997339606285</v>
      </c>
      <c r="V71" s="25" t="n">
        <v>1.98733401298523</v>
      </c>
      <c r="W71" s="25" t="n">
        <v>0.353699624538422</v>
      </c>
      <c r="X71" s="25" t="n">
        <v>9.84507846832275</v>
      </c>
      <c r="Y71" s="25" t="n">
        <v>2080.89184570313</v>
      </c>
      <c r="Z71" s="25" t="n">
        <v>0.0938149690628052</v>
      </c>
      <c r="AA71" s="25" t="n">
        <v>8.17018604278565</v>
      </c>
      <c r="AB71" s="25" t="n">
        <v>4.59988164901733</v>
      </c>
      <c r="AC71" s="25" t="n">
        <v>0.0267122257500887</v>
      </c>
      <c r="AD71" s="25" t="n">
        <v>0.0153924413025379</v>
      </c>
      <c r="AE71" s="25" t="n">
        <v>0.195818915963173</v>
      </c>
      <c r="AF71" s="25" t="n">
        <v>0.13636976480484</v>
      </c>
      <c r="AG71" s="25" t="n">
        <v>0.0414048247039318</v>
      </c>
      <c r="AH71" s="25" t="n">
        <v>0.564841091632843</v>
      </c>
      <c r="AI71" s="25" t="n">
        <v>8.97245979309082</v>
      </c>
      <c r="AJ71" s="6" t="n">
        <v>389.2</v>
      </c>
      <c r="AK71" s="6" t="n">
        <v>121.3</v>
      </c>
      <c r="AL71" s="26" t="s">
        <v>3053</v>
      </c>
    </row>
    <row r="72" customFormat="false" ht="15" hidden="false" customHeight="false" outlineLevel="0" collapsed="false">
      <c r="A72" s="6" t="s">
        <v>1837</v>
      </c>
      <c r="B72" s="6" t="s">
        <v>3055</v>
      </c>
      <c r="C72" s="6" t="s">
        <v>3052</v>
      </c>
      <c r="D72" s="13" t="n">
        <v>47.9448204040527</v>
      </c>
      <c r="E72" s="25" t="n">
        <v>11.4714918136597</v>
      </c>
      <c r="F72" s="25" t="n">
        <v>1.18541395664215</v>
      </c>
      <c r="G72" s="25" t="n">
        <v>12.0187034606934</v>
      </c>
      <c r="H72" s="25" t="n">
        <v>1.56834888458252</v>
      </c>
      <c r="I72" s="25" t="n">
        <v>0.540991604328156</v>
      </c>
      <c r="J72" s="25" t="n">
        <v>0.819649169921875</v>
      </c>
      <c r="K72" s="25" t="n">
        <v>1.20506469726563</v>
      </c>
      <c r="L72" s="25" t="n">
        <v>0.5959052734375</v>
      </c>
      <c r="M72" s="25" t="n">
        <v>16.9986724853516</v>
      </c>
      <c r="N72" s="25" t="n">
        <v>8953.63671875</v>
      </c>
      <c r="O72" s="25" t="n">
        <v>305.387329101563</v>
      </c>
      <c r="P72" s="25" t="n">
        <v>35.4791069030762</v>
      </c>
      <c r="Q72" s="25" t="n">
        <v>102.449752807617</v>
      </c>
      <c r="R72" s="25" t="n">
        <v>32.3470573425293</v>
      </c>
      <c r="S72" s="25" t="n">
        <v>1.82405924797058</v>
      </c>
      <c r="T72" s="25" t="n">
        <v>0.455533415079117</v>
      </c>
      <c r="U72" s="25" t="n">
        <v>0.0621425397694111</v>
      </c>
      <c r="V72" s="25" t="n">
        <v>3.83030104637146</v>
      </c>
      <c r="W72" s="25" t="n">
        <v>0.360026568174362</v>
      </c>
      <c r="X72" s="25" t="n">
        <v>9.56175327301025</v>
      </c>
      <c r="Y72" s="25" t="n">
        <v>560.440490722656</v>
      </c>
      <c r="Z72" s="25" t="n">
        <v>0.0452633909881115</v>
      </c>
      <c r="AA72" s="25" t="n">
        <v>4.65028762817383</v>
      </c>
      <c r="AB72" s="25" t="n">
        <v>0.930898606777191</v>
      </c>
      <c r="AC72" s="25" t="n">
        <v>0.0188092086464167</v>
      </c>
      <c r="AD72" s="25" t="n">
        <v>0.0373528115451336</v>
      </c>
      <c r="AE72" s="25" t="n">
        <v>1.35084116458893</v>
      </c>
      <c r="AF72" s="25" t="n">
        <v>0.331075698137283</v>
      </c>
      <c r="AG72" s="25" t="n">
        <v>0.0941345766186714</v>
      </c>
      <c r="AH72" s="25" t="n">
        <v>0.891124367713928</v>
      </c>
      <c r="AI72" s="25" t="n">
        <v>5.03866767883301</v>
      </c>
      <c r="AJ72" s="6" t="n">
        <v>225.9</v>
      </c>
      <c r="AK72" s="6" t="n">
        <v>108.3</v>
      </c>
      <c r="AL72" s="26" t="s">
        <v>3053</v>
      </c>
    </row>
    <row r="73" customFormat="false" ht="15" hidden="false" customHeight="false" outlineLevel="0" collapsed="false">
      <c r="A73" s="6" t="s">
        <v>1808</v>
      </c>
      <c r="B73" s="6" t="s">
        <v>3056</v>
      </c>
      <c r="C73" s="6" t="s">
        <v>3052</v>
      </c>
      <c r="D73" s="13" t="n">
        <v>97.8122177124023</v>
      </c>
      <c r="E73" s="25" t="n">
        <v>4.61031579971314</v>
      </c>
      <c r="F73" s="25" t="n">
        <v>3.9280059337616</v>
      </c>
      <c r="G73" s="25" t="n">
        <v>13.1154842376709</v>
      </c>
      <c r="H73" s="25" t="n">
        <v>1.37523794174194</v>
      </c>
      <c r="I73" s="25" t="n">
        <v>1.80713665485382</v>
      </c>
      <c r="J73" s="25" t="n">
        <v>2.3744814453125</v>
      </c>
      <c r="K73" s="25" t="n">
        <v>1.8985947265625</v>
      </c>
      <c r="L73" s="25" t="n">
        <v>3.8454931640625</v>
      </c>
      <c r="M73" s="25" t="n">
        <v>5.4692907333374</v>
      </c>
      <c r="N73" s="25" t="n">
        <v>4461.22265625</v>
      </c>
      <c r="O73" s="25" t="n">
        <v>205.65852355957</v>
      </c>
      <c r="P73" s="25" t="n">
        <v>39.606616973877</v>
      </c>
      <c r="Q73" s="25" t="n">
        <v>56.7709770202637</v>
      </c>
      <c r="R73" s="25" t="n">
        <v>19.7534599304199</v>
      </c>
      <c r="S73" s="25" t="n">
        <v>0.954173862934113</v>
      </c>
      <c r="T73" s="25" t="n">
        <v>0.240960210561752</v>
      </c>
      <c r="U73" s="25" t="n">
        <v>0.0462975762784481</v>
      </c>
      <c r="V73" s="25" t="n">
        <v>0.278179049491882</v>
      </c>
      <c r="W73" s="25" t="n">
        <v>0.149340406060219</v>
      </c>
      <c r="X73" s="25" t="n">
        <v>26.0142726898193</v>
      </c>
      <c r="Y73" s="25" t="n">
        <v>2573.71118164063</v>
      </c>
      <c r="Z73" s="25" t="n">
        <v>3.05116772651672</v>
      </c>
      <c r="AA73" s="25" t="n">
        <v>11.4928636550903</v>
      </c>
      <c r="AB73" s="25" t="n">
        <v>11.5125436782837</v>
      </c>
      <c r="AC73" s="25" t="n">
        <v>0.0277119372040033</v>
      </c>
      <c r="AD73" s="25" t="n">
        <v>0.032424308359623</v>
      </c>
      <c r="AE73" s="25" t="n">
        <v>0.278438568115234</v>
      </c>
      <c r="AF73" s="25" t="n">
        <v>0.146193772554398</v>
      </c>
      <c r="AG73" s="25" t="n">
        <v>0.046810120344162</v>
      </c>
      <c r="AH73" s="25" t="n">
        <v>0.943101227283478</v>
      </c>
      <c r="AI73" s="25" t="n">
        <v>9.51727962493897</v>
      </c>
      <c r="AJ73" s="6" t="n">
        <v>462.4</v>
      </c>
      <c r="AK73" s="6" t="n">
        <v>452.3</v>
      </c>
      <c r="AL73" s="26" t="s">
        <v>3053</v>
      </c>
    </row>
    <row r="74" customFormat="false" ht="15" hidden="false" customHeight="false" outlineLevel="0" collapsed="false">
      <c r="A74" s="6" t="s">
        <v>3057</v>
      </c>
      <c r="B74" s="6" t="s">
        <v>3058</v>
      </c>
      <c r="C74" s="6" t="s">
        <v>3052</v>
      </c>
      <c r="D74" s="13" t="n">
        <v>127.840827941895</v>
      </c>
      <c r="E74" s="25" t="n">
        <v>7.12690353393555</v>
      </c>
      <c r="F74" s="25" t="n">
        <v>6.75067329406738</v>
      </c>
      <c r="G74" s="25" t="n">
        <v>14.7813711166382</v>
      </c>
      <c r="H74" s="25" t="n">
        <v>2.95052647590637</v>
      </c>
      <c r="I74" s="25" t="n">
        <v>1.60986530780792</v>
      </c>
      <c r="J74" s="25" t="n">
        <v>2.67292700195313</v>
      </c>
      <c r="K74" s="25" t="n">
        <v>2.14249853515625</v>
      </c>
      <c r="L74" s="25" t="n">
        <v>4.3243330078125</v>
      </c>
      <c r="M74" s="25" t="n">
        <v>6.19094276428223</v>
      </c>
      <c r="N74" s="25" t="n">
        <v>4999.6962890625</v>
      </c>
      <c r="O74" s="25" t="n">
        <v>242.602203369141</v>
      </c>
      <c r="P74" s="25" t="n">
        <v>51.0132217407227</v>
      </c>
      <c r="Q74" s="25" t="n">
        <v>76.13671875</v>
      </c>
      <c r="R74" s="25" t="n">
        <v>29.9739284515381</v>
      </c>
      <c r="S74" s="25" t="n">
        <v>1.4846510887146</v>
      </c>
      <c r="T74" s="25" t="n">
        <v>0.564602196216583</v>
      </c>
      <c r="U74" s="25" t="n">
        <v>0.105361081659794</v>
      </c>
      <c r="V74" s="25" t="n">
        <v>0.877258241176605</v>
      </c>
      <c r="W74" s="25" t="n">
        <v>0.274161577224731</v>
      </c>
      <c r="X74" s="25" t="n">
        <v>29.446756362915</v>
      </c>
      <c r="Y74" s="25" t="n">
        <v>1001.41003417969</v>
      </c>
      <c r="Z74" s="25" t="n">
        <v>3.42283964157105</v>
      </c>
      <c r="AA74" s="25" t="n">
        <v>16.432804107666</v>
      </c>
      <c r="AB74" s="25" t="n">
        <v>12.7983350753784</v>
      </c>
      <c r="AC74" s="25" t="n">
        <v>0.0964504331350327</v>
      </c>
      <c r="AD74" s="25" t="n">
        <v>0.0380783341825008</v>
      </c>
      <c r="AE74" s="25" t="n">
        <v>0.469596087932587</v>
      </c>
      <c r="AF74" s="25" t="n">
        <v>0.30178701877594</v>
      </c>
      <c r="AG74" s="25" t="n">
        <v>0.0781762525439262</v>
      </c>
      <c r="AH74" s="25" t="n">
        <v>1.85436964035034</v>
      </c>
      <c r="AI74" s="25" t="n">
        <v>21.6838188171387</v>
      </c>
      <c r="AJ74" s="6" t="n">
        <v>408.5</v>
      </c>
      <c r="AK74" s="6" t="n">
        <v>522.2</v>
      </c>
      <c r="AL74" s="26" t="s">
        <v>3053</v>
      </c>
    </row>
    <row r="75" customFormat="false" ht="15" hidden="false" customHeight="false" outlineLevel="0" collapsed="false">
      <c r="A75" s="6" t="s">
        <v>3059</v>
      </c>
      <c r="B75" s="6" t="s">
        <v>3060</v>
      </c>
      <c r="C75" s="6" t="s">
        <v>3052</v>
      </c>
      <c r="D75" s="13" t="n">
        <v>100.537780761719</v>
      </c>
      <c r="E75" s="25" t="n">
        <v>5.21404266357422</v>
      </c>
      <c r="F75" s="25" t="n">
        <v>3.44648885726929</v>
      </c>
      <c r="G75" s="25" t="n">
        <v>13.3099632263184</v>
      </c>
      <c r="H75" s="25" t="n">
        <v>1.74081039428711</v>
      </c>
      <c r="I75" s="25" t="n">
        <v>1.13094520568848</v>
      </c>
      <c r="J75" s="25" t="n">
        <v>2.43350024414063</v>
      </c>
      <c r="K75" s="25" t="n">
        <v>1.90338549804688</v>
      </c>
      <c r="L75" s="25" t="n">
        <v>3.91817309570313</v>
      </c>
      <c r="M75" s="25" t="n">
        <v>5.46657180786133</v>
      </c>
      <c r="N75" s="25" t="n">
        <v>4429.8076171875</v>
      </c>
      <c r="O75" s="25" t="n">
        <v>404.129425048828</v>
      </c>
      <c r="P75" s="25" t="n">
        <v>70.7697448730469</v>
      </c>
      <c r="Q75" s="25" t="n">
        <v>64.4380645751953</v>
      </c>
      <c r="R75" s="25" t="n">
        <v>52.2928504943848</v>
      </c>
      <c r="S75" s="25" t="n">
        <v>2.10012197494507</v>
      </c>
      <c r="T75" s="25" t="n">
        <v>0.391512215137482</v>
      </c>
      <c r="U75" s="25" t="n">
        <v>0.103472106158733</v>
      </c>
      <c r="V75" s="25" t="n">
        <v>1.18999648094177</v>
      </c>
      <c r="W75" s="25" t="n">
        <v>0.59158855676651</v>
      </c>
      <c r="X75" s="25" t="n">
        <v>26.0013408660889</v>
      </c>
      <c r="Y75" s="25" t="n">
        <v>4180.57568359375</v>
      </c>
      <c r="Z75" s="25" t="n">
        <v>3.51361298561096</v>
      </c>
      <c r="AA75" s="25" t="n">
        <v>141.631057739258</v>
      </c>
      <c r="AB75" s="25" t="n">
        <v>13.6911773681641</v>
      </c>
      <c r="AC75" s="25" t="n">
        <v>0.07988241314888</v>
      </c>
      <c r="AD75" s="25" t="n">
        <v>0.0669971704483032</v>
      </c>
      <c r="AE75" s="25" t="n">
        <v>0.19979639351368</v>
      </c>
      <c r="AF75" s="25" t="n">
        <v>0.165826469659805</v>
      </c>
      <c r="AG75" s="25" t="n">
        <v>0.0782052651047707</v>
      </c>
      <c r="AH75" s="25" t="n">
        <v>2.26635789871216</v>
      </c>
      <c r="AI75" s="25" t="n">
        <v>64.4269409179688</v>
      </c>
      <c r="AJ75" s="6" t="n">
        <v>462.6</v>
      </c>
      <c r="AK75" s="6" t="n">
        <v>465.1</v>
      </c>
      <c r="AL75" s="26" t="s">
        <v>3053</v>
      </c>
    </row>
    <row r="76" customFormat="false" ht="15" hidden="false" customHeight="false" outlineLevel="0" collapsed="false">
      <c r="A76" s="6" t="s">
        <v>3061</v>
      </c>
      <c r="B76" s="6" t="s">
        <v>3062</v>
      </c>
      <c r="C76" s="6" t="s">
        <v>3052</v>
      </c>
      <c r="D76" s="13" t="n">
        <v>59.6458053588867</v>
      </c>
      <c r="E76" s="25" t="n">
        <v>6.84481239318848</v>
      </c>
      <c r="F76" s="25" t="n">
        <v>4.93118095397949</v>
      </c>
      <c r="G76" s="25" t="n">
        <v>9.04925537109375</v>
      </c>
      <c r="H76" s="25" t="n">
        <v>2.14337754249573</v>
      </c>
      <c r="I76" s="25" t="n">
        <v>2.0977373123169</v>
      </c>
      <c r="J76" s="25" t="n">
        <v>2.01563854980469</v>
      </c>
      <c r="K76" s="25" t="n">
        <v>0.852767395019531</v>
      </c>
      <c r="L76" s="25" t="n">
        <v>0.171600433349609</v>
      </c>
      <c r="M76" s="25" t="n">
        <v>7.04746150970459</v>
      </c>
      <c r="N76" s="25" t="n">
        <v>5655.44970703125</v>
      </c>
      <c r="O76" s="25" t="n">
        <v>255.869201660156</v>
      </c>
      <c r="P76" s="25" t="n">
        <v>65.2604904174805</v>
      </c>
      <c r="Q76" s="25" t="n">
        <v>94.3338851928711</v>
      </c>
      <c r="R76" s="25" t="n">
        <v>27.047737121582</v>
      </c>
      <c r="S76" s="25" t="n">
        <v>1.36343812942505</v>
      </c>
      <c r="T76" s="25" t="n">
        <v>0.476324498653412</v>
      </c>
      <c r="U76" s="25" t="n">
        <v>0.0740838870406151</v>
      </c>
      <c r="V76" s="25" t="n">
        <v>0.640259385108948</v>
      </c>
      <c r="W76" s="25" t="n">
        <v>0.225938186049461</v>
      </c>
      <c r="X76" s="25" t="n">
        <v>28.5982341766357</v>
      </c>
      <c r="Y76" s="25" t="n">
        <v>1564.12524414063</v>
      </c>
      <c r="Z76" s="25" t="n">
        <v>0.169619202613831</v>
      </c>
      <c r="AA76" s="25" t="n">
        <v>11.3774833679199</v>
      </c>
      <c r="AB76" s="25" t="n">
        <v>10.767936706543</v>
      </c>
      <c r="AC76" s="25" t="n">
        <v>0.0568819008767605</v>
      </c>
      <c r="AD76" s="25" t="n">
        <v>0.0370253846049309</v>
      </c>
      <c r="AE76" s="25" t="n">
        <v>0.320502191781998</v>
      </c>
      <c r="AF76" s="25" t="n">
        <v>0.237582787871361</v>
      </c>
      <c r="AG76" s="25" t="n">
        <v>0.0625551864504814</v>
      </c>
      <c r="AH76" s="25" t="n">
        <v>1.43650662899017</v>
      </c>
      <c r="AI76" s="25" t="n">
        <v>15.0278425216675</v>
      </c>
      <c r="AJ76" s="6" t="n">
        <v>362.4</v>
      </c>
      <c r="AK76" s="6" t="n">
        <v>216.2</v>
      </c>
      <c r="AL76" s="26" t="s">
        <v>3053</v>
      </c>
    </row>
    <row r="77" customFormat="false" ht="15" hidden="false" customHeight="false" outlineLevel="0" collapsed="false">
      <c r="A77" s="6" t="s">
        <v>3063</v>
      </c>
      <c r="B77" s="6" t="s">
        <v>1842</v>
      </c>
      <c r="C77" s="6" t="s">
        <v>3052</v>
      </c>
      <c r="D77" s="13" t="n">
        <v>117.277801513672</v>
      </c>
      <c r="E77" s="25" t="n">
        <v>6.6403021812439</v>
      </c>
      <c r="F77" s="25" t="n">
        <v>3.74241852760315</v>
      </c>
      <c r="G77" s="25" t="n">
        <v>15.5007286071777</v>
      </c>
      <c r="H77" s="25" t="n">
        <v>1.33617603778839</v>
      </c>
      <c r="I77" s="25" t="n">
        <v>1.93123006820679</v>
      </c>
      <c r="J77" s="25" t="n">
        <v>2.9221767578125</v>
      </c>
      <c r="K77" s="25" t="n">
        <v>2.33075073242188</v>
      </c>
      <c r="L77" s="25" t="n">
        <v>4.743447265625</v>
      </c>
      <c r="M77" s="25" t="n">
        <v>6.7434606552124</v>
      </c>
      <c r="N77" s="25" t="n">
        <v>5276.0595703125</v>
      </c>
      <c r="O77" s="25" t="n">
        <v>249.786392211914</v>
      </c>
      <c r="P77" s="25" t="n">
        <v>70.5611724853516</v>
      </c>
      <c r="Q77" s="25" t="n">
        <v>106.930191040039</v>
      </c>
      <c r="R77" s="25" t="n">
        <v>24.3072338104248</v>
      </c>
      <c r="S77" s="25" t="n">
        <v>1.81176018714905</v>
      </c>
      <c r="T77" s="25" t="n">
        <v>0.557636201381683</v>
      </c>
      <c r="U77" s="25" t="n">
        <v>0.0802263841032982</v>
      </c>
      <c r="V77" s="25" t="n">
        <v>0.245615288615227</v>
      </c>
      <c r="W77" s="25" t="n">
        <v>0.188869148492813</v>
      </c>
      <c r="X77" s="25" t="n">
        <v>32.0747680664063</v>
      </c>
      <c r="Y77" s="25" t="n">
        <v>77.0943756103516</v>
      </c>
      <c r="Z77" s="25" t="n">
        <v>3.65116882324219</v>
      </c>
      <c r="AA77" s="25" t="n">
        <v>4.35249471664429</v>
      </c>
      <c r="AB77" s="25" t="n">
        <v>1.54387414455414</v>
      </c>
      <c r="AC77" s="25" t="n">
        <v>0.0155720878392458</v>
      </c>
      <c r="AD77" s="25" t="n">
        <v>0.0354982279241085</v>
      </c>
      <c r="AE77" s="25" t="n">
        <v>0.216720789670944</v>
      </c>
      <c r="AF77" s="25" t="n">
        <v>0.208786755800247</v>
      </c>
      <c r="AG77" s="25" t="n">
        <v>0.0509428605437279</v>
      </c>
      <c r="AH77" s="25" t="n">
        <v>2.74482107162476</v>
      </c>
      <c r="AI77" s="25" t="n">
        <v>8.19013595581055</v>
      </c>
      <c r="AJ77" s="6" t="n">
        <v>375</v>
      </c>
      <c r="AK77" s="6" t="n">
        <v>439.8</v>
      </c>
      <c r="AL77" s="26" t="s">
        <v>3053</v>
      </c>
    </row>
    <row r="78" customFormat="false" ht="15" hidden="false" customHeight="false" outlineLevel="0" collapsed="false">
      <c r="A78" s="6" t="s">
        <v>1816</v>
      </c>
      <c r="B78" s="6" t="s">
        <v>1815</v>
      </c>
      <c r="C78" s="6" t="s">
        <v>3052</v>
      </c>
      <c r="D78" s="13" t="n">
        <v>28.3204822540283</v>
      </c>
      <c r="E78" s="25" t="n">
        <v>14.47509765625</v>
      </c>
      <c r="F78" s="25" t="n">
        <v>1.63299906253815</v>
      </c>
      <c r="G78" s="25" t="n">
        <v>12.5930299758911</v>
      </c>
      <c r="H78" s="25" t="n">
        <v>0.466163396835327</v>
      </c>
      <c r="I78" s="25" t="n">
        <v>0.265005171298981</v>
      </c>
      <c r="J78" s="25" t="n">
        <v>0.106180969238281</v>
      </c>
      <c r="K78" s="25" t="n">
        <v>0.155203201293945</v>
      </c>
      <c r="L78" s="25" t="n">
        <v>0.113224403381348</v>
      </c>
      <c r="M78" s="25" t="n">
        <v>6.36504650115967</v>
      </c>
      <c r="N78" s="25" t="n">
        <v>12205.3349609375</v>
      </c>
      <c r="O78" s="25" t="n">
        <v>362.154083251953</v>
      </c>
      <c r="P78" s="25" t="n">
        <v>91.4976806640625</v>
      </c>
      <c r="Q78" s="25" t="n">
        <v>177.670150756836</v>
      </c>
      <c r="R78" s="25" t="n">
        <v>41.6373100280762</v>
      </c>
      <c r="S78" s="25" t="n">
        <v>3.82666492462158</v>
      </c>
      <c r="T78" s="25" t="n">
        <v>1.02191317081451</v>
      </c>
      <c r="U78" s="25" t="n">
        <v>0.108665980398655</v>
      </c>
      <c r="V78" s="25" t="n">
        <v>2.67206311225891</v>
      </c>
      <c r="W78" s="25" t="n">
        <v>0.228397101163864</v>
      </c>
      <c r="X78" s="25" t="n">
        <v>0.719751834869385</v>
      </c>
      <c r="Y78" s="25" t="n">
        <v>4.11530494689941</v>
      </c>
      <c r="Z78" s="25" t="n">
        <v>0.0668097212910652</v>
      </c>
      <c r="AA78" s="25" t="n">
        <v>0.0884177908301354</v>
      </c>
      <c r="AB78" s="25" t="n">
        <v>0.83557391166687</v>
      </c>
      <c r="AC78" s="25" t="n">
        <v>0.0279420893639326</v>
      </c>
      <c r="AD78" s="25" t="n">
        <v>0.0175439510494471</v>
      </c>
      <c r="AE78" s="25" t="n">
        <v>1.04194939136505</v>
      </c>
      <c r="AF78" s="25" t="n">
        <v>0.242264732718468</v>
      </c>
      <c r="AG78" s="25" t="n">
        <v>0.0571199543774128</v>
      </c>
      <c r="AH78" s="25" t="n">
        <v>0.58116340637207</v>
      </c>
      <c r="AI78" s="25" t="n">
        <v>5.5652379989624</v>
      </c>
      <c r="AJ78" s="6" t="n">
        <v>241.8</v>
      </c>
      <c r="AK78" s="6" t="n">
        <v>68.5</v>
      </c>
      <c r="AL78" s="26" t="s">
        <v>3053</v>
      </c>
    </row>
    <row r="79" customFormat="false" ht="15" hidden="false" customHeight="false" outlineLevel="0" collapsed="false">
      <c r="A79" s="6" t="s">
        <v>3064</v>
      </c>
      <c r="B79" s="6" t="s">
        <v>3065</v>
      </c>
      <c r="C79" s="6" t="s">
        <v>3052</v>
      </c>
      <c r="D79" s="13" t="n">
        <v>42.6593627929688</v>
      </c>
      <c r="E79" s="25" t="n">
        <v>9.3037052154541</v>
      </c>
      <c r="F79" s="25" t="n">
        <v>3.71483969688416</v>
      </c>
      <c r="G79" s="25" t="n">
        <v>11.087420463562</v>
      </c>
      <c r="H79" s="25" t="n">
        <v>1.9226291179657</v>
      </c>
      <c r="I79" s="25" t="n">
        <v>1.01483976840973</v>
      </c>
      <c r="J79" s="25" t="n">
        <v>0.787842468261719</v>
      </c>
      <c r="K79" s="25" t="n">
        <v>0.334793365478516</v>
      </c>
      <c r="L79" s="25" t="n">
        <v>0.103830093383789</v>
      </c>
      <c r="M79" s="25" t="n">
        <v>3.69799041748047</v>
      </c>
      <c r="N79" s="25" t="n">
        <v>8875.064453125</v>
      </c>
      <c r="O79" s="25" t="n">
        <v>299.638793945313</v>
      </c>
      <c r="P79" s="25" t="n">
        <v>53.5536117553711</v>
      </c>
      <c r="Q79" s="25" t="n">
        <v>101.298210144043</v>
      </c>
      <c r="R79" s="25" t="n">
        <v>31.058988571167</v>
      </c>
      <c r="S79" s="25" t="n">
        <v>1.8172242641449</v>
      </c>
      <c r="T79" s="25" t="n">
        <v>0.393720805644989</v>
      </c>
      <c r="U79" s="25" t="n">
        <v>0.0609668642282486</v>
      </c>
      <c r="V79" s="25" t="n">
        <v>0.7122922539711</v>
      </c>
      <c r="W79" s="25" t="n">
        <v>0.221564367413521</v>
      </c>
      <c r="X79" s="25" t="n">
        <v>14.192286491394</v>
      </c>
      <c r="Y79" s="25" t="n">
        <v>1748.03637695313</v>
      </c>
      <c r="Z79" s="25" t="n">
        <v>0.104546442627907</v>
      </c>
      <c r="AA79" s="25" t="n">
        <v>10.8068447113037</v>
      </c>
      <c r="AB79" s="25" t="n">
        <v>8.4425859451294</v>
      </c>
      <c r="AC79" s="25" t="n">
        <v>0.0393590442836285</v>
      </c>
      <c r="AD79" s="25" t="n">
        <v>0.0228191204369068</v>
      </c>
      <c r="AE79" s="25" t="n">
        <v>0.639679551124573</v>
      </c>
      <c r="AF79" s="25" t="n">
        <v>0.130961433053017</v>
      </c>
      <c r="AG79" s="25" t="n">
        <v>0.0422976650297642</v>
      </c>
      <c r="AH79" s="25" t="n">
        <v>0.76865291595459</v>
      </c>
      <c r="AI79" s="25" t="n">
        <v>10.100754737854</v>
      </c>
      <c r="AJ79" s="6" t="n">
        <v>230.1</v>
      </c>
      <c r="AK79" s="6" t="n">
        <v>98.2</v>
      </c>
      <c r="AL79" s="26" t="s">
        <v>3053</v>
      </c>
    </row>
    <row r="80" customFormat="false" ht="15" hidden="false" customHeight="false" outlineLevel="0" collapsed="false">
      <c r="A80" s="6" t="s">
        <v>3066</v>
      </c>
      <c r="B80" s="6" t="s">
        <v>3067</v>
      </c>
      <c r="C80" s="6" t="s">
        <v>3052</v>
      </c>
      <c r="D80" s="13" t="n">
        <v>26.6365146636963</v>
      </c>
      <c r="E80" s="25" t="n">
        <v>12.929913520813</v>
      </c>
      <c r="F80" s="25" t="n">
        <v>1.10072386264801</v>
      </c>
      <c r="G80" s="25" t="n">
        <v>13.516396522522</v>
      </c>
      <c r="H80" s="25" t="n">
        <v>0.810668766498566</v>
      </c>
      <c r="I80" s="25" t="n">
        <v>0.604657769203186</v>
      </c>
      <c r="J80" s="25" t="n">
        <v>0.929726257324219</v>
      </c>
      <c r="K80" s="25" t="n">
        <v>0.5833798828125</v>
      </c>
      <c r="L80" s="25" t="n">
        <v>0.160368209838867</v>
      </c>
      <c r="M80" s="25" t="n">
        <v>31.6664047241211</v>
      </c>
      <c r="N80" s="25" t="n">
        <v>12418.84375</v>
      </c>
      <c r="O80" s="25" t="n">
        <v>346.417785644531</v>
      </c>
      <c r="P80" s="25" t="n">
        <v>100.135482788086</v>
      </c>
      <c r="Q80" s="25" t="n">
        <v>170.957672119141</v>
      </c>
      <c r="R80" s="25" t="n">
        <v>39.3933906555176</v>
      </c>
      <c r="S80" s="25" t="n">
        <v>3.93022036552429</v>
      </c>
      <c r="T80" s="25" t="n">
        <v>1.04440605640411</v>
      </c>
      <c r="U80" s="25" t="n">
        <v>0.0922108590602875</v>
      </c>
      <c r="V80" s="25" t="n">
        <v>3.30018091201782</v>
      </c>
      <c r="W80" s="25" t="n">
        <v>0.242108583450317</v>
      </c>
      <c r="X80" s="25" t="n">
        <v>28.1290321350098</v>
      </c>
      <c r="Y80" s="25" t="n">
        <v>63.9142379760742</v>
      </c>
      <c r="Z80" s="25" t="n">
        <v>0.180243909358978</v>
      </c>
      <c r="AA80" s="25" t="n">
        <v>7.62344598770142</v>
      </c>
      <c r="AB80" s="25" t="n">
        <v>2.67757678031921</v>
      </c>
      <c r="AC80" s="25" t="n">
        <v>0.0115027539432049</v>
      </c>
      <c r="AD80" s="25" t="n">
        <v>0.0208103861659765</v>
      </c>
      <c r="AE80" s="25" t="n">
        <v>0.0854838714003563</v>
      </c>
      <c r="AF80" s="25" t="n">
        <v>0.155011802911758</v>
      </c>
      <c r="AG80" s="25" t="n">
        <v>0.0300786774605513</v>
      </c>
      <c r="AH80" s="25" t="n">
        <v>1.71761608123779</v>
      </c>
      <c r="AI80" s="25" t="n">
        <v>8.87103843688965</v>
      </c>
      <c r="AJ80" s="6" t="n">
        <v>317.8</v>
      </c>
      <c r="AK80" s="6" t="n">
        <v>84.6</v>
      </c>
      <c r="AL80" s="26" t="s">
        <v>3053</v>
      </c>
    </row>
    <row r="81" customFormat="false" ht="15" hidden="false" customHeight="false" outlineLevel="0" collapsed="false">
      <c r="A81" s="6" t="s">
        <v>3068</v>
      </c>
      <c r="B81" s="6" t="s">
        <v>3069</v>
      </c>
      <c r="C81" s="6" t="s">
        <v>3052</v>
      </c>
      <c r="D81" s="13" t="n">
        <v>484.305480957031</v>
      </c>
      <c r="E81" s="25" t="n">
        <v>5.21083164215088</v>
      </c>
      <c r="F81" s="25" t="n">
        <v>1.42900562286377</v>
      </c>
      <c r="G81" s="25" t="n">
        <v>56.5716209411621</v>
      </c>
      <c r="H81" s="25" t="n">
        <v>0.56608647108078</v>
      </c>
      <c r="I81" s="25" t="n">
        <v>0.373429208993912</v>
      </c>
      <c r="J81" s="25" t="n">
        <v>6.4598916015625</v>
      </c>
      <c r="K81" s="25" t="n">
        <v>10.7122099609375</v>
      </c>
      <c r="L81" s="25" t="n">
        <v>32.686767578125</v>
      </c>
      <c r="M81" s="25" t="n">
        <v>5.82971668243408</v>
      </c>
      <c r="N81" s="25" t="n">
        <v>4249.40625</v>
      </c>
      <c r="O81" s="25" t="n">
        <v>147.095275878906</v>
      </c>
      <c r="P81" s="25" t="n">
        <v>41.0703392028809</v>
      </c>
      <c r="Q81" s="25" t="n">
        <v>64.9324569702148</v>
      </c>
      <c r="R81" s="25" t="n">
        <v>15.0729360580444</v>
      </c>
      <c r="S81" s="25" t="n">
        <v>1.51951885223389</v>
      </c>
      <c r="T81" s="25" t="n">
        <v>0.360311627388001</v>
      </c>
      <c r="U81" s="25" t="n">
        <v>0.0425891578197479</v>
      </c>
      <c r="V81" s="25" t="n">
        <v>0.730495095252991</v>
      </c>
      <c r="W81" s="25" t="n">
        <v>0.112178809940815</v>
      </c>
      <c r="X81" s="25" t="n">
        <v>6.77501821517944</v>
      </c>
      <c r="Y81" s="25" t="n">
        <v>640.369201660156</v>
      </c>
      <c r="Z81" s="25" t="n">
        <v>25.4343090057373</v>
      </c>
      <c r="AA81" s="25" t="n">
        <v>8.53923416137695</v>
      </c>
      <c r="AB81" s="25" t="n">
        <v>3.59108543395996</v>
      </c>
      <c r="AC81" s="25" t="n">
        <v>0.0157820209860802</v>
      </c>
      <c r="AD81" s="25" t="n">
        <v>0.0125728314742446</v>
      </c>
      <c r="AE81" s="25" t="n">
        <v>0.369762063026428</v>
      </c>
      <c r="AF81" s="25" t="n">
        <v>0.0570519492030144</v>
      </c>
      <c r="AG81" s="25" t="n">
        <v>0.0167592279613018</v>
      </c>
      <c r="AH81" s="25" t="n">
        <v>0.468208223581314</v>
      </c>
      <c r="AI81" s="25" t="n">
        <v>4.36790704727173</v>
      </c>
      <c r="AJ81" s="6" t="n">
        <v>465.5</v>
      </c>
      <c r="AK81" s="6" t="n">
        <v>2254.2</v>
      </c>
      <c r="AL81" s="26" t="s">
        <v>3070</v>
      </c>
    </row>
    <row r="82" customFormat="false" ht="15" hidden="false" customHeight="false" outlineLevel="0" collapsed="false">
      <c r="A82" s="6" t="s">
        <v>3071</v>
      </c>
      <c r="B82" s="6" t="s">
        <v>3072</v>
      </c>
      <c r="C82" s="6" t="s">
        <v>3052</v>
      </c>
      <c r="D82" s="13" t="n">
        <v>55.609733581543</v>
      </c>
      <c r="E82" s="25" t="n">
        <v>11.4077863693237</v>
      </c>
      <c r="F82" s="25" t="n">
        <v>4.27522039413452</v>
      </c>
      <c r="G82" s="25" t="n">
        <v>14.39195728302</v>
      </c>
      <c r="H82" s="25" t="n">
        <v>1.01329922676086</v>
      </c>
      <c r="I82" s="25" t="n">
        <v>1.50230181217194</v>
      </c>
      <c r="J82" s="25" t="n">
        <v>2.42462866210938</v>
      </c>
      <c r="K82" s="25" t="n">
        <v>0.995752502441406</v>
      </c>
      <c r="L82" s="25" t="n">
        <v>0.166589935302734</v>
      </c>
      <c r="M82" s="25" t="n">
        <v>10.5868139266968</v>
      </c>
      <c r="N82" s="25" t="n">
        <v>11202.8876953125</v>
      </c>
      <c r="O82" s="25" t="n">
        <v>320.674896240234</v>
      </c>
      <c r="P82" s="25" t="n">
        <v>106.220230102539</v>
      </c>
      <c r="Q82" s="25" t="n">
        <v>167.130432128906</v>
      </c>
      <c r="R82" s="25" t="n">
        <v>37.544189453125</v>
      </c>
      <c r="S82" s="25" t="n">
        <v>3.52203750610352</v>
      </c>
      <c r="T82" s="25" t="n">
        <v>0.991759061813355</v>
      </c>
      <c r="U82" s="25" t="n">
        <v>0.0966837182641029</v>
      </c>
      <c r="V82" s="25" t="n">
        <v>0.238888889551163</v>
      </c>
      <c r="W82" s="25" t="n">
        <v>0.259818136692047</v>
      </c>
      <c r="X82" s="25" t="n">
        <v>44.4245529174805</v>
      </c>
      <c r="Y82" s="25" t="n">
        <v>53.6501846313477</v>
      </c>
      <c r="Z82" s="25" t="n">
        <v>0.0997726619243622</v>
      </c>
      <c r="AA82" s="25" t="n">
        <v>1.59533953666687</v>
      </c>
      <c r="AB82" s="25" t="n">
        <v>1.52088665962219</v>
      </c>
      <c r="AC82" s="25" t="n">
        <v>0.0112929809838533</v>
      </c>
      <c r="AD82" s="25" t="n">
        <v>0.0126683721318841</v>
      </c>
      <c r="AE82" s="25" t="n">
        <v>0.0836175084114075</v>
      </c>
      <c r="AF82" s="25" t="n">
        <v>0.0875959023833275</v>
      </c>
      <c r="AG82" s="25" t="n">
        <v>0.0251065641641617</v>
      </c>
      <c r="AH82" s="25" t="n">
        <v>0.765117943286896</v>
      </c>
      <c r="AI82" s="25" t="n">
        <v>7.06264543533325</v>
      </c>
      <c r="AJ82" s="6" t="n">
        <v>351.9</v>
      </c>
      <c r="AK82" s="6" t="n">
        <v>195.7</v>
      </c>
      <c r="AL82" s="26" t="s">
        <v>3053</v>
      </c>
    </row>
    <row r="83" customFormat="false" ht="15" hidden="false" customHeight="false" outlineLevel="0" collapsed="false">
      <c r="A83" s="6" t="s">
        <v>1819</v>
      </c>
      <c r="B83" s="6" t="s">
        <v>3073</v>
      </c>
      <c r="C83" s="6" t="s">
        <v>3052</v>
      </c>
      <c r="D83" s="13" t="n">
        <v>31.5139465332031</v>
      </c>
      <c r="E83" s="25" t="n">
        <v>3.11629462242127</v>
      </c>
      <c r="F83" s="25" t="n">
        <v>1.77576661109924</v>
      </c>
      <c r="G83" s="25" t="n">
        <v>1.31241190433502</v>
      </c>
      <c r="H83" s="25" t="n">
        <v>0.601207911968231</v>
      </c>
      <c r="I83" s="25" t="n">
        <v>0.656033575534821</v>
      </c>
      <c r="J83" s="25" t="n">
        <v>0.199036026000977</v>
      </c>
      <c r="K83" s="25" t="n">
        <v>0.223115203857422</v>
      </c>
      <c r="L83" s="25" t="n">
        <v>0.125980766296387</v>
      </c>
      <c r="M83" s="25" t="n">
        <v>17.9058532714844</v>
      </c>
      <c r="N83" s="25" t="n">
        <v>163.255996704102</v>
      </c>
      <c r="O83" s="25" t="n">
        <v>93.4332809448242</v>
      </c>
      <c r="P83" s="25" t="n">
        <v>10.6824989318848</v>
      </c>
      <c r="Q83" s="25" t="n">
        <v>34.2210388183594</v>
      </c>
      <c r="R83" s="25" t="n">
        <v>7.52609300613403</v>
      </c>
      <c r="S83" s="25" t="n">
        <v>0.426936388015747</v>
      </c>
      <c r="T83" s="25" t="n">
        <v>0.184388294816017</v>
      </c>
      <c r="U83" s="25" t="n">
        <v>0.0466498732566834</v>
      </c>
      <c r="V83" s="25" t="n">
        <v>3.25283694267273</v>
      </c>
      <c r="W83" s="25" t="n">
        <v>0.114308141171932</v>
      </c>
      <c r="X83" s="25" t="n">
        <v>7.00610685348511</v>
      </c>
      <c r="Y83" s="25" t="n">
        <v>595.213928222656</v>
      </c>
      <c r="Z83" s="25" t="n">
        <v>0.102599233388901</v>
      </c>
      <c r="AA83" s="25" t="n">
        <v>6.90295743942261</v>
      </c>
      <c r="AB83" s="25" t="n">
        <v>6.25602769851685</v>
      </c>
      <c r="AC83" s="25" t="n">
        <v>0.0229987278580666</v>
      </c>
      <c r="AD83" s="25" t="n">
        <v>0.0228547062724829</v>
      </c>
      <c r="AE83" s="25" t="n">
        <v>0.9667809009552</v>
      </c>
      <c r="AF83" s="25" t="n">
        <v>0.218757256865501</v>
      </c>
      <c r="AG83" s="25" t="n">
        <v>0.0880880430340767</v>
      </c>
      <c r="AH83" s="25" t="n">
        <v>1.505903840065</v>
      </c>
      <c r="AI83" s="25" t="n">
        <v>10.1347093582153</v>
      </c>
      <c r="AJ83" s="6" t="n">
        <v>393</v>
      </c>
      <c r="AK83" s="6" t="n">
        <v>123.8</v>
      </c>
      <c r="AL83" s="26"/>
    </row>
    <row r="84" customFormat="false" ht="15" hidden="false" customHeight="false" outlineLevel="0" collapsed="false">
      <c r="A84" s="6" t="s">
        <v>3074</v>
      </c>
      <c r="B84" s="6" t="s">
        <v>3075</v>
      </c>
      <c r="C84" s="6" t="s">
        <v>3052</v>
      </c>
      <c r="D84" s="13" t="n">
        <v>35.627311706543</v>
      </c>
      <c r="E84" s="25" t="n">
        <v>10.1220302581787</v>
      </c>
      <c r="F84" s="25" t="n">
        <v>4.17139148712158</v>
      </c>
      <c r="G84" s="25" t="n">
        <v>12.7847909927368</v>
      </c>
      <c r="H84" s="25" t="n">
        <v>1.93941473960877</v>
      </c>
      <c r="I84" s="25" t="n">
        <v>0.767923057079315</v>
      </c>
      <c r="J84" s="25" t="n">
        <v>0.257739654541016</v>
      </c>
      <c r="K84" s="25" t="n">
        <v>0.354078216552734</v>
      </c>
      <c r="L84" s="25" t="n">
        <v>0.793189147949219</v>
      </c>
      <c r="M84" s="25" t="n">
        <v>12.3966941833496</v>
      </c>
      <c r="N84" s="25" t="n">
        <v>11088.1376953125</v>
      </c>
      <c r="O84" s="25" t="n">
        <v>340.965728759766</v>
      </c>
      <c r="P84" s="25" t="n">
        <v>42.334831237793</v>
      </c>
      <c r="Q84" s="25" t="n">
        <v>101.543830871582</v>
      </c>
      <c r="R84" s="25" t="n">
        <v>37.8050079345703</v>
      </c>
      <c r="S84" s="25" t="n">
        <v>2.22693133354187</v>
      </c>
      <c r="T84" s="25" t="n">
        <v>0.414572536945343</v>
      </c>
      <c r="U84" s="25" t="n">
        <v>0.0637664273381233</v>
      </c>
      <c r="V84" s="25" t="n">
        <v>2.08913683891296</v>
      </c>
      <c r="W84" s="25" t="n">
        <v>0.275412559509277</v>
      </c>
      <c r="X84" s="25" t="n">
        <v>6.70640850067139</v>
      </c>
      <c r="Y84" s="25" t="n">
        <v>1060.59887695313</v>
      </c>
      <c r="Z84" s="25" t="n">
        <v>0.657507121562958</v>
      </c>
      <c r="AA84" s="25" t="n">
        <v>14.9523372650147</v>
      </c>
      <c r="AB84" s="25" t="n">
        <v>3.41970205307007</v>
      </c>
      <c r="AC84" s="25" t="n">
        <v>0.0241024252027273</v>
      </c>
      <c r="AD84" s="25" t="n">
        <v>0.0235577840358019</v>
      </c>
      <c r="AE84" s="25" t="n">
        <v>0.252047151327133</v>
      </c>
      <c r="AF84" s="25" t="n">
        <v>0.159458070993424</v>
      </c>
      <c r="AG84" s="25" t="n">
        <v>0.0567294396460056</v>
      </c>
      <c r="AH84" s="25" t="n">
        <v>1.38110554218292</v>
      </c>
      <c r="AI84" s="25" t="n">
        <v>13.1639642715454</v>
      </c>
      <c r="AJ84" s="6" t="n">
        <v>369.1</v>
      </c>
      <c r="AK84" s="6" t="n">
        <v>131.5</v>
      </c>
      <c r="AL84" s="26" t="s">
        <v>3053</v>
      </c>
    </row>
    <row r="85" customFormat="false" ht="15" hidden="false" customHeight="false" outlineLevel="0" collapsed="false">
      <c r="A85" s="6" t="s">
        <v>3076</v>
      </c>
      <c r="B85" s="6" t="s">
        <v>3077</v>
      </c>
      <c r="C85" s="6" t="s">
        <v>3052</v>
      </c>
      <c r="D85" s="13" t="n">
        <v>48.0295677185059</v>
      </c>
      <c r="E85" s="25" t="n">
        <v>2.9876434803009</v>
      </c>
      <c r="F85" s="25" t="n">
        <v>4.58085441589356</v>
      </c>
      <c r="G85" s="25" t="n">
        <v>1.99092328548431</v>
      </c>
      <c r="H85" s="25" t="n">
        <v>0.877503156661987</v>
      </c>
      <c r="I85" s="25" t="n">
        <v>3.34491586685181</v>
      </c>
      <c r="J85" s="25" t="n">
        <v>1.23265673828125</v>
      </c>
      <c r="K85" s="25" t="n">
        <v>0.523237915039063</v>
      </c>
      <c r="L85" s="25" t="n">
        <v>0.0983671188354492</v>
      </c>
      <c r="M85" s="25" t="n">
        <v>7.06082963943481</v>
      </c>
      <c r="N85" s="25" t="n">
        <v>121.315162658691</v>
      </c>
      <c r="O85" s="25" t="n">
        <v>171.017105102539</v>
      </c>
      <c r="P85" s="25" t="n">
        <v>99.7918090820313</v>
      </c>
      <c r="Q85" s="25" t="n">
        <v>98.4350509643555</v>
      </c>
      <c r="R85" s="25" t="n">
        <v>15.829026222229</v>
      </c>
      <c r="S85" s="25" t="n">
        <v>0.318450897932053</v>
      </c>
      <c r="T85" s="25" t="n">
        <v>0.420775085687637</v>
      </c>
      <c r="U85" s="25" t="n">
        <v>0.0259361583739519</v>
      </c>
      <c r="V85" s="25" t="n">
        <v>1.07068741321564</v>
      </c>
      <c r="W85" s="25" t="n">
        <v>0.0636519119143486</v>
      </c>
      <c r="X85" s="25" t="n">
        <v>20.1167030334473</v>
      </c>
      <c r="Y85" s="25" t="n">
        <v>265.684234619141</v>
      </c>
      <c r="Z85" s="25" t="n">
        <v>0.054604459553957</v>
      </c>
      <c r="AA85" s="25" t="n">
        <v>4.58685350418091</v>
      </c>
      <c r="AB85" s="25" t="n">
        <v>2.68990087509155</v>
      </c>
      <c r="AC85" s="25" t="n">
        <v>0.0313660725951195</v>
      </c>
      <c r="AD85" s="25" t="n">
        <v>0.105716079473496</v>
      </c>
      <c r="AE85" s="25" t="n">
        <v>0.200358629226685</v>
      </c>
      <c r="AF85" s="25" t="n">
        <v>0.339660823345184</v>
      </c>
      <c r="AG85" s="25" t="n">
        <v>0.0628912076354027</v>
      </c>
      <c r="AH85" s="25" t="n">
        <v>2.080073595047</v>
      </c>
      <c r="AI85" s="25" t="n">
        <v>14.6139965057373</v>
      </c>
      <c r="AJ85" s="6" t="n">
        <v>187.7</v>
      </c>
      <c r="AK85" s="6" t="n">
        <v>90.1</v>
      </c>
      <c r="AL85" s="26"/>
    </row>
    <row r="86" customFormat="false" ht="15" hidden="false" customHeight="false" outlineLevel="0" collapsed="false">
      <c r="A86" s="6" t="s">
        <v>3078</v>
      </c>
      <c r="B86" s="6" t="s">
        <v>3079</v>
      </c>
      <c r="C86" s="6" t="s">
        <v>3052</v>
      </c>
      <c r="D86" s="13" t="n">
        <v>49.1864814758301</v>
      </c>
      <c r="E86" s="25" t="n">
        <v>8.57133483886719</v>
      </c>
      <c r="F86" s="25" t="n">
        <v>2.64566779136658</v>
      </c>
      <c r="G86" s="25" t="n">
        <v>14.081335067749</v>
      </c>
      <c r="H86" s="25" t="n">
        <v>1.85664498806</v>
      </c>
      <c r="I86" s="25" t="n">
        <v>0.460521191358566</v>
      </c>
      <c r="J86" s="25" t="n">
        <v>2.46076879882813</v>
      </c>
      <c r="K86" s="25" t="n">
        <v>0.990524963378906</v>
      </c>
      <c r="L86" s="25" t="n">
        <v>0.183139739990234</v>
      </c>
      <c r="M86" s="25" t="n">
        <v>10.1172637939453</v>
      </c>
      <c r="N86" s="25" t="n">
        <v>9919.625</v>
      </c>
      <c r="O86" s="25" t="n">
        <v>361.426696777344</v>
      </c>
      <c r="P86" s="25" t="n">
        <v>43.9338760375977</v>
      </c>
      <c r="Q86" s="25" t="n">
        <v>86.5382766723633</v>
      </c>
      <c r="R86" s="25" t="n">
        <v>38.8913688659668</v>
      </c>
      <c r="S86" s="25" t="n">
        <v>2.1278338432312</v>
      </c>
      <c r="T86" s="25" t="n">
        <v>0.360325753688812</v>
      </c>
      <c r="U86" s="25" t="n">
        <v>0.0684690549969673</v>
      </c>
      <c r="V86" s="25" t="n">
        <v>0.550570011138916</v>
      </c>
      <c r="W86" s="25" t="n">
        <v>0.278794795274735</v>
      </c>
      <c r="X86" s="25" t="n">
        <v>46.9250831604004</v>
      </c>
      <c r="Y86" s="25" t="n">
        <v>1029.93151855469</v>
      </c>
      <c r="Z86" s="25" t="n">
        <v>0.169299677014351</v>
      </c>
      <c r="AA86" s="25" t="n">
        <v>22.7791538238525</v>
      </c>
      <c r="AB86" s="25" t="n">
        <v>5.30973958969116</v>
      </c>
      <c r="AC86" s="25" t="n">
        <v>0.02055374532938</v>
      </c>
      <c r="AD86" s="25" t="n">
        <v>0.0218078177422285</v>
      </c>
      <c r="AE86" s="25" t="n">
        <v>0.188387617468834</v>
      </c>
      <c r="AF86" s="25" t="n">
        <v>0.126742675900459</v>
      </c>
      <c r="AG86" s="25" t="n">
        <v>0.0340879485011101</v>
      </c>
      <c r="AH86" s="25" t="n">
        <v>0.940830647945404</v>
      </c>
      <c r="AI86" s="25" t="n">
        <v>14.0897226333618</v>
      </c>
      <c r="AJ86" s="6" t="n">
        <v>307</v>
      </c>
      <c r="AK86" s="6" t="n">
        <v>151</v>
      </c>
      <c r="AL86" s="26" t="s">
        <v>3053</v>
      </c>
    </row>
    <row r="87" customFormat="false" ht="15" hidden="false" customHeight="false" outlineLevel="0" collapsed="false">
      <c r="A87" s="6" t="s">
        <v>777</v>
      </c>
      <c r="B87" s="6" t="s">
        <v>3080</v>
      </c>
      <c r="C87" s="6" t="s">
        <v>3081</v>
      </c>
      <c r="D87" s="13" t="n">
        <v>202.311111450195</v>
      </c>
      <c r="E87" s="25" t="n">
        <v>5.875</v>
      </c>
      <c r="F87" s="25" t="n">
        <v>35.6499977111816</v>
      </c>
      <c r="G87" s="25" t="n">
        <v>3.56111121177673</v>
      </c>
      <c r="H87" s="25" t="n">
        <v>6.31111145019531</v>
      </c>
      <c r="I87" s="25" t="n">
        <v>1</v>
      </c>
      <c r="J87" s="25" t="n">
        <v>1.73722229003906</v>
      </c>
      <c r="K87" s="25" t="n">
        <v>0.796666687011719</v>
      </c>
      <c r="L87" s="25" t="n">
        <v>0.538888854980469</v>
      </c>
      <c r="M87" s="25" t="n">
        <v>6.83333349227905</v>
      </c>
      <c r="N87" s="25" t="n">
        <v>1.1611111164093</v>
      </c>
      <c r="O87" s="25" t="n">
        <v>172.777786254883</v>
      </c>
      <c r="P87" s="25" t="n">
        <v>17.216667175293</v>
      </c>
      <c r="Q87" s="25" t="n">
        <v>175</v>
      </c>
      <c r="R87" s="25" t="n">
        <v>69.4444427490234</v>
      </c>
      <c r="S87" s="25" t="n">
        <v>2.27777767181397</v>
      </c>
      <c r="T87" s="25" t="n">
        <v>1.58333325386047</v>
      </c>
      <c r="U87" s="25" t="n">
        <v>0.266666680574417</v>
      </c>
      <c r="V87" s="25" t="n">
        <v>29.5111103057861</v>
      </c>
      <c r="W87" s="25" t="n">
        <v>1.65555560588837</v>
      </c>
      <c r="X87" s="25" t="n">
        <v>25.6111125946045</v>
      </c>
      <c r="Y87" s="25" t="n">
        <v>209.527770996094</v>
      </c>
      <c r="Z87" s="25" t="n">
        <v>0.304444432258606</v>
      </c>
      <c r="AA87" s="25" t="n">
        <v>0.833333373069763</v>
      </c>
      <c r="AB87" s="25" t="n">
        <v>0</v>
      </c>
      <c r="AC87" s="25" t="n">
        <v>0.233333334326744</v>
      </c>
      <c r="AD87" s="25" t="n">
        <v>0.0833333283662796</v>
      </c>
      <c r="AE87" s="25" t="n">
        <v>1.31666672229767</v>
      </c>
      <c r="AF87" s="25" t="n">
        <v>0.483333319425583</v>
      </c>
      <c r="AG87" s="25" t="n">
        <v>0.138888895511627</v>
      </c>
      <c r="AH87" s="25" t="n">
        <v>0.422222197055817</v>
      </c>
      <c r="AI87" s="25" t="n">
        <v>16.2333335876465</v>
      </c>
      <c r="AJ87" s="6" t="n">
        <v>36</v>
      </c>
      <c r="AK87" s="6" t="n">
        <v>72.8</v>
      </c>
      <c r="AL87" s="26"/>
    </row>
    <row r="88" customFormat="false" ht="15" hidden="false" customHeight="false" outlineLevel="0" collapsed="false">
      <c r="A88" s="6" t="s">
        <v>524</v>
      </c>
      <c r="B88" s="6" t="s">
        <v>3082</v>
      </c>
      <c r="C88" s="6" t="s">
        <v>3083</v>
      </c>
      <c r="D88" s="13" t="n">
        <v>298.300842285156</v>
      </c>
      <c r="E88" s="25" t="n">
        <v>5.05560207366943</v>
      </c>
      <c r="F88" s="25" t="n">
        <v>30.6923351287842</v>
      </c>
      <c r="G88" s="25" t="n">
        <v>16.8581848144531</v>
      </c>
      <c r="H88" s="25" t="n">
        <v>5.4334568977356</v>
      </c>
      <c r="I88" s="25" t="n">
        <v>0.860935091972351</v>
      </c>
      <c r="J88" s="25" t="n">
        <v>2.03563317871094</v>
      </c>
      <c r="K88" s="25" t="n">
        <v>3.3804853515625</v>
      </c>
      <c r="L88" s="25" t="n">
        <v>10.5731201171875</v>
      </c>
      <c r="M88" s="25" t="n">
        <v>0</v>
      </c>
      <c r="N88" s="25" t="n">
        <v>62.0662384033203</v>
      </c>
      <c r="O88" s="25" t="n">
        <v>148.888793945313</v>
      </c>
      <c r="P88" s="25" t="n">
        <v>14.8140621185303</v>
      </c>
      <c r="Q88" s="25" t="n">
        <v>150.665191650391</v>
      </c>
      <c r="R88" s="25" t="n">
        <v>59.9052963256836</v>
      </c>
      <c r="S88" s="25" t="n">
        <v>1.97762763500214</v>
      </c>
      <c r="T88" s="25" t="n">
        <v>1.36330258846283</v>
      </c>
      <c r="U88" s="25" t="n">
        <v>0.231321305036545</v>
      </c>
      <c r="V88" s="25" t="n">
        <v>25.4071502685547</v>
      </c>
      <c r="W88" s="25" t="n">
        <v>1.42532587051392</v>
      </c>
      <c r="X88" s="25" t="n">
        <v>0</v>
      </c>
      <c r="Y88" s="25" t="n">
        <v>135.83642578125</v>
      </c>
      <c r="Z88" s="25" t="n">
        <v>8.06971168518066</v>
      </c>
      <c r="AA88" s="25" t="n">
        <v>1.73442542552948</v>
      </c>
      <c r="AB88" s="25" t="n">
        <v>0</v>
      </c>
      <c r="AC88" s="25" t="n">
        <v>0.200884848833084</v>
      </c>
      <c r="AD88" s="25" t="n">
        <v>0.0717445909976959</v>
      </c>
      <c r="AE88" s="25" t="n">
        <v>1.13356447219849</v>
      </c>
      <c r="AF88" s="25" t="n">
        <v>0.41611859202385</v>
      </c>
      <c r="AG88" s="25" t="n">
        <v>0.119574315845966</v>
      </c>
      <c r="AH88" s="25" t="n">
        <v>0.363505899906158</v>
      </c>
      <c r="AI88" s="25" t="n">
        <v>13.9758453369141</v>
      </c>
      <c r="AJ88" s="6" t="n">
        <v>55.8</v>
      </c>
      <c r="AK88" s="6" t="n">
        <v>166.3</v>
      </c>
      <c r="AL88" s="26"/>
    </row>
    <row r="89" customFormat="false" ht="15" hidden="false" customHeight="false" outlineLevel="0" collapsed="false">
      <c r="A89" s="6" t="s">
        <v>494</v>
      </c>
      <c r="B89" s="6" t="s">
        <v>3084</v>
      </c>
      <c r="C89" s="6" t="s">
        <v>3083</v>
      </c>
      <c r="D89" s="13" t="n">
        <v>205.042388916016</v>
      </c>
      <c r="E89" s="25" t="n">
        <v>3.69791436195374</v>
      </c>
      <c r="F89" s="25" t="n">
        <v>23.9200744628906</v>
      </c>
      <c r="G89" s="25" t="n">
        <v>10.2202777862549</v>
      </c>
      <c r="H89" s="25" t="n">
        <v>4.17527961730957</v>
      </c>
      <c r="I89" s="25" t="n">
        <v>1.15238356590271</v>
      </c>
      <c r="J89" s="25" t="n">
        <v>1.24103186035156</v>
      </c>
      <c r="K89" s="25" t="n">
        <v>2.03234655761719</v>
      </c>
      <c r="L89" s="25" t="n">
        <v>6.3817890625</v>
      </c>
      <c r="M89" s="25" t="n">
        <v>0</v>
      </c>
      <c r="N89" s="25" t="n">
        <v>127.203125</v>
      </c>
      <c r="O89" s="25" t="n">
        <v>272.877166748047</v>
      </c>
      <c r="P89" s="25" t="n">
        <v>17.3822288513184</v>
      </c>
      <c r="Q89" s="25" t="n">
        <v>107.56103515625</v>
      </c>
      <c r="R89" s="25" t="n">
        <v>46.1119232177734</v>
      </c>
      <c r="S89" s="25" t="n">
        <v>1.52388155460358</v>
      </c>
      <c r="T89" s="25" t="n">
        <v>0.948034882545471</v>
      </c>
      <c r="U89" s="25" t="n">
        <v>0.181978300213814</v>
      </c>
      <c r="V89" s="25" t="n">
        <v>15.4209356307983</v>
      </c>
      <c r="W89" s="25" t="n">
        <v>0.936493277549744</v>
      </c>
      <c r="X89" s="25" t="n">
        <v>0</v>
      </c>
      <c r="Y89" s="25" t="n">
        <v>295.455078125</v>
      </c>
      <c r="Z89" s="25" t="n">
        <v>4.8470458984375</v>
      </c>
      <c r="AA89" s="25" t="n">
        <v>4.41614961624146</v>
      </c>
      <c r="AB89" s="25" t="n">
        <v>8.54276561737061</v>
      </c>
      <c r="AC89" s="25" t="n">
        <v>0.143452823162079</v>
      </c>
      <c r="AD89" s="25" t="n">
        <v>0.050524115562439</v>
      </c>
      <c r="AE89" s="25" t="n">
        <v>1.04528439044952</v>
      </c>
      <c r="AF89" s="25" t="n">
        <v>0.392508119344711</v>
      </c>
      <c r="AG89" s="25" t="n">
        <v>0.117328003048897</v>
      </c>
      <c r="AH89" s="25" t="n">
        <v>0.872890472412109</v>
      </c>
      <c r="AI89" s="25" t="n">
        <v>16.023473739624</v>
      </c>
      <c r="AJ89" s="6" t="n">
        <v>93.4</v>
      </c>
      <c r="AK89" s="6" t="n">
        <v>191.4</v>
      </c>
      <c r="AL89" s="26"/>
    </row>
    <row r="90" customFormat="false" ht="15" hidden="false" customHeight="false" outlineLevel="0" collapsed="false">
      <c r="A90" s="6" t="s">
        <v>509</v>
      </c>
      <c r="B90" s="6" t="s">
        <v>3085</v>
      </c>
      <c r="C90" s="6" t="s">
        <v>3083</v>
      </c>
      <c r="D90" s="13" t="n">
        <v>183.524230957031</v>
      </c>
      <c r="E90" s="25" t="n">
        <v>3.29750680923462</v>
      </c>
      <c r="F90" s="25" t="n">
        <v>20.5424156188965</v>
      </c>
      <c r="G90" s="25" t="n">
        <v>9.52780055999756</v>
      </c>
      <c r="H90" s="25" t="n">
        <v>4.32421636581421</v>
      </c>
      <c r="I90" s="25" t="n">
        <v>1.30684494972229</v>
      </c>
      <c r="J90" s="25" t="n">
        <v>1.1613310546875</v>
      </c>
      <c r="K90" s="25" t="n">
        <v>1.89625891113281</v>
      </c>
      <c r="L90" s="25" t="n">
        <v>5.93994921875</v>
      </c>
      <c r="M90" s="25" t="n">
        <v>0</v>
      </c>
      <c r="N90" s="25" t="n">
        <v>127.026969909668</v>
      </c>
      <c r="O90" s="25" t="n">
        <v>206.438629150391</v>
      </c>
      <c r="P90" s="25" t="n">
        <v>23.7495040893555</v>
      </c>
      <c r="Q90" s="25" t="n">
        <v>98.8475799560547</v>
      </c>
      <c r="R90" s="25" t="n">
        <v>41.9770355224609</v>
      </c>
      <c r="S90" s="25" t="n">
        <v>1.39032959938049</v>
      </c>
      <c r="T90" s="25" t="n">
        <v>0.883518576622009</v>
      </c>
      <c r="U90" s="25" t="n">
        <v>0.155854240059853</v>
      </c>
      <c r="V90" s="25" t="n">
        <v>14.2265644073486</v>
      </c>
      <c r="W90" s="25" t="n">
        <v>0.870080351829529</v>
      </c>
      <c r="X90" s="25" t="n">
        <v>0</v>
      </c>
      <c r="Y90" s="25" t="n">
        <v>223.846206665039</v>
      </c>
      <c r="Z90" s="25" t="n">
        <v>4.51134347915649</v>
      </c>
      <c r="AA90" s="25" t="n">
        <v>4.38974761962891</v>
      </c>
      <c r="AB90" s="25" t="n">
        <v>8.43661308288574</v>
      </c>
      <c r="AC90" s="25" t="n">
        <v>0.124561630189419</v>
      </c>
      <c r="AD90" s="25" t="n">
        <v>0.0511556528508663</v>
      </c>
      <c r="AE90" s="25" t="n">
        <v>0.798339486122131</v>
      </c>
      <c r="AF90" s="25" t="n">
        <v>0.315030813217163</v>
      </c>
      <c r="AG90" s="25" t="n">
        <v>0.106176145374775</v>
      </c>
      <c r="AH90" s="25" t="n">
        <v>1.2812420129776</v>
      </c>
      <c r="AI90" s="25" t="n">
        <v>20.7344951629639</v>
      </c>
      <c r="AJ90" s="6" t="n">
        <v>100</v>
      </c>
      <c r="AK90" s="6" t="n">
        <v>183.6</v>
      </c>
      <c r="AL90" s="26"/>
    </row>
    <row r="91" customFormat="false" ht="15" hidden="false" customHeight="false" outlineLevel="0" collapsed="false">
      <c r="A91" s="6" t="s">
        <v>500</v>
      </c>
      <c r="B91" s="6" t="s">
        <v>3086</v>
      </c>
      <c r="C91" s="6" t="s">
        <v>3083</v>
      </c>
      <c r="D91" s="13" t="n">
        <v>178.070404052734</v>
      </c>
      <c r="E91" s="25" t="n">
        <v>3.72606706619263</v>
      </c>
      <c r="F91" s="25" t="n">
        <v>18.8370819091797</v>
      </c>
      <c r="G91" s="25" t="n">
        <v>9.46512508392334</v>
      </c>
      <c r="H91" s="25" t="n">
        <v>4.68095874786377</v>
      </c>
      <c r="I91" s="25" t="n">
        <v>1.14768517017365</v>
      </c>
      <c r="J91" s="25" t="n">
        <v>1.16813647460938</v>
      </c>
      <c r="K91" s="25" t="n">
        <v>1.86837658691406</v>
      </c>
      <c r="L91" s="25" t="n">
        <v>5.89240576171875</v>
      </c>
      <c r="M91" s="25" t="n">
        <v>0</v>
      </c>
      <c r="N91" s="25" t="n">
        <v>190.031326293945</v>
      </c>
      <c r="O91" s="25" t="n">
        <v>222.944702148438</v>
      </c>
      <c r="P91" s="25" t="n">
        <v>21.9980640411377</v>
      </c>
      <c r="Q91" s="25" t="n">
        <v>103.434242248535</v>
      </c>
      <c r="R91" s="25" t="n">
        <v>44.5341415405273</v>
      </c>
      <c r="S91" s="25" t="n">
        <v>1.59322619438171</v>
      </c>
      <c r="T91" s="25" t="n">
        <v>0.903613030910492</v>
      </c>
      <c r="U91" s="25" t="n">
        <v>0.161851823329926</v>
      </c>
      <c r="V91" s="25" t="n">
        <v>14.0915927886963</v>
      </c>
      <c r="W91" s="25" t="n">
        <v>0.95995420217514</v>
      </c>
      <c r="X91" s="25" t="n">
        <v>0</v>
      </c>
      <c r="Y91" s="25" t="n">
        <v>238.250625610352</v>
      </c>
      <c r="Z91" s="25" t="n">
        <v>4.4386568069458</v>
      </c>
      <c r="AA91" s="25" t="n">
        <v>8.59998512268066</v>
      </c>
      <c r="AB91" s="25" t="n">
        <v>17.2842464447022</v>
      </c>
      <c r="AC91" s="25" t="n">
        <v>0.129518955945969</v>
      </c>
      <c r="AD91" s="25" t="n">
        <v>0.0672512203454971</v>
      </c>
      <c r="AE91" s="25" t="n">
        <v>0.794115304946899</v>
      </c>
      <c r="AF91" s="25" t="n">
        <v>0.467088580131531</v>
      </c>
      <c r="AG91" s="25" t="n">
        <v>0.127171695232391</v>
      </c>
      <c r="AH91" s="25" t="n">
        <v>1.27241694927216</v>
      </c>
      <c r="AI91" s="25" t="n">
        <v>25.8395729064941</v>
      </c>
      <c r="AJ91" s="6" t="n">
        <v>101.9</v>
      </c>
      <c r="AK91" s="6" t="n">
        <v>181.4</v>
      </c>
      <c r="AL91" s="26"/>
    </row>
    <row r="92" customFormat="false" ht="15" hidden="false" customHeight="false" outlineLevel="0" collapsed="false">
      <c r="A92" s="6" t="s">
        <v>3087</v>
      </c>
      <c r="B92" s="6" t="s">
        <v>3088</v>
      </c>
      <c r="C92" s="6" t="s">
        <v>3083</v>
      </c>
      <c r="D92" s="13" t="n">
        <v>268.244476318359</v>
      </c>
      <c r="E92" s="25" t="n">
        <v>6.77582168579102</v>
      </c>
      <c r="F92" s="25" t="n">
        <v>30.0324821472168</v>
      </c>
      <c r="G92" s="25" t="n">
        <v>13.0535774230957</v>
      </c>
      <c r="H92" s="25" t="n">
        <v>6.4633584022522</v>
      </c>
      <c r="I92" s="25" t="n">
        <v>1.42583823204041</v>
      </c>
      <c r="J92" s="25" t="n">
        <v>1.55672045898438</v>
      </c>
      <c r="K92" s="25" t="n">
        <v>2.5833994140625</v>
      </c>
      <c r="L92" s="25" t="n">
        <v>8.04656982421875</v>
      </c>
      <c r="M92" s="25" t="n">
        <v>0</v>
      </c>
      <c r="N92" s="25" t="n">
        <v>156.132049560547</v>
      </c>
      <c r="O92" s="25" t="n">
        <v>268.85205078125</v>
      </c>
      <c r="P92" s="25" t="n">
        <v>23.8888626098633</v>
      </c>
      <c r="Q92" s="25" t="n">
        <v>158.212738037109</v>
      </c>
      <c r="R92" s="25" t="n">
        <v>63.1487159729004</v>
      </c>
      <c r="S92" s="25" t="n">
        <v>2.44958066940308</v>
      </c>
      <c r="T92" s="25" t="n">
        <v>1.53259634971619</v>
      </c>
      <c r="U92" s="25" t="n">
        <v>0.297145903110504</v>
      </c>
      <c r="V92" s="25" t="n">
        <v>25.1568946838379</v>
      </c>
      <c r="W92" s="25" t="n">
        <v>1.31036722660065</v>
      </c>
      <c r="X92" s="25" t="n">
        <v>0</v>
      </c>
      <c r="Y92" s="25" t="n">
        <v>420.070434570313</v>
      </c>
      <c r="Z92" s="25" t="n">
        <v>5.90425109863281</v>
      </c>
      <c r="AA92" s="25" t="n">
        <v>4.83427953720093</v>
      </c>
      <c r="AB92" s="25" t="n">
        <v>2.35013723373413</v>
      </c>
      <c r="AC92" s="25" t="n">
        <v>0.199398934841156</v>
      </c>
      <c r="AD92" s="25" t="n">
        <v>0.0775839909911156</v>
      </c>
      <c r="AE92" s="25" t="n">
        <v>1.15465128421783</v>
      </c>
      <c r="AF92" s="25" t="n">
        <v>0.554294407367706</v>
      </c>
      <c r="AG92" s="25" t="n">
        <v>0.132828027009964</v>
      </c>
      <c r="AH92" s="25" t="n">
        <v>0.698804378509522</v>
      </c>
      <c r="AI92" s="25" t="n">
        <v>37.8426475524902</v>
      </c>
      <c r="AJ92" s="6" t="n">
        <v>76.7</v>
      </c>
      <c r="AK92" s="6" t="n">
        <v>205.7</v>
      </c>
      <c r="AL92" s="26"/>
    </row>
    <row r="93" customFormat="false" ht="15" hidden="false" customHeight="false" outlineLevel="0" collapsed="false">
      <c r="A93" s="6" t="s">
        <v>3089</v>
      </c>
      <c r="B93" s="6" t="s">
        <v>3090</v>
      </c>
      <c r="C93" s="6" t="s">
        <v>3083</v>
      </c>
      <c r="D93" s="13" t="n">
        <v>228.594390869141</v>
      </c>
      <c r="E93" s="25" t="n">
        <v>4.29201126098633</v>
      </c>
      <c r="F93" s="25" t="n">
        <v>24.3060264587402</v>
      </c>
      <c r="G93" s="25" t="n">
        <v>12.4264316558838</v>
      </c>
      <c r="H93" s="25" t="n">
        <v>4.48804426193237</v>
      </c>
      <c r="I93" s="25" t="n">
        <v>1.47408020496368</v>
      </c>
      <c r="J93" s="25" t="n">
        <v>1.50860888671875</v>
      </c>
      <c r="K93" s="25" t="n">
        <v>2.48222143554688</v>
      </c>
      <c r="L93" s="25" t="n">
        <v>7.74981640625</v>
      </c>
      <c r="M93" s="25" t="n">
        <v>0</v>
      </c>
      <c r="N93" s="25" t="n">
        <v>153.937698364258</v>
      </c>
      <c r="O93" s="25" t="n">
        <v>150.072448730469</v>
      </c>
      <c r="P93" s="25" t="n">
        <v>20.3267784118652</v>
      </c>
      <c r="Q93" s="25" t="n">
        <v>120.662223815918</v>
      </c>
      <c r="R93" s="25" t="n">
        <v>49.5888061523438</v>
      </c>
      <c r="S93" s="25" t="n">
        <v>1.94369161128998</v>
      </c>
      <c r="T93" s="25" t="n">
        <v>1.09581077098846</v>
      </c>
      <c r="U93" s="25" t="n">
        <v>0.19153505563736</v>
      </c>
      <c r="V93" s="25" t="n">
        <v>18.5112342834473</v>
      </c>
      <c r="W93" s="25" t="n">
        <v>1.10436093807221</v>
      </c>
      <c r="X93" s="25" t="n">
        <v>0</v>
      </c>
      <c r="Y93" s="25" t="n">
        <v>293.337432861328</v>
      </c>
      <c r="Z93" s="25" t="n">
        <v>5.87947797775269</v>
      </c>
      <c r="AA93" s="25" t="n">
        <v>4.6387038230896</v>
      </c>
      <c r="AB93" s="25" t="n">
        <v>2.6109049320221</v>
      </c>
      <c r="AC93" s="25" t="n">
        <v>0.165499150753021</v>
      </c>
      <c r="AD93" s="25" t="n">
        <v>0.0645456090569496</v>
      </c>
      <c r="AE93" s="25" t="n">
        <v>0.949948728084564</v>
      </c>
      <c r="AF93" s="25" t="n">
        <v>0.37697246670723</v>
      </c>
      <c r="AG93" s="25" t="n">
        <v>0.117181971669197</v>
      </c>
      <c r="AH93" s="25" t="n">
        <v>0.593193531036377</v>
      </c>
      <c r="AI93" s="25" t="n">
        <v>16.3293266296387</v>
      </c>
      <c r="AJ93" s="6" t="n">
        <v>76.7</v>
      </c>
      <c r="AK93" s="6" t="n">
        <v>175.3</v>
      </c>
      <c r="AL93" s="26"/>
    </row>
    <row r="94" customFormat="false" ht="15" hidden="false" customHeight="false" outlineLevel="0" collapsed="false">
      <c r="A94" s="6" t="s">
        <v>3091</v>
      </c>
      <c r="B94" s="6" t="s">
        <v>3092</v>
      </c>
      <c r="C94" s="6" t="s">
        <v>3083</v>
      </c>
      <c r="D94" s="13" t="n">
        <v>190.731140136719</v>
      </c>
      <c r="E94" s="25" t="n">
        <v>5.59475469589233</v>
      </c>
      <c r="F94" s="25" t="n">
        <v>21.512731552124</v>
      </c>
      <c r="G94" s="25" t="n">
        <v>8.79894065856934</v>
      </c>
      <c r="H94" s="25" t="n">
        <v>5.606614112854</v>
      </c>
      <c r="I94" s="25" t="n">
        <v>1.28709316253662</v>
      </c>
      <c r="J94" s="25" t="n">
        <v>1.06583435058594</v>
      </c>
      <c r="K94" s="25" t="n">
        <v>1.75867639160156</v>
      </c>
      <c r="L94" s="25" t="n">
        <v>5.48828125</v>
      </c>
      <c r="M94" s="25" t="n">
        <v>0</v>
      </c>
      <c r="N94" s="25" t="n">
        <v>109.991157531738</v>
      </c>
      <c r="O94" s="25" t="n">
        <v>197.714996337891</v>
      </c>
      <c r="P94" s="25" t="n">
        <v>23.4919204711914</v>
      </c>
      <c r="Q94" s="25" t="n">
        <v>103.50032043457</v>
      </c>
      <c r="R94" s="25" t="n">
        <v>49.2283325195313</v>
      </c>
      <c r="S94" s="25" t="n">
        <v>1.78019630908966</v>
      </c>
      <c r="T94" s="25" t="n">
        <v>1.16701555252075</v>
      </c>
      <c r="U94" s="25" t="n">
        <v>0.219232529401779</v>
      </c>
      <c r="V94" s="25" t="n">
        <v>13.7285051345825</v>
      </c>
      <c r="W94" s="25" t="n">
        <v>0.949283003807068</v>
      </c>
      <c r="X94" s="25" t="n">
        <v>0</v>
      </c>
      <c r="Y94" s="25" t="n">
        <v>697.849853515625</v>
      </c>
      <c r="Z94" s="25" t="n">
        <v>4.24208402633667</v>
      </c>
      <c r="AA94" s="25" t="n">
        <v>20.2861347198486</v>
      </c>
      <c r="AB94" s="25" t="n">
        <v>16.4285068511963</v>
      </c>
      <c r="AC94" s="25" t="n">
        <v>0.212647885084152</v>
      </c>
      <c r="AD94" s="25" t="n">
        <v>0.0526048168540001</v>
      </c>
      <c r="AE94" s="25" t="n">
        <v>1.1368350982666</v>
      </c>
      <c r="AF94" s="25" t="n">
        <v>0.506129384040833</v>
      </c>
      <c r="AG94" s="25" t="n">
        <v>0.149535208940506</v>
      </c>
      <c r="AH94" s="25" t="n">
        <v>1.97326254844666</v>
      </c>
      <c r="AI94" s="25" t="n">
        <v>31.0482177734375</v>
      </c>
      <c r="AJ94" s="6" t="n">
        <v>108.4</v>
      </c>
      <c r="AK94" s="6" t="n">
        <v>206.7</v>
      </c>
      <c r="AL94" s="26"/>
    </row>
    <row r="95" customFormat="false" ht="15" hidden="false" customHeight="false" outlineLevel="0" collapsed="false">
      <c r="A95" s="6" t="s">
        <v>3093</v>
      </c>
      <c r="B95" s="6" t="s">
        <v>3094</v>
      </c>
      <c r="C95" s="6" t="s">
        <v>3083</v>
      </c>
      <c r="D95" s="13" t="n">
        <v>238.086181640625</v>
      </c>
      <c r="E95" s="25" t="n">
        <v>9.40567493438721</v>
      </c>
      <c r="F95" s="25" t="n">
        <v>18.3564052581787</v>
      </c>
      <c r="G95" s="25" t="n">
        <v>13.909818649292</v>
      </c>
      <c r="H95" s="25" t="n">
        <v>3.44114804267883</v>
      </c>
      <c r="I95" s="25" t="n">
        <v>0.990273296833038</v>
      </c>
      <c r="J95" s="25" t="n">
        <v>3.21275561523438</v>
      </c>
      <c r="K95" s="25" t="n">
        <v>3.65935009765625</v>
      </c>
      <c r="L95" s="25" t="n">
        <v>6.12201416015625</v>
      </c>
      <c r="M95" s="25" t="n">
        <v>25.6589698791504</v>
      </c>
      <c r="N95" s="25" t="n">
        <v>140.622894287109</v>
      </c>
      <c r="O95" s="25" t="n">
        <v>213.769775390625</v>
      </c>
      <c r="P95" s="25" t="n">
        <v>19.3508243560791</v>
      </c>
      <c r="Q95" s="25" t="n">
        <v>152.131591796875</v>
      </c>
      <c r="R95" s="25" t="n">
        <v>43.6198768615723</v>
      </c>
      <c r="S95" s="25" t="n">
        <v>1.80353891849518</v>
      </c>
      <c r="T95" s="25" t="n">
        <v>1.97652399539948</v>
      </c>
      <c r="U95" s="25" t="n">
        <v>0.172515913844109</v>
      </c>
      <c r="V95" s="25" t="n">
        <v>14.8597078323364</v>
      </c>
      <c r="W95" s="25" t="n">
        <v>0.840089321136475</v>
      </c>
      <c r="X95" s="25" t="n">
        <v>1.66616678237915</v>
      </c>
      <c r="Y95" s="25" t="n">
        <v>220.313934326172</v>
      </c>
      <c r="Z95" s="25" t="n">
        <v>4.5679931640625</v>
      </c>
      <c r="AA95" s="25" t="n">
        <v>3.55666446685791</v>
      </c>
      <c r="AB95" s="25" t="n">
        <v>1.80193638801575</v>
      </c>
      <c r="AC95" s="25" t="n">
        <v>0.15788497030735</v>
      </c>
      <c r="AD95" s="25" t="n">
        <v>0.104472994804382</v>
      </c>
      <c r="AE95" s="25" t="n">
        <v>2.29788970947266</v>
      </c>
      <c r="AF95" s="25" t="n">
        <v>0.564955830574036</v>
      </c>
      <c r="AG95" s="25" t="n">
        <v>0.149496480822563</v>
      </c>
      <c r="AH95" s="25" t="n">
        <v>1.1212899684906</v>
      </c>
      <c r="AI95" s="25" t="n">
        <v>11.4872703552246</v>
      </c>
      <c r="AJ95" s="6" t="n">
        <v>100</v>
      </c>
      <c r="AK95" s="6" t="n">
        <v>238.2</v>
      </c>
      <c r="AL95" s="26"/>
    </row>
    <row r="96" customFormat="false" ht="15" hidden="false" customHeight="false" outlineLevel="0" collapsed="false">
      <c r="A96" s="6" t="s">
        <v>504</v>
      </c>
      <c r="B96" s="6" t="s">
        <v>3095</v>
      </c>
      <c r="C96" s="6" t="s">
        <v>3083</v>
      </c>
      <c r="D96" s="13" t="n">
        <v>262.9658203125</v>
      </c>
      <c r="E96" s="25" t="n">
        <v>7.98404026031494</v>
      </c>
      <c r="F96" s="25" t="n">
        <v>24.3262138366699</v>
      </c>
      <c r="G96" s="25" t="n">
        <v>14.6214962005615</v>
      </c>
      <c r="H96" s="25" t="n">
        <v>4.00017309188843</v>
      </c>
      <c r="I96" s="25" t="n">
        <v>3.77110481262207</v>
      </c>
      <c r="J96" s="25" t="n">
        <v>3.4296591796875</v>
      </c>
      <c r="K96" s="25" t="n">
        <v>3.237828125</v>
      </c>
      <c r="L96" s="25" t="n">
        <v>7.06793798828125</v>
      </c>
      <c r="M96" s="25" t="n">
        <v>0</v>
      </c>
      <c r="N96" s="25" t="n">
        <v>142.516067504883</v>
      </c>
      <c r="O96" s="25" t="n">
        <v>141.546005249023</v>
      </c>
      <c r="P96" s="25" t="n">
        <v>127.6484375</v>
      </c>
      <c r="Q96" s="25" t="n">
        <v>181.471130371094</v>
      </c>
      <c r="R96" s="25" t="n">
        <v>48.9916839599609</v>
      </c>
      <c r="S96" s="25" t="n">
        <v>1.69773018360138</v>
      </c>
      <c r="T96" s="25" t="n">
        <v>1.59075272083283</v>
      </c>
      <c r="U96" s="25" t="n">
        <v>0.192952677607536</v>
      </c>
      <c r="V96" s="25" t="n">
        <v>22.1329727172852</v>
      </c>
      <c r="W96" s="25" t="n">
        <v>1.01024115085602</v>
      </c>
      <c r="X96" s="25" t="n">
        <v>0</v>
      </c>
      <c r="Y96" s="25" t="n">
        <v>303.063659667969</v>
      </c>
      <c r="Z96" s="25" t="n">
        <v>5.3069863319397</v>
      </c>
      <c r="AA96" s="25" t="n">
        <v>4.09588527679443</v>
      </c>
      <c r="AB96" s="25" t="n">
        <v>1.9886828660965</v>
      </c>
      <c r="AC96" s="25" t="n">
        <v>0.142615154385567</v>
      </c>
      <c r="AD96" s="25" t="n">
        <v>0.0756646692752838</v>
      </c>
      <c r="AE96" s="25" t="n">
        <v>0.845480799674988</v>
      </c>
      <c r="AF96" s="25" t="n">
        <v>0.421175271272659</v>
      </c>
      <c r="AG96" s="25" t="n">
        <v>0.10491356253624</v>
      </c>
      <c r="AH96" s="25" t="n">
        <v>5.43274068832398</v>
      </c>
      <c r="AI96" s="25" t="n">
        <v>34.1111564636231</v>
      </c>
      <c r="AJ96" s="6" t="n">
        <v>85</v>
      </c>
      <c r="AK96" s="6" t="n">
        <v>223.6</v>
      </c>
      <c r="AL96" s="26"/>
    </row>
    <row r="97" customFormat="false" ht="15" hidden="false" customHeight="false" outlineLevel="0" collapsed="false">
      <c r="A97" s="6" t="s">
        <v>3096</v>
      </c>
      <c r="B97" s="6" t="s">
        <v>3097</v>
      </c>
      <c r="C97" s="6" t="s">
        <v>3083</v>
      </c>
      <c r="D97" s="13" t="n">
        <v>216.492095947266</v>
      </c>
      <c r="E97" s="25" t="n">
        <v>5.54474258422852</v>
      </c>
      <c r="F97" s="25" t="n">
        <v>21.3892707824707</v>
      </c>
      <c r="G97" s="25" t="n">
        <v>12.08664894104</v>
      </c>
      <c r="H97" s="25" t="n">
        <v>4.39385032653809</v>
      </c>
      <c r="I97" s="25" t="n">
        <v>1.31196010112763</v>
      </c>
      <c r="J97" s="25" t="n">
        <v>1.47846618652344</v>
      </c>
      <c r="K97" s="25" t="n">
        <v>2.41497265625</v>
      </c>
      <c r="L97" s="25" t="n">
        <v>7.50721240234375</v>
      </c>
      <c r="M97" s="25" t="n">
        <v>0</v>
      </c>
      <c r="N97" s="25" t="n">
        <v>177.188049316406</v>
      </c>
      <c r="O97" s="25" t="n">
        <v>251.932632446289</v>
      </c>
      <c r="P97" s="25" t="n">
        <v>33.0741348266602</v>
      </c>
      <c r="Q97" s="25" t="n">
        <v>101.723983764648</v>
      </c>
      <c r="R97" s="25" t="n">
        <v>53.3009300231934</v>
      </c>
      <c r="S97" s="25" t="n">
        <v>1.85470163822174</v>
      </c>
      <c r="T97" s="25" t="n">
        <v>0.901021301746368</v>
      </c>
      <c r="U97" s="25" t="n">
        <v>0.181094273924828</v>
      </c>
      <c r="V97" s="25" t="n">
        <v>11.7054243087769</v>
      </c>
      <c r="W97" s="25" t="n">
        <v>1.06138801574707</v>
      </c>
      <c r="X97" s="25" t="n">
        <v>0</v>
      </c>
      <c r="Y97" s="25" t="n">
        <v>2059.79028320313</v>
      </c>
      <c r="Z97" s="25" t="n">
        <v>6.01543235778809</v>
      </c>
      <c r="AA97" s="25" t="n">
        <v>68.840576171875</v>
      </c>
      <c r="AB97" s="25" t="n">
        <v>8.08249855041504</v>
      </c>
      <c r="AC97" s="25" t="n">
        <v>0.177955269813538</v>
      </c>
      <c r="AD97" s="25" t="n">
        <v>0.0757051408290863</v>
      </c>
      <c r="AE97" s="25" t="n">
        <v>0.847804963588715</v>
      </c>
      <c r="AF97" s="25" t="n">
        <v>0.406666934490204</v>
      </c>
      <c r="AG97" s="25" t="n">
        <v>0.153880819678307</v>
      </c>
      <c r="AH97" s="25" t="n">
        <v>2.28638291358948</v>
      </c>
      <c r="AI97" s="25" t="n">
        <v>61.4130973815918</v>
      </c>
      <c r="AJ97" s="6" t="n">
        <v>82.3</v>
      </c>
      <c r="AK97" s="6" t="n">
        <v>178.1</v>
      </c>
      <c r="AL97" s="26"/>
    </row>
    <row r="98" customFormat="false" ht="15" hidden="false" customHeight="false" outlineLevel="0" collapsed="false">
      <c r="A98" s="6" t="s">
        <v>575</v>
      </c>
      <c r="B98" s="6" t="s">
        <v>3098</v>
      </c>
      <c r="C98" s="6" t="s">
        <v>3099</v>
      </c>
      <c r="D98" s="13" t="n">
        <v>737.634643554688</v>
      </c>
      <c r="E98" s="25" t="n">
        <v>1.35468375682831</v>
      </c>
      <c r="F98" s="25" t="n">
        <v>8.22033596038818</v>
      </c>
      <c r="G98" s="25" t="n">
        <v>77.6057662963867</v>
      </c>
      <c r="H98" s="25" t="n">
        <v>1.45524418354034</v>
      </c>
      <c r="I98" s="25" t="n">
        <v>0.230584472417831</v>
      </c>
      <c r="J98" s="25" t="n">
        <v>9.623955078125</v>
      </c>
      <c r="K98" s="25" t="n">
        <v>15.9403046875</v>
      </c>
      <c r="L98" s="25" t="n">
        <v>48.77758203125</v>
      </c>
      <c r="M98" s="25" t="n">
        <v>1.57566058635712</v>
      </c>
      <c r="N98" s="25" t="n">
        <v>31.7329063415527</v>
      </c>
      <c r="O98" s="25" t="n">
        <v>39.9111289978027</v>
      </c>
      <c r="P98" s="25" t="n">
        <v>3.97790241241455</v>
      </c>
      <c r="Q98" s="25" t="n">
        <v>40.3530807495117</v>
      </c>
      <c r="R98" s="25" t="n">
        <v>16.073657989502</v>
      </c>
      <c r="S98" s="25" t="n">
        <v>0.602321863174439</v>
      </c>
      <c r="T98" s="25" t="n">
        <v>0.365172147750855</v>
      </c>
      <c r="U98" s="25" t="n">
        <v>0.0692393928766251</v>
      </c>
      <c r="V98" s="25" t="n">
        <v>6.80480337142944</v>
      </c>
      <c r="W98" s="25" t="n">
        <v>0.381745398044586</v>
      </c>
      <c r="X98" s="25" t="n">
        <v>5.90552473068237</v>
      </c>
      <c r="Y98" s="25" t="n">
        <v>48.313850402832</v>
      </c>
      <c r="Z98" s="25" t="n">
        <v>37.901424407959</v>
      </c>
      <c r="AA98" s="25" t="n">
        <v>5.03442764282227</v>
      </c>
      <c r="AB98" s="25" t="n">
        <v>0</v>
      </c>
      <c r="AC98" s="25" t="n">
        <v>0.0538030415773392</v>
      </c>
      <c r="AD98" s="25" t="n">
        <v>0.0192153714597225</v>
      </c>
      <c r="AE98" s="25" t="n">
        <v>0.303602874279022</v>
      </c>
      <c r="AF98" s="25" t="n">
        <v>0.111449159681797</v>
      </c>
      <c r="AG98" s="25" t="n">
        <v>0.032025620341301</v>
      </c>
      <c r="AH98" s="25" t="n">
        <v>0.0973578840494156</v>
      </c>
      <c r="AI98" s="25" t="n">
        <v>3.74315452575684</v>
      </c>
      <c r="AJ98" s="6" t="n">
        <v>124.9</v>
      </c>
      <c r="AK98" s="6" t="n">
        <v>921.3</v>
      </c>
      <c r="AL98" s="26" t="s">
        <v>3100</v>
      </c>
    </row>
    <row r="99" customFormat="false" ht="15" hidden="false" customHeight="false" outlineLevel="0" collapsed="false">
      <c r="A99" s="6" t="s">
        <v>3101</v>
      </c>
      <c r="B99" s="6" t="s">
        <v>3102</v>
      </c>
      <c r="C99" s="6" t="s">
        <v>3099</v>
      </c>
      <c r="D99" s="13" t="n">
        <v>684.25439453125</v>
      </c>
      <c r="E99" s="25" t="n">
        <v>1.42185187339783</v>
      </c>
      <c r="F99" s="25" t="n">
        <v>7.75718498229981</v>
      </c>
      <c r="G99" s="25" t="n">
        <v>71.8577041625977</v>
      </c>
      <c r="H99" s="25" t="n">
        <v>1.54844450950623</v>
      </c>
      <c r="I99" s="25" t="n">
        <v>0.23644445836544</v>
      </c>
      <c r="J99" s="25" t="n">
        <v>8.919318359375</v>
      </c>
      <c r="K99" s="25" t="n">
        <v>14.7532841796875</v>
      </c>
      <c r="L99" s="25" t="n">
        <v>45.15608203125</v>
      </c>
      <c r="M99" s="25" t="n">
        <v>1.45777785778046</v>
      </c>
      <c r="N99" s="25" t="n">
        <v>35.4736289978027</v>
      </c>
      <c r="O99" s="25" t="n">
        <v>84.6659240722656</v>
      </c>
      <c r="P99" s="25" t="n">
        <v>10.0202960968018</v>
      </c>
      <c r="Q99" s="25" t="n">
        <v>39.9703712463379</v>
      </c>
      <c r="R99" s="25" t="n">
        <v>21.4237041473389</v>
      </c>
      <c r="S99" s="25" t="n">
        <v>0.788592576980591</v>
      </c>
      <c r="T99" s="25" t="n">
        <v>0.375111103057861</v>
      </c>
      <c r="U99" s="25" t="n">
        <v>0.0773925930261612</v>
      </c>
      <c r="V99" s="25" t="n">
        <v>6.4505181312561</v>
      </c>
      <c r="W99" s="25" t="n">
        <v>0.437407404184341</v>
      </c>
      <c r="X99" s="25" t="n">
        <v>5.46370363235474</v>
      </c>
      <c r="Y99" s="25" t="n">
        <v>765.506652832031</v>
      </c>
      <c r="Z99" s="25" t="n">
        <v>35.1613922119141</v>
      </c>
      <c r="AA99" s="25" t="n">
        <v>28.8101482391357</v>
      </c>
      <c r="AB99" s="25" t="n">
        <v>2.24370384216309</v>
      </c>
      <c r="AC99" s="25" t="n">
        <v>0.0618148148059845</v>
      </c>
      <c r="AD99" s="25" t="n">
        <v>0.0258814804255962</v>
      </c>
      <c r="AE99" s="25" t="n">
        <v>0.313925921916962</v>
      </c>
      <c r="AF99" s="25" t="n">
        <v>0.120066665112972</v>
      </c>
      <c r="AG99" s="25" t="n">
        <v>0.0422962978482246</v>
      </c>
      <c r="AH99" s="25" t="n">
        <v>0.396740734577179</v>
      </c>
      <c r="AI99" s="25" t="n">
        <v>14.0023698806763</v>
      </c>
      <c r="AJ99" s="6" t="n">
        <v>135</v>
      </c>
      <c r="AK99" s="6" t="n">
        <v>923.7</v>
      </c>
      <c r="AL99" s="26" t="s">
        <v>3100</v>
      </c>
    </row>
    <row r="100" customFormat="false" ht="15" hidden="false" customHeight="false" outlineLevel="0" collapsed="false">
      <c r="A100" s="6" t="s">
        <v>3103</v>
      </c>
      <c r="B100" s="6" t="s">
        <v>3104</v>
      </c>
      <c r="C100" s="6" t="s">
        <v>3099</v>
      </c>
      <c r="D100" s="13" t="n">
        <v>710.020324707031</v>
      </c>
      <c r="E100" s="25" t="n">
        <v>1.45346164703369</v>
      </c>
      <c r="F100" s="25" t="n">
        <v>7.98130750656128</v>
      </c>
      <c r="G100" s="25" t="n">
        <v>74.6041488647461</v>
      </c>
      <c r="H100" s="25" t="n">
        <v>1.61338472366333</v>
      </c>
      <c r="I100" s="25" t="n">
        <v>0.260923087596893</v>
      </c>
      <c r="J100" s="25" t="n">
        <v>9.2559462890625</v>
      </c>
      <c r="K100" s="25" t="n">
        <v>15.3181982421875</v>
      </c>
      <c r="L100" s="25" t="n">
        <v>46.88727734375</v>
      </c>
      <c r="M100" s="25" t="n">
        <v>1.51384615898132</v>
      </c>
      <c r="N100" s="25" t="n">
        <v>35.3730010986328</v>
      </c>
      <c r="O100" s="25" t="n">
        <v>48.5376930236816</v>
      </c>
      <c r="P100" s="25" t="n">
        <v>14.6141538619995</v>
      </c>
      <c r="Q100" s="25" t="n">
        <v>41.0411529541016</v>
      </c>
      <c r="R100" s="25" t="n">
        <v>18.0065383911133</v>
      </c>
      <c r="S100" s="25" t="n">
        <v>0.810846149921417</v>
      </c>
      <c r="T100" s="25" t="n">
        <v>0.374923080205917</v>
      </c>
      <c r="U100" s="25" t="n">
        <v>0.0742153823375702</v>
      </c>
      <c r="V100" s="25" t="n">
        <v>6.58746147155762</v>
      </c>
      <c r="W100" s="25" t="n">
        <v>0.4003846347332</v>
      </c>
      <c r="X100" s="25" t="n">
        <v>5.67384624481201</v>
      </c>
      <c r="Y100" s="25" t="n">
        <v>550.679992675781</v>
      </c>
      <c r="Z100" s="25" t="n">
        <v>36.4283676147461</v>
      </c>
      <c r="AA100" s="25" t="n">
        <v>21.379768371582</v>
      </c>
      <c r="AB100" s="25" t="n">
        <v>2.2411539554596</v>
      </c>
      <c r="AC100" s="25" t="n">
        <v>0.056115385144949</v>
      </c>
      <c r="AD100" s="25" t="n">
        <v>0.0276461541652679</v>
      </c>
      <c r="AE100" s="25" t="n">
        <v>0.327538460493088</v>
      </c>
      <c r="AF100" s="25" t="n">
        <v>0.126607686281204</v>
      </c>
      <c r="AG100" s="25" t="n">
        <v>0.0469999983906746</v>
      </c>
      <c r="AH100" s="25" t="n">
        <v>0.278923094272614</v>
      </c>
      <c r="AI100" s="25" t="n">
        <v>6.51246166229248</v>
      </c>
      <c r="AJ100" s="6" t="n">
        <v>130</v>
      </c>
      <c r="AK100" s="6" t="n">
        <v>923</v>
      </c>
      <c r="AL100" s="26" t="s">
        <v>3100</v>
      </c>
    </row>
    <row r="101" customFormat="false" ht="15" hidden="false" customHeight="false" outlineLevel="0" collapsed="false">
      <c r="A101" s="6" t="s">
        <v>3105</v>
      </c>
      <c r="B101" s="6" t="s">
        <v>3106</v>
      </c>
      <c r="C101" s="6" t="s">
        <v>3099</v>
      </c>
      <c r="D101" s="13" t="n">
        <v>785.162841796875</v>
      </c>
      <c r="E101" s="25" t="n">
        <v>2.07534885406494</v>
      </c>
      <c r="F101" s="25" t="n">
        <v>10.1372003555298</v>
      </c>
      <c r="G101" s="25" t="n">
        <v>81.6853332519531</v>
      </c>
      <c r="H101" s="25" t="n">
        <v>1.96443283557892</v>
      </c>
      <c r="I101" s="25" t="n">
        <v>0.29367408156395</v>
      </c>
      <c r="J101" s="25" t="n">
        <v>10.132771484375</v>
      </c>
      <c r="K101" s="25" t="n">
        <v>16.7696796875</v>
      </c>
      <c r="L101" s="25" t="n">
        <v>51.32212109375</v>
      </c>
      <c r="M101" s="25" t="n">
        <v>1.65678882598877</v>
      </c>
      <c r="N101" s="25" t="n">
        <v>128.179504394531</v>
      </c>
      <c r="O101" s="25" t="n">
        <v>81.9360733032227</v>
      </c>
      <c r="P101" s="25" t="n">
        <v>6.88453245162964</v>
      </c>
      <c r="Q101" s="25" t="n">
        <v>53.3735504150391</v>
      </c>
      <c r="R101" s="25" t="n">
        <v>22.7410793304443</v>
      </c>
      <c r="S101" s="25" t="n">
        <v>0.828906238079071</v>
      </c>
      <c r="T101" s="25" t="n">
        <v>0.4739710688591</v>
      </c>
      <c r="U101" s="25" t="n">
        <v>0.0938518643379211</v>
      </c>
      <c r="V101" s="25" t="n">
        <v>7.761061668396</v>
      </c>
      <c r="W101" s="25" t="n">
        <v>0.510367751121521</v>
      </c>
      <c r="X101" s="25" t="n">
        <v>6.20959091186523</v>
      </c>
      <c r="Y101" s="25" t="n">
        <v>82.4378509521484</v>
      </c>
      <c r="Z101" s="25" t="n">
        <v>39.8633499145508</v>
      </c>
      <c r="AA101" s="25" t="n">
        <v>6.0763750076294</v>
      </c>
      <c r="AB101" s="25" t="n">
        <v>0.356776833534241</v>
      </c>
      <c r="AC101" s="25" t="n">
        <v>0.0633086934685707</v>
      </c>
      <c r="AD101" s="25" t="n">
        <v>0.0245297346264124</v>
      </c>
      <c r="AE101" s="25" t="n">
        <v>0.385129809379578</v>
      </c>
      <c r="AF101" s="25" t="n">
        <v>0.197101294994354</v>
      </c>
      <c r="AG101" s="25" t="n">
        <v>0.0451535545289516</v>
      </c>
      <c r="AH101" s="25" t="n">
        <v>0.142615333199501</v>
      </c>
      <c r="AI101" s="25" t="n">
        <v>6.44355297088623</v>
      </c>
      <c r="AJ101" s="6" t="n">
        <v>118.8</v>
      </c>
      <c r="AK101" s="6" t="n">
        <v>932.6</v>
      </c>
      <c r="AL101" s="26" t="s">
        <v>3100</v>
      </c>
    </row>
    <row r="102" customFormat="false" ht="15" hidden="false" customHeight="false" outlineLevel="0" collapsed="false">
      <c r="A102" s="6" t="s">
        <v>3107</v>
      </c>
      <c r="B102" s="6" t="s">
        <v>3108</v>
      </c>
      <c r="C102" s="6" t="s">
        <v>3099</v>
      </c>
      <c r="D102" s="13" t="n">
        <v>776.738159179688</v>
      </c>
      <c r="E102" s="25" t="n">
        <v>1.52139270305634</v>
      </c>
      <c r="F102" s="25" t="n">
        <v>9.40083885192871</v>
      </c>
      <c r="G102" s="25" t="n">
        <v>81.3530197143555</v>
      </c>
      <c r="H102" s="25" t="n">
        <v>1.64010071754456</v>
      </c>
      <c r="I102" s="25" t="n">
        <v>0.263758391141892</v>
      </c>
      <c r="J102" s="25" t="n">
        <v>10.0884169921875</v>
      </c>
      <c r="K102" s="25" t="n">
        <v>16.705939453125</v>
      </c>
      <c r="L102" s="25" t="n">
        <v>51.12328125</v>
      </c>
      <c r="M102" s="25" t="n">
        <v>1.6510066986084</v>
      </c>
      <c r="N102" s="25" t="n">
        <v>69.8640975952148</v>
      </c>
      <c r="O102" s="25" t="n">
        <v>71.9781875610352</v>
      </c>
      <c r="P102" s="25" t="n">
        <v>5.57013416290283</v>
      </c>
      <c r="Q102" s="25" t="n">
        <v>45.0479850769043</v>
      </c>
      <c r="R102" s="25" t="n">
        <v>18.5194625854492</v>
      </c>
      <c r="S102" s="25" t="n">
        <v>0.70192950963974</v>
      </c>
      <c r="T102" s="25" t="n">
        <v>0.403607368469238</v>
      </c>
      <c r="U102" s="25" t="n">
        <v>0.0793456360697746</v>
      </c>
      <c r="V102" s="25" t="n">
        <v>7.16795253753662</v>
      </c>
      <c r="W102" s="25" t="n">
        <v>0.413506716489792</v>
      </c>
      <c r="X102" s="25" t="n">
        <v>6.18791961669922</v>
      </c>
      <c r="Y102" s="25" t="n">
        <v>76.3036880493164</v>
      </c>
      <c r="Z102" s="25" t="n">
        <v>39.7168464660645</v>
      </c>
      <c r="AA102" s="25" t="n">
        <v>5.47055387496948</v>
      </c>
      <c r="AB102" s="25" t="n">
        <v>1.16610741615295</v>
      </c>
      <c r="AC102" s="25" t="n">
        <v>0.0598993264138699</v>
      </c>
      <c r="AD102" s="25" t="n">
        <v>0.0217030197381973</v>
      </c>
      <c r="AE102" s="25" t="n">
        <v>0.382298648357391</v>
      </c>
      <c r="AF102" s="25" t="n">
        <v>0.136652678251267</v>
      </c>
      <c r="AG102" s="25" t="n">
        <v>0.0403523482382298</v>
      </c>
      <c r="AH102" s="25" t="n">
        <v>0.169966444373131</v>
      </c>
      <c r="AI102" s="25" t="n">
        <v>4.72634220123291</v>
      </c>
      <c r="AJ102" s="6" t="n">
        <v>119.2</v>
      </c>
      <c r="AK102" s="6" t="n">
        <v>925.9</v>
      </c>
      <c r="AL102" s="26" t="s">
        <v>3100</v>
      </c>
    </row>
    <row r="103" customFormat="false" ht="15" hidden="false" customHeight="false" outlineLevel="0" collapsed="false">
      <c r="A103" s="6" t="s">
        <v>3109</v>
      </c>
      <c r="B103" s="6" t="s">
        <v>3110</v>
      </c>
      <c r="C103" s="6" t="s">
        <v>3083</v>
      </c>
      <c r="D103" s="13" t="n">
        <v>295.370056152344</v>
      </c>
      <c r="E103" s="25" t="n">
        <v>5.07964086532593</v>
      </c>
      <c r="F103" s="25" t="n">
        <v>30.7401180267334</v>
      </c>
      <c r="G103" s="25" t="n">
        <v>16.5125751495361</v>
      </c>
      <c r="H103" s="25" t="n">
        <v>5.44191646575928</v>
      </c>
      <c r="I103" s="25" t="n">
        <v>0.86227548122406</v>
      </c>
      <c r="J103" s="25" t="n">
        <v>9.5438330078125</v>
      </c>
      <c r="K103" s="25" t="n">
        <v>4.22646728515625</v>
      </c>
      <c r="L103" s="25" t="n">
        <v>1.09269458007813</v>
      </c>
      <c r="M103" s="25" t="n">
        <v>39.7724533081055</v>
      </c>
      <c r="N103" s="25" t="n">
        <v>1.13892209529877</v>
      </c>
      <c r="O103" s="25" t="n">
        <v>148.982040405273</v>
      </c>
      <c r="P103" s="25" t="n">
        <v>14.9832344055176</v>
      </c>
      <c r="Q103" s="25" t="n">
        <v>150.898208618164</v>
      </c>
      <c r="R103" s="25" t="n">
        <v>59.880241394043</v>
      </c>
      <c r="S103" s="25" t="n">
        <v>1.96407186985016</v>
      </c>
      <c r="T103" s="25" t="n">
        <v>1.36526942253113</v>
      </c>
      <c r="U103" s="25" t="n">
        <v>0.229940116405487</v>
      </c>
      <c r="V103" s="25" t="n">
        <v>25.446704864502</v>
      </c>
      <c r="W103" s="25" t="n">
        <v>1.4275449514389</v>
      </c>
      <c r="X103" s="25" t="n">
        <v>149.065872192383</v>
      </c>
      <c r="Y103" s="25" t="n">
        <v>437.251495361328</v>
      </c>
      <c r="Z103" s="25" t="n">
        <v>1.05580842494965</v>
      </c>
      <c r="AA103" s="25" t="n">
        <v>0.71856290102005</v>
      </c>
      <c r="AB103" s="25" t="n">
        <v>0</v>
      </c>
      <c r="AC103" s="25" t="n">
        <v>0.201197609305382</v>
      </c>
      <c r="AD103" s="25" t="n">
        <v>0.0718562826514244</v>
      </c>
      <c r="AE103" s="25" t="n">
        <v>1.13532936573029</v>
      </c>
      <c r="AF103" s="25" t="n">
        <v>0.416766464710236</v>
      </c>
      <c r="AG103" s="25" t="n">
        <v>0.119760483503342</v>
      </c>
      <c r="AH103" s="25" t="n">
        <v>0.364071846008301</v>
      </c>
      <c r="AI103" s="25" t="n">
        <v>13.9976043701172</v>
      </c>
      <c r="AJ103" s="6" t="n">
        <v>55.7</v>
      </c>
      <c r="AK103" s="6" t="n">
        <v>164.4</v>
      </c>
      <c r="AL103" s="26"/>
    </row>
    <row r="104" customFormat="false" ht="15" hidden="false" customHeight="false" outlineLevel="0" collapsed="false">
      <c r="A104" s="6" t="s">
        <v>856</v>
      </c>
      <c r="B104" s="6" t="s">
        <v>3111</v>
      </c>
      <c r="C104" s="6" t="s">
        <v>3112</v>
      </c>
      <c r="D104" s="13" t="n">
        <v>117.189666748047</v>
      </c>
      <c r="E104" s="25" t="n">
        <v>2.60333323478699</v>
      </c>
      <c r="F104" s="25" t="n">
        <v>25.7200012207031</v>
      </c>
      <c r="G104" s="25" t="n">
        <v>0.183333337306976</v>
      </c>
      <c r="H104" s="25" t="n">
        <v>1.24666666984558</v>
      </c>
      <c r="I104" s="25" t="n">
        <v>0.223333343863487</v>
      </c>
      <c r="J104" s="25" t="n">
        <v>0.05</v>
      </c>
      <c r="K104" s="25" t="n">
        <v>0.0288866672515869</v>
      </c>
      <c r="L104" s="25" t="n">
        <v>0.072</v>
      </c>
      <c r="M104" s="25" t="n">
        <v>0</v>
      </c>
      <c r="N104" s="25" t="n">
        <v>1.05333340167999</v>
      </c>
      <c r="O104" s="25" t="n">
        <v>47.3333320617676</v>
      </c>
      <c r="P104" s="25" t="n">
        <v>2.70333313941956</v>
      </c>
      <c r="Q104" s="25" t="n">
        <v>46.6666679382324</v>
      </c>
      <c r="R104" s="25" t="n">
        <v>8.90666675567627</v>
      </c>
      <c r="S104" s="25" t="n">
        <v>0.240000009536743</v>
      </c>
      <c r="T104" s="25" t="n">
        <v>0.360000014305115</v>
      </c>
      <c r="U104" s="25" t="n">
        <v>0.0900000035762787</v>
      </c>
      <c r="V104" s="25" t="n">
        <v>0.396666675806046</v>
      </c>
      <c r="W104" s="25" t="n">
        <v>0.263333350419998</v>
      </c>
      <c r="X104" s="25" t="n">
        <v>0</v>
      </c>
      <c r="Y104" s="25" t="n">
        <v>15.6333341598511</v>
      </c>
      <c r="Z104" s="25" t="n">
        <v>0.0300000011920929</v>
      </c>
      <c r="AA104" s="25" t="n">
        <v>0.5</v>
      </c>
      <c r="AB104" s="25" t="n">
        <v>0</v>
      </c>
      <c r="AC104" s="25" t="n">
        <v>0.0566666685044766</v>
      </c>
      <c r="AD104" s="25" t="n">
        <v>0.0199999995529652</v>
      </c>
      <c r="AE104" s="25" t="n">
        <v>0.836666643619537</v>
      </c>
      <c r="AF104" s="25" t="n">
        <v>0.183333337306976</v>
      </c>
      <c r="AG104" s="25" t="n">
        <v>0.0733333304524422</v>
      </c>
      <c r="AH104" s="25" t="n">
        <v>0.103333331644535</v>
      </c>
      <c r="AI104" s="25" t="n">
        <v>3.25</v>
      </c>
      <c r="AJ104" s="6" t="n">
        <v>300</v>
      </c>
      <c r="AK104" s="6" t="n">
        <v>351.6</v>
      </c>
      <c r="AL104" s="26"/>
    </row>
    <row r="105" customFormat="false" ht="15" hidden="false" customHeight="false" outlineLevel="0" collapsed="false">
      <c r="A105" s="6" t="s">
        <v>3113</v>
      </c>
      <c r="B105" s="6" t="s">
        <v>3114</v>
      </c>
      <c r="C105" s="6" t="s">
        <v>3112</v>
      </c>
      <c r="D105" s="13" t="n">
        <v>140.207916259766</v>
      </c>
      <c r="E105" s="25" t="n">
        <v>2.33864903450012</v>
      </c>
      <c r="F105" s="25" t="n">
        <v>21.8161087036133</v>
      </c>
      <c r="G105" s="25" t="n">
        <v>4.62206888198853</v>
      </c>
      <c r="H105" s="25" t="n">
        <v>1.68549859523773</v>
      </c>
      <c r="I105" s="25" t="n">
        <v>1.14546930789948</v>
      </c>
      <c r="J105" s="25" t="n">
        <v>0.5852744140625</v>
      </c>
      <c r="K105" s="25" t="n">
        <v>0.946977294921875</v>
      </c>
      <c r="L105" s="25" t="n">
        <v>2.86553759765625</v>
      </c>
      <c r="M105" s="25" t="n">
        <v>0</v>
      </c>
      <c r="N105" s="25" t="n">
        <v>193.761367797852</v>
      </c>
      <c r="O105" s="25" t="n">
        <v>74.7385482788086</v>
      </c>
      <c r="P105" s="25" t="n">
        <v>12.756739616394</v>
      </c>
      <c r="Q105" s="25" t="n">
        <v>42.9280624389648</v>
      </c>
      <c r="R105" s="25" t="n">
        <v>12.3046436309815</v>
      </c>
      <c r="S105" s="25" t="n">
        <v>0.407226353883743</v>
      </c>
      <c r="T105" s="25" t="n">
        <v>0.3651023209095</v>
      </c>
      <c r="U105" s="25" t="n">
        <v>0.0944397523999214</v>
      </c>
      <c r="V105" s="25" t="n">
        <v>0.40134784579277</v>
      </c>
      <c r="W105" s="25" t="n">
        <v>0.468041598796845</v>
      </c>
      <c r="X105" s="25" t="n">
        <v>0</v>
      </c>
      <c r="Y105" s="25" t="n">
        <v>35.3718757629395</v>
      </c>
      <c r="Z105" s="25" t="n">
        <v>2.19503092765808</v>
      </c>
      <c r="AA105" s="25" t="n">
        <v>2.00591111183167</v>
      </c>
      <c r="AB105" s="25" t="n">
        <v>1.11237418651581</v>
      </c>
      <c r="AC105" s="25" t="n">
        <v>0.0525300428271294</v>
      </c>
      <c r="AD105" s="25" t="n">
        <v>0.0186683982610703</v>
      </c>
      <c r="AE105" s="25" t="n">
        <v>0.721565425395966</v>
      </c>
      <c r="AF105" s="25" t="n">
        <v>0.194170191884041</v>
      </c>
      <c r="AG105" s="25" t="n">
        <v>0.0749269276857376</v>
      </c>
      <c r="AH105" s="25" t="n">
        <v>0.517976582050324</v>
      </c>
      <c r="AI105" s="25" t="n">
        <v>7.3490743637085</v>
      </c>
      <c r="AJ105" s="6" t="n">
        <v>307.9</v>
      </c>
      <c r="AK105" s="6" t="n">
        <v>431.7</v>
      </c>
      <c r="AL105" s="26"/>
    </row>
    <row r="106" customFormat="false" ht="15" hidden="false" customHeight="false" outlineLevel="0" collapsed="false">
      <c r="A106" s="6" t="s">
        <v>872</v>
      </c>
      <c r="B106" s="6" t="s">
        <v>3115</v>
      </c>
      <c r="C106" s="6" t="s">
        <v>3112</v>
      </c>
      <c r="D106" s="13" t="n">
        <v>113.049438476563</v>
      </c>
      <c r="E106" s="25" t="n">
        <v>2.72278738021851</v>
      </c>
      <c r="F106" s="25" t="n">
        <v>17.489917755127</v>
      </c>
      <c r="G106" s="25" t="n">
        <v>3.32763457298279</v>
      </c>
      <c r="H106" s="25" t="n">
        <v>2.66734719276428</v>
      </c>
      <c r="I106" s="25" t="n">
        <v>1.35193884372711</v>
      </c>
      <c r="J106" s="25" t="n">
        <v>0.427796539306641</v>
      </c>
      <c r="K106" s="25" t="n">
        <v>0.671573425292969</v>
      </c>
      <c r="L106" s="25" t="n">
        <v>2.058533203125</v>
      </c>
      <c r="M106" s="25" t="n">
        <v>0</v>
      </c>
      <c r="N106" s="25" t="n">
        <v>187.919769287109</v>
      </c>
      <c r="O106" s="25" t="n">
        <v>133.819564819336</v>
      </c>
      <c r="P106" s="25" t="n">
        <v>19.6083488464356</v>
      </c>
      <c r="Q106" s="25" t="n">
        <v>44.5838279724121</v>
      </c>
      <c r="R106" s="25" t="n">
        <v>17.6049270629883</v>
      </c>
      <c r="S106" s="25" t="n">
        <v>0.60204154253006</v>
      </c>
      <c r="T106" s="25" t="n">
        <v>0.434682935476303</v>
      </c>
      <c r="U106" s="25" t="n">
        <v>0.105424270033836</v>
      </c>
      <c r="V106" s="25" t="n">
        <v>0.492871820926666</v>
      </c>
      <c r="W106" s="25" t="n">
        <v>0.425889611244202</v>
      </c>
      <c r="X106" s="25" t="n">
        <v>0</v>
      </c>
      <c r="Y106" s="25" t="n">
        <v>1340.12548828125</v>
      </c>
      <c r="Z106" s="25" t="n">
        <v>1.59568881988525</v>
      </c>
      <c r="AA106" s="25" t="n">
        <v>9.58102226257324</v>
      </c>
      <c r="AB106" s="25" t="n">
        <v>5.96464443206787</v>
      </c>
      <c r="AC106" s="25" t="n">
        <v>0.0756706222891808</v>
      </c>
      <c r="AD106" s="25" t="n">
        <v>0.0233759116381407</v>
      </c>
      <c r="AE106" s="25" t="n">
        <v>0.730542838573456</v>
      </c>
      <c r="AF106" s="25" t="n">
        <v>0.266617238521576</v>
      </c>
      <c r="AG106" s="25" t="n">
        <v>0.116947993636131</v>
      </c>
      <c r="AH106" s="25" t="n">
        <v>1.40142560005188</v>
      </c>
      <c r="AI106" s="25" t="n">
        <v>18.391149520874</v>
      </c>
      <c r="AJ106" s="6" t="n">
        <v>438.4</v>
      </c>
      <c r="AK106" s="6" t="n">
        <v>495.6</v>
      </c>
      <c r="AL106" s="26"/>
    </row>
    <row r="107" customFormat="false" ht="15" hidden="false" customHeight="false" outlineLevel="0" collapsed="false">
      <c r="A107" s="6" t="s">
        <v>3116</v>
      </c>
      <c r="B107" s="6" t="s">
        <v>3117</v>
      </c>
      <c r="C107" s="6" t="s">
        <v>3112</v>
      </c>
      <c r="D107" s="13" t="n">
        <v>124.28645324707</v>
      </c>
      <c r="E107" s="25" t="n">
        <v>2.52251672744751</v>
      </c>
      <c r="F107" s="25" t="n">
        <v>19.0183601379395</v>
      </c>
      <c r="G107" s="25" t="n">
        <v>4.02939462661743</v>
      </c>
      <c r="H107" s="25" t="n">
        <v>1.88187777996063</v>
      </c>
      <c r="I107" s="25" t="n">
        <v>0.998018980026245</v>
      </c>
      <c r="J107" s="25" t="n">
        <v>0.511580627441406</v>
      </c>
      <c r="K107" s="25" t="n">
        <v>0.814495788574219</v>
      </c>
      <c r="L107" s="25" t="n">
        <v>2.49846264648438</v>
      </c>
      <c r="M107" s="25" t="n">
        <v>0</v>
      </c>
      <c r="N107" s="25" t="n">
        <v>222.363632202148</v>
      </c>
      <c r="O107" s="25" t="n">
        <v>108.695594787598</v>
      </c>
      <c r="P107" s="25" t="n">
        <v>13.5373888015747</v>
      </c>
      <c r="Q107" s="25" t="n">
        <v>49.0333442687988</v>
      </c>
      <c r="R107" s="25" t="n">
        <v>13.2299098968506</v>
      </c>
      <c r="S107" s="25" t="n">
        <v>0.390722662210465</v>
      </c>
      <c r="T107" s="25" t="n">
        <v>0.337513953447342</v>
      </c>
      <c r="U107" s="25" t="n">
        <v>0.0938002243638039</v>
      </c>
      <c r="V107" s="25" t="n">
        <v>0.34479632973671</v>
      </c>
      <c r="W107" s="25" t="n">
        <v>0.423018991947174</v>
      </c>
      <c r="X107" s="25" t="n">
        <v>0</v>
      </c>
      <c r="Y107" s="25" t="n">
        <v>30.3878345489502</v>
      </c>
      <c r="Z107" s="25" t="n">
        <v>1.88713729381561</v>
      </c>
      <c r="AA107" s="25" t="n">
        <v>3.46713161468506</v>
      </c>
      <c r="AB107" s="25" t="n">
        <v>0.955636143684387</v>
      </c>
      <c r="AC107" s="25" t="n">
        <v>0.0465234406292439</v>
      </c>
      <c r="AD107" s="25" t="n">
        <v>0.0202232133597136</v>
      </c>
      <c r="AE107" s="25" t="n">
        <v>0.714760005474091</v>
      </c>
      <c r="AF107" s="25" t="n">
        <v>0.226799666881561</v>
      </c>
      <c r="AG107" s="25" t="n">
        <v>0.081110492348671</v>
      </c>
      <c r="AH107" s="25" t="n">
        <v>1.73265898227692</v>
      </c>
      <c r="AI107" s="25" t="n">
        <v>7.46869421005249</v>
      </c>
      <c r="AJ107" s="6" t="n">
        <v>358.4</v>
      </c>
      <c r="AK107" s="6" t="n">
        <v>445.4</v>
      </c>
      <c r="AL107" s="26"/>
    </row>
    <row r="108" customFormat="false" ht="15" hidden="false" customHeight="false" outlineLevel="0" collapsed="false">
      <c r="A108" s="6" t="s">
        <v>3118</v>
      </c>
      <c r="B108" s="6" t="s">
        <v>3119</v>
      </c>
      <c r="C108" s="6" t="s">
        <v>3112</v>
      </c>
      <c r="D108" s="13" t="n">
        <v>112.971473693848</v>
      </c>
      <c r="E108" s="25" t="n">
        <v>2.18820786476135</v>
      </c>
      <c r="F108" s="25" t="n">
        <v>17.491247177124</v>
      </c>
      <c r="G108" s="25" t="n">
        <v>3.60783267021179</v>
      </c>
      <c r="H108" s="25" t="n">
        <v>1.78466534614563</v>
      </c>
      <c r="I108" s="25" t="n">
        <v>1.43218922615051</v>
      </c>
      <c r="J108" s="25" t="n">
        <v>0.464798980712891</v>
      </c>
      <c r="K108" s="25" t="n">
        <v>0.7296513671875</v>
      </c>
      <c r="L108" s="25" t="n">
        <v>2.22014965820313</v>
      </c>
      <c r="M108" s="25" t="n">
        <v>0</v>
      </c>
      <c r="N108" s="25" t="n">
        <v>153.164077758789</v>
      </c>
      <c r="O108" s="25" t="n">
        <v>95.5185089111328</v>
      </c>
      <c r="P108" s="25" t="n">
        <v>16.2596225738525</v>
      </c>
      <c r="Q108" s="25" t="n">
        <v>42.2175788879395</v>
      </c>
      <c r="R108" s="25" t="n">
        <v>13.0549154281616</v>
      </c>
      <c r="S108" s="25" t="n">
        <v>0.650612890720367</v>
      </c>
      <c r="T108" s="25" t="n">
        <v>0.343012988567352</v>
      </c>
      <c r="U108" s="25" t="n">
        <v>0.0823192000389099</v>
      </c>
      <c r="V108" s="25" t="n">
        <v>0.329921543598175</v>
      </c>
      <c r="W108" s="25" t="n">
        <v>0.393748492002487</v>
      </c>
      <c r="X108" s="25" t="n">
        <v>0</v>
      </c>
      <c r="Y108" s="25" t="n">
        <v>1181.7626953125</v>
      </c>
      <c r="Z108" s="25" t="n">
        <v>1.68264281749725</v>
      </c>
      <c r="AA108" s="25" t="n">
        <v>3.76347160339356</v>
      </c>
      <c r="AB108" s="25" t="n">
        <v>1.84726643562317</v>
      </c>
      <c r="AC108" s="25" t="n">
        <v>0.0555871538817883</v>
      </c>
      <c r="AD108" s="25" t="n">
        <v>0.0238980147987604</v>
      </c>
      <c r="AE108" s="25" t="n">
        <v>0.608408927917481</v>
      </c>
      <c r="AF108" s="25" t="n">
        <v>0.212760478258133</v>
      </c>
      <c r="AG108" s="25" t="n">
        <v>0.0786222144961357</v>
      </c>
      <c r="AH108" s="25" t="n">
        <v>0.574859023094177</v>
      </c>
      <c r="AI108" s="25" t="n">
        <v>10.5780334472656</v>
      </c>
      <c r="AJ108" s="6" t="n">
        <v>407.9</v>
      </c>
      <c r="AK108" s="6" t="n">
        <v>460.8</v>
      </c>
      <c r="AL108" s="26"/>
    </row>
    <row r="109" customFormat="false" ht="15" hidden="false" customHeight="false" outlineLevel="0" collapsed="false">
      <c r="A109" s="6" t="s">
        <v>3120</v>
      </c>
      <c r="B109" s="6" t="s">
        <v>3121</v>
      </c>
      <c r="C109" s="6" t="s">
        <v>3112</v>
      </c>
      <c r="D109" s="13" t="n">
        <v>581.912048339844</v>
      </c>
      <c r="E109" s="25" t="n">
        <v>1.98480725288391</v>
      </c>
      <c r="F109" s="25" t="n">
        <v>8.75722694396973</v>
      </c>
      <c r="G109" s="25" t="n">
        <v>59.8092079162598</v>
      </c>
      <c r="H109" s="25" t="n">
        <v>0.619363903999329</v>
      </c>
      <c r="I109" s="25" t="n">
        <v>1.11133790016174</v>
      </c>
      <c r="J109" s="25" t="n">
        <v>7.61756298828125</v>
      </c>
      <c r="K109" s="25" t="n">
        <v>12.348220703125</v>
      </c>
      <c r="L109" s="25" t="n">
        <v>37.34126953125</v>
      </c>
      <c r="M109" s="25" t="n">
        <v>0</v>
      </c>
      <c r="N109" s="25" t="n">
        <v>72.2772674560547</v>
      </c>
      <c r="O109" s="25" t="n">
        <v>31.2549228668213</v>
      </c>
      <c r="P109" s="25" t="n">
        <v>33.0920143127441</v>
      </c>
      <c r="Q109" s="25" t="n">
        <v>35.4667015075684</v>
      </c>
      <c r="R109" s="25" t="n">
        <v>6.11003684997559</v>
      </c>
      <c r="S109" s="25" t="n">
        <v>0.260633736848831</v>
      </c>
      <c r="T109" s="25" t="n">
        <v>0.297666788101196</v>
      </c>
      <c r="U109" s="25" t="n">
        <v>0.0463993325829506</v>
      </c>
      <c r="V109" s="25" t="n">
        <v>1.52831482887268</v>
      </c>
      <c r="W109" s="25" t="n">
        <v>0.179746985435486</v>
      </c>
      <c r="X109" s="25" t="n">
        <v>0</v>
      </c>
      <c r="Y109" s="25" t="n">
        <v>24.5745315551758</v>
      </c>
      <c r="Z109" s="25" t="n">
        <v>29.0039978027344</v>
      </c>
      <c r="AA109" s="25" t="n">
        <v>4.34612703323364</v>
      </c>
      <c r="AB109" s="25" t="n">
        <v>0.408760011196137</v>
      </c>
      <c r="AC109" s="25" t="n">
        <v>0.0204964801669121</v>
      </c>
      <c r="AD109" s="25" t="n">
        <v>0.0128273060545325</v>
      </c>
      <c r="AE109" s="25" t="n">
        <v>0.272908449172974</v>
      </c>
      <c r="AF109" s="25" t="n">
        <v>0.100590765476227</v>
      </c>
      <c r="AG109" s="25" t="n">
        <v>0.0299200378358364</v>
      </c>
      <c r="AH109" s="25" t="n">
        <v>1.44585871696472</v>
      </c>
      <c r="AI109" s="25" t="n">
        <v>8.26862335205078</v>
      </c>
      <c r="AJ109" s="6" t="n">
        <v>837.9</v>
      </c>
      <c r="AK109" s="6" t="n">
        <v>4875.8</v>
      </c>
      <c r="AL109" s="26" t="s">
        <v>3070</v>
      </c>
    </row>
    <row r="110" customFormat="false" ht="15" hidden="false" customHeight="false" outlineLevel="0" collapsed="false">
      <c r="A110" s="6" t="s">
        <v>3122</v>
      </c>
      <c r="B110" s="6" t="s">
        <v>3123</v>
      </c>
      <c r="C110" s="6" t="s">
        <v>3112</v>
      </c>
      <c r="D110" s="13" t="n">
        <v>193.275268554688</v>
      </c>
      <c r="E110" s="25" t="n">
        <v>5.31592607498169</v>
      </c>
      <c r="F110" s="25" t="n">
        <v>21.1809997558594</v>
      </c>
      <c r="G110" s="25" t="n">
        <v>9.51281070709229</v>
      </c>
      <c r="H110" s="25" t="n">
        <v>2.90015363693237</v>
      </c>
      <c r="I110" s="25" t="n">
        <v>1.6029337644577</v>
      </c>
      <c r="J110" s="25" t="n">
        <v>1.64125732421875</v>
      </c>
      <c r="K110" s="25" t="n">
        <v>3.37642993164063</v>
      </c>
      <c r="L110" s="25" t="n">
        <v>4.0835400390625</v>
      </c>
      <c r="M110" s="25" t="n">
        <v>0</v>
      </c>
      <c r="N110" s="25" t="n">
        <v>168.39794921875</v>
      </c>
      <c r="O110" s="25" t="n">
        <v>159.156188964844</v>
      </c>
      <c r="P110" s="25" t="n">
        <v>18.5185813903809</v>
      </c>
      <c r="Q110" s="25" t="n">
        <v>91.555046081543</v>
      </c>
      <c r="R110" s="25" t="n">
        <v>38.107292175293</v>
      </c>
      <c r="S110" s="25" t="n">
        <v>0.830916464328766</v>
      </c>
      <c r="T110" s="25" t="n">
        <v>0.758354306221008</v>
      </c>
      <c r="U110" s="25" t="n">
        <v>0.209773689508438</v>
      </c>
      <c r="V110" s="25" t="n">
        <v>0.821668088436127</v>
      </c>
      <c r="W110" s="25" t="n">
        <v>0.628974616527557</v>
      </c>
      <c r="X110" s="25" t="n">
        <v>0</v>
      </c>
      <c r="Y110" s="25" t="n">
        <v>41.9977645874023</v>
      </c>
      <c r="Z110" s="25" t="n">
        <v>2.48630905151367</v>
      </c>
      <c r="AA110" s="25" t="n">
        <v>2.07493710517883</v>
      </c>
      <c r="AB110" s="25" t="n">
        <v>0.956971228122711</v>
      </c>
      <c r="AC110" s="25" t="n">
        <v>0.124822579324246</v>
      </c>
      <c r="AD110" s="25" t="n">
        <v>0.0328248105943203</v>
      </c>
      <c r="AE110" s="25" t="n">
        <v>2.20639848709106</v>
      </c>
      <c r="AF110" s="25" t="n">
        <v>0.308144718408585</v>
      </c>
      <c r="AG110" s="25" t="n">
        <v>0.0965912267565727</v>
      </c>
      <c r="AH110" s="25" t="n">
        <v>0.670536458492279</v>
      </c>
      <c r="AI110" s="25" t="n">
        <v>19.0172672271729</v>
      </c>
      <c r="AJ110" s="6" t="n">
        <v>357.9</v>
      </c>
      <c r="AK110" s="6" t="n">
        <v>691.7</v>
      </c>
      <c r="AL110" s="26"/>
    </row>
    <row r="111" customFormat="false" ht="15" hidden="false" customHeight="false" outlineLevel="0" collapsed="false">
      <c r="A111" s="6" t="s">
        <v>3124</v>
      </c>
      <c r="B111" s="6" t="s">
        <v>3125</v>
      </c>
      <c r="C111" s="6" t="s">
        <v>3112</v>
      </c>
      <c r="D111" s="13" t="n">
        <v>261.707763671875</v>
      </c>
      <c r="E111" s="25" t="n">
        <v>6.19844341278076</v>
      </c>
      <c r="F111" s="25" t="n">
        <v>36.9790420532227</v>
      </c>
      <c r="G111" s="25" t="n">
        <v>9.45312690734863</v>
      </c>
      <c r="H111" s="25" t="n">
        <v>3.81671214103699</v>
      </c>
      <c r="I111" s="25" t="n">
        <v>2.51897859573364</v>
      </c>
      <c r="J111" s="25" t="n">
        <v>1.70375476074219</v>
      </c>
      <c r="K111" s="25" t="n">
        <v>2.2686591796875</v>
      </c>
      <c r="L111" s="25" t="n">
        <v>4.98226806640625</v>
      </c>
      <c r="M111" s="25" t="n">
        <v>0</v>
      </c>
      <c r="N111" s="25" t="n">
        <v>334.256866455078</v>
      </c>
      <c r="O111" s="25" t="n">
        <v>185.628753662109</v>
      </c>
      <c r="P111" s="25" t="n">
        <v>59.6067733764648</v>
      </c>
      <c r="Q111" s="25" t="n">
        <v>107.103088378906</v>
      </c>
      <c r="R111" s="25" t="n">
        <v>32.2733497619629</v>
      </c>
      <c r="S111" s="25" t="n">
        <v>1.09628617763519</v>
      </c>
      <c r="T111" s="25" t="n">
        <v>0.982495903968811</v>
      </c>
      <c r="U111" s="25" t="n">
        <v>0.216641187667847</v>
      </c>
      <c r="V111" s="25" t="n">
        <v>2.64500260353088</v>
      </c>
      <c r="W111" s="25" t="n">
        <v>0.978782057762146</v>
      </c>
      <c r="X111" s="25" t="n">
        <v>0</v>
      </c>
      <c r="Y111" s="25" t="n">
        <v>1517.85827636719</v>
      </c>
      <c r="Z111" s="25" t="n">
        <v>3.76362657546997</v>
      </c>
      <c r="AA111" s="25" t="n">
        <v>11.4327278137207</v>
      </c>
      <c r="AB111" s="25" t="n">
        <v>7.03850364685059</v>
      </c>
      <c r="AC111" s="25" t="n">
        <v>0.131286188960075</v>
      </c>
      <c r="AD111" s="25" t="n">
        <v>0.0443992353975773</v>
      </c>
      <c r="AE111" s="25" t="n">
        <v>1.32957398891449</v>
      </c>
      <c r="AF111" s="25" t="n">
        <v>0.456785917282105</v>
      </c>
      <c r="AG111" s="25" t="n">
        <v>0.151884213089943</v>
      </c>
      <c r="AH111" s="25" t="n">
        <v>2.74474334716797</v>
      </c>
      <c r="AI111" s="25" t="n">
        <v>25.6499996185303</v>
      </c>
      <c r="AJ111" s="6" t="n">
        <v>183.1</v>
      </c>
      <c r="AK111" s="6" t="n">
        <v>479.2</v>
      </c>
      <c r="AL111" s="26"/>
    </row>
    <row r="112" customFormat="false" ht="15" hidden="false" customHeight="false" outlineLevel="0" collapsed="false">
      <c r="A112" s="6" t="s">
        <v>3126</v>
      </c>
      <c r="B112" s="6" t="s">
        <v>3127</v>
      </c>
      <c r="C112" s="6" t="s">
        <v>3112</v>
      </c>
      <c r="D112" s="13" t="n">
        <v>173.428375244141</v>
      </c>
      <c r="E112" s="25" t="n">
        <v>4.87585926055908</v>
      </c>
      <c r="F112" s="25" t="n">
        <v>27.5696563720703</v>
      </c>
      <c r="G112" s="25" t="n">
        <v>4.82015895843506</v>
      </c>
      <c r="H112" s="25" t="n">
        <v>3.15441465377808</v>
      </c>
      <c r="I112" s="25" t="n">
        <v>2.4802737236023</v>
      </c>
      <c r="J112" s="25" t="n">
        <v>0.587750793457031</v>
      </c>
      <c r="K112" s="25" t="n">
        <v>1.00747222900391</v>
      </c>
      <c r="L112" s="25" t="n">
        <v>2.84660229492188</v>
      </c>
      <c r="M112" s="25" t="n">
        <v>0</v>
      </c>
      <c r="N112" s="25" t="n">
        <v>170.045059204102</v>
      </c>
      <c r="O112" s="25" t="n">
        <v>164.604644775391</v>
      </c>
      <c r="P112" s="25" t="n">
        <v>18.9376926422119</v>
      </c>
      <c r="Q112" s="25" t="n">
        <v>72.1362075805664</v>
      </c>
      <c r="R112" s="25" t="n">
        <v>21.6222400665283</v>
      </c>
      <c r="S112" s="25" t="n">
        <v>0.952458798885346</v>
      </c>
      <c r="T112" s="25" t="n">
        <v>0.699678659439087</v>
      </c>
      <c r="U112" s="25" t="n">
        <v>0.172891870141029</v>
      </c>
      <c r="V112" s="25" t="n">
        <v>0.345278024673462</v>
      </c>
      <c r="W112" s="25" t="n">
        <v>0.982425272464752</v>
      </c>
      <c r="X112" s="25" t="n">
        <v>0</v>
      </c>
      <c r="Y112" s="25" t="n">
        <v>36.018440246582</v>
      </c>
      <c r="Z112" s="25" t="n">
        <v>2.00293374061585</v>
      </c>
      <c r="AA112" s="25" t="n">
        <v>2.98301196098328</v>
      </c>
      <c r="AB112" s="25" t="n">
        <v>1.51578652858734</v>
      </c>
      <c r="AC112" s="25" t="n">
        <v>0.111830122768879</v>
      </c>
      <c r="AD112" s="25" t="n">
        <v>0.0456775650382042</v>
      </c>
      <c r="AE112" s="25" t="n">
        <v>0.835903823375702</v>
      </c>
      <c r="AF112" s="25" t="n">
        <v>0.389172971248627</v>
      </c>
      <c r="AG112" s="25" t="n">
        <v>0.139200896024704</v>
      </c>
      <c r="AH112" s="25" t="n">
        <v>0.445613294839859</v>
      </c>
      <c r="AI112" s="25" t="n">
        <v>84.1374130249023</v>
      </c>
      <c r="AJ112" s="6" t="n">
        <v>357.9</v>
      </c>
      <c r="AK112" s="6" t="n">
        <v>620.7</v>
      </c>
      <c r="AL112" s="26"/>
    </row>
    <row r="113" customFormat="false" ht="15" hidden="false" customHeight="false" outlineLevel="0" collapsed="false">
      <c r="A113" s="6" t="s">
        <v>946</v>
      </c>
      <c r="B113" s="6" t="s">
        <v>3128</v>
      </c>
      <c r="C113" s="6" t="s">
        <v>3112</v>
      </c>
      <c r="D113" s="13" t="n">
        <v>190.763153076172</v>
      </c>
      <c r="E113" s="25" t="n">
        <v>7.37644672393799</v>
      </c>
      <c r="F113" s="25" t="n">
        <v>22.4950885772705</v>
      </c>
      <c r="G113" s="25" t="n">
        <v>7.72448682785034</v>
      </c>
      <c r="H113" s="25" t="n">
        <v>2.415123462677</v>
      </c>
      <c r="I113" s="25" t="n">
        <v>2.38955402374268</v>
      </c>
      <c r="J113" s="25" t="n">
        <v>0.714753540039063</v>
      </c>
      <c r="K113" s="25" t="n">
        <v>0.935605712890625</v>
      </c>
      <c r="L113" s="25" t="n">
        <v>2.60910229492188</v>
      </c>
      <c r="M113" s="25" t="n">
        <v>0.396987706422806</v>
      </c>
      <c r="N113" s="25" t="n">
        <v>262.642425537109</v>
      </c>
      <c r="O113" s="25" t="n">
        <v>212.051361083984</v>
      </c>
      <c r="P113" s="25" t="n">
        <v>68.58154296875</v>
      </c>
      <c r="Q113" s="25" t="n">
        <v>94.8680267333984</v>
      </c>
      <c r="R113" s="25" t="n">
        <v>19.1213665008545</v>
      </c>
      <c r="S113" s="25" t="n">
        <v>1.29446983337402</v>
      </c>
      <c r="T113" s="25" t="n">
        <v>0.461217194795609</v>
      </c>
      <c r="U113" s="25" t="n">
        <v>0.12053244560957</v>
      </c>
      <c r="V113" s="25" t="n">
        <v>0.589085280895233</v>
      </c>
      <c r="W113" s="25" t="n">
        <v>0.667220830917358</v>
      </c>
      <c r="X113" s="25" t="n">
        <v>1.01051414012909</v>
      </c>
      <c r="Y113" s="25" t="n">
        <v>811.041931152344</v>
      </c>
      <c r="Z113" s="25" t="n">
        <v>1.98747706413269</v>
      </c>
      <c r="AA113" s="25" t="n">
        <v>6.93737602233887</v>
      </c>
      <c r="AB113" s="25" t="n">
        <v>4.94640874862671</v>
      </c>
      <c r="AC113" s="25" t="n">
        <v>0.108195275068283</v>
      </c>
      <c r="AD113" s="25" t="n">
        <v>0.0729704275727272</v>
      </c>
      <c r="AE113" s="25" t="n">
        <v>2.45291042327881</v>
      </c>
      <c r="AF113" s="25" t="n">
        <v>0.274874776601791</v>
      </c>
      <c r="AG113" s="25" t="n">
        <v>0.107373140752316</v>
      </c>
      <c r="AH113" s="25" t="n">
        <v>1.06263649463654</v>
      </c>
      <c r="AI113" s="25" t="n">
        <v>14.4696655273438</v>
      </c>
      <c r="AJ113" s="6" t="n">
        <v>207.8</v>
      </c>
      <c r="AK113" s="6" t="n">
        <v>396.4</v>
      </c>
      <c r="AL113" s="26"/>
    </row>
    <row r="114" customFormat="false" ht="15" hidden="false" customHeight="false" outlineLevel="0" collapsed="false">
      <c r="A114" s="6" t="s">
        <v>929</v>
      </c>
      <c r="B114" s="6" t="s">
        <v>3129</v>
      </c>
      <c r="C114" s="6" t="s">
        <v>3112</v>
      </c>
      <c r="D114" s="13" t="n">
        <v>174.605163574219</v>
      </c>
      <c r="E114" s="25" t="n">
        <v>3.16054177284241</v>
      </c>
      <c r="F114" s="25" t="n">
        <v>18.5572738647461</v>
      </c>
      <c r="G114" s="25" t="n">
        <v>9.50796413421631</v>
      </c>
      <c r="H114" s="25" t="n">
        <v>3.3085036277771</v>
      </c>
      <c r="I114" s="25" t="n">
        <v>2.14173603057861</v>
      </c>
      <c r="J114" s="25" t="n">
        <v>1.27458422851563</v>
      </c>
      <c r="K114" s="25" t="n">
        <v>1.94270275878906</v>
      </c>
      <c r="L114" s="25" t="n">
        <v>5.84121142578125</v>
      </c>
      <c r="M114" s="25" t="n">
        <v>0.273572862148285</v>
      </c>
      <c r="N114" s="25" t="n">
        <v>183.79020690918</v>
      </c>
      <c r="O114" s="25" t="n">
        <v>242.504776000977</v>
      </c>
      <c r="P114" s="25" t="n">
        <v>33.5152397155762</v>
      </c>
      <c r="Q114" s="25" t="n">
        <v>59.3752555847168</v>
      </c>
      <c r="R114" s="25" t="n">
        <v>24.371883392334</v>
      </c>
      <c r="S114" s="25" t="n">
        <v>0.864250659942627</v>
      </c>
      <c r="T114" s="25" t="n">
        <v>0.503217697143555</v>
      </c>
      <c r="U114" s="25" t="n">
        <v>0.124271549284458</v>
      </c>
      <c r="V114" s="25" t="n">
        <v>0.654090344905853</v>
      </c>
      <c r="W114" s="25" t="n">
        <v>0.564135432243347</v>
      </c>
      <c r="X114" s="25" t="n">
        <v>0.696367263793945</v>
      </c>
      <c r="Y114" s="25" t="n">
        <v>1582.90942382813</v>
      </c>
      <c r="Z114" s="25" t="n">
        <v>4.51822996139526</v>
      </c>
      <c r="AA114" s="25" t="n">
        <v>12.9046669006348</v>
      </c>
      <c r="AB114" s="25" t="n">
        <v>13.049220085144</v>
      </c>
      <c r="AC114" s="25" t="n">
        <v>0.0821285620331764</v>
      </c>
      <c r="AD114" s="25" t="n">
        <v>0.0427415296435356</v>
      </c>
      <c r="AE114" s="25" t="n">
        <v>0.862364828586578</v>
      </c>
      <c r="AF114" s="25" t="n">
        <v>0.375683844089508</v>
      </c>
      <c r="AG114" s="25" t="n">
        <v>0.154058828949928</v>
      </c>
      <c r="AH114" s="25" t="n">
        <v>1.99714589118958</v>
      </c>
      <c r="AI114" s="25" t="n">
        <v>25.7111434936523</v>
      </c>
      <c r="AJ114" s="6" t="n">
        <v>301.6</v>
      </c>
      <c r="AK114" s="6" t="n">
        <v>526.5</v>
      </c>
      <c r="AL114" s="26"/>
    </row>
    <row r="115" customFormat="false" ht="15" hidden="false" customHeight="false" outlineLevel="0" collapsed="false">
      <c r="A115" s="6" t="s">
        <v>885</v>
      </c>
      <c r="B115" s="6" t="s">
        <v>3130</v>
      </c>
      <c r="C115" s="6" t="s">
        <v>3112</v>
      </c>
      <c r="D115" s="13" t="n">
        <v>176.302886962891</v>
      </c>
      <c r="E115" s="25" t="n">
        <v>4.25622081756592</v>
      </c>
      <c r="F115" s="25" t="n">
        <v>21.6222705841065</v>
      </c>
      <c r="G115" s="25" t="n">
        <v>7.87980651855469</v>
      </c>
      <c r="H115" s="25" t="n">
        <v>2.52239942550659</v>
      </c>
      <c r="I115" s="25" t="n">
        <v>0.777531623840332</v>
      </c>
      <c r="J115" s="25" t="n">
        <v>1.23210949707031</v>
      </c>
      <c r="K115" s="25" t="n">
        <v>2.4726708984375</v>
      </c>
      <c r="L115" s="25" t="n">
        <v>3.77538403320313</v>
      </c>
      <c r="M115" s="25" t="n">
        <v>0</v>
      </c>
      <c r="N115" s="25" t="n">
        <v>187.109069824219</v>
      </c>
      <c r="O115" s="25" t="n">
        <v>152.572998046875</v>
      </c>
      <c r="P115" s="25" t="n">
        <v>12.7010517120361</v>
      </c>
      <c r="Q115" s="25" t="n">
        <v>77.419792175293</v>
      </c>
      <c r="R115" s="25" t="n">
        <v>29.9444160461426</v>
      </c>
      <c r="S115" s="25" t="n">
        <v>0.770496904850006</v>
      </c>
      <c r="T115" s="25" t="n">
        <v>0.593701004981995</v>
      </c>
      <c r="U115" s="25" t="n">
        <v>0.163708493113518</v>
      </c>
      <c r="V115" s="25" t="n">
        <v>1.5102231502533</v>
      </c>
      <c r="W115" s="25" t="n">
        <v>0.394353926181793</v>
      </c>
      <c r="X115" s="25" t="n">
        <v>0</v>
      </c>
      <c r="Y115" s="25" t="n">
        <v>2148.0556640625</v>
      </c>
      <c r="Z115" s="25" t="n">
        <v>2.47385883331299</v>
      </c>
      <c r="AA115" s="25" t="n">
        <v>6.62736558914185</v>
      </c>
      <c r="AB115" s="25" t="n">
        <v>3.19588923454285</v>
      </c>
      <c r="AC115" s="25" t="n">
        <v>0.103219702839851</v>
      </c>
      <c r="AD115" s="25" t="n">
        <v>0.0447825528681278</v>
      </c>
      <c r="AE115" s="25" t="n">
        <v>1.69866335391998</v>
      </c>
      <c r="AF115" s="25" t="n">
        <v>0.243361324071884</v>
      </c>
      <c r="AG115" s="25" t="n">
        <v>0.0883324965834618</v>
      </c>
      <c r="AH115" s="25" t="n">
        <v>0.233291134238243</v>
      </c>
      <c r="AI115" s="25" t="n">
        <v>11.9107351303101</v>
      </c>
      <c r="AJ115" s="6" t="n">
        <v>319.2</v>
      </c>
      <c r="AK115" s="6" t="n">
        <v>562.7</v>
      </c>
      <c r="AL115" s="26"/>
    </row>
    <row r="116" customFormat="false" ht="15" hidden="false" customHeight="false" outlineLevel="0" collapsed="false">
      <c r="A116" s="6" t="s">
        <v>3131</v>
      </c>
      <c r="B116" s="6" t="s">
        <v>3132</v>
      </c>
      <c r="C116" s="6" t="s">
        <v>3112</v>
      </c>
      <c r="D116" s="13" t="n">
        <v>215.413482666016</v>
      </c>
      <c r="E116" s="25" t="n">
        <v>2.09599161148071</v>
      </c>
      <c r="F116" s="25" t="n">
        <v>42.592170715332</v>
      </c>
      <c r="G116" s="25" t="n">
        <v>4.56564092636108</v>
      </c>
      <c r="H116" s="25" t="n">
        <v>1.13067388534546</v>
      </c>
      <c r="I116" s="25" t="n">
        <v>24.8045654296875</v>
      </c>
      <c r="J116" s="25" t="n">
        <v>2.40937548828125</v>
      </c>
      <c r="K116" s="25" t="n">
        <v>1.3774599609375</v>
      </c>
      <c r="L116" s="25" t="n">
        <v>0.361345977783203</v>
      </c>
      <c r="M116" s="25" t="n">
        <v>9.54955196380615</v>
      </c>
      <c r="N116" s="25" t="n">
        <v>3.19878029823303</v>
      </c>
      <c r="O116" s="25" t="n">
        <v>56.076587677002</v>
      </c>
      <c r="P116" s="25" t="n">
        <v>11.3758735656738</v>
      </c>
      <c r="Q116" s="25" t="n">
        <v>39.7402839660645</v>
      </c>
      <c r="R116" s="25" t="n">
        <v>11.1281309127808</v>
      </c>
      <c r="S116" s="25" t="n">
        <v>0.339560180902481</v>
      </c>
      <c r="T116" s="25" t="n">
        <v>0.31925955414772</v>
      </c>
      <c r="U116" s="25" t="n">
        <v>0.105647638440132</v>
      </c>
      <c r="V116" s="25" t="n">
        <v>0.384161442518234</v>
      </c>
      <c r="W116" s="25" t="n">
        <v>0.459013432264328</v>
      </c>
      <c r="X116" s="25" t="n">
        <v>35.7914123535156</v>
      </c>
      <c r="Y116" s="25" t="n">
        <v>90.7407989501953</v>
      </c>
      <c r="Z116" s="25" t="n">
        <v>0.499697476625443</v>
      </c>
      <c r="AA116" s="25" t="n">
        <v>0.915398180484772</v>
      </c>
      <c r="AB116" s="25" t="n">
        <v>0.0600053183734417</v>
      </c>
      <c r="AC116" s="25" t="n">
        <v>0.0442550294101238</v>
      </c>
      <c r="AD116" s="25" t="n">
        <v>0.0192561075091362</v>
      </c>
      <c r="AE116" s="25" t="n">
        <v>0.617423236370087</v>
      </c>
      <c r="AF116" s="25" t="n">
        <v>0.142918780446053</v>
      </c>
      <c r="AG116" s="25" t="n">
        <v>0.0544895268976688</v>
      </c>
      <c r="AH116" s="25" t="n">
        <v>0.164694398641586</v>
      </c>
      <c r="AI116" s="25" t="n">
        <v>3.06103992462158</v>
      </c>
      <c r="AJ116" s="6" t="n">
        <v>347.8</v>
      </c>
      <c r="AK116" s="6" t="n">
        <v>749.1</v>
      </c>
      <c r="AL116" s="26"/>
    </row>
    <row r="117" customFormat="false" ht="15" hidden="false" customHeight="false" outlineLevel="0" collapsed="false">
      <c r="A117" s="6" t="s">
        <v>895</v>
      </c>
      <c r="B117" s="6" t="s">
        <v>3133</v>
      </c>
      <c r="C117" s="6" t="s">
        <v>3112</v>
      </c>
      <c r="D117" s="13" t="n">
        <v>195.737030029297</v>
      </c>
      <c r="E117" s="25" t="n">
        <v>5.75323390960693</v>
      </c>
      <c r="F117" s="25" t="n">
        <v>32.9304466247559</v>
      </c>
      <c r="G117" s="25" t="n">
        <v>4.31662702560425</v>
      </c>
      <c r="H117" s="25" t="n">
        <v>2.13380646705627</v>
      </c>
      <c r="I117" s="25" t="n">
        <v>3.9147834777832</v>
      </c>
      <c r="J117" s="25" t="n">
        <v>1.59573974609375</v>
      </c>
      <c r="K117" s="25" t="n">
        <v>1.00927368164063</v>
      </c>
      <c r="L117" s="25" t="n">
        <v>1.39220520019531</v>
      </c>
      <c r="M117" s="25" t="n">
        <v>3.11690425872803</v>
      </c>
      <c r="N117" s="25" t="n">
        <v>213.290344238281</v>
      </c>
      <c r="O117" s="25" t="n">
        <v>211.777755737305</v>
      </c>
      <c r="P117" s="25" t="n">
        <v>101.515602111816</v>
      </c>
      <c r="Q117" s="25" t="n">
        <v>133.748550415039</v>
      </c>
      <c r="R117" s="25" t="n">
        <v>24.2768230438232</v>
      </c>
      <c r="S117" s="25" t="n">
        <v>0.590624511241913</v>
      </c>
      <c r="T117" s="25" t="n">
        <v>0.738593637943268</v>
      </c>
      <c r="U117" s="25" t="n">
        <v>0.130385369062424</v>
      </c>
      <c r="V117" s="25" t="n">
        <v>1.83420336246491</v>
      </c>
      <c r="W117" s="25" t="n">
        <v>0.353827744722366</v>
      </c>
      <c r="X117" s="25" t="n">
        <v>7.93393754959106</v>
      </c>
      <c r="Y117" s="25" t="n">
        <v>1872.21948242188</v>
      </c>
      <c r="Z117" s="25" t="n">
        <v>1.05964326858521</v>
      </c>
      <c r="AA117" s="25" t="n">
        <v>7.90893030166626</v>
      </c>
      <c r="AB117" s="25" t="n">
        <v>2.35889196395874</v>
      </c>
      <c r="AC117" s="25" t="n">
        <v>0.0999907478690147</v>
      </c>
      <c r="AD117" s="25" t="n">
        <v>0.145425602793694</v>
      </c>
      <c r="AE117" s="25" t="n">
        <v>1.14266693592072</v>
      </c>
      <c r="AF117" s="25" t="n">
        <v>0.457927912473679</v>
      </c>
      <c r="AG117" s="25" t="n">
        <v>0.13770355284214</v>
      </c>
      <c r="AH117" s="25" t="n">
        <v>1.45070314407349</v>
      </c>
      <c r="AI117" s="25" t="n">
        <v>13.0628232955933</v>
      </c>
      <c r="AJ117" s="6" t="n">
        <v>216.2</v>
      </c>
      <c r="AK117" s="6" t="n">
        <v>423.1</v>
      </c>
      <c r="AL117" s="26"/>
    </row>
    <row r="118" customFormat="false" ht="15" hidden="false" customHeight="false" outlineLevel="0" collapsed="false">
      <c r="A118" s="6" t="s">
        <v>890</v>
      </c>
      <c r="B118" s="6" t="s">
        <v>3134</v>
      </c>
      <c r="C118" s="6" t="s">
        <v>3112</v>
      </c>
      <c r="D118" s="13" t="n">
        <v>373.038604736328</v>
      </c>
      <c r="E118" s="25" t="n">
        <v>7.45318174362183</v>
      </c>
      <c r="F118" s="25" t="n">
        <v>65.0813903808594</v>
      </c>
      <c r="G118" s="25" t="n">
        <v>8.53277397155762</v>
      </c>
      <c r="H118" s="25" t="n">
        <v>5.11778926849365</v>
      </c>
      <c r="I118" s="25" t="n">
        <v>11.6493082046509</v>
      </c>
      <c r="J118" s="25" t="n">
        <v>2.64360205078125</v>
      </c>
      <c r="K118" s="25" t="n">
        <v>2.46017846679688</v>
      </c>
      <c r="L118" s="25" t="n">
        <v>2.78105639648438</v>
      </c>
      <c r="M118" s="25" t="n">
        <v>7.69772386550903</v>
      </c>
      <c r="N118" s="25" t="n">
        <v>162.41340637207</v>
      </c>
      <c r="O118" s="25" t="n">
        <v>369.080810546875</v>
      </c>
      <c r="P118" s="25" t="n">
        <v>50.9384651184082</v>
      </c>
      <c r="Q118" s="25" t="n">
        <v>147.534973144531</v>
      </c>
      <c r="R118" s="25" t="n">
        <v>58.3187026977539</v>
      </c>
      <c r="S118" s="25" t="n">
        <v>2.89003682136536</v>
      </c>
      <c r="T118" s="25" t="n">
        <v>1.13324570655823</v>
      </c>
      <c r="U118" s="25" t="n">
        <v>0.367418438196182</v>
      </c>
      <c r="V118" s="25" t="n">
        <v>3.67195796966553</v>
      </c>
      <c r="W118" s="25" t="n">
        <v>0.811671793460846</v>
      </c>
      <c r="X118" s="25" t="n">
        <v>28.8508186340332</v>
      </c>
      <c r="Y118" s="25" t="n">
        <v>3140.33178710938</v>
      </c>
      <c r="Z118" s="25" t="n">
        <v>1.96595788002014</v>
      </c>
      <c r="AA118" s="25" t="n">
        <v>13.3079090118408</v>
      </c>
      <c r="AB118" s="25" t="n">
        <v>0.660877704620361</v>
      </c>
      <c r="AC118" s="25" t="n">
        <v>0.209550186991692</v>
      </c>
      <c r="AD118" s="25" t="n">
        <v>0.0803129151463509</v>
      </c>
      <c r="AE118" s="25" t="n">
        <v>2.28604555130005</v>
      </c>
      <c r="AF118" s="25" t="n">
        <v>0.518408060073853</v>
      </c>
      <c r="AG118" s="25" t="n">
        <v>0.208195254206657</v>
      </c>
      <c r="AH118" s="25" t="n">
        <v>0.487120389938355</v>
      </c>
      <c r="AI118" s="25" t="n">
        <v>18.0079593658447</v>
      </c>
      <c r="AJ118" s="6" t="n">
        <v>127.8</v>
      </c>
      <c r="AK118" s="6" t="n">
        <v>476.9</v>
      </c>
      <c r="AL118" s="26"/>
    </row>
    <row r="119" customFormat="false" ht="15" hidden="false" customHeight="false" outlineLevel="0" collapsed="false">
      <c r="A119" s="6" t="s">
        <v>3135</v>
      </c>
      <c r="B119" s="6" t="s">
        <v>3136</v>
      </c>
      <c r="C119" s="6" t="s">
        <v>3112</v>
      </c>
      <c r="D119" s="13" t="n">
        <v>164.240859985352</v>
      </c>
      <c r="E119" s="25" t="n">
        <v>4.18956327438355</v>
      </c>
      <c r="F119" s="25" t="n">
        <v>31.0980701446533</v>
      </c>
      <c r="G119" s="25" t="n">
        <v>2.2327356338501</v>
      </c>
      <c r="H119" s="25" t="n">
        <v>2.77788519859314</v>
      </c>
      <c r="I119" s="25" t="n">
        <v>1.25963222980499</v>
      </c>
      <c r="J119" s="25" t="n">
        <v>0.315581939697266</v>
      </c>
      <c r="K119" s="25" t="n">
        <v>0.435804290771484</v>
      </c>
      <c r="L119" s="25" t="n">
        <v>1.33074853515625</v>
      </c>
      <c r="M119" s="25" t="n">
        <v>0</v>
      </c>
      <c r="N119" s="25" t="n">
        <v>96.6080017089844</v>
      </c>
      <c r="O119" s="25" t="n">
        <v>190.33332824707</v>
      </c>
      <c r="P119" s="25" t="n">
        <v>18.9345283508301</v>
      </c>
      <c r="Q119" s="25" t="n">
        <v>69.9461135864258</v>
      </c>
      <c r="R119" s="25" t="n">
        <v>21.1284599304199</v>
      </c>
      <c r="S119" s="25" t="n">
        <v>0.919448256492615</v>
      </c>
      <c r="T119" s="25" t="n">
        <v>0.608275890350342</v>
      </c>
      <c r="U119" s="25" t="n">
        <v>0.158988505601883</v>
      </c>
      <c r="V119" s="25" t="n">
        <v>0.936367809772492</v>
      </c>
      <c r="W119" s="25" t="n">
        <v>0.441287368535996</v>
      </c>
      <c r="X119" s="25" t="n">
        <v>0</v>
      </c>
      <c r="Y119" s="25" t="n">
        <v>1934.34020996094</v>
      </c>
      <c r="Z119" s="25" t="n">
        <v>1.02119541168213</v>
      </c>
      <c r="AA119" s="25" t="n">
        <v>14.787540435791</v>
      </c>
      <c r="AB119" s="25" t="n">
        <v>22.3705749511719</v>
      </c>
      <c r="AC119" s="25" t="n">
        <v>0.109517246484757</v>
      </c>
      <c r="AD119" s="25" t="n">
        <v>0.0391724146902561</v>
      </c>
      <c r="AE119" s="25" t="n">
        <v>1.30717241764069</v>
      </c>
      <c r="AF119" s="25" t="n">
        <v>0.364551723003388</v>
      </c>
      <c r="AG119" s="25" t="n">
        <v>0.150988504290581</v>
      </c>
      <c r="AH119" s="25" t="n">
        <v>1.23204600811005</v>
      </c>
      <c r="AI119" s="25" t="n">
        <v>25.0468978881836</v>
      </c>
      <c r="AJ119" s="6" t="n">
        <v>217.5</v>
      </c>
      <c r="AK119" s="6" t="n">
        <v>357.2</v>
      </c>
      <c r="AL119" s="26"/>
    </row>
    <row r="120" customFormat="false" ht="15" hidden="false" customHeight="false" outlineLevel="0" collapsed="false">
      <c r="A120" s="6" t="s">
        <v>1754</v>
      </c>
      <c r="B120" s="6" t="s">
        <v>3137</v>
      </c>
      <c r="C120" s="6" t="s">
        <v>3112</v>
      </c>
      <c r="D120" s="13" t="n">
        <v>120.584121704102</v>
      </c>
      <c r="E120" s="25" t="n">
        <v>4.05177116394043</v>
      </c>
      <c r="F120" s="25" t="n">
        <v>13.4016847610474</v>
      </c>
      <c r="G120" s="25" t="n">
        <v>5.43462705612183</v>
      </c>
      <c r="H120" s="25" t="n">
        <v>2.31287980079651</v>
      </c>
      <c r="I120" s="25" t="n">
        <v>1.47220873832703</v>
      </c>
      <c r="J120" s="25" t="n">
        <v>0.952972473144531</v>
      </c>
      <c r="K120" s="25" t="n">
        <v>1.31985168457031</v>
      </c>
      <c r="L120" s="25" t="n">
        <v>2.7417109375</v>
      </c>
      <c r="M120" s="25" t="n">
        <v>52.0877799987793</v>
      </c>
      <c r="N120" s="25" t="n">
        <v>248.361434936523</v>
      </c>
      <c r="O120" s="25" t="n">
        <v>210.870208740234</v>
      </c>
      <c r="P120" s="25" t="n">
        <v>34.6972618103027</v>
      </c>
      <c r="Q120" s="25" t="n">
        <v>70.0496139526367</v>
      </c>
      <c r="R120" s="25" t="n">
        <v>18.9900321960449</v>
      </c>
      <c r="S120" s="25" t="n">
        <v>0.986810147762299</v>
      </c>
      <c r="T120" s="25" t="n">
        <v>0.513474822044373</v>
      </c>
      <c r="U120" s="25" t="n">
        <v>0.0893590077757835</v>
      </c>
      <c r="V120" s="25" t="n">
        <v>6.13383388519287</v>
      </c>
      <c r="W120" s="25" t="n">
        <v>0.255265414714813</v>
      </c>
      <c r="X120" s="25" t="n">
        <v>28.1786346435547</v>
      </c>
      <c r="Y120" s="25" t="n">
        <v>1886.76037597656</v>
      </c>
      <c r="Z120" s="25" t="n">
        <v>2.18196320533752</v>
      </c>
      <c r="AA120" s="25" t="n">
        <v>23.2400283813477</v>
      </c>
      <c r="AB120" s="25" t="n">
        <v>19.1806926727295</v>
      </c>
      <c r="AC120" s="25" t="n">
        <v>0.0617929026484489</v>
      </c>
      <c r="AD120" s="25" t="n">
        <v>0.0628932937979698</v>
      </c>
      <c r="AE120" s="25" t="n">
        <v>0.698100626468658</v>
      </c>
      <c r="AF120" s="25" t="n">
        <v>0.430372029542923</v>
      </c>
      <c r="AG120" s="25" t="n">
        <v>0.182968720793724</v>
      </c>
      <c r="AH120" s="25" t="n">
        <v>4.23347806930542</v>
      </c>
      <c r="AI120" s="25" t="n">
        <v>38.9472732543945</v>
      </c>
      <c r="AJ120" s="6" t="n">
        <v>351.3</v>
      </c>
      <c r="AK120" s="6" t="n">
        <v>423.6</v>
      </c>
      <c r="AL120" s="26"/>
    </row>
    <row r="121" customFormat="false" ht="15" hidden="false" customHeight="false" outlineLevel="0" collapsed="false">
      <c r="A121" s="6" t="s">
        <v>3138</v>
      </c>
      <c r="B121" s="6" t="s">
        <v>3139</v>
      </c>
      <c r="C121" s="6" t="s">
        <v>3140</v>
      </c>
      <c r="D121" s="13" t="n">
        <v>170.627532958984</v>
      </c>
      <c r="E121" s="25" t="n">
        <v>5.85098123550415</v>
      </c>
      <c r="F121" s="25" t="n">
        <v>21.0950317382813</v>
      </c>
      <c r="G121" s="25" t="n">
        <v>7.48359107971191</v>
      </c>
      <c r="H121" s="25" t="n">
        <v>0.399081438779831</v>
      </c>
      <c r="I121" s="25" t="n">
        <v>3.40275573730469</v>
      </c>
      <c r="J121" s="25" t="n">
        <v>4.4295595703125</v>
      </c>
      <c r="K121" s="25" t="n">
        <v>1.95547595214844</v>
      </c>
      <c r="L121" s="25" t="n">
        <v>0.419114807128906</v>
      </c>
      <c r="M121" s="25" t="n">
        <v>15.9874744415283</v>
      </c>
      <c r="N121" s="25" t="n">
        <v>200.511642456055</v>
      </c>
      <c r="O121" s="25" t="n">
        <v>156.112731933594</v>
      </c>
      <c r="P121" s="25" t="n">
        <v>122.010437011719</v>
      </c>
      <c r="Q121" s="25" t="n">
        <v>162.880996704102</v>
      </c>
      <c r="R121" s="25" t="n">
        <v>19.7828807830811</v>
      </c>
      <c r="S121" s="25" t="n">
        <v>0.540104389190674</v>
      </c>
      <c r="T121" s="25" t="n">
        <v>0.712818384170532</v>
      </c>
      <c r="U121" s="25" t="n">
        <v>0.0881002098321915</v>
      </c>
      <c r="V121" s="25" t="n">
        <v>5.53680562973023</v>
      </c>
      <c r="W121" s="25" t="n">
        <v>0.207098111510277</v>
      </c>
      <c r="X121" s="25" t="n">
        <v>60.1837158203125</v>
      </c>
      <c r="Y121" s="25" t="n">
        <v>1334.64929199219</v>
      </c>
      <c r="Z121" s="25" t="n">
        <v>0.322275578975678</v>
      </c>
      <c r="AA121" s="25" t="n">
        <v>5.8505220413208</v>
      </c>
      <c r="AB121" s="25" t="n">
        <v>6.11482286453247</v>
      </c>
      <c r="AC121" s="25" t="n">
        <v>0.0631732791662216</v>
      </c>
      <c r="AD121" s="25" t="n">
        <v>0.0849895626306534</v>
      </c>
      <c r="AE121" s="25" t="n">
        <v>0.841022968292236</v>
      </c>
      <c r="AF121" s="25" t="n">
        <v>0.411482274532318</v>
      </c>
      <c r="AG121" s="25" t="n">
        <v>0.0705010443925858</v>
      </c>
      <c r="AH121" s="25" t="n">
        <v>1.86156570911408</v>
      </c>
      <c r="AI121" s="25" t="n">
        <v>11.7722129821777</v>
      </c>
      <c r="AJ121" s="6" t="n">
        <v>239.5</v>
      </c>
      <c r="AK121" s="6" t="n">
        <v>408.7</v>
      </c>
      <c r="AL121" s="26"/>
    </row>
    <row r="122" customFormat="false" ht="15" hidden="false" customHeight="false" outlineLevel="0" collapsed="false">
      <c r="A122" s="6" t="s">
        <v>1765</v>
      </c>
      <c r="B122" s="6" t="s">
        <v>3141</v>
      </c>
      <c r="C122" s="6" t="s">
        <v>3112</v>
      </c>
      <c r="D122" s="13" t="n">
        <v>129.713882446289</v>
      </c>
      <c r="E122" s="25" t="n">
        <v>3.0669481754303</v>
      </c>
      <c r="F122" s="25" t="n">
        <v>15.4443349838257</v>
      </c>
      <c r="G122" s="25" t="n">
        <v>6.35881090164185</v>
      </c>
      <c r="H122" s="25" t="n">
        <v>1.86334729194641</v>
      </c>
      <c r="I122" s="25" t="n">
        <v>1.96769177913666</v>
      </c>
      <c r="J122" s="25" t="n">
        <v>0.795856079101563</v>
      </c>
      <c r="K122" s="25" t="n">
        <v>1.25412963867188</v>
      </c>
      <c r="L122" s="25" t="n">
        <v>3.93786157226563</v>
      </c>
      <c r="M122" s="25" t="n">
        <v>0</v>
      </c>
      <c r="N122" s="25" t="n">
        <v>258.469604492188</v>
      </c>
      <c r="O122" s="25" t="n">
        <v>201.593170166016</v>
      </c>
      <c r="P122" s="25" t="n">
        <v>28.3272457122803</v>
      </c>
      <c r="Q122" s="25" t="n">
        <v>56.2622032165527</v>
      </c>
      <c r="R122" s="25" t="n">
        <v>21.6706504821777</v>
      </c>
      <c r="S122" s="25" t="n">
        <v>0.99404501914978</v>
      </c>
      <c r="T122" s="25" t="n">
        <v>0.39108619093895</v>
      </c>
      <c r="U122" s="25" t="n">
        <v>0.0945223346352577</v>
      </c>
      <c r="V122" s="25" t="n">
        <v>3.90000176429749</v>
      </c>
      <c r="W122" s="25" t="n">
        <v>0.270286411046982</v>
      </c>
      <c r="X122" s="25" t="n">
        <v>0</v>
      </c>
      <c r="Y122" s="25" t="n">
        <v>2228.36499023438</v>
      </c>
      <c r="Z122" s="25" t="n">
        <v>2.99584126472473</v>
      </c>
      <c r="AA122" s="25" t="n">
        <v>20.6399612426758</v>
      </c>
      <c r="AB122" s="25" t="n">
        <v>28.5019550323486</v>
      </c>
      <c r="AC122" s="25" t="n">
        <v>0.0644892826676369</v>
      </c>
      <c r="AD122" s="25" t="n">
        <v>0.0361799858510494</v>
      </c>
      <c r="AE122" s="25" t="n">
        <v>0.925674915313721</v>
      </c>
      <c r="AF122" s="25" t="n">
        <v>0.301055133342743</v>
      </c>
      <c r="AG122" s="25" t="n">
        <v>0.146187663078308</v>
      </c>
      <c r="AH122" s="25" t="n">
        <v>1.93929135799408</v>
      </c>
      <c r="AI122" s="25" t="n">
        <v>33.1658325195313</v>
      </c>
      <c r="AJ122" s="6" t="n">
        <v>299.6</v>
      </c>
      <c r="AK122" s="6" t="n">
        <v>388.6</v>
      </c>
      <c r="AL122" s="26"/>
    </row>
    <row r="123" customFormat="false" ht="15" hidden="false" customHeight="false" outlineLevel="0" collapsed="false">
      <c r="A123" s="6" t="s">
        <v>1770</v>
      </c>
      <c r="B123" s="6" t="s">
        <v>1769</v>
      </c>
      <c r="C123" s="6" t="s">
        <v>3112</v>
      </c>
      <c r="D123" s="13" t="n">
        <v>151.333572387695</v>
      </c>
      <c r="E123" s="25" t="n">
        <v>6.33126783370972</v>
      </c>
      <c r="F123" s="25" t="n">
        <v>13.3014612197876</v>
      </c>
      <c r="G123" s="25" t="n">
        <v>8.23478317260742</v>
      </c>
      <c r="H123" s="25" t="n">
        <v>1.64498543739319</v>
      </c>
      <c r="I123" s="25" t="n">
        <v>1.63096427917481</v>
      </c>
      <c r="J123" s="25" t="n">
        <v>0.968754516601563</v>
      </c>
      <c r="K123" s="25" t="n">
        <v>1.49662194824219</v>
      </c>
      <c r="L123" s="25" t="n">
        <v>4.2148740234375</v>
      </c>
      <c r="M123" s="25" t="n">
        <v>10.7261114120483</v>
      </c>
      <c r="N123" s="25" t="n">
        <v>288.150665283203</v>
      </c>
      <c r="O123" s="25" t="n">
        <v>225.324722290039</v>
      </c>
      <c r="P123" s="25" t="n">
        <v>26.1009941101074</v>
      </c>
      <c r="Q123" s="25" t="n">
        <v>77.9262390136719</v>
      </c>
      <c r="R123" s="25" t="n">
        <v>21.8129768371582</v>
      </c>
      <c r="S123" s="25" t="n">
        <v>0.891918361186981</v>
      </c>
      <c r="T123" s="25" t="n">
        <v>0.459812670946121</v>
      </c>
      <c r="U123" s="25" t="n">
        <v>0.130213484168053</v>
      </c>
      <c r="V123" s="25" t="n">
        <v>6.63663959503174</v>
      </c>
      <c r="W123" s="25" t="n">
        <v>0.238277658820152</v>
      </c>
      <c r="X123" s="25" t="n">
        <v>1.21289575099945</v>
      </c>
      <c r="Y123" s="25" t="n">
        <v>1937.75183105469</v>
      </c>
      <c r="Z123" s="25" t="n">
        <v>3.22998404502869</v>
      </c>
      <c r="AA123" s="25" t="n">
        <v>18.1547889709473</v>
      </c>
      <c r="AB123" s="25" t="n">
        <v>24.6755542755127</v>
      </c>
      <c r="AC123" s="25" t="n">
        <v>0.0683473721146584</v>
      </c>
      <c r="AD123" s="25" t="n">
        <v>0.0390880033373833</v>
      </c>
      <c r="AE123" s="25" t="n">
        <v>2.19314408302307</v>
      </c>
      <c r="AF123" s="25" t="n">
        <v>0.448616027832031</v>
      </c>
      <c r="AG123" s="25" t="n">
        <v>0.215666562318802</v>
      </c>
      <c r="AH123" s="25" t="n">
        <v>2.40611815452576</v>
      </c>
      <c r="AI123" s="25" t="n">
        <v>29.7038841247559</v>
      </c>
      <c r="AJ123" s="6" t="n">
        <v>344.3</v>
      </c>
      <c r="AK123" s="6" t="n">
        <v>521</v>
      </c>
      <c r="AL123" s="26"/>
    </row>
    <row r="124" customFormat="false" ht="15" hidden="false" customHeight="false" outlineLevel="0" collapsed="false">
      <c r="A124" s="6" t="s">
        <v>3142</v>
      </c>
      <c r="B124" s="6" t="s">
        <v>3143</v>
      </c>
      <c r="C124" s="6" t="s">
        <v>3112</v>
      </c>
      <c r="D124" s="13" t="n">
        <v>133.669219970703</v>
      </c>
      <c r="E124" s="25" t="n">
        <v>6.22430181503296</v>
      </c>
      <c r="F124" s="25" t="n">
        <v>13.9554967880249</v>
      </c>
      <c r="G124" s="25" t="n">
        <v>6.11728286743164</v>
      </c>
      <c r="H124" s="25" t="n">
        <v>1.26888048648834</v>
      </c>
      <c r="I124" s="25" t="n">
        <v>2.84316968917847</v>
      </c>
      <c r="J124" s="25" t="n">
        <v>3.32153979492188</v>
      </c>
      <c r="K124" s="25" t="n">
        <v>1.71581079101563</v>
      </c>
      <c r="L124" s="25" t="n">
        <v>0.431157745361328</v>
      </c>
      <c r="M124" s="25" t="n">
        <v>55.6704406738281</v>
      </c>
      <c r="N124" s="25" t="n">
        <v>241.959350585938</v>
      </c>
      <c r="O124" s="25" t="n">
        <v>176.932067871094</v>
      </c>
      <c r="P124" s="25" t="n">
        <v>99.3016357421875</v>
      </c>
      <c r="Q124" s="25" t="n">
        <v>140.953964233398</v>
      </c>
      <c r="R124" s="25" t="n">
        <v>20.4480495452881</v>
      </c>
      <c r="S124" s="25" t="n">
        <v>0.785044014453888</v>
      </c>
      <c r="T124" s="25" t="n">
        <v>0.729861617088318</v>
      </c>
      <c r="U124" s="25" t="n">
        <v>0.0907672941684723</v>
      </c>
      <c r="V124" s="25" t="n">
        <v>8.65802478790283</v>
      </c>
      <c r="W124" s="25" t="n">
        <v>0.194088041782379</v>
      </c>
      <c r="X124" s="25" t="n">
        <v>61.167293548584</v>
      </c>
      <c r="Y124" s="25" t="n">
        <v>1462.23522949219</v>
      </c>
      <c r="Z124" s="25" t="n">
        <v>0.433672964572907</v>
      </c>
      <c r="AA124" s="25" t="n">
        <v>8.17635250091553</v>
      </c>
      <c r="AB124" s="25" t="n">
        <v>6.08679246902466</v>
      </c>
      <c r="AC124" s="25" t="n">
        <v>0.0736603736877441</v>
      </c>
      <c r="AD124" s="25" t="n">
        <v>0.0934716984629631</v>
      </c>
      <c r="AE124" s="25" t="n">
        <v>0.67427670955658</v>
      </c>
      <c r="AF124" s="25" t="n">
        <v>0.552327036857605</v>
      </c>
      <c r="AG124" s="25" t="n">
        <v>0.118452832102776</v>
      </c>
      <c r="AH124" s="25" t="n">
        <v>4.42602491378784</v>
      </c>
      <c r="AI124" s="25" t="n">
        <v>23.8418731689453</v>
      </c>
      <c r="AJ124" s="6" t="n">
        <v>397.5</v>
      </c>
      <c r="AK124" s="6" t="n">
        <v>531.3</v>
      </c>
      <c r="AL124" s="26"/>
    </row>
    <row r="125" customFormat="false" ht="15" hidden="false" customHeight="false" outlineLevel="0" collapsed="false">
      <c r="A125" s="6" t="s">
        <v>3144</v>
      </c>
      <c r="B125" s="6" t="s">
        <v>3145</v>
      </c>
      <c r="C125" s="6" t="s">
        <v>3112</v>
      </c>
      <c r="D125" s="13" t="n">
        <v>508.322021484375</v>
      </c>
      <c r="E125" s="25" t="n">
        <v>2.4087061882019</v>
      </c>
      <c r="F125" s="25" t="n">
        <v>7.81514167785645</v>
      </c>
      <c r="G125" s="25" t="n">
        <v>52.0803070068359</v>
      </c>
      <c r="H125" s="25" t="n">
        <v>0.592589199542999</v>
      </c>
      <c r="I125" s="25" t="n">
        <v>1.83489847183228</v>
      </c>
      <c r="J125" s="25" t="n">
        <v>7.37375</v>
      </c>
      <c r="K125" s="25" t="n">
        <v>10.79581640625</v>
      </c>
      <c r="L125" s="25" t="n">
        <v>31.6063828125</v>
      </c>
      <c r="M125" s="25" t="n">
        <v>3.83283042907715</v>
      </c>
      <c r="N125" s="25" t="n">
        <v>104.136260986328</v>
      </c>
      <c r="O125" s="25" t="n">
        <v>68.2813949584961</v>
      </c>
      <c r="P125" s="25" t="n">
        <v>40.594295501709</v>
      </c>
      <c r="Q125" s="25" t="n">
        <v>39.5867729187012</v>
      </c>
      <c r="R125" s="25" t="n">
        <v>8.72673606872559</v>
      </c>
      <c r="S125" s="25" t="n">
        <v>0.31662067770958</v>
      </c>
      <c r="T125" s="25" t="n">
        <v>0.316636294126511</v>
      </c>
      <c r="U125" s="25" t="n">
        <v>0.0467049144208431</v>
      </c>
      <c r="V125" s="25" t="n">
        <v>2.67376208305359</v>
      </c>
      <c r="W125" s="25" t="n">
        <v>0.100341647863388</v>
      </c>
      <c r="X125" s="25" t="n">
        <v>17.420166015625</v>
      </c>
      <c r="Y125" s="25" t="n">
        <v>1266.57836914063</v>
      </c>
      <c r="Z125" s="25" t="n">
        <v>24.567195892334</v>
      </c>
      <c r="AA125" s="25" t="n">
        <v>9.18859100341797</v>
      </c>
      <c r="AB125" s="25" t="n">
        <v>5.97211694717407</v>
      </c>
      <c r="AC125" s="25" t="n">
        <v>0.0284041613340378</v>
      </c>
      <c r="AD125" s="25" t="n">
        <v>0.0223779901862145</v>
      </c>
      <c r="AE125" s="25" t="n">
        <v>0.357985615730286</v>
      </c>
      <c r="AF125" s="25" t="n">
        <v>0.129298835992813</v>
      </c>
      <c r="AG125" s="25" t="n">
        <v>0.0371688194572926</v>
      </c>
      <c r="AH125" s="25" t="n">
        <v>1.56831097602844</v>
      </c>
      <c r="AI125" s="25" t="n">
        <v>12.0087900161743</v>
      </c>
      <c r="AJ125" s="6" t="n">
        <v>965.6</v>
      </c>
      <c r="AK125" s="6" t="n">
        <v>4908.4</v>
      </c>
      <c r="AL125" s="26" t="s">
        <v>3146</v>
      </c>
    </row>
    <row r="126" customFormat="false" ht="15" hidden="false" customHeight="false" outlineLevel="0" collapsed="false">
      <c r="A126" s="6" t="s">
        <v>3147</v>
      </c>
      <c r="B126" s="6" t="s">
        <v>3148</v>
      </c>
      <c r="C126" s="6" t="s">
        <v>3112</v>
      </c>
      <c r="D126" s="13" t="n">
        <v>177.400619506836</v>
      </c>
      <c r="E126" s="25" t="n">
        <v>5.04076480865479</v>
      </c>
      <c r="F126" s="25" t="n">
        <v>20.8721218109131</v>
      </c>
      <c r="G126" s="25" t="n">
        <v>8.70963668823242</v>
      </c>
      <c r="H126" s="25" t="n">
        <v>1.0915105342865</v>
      </c>
      <c r="I126" s="25" t="n">
        <v>4.50156784057617</v>
      </c>
      <c r="J126" s="25" t="n">
        <v>2.13686010742188</v>
      </c>
      <c r="K126" s="25" t="n">
        <v>4.9203857421875</v>
      </c>
      <c r="L126" s="25" t="n">
        <v>1.07245886230469</v>
      </c>
      <c r="M126" s="25" t="n">
        <v>2.29445505142212</v>
      </c>
      <c r="N126" s="25" t="n">
        <v>283.370330810547</v>
      </c>
      <c r="O126" s="25" t="n">
        <v>202.220840454102</v>
      </c>
      <c r="P126" s="25" t="n">
        <v>67.6718902587891</v>
      </c>
      <c r="Q126" s="25" t="n">
        <v>87.0061187744141</v>
      </c>
      <c r="R126" s="25" t="n">
        <v>21.9261951446533</v>
      </c>
      <c r="S126" s="25" t="n">
        <v>0.900401532649994</v>
      </c>
      <c r="T126" s="25" t="n">
        <v>0.665277242660523</v>
      </c>
      <c r="U126" s="25" t="n">
        <v>0.114646270871162</v>
      </c>
      <c r="V126" s="25" t="n">
        <v>6.88743782043457</v>
      </c>
      <c r="W126" s="25" t="n">
        <v>0.298527717590332</v>
      </c>
      <c r="X126" s="25" t="n">
        <v>5.96558332443237</v>
      </c>
      <c r="Y126" s="25" t="n">
        <v>1013.17016601563</v>
      </c>
      <c r="Z126" s="25" t="n">
        <v>1.06063103675842</v>
      </c>
      <c r="AA126" s="25" t="n">
        <v>6.79101324081421</v>
      </c>
      <c r="AB126" s="25" t="n">
        <v>6.25124311447144</v>
      </c>
      <c r="AC126" s="25" t="n">
        <v>0.0754493325948715</v>
      </c>
      <c r="AD126" s="25" t="n">
        <v>0.0298279151320458</v>
      </c>
      <c r="AE126" s="25" t="n">
        <v>1.16434037685394</v>
      </c>
      <c r="AF126" s="25" t="n">
        <v>0.367418736219406</v>
      </c>
      <c r="AG126" s="25" t="n">
        <v>0.102313578128815</v>
      </c>
      <c r="AH126" s="25" t="n">
        <v>3.50227546691895</v>
      </c>
      <c r="AI126" s="25" t="n">
        <v>23.0198669433594</v>
      </c>
      <c r="AJ126" s="6" t="n">
        <v>261.5</v>
      </c>
      <c r="AK126" s="6" t="n">
        <v>463.9</v>
      </c>
      <c r="AL126" s="26"/>
    </row>
    <row r="127" customFormat="false" ht="15" hidden="false" customHeight="false" outlineLevel="0" collapsed="false">
      <c r="A127" s="6" t="s">
        <v>3149</v>
      </c>
      <c r="B127" s="6" t="s">
        <v>3150</v>
      </c>
      <c r="C127" s="6" t="s">
        <v>3112</v>
      </c>
      <c r="D127" s="13" t="n">
        <v>125.172897338867</v>
      </c>
      <c r="E127" s="25" t="n">
        <v>5.8375415802002</v>
      </c>
      <c r="F127" s="25" t="n">
        <v>11.6017847061157</v>
      </c>
      <c r="G127" s="25" t="n">
        <v>6.46637964248657</v>
      </c>
      <c r="H127" s="25" t="n">
        <v>0.804002106189728</v>
      </c>
      <c r="I127" s="25" t="n">
        <v>5.9933352470398</v>
      </c>
      <c r="J127" s="25" t="n">
        <v>2.68304028320313</v>
      </c>
      <c r="K127" s="25" t="n">
        <v>1.88461315917969</v>
      </c>
      <c r="L127" s="25" t="n">
        <v>1.35111853027344</v>
      </c>
      <c r="M127" s="25" t="n">
        <v>27.1872215270996</v>
      </c>
      <c r="N127" s="25" t="n">
        <v>231.165328979492</v>
      </c>
      <c r="O127" s="25" t="n">
        <v>215.222412109375</v>
      </c>
      <c r="P127" s="25" t="n">
        <v>55.2768859863281</v>
      </c>
      <c r="Q127" s="25" t="n">
        <v>100.043838500977</v>
      </c>
      <c r="R127" s="25" t="n">
        <v>17.0887107849121</v>
      </c>
      <c r="S127" s="25" t="n">
        <v>0.819957435131073</v>
      </c>
      <c r="T127" s="25" t="n">
        <v>0.887630105018616</v>
      </c>
      <c r="U127" s="25" t="n">
        <v>0.0725902691483498</v>
      </c>
      <c r="V127" s="25" t="n">
        <v>3.26376247406006</v>
      </c>
      <c r="W127" s="25" t="n">
        <v>0.174938783049583</v>
      </c>
      <c r="X127" s="25" t="n">
        <v>24.0419998168945</v>
      </c>
      <c r="Y127" s="25" t="n">
        <v>1010.47497558594</v>
      </c>
      <c r="Z127" s="25" t="n">
        <v>1.00098741054535</v>
      </c>
      <c r="AA127" s="25" t="n">
        <v>4.95468091964722</v>
      </c>
      <c r="AB127" s="25" t="n">
        <v>7.06539344787598</v>
      </c>
      <c r="AC127" s="25" t="n">
        <v>0.196549639105797</v>
      </c>
      <c r="AD127" s="25" t="n">
        <v>0.0876767486333847</v>
      </c>
      <c r="AE127" s="25" t="n">
        <v>1.43834805488586</v>
      </c>
      <c r="AF127" s="25" t="n">
        <v>0.37599515914917</v>
      </c>
      <c r="AG127" s="25" t="n">
        <v>0.0984882488846779</v>
      </c>
      <c r="AH127" s="25" t="n">
        <v>1.79494369029999</v>
      </c>
      <c r="AI127" s="25" t="n">
        <v>13.3867177963257</v>
      </c>
      <c r="AJ127" s="6" t="n">
        <v>831.4</v>
      </c>
      <c r="AK127" s="6" t="n">
        <v>1040.7</v>
      </c>
      <c r="AL127" s="26"/>
    </row>
    <row r="128" customFormat="false" ht="15" hidden="false" customHeight="false" outlineLevel="0" collapsed="false">
      <c r="A128" s="6" t="s">
        <v>3151</v>
      </c>
      <c r="B128" s="6" t="s">
        <v>3152</v>
      </c>
      <c r="C128" s="6" t="s">
        <v>3112</v>
      </c>
      <c r="D128" s="13" t="n">
        <v>187.49153137207</v>
      </c>
      <c r="E128" s="25" t="n">
        <v>10.4524202346802</v>
      </c>
      <c r="F128" s="25" t="n">
        <v>13.9022741317749</v>
      </c>
      <c r="G128" s="25" t="n">
        <v>10.3613996505737</v>
      </c>
      <c r="H128" s="25" t="n">
        <v>0.105753161013126</v>
      </c>
      <c r="I128" s="25" t="n">
        <v>2.74221563339233</v>
      </c>
      <c r="J128" s="25" t="n">
        <v>5.06230126953125</v>
      </c>
      <c r="K128" s="25" t="n">
        <v>2.431580078125</v>
      </c>
      <c r="L128" s="25" t="n">
        <v>0.487582122802734</v>
      </c>
      <c r="M128" s="25" t="n">
        <v>50.3814392089844</v>
      </c>
      <c r="N128" s="25" t="n">
        <v>238.552154541016</v>
      </c>
      <c r="O128" s="25" t="n">
        <v>176.851318359375</v>
      </c>
      <c r="P128" s="25" t="n">
        <v>119.98299407959</v>
      </c>
      <c r="Q128" s="25" t="n">
        <v>190.023315429688</v>
      </c>
      <c r="R128" s="25" t="n">
        <v>18.1132164001465</v>
      </c>
      <c r="S128" s="25" t="n">
        <v>0.6449174284935</v>
      </c>
      <c r="T128" s="25" t="n">
        <v>0.80415940284729</v>
      </c>
      <c r="U128" s="25" t="n">
        <v>0.120252676308155</v>
      </c>
      <c r="V128" s="25" t="n">
        <v>9.9234790802002</v>
      </c>
      <c r="W128" s="25" t="n">
        <v>0.122827991843224</v>
      </c>
      <c r="X128" s="25" t="n">
        <v>81.4480056762695</v>
      </c>
      <c r="Y128" s="25" t="n">
        <v>126.092323303223</v>
      </c>
      <c r="Z128" s="25" t="n">
        <v>0.401448011398315</v>
      </c>
      <c r="AA128" s="25" t="n">
        <v>0.764042794704437</v>
      </c>
      <c r="AB128" s="25" t="n">
        <v>0.822157442569733</v>
      </c>
      <c r="AC128" s="25" t="n">
        <v>0.0665306150913239</v>
      </c>
      <c r="AD128" s="25" t="n">
        <v>0.104820214211941</v>
      </c>
      <c r="AE128" s="25" t="n">
        <v>2.39922261238098</v>
      </c>
      <c r="AF128" s="25" t="n">
        <v>0.649436354637146</v>
      </c>
      <c r="AG128" s="25" t="n">
        <v>0.177920311689377</v>
      </c>
      <c r="AH128" s="25" t="n">
        <v>3.43778419494629</v>
      </c>
      <c r="AI128" s="25" t="n">
        <v>11.8608160018921</v>
      </c>
      <c r="AJ128" s="6" t="n">
        <v>514.5</v>
      </c>
      <c r="AK128" s="6" t="n">
        <v>964.6</v>
      </c>
      <c r="AL128" s="26"/>
    </row>
    <row r="129" customFormat="false" ht="15" hidden="false" customHeight="false" outlineLevel="0" collapsed="false">
      <c r="A129" s="6" t="s">
        <v>3153</v>
      </c>
      <c r="B129" s="6" t="s">
        <v>3154</v>
      </c>
      <c r="C129" s="6" t="s">
        <v>3112</v>
      </c>
      <c r="D129" s="13" t="n">
        <v>129.206726074219</v>
      </c>
      <c r="E129" s="25" t="n">
        <v>3.10357475280762</v>
      </c>
      <c r="F129" s="25" t="n">
        <v>12.1892805099487</v>
      </c>
      <c r="G129" s="25" t="n">
        <v>7.82833957672119</v>
      </c>
      <c r="H129" s="25" t="n">
        <v>0.773255169391632</v>
      </c>
      <c r="I129" s="25" t="n">
        <v>1.1831419467926</v>
      </c>
      <c r="J129" s="25" t="n">
        <v>2.89878247070313</v>
      </c>
      <c r="K129" s="25" t="n">
        <v>3.75731298828125</v>
      </c>
      <c r="L129" s="25" t="n">
        <v>0.628938537597656</v>
      </c>
      <c r="M129" s="25" t="n">
        <v>10.2891902923584</v>
      </c>
      <c r="N129" s="25" t="n">
        <v>153.590896606445</v>
      </c>
      <c r="O129" s="25" t="n">
        <v>247.352767944336</v>
      </c>
      <c r="P129" s="25" t="n">
        <v>53.6679725646973</v>
      </c>
      <c r="Q129" s="25" t="n">
        <v>64.0387496948242</v>
      </c>
      <c r="R129" s="25" t="n">
        <v>34.1937942504883</v>
      </c>
      <c r="S129" s="25" t="n">
        <v>1.28083920478821</v>
      </c>
      <c r="T129" s="25" t="n">
        <v>0.430125027894974</v>
      </c>
      <c r="U129" s="25" t="n">
        <v>0.101496070623398</v>
      </c>
      <c r="V129" s="25" t="n">
        <v>3.86158061027527</v>
      </c>
      <c r="W129" s="25" t="n">
        <v>0.463496744632721</v>
      </c>
      <c r="X129" s="25" t="n">
        <v>45.5720443725586</v>
      </c>
      <c r="Y129" s="25" t="n">
        <v>2774.56762695313</v>
      </c>
      <c r="Z129" s="25" t="n">
        <v>0.686671912670136</v>
      </c>
      <c r="AA129" s="25" t="n">
        <v>94.4301147460938</v>
      </c>
      <c r="AB129" s="25" t="n">
        <v>10.8032245635986</v>
      </c>
      <c r="AC129" s="25" t="n">
        <v>0.077115423977375</v>
      </c>
      <c r="AD129" s="25" t="n">
        <v>0.0548951104283333</v>
      </c>
      <c r="AE129" s="25" t="n">
        <v>0.611260116100311</v>
      </c>
      <c r="AF129" s="25" t="n">
        <v>0.218937575817108</v>
      </c>
      <c r="AG129" s="25" t="n">
        <v>0.078717939555645</v>
      </c>
      <c r="AH129" s="25" t="n">
        <v>1.64077997207642</v>
      </c>
      <c r="AI129" s="25" t="n">
        <v>48.1275787353516</v>
      </c>
      <c r="AJ129" s="6" t="n">
        <v>355.1</v>
      </c>
      <c r="AK129" s="6" t="n">
        <v>458.9</v>
      </c>
      <c r="AL129" s="26"/>
    </row>
    <row r="130" customFormat="false" ht="15" hidden="false" customHeight="false" outlineLevel="0" collapsed="false">
      <c r="A130" s="6" t="s">
        <v>791</v>
      </c>
      <c r="B130" s="6" t="s">
        <v>790</v>
      </c>
      <c r="C130" s="6" t="s">
        <v>3155</v>
      </c>
      <c r="D130" s="13" t="n">
        <v>286.449645996094</v>
      </c>
      <c r="E130" s="25" t="n">
        <v>8.05210018157959</v>
      </c>
      <c r="F130" s="25" t="n">
        <v>51.7541999816895</v>
      </c>
      <c r="G130" s="25" t="n">
        <v>4.98783731460571</v>
      </c>
      <c r="H130" s="25" t="n">
        <v>1.90918493270874</v>
      </c>
      <c r="I130" s="25" t="n">
        <v>5.58630084991455</v>
      </c>
      <c r="J130" s="25" t="n">
        <v>2.7494765625</v>
      </c>
      <c r="K130" s="25" t="n">
        <v>1.21912231445313</v>
      </c>
      <c r="L130" s="25" t="n">
        <v>0.438432586669922</v>
      </c>
      <c r="M130" s="25" t="n">
        <v>10.1504707336426</v>
      </c>
      <c r="N130" s="25" t="n">
        <v>326.108947753906</v>
      </c>
      <c r="O130" s="25" t="n">
        <v>166.238250732422</v>
      </c>
      <c r="P130" s="25" t="n">
        <v>88.0062713623047</v>
      </c>
      <c r="Q130" s="25" t="n">
        <v>245.772415161133</v>
      </c>
      <c r="R130" s="25" t="n">
        <v>27.5272731781006</v>
      </c>
      <c r="S130" s="25" t="n">
        <v>1.29250776767731</v>
      </c>
      <c r="T130" s="25" t="n">
        <v>0.797084629535675</v>
      </c>
      <c r="U130" s="25" t="n">
        <v>0.125454545021057</v>
      </c>
      <c r="V130" s="25" t="n">
        <v>0.46924763917923</v>
      </c>
      <c r="W130" s="25" t="n">
        <v>0.452194362878799</v>
      </c>
      <c r="X130" s="25" t="n">
        <v>39.9749221801758</v>
      </c>
      <c r="Y130" s="25" t="n">
        <v>238.352508544922</v>
      </c>
      <c r="Z130" s="25" t="n">
        <v>0.195297807455063</v>
      </c>
      <c r="AA130" s="25" t="n">
        <v>1.56858932971954</v>
      </c>
      <c r="AB130" s="25" t="n">
        <v>0.433855801820755</v>
      </c>
      <c r="AC130" s="25" t="n">
        <v>0.112852670252323</v>
      </c>
      <c r="AD130" s="25" t="n">
        <v>0.0973040759563446</v>
      </c>
      <c r="AE130" s="25" t="n">
        <v>0.567836999893189</v>
      </c>
      <c r="AF130" s="25" t="n">
        <v>0.575360536575317</v>
      </c>
      <c r="AG130" s="25" t="n">
        <v>0.0733855813741684</v>
      </c>
      <c r="AH130" s="25" t="n">
        <v>1.03840124607086</v>
      </c>
      <c r="AI130" s="25" t="n">
        <v>14.2248277664185</v>
      </c>
      <c r="AJ130" s="6" t="n">
        <v>53.2</v>
      </c>
      <c r="AK130" s="6" t="n">
        <v>152.3</v>
      </c>
      <c r="AL130" s="26"/>
    </row>
    <row r="131" customFormat="false" ht="15" hidden="false" customHeight="false" outlineLevel="0" collapsed="false">
      <c r="A131" s="6" t="s">
        <v>835</v>
      </c>
      <c r="B131" s="6" t="s">
        <v>833</v>
      </c>
      <c r="C131" s="6" t="s">
        <v>3156</v>
      </c>
      <c r="D131" s="13" t="n">
        <v>793.202941894531</v>
      </c>
      <c r="E131" s="25" t="n">
        <v>1.63039934635162</v>
      </c>
      <c r="F131" s="25" t="n">
        <v>10.7339630126953</v>
      </c>
      <c r="G131" s="25" t="n">
        <v>82.5638427734375</v>
      </c>
      <c r="H131" s="25" t="n">
        <v>0.379218548536301</v>
      </c>
      <c r="I131" s="25" t="n">
        <v>0.694203495979309</v>
      </c>
      <c r="J131" s="25" t="n">
        <v>9.9718056640625</v>
      </c>
      <c r="K131" s="25" t="n">
        <v>16.93405078125</v>
      </c>
      <c r="L131" s="25" t="n">
        <v>52.23433203125</v>
      </c>
      <c r="M131" s="25" t="n">
        <v>0.377844572067261</v>
      </c>
      <c r="N131" s="25" t="n">
        <v>28.3009014129639</v>
      </c>
      <c r="O131" s="25" t="n">
        <v>30.0665531158447</v>
      </c>
      <c r="P131" s="25" t="n">
        <v>12.1159296035767</v>
      </c>
      <c r="Q131" s="25" t="n">
        <v>39.0528106689453</v>
      </c>
      <c r="R131" s="25" t="n">
        <v>4.89214277267456</v>
      </c>
      <c r="S131" s="25" t="n">
        <v>0.329411774873734</v>
      </c>
      <c r="T131" s="25" t="n">
        <v>0.151137828826904</v>
      </c>
      <c r="U131" s="25" t="n">
        <v>0.0318076424300671</v>
      </c>
      <c r="V131" s="25" t="n">
        <v>0.0686990171670914</v>
      </c>
      <c r="W131" s="25" t="n">
        <v>0.0865607559680939</v>
      </c>
      <c r="X131" s="25" t="n">
        <v>0.961786150932312</v>
      </c>
      <c r="Y131" s="25" t="n">
        <v>37.8188056945801</v>
      </c>
      <c r="Z131" s="25" t="n">
        <v>40.5849723815918</v>
      </c>
      <c r="AA131" s="25" t="n">
        <v>5.3310432434082</v>
      </c>
      <c r="AB131" s="25" t="n">
        <v>0.0343495085835457</v>
      </c>
      <c r="AC131" s="25" t="n">
        <v>0.0226706732064486</v>
      </c>
      <c r="AD131" s="25" t="n">
        <v>0.0175182484090328</v>
      </c>
      <c r="AE131" s="25" t="n">
        <v>0.112666383385658</v>
      </c>
      <c r="AF131" s="25" t="n">
        <v>0.116101324558258</v>
      </c>
      <c r="AG131" s="25" t="n">
        <v>0.0144267929717898</v>
      </c>
      <c r="AH131" s="25" t="n">
        <v>0.168999567627907</v>
      </c>
      <c r="AI131" s="25" t="n">
        <v>2.85100889205933</v>
      </c>
      <c r="AJ131" s="6" t="n">
        <v>145.6</v>
      </c>
      <c r="AK131" s="6" t="n">
        <v>1154.6</v>
      </c>
      <c r="AL131" s="26" t="s">
        <v>3100</v>
      </c>
    </row>
    <row r="132" customFormat="false" ht="15" hidden="false" customHeight="false" outlineLevel="0" collapsed="false">
      <c r="A132" s="6" t="s">
        <v>642</v>
      </c>
      <c r="B132" s="6" t="s">
        <v>640</v>
      </c>
      <c r="C132" s="6" t="s">
        <v>3157</v>
      </c>
      <c r="D132" s="13" t="n">
        <v>137.535263061523</v>
      </c>
      <c r="E132" s="25" t="n">
        <v>4.63740634918213</v>
      </c>
      <c r="F132" s="25" t="n">
        <v>28.1775569915772</v>
      </c>
      <c r="G132" s="25" t="n">
        <v>0.33316707611084</v>
      </c>
      <c r="H132" s="25" t="n">
        <v>2.30922698974609</v>
      </c>
      <c r="I132" s="25" t="n">
        <v>0.28428927063942</v>
      </c>
      <c r="J132" s="25" t="n">
        <v>0.0724189529418945</v>
      </c>
      <c r="K132" s="25" t="n">
        <v>0.0444867820739746</v>
      </c>
      <c r="L132" s="25" t="n">
        <v>0.138653366088867</v>
      </c>
      <c r="M132" s="25" t="n">
        <v>0</v>
      </c>
      <c r="N132" s="25" t="n">
        <v>100.833915710449</v>
      </c>
      <c r="O132" s="25" t="n">
        <v>158.127182006836</v>
      </c>
      <c r="P132" s="25" t="n">
        <v>8.00498771667481</v>
      </c>
      <c r="Q132" s="25" t="n">
        <v>79.3042373657227</v>
      </c>
      <c r="R132" s="25" t="n">
        <v>25.4423923492432</v>
      </c>
      <c r="S132" s="25" t="n">
        <v>0.682044923305512</v>
      </c>
      <c r="T132" s="25" t="n">
        <v>0.622693300247192</v>
      </c>
      <c r="U132" s="25" t="n">
        <v>0.144837915897369</v>
      </c>
      <c r="V132" s="25" t="n">
        <v>2.74912714958191</v>
      </c>
      <c r="W132" s="25" t="n">
        <v>0.38204488158226</v>
      </c>
      <c r="X132" s="25" t="n">
        <v>0</v>
      </c>
      <c r="Y132" s="25" t="n">
        <v>41.8653373718262</v>
      </c>
      <c r="Z132" s="25" t="n">
        <v>0.0438902750611305</v>
      </c>
      <c r="AA132" s="25" t="n">
        <v>1.27680790424347</v>
      </c>
      <c r="AB132" s="25" t="n">
        <v>0</v>
      </c>
      <c r="AC132" s="25" t="n">
        <v>0.0718204453587532</v>
      </c>
      <c r="AD132" s="25" t="n">
        <v>0.026932667940855</v>
      </c>
      <c r="AE132" s="25" t="n">
        <v>0.926683306694031</v>
      </c>
      <c r="AF132" s="25" t="n">
        <v>0.458852857351303</v>
      </c>
      <c r="AG132" s="25" t="n">
        <v>0.0877805501222611</v>
      </c>
      <c r="AH132" s="25" t="n">
        <v>0.173566088080406</v>
      </c>
      <c r="AI132" s="25" t="n">
        <v>11.7705736160278</v>
      </c>
      <c r="AJ132" s="6" t="n">
        <v>25.1</v>
      </c>
      <c r="AK132" s="6" t="n">
        <v>34.5</v>
      </c>
      <c r="AL132" s="26"/>
    </row>
    <row r="133" customFormat="false" ht="15" hidden="false" customHeight="false" outlineLevel="0" collapsed="false">
      <c r="A133" s="6" t="s">
        <v>666</v>
      </c>
      <c r="B133" s="6" t="s">
        <v>665</v>
      </c>
      <c r="C133" s="6" t="s">
        <v>3158</v>
      </c>
      <c r="D133" s="13" t="n">
        <v>164.584671020508</v>
      </c>
      <c r="E133" s="25" t="n">
        <v>3.28772735595703</v>
      </c>
      <c r="F133" s="25" t="n">
        <v>19.5665874481201</v>
      </c>
      <c r="G133" s="25" t="n">
        <v>7.84035730361939</v>
      </c>
      <c r="H133" s="25" t="n">
        <v>2.52274942398071</v>
      </c>
      <c r="I133" s="25" t="n">
        <v>1.32723867893219</v>
      </c>
      <c r="J133" s="25" t="n">
        <v>0.964811218261719</v>
      </c>
      <c r="K133" s="25" t="n">
        <v>1.60959436035156</v>
      </c>
      <c r="L133" s="25" t="n">
        <v>4.86707666015625</v>
      </c>
      <c r="M133" s="25" t="n">
        <v>0</v>
      </c>
      <c r="N133" s="25" t="n">
        <v>191.277709960938</v>
      </c>
      <c r="O133" s="25" t="n">
        <v>271.770080566406</v>
      </c>
      <c r="P133" s="25" t="n">
        <v>15.5823907852173</v>
      </c>
      <c r="Q133" s="25" t="n">
        <v>62.5735816955566</v>
      </c>
      <c r="R133" s="25" t="n">
        <v>26.623254776001</v>
      </c>
      <c r="S133" s="25" t="n">
        <v>0.786733388900757</v>
      </c>
      <c r="T133" s="25" t="n">
        <v>0.495284855365753</v>
      </c>
      <c r="U133" s="25" t="n">
        <v>0.131035462021828</v>
      </c>
      <c r="V133" s="25" t="n">
        <v>2.33524632453919</v>
      </c>
      <c r="W133" s="25" t="n">
        <v>0.312983810901642</v>
      </c>
      <c r="X133" s="25" t="n">
        <v>0</v>
      </c>
      <c r="Y133" s="25" t="n">
        <v>1008.08898925781</v>
      </c>
      <c r="Z133" s="25" t="n">
        <v>3.70809006690979</v>
      </c>
      <c r="AA133" s="25" t="n">
        <v>5.95752763748169</v>
      </c>
      <c r="AB133" s="25" t="n">
        <v>6.74607086181641</v>
      </c>
      <c r="AC133" s="25" t="n">
        <v>0.0641780942678452</v>
      </c>
      <c r="AD133" s="25" t="n">
        <v>0.0263727847486734</v>
      </c>
      <c r="AE133" s="25" t="n">
        <v>0.840722560882568</v>
      </c>
      <c r="AF133" s="25" t="n">
        <v>0.393957257270813</v>
      </c>
      <c r="AG133" s="25" t="n">
        <v>0.0933598875999451</v>
      </c>
      <c r="AH133" s="25" t="n">
        <v>0.901422739028931</v>
      </c>
      <c r="AI133" s="25" t="n">
        <v>17.0542526245117</v>
      </c>
      <c r="AJ133" s="6" t="n">
        <v>209.7</v>
      </c>
      <c r="AK133" s="6" t="n">
        <v>345.1</v>
      </c>
      <c r="AL133" s="26"/>
    </row>
    <row r="134" customFormat="false" ht="15" hidden="false" customHeight="false" outlineLevel="0" collapsed="false">
      <c r="A134" s="6" t="s">
        <v>677</v>
      </c>
      <c r="B134" s="6" t="s">
        <v>3159</v>
      </c>
      <c r="C134" s="6" t="s">
        <v>3158</v>
      </c>
      <c r="D134" s="13" t="n">
        <v>227.052093505859</v>
      </c>
      <c r="E134" s="25" t="n">
        <v>7.3002200126648</v>
      </c>
      <c r="F134" s="25" t="n">
        <v>32.8408279418945</v>
      </c>
      <c r="G134" s="25" t="n">
        <v>7.11666631698608</v>
      </c>
      <c r="H134" s="25" t="n">
        <v>4.04446697235107</v>
      </c>
      <c r="I134" s="25" t="n">
        <v>4.37447118759155</v>
      </c>
      <c r="J134" s="25" t="n">
        <v>1.50263342285156</v>
      </c>
      <c r="K134" s="25" t="n">
        <v>1.51292553710938</v>
      </c>
      <c r="L134" s="25" t="n">
        <v>3.66550634765625</v>
      </c>
      <c r="M134" s="25" t="n">
        <v>4.5886402130127</v>
      </c>
      <c r="N134" s="25" t="n">
        <v>202.360229492188</v>
      </c>
      <c r="O134" s="25" t="n">
        <v>254.062728881836</v>
      </c>
      <c r="P134" s="25" t="n">
        <v>116.036766052246</v>
      </c>
      <c r="Q134" s="25" t="n">
        <v>196.558532714844</v>
      </c>
      <c r="R134" s="25" t="n">
        <v>28.1352462768555</v>
      </c>
      <c r="S134" s="25" t="n">
        <v>1.38703608512878</v>
      </c>
      <c r="T134" s="25" t="n">
        <v>1.15549683570862</v>
      </c>
      <c r="U134" s="25" t="n">
        <v>0.187679633498192</v>
      </c>
      <c r="V134" s="25" t="n">
        <v>4.93678092956543</v>
      </c>
      <c r="W134" s="25" t="n">
        <v>0.776918232440949</v>
      </c>
      <c r="X134" s="25" t="n">
        <v>11.6801738739014</v>
      </c>
      <c r="Y134" s="25" t="n">
        <v>457.808410644531</v>
      </c>
      <c r="Z134" s="25" t="n">
        <v>2.81198716163635</v>
      </c>
      <c r="AA134" s="25" t="n">
        <v>5.40825700759888</v>
      </c>
      <c r="AB134" s="25" t="n">
        <v>3.1069815158844</v>
      </c>
      <c r="AC134" s="25" t="n">
        <v>0.140790030360222</v>
      </c>
      <c r="AD134" s="25" t="n">
        <v>0.135982424020767</v>
      </c>
      <c r="AE134" s="25" t="n">
        <v>0.583489060401917</v>
      </c>
      <c r="AF134" s="25" t="n">
        <v>0.547010838985443</v>
      </c>
      <c r="AG134" s="25" t="n">
        <v>0.106636248528957</v>
      </c>
      <c r="AH134" s="25" t="n">
        <v>1.49618875980377</v>
      </c>
      <c r="AI134" s="25" t="n">
        <v>21.6067905426025</v>
      </c>
      <c r="AJ134" s="6" t="n">
        <v>73.4</v>
      </c>
      <c r="AK134" s="6" t="n">
        <v>166.7</v>
      </c>
      <c r="AL134" s="26"/>
    </row>
    <row r="135" customFormat="false" ht="15" hidden="false" customHeight="false" outlineLevel="0" collapsed="false">
      <c r="A135" s="6" t="s">
        <v>709</v>
      </c>
      <c r="B135" s="6" t="s">
        <v>3160</v>
      </c>
      <c r="C135" s="6" t="s">
        <v>3161</v>
      </c>
      <c r="D135" s="13" t="n">
        <v>462.019195556641</v>
      </c>
      <c r="E135" s="25" t="n">
        <v>1.90625059604645</v>
      </c>
      <c r="F135" s="25" t="n">
        <v>11.3159904479981</v>
      </c>
      <c r="G135" s="25" t="n">
        <v>45.3029708862305</v>
      </c>
      <c r="H135" s="25" t="n">
        <v>1.26231849193573</v>
      </c>
      <c r="I135" s="25" t="n">
        <v>0.796848714351654</v>
      </c>
      <c r="J135" s="25" t="n">
        <v>5.4582177734375</v>
      </c>
      <c r="K135" s="25" t="n">
        <v>9.2839345703125</v>
      </c>
      <c r="L135" s="25" t="n">
        <v>28.67117578125</v>
      </c>
      <c r="M135" s="25" t="n">
        <v>0</v>
      </c>
      <c r="N135" s="25" t="n">
        <v>143.526931762695</v>
      </c>
      <c r="O135" s="25" t="n">
        <v>90.2049560546875</v>
      </c>
      <c r="P135" s="25" t="n">
        <v>5.81797075271606</v>
      </c>
      <c r="Q135" s="25" t="n">
        <v>33.4842681884766</v>
      </c>
      <c r="R135" s="25" t="n">
        <v>12.3477907180786</v>
      </c>
      <c r="S135" s="25" t="n">
        <v>0.36414498090744</v>
      </c>
      <c r="T135" s="25" t="n">
        <v>0.270331650972366</v>
      </c>
      <c r="U135" s="25" t="n">
        <v>0.0721716284751892</v>
      </c>
      <c r="V135" s="25" t="n">
        <v>1.02843153476715</v>
      </c>
      <c r="W135" s="25" t="n">
        <v>0.170002326369286</v>
      </c>
      <c r="X135" s="25" t="n">
        <v>0</v>
      </c>
      <c r="Y135" s="25" t="n">
        <v>554.361572265625</v>
      </c>
      <c r="Z135" s="25" t="n">
        <v>22.2767677307129</v>
      </c>
      <c r="AA135" s="25" t="n">
        <v>5.98608779907227</v>
      </c>
      <c r="AB135" s="25" t="n">
        <v>3.4262285232544</v>
      </c>
      <c r="AC135" s="25" t="n">
        <v>0.0337731912732124</v>
      </c>
      <c r="AD135" s="25" t="n">
        <v>0.013151497580111</v>
      </c>
      <c r="AE135" s="25" t="n">
        <v>0.415644019842148</v>
      </c>
      <c r="AF135" s="25" t="n">
        <v>0.209503963589668</v>
      </c>
      <c r="AG135" s="25" t="n">
        <v>0.0500464290380478</v>
      </c>
      <c r="AH135" s="25" t="n">
        <v>0.399168014526367</v>
      </c>
      <c r="AI135" s="25" t="n">
        <v>8.37468433380127</v>
      </c>
      <c r="AJ135" s="6" t="n">
        <v>139.5</v>
      </c>
      <c r="AK135" s="6" t="n">
        <v>644.3</v>
      </c>
      <c r="AL135" s="26"/>
    </row>
    <row r="136" customFormat="false" ht="15" hidden="false" customHeight="false" outlineLevel="0" collapsed="false">
      <c r="A136" s="6" t="s">
        <v>1704</v>
      </c>
      <c r="B136" s="6" t="s">
        <v>3162</v>
      </c>
      <c r="C136" s="6" t="s">
        <v>3163</v>
      </c>
      <c r="D136" s="13" t="n">
        <v>285.942138671875</v>
      </c>
      <c r="E136" s="25" t="n">
        <v>6.91644334793091</v>
      </c>
      <c r="F136" s="25" t="n">
        <v>20.1034698486328</v>
      </c>
      <c r="G136" s="25" t="n">
        <v>19.5544624328613</v>
      </c>
      <c r="H136" s="25" t="n">
        <v>2.40434122085571</v>
      </c>
      <c r="I136" s="25" t="n">
        <v>3.29416155815125</v>
      </c>
      <c r="J136" s="25" t="n">
        <v>3.708314453125</v>
      </c>
      <c r="K136" s="25" t="n">
        <v>4.31995849609375</v>
      </c>
      <c r="L136" s="25" t="n">
        <v>10.424251953125</v>
      </c>
      <c r="M136" s="25" t="n">
        <v>30.8423500061035</v>
      </c>
      <c r="N136" s="25" t="n">
        <v>221.031326293945</v>
      </c>
      <c r="O136" s="25" t="n">
        <v>130.500122070313</v>
      </c>
      <c r="P136" s="25" t="n">
        <v>101.661819458008</v>
      </c>
      <c r="Q136" s="25" t="n">
        <v>131.598480224609</v>
      </c>
      <c r="R136" s="25" t="n">
        <v>29.5531463623047</v>
      </c>
      <c r="S136" s="25" t="n">
        <v>1.41700875759125</v>
      </c>
      <c r="T136" s="25" t="n">
        <v>1.08932781219482</v>
      </c>
      <c r="U136" s="25" t="n">
        <v>0.129531130194664</v>
      </c>
      <c r="V136" s="25" t="n">
        <v>14.558650970459</v>
      </c>
      <c r="W136" s="25" t="n">
        <v>0.568536102771759</v>
      </c>
      <c r="X136" s="25" t="n">
        <v>16.6852054595947</v>
      </c>
      <c r="Y136" s="25" t="n">
        <v>384.664733886719</v>
      </c>
      <c r="Z136" s="25" t="n">
        <v>8.142653465271</v>
      </c>
      <c r="AA136" s="25" t="n">
        <v>4.60800075531006</v>
      </c>
      <c r="AB136" s="25" t="n">
        <v>12.5851850509644</v>
      </c>
      <c r="AC136" s="25" t="n">
        <v>0.0894691050052643</v>
      </c>
      <c r="AD136" s="25" t="n">
        <v>0.0719021111726761</v>
      </c>
      <c r="AE136" s="25" t="n">
        <v>0.556464433670044</v>
      </c>
      <c r="AF136" s="25" t="n">
        <v>0.438744723796845</v>
      </c>
      <c r="AG136" s="25" t="n">
        <v>0.0927043557167053</v>
      </c>
      <c r="AH136" s="25" t="n">
        <v>6.01677656173706</v>
      </c>
      <c r="AI136" s="25" t="n">
        <v>36.4344215393066</v>
      </c>
      <c r="AJ136" s="6" t="n">
        <v>148.3</v>
      </c>
      <c r="AK136" s="6" t="n">
        <v>424.2</v>
      </c>
      <c r="AL136" s="26"/>
    </row>
    <row r="137" customFormat="false" ht="15" hidden="false" customHeight="false" outlineLevel="0" collapsed="false">
      <c r="A137" s="6" t="s">
        <v>816</v>
      </c>
      <c r="B137" s="6" t="s">
        <v>3164</v>
      </c>
      <c r="C137" s="6" t="s">
        <v>3165</v>
      </c>
      <c r="D137" s="13" t="n">
        <v>263.968353271484</v>
      </c>
      <c r="E137" s="25" t="n">
        <v>3.49247074127197</v>
      </c>
      <c r="F137" s="25" t="n">
        <v>24.1919994354248</v>
      </c>
      <c r="G137" s="25" t="n">
        <v>16.8494110107422</v>
      </c>
      <c r="H137" s="25" t="n">
        <v>5.19176483154297</v>
      </c>
      <c r="I137" s="25" t="n">
        <v>0.697647035121918</v>
      </c>
      <c r="J137" s="25" t="n">
        <v>9.4366923828125</v>
      </c>
      <c r="K137" s="25" t="n">
        <v>4.3320166015625</v>
      </c>
      <c r="L137" s="25" t="n">
        <v>1.29736938476563</v>
      </c>
      <c r="M137" s="25" t="n">
        <v>39.0705871582031</v>
      </c>
      <c r="N137" s="25" t="n">
        <v>236.220001220703</v>
      </c>
      <c r="O137" s="25" t="n">
        <v>152.79411315918</v>
      </c>
      <c r="P137" s="25" t="n">
        <v>14.7623529434204</v>
      </c>
      <c r="Q137" s="25" t="n">
        <v>102.017646789551</v>
      </c>
      <c r="R137" s="25" t="n">
        <v>53.5141181945801</v>
      </c>
      <c r="S137" s="25" t="n">
        <v>1.11341178417206</v>
      </c>
      <c r="T137" s="25" t="n">
        <v>0.827647030353546</v>
      </c>
      <c r="U137" s="25" t="n">
        <v>0.162823542952538</v>
      </c>
      <c r="V137" s="25" t="n">
        <v>3.07882356643677</v>
      </c>
      <c r="W137" s="25" t="n">
        <v>0.26235294342041</v>
      </c>
      <c r="X137" s="25" t="n">
        <v>146.435302734375</v>
      </c>
      <c r="Y137" s="25" t="n">
        <v>612.311767578125</v>
      </c>
      <c r="Z137" s="25" t="n">
        <v>1.0430588722229</v>
      </c>
      <c r="AA137" s="25" t="n">
        <v>1.17647063732147</v>
      </c>
      <c r="AB137" s="25" t="n">
        <v>2.34235310554504</v>
      </c>
      <c r="AC137" s="25" t="n">
        <v>0.118823528289795</v>
      </c>
      <c r="AD137" s="25" t="n">
        <v>0.0341176465153694</v>
      </c>
      <c r="AE137" s="25" t="n">
        <v>0.984705865383148</v>
      </c>
      <c r="AF137" s="25" t="n">
        <v>0.137647062540054</v>
      </c>
      <c r="AG137" s="25" t="n">
        <v>0.128235295414925</v>
      </c>
      <c r="AH137" s="25" t="n">
        <v>0.464705884456635</v>
      </c>
      <c r="AI137" s="25" t="n">
        <v>12.609411239624</v>
      </c>
      <c r="AJ137" s="6" t="n">
        <v>85</v>
      </c>
      <c r="AK137" s="6" t="n">
        <v>224.4</v>
      </c>
      <c r="AL137" s="26"/>
    </row>
    <row r="138" customFormat="false" ht="15" hidden="false" customHeight="false" outlineLevel="0" collapsed="false">
      <c r="A138" s="6" t="s">
        <v>977</v>
      </c>
      <c r="B138" s="6" t="s">
        <v>3166</v>
      </c>
      <c r="C138" s="6" t="s">
        <v>3007</v>
      </c>
      <c r="D138" s="13" t="n">
        <v>50.0026931762695</v>
      </c>
      <c r="E138" s="25" t="n">
        <v>2.67774367332459</v>
      </c>
      <c r="F138" s="25" t="n">
        <v>5.90693140029907</v>
      </c>
      <c r="G138" s="25" t="n">
        <v>1.68099284172058</v>
      </c>
      <c r="H138" s="25" t="n">
        <v>1.17099285125732</v>
      </c>
      <c r="I138" s="25" t="n">
        <v>0.120595663785934</v>
      </c>
      <c r="J138" s="25" t="n">
        <v>0.208543319702149</v>
      </c>
      <c r="K138" s="25" t="n">
        <v>0.321638977050781</v>
      </c>
      <c r="L138" s="25" t="n">
        <v>0.997658813476563</v>
      </c>
      <c r="M138" s="25" t="n">
        <v>0</v>
      </c>
      <c r="N138" s="25" t="n">
        <v>150.64045715332</v>
      </c>
      <c r="O138" s="25" t="n">
        <v>151.476531982422</v>
      </c>
      <c r="P138" s="25" t="n">
        <v>8.4797830581665</v>
      </c>
      <c r="Q138" s="25" t="n">
        <v>47.4909744262695</v>
      </c>
      <c r="R138" s="25" t="n">
        <v>19.1931400299072</v>
      </c>
      <c r="S138" s="25" t="n">
        <v>0.638555943965912</v>
      </c>
      <c r="T138" s="25" t="n">
        <v>0.297166049480438</v>
      </c>
      <c r="U138" s="25" t="n">
        <v>0.113068595528603</v>
      </c>
      <c r="V138" s="25" t="n">
        <v>5.44913339614868</v>
      </c>
      <c r="W138" s="25" t="n">
        <v>0.142238274216652</v>
      </c>
      <c r="X138" s="25" t="n">
        <v>0</v>
      </c>
      <c r="Y138" s="25" t="n">
        <v>101.534294128418</v>
      </c>
      <c r="Z138" s="25" t="n">
        <v>0.743628144264221</v>
      </c>
      <c r="AA138" s="25" t="n">
        <v>1.4673285484314</v>
      </c>
      <c r="AB138" s="25" t="n">
        <v>0.016245486214757</v>
      </c>
      <c r="AC138" s="25" t="n">
        <v>0.0400361008942127</v>
      </c>
      <c r="AD138" s="25" t="n">
        <v>0.0155415153130889</v>
      </c>
      <c r="AE138" s="25" t="n">
        <v>0.23270757496357</v>
      </c>
      <c r="AF138" s="25" t="n">
        <v>0.184187725186348</v>
      </c>
      <c r="AG138" s="25" t="n">
        <v>0.0253068599849939</v>
      </c>
      <c r="AH138" s="25" t="n">
        <v>0.073935016989708</v>
      </c>
      <c r="AI138" s="25" t="n">
        <v>10.1015338897705</v>
      </c>
      <c r="AJ138" s="6" t="n">
        <v>277</v>
      </c>
      <c r="AK138" s="6" t="n">
        <v>138.5</v>
      </c>
      <c r="AL138" s="26"/>
    </row>
    <row r="139" customFormat="false" ht="15" hidden="false" customHeight="false" outlineLevel="0" collapsed="false">
      <c r="A139" s="6" t="s">
        <v>990</v>
      </c>
      <c r="B139" s="6" t="s">
        <v>3167</v>
      </c>
      <c r="C139" s="6" t="s">
        <v>3007</v>
      </c>
      <c r="D139" s="13" t="n">
        <v>61.3236351013184</v>
      </c>
      <c r="E139" s="25" t="n">
        <v>2.51092910766602</v>
      </c>
      <c r="F139" s="25" t="n">
        <v>5.84111499786377</v>
      </c>
      <c r="G139" s="25" t="n">
        <v>2.9800169467926</v>
      </c>
      <c r="H139" s="25" t="n">
        <v>1.52859795093536</v>
      </c>
      <c r="I139" s="25" t="n">
        <v>0.322483122348785</v>
      </c>
      <c r="J139" s="25" t="n">
        <v>0.366214874267578</v>
      </c>
      <c r="K139" s="25" t="n">
        <v>0.595716064453125</v>
      </c>
      <c r="L139" s="25" t="n">
        <v>1.82015710449219</v>
      </c>
      <c r="M139" s="25" t="n">
        <v>0</v>
      </c>
      <c r="N139" s="25" t="n">
        <v>142.212005615234</v>
      </c>
      <c r="O139" s="25" t="n">
        <v>143.155410766602</v>
      </c>
      <c r="P139" s="25" t="n">
        <v>10.2358112335205</v>
      </c>
      <c r="Q139" s="25" t="n">
        <v>42.1290550231934</v>
      </c>
      <c r="R139" s="25" t="n">
        <v>21.3155403137207</v>
      </c>
      <c r="S139" s="25" t="n">
        <v>0.720540523529053</v>
      </c>
      <c r="T139" s="25" t="n">
        <v>0.348192572593689</v>
      </c>
      <c r="U139" s="25" t="n">
        <v>0.0784121602773666</v>
      </c>
      <c r="V139" s="25" t="n">
        <v>2.46084451675415</v>
      </c>
      <c r="W139" s="25" t="n">
        <v>0.254898637533188</v>
      </c>
      <c r="X139" s="25" t="n">
        <v>0</v>
      </c>
      <c r="Y139" s="25" t="n">
        <v>69.125</v>
      </c>
      <c r="Z139" s="25" t="n">
        <v>1.36204385757446</v>
      </c>
      <c r="AA139" s="25" t="n">
        <v>2.0418918132782</v>
      </c>
      <c r="AB139" s="25" t="n">
        <v>0.332939207553864</v>
      </c>
      <c r="AC139" s="25" t="n">
        <v>0.0253040548413992</v>
      </c>
      <c r="AD139" s="25" t="n">
        <v>0.0125168925151229</v>
      </c>
      <c r="AE139" s="25" t="n">
        <v>0.228243246674538</v>
      </c>
      <c r="AF139" s="25" t="n">
        <v>0.315270274877548</v>
      </c>
      <c r="AG139" s="25" t="n">
        <v>0.0334797278046608</v>
      </c>
      <c r="AH139" s="25" t="n">
        <v>0.191655412316322</v>
      </c>
      <c r="AI139" s="25" t="n">
        <v>10.2710304260254</v>
      </c>
      <c r="AJ139" s="6" t="n">
        <v>296</v>
      </c>
      <c r="AK139" s="6" t="n">
        <v>181.5</v>
      </c>
      <c r="AL139" s="26"/>
    </row>
    <row r="140" customFormat="false" ht="15" hidden="false" customHeight="false" outlineLevel="0" collapsed="false">
      <c r="A140" s="6" t="s">
        <v>3168</v>
      </c>
      <c r="B140" s="6" t="s">
        <v>3169</v>
      </c>
      <c r="C140" s="6" t="s">
        <v>3007</v>
      </c>
      <c r="D140" s="13" t="n">
        <v>73.2539367675781</v>
      </c>
      <c r="E140" s="25" t="n">
        <v>2.78958082199097</v>
      </c>
      <c r="F140" s="25" t="n">
        <v>7.10104274749756</v>
      </c>
      <c r="G140" s="25" t="n">
        <v>3.60267043113709</v>
      </c>
      <c r="H140" s="25" t="n">
        <v>2.72083020210266</v>
      </c>
      <c r="I140" s="25" t="n">
        <v>1.04646599292755</v>
      </c>
      <c r="J140" s="25" t="n">
        <v>0.425785858154297</v>
      </c>
      <c r="K140" s="25" t="n">
        <v>0.710884338378906</v>
      </c>
      <c r="L140" s="25" t="n">
        <v>2.14867944335938</v>
      </c>
      <c r="M140" s="25" t="n">
        <v>0</v>
      </c>
      <c r="N140" s="25" t="n">
        <v>149.467880249023</v>
      </c>
      <c r="O140" s="25" t="n">
        <v>183.945526123047</v>
      </c>
      <c r="P140" s="25" t="n">
        <v>14.3343200683594</v>
      </c>
      <c r="Q140" s="25" t="n">
        <v>46.1859550476074</v>
      </c>
      <c r="R140" s="25" t="n">
        <v>21.1577606201172</v>
      </c>
      <c r="S140" s="25" t="n">
        <v>0.987343549728394</v>
      </c>
      <c r="T140" s="25" t="n">
        <v>0.49936917424202</v>
      </c>
      <c r="U140" s="25" t="n">
        <v>0.123209483921528</v>
      </c>
      <c r="V140" s="25" t="n">
        <v>5.85772705078125</v>
      </c>
      <c r="W140" s="25" t="n">
        <v>0.340915262699127</v>
      </c>
      <c r="X140" s="25" t="n">
        <v>0</v>
      </c>
      <c r="Y140" s="25" t="n">
        <v>803.005493164063</v>
      </c>
      <c r="Z140" s="25" t="n">
        <v>1.48213636875153</v>
      </c>
      <c r="AA140" s="25" t="n">
        <v>4.8647723197937</v>
      </c>
      <c r="AB140" s="25" t="n">
        <v>5.45118188858032</v>
      </c>
      <c r="AC140" s="25" t="n">
        <v>0.0550145246088505</v>
      </c>
      <c r="AD140" s="25" t="n">
        <v>0.0245805699378252</v>
      </c>
      <c r="AE140" s="25" t="n">
        <v>0.356484949588776</v>
      </c>
      <c r="AF140" s="25" t="n">
        <v>0.33256858587265</v>
      </c>
      <c r="AG140" s="25" t="n">
        <v>0.0531413406133652</v>
      </c>
      <c r="AH140" s="25" t="n">
        <v>0.972735702991486</v>
      </c>
      <c r="AI140" s="25" t="n">
        <v>32.4273567199707</v>
      </c>
      <c r="AJ140" s="6" t="n">
        <v>278.8</v>
      </c>
      <c r="AK140" s="6" t="n">
        <v>204.3</v>
      </c>
      <c r="AL140" s="26"/>
    </row>
    <row r="141" customFormat="false" ht="15" hidden="false" customHeight="false" outlineLevel="0" collapsed="false">
      <c r="A141" s="6" t="s">
        <v>3170</v>
      </c>
      <c r="B141" s="6" t="s">
        <v>3171</v>
      </c>
      <c r="C141" s="6" t="s">
        <v>3007</v>
      </c>
      <c r="D141" s="13" t="n">
        <v>124.712127685547</v>
      </c>
      <c r="E141" s="25" t="n">
        <v>6.84968566894531</v>
      </c>
      <c r="F141" s="25" t="n">
        <v>15.662220954895</v>
      </c>
      <c r="G141" s="25" t="n">
        <v>3.49710202217102</v>
      </c>
      <c r="H141" s="25" t="n">
        <v>4.05785608291626</v>
      </c>
      <c r="I141" s="25" t="n">
        <v>0.727618753910065</v>
      </c>
      <c r="J141" s="25" t="n">
        <v>0.444243041992188</v>
      </c>
      <c r="K141" s="25" t="n">
        <v>0.671858032226563</v>
      </c>
      <c r="L141" s="25" t="n">
        <v>2.05046435546875</v>
      </c>
      <c r="M141" s="25" t="n">
        <v>0</v>
      </c>
      <c r="N141" s="25" t="n">
        <v>295.792999267578</v>
      </c>
      <c r="O141" s="25" t="n">
        <v>384.329620361328</v>
      </c>
      <c r="P141" s="25" t="n">
        <v>27.0844974517822</v>
      </c>
      <c r="Q141" s="25" t="n">
        <v>114.173049926758</v>
      </c>
      <c r="R141" s="25" t="n">
        <v>57.1561431884766</v>
      </c>
      <c r="S141" s="25" t="n">
        <v>1.88673186302185</v>
      </c>
      <c r="T141" s="25" t="n">
        <v>0.938722133636475</v>
      </c>
      <c r="U141" s="25" t="n">
        <v>0.209846377372742</v>
      </c>
      <c r="V141" s="25" t="n">
        <v>6.768226146698</v>
      </c>
      <c r="W141" s="25" t="n">
        <v>0.642248630523682</v>
      </c>
      <c r="X141" s="25" t="n">
        <v>0</v>
      </c>
      <c r="Y141" s="25" t="n">
        <v>355.216491699219</v>
      </c>
      <c r="Z141" s="25" t="n">
        <v>1.4588338136673</v>
      </c>
      <c r="AA141" s="25" t="n">
        <v>8.45111751556397</v>
      </c>
      <c r="AB141" s="25" t="n">
        <v>1.02157819271088</v>
      </c>
      <c r="AC141" s="25" t="n">
        <v>0.0682262554764748</v>
      </c>
      <c r="AD141" s="25" t="n">
        <v>0.0328561440110207</v>
      </c>
      <c r="AE141" s="25" t="n">
        <v>0.604888260364533</v>
      </c>
      <c r="AF141" s="25" t="n">
        <v>0.86648041009903</v>
      </c>
      <c r="AG141" s="25" t="n">
        <v>0.0872206687927246</v>
      </c>
      <c r="AH141" s="25" t="n">
        <v>0.510963678359985</v>
      </c>
      <c r="AI141" s="25" t="n">
        <v>28.1406784057617</v>
      </c>
      <c r="AJ141" s="6" t="n">
        <v>143.2</v>
      </c>
      <c r="AK141" s="6" t="n">
        <v>178.6</v>
      </c>
      <c r="AL141" s="26"/>
    </row>
    <row r="142" customFormat="false" ht="15" hidden="false" customHeight="false" outlineLevel="0" collapsed="false">
      <c r="A142" s="6" t="s">
        <v>3172</v>
      </c>
      <c r="B142" s="6" t="s">
        <v>3173</v>
      </c>
      <c r="C142" s="6" t="s">
        <v>3007</v>
      </c>
      <c r="D142" s="13" t="n">
        <v>61.9281768798828</v>
      </c>
      <c r="E142" s="25" t="n">
        <v>2.5055992603302</v>
      </c>
      <c r="F142" s="25" t="n">
        <v>5.79293584823608</v>
      </c>
      <c r="G142" s="25" t="n">
        <v>3.10356760025024</v>
      </c>
      <c r="H142" s="25" t="n">
        <v>1.61625349521637</v>
      </c>
      <c r="I142" s="25" t="n">
        <v>0.338741213083267</v>
      </c>
      <c r="J142" s="25" t="n">
        <v>0.371541931152344</v>
      </c>
      <c r="K142" s="25" t="n">
        <v>0.624552124023438</v>
      </c>
      <c r="L142" s="25" t="n">
        <v>1.86915258789063</v>
      </c>
      <c r="M142" s="25" t="n">
        <v>0</v>
      </c>
      <c r="N142" s="25" t="n">
        <v>141.364852905273</v>
      </c>
      <c r="O142" s="25" t="n">
        <v>144.271255493164</v>
      </c>
      <c r="P142" s="25" t="n">
        <v>10.9962406158447</v>
      </c>
      <c r="Q142" s="25" t="n">
        <v>42.4074096679688</v>
      </c>
      <c r="R142" s="25" t="n">
        <v>19.7196311950684</v>
      </c>
      <c r="S142" s="25" t="n">
        <v>0.781643867492676</v>
      </c>
      <c r="T142" s="25" t="n">
        <v>0.359697490930557</v>
      </c>
      <c r="U142" s="25" t="n">
        <v>0.0975486040115356</v>
      </c>
      <c r="V142" s="25" t="n">
        <v>4.23635959625244</v>
      </c>
      <c r="W142" s="25" t="n">
        <v>0.26886311173439</v>
      </c>
      <c r="X142" s="25" t="n">
        <v>0</v>
      </c>
      <c r="Y142" s="25" t="n">
        <v>107.326560974121</v>
      </c>
      <c r="Z142" s="25" t="n">
        <v>1.36029136180878</v>
      </c>
      <c r="AA142" s="25" t="n">
        <v>2.16023063659668</v>
      </c>
      <c r="AB142" s="25" t="n">
        <v>0.368572354316711</v>
      </c>
      <c r="AC142" s="25" t="n">
        <v>0.035601519048214</v>
      </c>
      <c r="AD142" s="25" t="n">
        <v>0.0158587116748095</v>
      </c>
      <c r="AE142" s="25" t="n">
        <v>0.239914044737816</v>
      </c>
      <c r="AF142" s="25" t="n">
        <v>0.226804539561272</v>
      </c>
      <c r="AG142" s="25" t="n">
        <v>0.0328073054552078</v>
      </c>
      <c r="AH142" s="25" t="n">
        <v>0.19189840555191</v>
      </c>
      <c r="AI142" s="25" t="n">
        <v>13.5466899871826</v>
      </c>
      <c r="AJ142" s="6" t="n">
        <v>297.8</v>
      </c>
      <c r="AK142" s="6" t="n">
        <v>184.4</v>
      </c>
      <c r="AL142" s="26"/>
    </row>
    <row r="143" customFormat="false" ht="15" hidden="false" customHeight="false" outlineLevel="0" collapsed="false">
      <c r="A143" s="6" t="s">
        <v>3174</v>
      </c>
      <c r="B143" s="6" t="s">
        <v>3175</v>
      </c>
      <c r="C143" s="6" t="s">
        <v>3007</v>
      </c>
      <c r="D143" s="13" t="n">
        <v>53.6986122131348</v>
      </c>
      <c r="E143" s="25" t="n">
        <v>2.24940133094788</v>
      </c>
      <c r="F143" s="25" t="n">
        <v>5.21864891052246</v>
      </c>
      <c r="G143" s="25" t="n">
        <v>2.56445693969727</v>
      </c>
      <c r="H143" s="25" t="n">
        <v>2.01711440086365</v>
      </c>
      <c r="I143" s="25" t="n">
        <v>0.585830330848694</v>
      </c>
      <c r="J143" s="25" t="n">
        <v>0.323926574707031</v>
      </c>
      <c r="K143" s="25" t="n">
        <v>0.505646301269531</v>
      </c>
      <c r="L143" s="25" t="n">
        <v>1.57920202636719</v>
      </c>
      <c r="M143" s="25" t="n">
        <v>0</v>
      </c>
      <c r="N143" s="25" t="n">
        <v>123.863220214844</v>
      </c>
      <c r="O143" s="25" t="n">
        <v>149.155227661133</v>
      </c>
      <c r="P143" s="25" t="n">
        <v>13.5810050964356</v>
      </c>
      <c r="Q143" s="25" t="n">
        <v>37.0727767944336</v>
      </c>
      <c r="R143" s="25" t="n">
        <v>22.5266494750977</v>
      </c>
      <c r="S143" s="25" t="n">
        <v>0.683206260204315</v>
      </c>
      <c r="T143" s="25" t="n">
        <v>0.293382704257965</v>
      </c>
      <c r="U143" s="25" t="n">
        <v>0.106645345687866</v>
      </c>
      <c r="V143" s="25" t="n">
        <v>2.07675337791443</v>
      </c>
      <c r="W143" s="25" t="n">
        <v>0.214545905590057</v>
      </c>
      <c r="X143" s="25" t="n">
        <v>0</v>
      </c>
      <c r="Y143" s="25" t="n">
        <v>754.657287597656</v>
      </c>
      <c r="Z143" s="25" t="n">
        <v>1.21816837787628</v>
      </c>
      <c r="AA143" s="25" t="n">
        <v>4.98504829406738</v>
      </c>
      <c r="AB143" s="25" t="n">
        <v>3.22370767593384</v>
      </c>
      <c r="AC143" s="25" t="n">
        <v>0.0483253002166748</v>
      </c>
      <c r="AD143" s="25" t="n">
        <v>0.0291625037789345</v>
      </c>
      <c r="AE143" s="25" t="n">
        <v>0.297355175018311</v>
      </c>
      <c r="AF143" s="25" t="n">
        <v>0.21832500398159</v>
      </c>
      <c r="AG143" s="25" t="n">
        <v>0.0520725585520268</v>
      </c>
      <c r="AH143" s="25" t="n">
        <v>0.393781155347824</v>
      </c>
      <c r="AI143" s="25" t="n">
        <v>16.1732559204102</v>
      </c>
      <c r="AJ143" s="6" t="n">
        <v>342.3</v>
      </c>
      <c r="AK143" s="6" t="n">
        <v>183.8</v>
      </c>
      <c r="AL143" s="26"/>
    </row>
    <row r="144" customFormat="false" ht="15" hidden="false" customHeight="false" outlineLevel="0" collapsed="false">
      <c r="A144" s="6" t="s">
        <v>3176</v>
      </c>
      <c r="B144" s="6" t="s">
        <v>3177</v>
      </c>
      <c r="C144" s="6" t="s">
        <v>3007</v>
      </c>
      <c r="D144" s="13" t="n">
        <v>54.0546722412109</v>
      </c>
      <c r="E144" s="25" t="n">
        <v>2.27919721603394</v>
      </c>
      <c r="F144" s="25" t="n">
        <v>5.37463903427124</v>
      </c>
      <c r="G144" s="25" t="n">
        <v>2.51801037788391</v>
      </c>
      <c r="H144" s="25" t="n">
        <v>1.98381328582764</v>
      </c>
      <c r="I144" s="25" t="n">
        <v>0.669959723949432</v>
      </c>
      <c r="J144" s="25" t="n">
        <v>0.306589782714844</v>
      </c>
      <c r="K144" s="25" t="n">
        <v>0.511339050292969</v>
      </c>
      <c r="L144" s="25" t="n">
        <v>1.54966906738281</v>
      </c>
      <c r="M144" s="25" t="n">
        <v>0</v>
      </c>
      <c r="N144" s="25" t="n">
        <v>123.722122192383</v>
      </c>
      <c r="O144" s="25" t="n">
        <v>112.96208190918</v>
      </c>
      <c r="P144" s="25" t="n">
        <v>12.1990051269531</v>
      </c>
      <c r="Q144" s="25" t="n">
        <v>29.0103816986084</v>
      </c>
      <c r="R144" s="25" t="n">
        <v>12.7448596954346</v>
      </c>
      <c r="S144" s="25" t="n">
        <v>0.947863161563873</v>
      </c>
      <c r="T144" s="25" t="n">
        <v>0.349468916654587</v>
      </c>
      <c r="U144" s="25" t="n">
        <v>0.0961291715502739</v>
      </c>
      <c r="V144" s="25" t="n">
        <v>4.96519470214844</v>
      </c>
      <c r="W144" s="25" t="n">
        <v>0.259239614009857</v>
      </c>
      <c r="X144" s="25" t="n">
        <v>0</v>
      </c>
      <c r="Y144" s="25" t="n">
        <v>759.039001464844</v>
      </c>
      <c r="Z144" s="25" t="n">
        <v>1.20589959621429</v>
      </c>
      <c r="AA144" s="25" t="n">
        <v>4.338303565979</v>
      </c>
      <c r="AB144" s="25" t="n">
        <v>3.22370767593384</v>
      </c>
      <c r="AC144" s="25" t="n">
        <v>0.0456962585449219</v>
      </c>
      <c r="AD144" s="25" t="n">
        <v>0.0247807670384646</v>
      </c>
      <c r="AE144" s="25" t="n">
        <v>0.332409083843231</v>
      </c>
      <c r="AF144" s="25" t="n">
        <v>0.188529193401337</v>
      </c>
      <c r="AG144" s="25" t="n">
        <v>0.0625887289643288</v>
      </c>
      <c r="AH144" s="25" t="n">
        <v>0.418318867683411</v>
      </c>
      <c r="AI144" s="25" t="n">
        <v>14.0700216293335</v>
      </c>
      <c r="AJ144" s="6" t="n">
        <v>342.3</v>
      </c>
      <c r="AK144" s="6" t="n">
        <v>185</v>
      </c>
      <c r="AL144" s="26"/>
    </row>
    <row r="145" customFormat="false" ht="15" hidden="false" customHeight="false" outlineLevel="0" collapsed="false">
      <c r="A145" s="6" t="s">
        <v>3178</v>
      </c>
      <c r="B145" s="6" t="s">
        <v>3179</v>
      </c>
      <c r="C145" s="6" t="s">
        <v>3007</v>
      </c>
      <c r="D145" s="13" t="n">
        <v>54.997184753418</v>
      </c>
      <c r="E145" s="25" t="n">
        <v>2.00577688217163</v>
      </c>
      <c r="F145" s="25" t="n">
        <v>5.7409520149231</v>
      </c>
      <c r="G145" s="25" t="n">
        <v>2.6187903881073</v>
      </c>
      <c r="H145" s="25" t="n">
        <v>1.84885573387146</v>
      </c>
      <c r="I145" s="25" t="n">
        <v>0.657690823078156</v>
      </c>
      <c r="J145" s="25" t="n">
        <v>0.337948120117188</v>
      </c>
      <c r="K145" s="25" t="n">
        <v>0.509592498779297</v>
      </c>
      <c r="L145" s="25" t="n">
        <v>1.59997143554688</v>
      </c>
      <c r="M145" s="25" t="n">
        <v>0</v>
      </c>
      <c r="N145" s="25" t="n">
        <v>125.077835083008</v>
      </c>
      <c r="O145" s="25" t="n">
        <v>164.841842651367</v>
      </c>
      <c r="P145" s="25" t="n">
        <v>18.9766750335693</v>
      </c>
      <c r="Q145" s="25" t="n">
        <v>37.8614883422852</v>
      </c>
      <c r="R145" s="25" t="n">
        <v>23.1400928497315</v>
      </c>
      <c r="S145" s="25" t="n">
        <v>0.946986794471741</v>
      </c>
      <c r="T145" s="25" t="n">
        <v>0.227656647562981</v>
      </c>
      <c r="U145" s="25" t="n">
        <v>0.0750968381762505</v>
      </c>
      <c r="V145" s="25" t="n">
        <v>1.68239712715149</v>
      </c>
      <c r="W145" s="25" t="n">
        <v>0.216298609972</v>
      </c>
      <c r="X145" s="25" t="n">
        <v>0</v>
      </c>
      <c r="Y145" s="25" t="n">
        <v>731.2587890625</v>
      </c>
      <c r="Z145" s="25" t="n">
        <v>1.25848042964935</v>
      </c>
      <c r="AA145" s="25" t="n">
        <v>5.87191152572632</v>
      </c>
      <c r="AB145" s="25" t="n">
        <v>3.22370767593384</v>
      </c>
      <c r="AC145" s="25" t="n">
        <v>0.0483253002166748</v>
      </c>
      <c r="AD145" s="25" t="n">
        <v>0.0133882509544492</v>
      </c>
      <c r="AE145" s="25" t="n">
        <v>0.271941095590591</v>
      </c>
      <c r="AF145" s="25" t="n">
        <v>0.16486781835556</v>
      </c>
      <c r="AG145" s="25" t="n">
        <v>0.0354219600558281</v>
      </c>
      <c r="AH145" s="25" t="n">
        <v>0.46125990152359</v>
      </c>
      <c r="AI145" s="25" t="n">
        <v>34.0507431030273</v>
      </c>
      <c r="AJ145" s="6" t="n">
        <v>342.3</v>
      </c>
      <c r="AK145" s="6" t="n">
        <v>188.3</v>
      </c>
      <c r="AL145" s="26"/>
    </row>
    <row r="146" customFormat="false" ht="15" hidden="false" customHeight="false" outlineLevel="0" collapsed="false">
      <c r="A146" s="6" t="s">
        <v>3180</v>
      </c>
      <c r="B146" s="6" t="s">
        <v>3181</v>
      </c>
      <c r="C146" s="6" t="s">
        <v>3007</v>
      </c>
      <c r="D146" s="13" t="n">
        <v>53.7951354980469</v>
      </c>
      <c r="E146" s="25" t="n">
        <v>2.21305990219116</v>
      </c>
      <c r="F146" s="25" t="n">
        <v>5.0472993850708</v>
      </c>
      <c r="G146" s="25" t="n">
        <v>2.62381911277771</v>
      </c>
      <c r="H146" s="25" t="n">
        <v>2.31891918182373</v>
      </c>
      <c r="I146" s="25" t="n">
        <v>0.566962242126465</v>
      </c>
      <c r="J146" s="25" t="n">
        <v>0.324954559326172</v>
      </c>
      <c r="K146" s="25" t="n">
        <v>0.521674499511719</v>
      </c>
      <c r="L146" s="25" t="n">
        <v>1.60157141113281</v>
      </c>
      <c r="M146" s="25" t="n">
        <v>0</v>
      </c>
      <c r="N146" s="25" t="n">
        <v>126.119453430176</v>
      </c>
      <c r="O146" s="25" t="n">
        <v>141.571060180664</v>
      </c>
      <c r="P146" s="25" t="n">
        <v>13.0698299407959</v>
      </c>
      <c r="Q146" s="25" t="n">
        <v>36.5566673278809</v>
      </c>
      <c r="R146" s="25" t="n">
        <v>21.9136772155762</v>
      </c>
      <c r="S146" s="25" t="n">
        <v>0.78278374671936</v>
      </c>
      <c r="T146" s="25" t="n">
        <v>0.328599601984024</v>
      </c>
      <c r="U146" s="25" t="n">
        <v>0.0860162675380707</v>
      </c>
      <c r="V146" s="25" t="n">
        <v>2.50710225105286</v>
      </c>
      <c r="W146" s="25" t="n">
        <v>0.284606426954269</v>
      </c>
      <c r="X146" s="25" t="n">
        <v>0</v>
      </c>
      <c r="Y146" s="25" t="n">
        <v>672.159301757813</v>
      </c>
      <c r="Z146" s="25" t="n">
        <v>1.2181521654129</v>
      </c>
      <c r="AA146" s="25" t="n">
        <v>4.65408754348755</v>
      </c>
      <c r="AB146" s="25" t="n">
        <v>3.02879762649536</v>
      </c>
      <c r="AC146" s="25" t="n">
        <v>0.0369056686758995</v>
      </c>
      <c r="AD146" s="25" t="n">
        <v>0.0150979869067669</v>
      </c>
      <c r="AE146" s="25" t="n">
        <v>0.268068253993988</v>
      </c>
      <c r="AF146" s="25" t="n">
        <v>0.391946494579315</v>
      </c>
      <c r="AG146" s="25" t="n">
        <v>0.0677393674850464</v>
      </c>
      <c r="AH146" s="25" t="n">
        <v>0.381437242031097</v>
      </c>
      <c r="AI146" s="25" t="n">
        <v>15.2074995040894</v>
      </c>
      <c r="AJ146" s="6" t="n">
        <v>339.3</v>
      </c>
      <c r="AK146" s="6" t="n">
        <v>182.5</v>
      </c>
      <c r="AL146" s="26"/>
    </row>
    <row r="147" customFormat="false" ht="15" hidden="false" customHeight="false" outlineLevel="0" collapsed="false">
      <c r="A147" s="6" t="s">
        <v>3182</v>
      </c>
      <c r="B147" s="6" t="s">
        <v>3183</v>
      </c>
      <c r="C147" s="6" t="s">
        <v>3007</v>
      </c>
      <c r="D147" s="13" t="n">
        <v>103.127960205078</v>
      </c>
      <c r="E147" s="25" t="n">
        <v>3.9295117855072</v>
      </c>
      <c r="F147" s="25" t="n">
        <v>8.73775100708008</v>
      </c>
      <c r="G147" s="25" t="n">
        <v>5.65605926513672</v>
      </c>
      <c r="H147" s="25" t="n">
        <v>3.38025283813477</v>
      </c>
      <c r="I147" s="25" t="n">
        <v>1.70496952533722</v>
      </c>
      <c r="J147" s="25" t="n">
        <v>1.00132006835938</v>
      </c>
      <c r="K147" s="25" t="n">
        <v>1.15790478515625</v>
      </c>
      <c r="L147" s="25" t="n">
        <v>3.15836889648438</v>
      </c>
      <c r="M147" s="25" t="n">
        <v>1.91804707050324</v>
      </c>
      <c r="N147" s="25" t="n">
        <v>157.614120483398</v>
      </c>
      <c r="O147" s="25" t="n">
        <v>246.086303710938</v>
      </c>
      <c r="P147" s="25" t="n">
        <v>38.1258506774902</v>
      </c>
      <c r="Q147" s="25" t="n">
        <v>74.555534362793</v>
      </c>
      <c r="R147" s="25" t="n">
        <v>33.5066261291504</v>
      </c>
      <c r="S147" s="25" t="n">
        <v>1.05265915393829</v>
      </c>
      <c r="T147" s="25" t="n">
        <v>0.553661704063416</v>
      </c>
      <c r="U147" s="25" t="n">
        <v>0.131342634558678</v>
      </c>
      <c r="V147" s="25" t="n">
        <v>3.9166955947876</v>
      </c>
      <c r="W147" s="25" t="n">
        <v>0.353269398212433</v>
      </c>
      <c r="X147" s="25" t="n">
        <v>7.51525735855103</v>
      </c>
      <c r="Y147" s="25" t="n">
        <v>1117.92712402344</v>
      </c>
      <c r="Z147" s="25" t="n">
        <v>2.41044473648071</v>
      </c>
      <c r="AA147" s="25" t="n">
        <v>6.83923292160034</v>
      </c>
      <c r="AB147" s="25" t="n">
        <v>5.38923263549805</v>
      </c>
      <c r="AC147" s="25" t="n">
        <v>0.0627724528312683</v>
      </c>
      <c r="AD147" s="25" t="n">
        <v>0.0532606802880764</v>
      </c>
      <c r="AE147" s="25" t="n">
        <v>0.449171751737595</v>
      </c>
      <c r="AF147" s="25" t="n">
        <v>0.598544001579285</v>
      </c>
      <c r="AG147" s="25" t="n">
        <v>0.105187445878983</v>
      </c>
      <c r="AH147" s="25" t="n">
        <v>0.883609414100647</v>
      </c>
      <c r="AI147" s="25" t="n">
        <v>32.4816932678223</v>
      </c>
      <c r="AJ147" s="6" t="n">
        <v>286.7</v>
      </c>
      <c r="AK147" s="6" t="n">
        <v>295.7</v>
      </c>
      <c r="AL147" s="26"/>
    </row>
    <row r="148" customFormat="false" ht="15" hidden="false" customHeight="false" outlineLevel="0" collapsed="false">
      <c r="A148" s="6" t="s">
        <v>1026</v>
      </c>
      <c r="B148" s="6" t="s">
        <v>3184</v>
      </c>
      <c r="C148" s="6" t="s">
        <v>3007</v>
      </c>
      <c r="D148" s="13" t="n">
        <v>140.676620483398</v>
      </c>
      <c r="E148" s="25" t="n">
        <v>5.66623497009277</v>
      </c>
      <c r="F148" s="25" t="n">
        <v>14.1144504547119</v>
      </c>
      <c r="G148" s="25" t="n">
        <v>6.61011075973511</v>
      </c>
      <c r="H148" s="25" t="n">
        <v>7.98939895629883</v>
      </c>
      <c r="I148" s="25" t="n">
        <v>2.355384349823</v>
      </c>
      <c r="J148" s="25" t="n">
        <v>0.773589111328125</v>
      </c>
      <c r="K148" s="25" t="n">
        <v>1.28659545898438</v>
      </c>
      <c r="L148" s="25" t="n">
        <v>3.881212890625</v>
      </c>
      <c r="M148" s="25" t="n">
        <v>0</v>
      </c>
      <c r="N148" s="25" t="n">
        <v>358.630767822266</v>
      </c>
      <c r="O148" s="25" t="n">
        <v>388.587738037109</v>
      </c>
      <c r="P148" s="25" t="n">
        <v>53.8745574951172</v>
      </c>
      <c r="Q148" s="25" t="n">
        <v>87.4749908447266</v>
      </c>
      <c r="R148" s="25" t="n">
        <v>55.3565483093262</v>
      </c>
      <c r="S148" s="25" t="n">
        <v>2.43298029899597</v>
      </c>
      <c r="T148" s="25" t="n">
        <v>1.03759837150574</v>
      </c>
      <c r="U148" s="25" t="n">
        <v>0.27476316690445</v>
      </c>
      <c r="V148" s="25" t="n">
        <v>10.4254293441773</v>
      </c>
      <c r="W148" s="25" t="n">
        <v>0.952464163303375</v>
      </c>
      <c r="X148" s="25" t="n">
        <v>0</v>
      </c>
      <c r="Y148" s="25" t="n">
        <v>3014.28466796875</v>
      </c>
      <c r="Z148" s="25" t="n">
        <v>3.02401113510132</v>
      </c>
      <c r="AA148" s="25" t="n">
        <v>17.6079349517822</v>
      </c>
      <c r="AB148" s="25" t="n">
        <v>12.6181259155273</v>
      </c>
      <c r="AC148" s="25" t="n">
        <v>0.124973319470882</v>
      </c>
      <c r="AD148" s="25" t="n">
        <v>0.0800892263650894</v>
      </c>
      <c r="AE148" s="25" t="n">
        <v>0.901154100894928</v>
      </c>
      <c r="AF148" s="25" t="n">
        <v>0.769832372665405</v>
      </c>
      <c r="AG148" s="25" t="n">
        <v>0.170042529702187</v>
      </c>
      <c r="AH148" s="25" t="n">
        <v>1.3587132692337</v>
      </c>
      <c r="AI148" s="25" t="n">
        <v>72.8675308227539</v>
      </c>
      <c r="AJ148" s="6" t="n">
        <v>119.9</v>
      </c>
      <c r="AK148" s="6" t="n">
        <v>168.7</v>
      </c>
      <c r="AL148" s="26"/>
    </row>
    <row r="149" customFormat="false" ht="15" hidden="false" customHeight="false" outlineLevel="0" collapsed="false">
      <c r="A149" s="6" t="s">
        <v>1018</v>
      </c>
      <c r="B149" s="6" t="s">
        <v>3185</v>
      </c>
      <c r="C149" s="6" t="s">
        <v>3007</v>
      </c>
      <c r="D149" s="13" t="n">
        <v>163.432037353516</v>
      </c>
      <c r="E149" s="25" t="n">
        <v>6.09902381896973</v>
      </c>
      <c r="F149" s="25" t="n">
        <v>19.9783592224121</v>
      </c>
      <c r="G149" s="25" t="n">
        <v>6.84276580810547</v>
      </c>
      <c r="H149" s="25" t="n">
        <v>4.73222732543945</v>
      </c>
      <c r="I149" s="25" t="n">
        <v>4.78450393676758</v>
      </c>
      <c r="J149" s="25" t="n">
        <v>0.811114135742188</v>
      </c>
      <c r="K149" s="25" t="n">
        <v>1.40917712402344</v>
      </c>
      <c r="L149" s="25" t="n">
        <v>3.9795283203125</v>
      </c>
      <c r="M149" s="25" t="n">
        <v>0</v>
      </c>
      <c r="N149" s="25" t="n">
        <v>357.990325927734</v>
      </c>
      <c r="O149" s="25" t="n">
        <v>334.301544189453</v>
      </c>
      <c r="P149" s="25" t="n">
        <v>30.6090488433838</v>
      </c>
      <c r="Q149" s="25" t="n">
        <v>83.7224884033203</v>
      </c>
      <c r="R149" s="25" t="n">
        <v>35.0930404663086</v>
      </c>
      <c r="S149" s="25" t="n">
        <v>1.81506836414337</v>
      </c>
      <c r="T149" s="25" t="n">
        <v>0.884996652603149</v>
      </c>
      <c r="U149" s="25" t="n">
        <v>0.226230815052986</v>
      </c>
      <c r="V149" s="25" t="n">
        <v>0.111053198575974</v>
      </c>
      <c r="W149" s="25" t="n">
        <v>1.31270432472229</v>
      </c>
      <c r="X149" s="25" t="n">
        <v>0</v>
      </c>
      <c r="Y149" s="25" t="n">
        <v>2774.37475585938</v>
      </c>
      <c r="Z149" s="25" t="n">
        <v>2.79886102676392</v>
      </c>
      <c r="AA149" s="25" t="n">
        <v>19.3340854644775</v>
      </c>
      <c r="AB149" s="25" t="n">
        <v>13.6187925338745</v>
      </c>
      <c r="AC149" s="25" t="n">
        <v>0.151741161942482</v>
      </c>
      <c r="AD149" s="25" t="n">
        <v>0.0730845555663109</v>
      </c>
      <c r="AE149" s="25" t="n">
        <v>0.76106071472168</v>
      </c>
      <c r="AF149" s="25" t="n">
        <v>0.572200655937195</v>
      </c>
      <c r="AG149" s="25" t="n">
        <v>0.213821724057198</v>
      </c>
      <c r="AH149" s="25" t="n">
        <v>1.12605822086334</v>
      </c>
      <c r="AI149" s="25" t="n">
        <v>153.921569824219</v>
      </c>
      <c r="AJ149" s="6" t="n">
        <v>119.9</v>
      </c>
      <c r="AK149" s="6" t="n">
        <v>196</v>
      </c>
      <c r="AL149" s="26"/>
    </row>
    <row r="150" customFormat="false" ht="15" hidden="false" customHeight="false" outlineLevel="0" collapsed="false">
      <c r="A150" s="6" t="s">
        <v>1035</v>
      </c>
      <c r="B150" s="6" t="s">
        <v>1033</v>
      </c>
      <c r="C150" s="6" t="s">
        <v>3007</v>
      </c>
      <c r="D150" s="13" t="n">
        <v>148.987411499023</v>
      </c>
      <c r="E150" s="25" t="n">
        <v>6.06400012969971</v>
      </c>
      <c r="F150" s="25" t="n">
        <v>17.8819618225098</v>
      </c>
      <c r="G150" s="25" t="n">
        <v>5.61945056915283</v>
      </c>
      <c r="H150" s="25" t="n">
        <v>4.56711721420288</v>
      </c>
      <c r="I150" s="25" t="n">
        <v>2.50798630714417</v>
      </c>
      <c r="J150" s="25" t="n">
        <v>0.731060791015625</v>
      </c>
      <c r="K150" s="25" t="n">
        <v>1.07910205078125</v>
      </c>
      <c r="L150" s="25" t="n">
        <v>3.43416479492188</v>
      </c>
      <c r="M150" s="25" t="n">
        <v>0</v>
      </c>
      <c r="N150" s="25" t="n">
        <v>355.408599853516</v>
      </c>
      <c r="O150" s="25" t="n">
        <v>465.138763427734</v>
      </c>
      <c r="P150" s="25" t="n">
        <v>36.7956733703613</v>
      </c>
      <c r="Q150" s="25" t="n">
        <v>113.742500305176</v>
      </c>
      <c r="R150" s="25" t="n">
        <v>68.6153869628906</v>
      </c>
      <c r="S150" s="25" t="n">
        <v>2.2128336429596</v>
      </c>
      <c r="T150" s="25" t="n">
        <v>1.04760503768921</v>
      </c>
      <c r="U150" s="25" t="n">
        <v>0.264756500720978</v>
      </c>
      <c r="V150" s="25" t="n">
        <v>6.10254764556885</v>
      </c>
      <c r="W150" s="25" t="n">
        <v>0.652263998985291</v>
      </c>
      <c r="X150" s="25" t="n">
        <v>0</v>
      </c>
      <c r="Y150" s="25" t="n">
        <v>2818.90454101563</v>
      </c>
      <c r="Z150" s="25" t="n">
        <v>2.7688410282135</v>
      </c>
      <c r="AA150" s="25" t="n">
        <v>17.5203762054443</v>
      </c>
      <c r="AB150" s="25" t="n">
        <v>12.6181259155273</v>
      </c>
      <c r="AC150" s="25" t="n">
        <v>0.11496664583683</v>
      </c>
      <c r="AD150" s="25" t="n">
        <v>0.0425642095506191</v>
      </c>
      <c r="AE150" s="25" t="n">
        <v>0.786077380180359</v>
      </c>
      <c r="AF150" s="25" t="n">
        <v>0.54218065738678</v>
      </c>
      <c r="AG150" s="25" t="n">
        <v>0.155032530426979</v>
      </c>
      <c r="AH150" s="25" t="n">
        <v>2.11922025680542</v>
      </c>
      <c r="AI150" s="25" t="n">
        <v>72.3672027587891</v>
      </c>
      <c r="AJ150" s="6" t="n">
        <v>119.9</v>
      </c>
      <c r="AK150" s="6" t="n">
        <v>178.7</v>
      </c>
      <c r="AL150" s="26"/>
    </row>
    <row r="151" customFormat="false" ht="15" hidden="false" customHeight="false" outlineLevel="0" collapsed="false">
      <c r="A151" s="6" t="s">
        <v>3186</v>
      </c>
      <c r="B151" s="6" t="s">
        <v>3187</v>
      </c>
      <c r="C151" s="6" t="s">
        <v>3007</v>
      </c>
      <c r="D151" s="13" t="n">
        <v>163.277191162109</v>
      </c>
      <c r="E151" s="25" t="n">
        <v>10.426908493042</v>
      </c>
      <c r="F151" s="25" t="n">
        <v>6.75954723358154</v>
      </c>
      <c r="G151" s="25" t="n">
        <v>10.1899976730347</v>
      </c>
      <c r="H151" s="25" t="n">
        <v>7.34146690368652</v>
      </c>
      <c r="I151" s="25" t="n">
        <v>2.65808629989624</v>
      </c>
      <c r="J151" s="25" t="n">
        <v>1.41126416015625</v>
      </c>
      <c r="K151" s="25" t="n">
        <v>2.26900024414063</v>
      </c>
      <c r="L151" s="25" t="n">
        <v>6.06616943359375</v>
      </c>
      <c r="M151" s="25" t="n">
        <v>0</v>
      </c>
      <c r="N151" s="25" t="n">
        <v>352.694305419922</v>
      </c>
      <c r="O151" s="25" t="n">
        <v>563.454284667969</v>
      </c>
      <c r="P151" s="25" t="n">
        <v>65.1320648193359</v>
      </c>
      <c r="Q151" s="25" t="n">
        <v>144.262847900391</v>
      </c>
      <c r="R151" s="25" t="n">
        <v>62.611385345459</v>
      </c>
      <c r="S151" s="25" t="n">
        <v>2.79322052001953</v>
      </c>
      <c r="T151" s="25" t="n">
        <v>1.06261503696442</v>
      </c>
      <c r="U151" s="25" t="n">
        <v>0.259753167629242</v>
      </c>
      <c r="V151" s="25" t="n">
        <v>4.32636308670044</v>
      </c>
      <c r="W151" s="25" t="n">
        <v>0.842390775680542</v>
      </c>
      <c r="X151" s="25" t="n">
        <v>0</v>
      </c>
      <c r="Y151" s="25" t="n">
        <v>2834.91528320313</v>
      </c>
      <c r="Z151" s="25" t="n">
        <v>2.92644596099854</v>
      </c>
      <c r="AA151" s="25" t="n">
        <v>28.6402893066406</v>
      </c>
      <c r="AB151" s="25" t="n">
        <v>12.6181259155273</v>
      </c>
      <c r="AC151" s="25" t="n">
        <v>0.185013338923454</v>
      </c>
      <c r="AD151" s="25" t="n">
        <v>0.0775875598192215</v>
      </c>
      <c r="AE151" s="25" t="n">
        <v>0.946184158325195</v>
      </c>
      <c r="AF151" s="25" t="n">
        <v>0.667264044284821</v>
      </c>
      <c r="AG151" s="25" t="n">
        <v>0.192557543516159</v>
      </c>
      <c r="AH151" s="25" t="n">
        <v>1.31868660449982</v>
      </c>
      <c r="AI151" s="25" t="n">
        <v>86.626708984375</v>
      </c>
      <c r="AJ151" s="6" t="n">
        <v>119.9</v>
      </c>
      <c r="AK151" s="6" t="n">
        <v>195.8</v>
      </c>
      <c r="AL151" s="26"/>
    </row>
    <row r="152" customFormat="false" ht="15" hidden="false" customHeight="false" outlineLevel="0" collapsed="false">
      <c r="A152" s="6" t="s">
        <v>1013</v>
      </c>
      <c r="B152" s="6" t="s">
        <v>3188</v>
      </c>
      <c r="C152" s="6" t="s">
        <v>3007</v>
      </c>
      <c r="D152" s="13" t="n">
        <v>143.72590637207</v>
      </c>
      <c r="E152" s="25" t="n">
        <v>5.95142507553101</v>
      </c>
      <c r="F152" s="25" t="n">
        <v>16.3784599304199</v>
      </c>
      <c r="G152" s="25" t="n">
        <v>5.77455377578735</v>
      </c>
      <c r="H152" s="25" t="n">
        <v>5.82545614242554</v>
      </c>
      <c r="I152" s="25" t="n">
        <v>2.48797297477722</v>
      </c>
      <c r="J152" s="25" t="n">
        <v>0.724306274414063</v>
      </c>
      <c r="K152" s="25" t="n">
        <v>1.08592163085938</v>
      </c>
      <c r="L152" s="25" t="n">
        <v>3.52947827148438</v>
      </c>
      <c r="M152" s="25" t="n">
        <v>0</v>
      </c>
      <c r="N152" s="25" t="n">
        <v>354.600555419922</v>
      </c>
      <c r="O152" s="25" t="n">
        <v>485.902618408203</v>
      </c>
      <c r="P152" s="25" t="n">
        <v>47.8705558776856</v>
      </c>
      <c r="Q152" s="25" t="n">
        <v>122.998672485352</v>
      </c>
      <c r="R152" s="25" t="n">
        <v>58.6087150573731</v>
      </c>
      <c r="S152" s="25" t="n">
        <v>2.27037191390991</v>
      </c>
      <c r="T152" s="25" t="n">
        <v>0.867484986782074</v>
      </c>
      <c r="U152" s="25" t="n">
        <v>0.257251501083374</v>
      </c>
      <c r="V152" s="25" t="n">
        <v>5.72729730606079</v>
      </c>
      <c r="W152" s="25" t="n">
        <v>0.584719002246857</v>
      </c>
      <c r="X152" s="25" t="n">
        <v>0</v>
      </c>
      <c r="Y152" s="25" t="n">
        <v>2790.13525390625</v>
      </c>
      <c r="Z152" s="25" t="n">
        <v>2.65126252174377</v>
      </c>
      <c r="AA152" s="25" t="n">
        <v>18.3084011077881</v>
      </c>
      <c r="AB152" s="25" t="n">
        <v>13.6187925338745</v>
      </c>
      <c r="AC152" s="25" t="n">
        <v>0.107461646199226</v>
      </c>
      <c r="AD152" s="25" t="n">
        <v>0.0675808861851692</v>
      </c>
      <c r="AE152" s="25" t="n">
        <v>0.981207489967346</v>
      </c>
      <c r="AF152" s="25" t="n">
        <v>0.629738986492157</v>
      </c>
      <c r="AG152" s="25" t="n">
        <v>0.132517516613007</v>
      </c>
      <c r="AH152" s="25" t="n">
        <v>1.31868660449982</v>
      </c>
      <c r="AI152" s="25" t="n">
        <v>93.6313781738281</v>
      </c>
      <c r="AJ152" s="6" t="n">
        <v>119.9</v>
      </c>
      <c r="AK152" s="6" t="n">
        <v>172.4</v>
      </c>
      <c r="AL152" s="26"/>
    </row>
    <row r="153" customFormat="false" ht="15" hidden="false" customHeight="false" outlineLevel="0" collapsed="false">
      <c r="A153" s="6" t="s">
        <v>1054</v>
      </c>
      <c r="B153" s="6" t="s">
        <v>1052</v>
      </c>
      <c r="C153" s="6" t="s">
        <v>3007</v>
      </c>
      <c r="D153" s="13" t="n">
        <v>96.9184722900391</v>
      </c>
      <c r="E153" s="25" t="n">
        <v>3.35006332397461</v>
      </c>
      <c r="F153" s="25" t="n">
        <v>10.5677404403687</v>
      </c>
      <c r="G153" s="25" t="n">
        <v>4.38269662857056</v>
      </c>
      <c r="H153" s="25" t="n">
        <v>3.52159857749939</v>
      </c>
      <c r="I153" s="25" t="n">
        <v>3.30765795707703</v>
      </c>
      <c r="J153" s="25" t="n">
        <v>1.88649108886719</v>
      </c>
      <c r="K153" s="25" t="n">
        <v>0.544727416992188</v>
      </c>
      <c r="L153" s="25" t="n">
        <v>1.17995874023438</v>
      </c>
      <c r="M153" s="25" t="n">
        <v>0</v>
      </c>
      <c r="N153" s="25" t="n">
        <v>159.538223266602</v>
      </c>
      <c r="O153" s="25" t="n">
        <v>298.293975830078</v>
      </c>
      <c r="P153" s="25" t="n">
        <v>30.2377643585205</v>
      </c>
      <c r="Q153" s="25" t="n">
        <v>59.3177871704102</v>
      </c>
      <c r="R153" s="25" t="n">
        <v>32.1638488769531</v>
      </c>
      <c r="S153" s="25" t="n">
        <v>1.23641884326935</v>
      </c>
      <c r="T153" s="25" t="n">
        <v>0.466185629367828</v>
      </c>
      <c r="U153" s="25" t="n">
        <v>0.203843533992767</v>
      </c>
      <c r="V153" s="25" t="n">
        <v>2.35912036895752</v>
      </c>
      <c r="W153" s="25" t="n">
        <v>0.284844517707825</v>
      </c>
      <c r="X153" s="25" t="n">
        <v>0</v>
      </c>
      <c r="Y153" s="25" t="n">
        <v>1606.20458984375</v>
      </c>
      <c r="Z153" s="25" t="n">
        <v>1.03919339179993</v>
      </c>
      <c r="AA153" s="25" t="n">
        <v>34.1590690612793</v>
      </c>
      <c r="AB153" s="25" t="n">
        <v>7.90880489349365</v>
      </c>
      <c r="AC153" s="25" t="n">
        <v>0.080179788172245</v>
      </c>
      <c r="AD153" s="25" t="n">
        <v>0.0451117567718029</v>
      </c>
      <c r="AE153" s="25" t="n">
        <v>0.527672469615936</v>
      </c>
      <c r="AF153" s="25" t="n">
        <v>0.264888256788254</v>
      </c>
      <c r="AG153" s="25" t="n">
        <v>0.0786297395825386</v>
      </c>
      <c r="AH153" s="25" t="n">
        <v>0.784995138645172</v>
      </c>
      <c r="AI153" s="25" t="n">
        <v>26.5063457489014</v>
      </c>
      <c r="AJ153" s="6" t="n">
        <v>257.2</v>
      </c>
      <c r="AK153" s="6" t="n">
        <v>249.3</v>
      </c>
      <c r="AL153" s="26"/>
    </row>
    <row r="154" customFormat="false" ht="15" hidden="false" customHeight="false" outlineLevel="0" collapsed="false">
      <c r="A154" s="6" t="s">
        <v>1040</v>
      </c>
      <c r="B154" s="6" t="s">
        <v>3189</v>
      </c>
      <c r="C154" s="6" t="s">
        <v>3007</v>
      </c>
      <c r="D154" s="13" t="n">
        <v>403.349212646484</v>
      </c>
      <c r="E154" s="25" t="n">
        <v>1.64430439472199</v>
      </c>
      <c r="F154" s="25" t="n">
        <v>3.56378030776978</v>
      </c>
      <c r="G154" s="25" t="n">
        <v>42.5884895324707</v>
      </c>
      <c r="H154" s="25" t="n">
        <v>0.811676323413849</v>
      </c>
      <c r="I154" s="25" t="n">
        <v>0.877976596355438</v>
      </c>
      <c r="J154" s="25" t="n">
        <v>5.25046875</v>
      </c>
      <c r="K154" s="25" t="n">
        <v>8.7473984375</v>
      </c>
      <c r="L154" s="25" t="n">
        <v>26.7840390625</v>
      </c>
      <c r="M154" s="25" t="n">
        <v>0.937310934066773</v>
      </c>
      <c r="N154" s="25" t="n">
        <v>60.8049087524414</v>
      </c>
      <c r="O154" s="25" t="n">
        <v>70.2098693847656</v>
      </c>
      <c r="P154" s="25" t="n">
        <v>24.5317440032959</v>
      </c>
      <c r="Q154" s="25" t="n">
        <v>27.8259716033936</v>
      </c>
      <c r="R154" s="25" t="n">
        <v>8.75023174285889</v>
      </c>
      <c r="S154" s="25" t="n">
        <v>0.383767306804657</v>
      </c>
      <c r="T154" s="25" t="n">
        <v>0.161216288805008</v>
      </c>
      <c r="U154" s="25" t="n">
        <v>0.0296432264149189</v>
      </c>
      <c r="V154" s="25" t="n">
        <v>0.539761424064636</v>
      </c>
      <c r="W154" s="25" t="n">
        <v>0.122086457908154</v>
      </c>
      <c r="X154" s="25" t="n">
        <v>2.38588237762451</v>
      </c>
      <c r="Y154" s="25" t="n">
        <v>795.486694335938</v>
      </c>
      <c r="Z154" s="25" t="n">
        <v>20.8464870452881</v>
      </c>
      <c r="AA154" s="25" t="n">
        <v>10.8308362960815</v>
      </c>
      <c r="AB154" s="25" t="n">
        <v>0.710038602352142</v>
      </c>
      <c r="AC154" s="25" t="n">
        <v>0.0314570926129818</v>
      </c>
      <c r="AD154" s="25" t="n">
        <v>0.0380297750234604</v>
      </c>
      <c r="AE154" s="25" t="n">
        <v>0.162018790841103</v>
      </c>
      <c r="AF154" s="25" t="n">
        <v>0.108245521783829</v>
      </c>
      <c r="AG154" s="25" t="n">
        <v>0.0369106233119965</v>
      </c>
      <c r="AH154" s="25" t="n">
        <v>0.695307612419128</v>
      </c>
      <c r="AI154" s="25" t="n">
        <v>13.1271295547485</v>
      </c>
      <c r="AJ154" s="6" t="n">
        <v>586.8</v>
      </c>
      <c r="AK154" s="6" t="n">
        <v>2366.8</v>
      </c>
      <c r="AL154" s="26" t="s">
        <v>3146</v>
      </c>
    </row>
    <row r="155" customFormat="false" ht="15" hidden="false" customHeight="false" outlineLevel="0" collapsed="false">
      <c r="A155" s="6" t="s">
        <v>3190</v>
      </c>
      <c r="B155" s="6" t="s">
        <v>3191</v>
      </c>
      <c r="C155" s="6" t="s">
        <v>3007</v>
      </c>
      <c r="D155" s="13" t="n">
        <v>202.566055297852</v>
      </c>
      <c r="E155" s="25" t="n">
        <v>6.29554891586304</v>
      </c>
      <c r="F155" s="25" t="n">
        <v>21.1406402587891</v>
      </c>
      <c r="G155" s="25" t="n">
        <v>10.5597734451294</v>
      </c>
      <c r="H155" s="25" t="n">
        <v>5.26031732559204</v>
      </c>
      <c r="I155" s="25" t="n">
        <v>4.74938535690308</v>
      </c>
      <c r="J155" s="25" t="n">
        <v>1.25105773925781</v>
      </c>
      <c r="K155" s="25" t="n">
        <v>2.20904809570313</v>
      </c>
      <c r="L155" s="25" t="n">
        <v>6.291158203125</v>
      </c>
      <c r="M155" s="25" t="n">
        <v>0</v>
      </c>
      <c r="N155" s="25" t="n">
        <v>513.3212890625</v>
      </c>
      <c r="O155" s="25" t="n">
        <v>344.782836914063</v>
      </c>
      <c r="P155" s="25" t="n">
        <v>40.7711143493652</v>
      </c>
      <c r="Q155" s="25" t="n">
        <v>86.5395965576172</v>
      </c>
      <c r="R155" s="25" t="n">
        <v>38.7611503601074</v>
      </c>
      <c r="S155" s="25" t="n">
        <v>1.94230222702026</v>
      </c>
      <c r="T155" s="25" t="n">
        <v>0.930378794670105</v>
      </c>
      <c r="U155" s="25" t="n">
        <v>0.246930480003357</v>
      </c>
      <c r="V155" s="25" t="n">
        <v>0.199748501181603</v>
      </c>
      <c r="W155" s="25" t="n">
        <v>1.52656877040863</v>
      </c>
      <c r="X155" s="25" t="n">
        <v>0</v>
      </c>
      <c r="Y155" s="25" t="n">
        <v>2188.99072265625</v>
      </c>
      <c r="Z155" s="25" t="n">
        <v>4.5656099319458</v>
      </c>
      <c r="AA155" s="25" t="n">
        <v>18.9920463562012</v>
      </c>
      <c r="AB155" s="25" t="n">
        <v>13.2990741729736</v>
      </c>
      <c r="AC155" s="25" t="n">
        <v>0.154857382178307</v>
      </c>
      <c r="AD155" s="25" t="n">
        <v>0.0758945643901825</v>
      </c>
      <c r="AE155" s="25" t="n">
        <v>0.745971620082855</v>
      </c>
      <c r="AF155" s="25" t="n">
        <v>0.567867696285248</v>
      </c>
      <c r="AG155" s="25" t="n">
        <v>0.219507828354836</v>
      </c>
      <c r="AH155" s="25" t="n">
        <v>1.03626644611359</v>
      </c>
      <c r="AI155" s="25" t="n">
        <v>155.5029296875</v>
      </c>
      <c r="AJ155" s="6" t="n">
        <v>157.1</v>
      </c>
      <c r="AK155" s="6" t="n">
        <v>318.2</v>
      </c>
      <c r="AL155" s="26"/>
    </row>
    <row r="156" customFormat="false" ht="15" hidden="false" customHeight="false" outlineLevel="0" collapsed="false">
      <c r="A156" s="6" t="s">
        <v>1722</v>
      </c>
      <c r="B156" s="6" t="s">
        <v>3192</v>
      </c>
      <c r="C156" s="6" t="s">
        <v>3112</v>
      </c>
      <c r="D156" s="13" t="n">
        <v>32.473762512207</v>
      </c>
      <c r="E156" s="25" t="n">
        <v>1.34970760345459</v>
      </c>
      <c r="F156" s="25" t="n">
        <v>6.00506830215454</v>
      </c>
      <c r="G156" s="25" t="n">
        <v>0.32163742184639</v>
      </c>
      <c r="H156" s="25" t="n">
        <v>1.34502923488617</v>
      </c>
      <c r="I156" s="25" t="n">
        <v>1.56686162948608</v>
      </c>
      <c r="J156" s="25" t="n">
        <v>0.0666405487060547</v>
      </c>
      <c r="K156" s="25" t="n">
        <v>0.0347964897155762</v>
      </c>
      <c r="L156" s="25" t="n">
        <v>0.122832359313965</v>
      </c>
      <c r="M156" s="25" t="n">
        <v>0</v>
      </c>
      <c r="N156" s="25" t="n">
        <v>87.0721282958984</v>
      </c>
      <c r="O156" s="25" t="n">
        <v>218.918121337891</v>
      </c>
      <c r="P156" s="25" t="n">
        <v>16.5356731414795</v>
      </c>
      <c r="Q156" s="25" t="n">
        <v>30.2152042388916</v>
      </c>
      <c r="R156" s="25" t="n">
        <v>17.4514617919922</v>
      </c>
      <c r="S156" s="25" t="n">
        <v>0.878674447536469</v>
      </c>
      <c r="T156" s="25" t="n">
        <v>0.234502926468849</v>
      </c>
      <c r="U156" s="25" t="n">
        <v>0.0523586757481098</v>
      </c>
      <c r="V156" s="25" t="n">
        <v>0.317738801240921</v>
      </c>
      <c r="W156" s="25" t="n">
        <v>0.121637426316738</v>
      </c>
      <c r="X156" s="25" t="n">
        <v>0</v>
      </c>
      <c r="Y156" s="25" t="n">
        <v>1275.90258789063</v>
      </c>
      <c r="Z156" s="25" t="n">
        <v>0.0643274858593941</v>
      </c>
      <c r="AA156" s="25" t="n">
        <v>7.23976612091065</v>
      </c>
      <c r="AB156" s="25" t="n">
        <v>15.1196880340576</v>
      </c>
      <c r="AC156" s="25" t="n">
        <v>0.0497076027095318</v>
      </c>
      <c r="AD156" s="25" t="n">
        <v>0.0223781671375036</v>
      </c>
      <c r="AE156" s="25" t="n">
        <v>0.505263149738312</v>
      </c>
      <c r="AF156" s="25" t="n">
        <v>0.29044833779335</v>
      </c>
      <c r="AG156" s="25" t="n">
        <v>0.0769980475306511</v>
      </c>
      <c r="AH156" s="25" t="n">
        <v>1.33060431480408</v>
      </c>
      <c r="AI156" s="25" t="n">
        <v>16.8124752044678</v>
      </c>
      <c r="AJ156" s="6" t="n">
        <v>256.5</v>
      </c>
      <c r="AK156" s="6" t="n">
        <v>83.3</v>
      </c>
      <c r="AL156" s="26"/>
    </row>
    <row r="157" customFormat="false" ht="15" hidden="false" customHeight="false" outlineLevel="0" collapsed="false">
      <c r="A157" s="6" t="s">
        <v>1227</v>
      </c>
      <c r="B157" s="6" t="s">
        <v>3193</v>
      </c>
      <c r="C157" s="6" t="s">
        <v>3007</v>
      </c>
      <c r="D157" s="13" t="n">
        <v>106.177482604981</v>
      </c>
      <c r="E157" s="25" t="n">
        <v>1.8975750207901</v>
      </c>
      <c r="F157" s="25" t="n">
        <v>5.99050521850586</v>
      </c>
      <c r="G157" s="25" t="n">
        <v>8.12569236755371</v>
      </c>
      <c r="H157" s="25" t="n">
        <v>3.01826286315918</v>
      </c>
      <c r="I157" s="25" t="n">
        <v>0.436180353164673</v>
      </c>
      <c r="J157" s="25" t="n">
        <v>1.02219152832031</v>
      </c>
      <c r="K157" s="25" t="n">
        <v>1.60536645507813</v>
      </c>
      <c r="L157" s="25" t="n">
        <v>5.0687421875</v>
      </c>
      <c r="M157" s="25" t="n">
        <v>0</v>
      </c>
      <c r="N157" s="25" t="n">
        <v>254.758285522461</v>
      </c>
      <c r="O157" s="25" t="n">
        <v>378.778259277344</v>
      </c>
      <c r="P157" s="25" t="n">
        <v>22.8723869323731</v>
      </c>
      <c r="Q157" s="25" t="n">
        <v>44.4620132446289</v>
      </c>
      <c r="R157" s="25" t="n">
        <v>25.2212772369385</v>
      </c>
      <c r="S157" s="25" t="n">
        <v>1.06543958187103</v>
      </c>
      <c r="T157" s="25" t="n">
        <v>0.307764440774918</v>
      </c>
      <c r="U157" s="25" t="n">
        <v>0.0721957311034203</v>
      </c>
      <c r="V157" s="25" t="n">
        <v>0.49503555893898</v>
      </c>
      <c r="W157" s="25" t="n">
        <v>0.356361895799637</v>
      </c>
      <c r="X157" s="25" t="n">
        <v>0</v>
      </c>
      <c r="Y157" s="25" t="n">
        <v>321.865203857422</v>
      </c>
      <c r="Z157" s="25" t="n">
        <v>3.83269715309143</v>
      </c>
      <c r="AA157" s="25" t="n">
        <v>13.7801542282105</v>
      </c>
      <c r="AB157" s="25" t="n">
        <v>34.7721710205078</v>
      </c>
      <c r="AC157" s="25" t="n">
        <v>0.0449416786432266</v>
      </c>
      <c r="AD157" s="25" t="n">
        <v>0.04935647174716</v>
      </c>
      <c r="AE157" s="25" t="n">
        <v>0.546471655368805</v>
      </c>
      <c r="AF157" s="25" t="n">
        <v>0.481502711772919</v>
      </c>
      <c r="AG157" s="25" t="n">
        <v>0.120603695511818</v>
      </c>
      <c r="AH157" s="25" t="n">
        <v>1.88253319263458</v>
      </c>
      <c r="AI157" s="25" t="n">
        <v>31.8314685821533</v>
      </c>
      <c r="AJ157" s="6" t="n">
        <v>175.7</v>
      </c>
      <c r="AK157" s="6" t="n">
        <v>186.6</v>
      </c>
      <c r="AL157" s="26"/>
    </row>
    <row r="158" customFormat="false" ht="15" hidden="false" customHeight="false" outlineLevel="0" collapsed="false">
      <c r="A158" s="6" t="s">
        <v>3194</v>
      </c>
      <c r="B158" s="6" t="s">
        <v>3195</v>
      </c>
      <c r="C158" s="6" t="s">
        <v>3007</v>
      </c>
      <c r="D158" s="13" t="n">
        <v>125.529632568359</v>
      </c>
      <c r="E158" s="25" t="n">
        <v>1.40961062908173</v>
      </c>
      <c r="F158" s="25" t="n">
        <v>8.71695709228516</v>
      </c>
      <c r="G158" s="25" t="n">
        <v>9.33227443695068</v>
      </c>
      <c r="H158" s="25" t="n">
        <v>2.02460837364197</v>
      </c>
      <c r="I158" s="25" t="n">
        <v>0.535049438476563</v>
      </c>
      <c r="J158" s="25" t="n">
        <v>1.14686999511719</v>
      </c>
      <c r="K158" s="25" t="n">
        <v>1.8616328125</v>
      </c>
      <c r="L158" s="25" t="n">
        <v>5.8444873046875</v>
      </c>
      <c r="M158" s="25" t="n">
        <v>0</v>
      </c>
      <c r="N158" s="25" t="n">
        <v>277.920501708984</v>
      </c>
      <c r="O158" s="25" t="n">
        <v>364.147796630859</v>
      </c>
      <c r="P158" s="25" t="n">
        <v>16.4465789794922</v>
      </c>
      <c r="Q158" s="25" t="n">
        <v>35.2683143615723</v>
      </c>
      <c r="R158" s="25" t="n">
        <v>22.0125331878662</v>
      </c>
      <c r="S158" s="25" t="n">
        <v>0.859044790267944</v>
      </c>
      <c r="T158" s="25" t="n">
        <v>0.24935057759285</v>
      </c>
      <c r="U158" s="25" t="n">
        <v>0.0858268663287163</v>
      </c>
      <c r="V158" s="25" t="n">
        <v>0.449436157941818</v>
      </c>
      <c r="W158" s="25" t="n">
        <v>0.319274306297302</v>
      </c>
      <c r="X158" s="25" t="n">
        <v>0</v>
      </c>
      <c r="Y158" s="25" t="n">
        <v>1209.08666992188</v>
      </c>
      <c r="Z158" s="25" t="n">
        <v>4.4882025718689</v>
      </c>
      <c r="AA158" s="25" t="n">
        <v>15.090295791626</v>
      </c>
      <c r="AB158" s="25" t="n">
        <v>53.9035415649414</v>
      </c>
      <c r="AC158" s="25" t="n">
        <v>0.0523946955800057</v>
      </c>
      <c r="AD158" s="25" t="n">
        <v>0.0227157548069954</v>
      </c>
      <c r="AE158" s="25" t="n">
        <v>0.789667665958405</v>
      </c>
      <c r="AF158" s="25" t="n">
        <v>0.282746940851212</v>
      </c>
      <c r="AG158" s="25" t="n">
        <v>0.120703816413879</v>
      </c>
      <c r="AH158" s="25" t="n">
        <v>2.3025221824646</v>
      </c>
      <c r="AI158" s="25" t="n">
        <v>26.3988761901856</v>
      </c>
      <c r="AJ158" s="6" t="n">
        <v>150.8</v>
      </c>
      <c r="AK158" s="6" t="n">
        <v>189.2</v>
      </c>
      <c r="AL158" s="26"/>
    </row>
    <row r="159" customFormat="false" ht="15" hidden="false" customHeight="false" outlineLevel="0" collapsed="false">
      <c r="A159" s="6" t="s">
        <v>1251</v>
      </c>
      <c r="B159" s="6" t="s">
        <v>3196</v>
      </c>
      <c r="C159" s="6" t="s">
        <v>3007</v>
      </c>
      <c r="D159" s="13" t="n">
        <v>63.882942199707</v>
      </c>
      <c r="E159" s="25" t="n">
        <v>3.23933124542236</v>
      </c>
      <c r="F159" s="25" t="n">
        <v>6.23540639877319</v>
      </c>
      <c r="G159" s="25" t="n">
        <v>2.6449499130249</v>
      </c>
      <c r="H159" s="25" t="n">
        <v>3.98559212684631</v>
      </c>
      <c r="I159" s="25" t="n">
        <v>0.966413259506226</v>
      </c>
      <c r="J159" s="25" t="n">
        <v>0.343880676269531</v>
      </c>
      <c r="K159" s="25" t="n">
        <v>0.529149719238281</v>
      </c>
      <c r="L159" s="25" t="n">
        <v>1.63528381347656</v>
      </c>
      <c r="M159" s="25" t="n">
        <v>0</v>
      </c>
      <c r="N159" s="25" t="n">
        <v>253.734558105469</v>
      </c>
      <c r="O159" s="25" t="n">
        <v>255.49641418457</v>
      </c>
      <c r="P159" s="25" t="n">
        <v>45.4966735839844</v>
      </c>
      <c r="Q159" s="25" t="n">
        <v>40.4011955261231</v>
      </c>
      <c r="R159" s="25" t="n">
        <v>28.5918159484863</v>
      </c>
      <c r="S159" s="25" t="n">
        <v>1.10072779655457</v>
      </c>
      <c r="T159" s="25" t="n">
        <v>0.476238191127777</v>
      </c>
      <c r="U159" s="25" t="n">
        <v>0.101975336670876</v>
      </c>
      <c r="V159" s="25" t="n">
        <v>1.16454136371613</v>
      </c>
      <c r="W159" s="25" t="n">
        <v>0.464529931545258</v>
      </c>
      <c r="X159" s="25" t="n">
        <v>0</v>
      </c>
      <c r="Y159" s="25" t="n">
        <v>772.204895019531</v>
      </c>
      <c r="Z159" s="25" t="n">
        <v>1.30668568611145</v>
      </c>
      <c r="AA159" s="25" t="n">
        <v>86.0799255371094</v>
      </c>
      <c r="AB159" s="25" t="n">
        <v>32.9892272949219</v>
      </c>
      <c r="AC159" s="25" t="n">
        <v>0.104366920888424</v>
      </c>
      <c r="AD159" s="25" t="n">
        <v>0.044763308018446</v>
      </c>
      <c r="AE159" s="25" t="n">
        <v>0.592661023139954</v>
      </c>
      <c r="AF159" s="25" t="n">
        <v>0.369528412818909</v>
      </c>
      <c r="AG159" s="25" t="n">
        <v>0.15160059928894</v>
      </c>
      <c r="AH159" s="25" t="n">
        <v>2.16267776489258</v>
      </c>
      <c r="AI159" s="25" t="n">
        <v>45.6832809448242</v>
      </c>
      <c r="AJ159" s="6" t="n">
        <v>166.2</v>
      </c>
      <c r="AK159" s="6" t="n">
        <v>106.2</v>
      </c>
      <c r="AL159" s="26"/>
    </row>
    <row r="160" customFormat="false" ht="15" hidden="false" customHeight="false" outlineLevel="0" collapsed="false">
      <c r="A160" s="6" t="s">
        <v>3197</v>
      </c>
      <c r="B160" s="6" t="s">
        <v>3198</v>
      </c>
      <c r="C160" s="6" t="s">
        <v>3007</v>
      </c>
      <c r="D160" s="13" t="n">
        <v>61.9169387817383</v>
      </c>
      <c r="E160" s="25" t="n">
        <v>2.09511828422546</v>
      </c>
      <c r="F160" s="25" t="n">
        <v>4.17098999023438</v>
      </c>
      <c r="G160" s="25" t="n">
        <v>3.80685663223267</v>
      </c>
      <c r="H160" s="25" t="n">
        <v>4.42880582809448</v>
      </c>
      <c r="I160" s="25" t="n">
        <v>2.1075291633606</v>
      </c>
      <c r="J160" s="25" t="n">
        <v>0.516926147460938</v>
      </c>
      <c r="K160" s="25" t="n">
        <v>0.674711791992188</v>
      </c>
      <c r="L160" s="25" t="n">
        <v>2.342759765625</v>
      </c>
      <c r="M160" s="25" t="n">
        <v>0</v>
      </c>
      <c r="N160" s="25" t="n">
        <v>262.913055419922</v>
      </c>
      <c r="O160" s="25" t="n">
        <v>255.949035644531</v>
      </c>
      <c r="P160" s="25" t="n">
        <v>128.830001831055</v>
      </c>
      <c r="Q160" s="25" t="n">
        <v>46.6530456542969</v>
      </c>
      <c r="R160" s="25" t="n">
        <v>37.0984497070313</v>
      </c>
      <c r="S160" s="25" t="n">
        <v>2.7181179523468</v>
      </c>
      <c r="T160" s="25" t="n">
        <v>0.375463157892227</v>
      </c>
      <c r="U160" s="25" t="n">
        <v>0.12381861358881</v>
      </c>
      <c r="V160" s="25" t="n">
        <v>0.622542560100555</v>
      </c>
      <c r="W160" s="25" t="n">
        <v>0.593384563922882</v>
      </c>
      <c r="X160" s="25" t="n">
        <v>0</v>
      </c>
      <c r="Y160" s="25" t="n">
        <v>10000.71875</v>
      </c>
      <c r="Z160" s="25" t="n">
        <v>1.81282579898834</v>
      </c>
      <c r="AA160" s="25" t="n">
        <v>179.394027709961</v>
      </c>
      <c r="AB160" s="25" t="n">
        <v>27.1702156066895</v>
      </c>
      <c r="AC160" s="25" t="n">
        <v>0.0674495398998261</v>
      </c>
      <c r="AD160" s="25" t="n">
        <v>0.107414945960045</v>
      </c>
      <c r="AE160" s="25" t="n">
        <v>0.445975869894028</v>
      </c>
      <c r="AF160" s="25" t="n">
        <v>0.362157821655273</v>
      </c>
      <c r="AG160" s="25" t="n">
        <v>0.221670240163803</v>
      </c>
      <c r="AH160" s="25" t="n">
        <v>2.72254371643066</v>
      </c>
      <c r="AI160" s="25" t="n">
        <v>42.8146553039551</v>
      </c>
      <c r="AJ160" s="6" t="n">
        <v>190.7</v>
      </c>
      <c r="AK160" s="6" t="n">
        <v>118.1</v>
      </c>
      <c r="AL160" s="26"/>
    </row>
    <row r="161" customFormat="false" ht="15" hidden="false" customHeight="false" outlineLevel="0" collapsed="false">
      <c r="A161" s="6" t="s">
        <v>1236</v>
      </c>
      <c r="B161" s="6" t="s">
        <v>3199</v>
      </c>
      <c r="C161" s="6" t="s">
        <v>3007</v>
      </c>
      <c r="D161" s="13" t="n">
        <v>135.147399902344</v>
      </c>
      <c r="E161" s="25" t="n">
        <v>2.24550199508667</v>
      </c>
      <c r="F161" s="25" t="n">
        <v>8.4681339263916</v>
      </c>
      <c r="G161" s="25" t="n">
        <v>10.040675163269</v>
      </c>
      <c r="H161" s="25" t="n">
        <v>2.9267795085907</v>
      </c>
      <c r="I161" s="25" t="n">
        <v>0.543506503105164</v>
      </c>
      <c r="J161" s="25" t="n">
        <v>1.25428967285156</v>
      </c>
      <c r="K161" s="25" t="n">
        <v>1.98155334472656</v>
      </c>
      <c r="L161" s="25" t="n">
        <v>6.3046826171875</v>
      </c>
      <c r="M161" s="25" t="n">
        <v>0</v>
      </c>
      <c r="N161" s="25" t="n">
        <v>221.927368164063</v>
      </c>
      <c r="O161" s="25" t="n">
        <v>370.243713378906</v>
      </c>
      <c r="P161" s="25" t="n">
        <v>107.795944213867</v>
      </c>
      <c r="Q161" s="25" t="n">
        <v>43.7457427978516</v>
      </c>
      <c r="R161" s="25" t="n">
        <v>38.240047454834</v>
      </c>
      <c r="S161" s="25" t="n">
        <v>2.53038430213928</v>
      </c>
      <c r="T161" s="25" t="n">
        <v>0.365334630012512</v>
      </c>
      <c r="U161" s="25" t="n">
        <v>0.121191680431366</v>
      </c>
      <c r="V161" s="25" t="n">
        <v>0.840881288051605</v>
      </c>
      <c r="W161" s="25" t="n">
        <v>0.510100841522217</v>
      </c>
      <c r="X161" s="25" t="n">
        <v>0</v>
      </c>
      <c r="Y161" s="25" t="n">
        <v>4850.60986328125</v>
      </c>
      <c r="Z161" s="25" t="n">
        <v>4.87278604507446</v>
      </c>
      <c r="AA161" s="25" t="n">
        <v>160.00715637207</v>
      </c>
      <c r="AB161" s="25" t="n">
        <v>33.6632499694824</v>
      </c>
      <c r="AC161" s="25" t="n">
        <v>0.072783350944519</v>
      </c>
      <c r="AD161" s="25" t="n">
        <v>0.0905233845114708</v>
      </c>
      <c r="AE161" s="25" t="n">
        <v>0.817967653274536</v>
      </c>
      <c r="AF161" s="25" t="n">
        <v>0.377388507127762</v>
      </c>
      <c r="AG161" s="25" t="n">
        <v>0.202122882008553</v>
      </c>
      <c r="AH161" s="25" t="n">
        <v>2.46915650367737</v>
      </c>
      <c r="AI161" s="25" t="n">
        <v>35.8085479736328</v>
      </c>
      <c r="AJ161" s="6" t="n">
        <v>204.3</v>
      </c>
      <c r="AK161" s="6" t="n">
        <v>276</v>
      </c>
      <c r="AL161" s="26"/>
    </row>
    <row r="162" customFormat="false" ht="15" hidden="false" customHeight="false" outlineLevel="0" collapsed="false">
      <c r="A162" s="6" t="s">
        <v>1177</v>
      </c>
      <c r="B162" s="6" t="s">
        <v>3200</v>
      </c>
      <c r="C162" s="6" t="s">
        <v>3007</v>
      </c>
      <c r="D162" s="13" t="n">
        <v>65.1157302856445</v>
      </c>
      <c r="E162" s="25" t="n">
        <v>1.37970352172852</v>
      </c>
      <c r="F162" s="25" t="n">
        <v>4.39745807647705</v>
      </c>
      <c r="G162" s="25" t="n">
        <v>4.4805498123169</v>
      </c>
      <c r="H162" s="25" t="n">
        <v>3.27441954612732</v>
      </c>
      <c r="I162" s="25" t="n">
        <v>1.81604242324829</v>
      </c>
      <c r="J162" s="25" t="n">
        <v>0.567546203613281</v>
      </c>
      <c r="K162" s="25" t="n">
        <v>0.879609619140625</v>
      </c>
      <c r="L162" s="25" t="n">
        <v>2.7731494140625</v>
      </c>
      <c r="M162" s="25" t="n">
        <v>0</v>
      </c>
      <c r="N162" s="25" t="n">
        <v>132.151657104492</v>
      </c>
      <c r="O162" s="25" t="n">
        <v>222.053009033203</v>
      </c>
      <c r="P162" s="25" t="n">
        <v>17.8539066314697</v>
      </c>
      <c r="Q162" s="25" t="n">
        <v>29.9794692993164</v>
      </c>
      <c r="R162" s="25" t="n">
        <v>20.0209560394287</v>
      </c>
      <c r="S162" s="25" t="n">
        <v>0.482447892427445</v>
      </c>
      <c r="T162" s="25" t="n">
        <v>0.225145310163498</v>
      </c>
      <c r="U162" s="25" t="n">
        <v>0.100219435989857</v>
      </c>
      <c r="V162" s="25" t="n">
        <v>0.0564711652696133</v>
      </c>
      <c r="W162" s="25" t="n">
        <v>0.234638914465904</v>
      </c>
      <c r="X162" s="25" t="n">
        <v>0</v>
      </c>
      <c r="Y162" s="25" t="n">
        <v>1228.75891113281</v>
      </c>
      <c r="Z162" s="25" t="n">
        <v>2.13420844078064</v>
      </c>
      <c r="AA162" s="25" t="n">
        <v>15.3899869918823</v>
      </c>
      <c r="AB162" s="25" t="n">
        <v>7.38005447387695</v>
      </c>
      <c r="AC162" s="25" t="n">
        <v>0.0521121434867382</v>
      </c>
      <c r="AD162" s="25" t="n">
        <v>0.0761172994971275</v>
      </c>
      <c r="AE162" s="25" t="n">
        <v>0.497417956590653</v>
      </c>
      <c r="AF162" s="25" t="n">
        <v>0.27510541677475</v>
      </c>
      <c r="AG162" s="25" t="n">
        <v>0.0809084475040436</v>
      </c>
      <c r="AH162" s="25" t="n">
        <v>1.69655311107636</v>
      </c>
      <c r="AI162" s="25" t="n">
        <v>28.3651447296143</v>
      </c>
      <c r="AJ162" s="6" t="n">
        <v>325.8</v>
      </c>
      <c r="AK162" s="6" t="n">
        <v>212.2</v>
      </c>
      <c r="AL162" s="26"/>
    </row>
    <row r="163" customFormat="false" ht="15" hidden="false" customHeight="false" outlineLevel="0" collapsed="false">
      <c r="A163" s="6" t="s">
        <v>1232</v>
      </c>
      <c r="B163" s="6" t="s">
        <v>3201</v>
      </c>
      <c r="C163" s="6" t="s">
        <v>3007</v>
      </c>
      <c r="D163" s="13" t="n">
        <v>103.145538330078</v>
      </c>
      <c r="E163" s="25" t="n">
        <v>1.6200236082077</v>
      </c>
      <c r="F163" s="25" t="n">
        <v>14.3782510757446</v>
      </c>
      <c r="G163" s="25" t="n">
        <v>4.18205690383911</v>
      </c>
      <c r="H163" s="25" t="n">
        <v>1.87697398662567</v>
      </c>
      <c r="I163" s="25" t="n">
        <v>0.328510642051697</v>
      </c>
      <c r="J163" s="25" t="n">
        <v>0.504621765136719</v>
      </c>
      <c r="K163" s="25" t="n">
        <v>0.841338073730469</v>
      </c>
      <c r="L163" s="25" t="n">
        <v>2.55075659179688</v>
      </c>
      <c r="M163" s="25" t="n">
        <v>0</v>
      </c>
      <c r="N163" s="25" t="n">
        <v>199.993881225586</v>
      </c>
      <c r="O163" s="25" t="n">
        <v>531.411376953125</v>
      </c>
      <c r="P163" s="25" t="n">
        <v>17.1962184906006</v>
      </c>
      <c r="Q163" s="25" t="n">
        <v>45.2127647399902</v>
      </c>
      <c r="R163" s="25" t="n">
        <v>26.8888893127441</v>
      </c>
      <c r="S163" s="25" t="n">
        <v>0.829598128795624</v>
      </c>
      <c r="T163" s="25" t="n">
        <v>0.312765955924988</v>
      </c>
      <c r="U163" s="25" t="n">
        <v>0.102033101022244</v>
      </c>
      <c r="V163" s="25" t="n">
        <v>0.733687937259674</v>
      </c>
      <c r="W163" s="25" t="n">
        <v>0.181371152400971</v>
      </c>
      <c r="X163" s="25" t="n">
        <v>0</v>
      </c>
      <c r="Y163" s="25" t="n">
        <v>244.016540527344</v>
      </c>
      <c r="Z163" s="25" t="n">
        <v>1.92439711093903</v>
      </c>
      <c r="AA163" s="25" t="n">
        <v>2.92245864868164</v>
      </c>
      <c r="AB163" s="25" t="n">
        <v>21.9621753692627</v>
      </c>
      <c r="AC163" s="25" t="n">
        <v>0.0606619380414486</v>
      </c>
      <c r="AD163" s="25" t="n">
        <v>0.0140898339450359</v>
      </c>
      <c r="AE163" s="25" t="n">
        <v>1.03231680393219</v>
      </c>
      <c r="AF163" s="25" t="n">
        <v>0.362624108791351</v>
      </c>
      <c r="AG163" s="25" t="n">
        <v>0.100543737411499</v>
      </c>
      <c r="AH163" s="25" t="n">
        <v>1.28288424015045</v>
      </c>
      <c r="AI163" s="25" t="n">
        <v>14.8507328033447</v>
      </c>
      <c r="AJ163" s="6" t="n">
        <v>105.7</v>
      </c>
      <c r="AK163" s="6" t="n">
        <v>109.1</v>
      </c>
      <c r="AL163" s="26"/>
    </row>
    <row r="164" customFormat="false" ht="15" hidden="false" customHeight="false" outlineLevel="0" collapsed="false">
      <c r="A164" s="6" t="s">
        <v>3202</v>
      </c>
      <c r="B164" s="6" t="s">
        <v>3203</v>
      </c>
      <c r="C164" s="6" t="s">
        <v>3007</v>
      </c>
      <c r="D164" s="13" t="n">
        <v>131.631362915039</v>
      </c>
      <c r="E164" s="25" t="n">
        <v>2.61879086494446</v>
      </c>
      <c r="F164" s="25" t="n">
        <v>4.39353895187378</v>
      </c>
      <c r="G164" s="25" t="n">
        <v>11.3935422897339</v>
      </c>
      <c r="H164" s="25" t="n">
        <v>5.58505868911743</v>
      </c>
      <c r="I164" s="25" t="n">
        <v>2.06275105476379</v>
      </c>
      <c r="J164" s="25" t="n">
        <v>4.485794921875</v>
      </c>
      <c r="K164" s="25" t="n">
        <v>1.55123669433594</v>
      </c>
      <c r="L164" s="25" t="n">
        <v>3.70646337890625</v>
      </c>
      <c r="M164" s="25" t="n">
        <v>0</v>
      </c>
      <c r="N164" s="25" t="n">
        <v>271.653442382813</v>
      </c>
      <c r="O164" s="25" t="n">
        <v>336.814697265625</v>
      </c>
      <c r="P164" s="25" t="n">
        <v>51.9177436828613</v>
      </c>
      <c r="Q164" s="25" t="n">
        <v>55.0226707458496</v>
      </c>
      <c r="R164" s="25" t="n">
        <v>40.9277763366699</v>
      </c>
      <c r="S164" s="25" t="n">
        <v>1.34138894081116</v>
      </c>
      <c r="T164" s="25" t="n">
        <v>0.443474650382996</v>
      </c>
      <c r="U164" s="25" t="n">
        <v>0.139567345380783</v>
      </c>
      <c r="V164" s="25" t="n">
        <v>0.938073456287384</v>
      </c>
      <c r="W164" s="25" t="n">
        <v>0.393640518188477</v>
      </c>
      <c r="X164" s="25" t="n">
        <v>0</v>
      </c>
      <c r="Y164" s="25" t="n">
        <v>3596.72607421875</v>
      </c>
      <c r="Z164" s="25" t="n">
        <v>3.12759327888489</v>
      </c>
      <c r="AA164" s="25" t="n">
        <v>24.624885559082</v>
      </c>
      <c r="AB164" s="25" t="n">
        <v>4.03090953826904</v>
      </c>
      <c r="AC164" s="25" t="n">
        <v>0.0578273385763168</v>
      </c>
      <c r="AD164" s="25" t="n">
        <v>0.0699986666440964</v>
      </c>
      <c r="AE164" s="25" t="n">
        <v>0.78991037607193</v>
      </c>
      <c r="AF164" s="25" t="n">
        <v>0.262033581733704</v>
      </c>
      <c r="AG164" s="25" t="n">
        <v>0.343076109886169</v>
      </c>
      <c r="AH164" s="25" t="n">
        <v>4.30330801010132</v>
      </c>
      <c r="AI164" s="25" t="n">
        <v>50.7325553894043</v>
      </c>
      <c r="AJ164" s="6" t="n">
        <v>149.5</v>
      </c>
      <c r="AK164" s="6" t="n">
        <v>196.8</v>
      </c>
      <c r="AL164" s="26"/>
    </row>
    <row r="165" customFormat="false" ht="15" hidden="false" customHeight="false" outlineLevel="0" collapsed="false">
      <c r="A165" s="6" t="s">
        <v>3204</v>
      </c>
      <c r="B165" s="6" t="s">
        <v>3205</v>
      </c>
      <c r="C165" s="6" t="s">
        <v>3007</v>
      </c>
      <c r="D165" s="13" t="n">
        <v>132.11083984375</v>
      </c>
      <c r="E165" s="25" t="n">
        <v>2.63885259628296</v>
      </c>
      <c r="F165" s="25" t="n">
        <v>3.9923083782196</v>
      </c>
      <c r="G165" s="25" t="n">
        <v>11.5607213973999</v>
      </c>
      <c r="H165" s="25" t="n">
        <v>5.27076196670532</v>
      </c>
      <c r="I165" s="25" t="n">
        <v>1.70833086967468</v>
      </c>
      <c r="J165" s="25" t="n">
        <v>4.5193642578125</v>
      </c>
      <c r="K165" s="25" t="n">
        <v>1.55991674804688</v>
      </c>
      <c r="L165" s="25" t="n">
        <v>3.76062939453125</v>
      </c>
      <c r="M165" s="25" t="n">
        <v>0</v>
      </c>
      <c r="N165" s="25" t="n">
        <v>286.057586669922</v>
      </c>
      <c r="O165" s="25" t="n">
        <v>344.839294433594</v>
      </c>
      <c r="P165" s="25" t="n">
        <v>35.3736763000488</v>
      </c>
      <c r="Q165" s="25" t="n">
        <v>55.9789390563965</v>
      </c>
      <c r="R165" s="25" t="n">
        <v>32.9700393676758</v>
      </c>
      <c r="S165" s="25" t="n">
        <v>1.32801449298859</v>
      </c>
      <c r="T165" s="25" t="n">
        <v>0.403351604938507</v>
      </c>
      <c r="U165" s="25" t="n">
        <v>0.126192986965179</v>
      </c>
      <c r="V165" s="25" t="n">
        <v>1.25237059593201</v>
      </c>
      <c r="W165" s="25" t="n">
        <v>0.366891801357269</v>
      </c>
      <c r="X165" s="25" t="n">
        <v>0</v>
      </c>
      <c r="Y165" s="25" t="n">
        <v>2661.51147460938</v>
      </c>
      <c r="Z165" s="25" t="n">
        <v>3.0807831287384</v>
      </c>
      <c r="AA165" s="25" t="n">
        <v>24.0832252502441</v>
      </c>
      <c r="AB165" s="25" t="n">
        <v>34.6314163208008</v>
      </c>
      <c r="AC165" s="25" t="n">
        <v>0.0511401630938053</v>
      </c>
      <c r="AD165" s="25" t="n">
        <v>0.0833730101585388</v>
      </c>
      <c r="AE165" s="25" t="n">
        <v>0.482300370931625</v>
      </c>
      <c r="AF165" s="25" t="n">
        <v>0.496084660291672</v>
      </c>
      <c r="AG165" s="25" t="n">
        <v>0.135773703455925</v>
      </c>
      <c r="AH165" s="25" t="n">
        <v>1.98954594135284</v>
      </c>
      <c r="AI165" s="25" t="n">
        <v>40.0130157470703</v>
      </c>
      <c r="AJ165" s="6" t="n">
        <v>149.5</v>
      </c>
      <c r="AK165" s="6" t="n">
        <v>197.6</v>
      </c>
      <c r="AL165" s="26"/>
    </row>
    <row r="166" customFormat="false" ht="15" hidden="false" customHeight="false" outlineLevel="0" collapsed="false">
      <c r="A166" s="6" t="s">
        <v>1289</v>
      </c>
      <c r="B166" s="6" t="s">
        <v>3206</v>
      </c>
      <c r="C166" s="6" t="s">
        <v>3007</v>
      </c>
      <c r="D166" s="13" t="n">
        <v>106.612731933594</v>
      </c>
      <c r="E166" s="25" t="n">
        <v>1.81975543498993</v>
      </c>
      <c r="F166" s="25" t="n">
        <v>4.99403524398804</v>
      </c>
      <c r="G166" s="25" t="n">
        <v>8.62128067016602</v>
      </c>
      <c r="H166" s="25" t="n">
        <v>4.5213475227356</v>
      </c>
      <c r="I166" s="25" t="n">
        <v>2.3552360534668</v>
      </c>
      <c r="J166" s="25" t="n">
        <v>3.37358569335938</v>
      </c>
      <c r="K166" s="25" t="n">
        <v>1.17691906738281</v>
      </c>
      <c r="L166" s="25" t="n">
        <v>2.82251440429688</v>
      </c>
      <c r="M166" s="25" t="n">
        <v>0</v>
      </c>
      <c r="N166" s="25" t="n">
        <v>219.60285949707</v>
      </c>
      <c r="O166" s="25" t="n">
        <v>278.727416992188</v>
      </c>
      <c r="P166" s="25" t="n">
        <v>48.6332511901856</v>
      </c>
      <c r="Q166" s="25" t="n">
        <v>44.1319541931152</v>
      </c>
      <c r="R166" s="25" t="n">
        <v>26.3498020172119</v>
      </c>
      <c r="S166" s="25" t="n">
        <v>0.839888215065002</v>
      </c>
      <c r="T166" s="25" t="n">
        <v>0.289752423763275</v>
      </c>
      <c r="U166" s="25" t="n">
        <v>0.104595065116882</v>
      </c>
      <c r="V166" s="25" t="n">
        <v>1.29938614368439</v>
      </c>
      <c r="W166" s="25" t="n">
        <v>0.317555367946625</v>
      </c>
      <c r="X166" s="25" t="n">
        <v>0</v>
      </c>
      <c r="Y166" s="25" t="n">
        <v>4455.7705078125</v>
      </c>
      <c r="Z166" s="25" t="n">
        <v>2.37646722793579</v>
      </c>
      <c r="AA166" s="25" t="n">
        <v>72.095344543457</v>
      </c>
      <c r="AB166" s="25" t="n">
        <v>20.5511779785156</v>
      </c>
      <c r="AC166" s="25" t="n">
        <v>0.0433371737599373</v>
      </c>
      <c r="AD166" s="25" t="n">
        <v>0.0599759444594383</v>
      </c>
      <c r="AE166" s="25" t="n">
        <v>0.381493419408798</v>
      </c>
      <c r="AF166" s="25" t="n">
        <v>0.256512492895126</v>
      </c>
      <c r="AG166" s="25" t="n">
        <v>0.129315420985222</v>
      </c>
      <c r="AH166" s="25" t="n">
        <v>1.33565545082092</v>
      </c>
      <c r="AI166" s="25" t="n">
        <v>36.2160301208496</v>
      </c>
      <c r="AJ166" s="6" t="n">
        <v>199.5</v>
      </c>
      <c r="AK166" s="6" t="n">
        <v>212.7</v>
      </c>
      <c r="AL166" s="26"/>
    </row>
    <row r="167" customFormat="false" ht="15" hidden="false" customHeight="false" outlineLevel="0" collapsed="false">
      <c r="A167" s="6" t="s">
        <v>3207</v>
      </c>
      <c r="B167" s="6" t="s">
        <v>3208</v>
      </c>
      <c r="C167" s="6" t="s">
        <v>3007</v>
      </c>
      <c r="D167" s="13" t="n">
        <v>132.148284912109</v>
      </c>
      <c r="E167" s="25" t="n">
        <v>1.8029557466507</v>
      </c>
      <c r="F167" s="25" t="n">
        <v>5.77778387069702</v>
      </c>
      <c r="G167" s="25" t="n">
        <v>11.4671010971069</v>
      </c>
      <c r="H167" s="25" t="n">
        <v>2.78982019424439</v>
      </c>
      <c r="I167" s="25" t="n">
        <v>4.4032621383667</v>
      </c>
      <c r="J167" s="25" t="n">
        <v>4.44112451171875</v>
      </c>
      <c r="K167" s="25" t="n">
        <v>1.54331237792969</v>
      </c>
      <c r="L167" s="25" t="n">
        <v>3.74992993164063</v>
      </c>
      <c r="M167" s="25" t="n">
        <v>0</v>
      </c>
      <c r="N167" s="25" t="n">
        <v>275.545379638672</v>
      </c>
      <c r="O167" s="25" t="n">
        <v>312.072143554688</v>
      </c>
      <c r="P167" s="25" t="n">
        <v>50.6471786499023</v>
      </c>
      <c r="Q167" s="25" t="n">
        <v>51.7459564208984</v>
      </c>
      <c r="R167" s="25" t="n">
        <v>22.8857803344727</v>
      </c>
      <c r="S167" s="25" t="n">
        <v>0.819789350032806</v>
      </c>
      <c r="T167" s="25" t="n">
        <v>0.262920945882797</v>
      </c>
      <c r="U167" s="25" t="n">
        <v>0.099444292485714</v>
      </c>
      <c r="V167" s="25" t="n">
        <v>1.60679078102112</v>
      </c>
      <c r="W167" s="25" t="n">
        <v>0.279958546161652</v>
      </c>
      <c r="X167" s="25" t="n">
        <v>0</v>
      </c>
      <c r="Y167" s="25" t="n">
        <v>2641.12890625</v>
      </c>
      <c r="Z167" s="25" t="n">
        <v>3.06740856170654</v>
      </c>
      <c r="AA167" s="25" t="n">
        <v>14.600811958313</v>
      </c>
      <c r="AB167" s="25" t="n">
        <v>14.4762754440308</v>
      </c>
      <c r="AC167" s="25" t="n">
        <v>0.0578273385763168</v>
      </c>
      <c r="AD167" s="25" t="n">
        <v>0.0432499684393406</v>
      </c>
      <c r="AE167" s="25" t="n">
        <v>0.542484939098358</v>
      </c>
      <c r="AF167" s="25" t="n">
        <v>0.215223357081413</v>
      </c>
      <c r="AG167" s="25" t="n">
        <v>0.102337837219238</v>
      </c>
      <c r="AH167" s="25" t="n">
        <v>0.404685705900192</v>
      </c>
      <c r="AI167" s="25" t="n">
        <v>18.6474952697754</v>
      </c>
      <c r="AJ167" s="6" t="n">
        <v>149.5</v>
      </c>
      <c r="AK167" s="6" t="n">
        <v>197.6</v>
      </c>
      <c r="AL167" s="26"/>
    </row>
    <row r="168" customFormat="false" ht="15" hidden="false" customHeight="false" outlineLevel="0" collapsed="false">
      <c r="A168" s="6" t="s">
        <v>3209</v>
      </c>
      <c r="B168" s="6" t="s">
        <v>3210</v>
      </c>
      <c r="C168" s="6" t="s">
        <v>3007</v>
      </c>
      <c r="D168" s="13" t="n">
        <v>132.750122070313</v>
      </c>
      <c r="E168" s="25" t="n">
        <v>1.5354688167572</v>
      </c>
      <c r="F168" s="25" t="n">
        <v>5.57716846466065</v>
      </c>
      <c r="G168" s="25" t="n">
        <v>11.4202909469605</v>
      </c>
      <c r="H168" s="25" t="n">
        <v>4.31449604034424</v>
      </c>
      <c r="I168" s="25" t="n">
        <v>3.82147789001465</v>
      </c>
      <c r="J168" s="25" t="n">
        <v>4.4873662109375</v>
      </c>
      <c r="K168" s="25" t="n">
        <v>1.57309045410156</v>
      </c>
      <c r="L168" s="25" t="n">
        <v>3.66676831054688</v>
      </c>
      <c r="M168" s="25" t="n">
        <v>0</v>
      </c>
      <c r="N168" s="25" t="n">
        <v>270.563415527344</v>
      </c>
      <c r="O168" s="25" t="n">
        <v>240.519393920898</v>
      </c>
      <c r="P168" s="25" t="n">
        <v>33.7420043945313</v>
      </c>
      <c r="Q168" s="25" t="n">
        <v>40.4513206481934</v>
      </c>
      <c r="R168" s="25" t="n">
        <v>27.5868644714356</v>
      </c>
      <c r="S168" s="25" t="n">
        <v>0.819789350032806</v>
      </c>
      <c r="T168" s="25" t="n">
        <v>0.249546602368355</v>
      </c>
      <c r="U168" s="25" t="n">
        <v>0.126192986965179</v>
      </c>
      <c r="V168" s="25" t="n">
        <v>1.80071890354157</v>
      </c>
      <c r="W168" s="25" t="n">
        <v>0.233148321509361</v>
      </c>
      <c r="X168" s="25" t="n">
        <v>0</v>
      </c>
      <c r="Y168" s="25" t="n">
        <v>2994.21166992188</v>
      </c>
      <c r="Z168" s="25" t="n">
        <v>3.11421895027161</v>
      </c>
      <c r="AA168" s="25" t="n">
        <v>16.1388626098633</v>
      </c>
      <c r="AB168" s="25" t="n">
        <v>16.9705905914307</v>
      </c>
      <c r="AC168" s="25" t="n">
        <v>0.0377658158540726</v>
      </c>
      <c r="AD168" s="25" t="n">
        <v>0.0566243156790733</v>
      </c>
      <c r="AE168" s="25" t="n">
        <v>0.355244070291519</v>
      </c>
      <c r="AF168" s="25" t="n">
        <v>0.241972044110298</v>
      </c>
      <c r="AG168" s="25" t="n">
        <v>0.068901963531971</v>
      </c>
      <c r="AH168" s="25" t="n">
        <v>1.16702353954315</v>
      </c>
      <c r="AI168" s="25" t="n">
        <v>29.2065448760986</v>
      </c>
      <c r="AJ168" s="6" t="n">
        <v>149.5</v>
      </c>
      <c r="AK168" s="6" t="n">
        <v>198.5</v>
      </c>
      <c r="AL168" s="26"/>
    </row>
    <row r="169" customFormat="false" ht="15" hidden="false" customHeight="false" outlineLevel="0" collapsed="false">
      <c r="A169" s="6" t="s">
        <v>3211</v>
      </c>
      <c r="B169" s="6" t="s">
        <v>3212</v>
      </c>
      <c r="C169" s="6" t="s">
        <v>3007</v>
      </c>
      <c r="D169" s="13" t="n">
        <v>94.3401260375977</v>
      </c>
      <c r="E169" s="25" t="n">
        <v>2.07959270477295</v>
      </c>
      <c r="F169" s="25" t="n">
        <v>3.85425329208374</v>
      </c>
      <c r="G169" s="25" t="n">
        <v>7.65513563156128</v>
      </c>
      <c r="H169" s="25" t="n">
        <v>4.14615392684937</v>
      </c>
      <c r="I169" s="25" t="n">
        <v>0.480520337820053</v>
      </c>
      <c r="J169" s="25" t="n">
        <v>0.950692321777344</v>
      </c>
      <c r="K169" s="25" t="n">
        <v>1.55576013183594</v>
      </c>
      <c r="L169" s="25" t="n">
        <v>4.7322490234375</v>
      </c>
      <c r="M169" s="25" t="n">
        <v>0</v>
      </c>
      <c r="N169" s="25" t="n">
        <v>210.034454345703</v>
      </c>
      <c r="O169" s="25" t="n">
        <v>265.832580566406</v>
      </c>
      <c r="P169" s="25" t="n">
        <v>86.8914031982422</v>
      </c>
      <c r="Q169" s="25" t="n">
        <v>57.0950241088867</v>
      </c>
      <c r="R169" s="25" t="n">
        <v>64.470588684082</v>
      </c>
      <c r="S169" s="25" t="n">
        <v>1.1786425113678</v>
      </c>
      <c r="T169" s="25" t="n">
        <v>0.468009024858475</v>
      </c>
      <c r="U169" s="25" t="n">
        <v>0.138190045952797</v>
      </c>
      <c r="V169" s="25" t="n">
        <v>0.948167443275452</v>
      </c>
      <c r="W169" s="25" t="n">
        <v>0.337352961301804</v>
      </c>
      <c r="X169" s="25" t="n">
        <v>0</v>
      </c>
      <c r="Y169" s="25" t="n">
        <v>1194.29638671875</v>
      </c>
      <c r="Z169" s="25" t="n">
        <v>4.02710390090942</v>
      </c>
      <c r="AA169" s="25" t="n">
        <v>20.6000003814697</v>
      </c>
      <c r="AB169" s="25" t="n">
        <v>20.4977378845215</v>
      </c>
      <c r="AC169" s="25" t="n">
        <v>0.0399095006287098</v>
      </c>
      <c r="AD169" s="25" t="n">
        <v>0.0701583698391914</v>
      </c>
      <c r="AE169" s="25" t="n">
        <v>0.624773740768433</v>
      </c>
      <c r="AF169" s="25" t="n">
        <v>0.258981913328171</v>
      </c>
      <c r="AG169" s="25" t="n">
        <v>0.254321277141571</v>
      </c>
      <c r="AH169" s="25" t="n">
        <v>1.43819010257721</v>
      </c>
      <c r="AI169" s="25" t="n">
        <v>57.8868789672852</v>
      </c>
      <c r="AJ169" s="6" t="n">
        <v>110.5</v>
      </c>
      <c r="AK169" s="6" t="n">
        <v>104.2</v>
      </c>
      <c r="AL169" s="26"/>
    </row>
    <row r="170" customFormat="false" ht="15" hidden="false" customHeight="false" outlineLevel="0" collapsed="false">
      <c r="A170" s="6" t="s">
        <v>1262</v>
      </c>
      <c r="B170" s="6" t="s">
        <v>3213</v>
      </c>
      <c r="C170" s="6" t="s">
        <v>3007</v>
      </c>
      <c r="D170" s="13" t="n">
        <v>72.7967758178711</v>
      </c>
      <c r="E170" s="25" t="n">
        <v>1.1034642457962</v>
      </c>
      <c r="F170" s="25" t="n">
        <v>4.02056407928467</v>
      </c>
      <c r="G170" s="25" t="n">
        <v>5.74720048904419</v>
      </c>
      <c r="H170" s="25" t="n">
        <v>2.10380673408508</v>
      </c>
      <c r="I170" s="25" t="n">
        <v>1.95966768264771</v>
      </c>
      <c r="J170" s="25" t="n">
        <v>0.713944641113281</v>
      </c>
      <c r="K170" s="25" t="n">
        <v>1.16452355957031</v>
      </c>
      <c r="L170" s="25" t="n">
        <v>3.5633212890625</v>
      </c>
      <c r="M170" s="25" t="n">
        <v>0</v>
      </c>
      <c r="N170" s="25" t="n">
        <v>180.146865844727</v>
      </c>
      <c r="O170" s="25" t="n">
        <v>132.684799194336</v>
      </c>
      <c r="P170" s="25" t="n">
        <v>20.2130928039551</v>
      </c>
      <c r="Q170" s="25" t="n">
        <v>27.0913600921631</v>
      </c>
      <c r="R170" s="25" t="n">
        <v>18.7478752136231</v>
      </c>
      <c r="S170" s="25" t="n">
        <v>0.588277935981751</v>
      </c>
      <c r="T170" s="25" t="n">
        <v>0.224874123930931</v>
      </c>
      <c r="U170" s="25" t="n">
        <v>0.0805438086390495</v>
      </c>
      <c r="V170" s="25" t="n">
        <v>0.181963741779327</v>
      </c>
      <c r="W170" s="25" t="n">
        <v>0.230402812361717</v>
      </c>
      <c r="X170" s="25" t="n">
        <v>0</v>
      </c>
      <c r="Y170" s="25" t="n">
        <v>1954.95166015625</v>
      </c>
      <c r="Z170" s="25" t="n">
        <v>2.78841900825501</v>
      </c>
      <c r="AA170" s="25" t="n">
        <v>12.655387878418</v>
      </c>
      <c r="AB170" s="25" t="n">
        <v>15.0478944778442</v>
      </c>
      <c r="AC170" s="25" t="n">
        <v>0.031379658728838</v>
      </c>
      <c r="AD170" s="25" t="n">
        <v>0.0243806634098291</v>
      </c>
      <c r="AE170" s="25" t="n">
        <v>0.494853973388672</v>
      </c>
      <c r="AF170" s="25" t="n">
        <v>0.284300088882446</v>
      </c>
      <c r="AG170" s="25" t="n">
        <v>0.0784793570637703</v>
      </c>
      <c r="AH170" s="25" t="n">
        <v>2.2270290851593</v>
      </c>
      <c r="AI170" s="25" t="n">
        <v>28.6298885345459</v>
      </c>
      <c r="AJ170" s="6" t="n">
        <v>248.2</v>
      </c>
      <c r="AK170" s="6" t="n">
        <v>180.7</v>
      </c>
      <c r="AL170" s="26"/>
    </row>
    <row r="171" customFormat="false" ht="15" hidden="false" customHeight="false" outlineLevel="0" collapsed="false">
      <c r="A171" s="6" t="s">
        <v>3214</v>
      </c>
      <c r="B171" s="6" t="s">
        <v>3215</v>
      </c>
      <c r="C171" s="6" t="s">
        <v>3216</v>
      </c>
      <c r="D171" s="13" t="n">
        <v>90.9403228759766</v>
      </c>
      <c r="E171" s="25" t="n">
        <v>1.33725094795227</v>
      </c>
      <c r="F171" s="25" t="n">
        <v>8.25597667694092</v>
      </c>
      <c r="G171" s="25" t="n">
        <v>5.70438241958618</v>
      </c>
      <c r="H171" s="25" t="n">
        <v>2.0107569694519</v>
      </c>
      <c r="I171" s="25" t="n">
        <v>1.21334660053253</v>
      </c>
      <c r="J171" s="25" t="n">
        <v>0.710232299804688</v>
      </c>
      <c r="K171" s="25" t="n">
        <v>1.12561218261719</v>
      </c>
      <c r="L171" s="25" t="n">
        <v>3.56083666992188</v>
      </c>
      <c r="M171" s="25" t="n">
        <v>0</v>
      </c>
      <c r="N171" s="25" t="n">
        <v>173.938842773438</v>
      </c>
      <c r="O171" s="25" t="n">
        <v>312.565734863281</v>
      </c>
      <c r="P171" s="25" t="n">
        <v>15.1685256958008</v>
      </c>
      <c r="Q171" s="25" t="n">
        <v>32.5896415710449</v>
      </c>
      <c r="R171" s="25" t="n">
        <v>18.7992038726807</v>
      </c>
      <c r="S171" s="25" t="n">
        <v>0.613545835018158</v>
      </c>
      <c r="T171" s="25" t="n">
        <v>0.237450197339058</v>
      </c>
      <c r="U171" s="25" t="n">
        <v>0.0815737023949623</v>
      </c>
      <c r="V171" s="25" t="n">
        <v>0.412350594997406</v>
      </c>
      <c r="W171" s="25" t="n">
        <v>0.216334655880928</v>
      </c>
      <c r="X171" s="25" t="n">
        <v>0</v>
      </c>
      <c r="Y171" s="25" t="n">
        <v>1136.58569335938</v>
      </c>
      <c r="Z171" s="25" t="n">
        <v>2.71143436431885</v>
      </c>
      <c r="AA171" s="25" t="n">
        <v>12.2655382156372</v>
      </c>
      <c r="AB171" s="25" t="n">
        <v>59.1607551574707</v>
      </c>
      <c r="AC171" s="25" t="n">
        <v>0.050597608089447</v>
      </c>
      <c r="AD171" s="25" t="n">
        <v>0.0204581674188376</v>
      </c>
      <c r="AE171" s="25" t="n">
        <v>0.714541792869568</v>
      </c>
      <c r="AF171" s="25" t="n">
        <v>0.277470111846924</v>
      </c>
      <c r="AG171" s="25" t="n">
        <v>0.119721114635468</v>
      </c>
      <c r="AH171" s="25" t="n">
        <v>2.69980096817017</v>
      </c>
      <c r="AI171" s="25" t="n">
        <v>30.5597610473633</v>
      </c>
      <c r="AJ171" s="6" t="n">
        <v>125.5</v>
      </c>
      <c r="AK171" s="6" t="n">
        <v>114.1</v>
      </c>
      <c r="AL171" s="26"/>
    </row>
    <row r="172" customFormat="false" ht="15" hidden="false" customHeight="false" outlineLevel="0" collapsed="false">
      <c r="A172" s="6" t="s">
        <v>3217</v>
      </c>
      <c r="B172" s="6" t="s">
        <v>3218</v>
      </c>
      <c r="C172" s="6" t="s">
        <v>3219</v>
      </c>
      <c r="D172" s="13" t="n">
        <v>92.9975967407227</v>
      </c>
      <c r="E172" s="25" t="n">
        <v>1.53313767910004</v>
      </c>
      <c r="F172" s="25" t="n">
        <v>3.95841979980469</v>
      </c>
      <c r="G172" s="25" t="n">
        <v>7.72814893722534</v>
      </c>
      <c r="H172" s="25" t="n">
        <v>4.09164810180664</v>
      </c>
      <c r="I172" s="25" t="n">
        <v>0.92187362909317</v>
      </c>
      <c r="J172" s="25" t="n">
        <v>0.950153503417969</v>
      </c>
      <c r="K172" s="25" t="n">
        <v>1.56430249023438</v>
      </c>
      <c r="L172" s="25" t="n">
        <v>4.75768408203125</v>
      </c>
      <c r="M172" s="25" t="n">
        <v>0</v>
      </c>
      <c r="N172" s="25" t="n">
        <v>212.88313293457</v>
      </c>
      <c r="O172" s="25" t="n">
        <v>250.785552978516</v>
      </c>
      <c r="P172" s="25" t="n">
        <v>24.3656883239746</v>
      </c>
      <c r="Q172" s="25" t="n">
        <v>34.4650115966797</v>
      </c>
      <c r="R172" s="25" t="n">
        <v>23.6027088165283</v>
      </c>
      <c r="S172" s="25" t="n">
        <v>0.751602709293366</v>
      </c>
      <c r="T172" s="25" t="n">
        <v>0.250248312950134</v>
      </c>
      <c r="U172" s="25" t="n">
        <v>0.119819410145283</v>
      </c>
      <c r="V172" s="25" t="n">
        <v>0.0430925488471985</v>
      </c>
      <c r="W172" s="25" t="n">
        <v>0.219209939241409</v>
      </c>
      <c r="X172" s="25" t="n">
        <v>0</v>
      </c>
      <c r="Y172" s="25" t="n">
        <v>366.318267822266</v>
      </c>
      <c r="Z172" s="25" t="n">
        <v>3.62975168228149</v>
      </c>
      <c r="AA172" s="25" t="n">
        <v>13.3390512466431</v>
      </c>
      <c r="AB172" s="25" t="n">
        <v>2.04063200950623</v>
      </c>
      <c r="AC172" s="25" t="n">
        <v>0.057878103107214</v>
      </c>
      <c r="AD172" s="25" t="n">
        <v>0.106117382645607</v>
      </c>
      <c r="AE172" s="25" t="n">
        <v>0.551128625869751</v>
      </c>
      <c r="AF172" s="25" t="n">
        <v>0.285485327243805</v>
      </c>
      <c r="AG172" s="25" t="n">
        <v>0.0731602683663368</v>
      </c>
      <c r="AH172" s="25" t="n">
        <v>1.59747183322907</v>
      </c>
      <c r="AI172" s="25" t="n">
        <v>30.8939056396484</v>
      </c>
      <c r="AJ172" s="6" t="n">
        <v>55.4</v>
      </c>
      <c r="AK172" s="6" t="n">
        <v>51.5</v>
      </c>
      <c r="AL172" s="26"/>
    </row>
    <row r="173" customFormat="false" ht="15" hidden="false" customHeight="false" outlineLevel="0" collapsed="false">
      <c r="A173" s="6" t="s">
        <v>3220</v>
      </c>
      <c r="B173" s="6" t="s">
        <v>3221</v>
      </c>
      <c r="C173" s="6" t="s">
        <v>3222</v>
      </c>
      <c r="D173" s="13" t="n">
        <v>93.3475494384766</v>
      </c>
      <c r="E173" s="25" t="n">
        <v>3.2818820476532</v>
      </c>
      <c r="F173" s="25" t="n">
        <v>6.19007396697998</v>
      </c>
      <c r="G173" s="25" t="n">
        <v>6.05977869033814</v>
      </c>
      <c r="H173" s="25" t="n">
        <v>2.19785976409912</v>
      </c>
      <c r="I173" s="25" t="n">
        <v>2.67560887336731</v>
      </c>
      <c r="J173" s="25" t="n">
        <v>1.39451037597656</v>
      </c>
      <c r="K173" s="25" t="n">
        <v>1.3345048828125</v>
      </c>
      <c r="L173" s="25" t="n">
        <v>2.96578295898438</v>
      </c>
      <c r="M173" s="25" t="n">
        <v>0</v>
      </c>
      <c r="N173" s="25" t="n">
        <v>165.852767944336</v>
      </c>
      <c r="O173" s="25" t="n">
        <v>202.875457763672</v>
      </c>
      <c r="P173" s="25" t="n">
        <v>59.1575660705566</v>
      </c>
      <c r="Q173" s="25" t="n">
        <v>54.5180053710938</v>
      </c>
      <c r="R173" s="25" t="n">
        <v>18.8349075317383</v>
      </c>
      <c r="S173" s="25" t="n">
        <v>0.618634700775147</v>
      </c>
      <c r="T173" s="25" t="n">
        <v>0.506678938865662</v>
      </c>
      <c r="U173" s="25" t="n">
        <v>0.0796678960323334</v>
      </c>
      <c r="V173" s="25" t="n">
        <v>2.40295195579529</v>
      </c>
      <c r="W173" s="25" t="n">
        <v>0.170184507966042</v>
      </c>
      <c r="X173" s="25" t="n">
        <v>0</v>
      </c>
      <c r="Y173" s="25" t="n">
        <v>4231.00390625</v>
      </c>
      <c r="Z173" s="25" t="n">
        <v>2.35151290893555</v>
      </c>
      <c r="AA173" s="25" t="n">
        <v>22.4186344146729</v>
      </c>
      <c r="AB173" s="25" t="n">
        <v>20.8304061889648</v>
      </c>
      <c r="AC173" s="25" t="n">
        <v>0.0645018443465233</v>
      </c>
      <c r="AD173" s="25" t="n">
        <v>0.0296494457870722</v>
      </c>
      <c r="AE173" s="25" t="n">
        <v>0.572915136814117</v>
      </c>
      <c r="AF173" s="25" t="n">
        <v>0.28765681385994</v>
      </c>
      <c r="AG173" s="25" t="n">
        <v>0.0934686362743378</v>
      </c>
      <c r="AH173" s="25" t="n">
        <v>3.32892990112305</v>
      </c>
      <c r="AI173" s="25" t="n">
        <v>27.6131725311279</v>
      </c>
      <c r="AJ173" s="6" t="n">
        <v>135.5</v>
      </c>
      <c r="AK173" s="6" t="n">
        <v>126.5</v>
      </c>
      <c r="AL173" s="26"/>
    </row>
    <row r="174" customFormat="false" ht="15" hidden="false" customHeight="false" outlineLevel="0" collapsed="false">
      <c r="A174" s="6" t="s">
        <v>1144</v>
      </c>
      <c r="B174" s="6" t="s">
        <v>3223</v>
      </c>
      <c r="C174" s="6" t="s">
        <v>3007</v>
      </c>
      <c r="D174" s="13" t="n">
        <v>100.922958374023</v>
      </c>
      <c r="E174" s="25" t="n">
        <v>3.48285913467407</v>
      </c>
      <c r="F174" s="25" t="n">
        <v>9.73904323577881</v>
      </c>
      <c r="G174" s="25" t="n">
        <v>5.12685298919678</v>
      </c>
      <c r="H174" s="25" t="n">
        <v>3.60792779922485</v>
      </c>
      <c r="I174" s="25" t="n">
        <v>1.86448860168457</v>
      </c>
      <c r="J174" s="25" t="n">
        <v>0.631817199707031</v>
      </c>
      <c r="K174" s="25" t="n">
        <v>1.03129174804688</v>
      </c>
      <c r="L174" s="25" t="n">
        <v>3.19623388671875</v>
      </c>
      <c r="M174" s="25" t="n">
        <v>0</v>
      </c>
      <c r="N174" s="25" t="n">
        <v>154.832794189453</v>
      </c>
      <c r="O174" s="25" t="n">
        <v>274.262725830078</v>
      </c>
      <c r="P174" s="25" t="n">
        <v>21.1007690429688</v>
      </c>
      <c r="Q174" s="25" t="n">
        <v>40.5156669616699</v>
      </c>
      <c r="R174" s="25" t="n">
        <v>27.5309314727783</v>
      </c>
      <c r="S174" s="25" t="n">
        <v>1.0179785490036</v>
      </c>
      <c r="T174" s="25" t="n">
        <v>0.56262069940567</v>
      </c>
      <c r="U174" s="25" t="n">
        <v>0.13486459851265</v>
      </c>
      <c r="V174" s="25" t="n">
        <v>0.796758353710175</v>
      </c>
      <c r="W174" s="25" t="n">
        <v>0.352918535470963</v>
      </c>
      <c r="X174" s="25" t="n">
        <v>0</v>
      </c>
      <c r="Y174" s="25" t="n">
        <v>1722.53759765625</v>
      </c>
      <c r="Z174" s="25" t="n">
        <v>2.54640364646912</v>
      </c>
      <c r="AA174" s="25" t="n">
        <v>24.6771697998047</v>
      </c>
      <c r="AB174" s="25" t="n">
        <v>25.2446746826172</v>
      </c>
      <c r="AC174" s="25" t="n">
        <v>0.127085790038109</v>
      </c>
      <c r="AD174" s="25" t="n">
        <v>0.0237669926136732</v>
      </c>
      <c r="AE174" s="25" t="n">
        <v>0.854257345199585</v>
      </c>
      <c r="AF174" s="25" t="n">
        <v>0.420284867286682</v>
      </c>
      <c r="AG174" s="25" t="n">
        <v>0.134703785181046</v>
      </c>
      <c r="AH174" s="25" t="n">
        <v>2.43627762794495</v>
      </c>
      <c r="AI174" s="25" t="n">
        <v>31.7697505950928</v>
      </c>
      <c r="AJ174" s="6" t="n">
        <v>277.3</v>
      </c>
      <c r="AK174" s="6" t="n">
        <v>279.9</v>
      </c>
      <c r="AL174" s="26"/>
    </row>
    <row r="175" customFormat="false" ht="15" hidden="false" customHeight="false" outlineLevel="0" collapsed="false">
      <c r="A175" s="6" t="s">
        <v>1115</v>
      </c>
      <c r="B175" s="6" t="s">
        <v>3224</v>
      </c>
      <c r="C175" s="6" t="s">
        <v>3007</v>
      </c>
      <c r="D175" s="13" t="n">
        <v>134.834365844727</v>
      </c>
      <c r="E175" s="25" t="n">
        <v>6.60549306869507</v>
      </c>
      <c r="F175" s="25" t="n">
        <v>9.2919225692749</v>
      </c>
      <c r="G175" s="25" t="n">
        <v>7.75008153915405</v>
      </c>
      <c r="H175" s="25" t="n">
        <v>3.29963088035584</v>
      </c>
      <c r="I175" s="25" t="n">
        <v>3.89275813102722</v>
      </c>
      <c r="J175" s="25" t="n">
        <v>2.21971606445313</v>
      </c>
      <c r="K175" s="25" t="n">
        <v>1.8040498046875</v>
      </c>
      <c r="L175" s="25" t="n">
        <v>3.2521240234375</v>
      </c>
      <c r="M175" s="25" t="n">
        <v>0</v>
      </c>
      <c r="N175" s="25" t="n">
        <v>157.34423828125</v>
      </c>
      <c r="O175" s="25" t="n">
        <v>188.179351806641</v>
      </c>
      <c r="P175" s="25" t="n">
        <v>105.202743530273</v>
      </c>
      <c r="Q175" s="25" t="n">
        <v>92.1833572387695</v>
      </c>
      <c r="R175" s="25" t="n">
        <v>27.9906730651856</v>
      </c>
      <c r="S175" s="25" t="n">
        <v>1.07747447490692</v>
      </c>
      <c r="T175" s="25" t="n">
        <v>1.00613570213318</v>
      </c>
      <c r="U175" s="25" t="n">
        <v>0.136667504906654</v>
      </c>
      <c r="V175" s="25" t="n">
        <v>4.83346557617188</v>
      </c>
      <c r="W175" s="25" t="n">
        <v>0.351115643978119</v>
      </c>
      <c r="X175" s="25" t="n">
        <v>0</v>
      </c>
      <c r="Y175" s="25" t="n">
        <v>1720.01354980469</v>
      </c>
      <c r="Z175" s="25" t="n">
        <v>2.53919196128845</v>
      </c>
      <c r="AA175" s="25" t="n">
        <v>24.2949542999268</v>
      </c>
      <c r="AB175" s="25" t="n">
        <v>21.0709476470947</v>
      </c>
      <c r="AC175" s="25" t="n">
        <v>0.119874157011509</v>
      </c>
      <c r="AD175" s="25" t="n">
        <v>0.0399931482970715</v>
      </c>
      <c r="AE175" s="25" t="n">
        <v>0.690192878246307</v>
      </c>
      <c r="AF175" s="25" t="n">
        <v>0.440116822719574</v>
      </c>
      <c r="AG175" s="25" t="n">
        <v>0.123886346817017</v>
      </c>
      <c r="AH175" s="25" t="n">
        <v>5.9862003326416</v>
      </c>
      <c r="AI175" s="25" t="n">
        <v>45.7963600158691</v>
      </c>
      <c r="AJ175" s="6" t="n">
        <v>277.3</v>
      </c>
      <c r="AK175" s="6" t="n">
        <v>373.9</v>
      </c>
      <c r="AL175" s="26"/>
    </row>
    <row r="176" customFormat="false" ht="15" hidden="false" customHeight="false" outlineLevel="0" collapsed="false">
      <c r="A176" s="6" t="s">
        <v>1162</v>
      </c>
      <c r="B176" s="6" t="s">
        <v>3225</v>
      </c>
      <c r="C176" s="6" t="s">
        <v>3007</v>
      </c>
      <c r="D176" s="13" t="n">
        <v>93.2961196899414</v>
      </c>
      <c r="E176" s="25" t="n">
        <v>3.86868095397949</v>
      </c>
      <c r="F176" s="25" t="n">
        <v>7.41149091720581</v>
      </c>
      <c r="G176" s="25" t="n">
        <v>5.16110801696777</v>
      </c>
      <c r="H176" s="25" t="n">
        <v>3.86033463478088</v>
      </c>
      <c r="I176" s="25" t="n">
        <v>1.8248245716095</v>
      </c>
      <c r="J176" s="25" t="n">
        <v>0.635302185058594</v>
      </c>
      <c r="K176" s="25" t="n">
        <v>1.03002966308594</v>
      </c>
      <c r="L176" s="25" t="n">
        <v>3.22039282226563</v>
      </c>
      <c r="M176" s="25" t="n">
        <v>0</v>
      </c>
      <c r="N176" s="25" t="n">
        <v>155.483642578125</v>
      </c>
      <c r="O176" s="25" t="n">
        <v>234.057907104492</v>
      </c>
      <c r="P176" s="25" t="n">
        <v>22.6981430053711</v>
      </c>
      <c r="Q176" s="25" t="n">
        <v>48.3925666809082</v>
      </c>
      <c r="R176" s="25" t="n">
        <v>26.4906539916992</v>
      </c>
      <c r="S176" s="25" t="n">
        <v>0.967497229576111</v>
      </c>
      <c r="T176" s="25" t="n">
        <v>0.542788743972778</v>
      </c>
      <c r="U176" s="25" t="n">
        <v>0.13486459851265</v>
      </c>
      <c r="V176" s="25" t="n">
        <v>0.661540389060974</v>
      </c>
      <c r="W176" s="25" t="n">
        <v>0.354721456766129</v>
      </c>
      <c r="X176" s="25" t="n">
        <v>0</v>
      </c>
      <c r="Y176" s="25" t="n">
        <v>1685.03723144531</v>
      </c>
      <c r="Z176" s="25" t="n">
        <v>2.53738903999329</v>
      </c>
      <c r="AA176" s="25" t="n">
        <v>26.5485858917236</v>
      </c>
      <c r="AB176" s="25" t="n">
        <v>21.0709476470947</v>
      </c>
      <c r="AC176" s="25" t="n">
        <v>0.118071258068085</v>
      </c>
      <c r="AD176" s="25" t="n">
        <v>0.0273728054016829</v>
      </c>
      <c r="AE176" s="25" t="n">
        <v>0.789352774620056</v>
      </c>
      <c r="AF176" s="25" t="n">
        <v>0.429299384355545</v>
      </c>
      <c r="AG176" s="25" t="n">
        <v>0.138309597969055</v>
      </c>
      <c r="AH176" s="25" t="n">
        <v>3.85696768760681</v>
      </c>
      <c r="AI176" s="25" t="n">
        <v>30.4662494659424</v>
      </c>
      <c r="AJ176" s="6" t="n">
        <v>277.3</v>
      </c>
      <c r="AK176" s="6" t="n">
        <v>258.7</v>
      </c>
      <c r="AL176" s="26"/>
    </row>
    <row r="177" customFormat="false" ht="15" hidden="false" customHeight="false" outlineLevel="0" collapsed="false">
      <c r="A177" s="6" t="s">
        <v>3226</v>
      </c>
      <c r="B177" s="6" t="s">
        <v>3227</v>
      </c>
      <c r="C177" s="6" t="s">
        <v>3007</v>
      </c>
      <c r="D177" s="13" t="n">
        <v>102.991249084473</v>
      </c>
      <c r="E177" s="25" t="n">
        <v>4.51231861114502</v>
      </c>
      <c r="F177" s="25" t="n">
        <v>9.19636821746826</v>
      </c>
      <c r="G177" s="25" t="n">
        <v>5.10882377624512</v>
      </c>
      <c r="H177" s="25" t="n">
        <v>4.43906736373901</v>
      </c>
      <c r="I177" s="25" t="n">
        <v>1.98167741298676</v>
      </c>
      <c r="J177" s="25" t="n">
        <v>0.627391052246094</v>
      </c>
      <c r="K177" s="25" t="n">
        <v>1.03398352050781</v>
      </c>
      <c r="L177" s="25" t="n">
        <v>3.18311596679688</v>
      </c>
      <c r="M177" s="25" t="n">
        <v>0</v>
      </c>
      <c r="N177" s="25" t="n">
        <v>154.751663208008</v>
      </c>
      <c r="O177" s="25" t="n">
        <v>221.617858886719</v>
      </c>
      <c r="P177" s="25" t="n">
        <v>24.47580909729</v>
      </c>
      <c r="Q177" s="25" t="n">
        <v>42.7747116088867</v>
      </c>
      <c r="R177" s="25" t="n">
        <v>30.422794342041</v>
      </c>
      <c r="S177" s="25" t="n">
        <v>1.2000720500946</v>
      </c>
      <c r="T177" s="25" t="n">
        <v>0.708656132221222</v>
      </c>
      <c r="U177" s="25" t="n">
        <v>0.158302381634712</v>
      </c>
      <c r="V177" s="25" t="n">
        <v>0.955414116382599</v>
      </c>
      <c r="W177" s="25" t="n">
        <v>0.410611540079117</v>
      </c>
      <c r="X177" s="25" t="n">
        <v>0</v>
      </c>
      <c r="Y177" s="25" t="n">
        <v>1916.89086914063</v>
      </c>
      <c r="Z177" s="25" t="n">
        <v>2.57344722747803</v>
      </c>
      <c r="AA177" s="25" t="n">
        <v>32.2674064636231</v>
      </c>
      <c r="AB177" s="25" t="n">
        <v>27.9941062927246</v>
      </c>
      <c r="AC177" s="25" t="n">
        <v>0.164946809411049</v>
      </c>
      <c r="AD177" s="25" t="n">
        <v>0.0273728054016829</v>
      </c>
      <c r="AE177" s="25" t="n">
        <v>0.897527098655701</v>
      </c>
      <c r="AF177" s="25" t="n">
        <v>0.474372029304504</v>
      </c>
      <c r="AG177" s="25" t="n">
        <v>0.150929942727089</v>
      </c>
      <c r="AH177" s="25" t="n">
        <v>2.92125940322876</v>
      </c>
      <c r="AI177" s="25" t="n">
        <v>38.8479614257813</v>
      </c>
      <c r="AJ177" s="6" t="n">
        <v>277.3</v>
      </c>
      <c r="AK177" s="6" t="n">
        <v>285.6</v>
      </c>
      <c r="AL177" s="26"/>
    </row>
    <row r="178" customFormat="false" ht="15" hidden="false" customHeight="false" outlineLevel="0" collapsed="false">
      <c r="A178" s="6" t="s">
        <v>3228</v>
      </c>
      <c r="B178" s="6" t="s">
        <v>3229</v>
      </c>
      <c r="C178" s="6" t="s">
        <v>3007</v>
      </c>
      <c r="D178" s="13" t="n">
        <v>101.947456359863</v>
      </c>
      <c r="E178" s="25" t="n">
        <v>4.63718128204346</v>
      </c>
      <c r="F178" s="25" t="n">
        <v>8.90066719055176</v>
      </c>
      <c r="G178" s="25" t="n">
        <v>5.07719373703003</v>
      </c>
      <c r="H178" s="25" t="n">
        <v>4.28457355499268</v>
      </c>
      <c r="I178" s="25" t="n">
        <v>1.92314970493317</v>
      </c>
      <c r="J178" s="25" t="n">
        <v>0.622957397460938</v>
      </c>
      <c r="K178" s="25" t="n">
        <v>1.02584008789063</v>
      </c>
      <c r="L178" s="25" t="n">
        <v>3.14193969726563</v>
      </c>
      <c r="M178" s="25" t="n">
        <v>0</v>
      </c>
      <c r="N178" s="25" t="n">
        <v>149.505020141602</v>
      </c>
      <c r="O178" s="25" t="n">
        <v>216.097442626953</v>
      </c>
      <c r="P178" s="25" t="n">
        <v>23.6239719390869</v>
      </c>
      <c r="Q178" s="25" t="n">
        <v>44.5923156738281</v>
      </c>
      <c r="R178" s="25" t="n">
        <v>30.164457321167</v>
      </c>
      <c r="S178" s="25" t="n">
        <v>1.20006954669952</v>
      </c>
      <c r="T178" s="25" t="n">
        <v>0.708354830741882</v>
      </c>
      <c r="U178" s="25" t="n">
        <v>0.15975359082222</v>
      </c>
      <c r="V178" s="25" t="n">
        <v>0.922162652015686</v>
      </c>
      <c r="W178" s="25" t="n">
        <v>0.410242229700089</v>
      </c>
      <c r="X178" s="25" t="n">
        <v>0</v>
      </c>
      <c r="Y178" s="25" t="n">
        <v>1850.24658203125</v>
      </c>
      <c r="Z178" s="25" t="n">
        <v>2.5169460773468</v>
      </c>
      <c r="AA178" s="25" t="n">
        <v>31.1443977355957</v>
      </c>
      <c r="AB178" s="25" t="n">
        <v>27.0198211669922</v>
      </c>
      <c r="AC178" s="25" t="n">
        <v>0.16129432618618</v>
      </c>
      <c r="AD178" s="25" t="n">
        <v>0.02711620926857</v>
      </c>
      <c r="AE178" s="25" t="n">
        <v>0.869770646095276</v>
      </c>
      <c r="AF178" s="25" t="n">
        <v>0.459602534770966</v>
      </c>
      <c r="AG178" s="25" t="n">
        <v>0.148113325238228</v>
      </c>
      <c r="AH178" s="25" t="n">
        <v>2.8195903301239</v>
      </c>
      <c r="AI178" s="25" t="n">
        <v>38.0179748535156</v>
      </c>
      <c r="AJ178" s="6" t="n">
        <v>287.3</v>
      </c>
      <c r="AK178" s="6" t="n">
        <v>292.9</v>
      </c>
      <c r="AL178" s="26"/>
    </row>
    <row r="179" customFormat="false" ht="15" hidden="false" customHeight="false" outlineLevel="0" collapsed="false">
      <c r="A179" s="6" t="s">
        <v>3230</v>
      </c>
      <c r="B179" s="6" t="s">
        <v>3231</v>
      </c>
      <c r="C179" s="6" t="s">
        <v>3007</v>
      </c>
      <c r="D179" s="13" t="n">
        <v>176.51676940918</v>
      </c>
      <c r="E179" s="25" t="n">
        <v>7.80112361907959</v>
      </c>
      <c r="F179" s="25" t="n">
        <v>8.39805698394775</v>
      </c>
      <c r="G179" s="25" t="n">
        <v>12.3848667144775</v>
      </c>
      <c r="H179" s="25" t="n">
        <v>1.39913308620453</v>
      </c>
      <c r="I179" s="25" t="n">
        <v>6.28591203689575</v>
      </c>
      <c r="J179" s="25" t="n">
        <v>4.1267626953125</v>
      </c>
      <c r="K179" s="25" t="n">
        <v>2.98987866210938</v>
      </c>
      <c r="L179" s="25" t="n">
        <v>4.4840732421875</v>
      </c>
      <c r="M179" s="25" t="n">
        <v>0</v>
      </c>
      <c r="N179" s="25" t="n">
        <v>216.088943481445</v>
      </c>
      <c r="O179" s="25" t="n">
        <v>142.717483520508</v>
      </c>
      <c r="P179" s="25" t="n">
        <v>189.056869506836</v>
      </c>
      <c r="Q179" s="25" t="n">
        <v>139.476150512695</v>
      </c>
      <c r="R179" s="25" t="n">
        <v>21.8314304351807</v>
      </c>
      <c r="S179" s="25" t="n">
        <v>0.807176411151886</v>
      </c>
      <c r="T179" s="25" t="n">
        <v>1.17892360687256</v>
      </c>
      <c r="U179" s="25" t="n">
        <v>0.0909504294395447</v>
      </c>
      <c r="V179" s="25" t="n">
        <v>8.67871761322022</v>
      </c>
      <c r="W179" s="25" t="n">
        <v>0.269979238510132</v>
      </c>
      <c r="X179" s="25" t="n">
        <v>0</v>
      </c>
      <c r="Y179" s="25" t="n">
        <v>1745.96630859375</v>
      </c>
      <c r="Z179" s="25" t="n">
        <v>3.37910389900208</v>
      </c>
      <c r="AA179" s="25" t="n">
        <v>11.4452600479126</v>
      </c>
      <c r="AB179" s="25" t="n">
        <v>9.90266227722168</v>
      </c>
      <c r="AC179" s="25" t="n">
        <v>0.0333351455628872</v>
      </c>
      <c r="AD179" s="25" t="n">
        <v>0.0523466616868973</v>
      </c>
      <c r="AE179" s="25" t="n">
        <v>0.329467684030533</v>
      </c>
      <c r="AF179" s="25" t="n">
        <v>0.327720075845718</v>
      </c>
      <c r="AG179" s="25" t="n">
        <v>0.0808451548218727</v>
      </c>
      <c r="AH179" s="25" t="n">
        <v>8.80814933776856</v>
      </c>
      <c r="AI179" s="25" t="n">
        <v>47.2320213317871</v>
      </c>
      <c r="AJ179" s="6" t="n">
        <v>202.3</v>
      </c>
      <c r="AK179" s="6" t="n">
        <v>357.1</v>
      </c>
      <c r="AL179" s="26"/>
    </row>
    <row r="180" customFormat="false" ht="15" hidden="false" customHeight="false" outlineLevel="0" collapsed="false">
      <c r="A180" s="6" t="s">
        <v>3232</v>
      </c>
      <c r="B180" s="6" t="s">
        <v>3233</v>
      </c>
      <c r="C180" s="6" t="s">
        <v>3007</v>
      </c>
      <c r="D180" s="13" t="n">
        <v>110.337875366211</v>
      </c>
      <c r="E180" s="25" t="n">
        <v>1.52919149398804</v>
      </c>
      <c r="F180" s="25" t="n">
        <v>9.23579692840576</v>
      </c>
      <c r="G180" s="25" t="n">
        <v>7.25092697143555</v>
      </c>
      <c r="H180" s="25" t="n">
        <v>3.14133644104004</v>
      </c>
      <c r="I180" s="25" t="n">
        <v>2.08609008789063</v>
      </c>
      <c r="J180" s="25" t="n">
        <v>0.938159729003906</v>
      </c>
      <c r="K180" s="25" t="n">
        <v>1.42712963867188</v>
      </c>
      <c r="L180" s="25" t="n">
        <v>4.47480615234375</v>
      </c>
      <c r="M180" s="25" t="n">
        <v>0</v>
      </c>
      <c r="N180" s="25" t="n">
        <v>217.049011230469</v>
      </c>
      <c r="O180" s="25" t="n">
        <v>345.654510498047</v>
      </c>
      <c r="P180" s="25" t="n">
        <v>26.5908470153809</v>
      </c>
      <c r="Q180" s="25" t="n">
        <v>44.6928787231445</v>
      </c>
      <c r="R180" s="25" t="n">
        <v>21.8166027069092</v>
      </c>
      <c r="S180" s="25" t="n">
        <v>1.71163940429688</v>
      </c>
      <c r="T180" s="25" t="n">
        <v>0.292994618415833</v>
      </c>
      <c r="U180" s="25" t="n">
        <v>0.135432213544846</v>
      </c>
      <c r="V180" s="25" t="n">
        <v>1.80998861789703</v>
      </c>
      <c r="W180" s="25" t="n">
        <v>0.740744769573212</v>
      </c>
      <c r="X180" s="25" t="n">
        <v>0</v>
      </c>
      <c r="Y180" s="25" t="n">
        <v>1731.88037109375</v>
      </c>
      <c r="Z180" s="25" t="n">
        <v>3.64228796958923</v>
      </c>
      <c r="AA180" s="25" t="n">
        <v>27.9220561981201</v>
      </c>
      <c r="AB180" s="25" t="n">
        <v>19.7739124298096</v>
      </c>
      <c r="AC180" s="25" t="n">
        <v>0.0518692210316658</v>
      </c>
      <c r="AD180" s="25" t="n">
        <v>0.0338125824928284</v>
      </c>
      <c r="AE180" s="25" t="n">
        <v>0.440672159194946</v>
      </c>
      <c r="AF180" s="25" t="n">
        <v>0.220222413539887</v>
      </c>
      <c r="AG180" s="25" t="n">
        <v>0.136447384953499</v>
      </c>
      <c r="AH180" s="25" t="n">
        <v>2.06545209884644</v>
      </c>
      <c r="AI180" s="25" t="n">
        <v>22.4630794525147</v>
      </c>
      <c r="AJ180" s="6" t="n">
        <v>202.3</v>
      </c>
      <c r="AK180" s="6" t="n">
        <v>223.2</v>
      </c>
      <c r="AL180" s="26"/>
    </row>
    <row r="181" customFormat="false" ht="15" hidden="false" customHeight="false" outlineLevel="0" collapsed="false">
      <c r="A181" s="6" t="s">
        <v>3234</v>
      </c>
      <c r="B181" s="6" t="s">
        <v>3235</v>
      </c>
      <c r="C181" s="6" t="s">
        <v>3007</v>
      </c>
      <c r="D181" s="13" t="n">
        <v>125.585929870606</v>
      </c>
      <c r="E181" s="25" t="n">
        <v>1.74834835529327</v>
      </c>
      <c r="F181" s="25" t="n">
        <v>6.30678653717041</v>
      </c>
      <c r="G181" s="25" t="n">
        <v>10.3496589660645</v>
      </c>
      <c r="H181" s="25" t="n">
        <v>1.95725321769714</v>
      </c>
      <c r="I181" s="25" t="n">
        <v>3.72822260856628</v>
      </c>
      <c r="J181" s="25" t="n">
        <v>1.43462683105469</v>
      </c>
      <c r="K181" s="25" t="n">
        <v>2.11344287109375</v>
      </c>
      <c r="L181" s="25" t="n">
        <v>6.28328369140625</v>
      </c>
      <c r="M181" s="25" t="n">
        <v>1.18491923809052</v>
      </c>
      <c r="N181" s="25" t="n">
        <v>312.862152099609</v>
      </c>
      <c r="O181" s="25" t="n">
        <v>199.420104980469</v>
      </c>
      <c r="P181" s="25" t="n">
        <v>39.6476669311523</v>
      </c>
      <c r="Q181" s="25" t="n">
        <v>42.5111656188965</v>
      </c>
      <c r="R181" s="25" t="n">
        <v>19.1912746429443</v>
      </c>
      <c r="S181" s="25" t="n">
        <v>0.752890467643738</v>
      </c>
      <c r="T181" s="25" t="n">
        <v>0.310897648334503</v>
      </c>
      <c r="U181" s="25" t="n">
        <v>0.0754937157034874</v>
      </c>
      <c r="V181" s="25" t="n">
        <v>0.373913824558258</v>
      </c>
      <c r="W181" s="25" t="n">
        <v>0.330089747905731</v>
      </c>
      <c r="X181" s="25" t="n">
        <v>3.01615786552429</v>
      </c>
      <c r="Y181" s="25" t="n">
        <v>2403.21435546875</v>
      </c>
      <c r="Z181" s="25" t="n">
        <v>4.90323162078857</v>
      </c>
      <c r="AA181" s="25" t="n">
        <v>16.1942558288574</v>
      </c>
      <c r="AB181" s="25" t="n">
        <v>12.246696472168</v>
      </c>
      <c r="AC181" s="25" t="n">
        <v>0.0420825853943825</v>
      </c>
      <c r="AD181" s="25" t="n">
        <v>0.0486714541912079</v>
      </c>
      <c r="AE181" s="25" t="n">
        <v>0.411741465330124</v>
      </c>
      <c r="AF181" s="25" t="n">
        <v>0.26109516620636</v>
      </c>
      <c r="AG181" s="25" t="n">
        <v>0.100233390927315</v>
      </c>
      <c r="AH181" s="25" t="n">
        <v>1.7324595451355</v>
      </c>
      <c r="AI181" s="25" t="n">
        <v>19.8210048675537</v>
      </c>
      <c r="AJ181" s="6" t="n">
        <v>139.2</v>
      </c>
      <c r="AK181" s="6" t="n">
        <v>174.9</v>
      </c>
      <c r="AL181" s="26"/>
    </row>
    <row r="182" customFormat="false" ht="15" hidden="false" customHeight="false" outlineLevel="0" collapsed="false">
      <c r="A182" s="6" t="s">
        <v>3236</v>
      </c>
      <c r="B182" s="6" t="s">
        <v>3237</v>
      </c>
      <c r="C182" s="6" t="s">
        <v>3007</v>
      </c>
      <c r="D182" s="13" t="n">
        <v>595.664794921875</v>
      </c>
      <c r="E182" s="25" t="n">
        <v>2.01041960716248</v>
      </c>
      <c r="F182" s="25" t="n">
        <v>4.16761064529419</v>
      </c>
      <c r="G182" s="25" t="n">
        <v>63.3924598693848</v>
      </c>
      <c r="H182" s="25" t="n">
        <v>1.70435297489166</v>
      </c>
      <c r="I182" s="25" t="n">
        <v>0.883350431919098</v>
      </c>
      <c r="J182" s="25" t="n">
        <v>7.64809521484375</v>
      </c>
      <c r="K182" s="25" t="n">
        <v>13.003859375</v>
      </c>
      <c r="L182" s="25" t="n">
        <v>40.0991484375</v>
      </c>
      <c r="M182" s="25" t="n">
        <v>0.21140293776989</v>
      </c>
      <c r="N182" s="25" t="n">
        <v>83.0666961669922</v>
      </c>
      <c r="O182" s="25" t="n">
        <v>88.8484954833984</v>
      </c>
      <c r="P182" s="25" t="n">
        <v>13.8429689407349</v>
      </c>
      <c r="Q182" s="25" t="n">
        <v>21.5024738311768</v>
      </c>
      <c r="R182" s="25" t="n">
        <v>12.2346382141113</v>
      </c>
      <c r="S182" s="25" t="n">
        <v>0.559788584709168</v>
      </c>
      <c r="T182" s="25" t="n">
        <v>0.288042932748795</v>
      </c>
      <c r="U182" s="25" t="n">
        <v>0.0667681023478508</v>
      </c>
      <c r="V182" s="25" t="n">
        <v>0.431220352649689</v>
      </c>
      <c r="W182" s="25" t="n">
        <v>0.172696992754936</v>
      </c>
      <c r="X182" s="25" t="n">
        <v>0.538116574287415</v>
      </c>
      <c r="Y182" s="25" t="n">
        <v>682.235900878906</v>
      </c>
      <c r="Z182" s="25" t="n">
        <v>31.2175197601318</v>
      </c>
      <c r="AA182" s="25" t="n">
        <v>15.4102182388306</v>
      </c>
      <c r="AB182" s="25" t="n">
        <v>9.56515312194824</v>
      </c>
      <c r="AC182" s="25" t="n">
        <v>0.0654676482081413</v>
      </c>
      <c r="AD182" s="25" t="n">
        <v>0.0171396546065807</v>
      </c>
      <c r="AE182" s="25" t="n">
        <v>0.349115937948227</v>
      </c>
      <c r="AF182" s="25" t="n">
        <v>0.193440094590187</v>
      </c>
      <c r="AG182" s="25" t="n">
        <v>0.0608360022306442</v>
      </c>
      <c r="AH182" s="25" t="n">
        <v>1.19313895702362</v>
      </c>
      <c r="AI182" s="25" t="n">
        <v>16.5439777374268</v>
      </c>
      <c r="AJ182" s="6" t="n">
        <v>780.5</v>
      </c>
      <c r="AK182" s="6" t="n">
        <v>4649.2</v>
      </c>
      <c r="AL182" s="26" t="s">
        <v>3146</v>
      </c>
    </row>
    <row r="183" customFormat="false" ht="15" hidden="false" customHeight="false" outlineLevel="0" collapsed="false">
      <c r="A183" s="6" t="s">
        <v>3238</v>
      </c>
      <c r="B183" s="6" t="s">
        <v>3239</v>
      </c>
      <c r="C183" s="6" t="s">
        <v>3007</v>
      </c>
      <c r="D183" s="13" t="n">
        <v>571.776062011719</v>
      </c>
      <c r="E183" s="25" t="n">
        <v>1.08584260940552</v>
      </c>
      <c r="F183" s="25" t="n">
        <v>3.56488847732544</v>
      </c>
      <c r="G183" s="25" t="n">
        <v>61.4918899536133</v>
      </c>
      <c r="H183" s="25" t="n">
        <v>0.923891246318817</v>
      </c>
      <c r="I183" s="25" t="n">
        <v>0.818777561187744</v>
      </c>
      <c r="J183" s="25" t="n">
        <v>7.4277783203125</v>
      </c>
      <c r="K183" s="25" t="n">
        <v>12.57994921875</v>
      </c>
      <c r="L183" s="25" t="n">
        <v>38.83286328125</v>
      </c>
      <c r="M183" s="25" t="n">
        <v>0.20467147231102</v>
      </c>
      <c r="N183" s="25" t="n">
        <v>104.508018493652</v>
      </c>
      <c r="O183" s="25" t="n">
        <v>158.653533935547</v>
      </c>
      <c r="P183" s="25" t="n">
        <v>29.3148460388184</v>
      </c>
      <c r="Q183" s="25" t="n">
        <v>17.8965969085693</v>
      </c>
      <c r="R183" s="25" t="n">
        <v>20.7839736938477</v>
      </c>
      <c r="S183" s="25" t="n">
        <v>0.829997420310974</v>
      </c>
      <c r="T183" s="25" t="n">
        <v>0.173125267028809</v>
      </c>
      <c r="U183" s="25" t="n">
        <v>0.0582048445940018</v>
      </c>
      <c r="V183" s="25" t="n">
        <v>0.748685121536255</v>
      </c>
      <c r="W183" s="25" t="n">
        <v>0.290903389453888</v>
      </c>
      <c r="X183" s="25" t="n">
        <v>0.520981907844544</v>
      </c>
      <c r="Y183" s="25" t="n">
        <v>2201.10473632813</v>
      </c>
      <c r="Z183" s="25" t="n">
        <v>30.3968715667725</v>
      </c>
      <c r="AA183" s="25" t="n">
        <v>67.0919342041016</v>
      </c>
      <c r="AB183" s="25" t="n">
        <v>7.94460153579712</v>
      </c>
      <c r="AC183" s="25" t="n">
        <v>0.0467988140881062</v>
      </c>
      <c r="AD183" s="25" t="n">
        <v>0.0306898057460785</v>
      </c>
      <c r="AE183" s="25" t="n">
        <v>0.20699268579483</v>
      </c>
      <c r="AF183" s="25" t="n">
        <v>0.0867650806903839</v>
      </c>
      <c r="AG183" s="25" t="n">
        <v>0.0494065769016743</v>
      </c>
      <c r="AH183" s="25" t="n">
        <v>1.07086229324341</v>
      </c>
      <c r="AI183" s="25" t="n">
        <v>31.1212024688721</v>
      </c>
      <c r="AJ183" s="6" t="n">
        <v>806.2</v>
      </c>
      <c r="AK183" s="6" t="n">
        <v>4609.5</v>
      </c>
      <c r="AL183" s="26" t="s">
        <v>3146</v>
      </c>
    </row>
    <row r="184" customFormat="false" ht="15" hidden="false" customHeight="false" outlineLevel="0" collapsed="false">
      <c r="A184" s="6" t="s">
        <v>1135</v>
      </c>
      <c r="B184" s="6" t="s">
        <v>3240</v>
      </c>
      <c r="C184" s="6" t="s">
        <v>3007</v>
      </c>
      <c r="D184" s="13" t="n">
        <v>670.910766601563</v>
      </c>
      <c r="E184" s="25" t="n">
        <v>2.38535308837891</v>
      </c>
      <c r="F184" s="25" t="n">
        <v>3.26900148391724</v>
      </c>
      <c r="G184" s="25" t="n">
        <v>72.0632171630859</v>
      </c>
      <c r="H184" s="25" t="n">
        <v>0.401208996772766</v>
      </c>
      <c r="I184" s="25" t="n">
        <v>1.98103415966034</v>
      </c>
      <c r="J184" s="25" t="n">
        <v>9.450373046875</v>
      </c>
      <c r="K184" s="25" t="n">
        <v>14.9188291015625</v>
      </c>
      <c r="L184" s="25" t="n">
        <v>44.64390234375</v>
      </c>
      <c r="M184" s="25" t="n">
        <v>0.23537802696228</v>
      </c>
      <c r="N184" s="25" t="n">
        <v>121.715484619141</v>
      </c>
      <c r="O184" s="25" t="n">
        <v>48.2888717651367</v>
      </c>
      <c r="P184" s="25" t="n">
        <v>59.4913520812988</v>
      </c>
      <c r="Q184" s="25" t="n">
        <v>44.2591743469238</v>
      </c>
      <c r="R184" s="25" t="n">
        <v>7.07151937484741</v>
      </c>
      <c r="S184" s="25" t="n">
        <v>0.344885885715485</v>
      </c>
      <c r="T184" s="25" t="n">
        <v>0.362863779067993</v>
      </c>
      <c r="U184" s="25" t="n">
        <v>0.0341690443456173</v>
      </c>
      <c r="V184" s="25" t="n">
        <v>2.55002498626709</v>
      </c>
      <c r="W184" s="25" t="n">
        <v>0.08436518907547</v>
      </c>
      <c r="X184" s="25" t="n">
        <v>0.599144041538239</v>
      </c>
      <c r="Y184" s="25" t="n">
        <v>504.729095458984</v>
      </c>
      <c r="Z184" s="25" t="n">
        <v>34.6788520812988</v>
      </c>
      <c r="AA184" s="25" t="n">
        <v>7.5684380531311</v>
      </c>
      <c r="AB184" s="25" t="n">
        <v>2.43309926986694</v>
      </c>
      <c r="AC184" s="25" t="n">
        <v>0.0109807411208749</v>
      </c>
      <c r="AD184" s="25" t="n">
        <v>0.0209379456937313</v>
      </c>
      <c r="AE184" s="25" t="n">
        <v>0.101619116961956</v>
      </c>
      <c r="AF184" s="25" t="n">
        <v>0.104607708752155</v>
      </c>
      <c r="AG184" s="25" t="n">
        <v>0.0249393712729216</v>
      </c>
      <c r="AH184" s="25" t="n">
        <v>2.59521389007568</v>
      </c>
      <c r="AI184" s="25" t="n">
        <v>13.9448280334473</v>
      </c>
      <c r="AJ184" s="6" t="n">
        <v>701</v>
      </c>
      <c r="AK184" s="6" t="n">
        <v>4703.1</v>
      </c>
      <c r="AL184" s="26" t="s">
        <v>3146</v>
      </c>
    </row>
    <row r="185" customFormat="false" ht="15" hidden="false" customHeight="false" outlineLevel="0" collapsed="false">
      <c r="A185" s="6" t="s">
        <v>3241</v>
      </c>
      <c r="B185" s="6" t="s">
        <v>3242</v>
      </c>
      <c r="C185" s="6" t="s">
        <v>3007</v>
      </c>
      <c r="D185" s="13" t="n">
        <v>633.564147949219</v>
      </c>
      <c r="E185" s="25" t="n">
        <v>0.957196950912476</v>
      </c>
      <c r="F185" s="25" t="n">
        <v>5.01477909088135</v>
      </c>
      <c r="G185" s="25" t="n">
        <v>67.7635345458984</v>
      </c>
      <c r="H185" s="25" t="n">
        <v>1.01250517368317</v>
      </c>
      <c r="I185" s="25" t="n">
        <v>0.8781458735466</v>
      </c>
      <c r="J185" s="25" t="n">
        <v>8.17768408203125</v>
      </c>
      <c r="K185" s="25" t="n">
        <v>13.87018359375</v>
      </c>
      <c r="L185" s="25" t="n">
        <v>42.79810546875</v>
      </c>
      <c r="M185" s="25" t="n">
        <v>0.225665703415871</v>
      </c>
      <c r="N185" s="25" t="n">
        <v>108.614929199219</v>
      </c>
      <c r="O185" s="25" t="n">
        <v>109.381843566895</v>
      </c>
      <c r="P185" s="25" t="n">
        <v>19.3080940246582</v>
      </c>
      <c r="Q185" s="25" t="n">
        <v>20.6678333282471</v>
      </c>
      <c r="R185" s="25" t="n">
        <v>7.80039739608765</v>
      </c>
      <c r="S185" s="25" t="n">
        <v>0.652541816234589</v>
      </c>
      <c r="T185" s="25" t="n">
        <v>0.13241571187973</v>
      </c>
      <c r="U185" s="25" t="n">
        <v>0.0518661886453629</v>
      </c>
      <c r="V185" s="25" t="n">
        <v>0.869589149951935</v>
      </c>
      <c r="W185" s="25" t="n">
        <v>0.234579637646675</v>
      </c>
      <c r="X185" s="25" t="n">
        <v>0.574421763420105</v>
      </c>
      <c r="Y185" s="25" t="n">
        <v>483.081359863281</v>
      </c>
      <c r="Z185" s="25" t="n">
        <v>33.3250770568848</v>
      </c>
      <c r="AA185" s="25" t="n">
        <v>11.8594245910645</v>
      </c>
      <c r="AB185" s="25" t="n">
        <v>5.27914094924927</v>
      </c>
      <c r="AC185" s="25" t="n">
        <v>0.0259553864598274</v>
      </c>
      <c r="AD185" s="25" t="n">
        <v>0.0184515230357647</v>
      </c>
      <c r="AE185" s="25" t="n">
        <v>0.204632714390755</v>
      </c>
      <c r="AF185" s="25" t="n">
        <v>0.071046955883503</v>
      </c>
      <c r="AG185" s="25" t="n">
        <v>0.0431911870837212</v>
      </c>
      <c r="AH185" s="25" t="n">
        <v>0.62372237443924</v>
      </c>
      <c r="AI185" s="25" t="n">
        <v>7.89929819107056</v>
      </c>
      <c r="AJ185" s="6" t="n">
        <v>731.2</v>
      </c>
      <c r="AK185" s="6" t="n">
        <v>4632.4</v>
      </c>
      <c r="AL185" s="26" t="s">
        <v>3146</v>
      </c>
    </row>
    <row r="186" customFormat="false" ht="15" hidden="false" customHeight="false" outlineLevel="0" collapsed="false">
      <c r="A186" s="6" t="s">
        <v>3243</v>
      </c>
      <c r="B186" s="6" t="s">
        <v>3244</v>
      </c>
      <c r="C186" s="6" t="s">
        <v>3007</v>
      </c>
      <c r="D186" s="13" t="n">
        <v>627.271484375</v>
      </c>
      <c r="E186" s="25" t="n">
        <v>0.621689140796661</v>
      </c>
      <c r="F186" s="25" t="n">
        <v>3.4044394493103</v>
      </c>
      <c r="G186" s="25" t="n">
        <v>67.9793090820313</v>
      </c>
      <c r="H186" s="25" t="n">
        <v>0.590939402580261</v>
      </c>
      <c r="I186" s="25" t="n">
        <v>2.30148911476135</v>
      </c>
      <c r="J186" s="25" t="n">
        <v>8.2053056640625</v>
      </c>
      <c r="K186" s="25" t="n">
        <v>13.9447490234375</v>
      </c>
      <c r="L186" s="25" t="n">
        <v>43.014203125</v>
      </c>
      <c r="M186" s="25" t="n">
        <v>0.226907044649124</v>
      </c>
      <c r="N186" s="25" t="n">
        <v>88.3957366943359</v>
      </c>
      <c r="O186" s="25" t="n">
        <v>71.3460693359375</v>
      </c>
      <c r="P186" s="25" t="n">
        <v>9.22652053833008</v>
      </c>
      <c r="Q186" s="25" t="n">
        <v>12.0676040649414</v>
      </c>
      <c r="R186" s="25" t="n">
        <v>6.83735132217407</v>
      </c>
      <c r="S186" s="25" t="n">
        <v>0.28297233581543</v>
      </c>
      <c r="T186" s="25" t="n">
        <v>0.0883815363049507</v>
      </c>
      <c r="U186" s="25" t="n">
        <v>0.0330225378274918</v>
      </c>
      <c r="V186" s="25" t="n">
        <v>0.0991068109869957</v>
      </c>
      <c r="W186" s="25" t="n">
        <v>0.111469946801662</v>
      </c>
      <c r="X186" s="25" t="n">
        <v>0.577581584453583</v>
      </c>
      <c r="Y186" s="25" t="n">
        <v>472.069244384766</v>
      </c>
      <c r="Z186" s="25" t="n">
        <v>33.4605751037598</v>
      </c>
      <c r="AA186" s="25" t="n">
        <v>7.4069414138794</v>
      </c>
      <c r="AB186" s="25" t="n">
        <v>3.24917054176331</v>
      </c>
      <c r="AC186" s="25" t="n">
        <v>0.0240628737956286</v>
      </c>
      <c r="AD186" s="25" t="n">
        <v>0.0154175776988268</v>
      </c>
      <c r="AE186" s="25" t="n">
        <v>0.168421819806099</v>
      </c>
      <c r="AF186" s="25" t="n">
        <v>0.0895903334021568</v>
      </c>
      <c r="AG186" s="25" t="n">
        <v>0.0511573627591133</v>
      </c>
      <c r="AH186" s="25" t="n">
        <v>0.610994815826416</v>
      </c>
      <c r="AI186" s="25" t="n">
        <v>6.41937923431397</v>
      </c>
      <c r="AJ186" s="6" t="n">
        <v>727.2</v>
      </c>
      <c r="AK186" s="6" t="n">
        <v>4561.3</v>
      </c>
      <c r="AL186" s="26" t="s">
        <v>3146</v>
      </c>
    </row>
    <row r="187" customFormat="false" ht="15" hidden="false" customHeight="false" outlineLevel="0" collapsed="false">
      <c r="A187" s="6" t="s">
        <v>3245</v>
      </c>
      <c r="B187" s="6" t="s">
        <v>3246</v>
      </c>
      <c r="C187" s="6" t="s">
        <v>3007</v>
      </c>
      <c r="D187" s="13" t="n">
        <v>641.099609375</v>
      </c>
      <c r="E187" s="25" t="n">
        <v>1.03719747066498</v>
      </c>
      <c r="F187" s="25" t="n">
        <v>2.61661243438721</v>
      </c>
      <c r="G187" s="25" t="n">
        <v>69.6234588623047</v>
      </c>
      <c r="H187" s="25" t="n">
        <v>0.996756613254547</v>
      </c>
      <c r="I187" s="25" t="n">
        <v>0.828949332237244</v>
      </c>
      <c r="J187" s="25" t="n">
        <v>8.40575</v>
      </c>
      <c r="K187" s="25" t="n">
        <v>14.2738798828125</v>
      </c>
      <c r="L187" s="25" t="n">
        <v>44.03594140625</v>
      </c>
      <c r="M187" s="25" t="n">
        <v>0.232012033462524</v>
      </c>
      <c r="N187" s="25" t="n">
        <v>93.6495208740234</v>
      </c>
      <c r="O187" s="25" t="n">
        <v>82.1585845947266</v>
      </c>
      <c r="P187" s="25" t="n">
        <v>12.2590227127075</v>
      </c>
      <c r="Q187" s="25" t="n">
        <v>18.1460838317871</v>
      </c>
      <c r="R187" s="25" t="n">
        <v>7.81939125061035</v>
      </c>
      <c r="S187" s="25" t="n">
        <v>0.399959236383438</v>
      </c>
      <c r="T187" s="25" t="n">
        <v>0.127984032034874</v>
      </c>
      <c r="U187" s="25" t="n">
        <v>0.0340185910463333</v>
      </c>
      <c r="V187" s="25" t="n">
        <v>0.201523542404175</v>
      </c>
      <c r="W187" s="25" t="n">
        <v>0.12664707005024</v>
      </c>
      <c r="X187" s="25" t="n">
        <v>0.59057605266571</v>
      </c>
      <c r="Y187" s="25" t="n">
        <v>486.168701171875</v>
      </c>
      <c r="Z187" s="25" t="n">
        <v>34.2335662841797</v>
      </c>
      <c r="AA187" s="25" t="n">
        <v>9.1920862197876</v>
      </c>
      <c r="AB187" s="25" t="n">
        <v>7.59058904647827</v>
      </c>
      <c r="AC187" s="25" t="n">
        <v>0.0218622833490372</v>
      </c>
      <c r="AD187" s="25" t="n">
        <v>0.0210796296596527</v>
      </c>
      <c r="AE187" s="25" t="n">
        <v>0.158641815185547</v>
      </c>
      <c r="AF187" s="25" t="n">
        <v>0.141748666763306</v>
      </c>
      <c r="AG187" s="25" t="n">
        <v>0.0435902811586857</v>
      </c>
      <c r="AH187" s="25" t="n">
        <v>0.766549646854401</v>
      </c>
      <c r="AI187" s="25" t="n">
        <v>12.5866250991821</v>
      </c>
      <c r="AJ187" s="6" t="n">
        <v>711.2</v>
      </c>
      <c r="AK187" s="6" t="n">
        <v>4559.3</v>
      </c>
      <c r="AL187" s="26" t="s">
        <v>3146</v>
      </c>
    </row>
    <row r="188" customFormat="false" ht="15" hidden="false" customHeight="false" outlineLevel="0" collapsed="false">
      <c r="A188" s="6" t="s">
        <v>3247</v>
      </c>
      <c r="B188" s="6" t="s">
        <v>3248</v>
      </c>
      <c r="C188" s="6" t="s">
        <v>3007</v>
      </c>
      <c r="D188" s="13" t="n">
        <v>639.812744140625</v>
      </c>
      <c r="E188" s="25" t="n">
        <v>0.975607097148895</v>
      </c>
      <c r="F188" s="25" t="n">
        <v>2.87414813041687</v>
      </c>
      <c r="G188" s="25" t="n">
        <v>69.4004440307617</v>
      </c>
      <c r="H188" s="25" t="n">
        <v>0.902188003063202</v>
      </c>
      <c r="I188" s="25" t="n">
        <v>0.890774846076965</v>
      </c>
      <c r="J188" s="25" t="n">
        <v>8.374767578125</v>
      </c>
      <c r="K188" s="25" t="n">
        <v>14.2343994140625</v>
      </c>
      <c r="L188" s="25" t="n">
        <v>43.89934375</v>
      </c>
      <c r="M188" s="25" t="n">
        <v>0.231361389160156</v>
      </c>
      <c r="N188" s="25" t="n">
        <v>92.8533554077148</v>
      </c>
      <c r="O188" s="25" t="n">
        <v>72.2081985473633</v>
      </c>
      <c r="P188" s="25" t="n">
        <v>15.4566917419434</v>
      </c>
      <c r="Q188" s="25" t="n">
        <v>16.5576915740967</v>
      </c>
      <c r="R188" s="25" t="n">
        <v>7.3238730430603</v>
      </c>
      <c r="S188" s="25" t="n">
        <v>0.338893949985504</v>
      </c>
      <c r="T188" s="25" t="n">
        <v>0.113813534379005</v>
      </c>
      <c r="U188" s="25" t="n">
        <v>0.0322125144302845</v>
      </c>
      <c r="V188" s="25" t="n">
        <v>0.284739255905151</v>
      </c>
      <c r="W188" s="25" t="n">
        <v>0.124511122703552</v>
      </c>
      <c r="X188" s="25" t="n">
        <v>0.588919878005981</v>
      </c>
      <c r="Y188" s="25" t="n">
        <v>508.206451416016</v>
      </c>
      <c r="Z188" s="25" t="n">
        <v>34.1409416198731</v>
      </c>
      <c r="AA188" s="25" t="n">
        <v>19.5428657531738</v>
      </c>
      <c r="AB188" s="25" t="n">
        <v>6.10857057571411</v>
      </c>
      <c r="AC188" s="25" t="n">
        <v>0.0213662944734097</v>
      </c>
      <c r="AD188" s="25" t="n">
        <v>0.0191135350614786</v>
      </c>
      <c r="AE188" s="25" t="n">
        <v>0.155322432518005</v>
      </c>
      <c r="AF188" s="25" t="n">
        <v>0.101388730108738</v>
      </c>
      <c r="AG188" s="25" t="n">
        <v>0.0436643436551094</v>
      </c>
      <c r="AH188" s="25" t="n">
        <v>0.652925789356232</v>
      </c>
      <c r="AI188" s="25" t="n">
        <v>12.6757717132568</v>
      </c>
      <c r="AJ188" s="6" t="n">
        <v>713.2</v>
      </c>
      <c r="AK188" s="6" t="n">
        <v>4563</v>
      </c>
      <c r="AL188" s="26" t="s">
        <v>3146</v>
      </c>
    </row>
    <row r="189" customFormat="false" ht="15" hidden="false" customHeight="false" outlineLevel="0" collapsed="false">
      <c r="A189" s="6" t="s">
        <v>1167</v>
      </c>
      <c r="B189" s="6" t="s">
        <v>3249</v>
      </c>
      <c r="C189" s="6" t="s">
        <v>3007</v>
      </c>
      <c r="D189" s="13" t="n">
        <v>638.706848144531</v>
      </c>
      <c r="E189" s="25" t="n">
        <v>0.888320744037628</v>
      </c>
      <c r="F189" s="25" t="n">
        <v>2.70904016494751</v>
      </c>
      <c r="G189" s="25" t="n">
        <v>69.401496887207</v>
      </c>
      <c r="H189" s="25" t="n">
        <v>0.834882855415344</v>
      </c>
      <c r="I189" s="25" t="n">
        <v>0.823469698429108</v>
      </c>
      <c r="J189" s="25" t="n">
        <v>8.37423046875</v>
      </c>
      <c r="K189" s="25" t="n">
        <v>14.2316123046875</v>
      </c>
      <c r="L189" s="25" t="n">
        <v>43.89655859375</v>
      </c>
      <c r="M189" s="25" t="n">
        <v>0.231361389160156</v>
      </c>
      <c r="N189" s="25" t="n">
        <v>91.4315414428711</v>
      </c>
      <c r="O189" s="25" t="n">
        <v>60.7452926635742</v>
      </c>
      <c r="P189" s="25" t="n">
        <v>11.6350221633911</v>
      </c>
      <c r="Q189" s="25" t="n">
        <v>15.0706701278687</v>
      </c>
      <c r="R189" s="25" t="n">
        <v>6.58141374588013</v>
      </c>
      <c r="S189" s="25" t="n">
        <v>0.329429179430008</v>
      </c>
      <c r="T189" s="25" t="n">
        <v>0.11276189237833</v>
      </c>
      <c r="U189" s="25" t="n">
        <v>0.0343158021569252</v>
      </c>
      <c r="V189" s="25" t="n">
        <v>0.357302606105804</v>
      </c>
      <c r="W189" s="25" t="n">
        <v>0.117149628698826</v>
      </c>
      <c r="X189" s="25" t="n">
        <v>0.588919878005981</v>
      </c>
      <c r="Y189" s="25" t="n">
        <v>489.499816894531</v>
      </c>
      <c r="Z189" s="25" t="n">
        <v>34.1377868652344</v>
      </c>
      <c r="AA189" s="25" t="n">
        <v>7.88014888763428</v>
      </c>
      <c r="AB189" s="25" t="n">
        <v>3.06722021102905</v>
      </c>
      <c r="AC189" s="25" t="n">
        <v>0.0213662944734097</v>
      </c>
      <c r="AD189" s="25" t="n">
        <v>0.0149069642648101</v>
      </c>
      <c r="AE189" s="25" t="n">
        <v>0.144806012511253</v>
      </c>
      <c r="AF189" s="25" t="n">
        <v>0.135041296482086</v>
      </c>
      <c r="AG189" s="25" t="n">
        <v>0.0320962741971016</v>
      </c>
      <c r="AH189" s="25" t="n">
        <v>0.772813081741333</v>
      </c>
      <c r="AI189" s="25" t="n">
        <v>12.2162036895752</v>
      </c>
      <c r="AJ189" s="6" t="n">
        <v>713.2</v>
      </c>
      <c r="AK189" s="6" t="n">
        <v>4555.1</v>
      </c>
      <c r="AL189" s="26" t="s">
        <v>3146</v>
      </c>
    </row>
    <row r="190" customFormat="false" ht="15" hidden="false" customHeight="false" outlineLevel="0" collapsed="false">
      <c r="A190" s="6" t="s">
        <v>3250</v>
      </c>
      <c r="B190" s="6" t="s">
        <v>3251</v>
      </c>
      <c r="C190" s="6" t="s">
        <v>3007</v>
      </c>
      <c r="D190" s="13" t="n">
        <v>606.025146484375</v>
      </c>
      <c r="E190" s="25" t="n">
        <v>1.42692792415619</v>
      </c>
      <c r="F190" s="25" t="n">
        <v>2.94291138648987</v>
      </c>
      <c r="G190" s="25" t="n">
        <v>65.4078903198242</v>
      </c>
      <c r="H190" s="25" t="n">
        <v>0.745636105537415</v>
      </c>
      <c r="I190" s="25" t="n">
        <v>1.16092455387116</v>
      </c>
      <c r="J190" s="25" t="n">
        <v>8.13109765625</v>
      </c>
      <c r="K190" s="25" t="n">
        <v>13.4385341796875</v>
      </c>
      <c r="L190" s="25" t="n">
        <v>41.05105078125</v>
      </c>
      <c r="M190" s="25" t="n">
        <v>0.216393440961838</v>
      </c>
      <c r="N190" s="25" t="n">
        <v>99.3712158203125</v>
      </c>
      <c r="O190" s="25" t="n">
        <v>125.104919433594</v>
      </c>
      <c r="P190" s="25" t="n">
        <v>37.7081146240234</v>
      </c>
      <c r="Q190" s="25" t="n">
        <v>25.3523674011231</v>
      </c>
      <c r="R190" s="25" t="n">
        <v>16.5890293121338</v>
      </c>
      <c r="S190" s="25" t="n">
        <v>0.677527844905853</v>
      </c>
      <c r="T190" s="25" t="n">
        <v>0.226514756679535</v>
      </c>
      <c r="U190" s="25" t="n">
        <v>0.0502196736633778</v>
      </c>
      <c r="V190" s="25" t="n">
        <v>1.25713765621185</v>
      </c>
      <c r="W190" s="25" t="n">
        <v>0.226845905184746</v>
      </c>
      <c r="X190" s="25" t="n">
        <v>0.550819635391235</v>
      </c>
      <c r="Y190" s="25" t="n">
        <v>1704.15100097656</v>
      </c>
      <c r="Z190" s="25" t="n">
        <v>32.051456451416</v>
      </c>
      <c r="AA190" s="25" t="n">
        <v>49.5809516906738</v>
      </c>
      <c r="AB190" s="25" t="n">
        <v>6.20800352096558</v>
      </c>
      <c r="AC190" s="25" t="n">
        <v>0.0345409847795963</v>
      </c>
      <c r="AD190" s="25" t="n">
        <v>0.0273672137409449</v>
      </c>
      <c r="AE190" s="25" t="n">
        <v>0.163849174976349</v>
      </c>
      <c r="AF190" s="25" t="n">
        <v>0.0928918048739433</v>
      </c>
      <c r="AG190" s="25" t="n">
        <v>0.0415377058088779</v>
      </c>
      <c r="AH190" s="25" t="n">
        <v>1.5491738319397</v>
      </c>
      <c r="AI190" s="25" t="n">
        <v>25.9578037261963</v>
      </c>
      <c r="AJ190" s="6" t="n">
        <v>762.5</v>
      </c>
      <c r="AK190" s="6" t="n">
        <v>4620.9</v>
      </c>
      <c r="AL190" s="26" t="s">
        <v>3146</v>
      </c>
    </row>
    <row r="191" customFormat="false" ht="15" hidden="false" customHeight="false" outlineLevel="0" collapsed="false">
      <c r="A191" s="6" t="s">
        <v>3252</v>
      </c>
      <c r="B191" s="6" t="s">
        <v>3253</v>
      </c>
      <c r="C191" s="6" t="s">
        <v>3007</v>
      </c>
      <c r="D191" s="13" t="n">
        <v>627.405822753906</v>
      </c>
      <c r="E191" s="25" t="n">
        <v>1.32747972011566</v>
      </c>
      <c r="F191" s="25" t="n">
        <v>4.2609715461731</v>
      </c>
      <c r="G191" s="25" t="n">
        <v>67.2418746948242</v>
      </c>
      <c r="H191" s="25" t="n">
        <v>0.637297570705414</v>
      </c>
      <c r="I191" s="25" t="n">
        <v>1.18950068950653</v>
      </c>
      <c r="J191" s="25" t="n">
        <v>8.34812890625</v>
      </c>
      <c r="K191" s="25" t="n">
        <v>13.8244658203125</v>
      </c>
      <c r="L191" s="25" t="n">
        <v>42.2175625</v>
      </c>
      <c r="M191" s="25" t="n">
        <v>0.222672060132027</v>
      </c>
      <c r="N191" s="25" t="n">
        <v>95.8927917480469</v>
      </c>
      <c r="O191" s="25" t="n">
        <v>104.037109375</v>
      </c>
      <c r="P191" s="25" t="n">
        <v>28.3887138366699</v>
      </c>
      <c r="Q191" s="25" t="n">
        <v>26.3046970367432</v>
      </c>
      <c r="R191" s="25" t="n">
        <v>8.04822540283203</v>
      </c>
      <c r="S191" s="25" t="n">
        <v>0.387658566236496</v>
      </c>
      <c r="T191" s="25" t="n">
        <v>0.201130226254463</v>
      </c>
      <c r="U191" s="25" t="n">
        <v>0.0383704453706741</v>
      </c>
      <c r="V191" s="25" t="n">
        <v>1.07796561717987</v>
      </c>
      <c r="W191" s="25" t="n">
        <v>0.101531714200974</v>
      </c>
      <c r="X191" s="25" t="n">
        <v>0.566801607608795</v>
      </c>
      <c r="Y191" s="25" t="n">
        <v>487.137115478516</v>
      </c>
      <c r="Z191" s="25" t="n">
        <v>32.8155670166016</v>
      </c>
      <c r="AA191" s="25" t="n">
        <v>7.39740228652954</v>
      </c>
      <c r="AB191" s="25" t="n">
        <v>4.80108308792114</v>
      </c>
      <c r="AC191" s="25" t="n">
        <v>0.019875168800354</v>
      </c>
      <c r="AD191" s="25" t="n">
        <v>0.0155634274706245</v>
      </c>
      <c r="AE191" s="25" t="n">
        <v>0.233076930046082</v>
      </c>
      <c r="AF191" s="25" t="n">
        <v>0.107010796666145</v>
      </c>
      <c r="AG191" s="25" t="n">
        <v>0.0331950075924397</v>
      </c>
      <c r="AH191" s="25" t="n">
        <v>1.18168020248413</v>
      </c>
      <c r="AI191" s="25" t="n">
        <v>9.15324592590332</v>
      </c>
      <c r="AJ191" s="6" t="n">
        <v>741</v>
      </c>
      <c r="AK191" s="6" t="n">
        <v>4649.1</v>
      </c>
      <c r="AL191" s="26" t="s">
        <v>3146</v>
      </c>
    </row>
    <row r="192" customFormat="false" ht="15" hidden="false" customHeight="false" outlineLevel="0" collapsed="false">
      <c r="A192" s="6" t="s">
        <v>3254</v>
      </c>
      <c r="B192" s="6" t="s">
        <v>3255</v>
      </c>
      <c r="C192" s="6" t="s">
        <v>3007</v>
      </c>
      <c r="D192" s="13" t="n">
        <v>88.9868621826172</v>
      </c>
      <c r="E192" s="25" t="n">
        <v>3.669917345047</v>
      </c>
      <c r="F192" s="25" t="n">
        <v>8.4365291595459</v>
      </c>
      <c r="G192" s="25" t="n">
        <v>4.43677711486816</v>
      </c>
      <c r="H192" s="25" t="n">
        <v>2.33570241928101</v>
      </c>
      <c r="I192" s="25" t="n">
        <v>2.56214880943298</v>
      </c>
      <c r="J192" s="25" t="n">
        <v>2.6850693359375</v>
      </c>
      <c r="K192" s="25" t="n">
        <v>1.14620739746094</v>
      </c>
      <c r="L192" s="25" t="n">
        <v>0.231800003051758</v>
      </c>
      <c r="M192" s="25" t="n">
        <v>8.26528930664063</v>
      </c>
      <c r="N192" s="25" t="n">
        <v>124.699996948242</v>
      </c>
      <c r="O192" s="25" t="n">
        <v>221.876037597656</v>
      </c>
      <c r="P192" s="25" t="n">
        <v>80.1991729736328</v>
      </c>
      <c r="Q192" s="25" t="n">
        <v>90.1181793212891</v>
      </c>
      <c r="R192" s="25" t="n">
        <v>19.9272727966309</v>
      </c>
      <c r="S192" s="25" t="n">
        <v>0.621404945850372</v>
      </c>
      <c r="T192" s="25" t="n">
        <v>0.521487593650818</v>
      </c>
      <c r="U192" s="25" t="n">
        <v>0.0746611580252647</v>
      </c>
      <c r="V192" s="25" t="n">
        <v>0.911570250988007</v>
      </c>
      <c r="W192" s="25" t="n">
        <v>0.163884297013283</v>
      </c>
      <c r="X192" s="25" t="n">
        <v>32.5338859558106</v>
      </c>
      <c r="Y192" s="25" t="n">
        <v>1693.73059082031</v>
      </c>
      <c r="Z192" s="25" t="n">
        <v>0.221033051609993</v>
      </c>
      <c r="AA192" s="25" t="n">
        <v>13.6609916687012</v>
      </c>
      <c r="AB192" s="25" t="n">
        <v>15.5545454025269</v>
      </c>
      <c r="AC192" s="25" t="n">
        <v>0.0765454545617104</v>
      </c>
      <c r="AD192" s="25" t="n">
        <v>0.0681983456015587</v>
      </c>
      <c r="AE192" s="25" t="n">
        <v>0.477851241827011</v>
      </c>
      <c r="AF192" s="25" t="n">
        <v>0.39533057808876</v>
      </c>
      <c r="AG192" s="25" t="n">
        <v>0.11867768317461</v>
      </c>
      <c r="AH192" s="25" t="n">
        <v>2.57801651954651</v>
      </c>
      <c r="AI192" s="25" t="n">
        <v>25.516529083252</v>
      </c>
      <c r="AJ192" s="6" t="n">
        <v>302.5</v>
      </c>
      <c r="AK192" s="6" t="n">
        <v>269.2</v>
      </c>
      <c r="AL192" s="26"/>
    </row>
    <row r="193" customFormat="false" ht="15" hidden="false" customHeight="false" outlineLevel="0" collapsed="false">
      <c r="A193" s="6" t="s">
        <v>3256</v>
      </c>
      <c r="B193" s="6" t="s">
        <v>3257</v>
      </c>
      <c r="C193" s="6" t="s">
        <v>3007</v>
      </c>
      <c r="D193" s="13" t="n">
        <v>58.8271751403809</v>
      </c>
      <c r="E193" s="25" t="n">
        <v>1.89224445819855</v>
      </c>
      <c r="F193" s="25" t="n">
        <v>4.48446130752564</v>
      </c>
      <c r="G193" s="25" t="n">
        <v>3.5467426776886</v>
      </c>
      <c r="H193" s="25" t="n">
        <v>3.05810618400574</v>
      </c>
      <c r="I193" s="25" t="n">
        <v>1.70724737644196</v>
      </c>
      <c r="J193" s="25" t="n">
        <v>0.469280670166016</v>
      </c>
      <c r="K193" s="25" t="n">
        <v>0.672072631835938</v>
      </c>
      <c r="L193" s="25" t="n">
        <v>2.15921044921875</v>
      </c>
      <c r="M193" s="25" t="n">
        <v>0</v>
      </c>
      <c r="N193" s="25" t="n">
        <v>123.356834411621</v>
      </c>
      <c r="O193" s="25" t="n">
        <v>266.336608886719</v>
      </c>
      <c r="P193" s="25" t="n">
        <v>24.6103401184082</v>
      </c>
      <c r="Q193" s="25" t="n">
        <v>39.6113662719727</v>
      </c>
      <c r="R193" s="25" t="n">
        <v>20.8736572265625</v>
      </c>
      <c r="S193" s="25" t="n">
        <v>0.832054674625397</v>
      </c>
      <c r="T193" s="25" t="n">
        <v>0.293557107448578</v>
      </c>
      <c r="U193" s="25" t="n">
        <v>0.0642134547233582</v>
      </c>
      <c r="V193" s="25" t="n">
        <v>0.453910171985626</v>
      </c>
      <c r="W193" s="25" t="n">
        <v>0.26259171962738</v>
      </c>
      <c r="X193" s="25" t="n">
        <v>0</v>
      </c>
      <c r="Y193" s="25" t="n">
        <v>1145.392578125</v>
      </c>
      <c r="Z193" s="25" t="n">
        <v>1.60588490962982</v>
      </c>
      <c r="AA193" s="25" t="n">
        <v>15.1704826354981</v>
      </c>
      <c r="AB193" s="25" t="n">
        <v>33.0761528015137</v>
      </c>
      <c r="AC193" s="25" t="n">
        <v>0.0432341694831848</v>
      </c>
      <c r="AD193" s="25" t="n">
        <v>0.0501990951597691</v>
      </c>
      <c r="AE193" s="25" t="n">
        <v>0.380228042602539</v>
      </c>
      <c r="AF193" s="25" t="n">
        <v>0.456672042608261</v>
      </c>
      <c r="AG193" s="25" t="n">
        <v>0.117250837385654</v>
      </c>
      <c r="AH193" s="25" t="n">
        <v>2.11706924438477</v>
      </c>
      <c r="AI193" s="25" t="n">
        <v>35.5579109191895</v>
      </c>
      <c r="AJ193" s="6" t="n">
        <v>216</v>
      </c>
      <c r="AK193" s="6" t="n">
        <v>127.1</v>
      </c>
      <c r="AL193" s="26"/>
    </row>
    <row r="194" customFormat="false" ht="15" hidden="false" customHeight="false" outlineLevel="0" collapsed="false">
      <c r="A194" s="6" t="s">
        <v>3258</v>
      </c>
      <c r="B194" s="6" t="s">
        <v>3259</v>
      </c>
      <c r="C194" s="6" t="s">
        <v>3007</v>
      </c>
      <c r="D194" s="13" t="n">
        <v>77.7935485839844</v>
      </c>
      <c r="E194" s="25" t="n">
        <v>3.21766400337219</v>
      </c>
      <c r="F194" s="25" t="n">
        <v>6.92944431304932</v>
      </c>
      <c r="G194" s="25" t="n">
        <v>4.02752494812012</v>
      </c>
      <c r="H194" s="25" t="n">
        <v>2.32583379745483</v>
      </c>
      <c r="I194" s="25" t="n">
        <v>2.08779811859131</v>
      </c>
      <c r="J194" s="25" t="n">
        <v>2.16345141601563</v>
      </c>
      <c r="K194" s="25" t="n">
        <v>0.986693786621094</v>
      </c>
      <c r="L194" s="25" t="n">
        <v>0.546356079101563</v>
      </c>
      <c r="M194" s="25" t="n">
        <v>6.55278062820435</v>
      </c>
      <c r="N194" s="25" t="n">
        <v>122.847793579102</v>
      </c>
      <c r="O194" s="25" t="n">
        <v>314.321655273438</v>
      </c>
      <c r="P194" s="25" t="n">
        <v>78.6263580322266</v>
      </c>
      <c r="Q194" s="25" t="n">
        <v>74.0836029052734</v>
      </c>
      <c r="R194" s="25" t="n">
        <v>35.6173896789551</v>
      </c>
      <c r="S194" s="25" t="n">
        <v>1.15826082229614</v>
      </c>
      <c r="T194" s="25" t="n">
        <v>0.496364891529083</v>
      </c>
      <c r="U194" s="25" t="n">
        <v>0.0981240645051003</v>
      </c>
      <c r="V194" s="25" t="n">
        <v>1.16386675834656</v>
      </c>
      <c r="W194" s="25" t="n">
        <v>0.393240749835968</v>
      </c>
      <c r="X194" s="25" t="n">
        <v>26.6727275848389</v>
      </c>
      <c r="Y194" s="25" t="n">
        <v>3474.59497070313</v>
      </c>
      <c r="Z194" s="25" t="n">
        <v>0.70357346534729</v>
      </c>
      <c r="AA194" s="25" t="n">
        <v>86.8464813232422</v>
      </c>
      <c r="AB194" s="25" t="n">
        <v>18.6416854858398</v>
      </c>
      <c r="AC194" s="25" t="n">
        <v>0.0942190811038017</v>
      </c>
      <c r="AD194" s="25" t="n">
        <v>0.0750800743699074</v>
      </c>
      <c r="AE194" s="25" t="n">
        <v>0.432826817035675</v>
      </c>
      <c r="AF194" s="25" t="n">
        <v>0.347404688596726</v>
      </c>
      <c r="AG194" s="25" t="n">
        <v>0.124220199882984</v>
      </c>
      <c r="AH194" s="25" t="n">
        <v>2.93327927589417</v>
      </c>
      <c r="AI194" s="25" t="n">
        <v>52.7221946716309</v>
      </c>
      <c r="AJ194" s="6" t="n">
        <v>423.5</v>
      </c>
      <c r="AK194" s="6" t="n">
        <v>329.5</v>
      </c>
      <c r="AL194" s="26"/>
    </row>
    <row r="195" customFormat="false" ht="15" hidden="false" customHeight="false" outlineLevel="0" collapsed="false">
      <c r="A195" s="6" t="s">
        <v>3260</v>
      </c>
      <c r="B195" s="6" t="s">
        <v>3261</v>
      </c>
      <c r="C195" s="6" t="s">
        <v>3007</v>
      </c>
      <c r="D195" s="13" t="n">
        <v>135.772857666016</v>
      </c>
      <c r="E195" s="25" t="n">
        <v>3.42637968063355</v>
      </c>
      <c r="F195" s="25" t="n">
        <v>11.1099519729614</v>
      </c>
      <c r="G195" s="25" t="n">
        <v>8.50363636016846</v>
      </c>
      <c r="H195" s="25" t="n">
        <v>1.1966826915741</v>
      </c>
      <c r="I195" s="25" t="n">
        <v>1.65779900550842</v>
      </c>
      <c r="J195" s="25" t="n">
        <v>5.24381494140625</v>
      </c>
      <c r="K195" s="25" t="n">
        <v>2.21488671875</v>
      </c>
      <c r="L195" s="25" t="n">
        <v>0.380720886230469</v>
      </c>
      <c r="M195" s="25" t="n">
        <v>21.7224884033203</v>
      </c>
      <c r="N195" s="25" t="n">
        <v>354.501373291016</v>
      </c>
      <c r="O195" s="25" t="n">
        <v>392.711334228516</v>
      </c>
      <c r="P195" s="25" t="n">
        <v>90.0606079101563</v>
      </c>
      <c r="Q195" s="25" t="n">
        <v>121.893455505371</v>
      </c>
      <c r="R195" s="25" t="n">
        <v>21.1763954162598</v>
      </c>
      <c r="S195" s="25" t="n">
        <v>0.495247215032578</v>
      </c>
      <c r="T195" s="25" t="n">
        <v>0.51192981004715</v>
      </c>
      <c r="U195" s="25" t="n">
        <v>0.0702392384409905</v>
      </c>
      <c r="V195" s="25" t="n">
        <v>1.17744815349579</v>
      </c>
      <c r="W195" s="25" t="n">
        <v>0.121690593659878</v>
      </c>
      <c r="X195" s="25" t="n">
        <v>86.9537506103516</v>
      </c>
      <c r="Y195" s="25" t="n">
        <v>225.929824829102</v>
      </c>
      <c r="Z195" s="25" t="n">
        <v>0.255087733268738</v>
      </c>
      <c r="AA195" s="25" t="n">
        <v>2.52312588691711</v>
      </c>
      <c r="AB195" s="25" t="n">
        <v>15.1534290313721</v>
      </c>
      <c r="AC195" s="25" t="n">
        <v>0.0499521531164646</v>
      </c>
      <c r="AD195" s="25" t="n">
        <v>0.0561084523797035</v>
      </c>
      <c r="AE195" s="25" t="n">
        <v>0.691068530082703</v>
      </c>
      <c r="AF195" s="25" t="n">
        <v>0.36905899643898</v>
      </c>
      <c r="AG195" s="25" t="n">
        <v>0.0790111646056175</v>
      </c>
      <c r="AH195" s="25" t="n">
        <v>1.79996812343597</v>
      </c>
      <c r="AI195" s="25" t="n">
        <v>12.7454223632813</v>
      </c>
      <c r="AJ195" s="6" t="n">
        <v>78.4</v>
      </c>
      <c r="AK195" s="6" t="n">
        <v>106.4</v>
      </c>
      <c r="AL195" s="26"/>
    </row>
    <row r="196" customFormat="false" ht="15" hidden="false" customHeight="false" outlineLevel="0" collapsed="false">
      <c r="A196" s="6" t="s">
        <v>3262</v>
      </c>
      <c r="B196" s="6" t="s">
        <v>3263</v>
      </c>
      <c r="C196" s="6" t="s">
        <v>3007</v>
      </c>
      <c r="D196" s="13" t="n">
        <v>135.633529663086</v>
      </c>
      <c r="E196" s="25" t="n">
        <v>5.04061079025269</v>
      </c>
      <c r="F196" s="25" t="n">
        <v>12.0341815948486</v>
      </c>
      <c r="G196" s="25" t="n">
        <v>7.30450487136841</v>
      </c>
      <c r="H196" s="25" t="n">
        <v>2.2289252281189</v>
      </c>
      <c r="I196" s="25" t="n">
        <v>2.78144764900208</v>
      </c>
      <c r="J196" s="25" t="n">
        <v>4.09425122070313</v>
      </c>
      <c r="K196" s="25" t="n">
        <v>1.87445324707031</v>
      </c>
      <c r="L196" s="25" t="n">
        <v>0.763447021484375</v>
      </c>
      <c r="M196" s="25" t="n">
        <v>10.623833656311</v>
      </c>
      <c r="N196" s="25" t="n">
        <v>118.197540283203</v>
      </c>
      <c r="O196" s="25" t="n">
        <v>332.076141357422</v>
      </c>
      <c r="P196" s="25" t="n">
        <v>85.586311340332</v>
      </c>
      <c r="Q196" s="25" t="n">
        <v>86.2289733886719</v>
      </c>
      <c r="R196" s="25" t="n">
        <v>25.0446453094482</v>
      </c>
      <c r="S196" s="25" t="n">
        <v>0.759834110736847</v>
      </c>
      <c r="T196" s="25" t="n">
        <v>0.771570205688477</v>
      </c>
      <c r="U196" s="25" t="n">
        <v>0.110809490084648</v>
      </c>
      <c r="V196" s="25" t="n">
        <v>3.93844771385193</v>
      </c>
      <c r="W196" s="25" t="n">
        <v>0.195642948150635</v>
      </c>
      <c r="X196" s="25" t="n">
        <v>47.7823143005371</v>
      </c>
      <c r="Y196" s="25" t="n">
        <v>426.798828125</v>
      </c>
      <c r="Z196" s="25" t="n">
        <v>0.543714702129364</v>
      </c>
      <c r="AA196" s="25" t="n">
        <v>10.1459264755249</v>
      </c>
      <c r="AB196" s="25" t="n">
        <v>19.0933494567871</v>
      </c>
      <c r="AC196" s="25" t="n">
        <v>0.0865455493330956</v>
      </c>
      <c r="AD196" s="25" t="n">
        <v>0.0357892587780953</v>
      </c>
      <c r="AE196" s="25" t="n">
        <v>0.782588601112366</v>
      </c>
      <c r="AF196" s="25" t="n">
        <v>0.419808804988861</v>
      </c>
      <c r="AG196" s="25" t="n">
        <v>0.100968725979328</v>
      </c>
      <c r="AH196" s="25" t="n">
        <v>4.64947032928467</v>
      </c>
      <c r="AI196" s="25" t="n">
        <v>33.4107551574707</v>
      </c>
      <c r="AJ196" s="6" t="n">
        <v>270.7</v>
      </c>
      <c r="AK196" s="6" t="n">
        <v>367.1</v>
      </c>
      <c r="AL196" s="26"/>
    </row>
    <row r="197" customFormat="false" ht="15" hidden="false" customHeight="false" outlineLevel="0" collapsed="false">
      <c r="A197" s="6" t="s">
        <v>3264</v>
      </c>
      <c r="B197" s="6" t="s">
        <v>3265</v>
      </c>
      <c r="C197" s="6" t="s">
        <v>3007</v>
      </c>
      <c r="D197" s="13" t="n">
        <v>38.6289596557617</v>
      </c>
      <c r="E197" s="25" t="n">
        <v>1.57945168018341</v>
      </c>
      <c r="F197" s="25" t="n">
        <v>4.12922525405884</v>
      </c>
      <c r="G197" s="25" t="n">
        <v>1.62346971035004</v>
      </c>
      <c r="H197" s="25" t="n">
        <v>2.34033942222595</v>
      </c>
      <c r="I197" s="25" t="n">
        <v>2.19599652290344</v>
      </c>
      <c r="J197" s="25" t="n">
        <v>0.423590423583984</v>
      </c>
      <c r="K197" s="25" t="n">
        <v>0.344283660888672</v>
      </c>
      <c r="L197" s="25" t="n">
        <v>0.726698303222656</v>
      </c>
      <c r="M197" s="25" t="n">
        <v>0</v>
      </c>
      <c r="N197" s="25" t="n">
        <v>79.6567459106445</v>
      </c>
      <c r="O197" s="25" t="n">
        <v>187.994781494141</v>
      </c>
      <c r="P197" s="25" t="n">
        <v>26.2376403808594</v>
      </c>
      <c r="Q197" s="25" t="n">
        <v>31.1424427032471</v>
      </c>
      <c r="R197" s="25" t="n">
        <v>15.5650997161865</v>
      </c>
      <c r="S197" s="25" t="n">
        <v>0.320678859949112</v>
      </c>
      <c r="T197" s="25" t="n">
        <v>0.238540753722191</v>
      </c>
      <c r="U197" s="25" t="n">
        <v>0.0685668736696243</v>
      </c>
      <c r="V197" s="25" t="n">
        <v>0.70230633020401</v>
      </c>
      <c r="W197" s="25" t="n">
        <v>0.127647235989571</v>
      </c>
      <c r="X197" s="25" t="n">
        <v>0</v>
      </c>
      <c r="Y197" s="25" t="n">
        <v>3493.72265625</v>
      </c>
      <c r="Z197" s="25" t="n">
        <v>0.609904229640961</v>
      </c>
      <c r="AA197" s="25" t="n">
        <v>18.4360313415527</v>
      </c>
      <c r="AB197" s="25" t="n">
        <v>15.8708581924439</v>
      </c>
      <c r="AC197" s="25" t="n">
        <v>0.0451116934418678</v>
      </c>
      <c r="AD197" s="25" t="n">
        <v>0.0481665208935738</v>
      </c>
      <c r="AE197" s="25" t="n">
        <v>0.490281403064728</v>
      </c>
      <c r="AF197" s="25" t="n">
        <v>0.237403526902199</v>
      </c>
      <c r="AG197" s="25" t="n">
        <v>0.0789237022399902</v>
      </c>
      <c r="AH197" s="25" t="n">
        <v>1.9842472076416</v>
      </c>
      <c r="AI197" s="25" t="n">
        <v>24.1355094909668</v>
      </c>
      <c r="AJ197" s="6" t="n">
        <v>430.9</v>
      </c>
      <c r="AK197" s="6" t="n">
        <v>166.4</v>
      </c>
      <c r="AL197" s="26"/>
    </row>
    <row r="198" customFormat="false" ht="15" hidden="false" customHeight="false" outlineLevel="0" collapsed="false">
      <c r="A198" s="6" t="s">
        <v>1140</v>
      </c>
      <c r="B198" s="6" t="s">
        <v>1138</v>
      </c>
      <c r="C198" s="6" t="s">
        <v>3007</v>
      </c>
      <c r="D198" s="13" t="n">
        <v>682.329895019531</v>
      </c>
      <c r="E198" s="25" t="n">
        <v>0.698263168334961</v>
      </c>
      <c r="F198" s="25" t="n">
        <v>3.33048820495606</v>
      </c>
      <c r="G198" s="25" t="n">
        <v>74.0066909790039</v>
      </c>
      <c r="H198" s="25" t="n">
        <v>0.679198026657105</v>
      </c>
      <c r="I198" s="25" t="n">
        <v>0.708284020423889</v>
      </c>
      <c r="J198" s="25" t="n">
        <v>9.0674814453125</v>
      </c>
      <c r="K198" s="25" t="n">
        <v>15.1589375</v>
      </c>
      <c r="L198" s="25" t="n">
        <v>46.6462265625</v>
      </c>
      <c r="M198" s="25" t="n">
        <v>0.492111295461655</v>
      </c>
      <c r="N198" s="25" t="n">
        <v>183.854019165039</v>
      </c>
      <c r="O198" s="25" t="n">
        <v>119.545440673828</v>
      </c>
      <c r="P198" s="25" t="n">
        <v>16.4944915771484</v>
      </c>
      <c r="Q198" s="25" t="n">
        <v>19.1403865814209</v>
      </c>
      <c r="R198" s="25" t="n">
        <v>8.62622356414795</v>
      </c>
      <c r="S198" s="25" t="n">
        <v>0.356439203023911</v>
      </c>
      <c r="T198" s="25" t="n">
        <v>0.124454349279404</v>
      </c>
      <c r="U198" s="25" t="n">
        <v>0.0406394451856613</v>
      </c>
      <c r="V198" s="25" t="n">
        <v>0.344846993684769</v>
      </c>
      <c r="W198" s="25" t="n">
        <v>0.146011516451836</v>
      </c>
      <c r="X198" s="25" t="n">
        <v>1.25264692306519</v>
      </c>
      <c r="Y198" s="25" t="n">
        <v>103.89631652832</v>
      </c>
      <c r="Z198" s="25" t="n">
        <v>36.2662734985352</v>
      </c>
      <c r="AA198" s="25" t="n">
        <v>6.80038070678711</v>
      </c>
      <c r="AB198" s="25" t="n">
        <v>4.38225936889648</v>
      </c>
      <c r="AC198" s="25" t="n">
        <v>0.0168506372720003</v>
      </c>
      <c r="AD198" s="25" t="n">
        <v>0.0169909633696079</v>
      </c>
      <c r="AE198" s="25" t="n">
        <v>0.206804096698761</v>
      </c>
      <c r="AF198" s="25" t="n">
        <v>0.101404905319214</v>
      </c>
      <c r="AG198" s="25" t="n">
        <v>0.0306449644267559</v>
      </c>
      <c r="AH198" s="25" t="n">
        <v>0.474421977996826</v>
      </c>
      <c r="AI198" s="25" t="n">
        <v>5.13207960128784</v>
      </c>
      <c r="AJ198" s="6" t="n">
        <v>670.6</v>
      </c>
      <c r="AK198" s="6" t="n">
        <v>4575.6</v>
      </c>
      <c r="AL198" s="26" t="s">
        <v>3146</v>
      </c>
    </row>
    <row r="199" customFormat="false" ht="15" hidden="false" customHeight="false" outlineLevel="0" collapsed="false">
      <c r="A199" s="6" t="s">
        <v>1110</v>
      </c>
      <c r="B199" s="6" t="s">
        <v>3266</v>
      </c>
      <c r="C199" s="6" t="s">
        <v>3007</v>
      </c>
      <c r="D199" s="13" t="n">
        <v>77.6831283569336</v>
      </c>
      <c r="E199" s="25" t="n">
        <v>4.03364658355713</v>
      </c>
      <c r="F199" s="25" t="n">
        <v>4.42964458465576</v>
      </c>
      <c r="G199" s="25" t="n">
        <v>4.76301193237305</v>
      </c>
      <c r="H199" s="25" t="n">
        <v>1.90681052207947</v>
      </c>
      <c r="I199" s="25" t="n">
        <v>2.55055832862854</v>
      </c>
      <c r="J199" s="25" t="n">
        <v>1.58757373046875</v>
      </c>
      <c r="K199" s="25" t="n">
        <v>1.10138671875</v>
      </c>
      <c r="L199" s="25" t="n">
        <v>1.71185705566406</v>
      </c>
      <c r="M199" s="25" t="n">
        <v>0</v>
      </c>
      <c r="N199" s="25" t="n">
        <v>166.866165161133</v>
      </c>
      <c r="O199" s="25" t="n">
        <v>386.630950927734</v>
      </c>
      <c r="P199" s="25" t="n">
        <v>113.247673034668</v>
      </c>
      <c r="Q199" s="25" t="n">
        <v>69.6219940185547</v>
      </c>
      <c r="R199" s="25" t="n">
        <v>54.1263122558594</v>
      </c>
      <c r="S199" s="25" t="n">
        <v>1.85131990909576</v>
      </c>
      <c r="T199" s="25" t="n">
        <v>0.683950901031494</v>
      </c>
      <c r="U199" s="25" t="n">
        <v>0.125431463122368</v>
      </c>
      <c r="V199" s="25" t="n">
        <v>4.23119258880615</v>
      </c>
      <c r="W199" s="25" t="n">
        <v>0.708307921886444</v>
      </c>
      <c r="X199" s="25" t="n">
        <v>0</v>
      </c>
      <c r="Y199" s="25" t="n">
        <v>5906.13232421875</v>
      </c>
      <c r="Z199" s="25" t="n">
        <v>1.83148896694183</v>
      </c>
      <c r="AA199" s="25" t="n">
        <v>170.452194213867</v>
      </c>
      <c r="AB199" s="25" t="n">
        <v>20.3768615722656</v>
      </c>
      <c r="AC199" s="25" t="n">
        <v>0.0974957644939423</v>
      </c>
      <c r="AD199" s="25" t="n">
        <v>0.0725465342402458</v>
      </c>
      <c r="AE199" s="25" t="n">
        <v>0.337512701749802</v>
      </c>
      <c r="AF199" s="25" t="n">
        <v>0.24616751074791</v>
      </c>
      <c r="AG199" s="25" t="n">
        <v>0.114407777786255</v>
      </c>
      <c r="AH199" s="25" t="n">
        <v>5.38570213317871</v>
      </c>
      <c r="AI199" s="25" t="n">
        <v>90.3736724853516</v>
      </c>
      <c r="AJ199" s="6" t="n">
        <v>295.5</v>
      </c>
      <c r="AK199" s="6" t="n">
        <v>229.6</v>
      </c>
      <c r="AL199" s="26"/>
    </row>
    <row r="200" customFormat="false" ht="15" hidden="false" customHeight="false" outlineLevel="0" collapsed="false">
      <c r="A200" s="6" t="s">
        <v>3267</v>
      </c>
      <c r="B200" s="6" t="s">
        <v>3268</v>
      </c>
      <c r="C200" s="6" t="s">
        <v>3007</v>
      </c>
      <c r="D200" s="13" t="n">
        <v>475.62451171875</v>
      </c>
      <c r="E200" s="25" t="n">
        <v>1.54149770736694</v>
      </c>
      <c r="F200" s="25" t="n">
        <v>2.77888178825378</v>
      </c>
      <c r="G200" s="25" t="n">
        <v>50.9074859619141</v>
      </c>
      <c r="H200" s="25" t="n">
        <v>0.526005983352661</v>
      </c>
      <c r="I200" s="25" t="n">
        <v>1.79276585578919</v>
      </c>
      <c r="J200" s="25" t="n">
        <v>6.884080078125</v>
      </c>
      <c r="K200" s="25" t="n">
        <v>10.5372373046875</v>
      </c>
      <c r="L200" s="25" t="n">
        <v>31.2913671875</v>
      </c>
      <c r="M200" s="25" t="n">
        <v>0</v>
      </c>
      <c r="N200" s="25" t="n">
        <v>54.9401512145996</v>
      </c>
      <c r="O200" s="25" t="n">
        <v>115.424362182617</v>
      </c>
      <c r="P200" s="25" t="n">
        <v>60.5690460205078</v>
      </c>
      <c r="Q200" s="25" t="n">
        <v>41.039737701416</v>
      </c>
      <c r="R200" s="25" t="n">
        <v>12.5050420761108</v>
      </c>
      <c r="S200" s="25" t="n">
        <v>0.628017961978912</v>
      </c>
      <c r="T200" s="25" t="n">
        <v>0.188592106103897</v>
      </c>
      <c r="U200" s="25" t="n">
        <v>0.0403644554316998</v>
      </c>
      <c r="V200" s="25" t="n">
        <v>0.544558167457581</v>
      </c>
      <c r="W200" s="25" t="n">
        <v>0.136844724416733</v>
      </c>
      <c r="X200" s="25" t="n">
        <v>0</v>
      </c>
      <c r="Y200" s="25" t="n">
        <v>1205.41333007813</v>
      </c>
      <c r="Z200" s="25" t="n">
        <v>24.4195060729981</v>
      </c>
      <c r="AA200" s="25" t="n">
        <v>41.0083885192871</v>
      </c>
      <c r="AB200" s="25" t="n">
        <v>6.31617593765259</v>
      </c>
      <c r="AC200" s="25" t="n">
        <v>0.0275836233049631</v>
      </c>
      <c r="AD200" s="25" t="n">
        <v>0.0558711923658848</v>
      </c>
      <c r="AE200" s="25" t="n">
        <v>0.141812279820442</v>
      </c>
      <c r="AF200" s="25" t="n">
        <v>0.175087377429009</v>
      </c>
      <c r="AG200" s="25" t="n">
        <v>0.0475636534392834</v>
      </c>
      <c r="AH200" s="25" t="n">
        <v>1.21314024925232</v>
      </c>
      <c r="AI200" s="25" t="n">
        <v>14.1638193130493</v>
      </c>
      <c r="AJ200" s="6" t="n">
        <v>1001.5</v>
      </c>
      <c r="AK200" s="6" t="n">
        <v>4763.4</v>
      </c>
      <c r="AL200" s="26" t="s">
        <v>3146</v>
      </c>
    </row>
    <row r="201" customFormat="false" ht="15" hidden="false" customHeight="false" outlineLevel="0" collapsed="false">
      <c r="A201" s="6" t="s">
        <v>1171</v>
      </c>
      <c r="B201" s="6" t="s">
        <v>1169</v>
      </c>
      <c r="C201" s="6" t="s">
        <v>3007</v>
      </c>
      <c r="D201" s="13" t="n">
        <v>87.8422698974609</v>
      </c>
      <c r="E201" s="25" t="n">
        <v>3.00499272346497</v>
      </c>
      <c r="F201" s="25" t="n">
        <v>5.32571935653687</v>
      </c>
      <c r="G201" s="25" t="n">
        <v>5.86070346832275</v>
      </c>
      <c r="H201" s="25" t="n">
        <v>3.69344019889832</v>
      </c>
      <c r="I201" s="25" t="n">
        <v>0.754206478595734</v>
      </c>
      <c r="J201" s="25" t="n">
        <v>3.30310400390625</v>
      </c>
      <c r="K201" s="25" t="n">
        <v>1.43298962402344</v>
      </c>
      <c r="L201" s="25" t="n">
        <v>0.570509033203125</v>
      </c>
      <c r="M201" s="25" t="n">
        <v>13.244026184082</v>
      </c>
      <c r="N201" s="25" t="n">
        <v>165.452911376953</v>
      </c>
      <c r="O201" s="25" t="n">
        <v>399.5634765625</v>
      </c>
      <c r="P201" s="25" t="n">
        <v>134.409088134766</v>
      </c>
      <c r="Q201" s="25" t="n">
        <v>61.9073867797852</v>
      </c>
      <c r="R201" s="25" t="n">
        <v>55.1091690063477</v>
      </c>
      <c r="S201" s="25" t="n">
        <v>2.43332052230835</v>
      </c>
      <c r="T201" s="25" t="n">
        <v>0.646412432193756</v>
      </c>
      <c r="U201" s="25" t="n">
        <v>0.197269201278687</v>
      </c>
      <c r="V201" s="25" t="n">
        <v>5.06543350219727</v>
      </c>
      <c r="W201" s="25" t="n">
        <v>0.667169868946075</v>
      </c>
      <c r="X201" s="25" t="n">
        <v>50.7670021057129</v>
      </c>
      <c r="Y201" s="25" t="n">
        <v>5512.578125</v>
      </c>
      <c r="Z201" s="25" t="n">
        <v>0.863538801670075</v>
      </c>
      <c r="AA201" s="25" t="n">
        <v>176.6044921875</v>
      </c>
      <c r="AB201" s="25" t="n">
        <v>42.1174850463867</v>
      </c>
      <c r="AC201" s="25" t="n">
        <v>0.0934143885970116</v>
      </c>
      <c r="AD201" s="25" t="n">
        <v>0.158589363098145</v>
      </c>
      <c r="AE201" s="25" t="n">
        <v>0.571119725704193</v>
      </c>
      <c r="AF201" s="25" t="n">
        <v>0.260803401470184</v>
      </c>
      <c r="AG201" s="25" t="n">
        <v>0.159103989601135</v>
      </c>
      <c r="AH201" s="25" t="n">
        <v>2.01329803466797</v>
      </c>
      <c r="AI201" s="25" t="n">
        <v>90.7815856933594</v>
      </c>
      <c r="AJ201" s="6" t="n">
        <v>141.5</v>
      </c>
      <c r="AK201" s="6" t="n">
        <v>124.3</v>
      </c>
      <c r="AL201" s="26"/>
    </row>
    <row r="202" customFormat="false" ht="15" hidden="false" customHeight="false" outlineLevel="0" collapsed="false">
      <c r="A202" s="6" t="s">
        <v>3269</v>
      </c>
      <c r="B202" s="6" t="s">
        <v>3270</v>
      </c>
      <c r="C202" s="6" t="s">
        <v>3007</v>
      </c>
      <c r="D202" s="13" t="n">
        <v>625.399597167969</v>
      </c>
      <c r="E202" s="25" t="n">
        <v>0.689478933811188</v>
      </c>
      <c r="F202" s="25" t="n">
        <v>3.40027260780335</v>
      </c>
      <c r="G202" s="25" t="n">
        <v>67.5959930419922</v>
      </c>
      <c r="H202" s="25" t="n">
        <v>1.02431237697601</v>
      </c>
      <c r="I202" s="25" t="n">
        <v>2.58949327468872</v>
      </c>
      <c r="J202" s="25" t="n">
        <v>8.1266708984375</v>
      </c>
      <c r="K202" s="25" t="n">
        <v>13.872314453125</v>
      </c>
      <c r="L202" s="25" t="n">
        <v>42.80021484375</v>
      </c>
      <c r="M202" s="25" t="n">
        <v>0</v>
      </c>
      <c r="N202" s="25" t="n">
        <v>58.9479637145996</v>
      </c>
      <c r="O202" s="25" t="n">
        <v>80.7494888305664</v>
      </c>
      <c r="P202" s="25" t="n">
        <v>9.84934329986572</v>
      </c>
      <c r="Q202" s="25" t="n">
        <v>8.83129596710205</v>
      </c>
      <c r="R202" s="25" t="n">
        <v>8.87814903259277</v>
      </c>
      <c r="S202" s="25" t="n">
        <v>0.270355641841888</v>
      </c>
      <c r="T202" s="25" t="n">
        <v>0.0766776949167252</v>
      </c>
      <c r="U202" s="25" t="n">
        <v>0.0542369820177555</v>
      </c>
      <c r="V202" s="25" t="n">
        <v>0.0327205024659634</v>
      </c>
      <c r="W202" s="25" t="n">
        <v>0.122215464711189</v>
      </c>
      <c r="X202" s="25" t="n">
        <v>0</v>
      </c>
      <c r="Y202" s="25" t="n">
        <v>479.507385253906</v>
      </c>
      <c r="Z202" s="25" t="n">
        <v>33.289478302002</v>
      </c>
      <c r="AA202" s="25" t="n">
        <v>13.515872001648</v>
      </c>
      <c r="AB202" s="25" t="n">
        <v>3.90639400482178</v>
      </c>
      <c r="AC202" s="25" t="n">
        <v>0.015698779374361</v>
      </c>
      <c r="AD202" s="25" t="n">
        <v>0.00610012048855424</v>
      </c>
      <c r="AE202" s="25" t="n">
        <v>0.14939321577549</v>
      </c>
      <c r="AF202" s="25" t="n">
        <v>0.0676942691206932</v>
      </c>
      <c r="AG202" s="25" t="n">
        <v>0.0550681836903095</v>
      </c>
      <c r="AH202" s="25" t="n">
        <v>0.948157906532288</v>
      </c>
      <c r="AI202" s="25" t="n">
        <v>8.89792728424072</v>
      </c>
      <c r="AJ202" s="6" t="n">
        <v>361.2</v>
      </c>
      <c r="AK202" s="6" t="n">
        <v>2258.7</v>
      </c>
      <c r="AL202" s="26" t="s">
        <v>3146</v>
      </c>
    </row>
    <row r="203" customFormat="false" ht="15" hidden="false" customHeight="false" outlineLevel="0" collapsed="false">
      <c r="A203" s="6" t="s">
        <v>1204</v>
      </c>
      <c r="B203" s="6" t="s">
        <v>1202</v>
      </c>
      <c r="C203" s="6" t="s">
        <v>3007</v>
      </c>
      <c r="D203" s="13" t="n">
        <v>124.559188842773</v>
      </c>
      <c r="E203" s="25" t="n">
        <v>2.4609272480011</v>
      </c>
      <c r="F203" s="25" t="n">
        <v>8.47270679473877</v>
      </c>
      <c r="G203" s="25" t="n">
        <v>8.93698883056641</v>
      </c>
      <c r="H203" s="25" t="n">
        <v>5.44319343566895</v>
      </c>
      <c r="I203" s="25" t="n">
        <v>3.8266396522522</v>
      </c>
      <c r="J203" s="25" t="n">
        <v>6.227568359375</v>
      </c>
      <c r="K203" s="25" t="n">
        <v>0.550740356445313</v>
      </c>
      <c r="L203" s="25" t="n">
        <v>0.219959426879883</v>
      </c>
      <c r="M203" s="25" t="n">
        <v>0</v>
      </c>
      <c r="N203" s="25" t="n">
        <v>81.4955978393555</v>
      </c>
      <c r="O203" s="25" t="n">
        <v>378.29833984375</v>
      </c>
      <c r="P203" s="25" t="n">
        <v>31.9011154174805</v>
      </c>
      <c r="Q203" s="25" t="n">
        <v>60.0302314758301</v>
      </c>
      <c r="R203" s="25" t="n">
        <v>36.4007568359375</v>
      </c>
      <c r="S203" s="25" t="n">
        <v>1.01285898685455</v>
      </c>
      <c r="T203" s="25" t="n">
        <v>0.396287709474564</v>
      </c>
      <c r="U203" s="25" t="n">
        <v>0.210147142410278</v>
      </c>
      <c r="V203" s="25" t="n">
        <v>3.89521169662476</v>
      </c>
      <c r="W203" s="25" t="n">
        <v>0.404288023710251</v>
      </c>
      <c r="X203" s="25" t="n">
        <v>0</v>
      </c>
      <c r="Y203" s="25" t="n">
        <v>1270.83996582031</v>
      </c>
      <c r="Z203" s="25" t="n">
        <v>1.0431090593338</v>
      </c>
      <c r="AA203" s="25" t="n">
        <v>89.5009613037109</v>
      </c>
      <c r="AB203" s="25" t="n">
        <v>28.2463092803955</v>
      </c>
      <c r="AC203" s="25" t="n">
        <v>0.0489965677261353</v>
      </c>
      <c r="AD203" s="25" t="n">
        <v>0.0430565588176251</v>
      </c>
      <c r="AE203" s="25" t="n">
        <v>0.548830330371857</v>
      </c>
      <c r="AF203" s="25" t="n">
        <v>0.292124152183533</v>
      </c>
      <c r="AG203" s="25" t="n">
        <v>0.172273397445679</v>
      </c>
      <c r="AH203" s="25" t="n">
        <v>2.70043969154358</v>
      </c>
      <c r="AI203" s="25" t="n">
        <v>32.2697257995606</v>
      </c>
      <c r="AJ203" s="6" t="n">
        <v>335.1</v>
      </c>
      <c r="AK203" s="6" t="n">
        <v>417.3</v>
      </c>
      <c r="AL203" s="26"/>
    </row>
    <row r="204" customFormat="false" ht="15" hidden="false" customHeight="false" outlineLevel="0" collapsed="false">
      <c r="A204" s="6" t="s">
        <v>3271</v>
      </c>
      <c r="B204" s="6" t="s">
        <v>3272</v>
      </c>
      <c r="C204" s="6" t="s">
        <v>3007</v>
      </c>
      <c r="D204" s="13" t="n">
        <v>147.544464111328</v>
      </c>
      <c r="E204" s="25" t="n">
        <v>2.85747838020325</v>
      </c>
      <c r="F204" s="25" t="n">
        <v>4.64607763290405</v>
      </c>
      <c r="G204" s="25" t="n">
        <v>13.1440944671631</v>
      </c>
      <c r="H204" s="25" t="n">
        <v>1.27021551132202</v>
      </c>
      <c r="I204" s="25" t="n">
        <v>3.56053876876831</v>
      </c>
      <c r="J204" s="25" t="n">
        <v>2.25625854492188</v>
      </c>
      <c r="K204" s="25" t="n">
        <v>2.79177587890625</v>
      </c>
      <c r="L204" s="25" t="n">
        <v>7.47728662109375</v>
      </c>
      <c r="M204" s="25" t="n">
        <v>4.74137926101685</v>
      </c>
      <c r="N204" s="25" t="n">
        <v>206.236618041992</v>
      </c>
      <c r="O204" s="25" t="n">
        <v>198.349136352539</v>
      </c>
      <c r="P204" s="25" t="n">
        <v>103.880386352539</v>
      </c>
      <c r="Q204" s="25" t="n">
        <v>84.2570877075195</v>
      </c>
      <c r="R204" s="25" t="n">
        <v>18.73362159729</v>
      </c>
      <c r="S204" s="25" t="n">
        <v>0.460344821214676</v>
      </c>
      <c r="T204" s="25" t="n">
        <v>0.419655174016953</v>
      </c>
      <c r="U204" s="25" t="n">
        <v>0.0369288809597492</v>
      </c>
      <c r="V204" s="25" t="n">
        <v>1.7132111787796</v>
      </c>
      <c r="W204" s="25" t="n">
        <v>0.463038802146912</v>
      </c>
      <c r="X204" s="25" t="n">
        <v>12.0689659118652</v>
      </c>
      <c r="Y204" s="25" t="n">
        <v>57.5603446960449</v>
      </c>
      <c r="Z204" s="25" t="n">
        <v>5.77213382720947</v>
      </c>
      <c r="AA204" s="25" t="n">
        <v>3.07435345649719</v>
      </c>
      <c r="AB204" s="25" t="n">
        <v>2.33189654350281</v>
      </c>
      <c r="AC204" s="25" t="n">
        <v>0.0465086214244366</v>
      </c>
      <c r="AD204" s="25" t="n">
        <v>0.123814657330513</v>
      </c>
      <c r="AE204" s="25" t="n">
        <v>0.196314662694931</v>
      </c>
      <c r="AF204" s="25" t="n">
        <v>0.46164870262146</v>
      </c>
      <c r="AG204" s="25" t="n">
        <v>0.0550969839096069</v>
      </c>
      <c r="AH204" s="25" t="n">
        <v>2.25053882598877</v>
      </c>
      <c r="AI204" s="25" t="n">
        <v>26.1862945556641</v>
      </c>
      <c r="AJ204" s="6" t="n">
        <v>232</v>
      </c>
      <c r="AK204" s="6" t="n">
        <v>342.3</v>
      </c>
      <c r="AL204" s="26"/>
    </row>
    <row r="205" customFormat="false" ht="15" hidden="false" customHeight="false" outlineLevel="0" collapsed="false">
      <c r="A205" s="6" t="s">
        <v>1100</v>
      </c>
      <c r="B205" s="6" t="s">
        <v>1099</v>
      </c>
      <c r="C205" s="6" t="s">
        <v>3007</v>
      </c>
      <c r="D205" s="13" t="n">
        <v>156.495834350586</v>
      </c>
      <c r="E205" s="25" t="n">
        <v>5.06381034851074</v>
      </c>
      <c r="F205" s="25" t="n">
        <v>6.64091968536377</v>
      </c>
      <c r="G205" s="25" t="n">
        <v>12.341103553772</v>
      </c>
      <c r="H205" s="25" t="n">
        <v>1.40235638618469</v>
      </c>
      <c r="I205" s="25" t="n">
        <v>5.01357889175415</v>
      </c>
      <c r="J205" s="25" t="n">
        <v>7.2533798828125</v>
      </c>
      <c r="K205" s="25" t="n">
        <v>3.33687890625</v>
      </c>
      <c r="L205" s="25" t="n">
        <v>0.668635681152344</v>
      </c>
      <c r="M205" s="25" t="n">
        <v>23.7005462646484</v>
      </c>
      <c r="N205" s="25" t="n">
        <v>215.345245361328</v>
      </c>
      <c r="O205" s="25" t="n">
        <v>170.600982666016</v>
      </c>
      <c r="P205" s="25" t="n">
        <v>125.377151489258</v>
      </c>
      <c r="Q205" s="25" t="n">
        <v>97.3749542236328</v>
      </c>
      <c r="R205" s="25" t="n">
        <v>18.2895584106445</v>
      </c>
      <c r="S205" s="25" t="n">
        <v>0.620428740978241</v>
      </c>
      <c r="T205" s="25" t="n">
        <v>0.757276952266693</v>
      </c>
      <c r="U205" s="25" t="n">
        <v>0.0681059584021568</v>
      </c>
      <c r="V205" s="25" t="n">
        <v>4.73687028884888</v>
      </c>
      <c r="W205" s="25" t="n">
        <v>0.2400983273983</v>
      </c>
      <c r="X205" s="25" t="n">
        <v>92.1859359741211</v>
      </c>
      <c r="Y205" s="25" t="n">
        <v>2763.72778320313</v>
      </c>
      <c r="Z205" s="25" t="n">
        <v>0.657053649425507</v>
      </c>
      <c r="AA205" s="25" t="n">
        <v>13.5258512496948</v>
      </c>
      <c r="AB205" s="25" t="n">
        <v>11.886905670166</v>
      </c>
      <c r="AC205" s="25" t="n">
        <v>0.0395989827811718</v>
      </c>
      <c r="AD205" s="25" t="n">
        <v>0.0704596266150475</v>
      </c>
      <c r="AE205" s="25" t="n">
        <v>0.448784202337265</v>
      </c>
      <c r="AF205" s="25" t="n">
        <v>0.281843155622482</v>
      </c>
      <c r="AG205" s="25" t="n">
        <v>0.0888663530349731</v>
      </c>
      <c r="AH205" s="25" t="n">
        <v>5.26185321807861</v>
      </c>
      <c r="AI205" s="25" t="n">
        <v>30.2982540130615</v>
      </c>
      <c r="AJ205" s="6" t="n">
        <v>259.3</v>
      </c>
      <c r="AK205" s="6" t="n">
        <v>405.9</v>
      </c>
      <c r="AL205" s="26"/>
    </row>
    <row r="206" customFormat="false" ht="15" hidden="false" customHeight="false" outlineLevel="0" collapsed="false">
      <c r="A206" s="6" t="s">
        <v>1095</v>
      </c>
      <c r="B206" s="6" t="s">
        <v>3273</v>
      </c>
      <c r="C206" s="6" t="s">
        <v>3007</v>
      </c>
      <c r="D206" s="13" t="n">
        <v>145.607803344727</v>
      </c>
      <c r="E206" s="25" t="n">
        <v>6.98654699325562</v>
      </c>
      <c r="F206" s="25" t="n">
        <v>9.7016191482544</v>
      </c>
      <c r="G206" s="25" t="n">
        <v>8.80921173095703</v>
      </c>
      <c r="H206" s="25" t="n">
        <v>1.49791634082794</v>
      </c>
      <c r="I206" s="25" t="n">
        <v>7.48727941513062</v>
      </c>
      <c r="J206" s="25" t="n">
        <v>5.25802490234375</v>
      </c>
      <c r="K206" s="25" t="n">
        <v>2.3782646484375</v>
      </c>
      <c r="L206" s="25" t="n">
        <v>0.392416809082031</v>
      </c>
      <c r="M206" s="25" t="n">
        <v>9.90496921539307</v>
      </c>
      <c r="N206" s="25" t="n">
        <v>151.448348999023</v>
      </c>
      <c r="O206" s="25" t="n">
        <v>158.341674804688</v>
      </c>
      <c r="P206" s="25" t="n">
        <v>170.587966918945</v>
      </c>
      <c r="Q206" s="25" t="n">
        <v>126.575073242188</v>
      </c>
      <c r="R206" s="25" t="n">
        <v>23.0134353637695</v>
      </c>
      <c r="S206" s="25" t="n">
        <v>0.847585916519165</v>
      </c>
      <c r="T206" s="25" t="n">
        <v>1.05560493469238</v>
      </c>
      <c r="U206" s="25" t="n">
        <v>0.0902066454291344</v>
      </c>
      <c r="V206" s="25" t="n">
        <v>7.44584274291992</v>
      </c>
      <c r="W206" s="25" t="n">
        <v>0.405502259731293</v>
      </c>
      <c r="X206" s="25" t="n">
        <v>45.9404296875</v>
      </c>
      <c r="Y206" s="25" t="n">
        <v>2146.71557617188</v>
      </c>
      <c r="Z206" s="25" t="n">
        <v>0.200073659420013</v>
      </c>
      <c r="AA206" s="25" t="n">
        <v>12.8846530914307</v>
      </c>
      <c r="AB206" s="25" t="n">
        <v>11.4926195144653</v>
      </c>
      <c r="AC206" s="25" t="n">
        <v>0.0352850928902626</v>
      </c>
      <c r="AD206" s="25" t="n">
        <v>0.058497991412878</v>
      </c>
      <c r="AE206" s="25" t="n">
        <v>0.358947306871414</v>
      </c>
      <c r="AF206" s="25" t="n">
        <v>0.305759608745575</v>
      </c>
      <c r="AG206" s="25" t="n">
        <v>0.082976907491684</v>
      </c>
      <c r="AH206" s="25" t="n">
        <v>7.71450042724609</v>
      </c>
      <c r="AI206" s="25" t="n">
        <v>41.3246536254883</v>
      </c>
      <c r="AJ206" s="6" t="n">
        <v>156.8</v>
      </c>
      <c r="AK206" s="6" t="n">
        <v>228.3</v>
      </c>
      <c r="AL206" s="26"/>
    </row>
    <row r="207" customFormat="false" ht="15" hidden="false" customHeight="false" outlineLevel="0" collapsed="false">
      <c r="A207" s="6" t="s">
        <v>1129</v>
      </c>
      <c r="B207" s="6" t="s">
        <v>1128</v>
      </c>
      <c r="C207" s="6" t="s">
        <v>3007</v>
      </c>
      <c r="D207" s="13" t="n">
        <v>194.977844238281</v>
      </c>
      <c r="E207" s="25" t="n">
        <v>7.34094381332398</v>
      </c>
      <c r="F207" s="25" t="n">
        <v>8.15017414093018</v>
      </c>
      <c r="G207" s="25" t="n">
        <v>14.7587842941284</v>
      </c>
      <c r="H207" s="25" t="n">
        <v>1.47246289253235</v>
      </c>
      <c r="I207" s="25" t="n">
        <v>6.0012149810791</v>
      </c>
      <c r="J207" s="25" t="n">
        <v>5.46256591796875</v>
      </c>
      <c r="K207" s="25" t="n">
        <v>3.67143896484375</v>
      </c>
      <c r="L207" s="25" t="n">
        <v>4.730849609375</v>
      </c>
      <c r="M207" s="25" t="n">
        <v>7.11053657531738</v>
      </c>
      <c r="N207" s="25" t="n">
        <v>221.160308837891</v>
      </c>
      <c r="O207" s="25" t="n">
        <v>125.717514038086</v>
      </c>
      <c r="P207" s="25" t="n">
        <v>183.957595825195</v>
      </c>
      <c r="Q207" s="25" t="n">
        <v>135.39909362793</v>
      </c>
      <c r="R207" s="25" t="n">
        <v>22.0791206359863</v>
      </c>
      <c r="S207" s="25" t="n">
        <v>0.768196523189545</v>
      </c>
      <c r="T207" s="25" t="n">
        <v>1.0556173324585</v>
      </c>
      <c r="U207" s="25" t="n">
        <v>0.0941176488995552</v>
      </c>
      <c r="V207" s="25" t="n">
        <v>6.58758878707886</v>
      </c>
      <c r="W207" s="25" t="n">
        <v>0.445914685726166</v>
      </c>
      <c r="X207" s="25" t="n">
        <v>37.6212005615234</v>
      </c>
      <c r="Y207" s="25" t="n">
        <v>602.56787109375</v>
      </c>
      <c r="Z207" s="25" t="n">
        <v>3.60959267616272</v>
      </c>
      <c r="AA207" s="25" t="n">
        <v>17.2031021118164</v>
      </c>
      <c r="AB207" s="25" t="n">
        <v>7.03167390823364</v>
      </c>
      <c r="AC207" s="25" t="n">
        <v>0.0574919208884239</v>
      </c>
      <c r="AD207" s="25" t="n">
        <v>0.0903038159012795</v>
      </c>
      <c r="AE207" s="25" t="n">
        <v>0.275772482156754</v>
      </c>
      <c r="AF207" s="25" t="n">
        <v>0.38521009683609</v>
      </c>
      <c r="AG207" s="25" t="n">
        <v>0.0690368413925171</v>
      </c>
      <c r="AH207" s="25" t="n">
        <v>7.22593450546265</v>
      </c>
      <c r="AI207" s="25" t="n">
        <v>38.1953964233398</v>
      </c>
      <c r="AJ207" s="6" t="n">
        <v>193.4</v>
      </c>
      <c r="AK207" s="6" t="n">
        <v>377</v>
      </c>
      <c r="AL207" s="26"/>
    </row>
    <row r="208" customFormat="false" ht="15" hidden="false" customHeight="false" outlineLevel="0" collapsed="false">
      <c r="A208" s="6" t="s">
        <v>1789</v>
      </c>
      <c r="B208" s="6" t="s">
        <v>3274</v>
      </c>
      <c r="C208" s="6" t="s">
        <v>3007</v>
      </c>
      <c r="D208" s="13" t="n">
        <v>777.513732910156</v>
      </c>
      <c r="E208" s="25" t="n">
        <v>2.10215473175049</v>
      </c>
      <c r="F208" s="25" t="n">
        <v>3.30704760551453</v>
      </c>
      <c r="G208" s="25" t="n">
        <v>84.0110168457031</v>
      </c>
      <c r="H208" s="25" t="n">
        <v>0.500561654567719</v>
      </c>
      <c r="I208" s="25" t="n">
        <v>1.50392162799835</v>
      </c>
      <c r="J208" s="25" t="n">
        <v>10.750478515625</v>
      </c>
      <c r="K208" s="25" t="n">
        <v>17.529384765625</v>
      </c>
      <c r="L208" s="25" t="n">
        <v>52.20883203125</v>
      </c>
      <c r="M208" s="25" t="n">
        <v>0.33683642745018</v>
      </c>
      <c r="N208" s="25" t="n">
        <v>89.0409698486328</v>
      </c>
      <c r="O208" s="25" t="n">
        <v>54.2491912841797</v>
      </c>
      <c r="P208" s="25" t="n">
        <v>42.9044380187988</v>
      </c>
      <c r="Q208" s="25" t="n">
        <v>38.6172981262207</v>
      </c>
      <c r="R208" s="25" t="n">
        <v>8.81430339813232</v>
      </c>
      <c r="S208" s="25" t="n">
        <v>0.355399996042252</v>
      </c>
      <c r="T208" s="25" t="n">
        <v>0.320616245269775</v>
      </c>
      <c r="U208" s="25" t="n">
        <v>0.0508668497204781</v>
      </c>
      <c r="V208" s="25" t="n">
        <v>2.30974173545837</v>
      </c>
      <c r="W208" s="25" t="n">
        <v>0.0586752220988274</v>
      </c>
      <c r="X208" s="25" t="n">
        <v>0.875774681568146</v>
      </c>
      <c r="Y208" s="25" t="n">
        <v>1217.75451660156</v>
      </c>
      <c r="Z208" s="25" t="n">
        <v>40.5400199890137</v>
      </c>
      <c r="AA208" s="25" t="n">
        <v>8.61963558197022</v>
      </c>
      <c r="AB208" s="25" t="n">
        <v>1.64003896713257</v>
      </c>
      <c r="AC208" s="25" t="n">
        <v>0.0187889039516449</v>
      </c>
      <c r="AD208" s="25" t="n">
        <v>0.0221567638218403</v>
      </c>
      <c r="AE208" s="25" t="n">
        <v>0.17531730234623</v>
      </c>
      <c r="AF208" s="25" t="n">
        <v>0.0790928974747658</v>
      </c>
      <c r="AG208" s="25" t="n">
        <v>0.0210298765450716</v>
      </c>
      <c r="AH208" s="25" t="n">
        <v>1.86808013916016</v>
      </c>
      <c r="AI208" s="25" t="n">
        <v>9.66775226593018</v>
      </c>
      <c r="AJ208" s="6" t="n">
        <v>296.9</v>
      </c>
      <c r="AK208" s="6" t="n">
        <v>2308.3</v>
      </c>
      <c r="AL208" s="26" t="s">
        <v>3146</v>
      </c>
    </row>
    <row r="209" customFormat="false" ht="15" hidden="false" customHeight="false" outlineLevel="0" collapsed="false">
      <c r="A209" s="6" t="s">
        <v>3275</v>
      </c>
      <c r="B209" s="6" t="s">
        <v>3276</v>
      </c>
      <c r="C209" s="6" t="s">
        <v>3007</v>
      </c>
      <c r="D209" s="13" t="n">
        <v>775.816162109375</v>
      </c>
      <c r="E209" s="25" t="n">
        <v>3.24210047721863</v>
      </c>
      <c r="F209" s="25" t="n">
        <v>4.63198518753052</v>
      </c>
      <c r="G209" s="25" t="n">
        <v>82.7578582763672</v>
      </c>
      <c r="H209" s="25" t="n">
        <v>0.209785833954811</v>
      </c>
      <c r="I209" s="25" t="n">
        <v>1.84112846851349</v>
      </c>
      <c r="J209" s="25" t="n">
        <v>11.2312470703125</v>
      </c>
      <c r="K209" s="25" t="n">
        <v>17.61340625</v>
      </c>
      <c r="L209" s="25" t="n">
        <v>50.40381640625</v>
      </c>
      <c r="M209" s="25" t="n">
        <v>1.58484351634979</v>
      </c>
      <c r="N209" s="25" t="n">
        <v>77.0066299438477</v>
      </c>
      <c r="O209" s="25" t="n">
        <v>95.3945617675781</v>
      </c>
      <c r="P209" s="25" t="n">
        <v>72.8929138183594</v>
      </c>
      <c r="Q209" s="25" t="n">
        <v>81.4026031494141</v>
      </c>
      <c r="R209" s="25" t="n">
        <v>20.5057010650635</v>
      </c>
      <c r="S209" s="25" t="n">
        <v>0.553369045257568</v>
      </c>
      <c r="T209" s="25" t="n">
        <v>0.503756165504456</v>
      </c>
      <c r="U209" s="25" t="n">
        <v>0.0922158136963844</v>
      </c>
      <c r="V209" s="25" t="n">
        <v>3.76444816589356</v>
      </c>
      <c r="W209" s="25" t="n">
        <v>0.156474456191063</v>
      </c>
      <c r="X209" s="25" t="n">
        <v>6.77429962158203</v>
      </c>
      <c r="Y209" s="25" t="n">
        <v>89.58447265625</v>
      </c>
      <c r="Z209" s="25" t="n">
        <v>38.9827423095703</v>
      </c>
      <c r="AA209" s="25" t="n">
        <v>6.30093908309937</v>
      </c>
      <c r="AB209" s="25" t="n">
        <v>0.105831958353519</v>
      </c>
      <c r="AC209" s="25" t="n">
        <v>0.0500164739787579</v>
      </c>
      <c r="AD209" s="25" t="n">
        <v>0.0240856669843197</v>
      </c>
      <c r="AE209" s="25" t="n">
        <v>0.130584836006165</v>
      </c>
      <c r="AF209" s="25" t="n">
        <v>0.126037895679474</v>
      </c>
      <c r="AG209" s="25" t="n">
        <v>0.0351400338113308</v>
      </c>
      <c r="AH209" s="25" t="n">
        <v>2.5346212387085</v>
      </c>
      <c r="AI209" s="25" t="n">
        <v>15.5281953811646</v>
      </c>
      <c r="AJ209" s="6" t="n">
        <v>607</v>
      </c>
      <c r="AK209" s="6" t="n">
        <v>4709.2</v>
      </c>
      <c r="AL209" s="26" t="s">
        <v>3146</v>
      </c>
    </row>
    <row r="210" customFormat="false" ht="15" hidden="false" customHeight="false" outlineLevel="0" collapsed="false">
      <c r="A210" s="6" t="s">
        <v>1105</v>
      </c>
      <c r="B210" s="6" t="s">
        <v>3277</v>
      </c>
      <c r="C210" s="6" t="s">
        <v>3007</v>
      </c>
      <c r="D210" s="13" t="n">
        <v>107.992485046387</v>
      </c>
      <c r="E210" s="25" t="n">
        <v>4.33295345306397</v>
      </c>
      <c r="F210" s="25" t="n">
        <v>7.34091138839722</v>
      </c>
      <c r="G210" s="25" t="n">
        <v>6.80746269226074</v>
      </c>
      <c r="H210" s="25" t="n">
        <v>2.06747579574585</v>
      </c>
      <c r="I210" s="25" t="n">
        <v>5.53889656066895</v>
      </c>
      <c r="J210" s="25" t="n">
        <v>1.95051501464844</v>
      </c>
      <c r="K210" s="25" t="n">
        <v>1.57497937011719</v>
      </c>
      <c r="L210" s="25" t="n">
        <v>2.86385375976563</v>
      </c>
      <c r="M210" s="25" t="n">
        <v>0</v>
      </c>
      <c r="N210" s="25" t="n">
        <v>144.330413818359</v>
      </c>
      <c r="O210" s="25" t="n">
        <v>290.806091308594</v>
      </c>
      <c r="P210" s="25" t="n">
        <v>91.5273208618164</v>
      </c>
      <c r="Q210" s="25" t="n">
        <v>80.6801910400391</v>
      </c>
      <c r="R210" s="25" t="n">
        <v>22.3997459411621</v>
      </c>
      <c r="S210" s="25" t="n">
        <v>0.64505672454834</v>
      </c>
      <c r="T210" s="25" t="n">
        <v>0.659479796886444</v>
      </c>
      <c r="U210" s="25" t="n">
        <v>0.119414389133453</v>
      </c>
      <c r="V210" s="25" t="n">
        <v>3.87352824211121</v>
      </c>
      <c r="W210" s="25" t="n">
        <v>0.23379310965538</v>
      </c>
      <c r="X210" s="25" t="n">
        <v>0</v>
      </c>
      <c r="Y210" s="25" t="n">
        <v>2379.68408203125</v>
      </c>
      <c r="Z210" s="25" t="n">
        <v>2.84287977218628</v>
      </c>
      <c r="AA210" s="25" t="n">
        <v>12.0142583847046</v>
      </c>
      <c r="AB210" s="25" t="n">
        <v>26.9782466888428</v>
      </c>
      <c r="AC210" s="25" t="n">
        <v>0.155733495950699</v>
      </c>
      <c r="AD210" s="25" t="n">
        <v>0.0462386459112167</v>
      </c>
      <c r="AE210" s="25" t="n">
        <v>0.798460721969605</v>
      </c>
      <c r="AF210" s="25" t="n">
        <v>0.251787960529327</v>
      </c>
      <c r="AG210" s="25" t="n">
        <v>0.115841321647167</v>
      </c>
      <c r="AH210" s="25" t="n">
        <v>5.52429103851318</v>
      </c>
      <c r="AI210" s="25" t="n">
        <v>36.813720703125</v>
      </c>
      <c r="AJ210" s="6" t="n">
        <v>318.1</v>
      </c>
      <c r="AK210" s="6" t="n">
        <v>343.6</v>
      </c>
      <c r="AL210" s="26"/>
    </row>
    <row r="211" customFormat="false" ht="15" hidden="false" customHeight="false" outlineLevel="0" collapsed="false">
      <c r="A211" s="6" t="s">
        <v>1377</v>
      </c>
      <c r="B211" s="6" t="s">
        <v>3278</v>
      </c>
      <c r="C211" s="6" t="s">
        <v>3007</v>
      </c>
      <c r="D211" s="13" t="n">
        <v>139.586074829102</v>
      </c>
      <c r="E211" s="25" t="n">
        <v>9.55864334106445</v>
      </c>
      <c r="F211" s="25" t="n">
        <v>4.92896890640259</v>
      </c>
      <c r="G211" s="25" t="n">
        <v>9.02152061462402</v>
      </c>
      <c r="H211" s="25" t="n">
        <v>2.07650232315064</v>
      </c>
      <c r="I211" s="25" t="n">
        <v>2.66107273101807</v>
      </c>
      <c r="J211" s="25" t="n">
        <v>0.622676879882813</v>
      </c>
      <c r="K211" s="25" t="n">
        <v>0.707048400878906</v>
      </c>
      <c r="L211" s="25" t="n">
        <v>1.80296142578125</v>
      </c>
      <c r="M211" s="25" t="n">
        <v>1.3982458114624</v>
      </c>
      <c r="N211" s="25" t="n">
        <v>204.311370849609</v>
      </c>
      <c r="O211" s="25" t="n">
        <v>294.042449951172</v>
      </c>
      <c r="P211" s="25" t="n">
        <v>112.326393127441</v>
      </c>
      <c r="Q211" s="25" t="n">
        <v>106.869537353516</v>
      </c>
      <c r="R211" s="25" t="n">
        <v>20.9954490661621</v>
      </c>
      <c r="S211" s="25" t="n">
        <v>1.76719582080841</v>
      </c>
      <c r="T211" s="25" t="n">
        <v>0.299277573823929</v>
      </c>
      <c r="U211" s="25" t="n">
        <v>0.0770348682999611</v>
      </c>
      <c r="V211" s="25" t="n">
        <v>0.779218673706055</v>
      </c>
      <c r="W211" s="25" t="n">
        <v>0.706001877784729</v>
      </c>
      <c r="X211" s="25" t="n">
        <v>3.55917096138001</v>
      </c>
      <c r="Y211" s="25" t="n">
        <v>2383.1650390625</v>
      </c>
      <c r="Z211" s="25" t="n">
        <v>1.34676504135132</v>
      </c>
      <c r="AA211" s="25" t="n">
        <v>13.334059715271</v>
      </c>
      <c r="AB211" s="25" t="n">
        <v>5.26004791259766</v>
      </c>
      <c r="AC211" s="25" t="n">
        <v>0.114825643599033</v>
      </c>
      <c r="AD211" s="25" t="n">
        <v>0.118353456258774</v>
      </c>
      <c r="AE211" s="25" t="n">
        <v>3.2163565158844</v>
      </c>
      <c r="AF211" s="25" t="n">
        <v>0.187749683856964</v>
      </c>
      <c r="AG211" s="25" t="n">
        <v>0.0704804882407188</v>
      </c>
      <c r="AH211" s="25" t="n">
        <v>1.17548274993897</v>
      </c>
      <c r="AI211" s="25" t="n">
        <v>15.3964986801148</v>
      </c>
      <c r="AJ211" s="6" t="n">
        <v>236</v>
      </c>
      <c r="AK211" s="6" t="n">
        <v>329.4</v>
      </c>
      <c r="AL211" s="26"/>
    </row>
    <row r="212" customFormat="false" ht="15" hidden="false" customHeight="false" outlineLevel="0" collapsed="false">
      <c r="A212" s="6" t="s">
        <v>3279</v>
      </c>
      <c r="B212" s="6" t="s">
        <v>3280</v>
      </c>
      <c r="C212" s="6" t="s">
        <v>3007</v>
      </c>
      <c r="D212" s="13" t="n">
        <v>80.3238830566406</v>
      </c>
      <c r="E212" s="25" t="n">
        <v>5.74254703521729</v>
      </c>
      <c r="F212" s="25" t="n">
        <v>3.44804811477661</v>
      </c>
      <c r="G212" s="25" t="n">
        <v>4.71012735366821</v>
      </c>
      <c r="H212" s="25" t="n">
        <v>2.2326192855835</v>
      </c>
      <c r="I212" s="25" t="n">
        <v>1.41569066047669</v>
      </c>
      <c r="J212" s="25" t="n">
        <v>0.396510284423828</v>
      </c>
      <c r="K212" s="25" t="n">
        <v>0.365379302978516</v>
      </c>
      <c r="L212" s="25" t="n">
        <v>1.02727709960938</v>
      </c>
      <c r="M212" s="25" t="n">
        <v>0.678998351097107</v>
      </c>
      <c r="N212" s="25" t="n">
        <v>121.102500915527</v>
      </c>
      <c r="O212" s="25" t="n">
        <v>464.284606933594</v>
      </c>
      <c r="P212" s="25" t="n">
        <v>96.8758926391602</v>
      </c>
      <c r="Q212" s="25" t="n">
        <v>68.6606826782227</v>
      </c>
      <c r="R212" s="25" t="n">
        <v>54.9322776794434</v>
      </c>
      <c r="S212" s="25" t="n">
        <v>2.3756217956543</v>
      </c>
      <c r="T212" s="25" t="n">
        <v>0.3819520175457</v>
      </c>
      <c r="U212" s="25" t="n">
        <v>0.12485545873642</v>
      </c>
      <c r="V212" s="25" t="n">
        <v>1.45347499847412</v>
      </c>
      <c r="W212" s="25" t="n">
        <v>0.918959498405457</v>
      </c>
      <c r="X212" s="25" t="n">
        <v>1.72835946083069</v>
      </c>
      <c r="Y212" s="25" t="n">
        <v>6071.27587890625</v>
      </c>
      <c r="Z212" s="25" t="n">
        <v>1.31756544113159</v>
      </c>
      <c r="AA212" s="25" t="n">
        <v>173.652740478516</v>
      </c>
      <c r="AB212" s="25" t="n">
        <v>18.1301288604736</v>
      </c>
      <c r="AC212" s="25" t="n">
        <v>0.138062998652458</v>
      </c>
      <c r="AD212" s="25" t="n">
        <v>0.108912572264671</v>
      </c>
      <c r="AE212" s="25" t="n">
        <v>1.7316358089447</v>
      </c>
      <c r="AF212" s="25" t="n">
        <v>0.204339012503624</v>
      </c>
      <c r="AG212" s="25" t="n">
        <v>0.111384741961956</v>
      </c>
      <c r="AH212" s="25" t="n">
        <v>2.70040893554688</v>
      </c>
      <c r="AI212" s="25" t="n">
        <v>80.5204162597656</v>
      </c>
      <c r="AJ212" s="6" t="n">
        <v>486</v>
      </c>
      <c r="AK212" s="6" t="n">
        <v>390.4</v>
      </c>
      <c r="AL212" s="26"/>
    </row>
    <row r="213" customFormat="false" ht="15" hidden="false" customHeight="false" outlineLevel="0" collapsed="false">
      <c r="A213" s="6" t="s">
        <v>1388</v>
      </c>
      <c r="B213" s="6" t="s">
        <v>3281</v>
      </c>
      <c r="C213" s="6" t="s">
        <v>3007</v>
      </c>
      <c r="D213" s="13" t="n">
        <v>133.002975463867</v>
      </c>
      <c r="E213" s="25" t="n">
        <v>8.4330997467041</v>
      </c>
      <c r="F213" s="25" t="n">
        <v>6.24013805389404</v>
      </c>
      <c r="G213" s="25" t="n">
        <v>8.13755893707275</v>
      </c>
      <c r="H213" s="25" t="n">
        <v>2.95956087112427</v>
      </c>
      <c r="I213" s="25" t="n">
        <v>1.81795167922974</v>
      </c>
      <c r="J213" s="25" t="n">
        <v>2.4012001953125</v>
      </c>
      <c r="K213" s="25" t="n">
        <v>2.41169995117188</v>
      </c>
      <c r="L213" s="25" t="n">
        <v>2.74826708984375</v>
      </c>
      <c r="M213" s="25" t="n">
        <v>22.8746757507324</v>
      </c>
      <c r="N213" s="25" t="n">
        <v>148.376129150391</v>
      </c>
      <c r="O213" s="25" t="n">
        <v>252.627349853516</v>
      </c>
      <c r="P213" s="25" t="n">
        <v>35.6047134399414</v>
      </c>
      <c r="Q213" s="25" t="n">
        <v>89.7510528564453</v>
      </c>
      <c r="R213" s="25" t="n">
        <v>27.2855949401856</v>
      </c>
      <c r="S213" s="25" t="n">
        <v>1.35038387775421</v>
      </c>
      <c r="T213" s="25" t="n">
        <v>1.48342847824097</v>
      </c>
      <c r="U213" s="25" t="n">
        <v>0.122435212135315</v>
      </c>
      <c r="V213" s="25" t="n">
        <v>1.24117875099182</v>
      </c>
      <c r="W213" s="25" t="n">
        <v>0.537576735019684</v>
      </c>
      <c r="X213" s="25" t="n">
        <v>2.67574095726013</v>
      </c>
      <c r="Y213" s="25" t="n">
        <v>1356.00903320313</v>
      </c>
      <c r="Z213" s="25" t="n">
        <v>2.10379862785339</v>
      </c>
      <c r="AA213" s="25" t="n">
        <v>19.9946823120117</v>
      </c>
      <c r="AB213" s="25" t="n">
        <v>16.1775417327881</v>
      </c>
      <c r="AC213" s="25" t="n">
        <v>0.132142916321755</v>
      </c>
      <c r="AD213" s="25" t="n">
        <v>0.0824802964925766</v>
      </c>
      <c r="AE213" s="25" t="n">
        <v>1.94737839698792</v>
      </c>
      <c r="AF213" s="25" t="n">
        <v>0.570224225521088</v>
      </c>
      <c r="AG213" s="25" t="n">
        <v>0.156517758965492</v>
      </c>
      <c r="AH213" s="25" t="n">
        <v>2.47722601890564</v>
      </c>
      <c r="AI213" s="25" t="n">
        <v>24.7611904144287</v>
      </c>
      <c r="AJ213" s="6" t="n">
        <v>343.8</v>
      </c>
      <c r="AK213" s="6" t="n">
        <v>457.3</v>
      </c>
      <c r="AL213" s="26"/>
    </row>
    <row r="214" customFormat="false" ht="15" hidden="false" customHeight="false" outlineLevel="0" collapsed="false">
      <c r="A214" s="6" t="s">
        <v>3282</v>
      </c>
      <c r="B214" s="6" t="s">
        <v>3283</v>
      </c>
      <c r="C214" s="6" t="s">
        <v>3284</v>
      </c>
      <c r="D214" s="13" t="n">
        <v>154.45361328125</v>
      </c>
      <c r="E214" s="25" t="n">
        <v>9.76963424682617</v>
      </c>
      <c r="F214" s="25" t="n">
        <v>5.64465522766113</v>
      </c>
      <c r="G214" s="25" t="n">
        <v>10.388391494751</v>
      </c>
      <c r="H214" s="25" t="n">
        <v>1.50729870796204</v>
      </c>
      <c r="I214" s="25" t="n">
        <v>2.13759851455689</v>
      </c>
      <c r="J214" s="25" t="n">
        <v>3.27304052734375</v>
      </c>
      <c r="K214" s="25" t="n">
        <v>3.229654296875</v>
      </c>
      <c r="L214" s="25" t="n">
        <v>2.99487280273438</v>
      </c>
      <c r="M214" s="25" t="n">
        <v>57.792366027832</v>
      </c>
      <c r="N214" s="25" t="n">
        <v>311.510803222656</v>
      </c>
      <c r="O214" s="25" t="n">
        <v>251.559417724609</v>
      </c>
      <c r="P214" s="25" t="n">
        <v>49.8857536315918</v>
      </c>
      <c r="Q214" s="25" t="n">
        <v>118.720008850098</v>
      </c>
      <c r="R214" s="25" t="n">
        <v>22.0657444000244</v>
      </c>
      <c r="S214" s="25" t="n">
        <v>1.2537237405777</v>
      </c>
      <c r="T214" s="25" t="n">
        <v>1.64836859703064</v>
      </c>
      <c r="U214" s="25" t="n">
        <v>0.0845450386404991</v>
      </c>
      <c r="V214" s="25" t="n">
        <v>4.44407081604004</v>
      </c>
      <c r="W214" s="25" t="n">
        <v>0.410852134227753</v>
      </c>
      <c r="X214" s="25" t="n">
        <v>19.4052867889404</v>
      </c>
      <c r="Y214" s="25" t="n">
        <v>1054.56921386719</v>
      </c>
      <c r="Z214" s="25" t="n">
        <v>2.26667547225952</v>
      </c>
      <c r="AA214" s="25" t="n">
        <v>8.1254301071167</v>
      </c>
      <c r="AB214" s="25" t="n">
        <v>5.86886072158814</v>
      </c>
      <c r="AC214" s="25" t="n">
        <v>0.0844385623931885</v>
      </c>
      <c r="AD214" s="25" t="n">
        <v>0.122563973069191</v>
      </c>
      <c r="AE214" s="25" t="n">
        <v>2.10812091827393</v>
      </c>
      <c r="AF214" s="25" t="n">
        <v>0.602912187576294</v>
      </c>
      <c r="AG214" s="25" t="n">
        <v>0.150205701589584</v>
      </c>
      <c r="AH214" s="25" t="n">
        <v>3.03564977645874</v>
      </c>
      <c r="AI214" s="25" t="n">
        <v>15.9807872772217</v>
      </c>
      <c r="AJ214" s="6" t="n">
        <v>41.3</v>
      </c>
      <c r="AK214" s="6" t="n">
        <v>63.8</v>
      </c>
      <c r="AL214" s="26"/>
    </row>
    <row r="215" customFormat="false" ht="15" hidden="false" customHeight="false" outlineLevel="0" collapsed="false">
      <c r="A215" s="6" t="s">
        <v>3285</v>
      </c>
      <c r="B215" s="6" t="s">
        <v>3286</v>
      </c>
      <c r="C215" s="6" t="s">
        <v>3287</v>
      </c>
      <c r="D215" s="13" t="n">
        <v>97.4245223999023</v>
      </c>
      <c r="E215" s="25" t="n">
        <v>6.33448696136475</v>
      </c>
      <c r="F215" s="25" t="n">
        <v>3.04121375083923</v>
      </c>
      <c r="G215" s="25" t="n">
        <v>6.76728916168213</v>
      </c>
      <c r="H215" s="25" t="n">
        <v>0.624586820602417</v>
      </c>
      <c r="I215" s="25" t="n">
        <v>2.1251871585846</v>
      </c>
      <c r="J215" s="25" t="n">
        <v>2.89649340820313</v>
      </c>
      <c r="K215" s="25" t="n">
        <v>2.19436694335938</v>
      </c>
      <c r="L215" s="25" t="n">
        <v>1.10267578125</v>
      </c>
      <c r="M215" s="25" t="n">
        <v>25.30712890625</v>
      </c>
      <c r="N215" s="25" t="n">
        <v>130.111267089844</v>
      </c>
      <c r="O215" s="25" t="n">
        <v>171.550445556641</v>
      </c>
      <c r="P215" s="25" t="n">
        <v>52.5341682434082</v>
      </c>
      <c r="Q215" s="25" t="n">
        <v>86.4317092895508</v>
      </c>
      <c r="R215" s="25" t="n">
        <v>15.8750104904175</v>
      </c>
      <c r="S215" s="25" t="n">
        <v>0.848565101623535</v>
      </c>
      <c r="T215" s="25" t="n">
        <v>1.14331877231598</v>
      </c>
      <c r="U215" s="25" t="n">
        <v>0.049849521368742</v>
      </c>
      <c r="V215" s="25" t="n">
        <v>0.949272274971008</v>
      </c>
      <c r="W215" s="25" t="n">
        <v>0.403984040021896</v>
      </c>
      <c r="X215" s="25" t="n">
        <v>18.0511474609375</v>
      </c>
      <c r="Y215" s="25" t="n">
        <v>49.8795318603516</v>
      </c>
      <c r="Z215" s="25" t="n">
        <v>0.791094481945038</v>
      </c>
      <c r="AA215" s="25" t="n">
        <v>1.14456045627594</v>
      </c>
      <c r="AB215" s="25" t="n">
        <v>1.05945241451263</v>
      </c>
      <c r="AC215" s="25" t="n">
        <v>0.0507244467735291</v>
      </c>
      <c r="AD215" s="25" t="n">
        <v>0.0969673544168472</v>
      </c>
      <c r="AE215" s="25" t="n">
        <v>1.41198909282684</v>
      </c>
      <c r="AF215" s="25" t="n">
        <v>0.364057242870331</v>
      </c>
      <c r="AG215" s="25" t="n">
        <v>0.0859962180256844</v>
      </c>
      <c r="AH215" s="25" t="n">
        <v>1.31816458702087</v>
      </c>
      <c r="AI215" s="25" t="n">
        <v>7.3882327079773</v>
      </c>
      <c r="AJ215" s="6" t="n">
        <v>304</v>
      </c>
      <c r="AK215" s="6" t="n">
        <v>296.2</v>
      </c>
      <c r="AL215" s="26"/>
    </row>
    <row r="216" customFormat="false" ht="15" hidden="false" customHeight="false" outlineLevel="0" collapsed="false">
      <c r="A216" s="6" t="s">
        <v>1396</v>
      </c>
      <c r="B216" s="6" t="s">
        <v>1394</v>
      </c>
      <c r="C216" s="6" t="s">
        <v>3007</v>
      </c>
      <c r="D216" s="13" t="n">
        <v>104.125045776367</v>
      </c>
      <c r="E216" s="25" t="n">
        <v>8.27232360839844</v>
      </c>
      <c r="F216" s="25" t="n">
        <v>0.842558681964874</v>
      </c>
      <c r="G216" s="25" t="n">
        <v>7.70028018951416</v>
      </c>
      <c r="H216" s="25" t="n">
        <v>0.672043919563294</v>
      </c>
      <c r="I216" s="25" t="n">
        <v>0.125328451395035</v>
      </c>
      <c r="J216" s="25" t="n">
        <v>0.239480941772461</v>
      </c>
      <c r="K216" s="25" t="n">
        <v>0.472147308349609</v>
      </c>
      <c r="L216" s="25" t="n">
        <v>1.13770837402344</v>
      </c>
      <c r="M216" s="25" t="n">
        <v>0</v>
      </c>
      <c r="N216" s="25" t="n">
        <v>101.017013549805</v>
      </c>
      <c r="O216" s="25" t="n">
        <v>154.302169799805</v>
      </c>
      <c r="P216" s="25" t="n">
        <v>88.6086578369141</v>
      </c>
      <c r="Q216" s="25" t="n">
        <v>72.0122528076172</v>
      </c>
      <c r="R216" s="25" t="n">
        <v>8.53844451904297</v>
      </c>
      <c r="S216" s="25" t="n">
        <v>1.65937972068787</v>
      </c>
      <c r="T216" s="25" t="n">
        <v>0.10284298658371</v>
      </c>
      <c r="U216" s="25" t="n">
        <v>0.0229076035320759</v>
      </c>
      <c r="V216" s="25" t="n">
        <v>0.12089166790247</v>
      </c>
      <c r="W216" s="25" t="n">
        <v>0.713665723800659</v>
      </c>
      <c r="X216" s="25" t="n">
        <v>0</v>
      </c>
      <c r="Y216" s="25" t="n">
        <v>19.191255569458</v>
      </c>
      <c r="Z216" s="25" t="n">
        <v>0.860284268856049</v>
      </c>
      <c r="AA216" s="25" t="n">
        <v>1.4118242263794</v>
      </c>
      <c r="AB216" s="25" t="n">
        <v>0.0387680381536484</v>
      </c>
      <c r="AC216" s="25" t="n">
        <v>0.0869437903165817</v>
      </c>
      <c r="AD216" s="25" t="n">
        <v>0.0667585581541061</v>
      </c>
      <c r="AE216" s="25" t="n">
        <v>3.06590580940247</v>
      </c>
      <c r="AF216" s="25" t="n">
        <v>0.0108981262892485</v>
      </c>
      <c r="AG216" s="25" t="n">
        <v>0.00697824684903026</v>
      </c>
      <c r="AH216" s="25" t="n">
        <v>0.038746502250433</v>
      </c>
      <c r="AI216" s="25" t="n">
        <v>2.80529832839966</v>
      </c>
      <c r="AJ216" s="6" t="n">
        <v>232.1</v>
      </c>
      <c r="AK216" s="6" t="n">
        <v>241.7</v>
      </c>
      <c r="AL216" s="26"/>
    </row>
    <row r="217" customFormat="false" ht="15" hidden="false" customHeight="false" outlineLevel="0" collapsed="false">
      <c r="A217" s="6" t="s">
        <v>3288</v>
      </c>
      <c r="B217" s="6" t="s">
        <v>3289</v>
      </c>
      <c r="C217" s="6" t="s">
        <v>3007</v>
      </c>
      <c r="D217" s="13" t="n">
        <v>99.0019760131836</v>
      </c>
      <c r="E217" s="25" t="n">
        <v>10.6588144302368</v>
      </c>
      <c r="F217" s="25" t="n">
        <v>0.775728762149811</v>
      </c>
      <c r="G217" s="25" t="n">
        <v>6.09803676605225</v>
      </c>
      <c r="H217" s="25" t="n">
        <v>0.618738830089569</v>
      </c>
      <c r="I217" s="25" t="n">
        <v>0.115387663245201</v>
      </c>
      <c r="J217" s="25" t="n">
        <v>0.608826110839844</v>
      </c>
      <c r="K217" s="25" t="n">
        <v>0.906321594238281</v>
      </c>
      <c r="L217" s="25" t="n">
        <v>1.22212573242188</v>
      </c>
      <c r="M217" s="25" t="n">
        <v>29.2920875549316</v>
      </c>
      <c r="N217" s="25" t="n">
        <v>97.3829040527344</v>
      </c>
      <c r="O217" s="25" t="n">
        <v>175.376754760742</v>
      </c>
      <c r="P217" s="25" t="n">
        <v>28.235969543457</v>
      </c>
      <c r="Q217" s="25" t="n">
        <v>91.5234832763672</v>
      </c>
      <c r="R217" s="25" t="n">
        <v>17.4745197296143</v>
      </c>
      <c r="S217" s="25" t="n">
        <v>0.931290924549103</v>
      </c>
      <c r="T217" s="25" t="n">
        <v>0.465893298387528</v>
      </c>
      <c r="U217" s="25" t="n">
        <v>0.14958555996418</v>
      </c>
      <c r="V217" s="25" t="n">
        <v>8.94414043426514</v>
      </c>
      <c r="W217" s="25" t="n">
        <v>0.666577458381653</v>
      </c>
      <c r="X217" s="25" t="n">
        <v>3.31231427192688</v>
      </c>
      <c r="Y217" s="25" t="n">
        <v>14.09974193573</v>
      </c>
      <c r="Z217" s="25" t="n">
        <v>0.930061459541321</v>
      </c>
      <c r="AA217" s="25" t="n">
        <v>1.29984140396118</v>
      </c>
      <c r="AB217" s="25" t="n">
        <v>0.0356930382549763</v>
      </c>
      <c r="AC217" s="25" t="n">
        <v>0.0562522299587727</v>
      </c>
      <c r="AD217" s="25" t="n">
        <v>0.0344953387975693</v>
      </c>
      <c r="AE217" s="25" t="n">
        <v>3.96172904968262</v>
      </c>
      <c r="AF217" s="25" t="n">
        <v>0.557326972484589</v>
      </c>
      <c r="AG217" s="25" t="n">
        <v>0.258655548095703</v>
      </c>
      <c r="AH217" s="25" t="n">
        <v>1.99165189266205</v>
      </c>
      <c r="AI217" s="25" t="n">
        <v>5.25104093551636</v>
      </c>
      <c r="AJ217" s="6" t="n">
        <v>252.2</v>
      </c>
      <c r="AK217" s="6" t="n">
        <v>249.6</v>
      </c>
      <c r="AL217" s="26"/>
    </row>
    <row r="218" customFormat="false" ht="15" hidden="false" customHeight="false" outlineLevel="0" collapsed="false">
      <c r="A218" s="6" t="s">
        <v>3290</v>
      </c>
      <c r="B218" s="6" t="s">
        <v>3291</v>
      </c>
      <c r="C218" s="6" t="s">
        <v>3007</v>
      </c>
      <c r="D218" s="13" t="n">
        <v>183.304748535156</v>
      </c>
      <c r="E218" s="25" t="n">
        <v>9.38663387298584</v>
      </c>
      <c r="F218" s="25" t="n">
        <v>4.13677835464478</v>
      </c>
      <c r="G218" s="25" t="n">
        <v>14.4111089706421</v>
      </c>
      <c r="H218" s="25" t="n">
        <v>1.92655777931213</v>
      </c>
      <c r="I218" s="25" t="n">
        <v>2.90455937385559</v>
      </c>
      <c r="J218" s="25" t="n">
        <v>5.6489365234375</v>
      </c>
      <c r="K218" s="25" t="n">
        <v>2.96596044921875</v>
      </c>
      <c r="L218" s="25" t="n">
        <v>0.673418762207031</v>
      </c>
      <c r="M218" s="25" t="n">
        <v>77.8594207763672</v>
      </c>
      <c r="N218" s="25" t="n">
        <v>118.617492675781</v>
      </c>
      <c r="O218" s="25" t="n">
        <v>240.918685913086</v>
      </c>
      <c r="P218" s="25" t="n">
        <v>118.614128112793</v>
      </c>
      <c r="Q218" s="25" t="n">
        <v>120.409423828125</v>
      </c>
      <c r="R218" s="25" t="n">
        <v>18.3834495544434</v>
      </c>
      <c r="S218" s="25" t="n">
        <v>1.63477206230164</v>
      </c>
      <c r="T218" s="25" t="n">
        <v>0.503168702125549</v>
      </c>
      <c r="U218" s="25" t="n">
        <v>0.0683814585208893</v>
      </c>
      <c r="V218" s="25" t="n">
        <v>6.75558471679688</v>
      </c>
      <c r="W218" s="25" t="n">
        <v>0.518829762935638</v>
      </c>
      <c r="X218" s="25" t="n">
        <v>110.969604492188</v>
      </c>
      <c r="Y218" s="25" t="n">
        <v>357.265502929688</v>
      </c>
      <c r="Z218" s="25" t="n">
        <v>0.748183906078339</v>
      </c>
      <c r="AA218" s="25" t="n">
        <v>4.79484796524048</v>
      </c>
      <c r="AB218" s="25" t="n">
        <v>2.25398921966553</v>
      </c>
      <c r="AC218" s="25" t="n">
        <v>0.09226443618536</v>
      </c>
      <c r="AD218" s="25" t="n">
        <v>0.132522791624069</v>
      </c>
      <c r="AE218" s="25" t="n">
        <v>2.28034949302673</v>
      </c>
      <c r="AF218" s="25" t="n">
        <v>0.406922489404678</v>
      </c>
      <c r="AG218" s="25" t="n">
        <v>0.0806155055761337</v>
      </c>
      <c r="AH218" s="25" t="n">
        <v>3.92879939079285</v>
      </c>
      <c r="AI218" s="25" t="n">
        <v>20.4558963775635</v>
      </c>
      <c r="AJ218" s="6" t="n">
        <v>329</v>
      </c>
      <c r="AK218" s="6" t="n">
        <v>603.1</v>
      </c>
      <c r="AL218" s="26"/>
    </row>
    <row r="219" customFormat="false" ht="15" hidden="false" customHeight="false" outlineLevel="0" collapsed="false">
      <c r="A219" s="6" t="s">
        <v>3292</v>
      </c>
      <c r="B219" s="6" t="s">
        <v>3293</v>
      </c>
      <c r="C219" s="6" t="s">
        <v>3294</v>
      </c>
      <c r="D219" s="13" t="n">
        <v>663.637512207031</v>
      </c>
      <c r="E219" s="25" t="n">
        <v>4.02982759475708</v>
      </c>
      <c r="F219" s="25" t="n">
        <v>1.479083776474</v>
      </c>
      <c r="G219" s="25" t="n">
        <v>71.314826965332</v>
      </c>
      <c r="H219" s="25" t="n">
        <v>0.172312840819359</v>
      </c>
      <c r="I219" s="25" t="n">
        <v>0.416715562343597</v>
      </c>
      <c r="J219" s="25" t="n">
        <v>8.39057421875</v>
      </c>
      <c r="K219" s="25" t="n">
        <v>14.2166943359375</v>
      </c>
      <c r="L219" s="25" t="n">
        <v>43.50675390625</v>
      </c>
      <c r="M219" s="25" t="n">
        <v>13.3210344314575</v>
      </c>
      <c r="N219" s="25" t="n">
        <v>51.0334930419922</v>
      </c>
      <c r="O219" s="25" t="n">
        <v>70.5571365356445</v>
      </c>
      <c r="P219" s="25" t="n">
        <v>36.1777381896973</v>
      </c>
      <c r="Q219" s="25" t="n">
        <v>39.6496658325195</v>
      </c>
      <c r="R219" s="25" t="n">
        <v>2.3205201625824</v>
      </c>
      <c r="S219" s="25" t="n">
        <v>0.635850250720978</v>
      </c>
      <c r="T219" s="25" t="n">
        <v>0.0907836705446243</v>
      </c>
      <c r="U219" s="25" t="n">
        <v>0.0162427965551615</v>
      </c>
      <c r="V219" s="25" t="n">
        <v>1.67223238945007</v>
      </c>
      <c r="W219" s="25" t="n">
        <v>0.0351745374500752</v>
      </c>
      <c r="X219" s="25" t="n">
        <v>7.67943716049194</v>
      </c>
      <c r="Y219" s="25" t="n">
        <v>23.114387512207</v>
      </c>
      <c r="Z219" s="25" t="n">
        <v>33.8454093933106</v>
      </c>
      <c r="AA219" s="25" t="n">
        <v>4.6197657585144</v>
      </c>
      <c r="AB219" s="25" t="n">
        <v>1.07222545146942</v>
      </c>
      <c r="AC219" s="25" t="n">
        <v>0.0411526300013065</v>
      </c>
      <c r="AD219" s="25" t="n">
        <v>0.0398555621504784</v>
      </c>
      <c r="AE219" s="25" t="n">
        <v>1.22800552845001</v>
      </c>
      <c r="AF219" s="25" t="n">
        <v>0.0778980925679207</v>
      </c>
      <c r="AG219" s="25" t="n">
        <v>0.0168332681059837</v>
      </c>
      <c r="AH219" s="25" t="n">
        <v>0.774530410766602</v>
      </c>
      <c r="AI219" s="25" t="n">
        <v>4.76941871643066</v>
      </c>
      <c r="AJ219" s="6" t="n">
        <v>349.6</v>
      </c>
      <c r="AK219" s="6" t="n">
        <v>2320.3</v>
      </c>
      <c r="AL219" s="26" t="s">
        <v>3146</v>
      </c>
    </row>
    <row r="220" customFormat="false" ht="15" hidden="false" customHeight="false" outlineLevel="0" collapsed="false">
      <c r="A220" s="6" t="s">
        <v>1555</v>
      </c>
      <c r="B220" s="6" t="s">
        <v>3295</v>
      </c>
      <c r="C220" s="6" t="s">
        <v>3296</v>
      </c>
      <c r="D220" s="13" t="n">
        <v>685.690856933594</v>
      </c>
      <c r="E220" s="25" t="n">
        <v>4.51656866073608</v>
      </c>
      <c r="F220" s="25" t="n">
        <v>3.53739333152771</v>
      </c>
      <c r="G220" s="25" t="n">
        <v>72.6078491210938</v>
      </c>
      <c r="H220" s="25" t="n">
        <v>1.04999601840973</v>
      </c>
      <c r="I220" s="25" t="n">
        <v>0.314792424440384</v>
      </c>
      <c r="J220" s="25" t="n">
        <v>9.45358984375</v>
      </c>
      <c r="K220" s="25" t="n">
        <v>15.312341796875</v>
      </c>
      <c r="L220" s="25" t="n">
        <v>44.62143359375</v>
      </c>
      <c r="M220" s="25" t="n">
        <v>24.6046466827393</v>
      </c>
      <c r="N220" s="25" t="n">
        <v>54.2741661071777</v>
      </c>
      <c r="O220" s="25" t="n">
        <v>110.916961669922</v>
      </c>
      <c r="P220" s="25" t="n">
        <v>13.1132154464722</v>
      </c>
      <c r="Q220" s="25" t="n">
        <v>53.0798988342285</v>
      </c>
      <c r="R220" s="25" t="n">
        <v>11.0312700271606</v>
      </c>
      <c r="S220" s="25" t="n">
        <v>0.745221436023712</v>
      </c>
      <c r="T220" s="25" t="n">
        <v>0.754490435123444</v>
      </c>
      <c r="U220" s="25" t="n">
        <v>0.0684971436858177</v>
      </c>
      <c r="V220" s="25" t="n">
        <v>4.17531633377075</v>
      </c>
      <c r="W220" s="25" t="n">
        <v>0.214296981692314</v>
      </c>
      <c r="X220" s="25" t="n">
        <v>7.95817947387695</v>
      </c>
      <c r="Y220" s="25" t="n">
        <v>73.5728378295898</v>
      </c>
      <c r="Z220" s="25" t="n">
        <v>34.5978317260742</v>
      </c>
      <c r="AA220" s="25" t="n">
        <v>5.331627368927</v>
      </c>
      <c r="AB220" s="25" t="n">
        <v>0.958014309406281</v>
      </c>
      <c r="AC220" s="25" t="n">
        <v>0.0427503176033497</v>
      </c>
      <c r="AD220" s="25" t="n">
        <v>0.0438505932688713</v>
      </c>
      <c r="AE220" s="25" t="n">
        <v>0.848634898662567</v>
      </c>
      <c r="AF220" s="25" t="n">
        <v>0.272718340158463</v>
      </c>
      <c r="AG220" s="25" t="n">
        <v>0.0546486005187035</v>
      </c>
      <c r="AH220" s="25" t="n">
        <v>1.09424829483032</v>
      </c>
      <c r="AI220" s="25" t="n">
        <v>12.0006456375122</v>
      </c>
      <c r="AJ220" s="6" t="n">
        <v>171.2</v>
      </c>
      <c r="AK220" s="6" t="n">
        <v>1174</v>
      </c>
      <c r="AL220" s="26" t="s">
        <v>3100</v>
      </c>
    </row>
    <row r="221" customFormat="false" ht="15" hidden="false" customHeight="false" outlineLevel="0" collapsed="false">
      <c r="A221" s="6" t="s">
        <v>3297</v>
      </c>
      <c r="B221" s="6" t="s">
        <v>3298</v>
      </c>
      <c r="C221" s="6" t="s">
        <v>3299</v>
      </c>
      <c r="D221" s="13" t="n">
        <v>676.892456054688</v>
      </c>
      <c r="E221" s="25" t="n">
        <v>4.05123138427734</v>
      </c>
      <c r="F221" s="25" t="n">
        <v>1.90788412094116</v>
      </c>
      <c r="G221" s="25" t="n">
        <v>72.6232299804688</v>
      </c>
      <c r="H221" s="25" t="n">
        <v>0.357799410820007</v>
      </c>
      <c r="I221" s="25" t="n">
        <v>0.29554745554924</v>
      </c>
      <c r="J221" s="25" t="n">
        <v>9.4401416015625</v>
      </c>
      <c r="K221" s="25" t="n">
        <v>15.3463623046875</v>
      </c>
      <c r="L221" s="25" t="n">
        <v>44.593109375</v>
      </c>
      <c r="M221" s="25" t="n">
        <v>48.5903244018555</v>
      </c>
      <c r="N221" s="25" t="n">
        <v>90.6740341186523</v>
      </c>
      <c r="O221" s="25" t="n">
        <v>72.3388290405273</v>
      </c>
      <c r="P221" s="25" t="n">
        <v>15.030348777771</v>
      </c>
      <c r="Q221" s="25" t="n">
        <v>48.3105201721191</v>
      </c>
      <c r="R221" s="25" t="n">
        <v>6.80454540252686</v>
      </c>
      <c r="S221" s="25" t="n">
        <v>0.597498953342438</v>
      </c>
      <c r="T221" s="25" t="n">
        <v>0.572155892848969</v>
      </c>
      <c r="U221" s="25" t="n">
        <v>0.0372164212167263</v>
      </c>
      <c r="V221" s="25" t="n">
        <v>4.85837888717651</v>
      </c>
      <c r="W221" s="25" t="n">
        <v>0.127115830779076</v>
      </c>
      <c r="X221" s="25" t="n">
        <v>22.4336051940918</v>
      </c>
      <c r="Y221" s="25" t="n">
        <v>82.2023010253906</v>
      </c>
      <c r="Z221" s="25" t="n">
        <v>34.7083702087402</v>
      </c>
      <c r="AA221" s="25" t="n">
        <v>6.03371381759644</v>
      </c>
      <c r="AB221" s="25" t="n">
        <v>0.756562888622284</v>
      </c>
      <c r="AC221" s="25" t="n">
        <v>0.0311105120927095</v>
      </c>
      <c r="AD221" s="25" t="n">
        <v>0.0480019263923168</v>
      </c>
      <c r="AE221" s="25" t="n">
        <v>0.615894496440888</v>
      </c>
      <c r="AF221" s="25" t="n">
        <v>0.287810534238815</v>
      </c>
      <c r="AG221" s="25" t="n">
        <v>0.0539792105555534</v>
      </c>
      <c r="AH221" s="25" t="n">
        <v>2.38788461685181</v>
      </c>
      <c r="AI221" s="25" t="n">
        <v>8.94304466247559</v>
      </c>
      <c r="AJ221" s="6" t="n">
        <v>342.5</v>
      </c>
      <c r="AK221" s="6" t="n">
        <v>2318.1</v>
      </c>
      <c r="AL221" s="26" t="s">
        <v>3146</v>
      </c>
    </row>
    <row r="222" customFormat="false" ht="15" hidden="false" customHeight="false" outlineLevel="0" collapsed="false">
      <c r="A222" s="6" t="s">
        <v>3300</v>
      </c>
      <c r="B222" s="6" t="s">
        <v>3301</v>
      </c>
      <c r="C222" s="6" t="s">
        <v>3302</v>
      </c>
      <c r="D222" s="13" t="n">
        <v>142.77653503418</v>
      </c>
      <c r="E222" s="25" t="n">
        <v>7.44898080825806</v>
      </c>
      <c r="F222" s="25" t="n">
        <v>8.05797481536865</v>
      </c>
      <c r="G222" s="25" t="n">
        <v>8.87830829620361</v>
      </c>
      <c r="H222" s="25" t="n">
        <v>1.04647564888001</v>
      </c>
      <c r="I222" s="25" t="n">
        <v>1.69868087768555</v>
      </c>
      <c r="J222" s="25" t="n">
        <v>4.2734921875</v>
      </c>
      <c r="K222" s="25" t="n">
        <v>2.82822583007813</v>
      </c>
      <c r="L222" s="25" t="n">
        <v>1.05216259765625</v>
      </c>
      <c r="M222" s="25" t="n">
        <v>33.3124580383301</v>
      </c>
      <c r="N222" s="25" t="n">
        <v>197.247222900391</v>
      </c>
      <c r="O222" s="25" t="n">
        <v>357.880737304688</v>
      </c>
      <c r="P222" s="25" t="n">
        <v>21.2971343994141</v>
      </c>
      <c r="Q222" s="25" t="n">
        <v>92.8127899169922</v>
      </c>
      <c r="R222" s="25" t="n">
        <v>20.3717517852783</v>
      </c>
      <c r="S222" s="25" t="n">
        <v>0.843111276626587</v>
      </c>
      <c r="T222" s="25" t="n">
        <v>1.35285806655884</v>
      </c>
      <c r="U222" s="25" t="n">
        <v>0.0820386409759522</v>
      </c>
      <c r="V222" s="25" t="n">
        <v>1.08403062820435</v>
      </c>
      <c r="W222" s="25" t="n">
        <v>0.0985343083739281</v>
      </c>
      <c r="X222" s="25" t="n">
        <v>36.1305809020996</v>
      </c>
      <c r="Y222" s="25" t="n">
        <v>139.255828857422</v>
      </c>
      <c r="Z222" s="25" t="n">
        <v>0.697328448295593</v>
      </c>
      <c r="AA222" s="25" t="n">
        <v>1.89433717727661</v>
      </c>
      <c r="AB222" s="25" t="n">
        <v>10.3111257553101</v>
      </c>
      <c r="AC222" s="25" t="n">
        <v>0.0873151272535324</v>
      </c>
      <c r="AD222" s="25" t="n">
        <v>0.0766355767846108</v>
      </c>
      <c r="AE222" s="25" t="n">
        <v>2.0994336605072</v>
      </c>
      <c r="AF222" s="25" t="n">
        <v>0.516322433948517</v>
      </c>
      <c r="AG222" s="25" t="n">
        <v>0.123244509100914</v>
      </c>
      <c r="AH222" s="25" t="n">
        <v>1.69506335258484</v>
      </c>
      <c r="AI222" s="25" t="n">
        <v>11.2131175994873</v>
      </c>
      <c r="AJ222" s="6" t="n">
        <v>187.6</v>
      </c>
      <c r="AK222" s="6" t="n">
        <v>267.9</v>
      </c>
      <c r="AL222" s="26"/>
    </row>
    <row r="223" customFormat="false" ht="15" hidden="false" customHeight="false" outlineLevel="0" collapsed="false">
      <c r="A223" s="6" t="s">
        <v>1323</v>
      </c>
      <c r="B223" s="6" t="s">
        <v>3303</v>
      </c>
      <c r="C223" s="6" t="s">
        <v>3007</v>
      </c>
      <c r="D223" s="13" t="n">
        <v>129.223907470703</v>
      </c>
      <c r="E223" s="25" t="n">
        <v>11.7949686050415</v>
      </c>
      <c r="F223" s="25" t="n">
        <v>3.37847232818604</v>
      </c>
      <c r="G223" s="25" t="n">
        <v>7.56910467147827</v>
      </c>
      <c r="H223" s="25" t="n">
        <v>1.40606832504273</v>
      </c>
      <c r="I223" s="25" t="n">
        <v>1.79076945781708</v>
      </c>
      <c r="J223" s="25" t="n">
        <v>0.821084045410156</v>
      </c>
      <c r="K223" s="25" t="n">
        <v>1.11997106933594</v>
      </c>
      <c r="L223" s="25" t="n">
        <v>2.00591516113281</v>
      </c>
      <c r="M223" s="25" t="n">
        <v>31.2544116973877</v>
      </c>
      <c r="N223" s="25" t="n">
        <v>108.00471496582</v>
      </c>
      <c r="O223" s="25" t="n">
        <v>253.485122680664</v>
      </c>
      <c r="P223" s="25" t="n">
        <v>27.2896766662598</v>
      </c>
      <c r="Q223" s="25" t="n">
        <v>107.808822631836</v>
      </c>
      <c r="R223" s="25" t="n">
        <v>21.8930644989014</v>
      </c>
      <c r="S223" s="25" t="n">
        <v>0.868752658367157</v>
      </c>
      <c r="T223" s="25" t="n">
        <v>0.55867600440979</v>
      </c>
      <c r="U223" s="25" t="n">
        <v>0.18519714474678</v>
      </c>
      <c r="V223" s="25" t="n">
        <v>9.55793952941895</v>
      </c>
      <c r="W223" s="25" t="n">
        <v>0.421935051679611</v>
      </c>
      <c r="X223" s="25" t="n">
        <v>4.07381248474121</v>
      </c>
      <c r="Y223" s="25" t="n">
        <v>1284.19030761719</v>
      </c>
      <c r="Z223" s="25" t="n">
        <v>1.56209945678711</v>
      </c>
      <c r="AA223" s="25" t="n">
        <v>8.57132244110107</v>
      </c>
      <c r="AB223" s="25" t="n">
        <v>6.77199554443359</v>
      </c>
      <c r="AC223" s="25" t="n">
        <v>0.0732711479067802</v>
      </c>
      <c r="AD223" s="25" t="n">
        <v>0.0465796105563641</v>
      </c>
      <c r="AE223" s="25" t="n">
        <v>4.28305339813232</v>
      </c>
      <c r="AF223" s="25" t="n">
        <v>0.70508623123169</v>
      </c>
      <c r="AG223" s="25" t="n">
        <v>0.318017542362213</v>
      </c>
      <c r="AH223" s="25" t="n">
        <v>2.94610857963562</v>
      </c>
      <c r="AI223" s="25" t="n">
        <v>15.6079940795898</v>
      </c>
      <c r="AJ223" s="6" t="n">
        <v>247.9</v>
      </c>
      <c r="AK223" s="6" t="n">
        <v>320.4</v>
      </c>
      <c r="AL223" s="26"/>
    </row>
    <row r="224" customFormat="false" ht="15" hidden="false" customHeight="false" outlineLevel="0" collapsed="false">
      <c r="A224" s="6" t="s">
        <v>1537</v>
      </c>
      <c r="B224" s="6" t="s">
        <v>1536</v>
      </c>
      <c r="C224" s="6" t="s">
        <v>3304</v>
      </c>
      <c r="D224" s="13" t="n">
        <v>145.198638916016</v>
      </c>
      <c r="E224" s="25" t="n">
        <v>16.2638740539551</v>
      </c>
      <c r="F224" s="25" t="n">
        <v>2.33646035194397</v>
      </c>
      <c r="G224" s="25" t="n">
        <v>7.93326091766357</v>
      </c>
      <c r="H224" s="25" t="n">
        <v>0.504869520664215</v>
      </c>
      <c r="I224" s="25" t="n">
        <v>1.58389925956726</v>
      </c>
      <c r="J224" s="25" t="n">
        <v>0.990244262695313</v>
      </c>
      <c r="K224" s="25" t="n">
        <v>1.05046276855469</v>
      </c>
      <c r="L224" s="25" t="n">
        <v>1.0253193359375</v>
      </c>
      <c r="M224" s="25" t="n">
        <v>44.2462539672852</v>
      </c>
      <c r="N224" s="25" t="n">
        <v>158.001556396484</v>
      </c>
      <c r="O224" s="25" t="n">
        <v>287.20947265625</v>
      </c>
      <c r="P224" s="25" t="n">
        <v>44.3257522583008</v>
      </c>
      <c r="Q224" s="25" t="n">
        <v>154.070648193359</v>
      </c>
      <c r="R224" s="25" t="n">
        <v>22.0176734924316</v>
      </c>
      <c r="S224" s="25" t="n">
        <v>0.899621069431305</v>
      </c>
      <c r="T224" s="25" t="n">
        <v>0.709708511829376</v>
      </c>
      <c r="U224" s="25" t="n">
        <v>0.207487508654594</v>
      </c>
      <c r="V224" s="25" t="n">
        <v>13.2396488189697</v>
      </c>
      <c r="W224" s="25" t="n">
        <v>0.169021368026733</v>
      </c>
      <c r="X224" s="25" t="n">
        <v>8.71737957000732</v>
      </c>
      <c r="Y224" s="25" t="n">
        <v>69.3705749511719</v>
      </c>
      <c r="Z224" s="25" t="n">
        <v>0.771340906620026</v>
      </c>
      <c r="AA224" s="25" t="n">
        <v>1.56618547439575</v>
      </c>
      <c r="AB224" s="25" t="n">
        <v>2.74390339851379</v>
      </c>
      <c r="AC224" s="25" t="n">
        <v>0.0864519700407982</v>
      </c>
      <c r="AD224" s="25" t="n">
        <v>0.0864616930484772</v>
      </c>
      <c r="AE224" s="25" t="n">
        <v>5.70437097549439</v>
      </c>
      <c r="AF224" s="25" t="n">
        <v>0.909646034240723</v>
      </c>
      <c r="AG224" s="25" t="n">
        <v>0.406639367341995</v>
      </c>
      <c r="AH224" s="25" t="n">
        <v>3.41915035247803</v>
      </c>
      <c r="AI224" s="25" t="n">
        <v>12.6822290420532</v>
      </c>
      <c r="AJ224" s="6" t="n">
        <v>1440.8</v>
      </c>
      <c r="AK224" s="6" t="n">
        <v>2092</v>
      </c>
      <c r="AL224" s="26" t="s">
        <v>3070</v>
      </c>
    </row>
    <row r="225" customFormat="false" ht="15" hidden="false" customHeight="false" outlineLevel="0" collapsed="false">
      <c r="A225" s="6" t="s">
        <v>1312</v>
      </c>
      <c r="B225" s="6" t="s">
        <v>1310</v>
      </c>
      <c r="C225" s="6" t="s">
        <v>3305</v>
      </c>
      <c r="D225" s="13" t="n">
        <v>137.002899169922</v>
      </c>
      <c r="E225" s="25" t="n">
        <v>10.9241161346436</v>
      </c>
      <c r="F225" s="25" t="n">
        <v>3.74489498138428</v>
      </c>
      <c r="G225" s="25" t="n">
        <v>8.69954204559326</v>
      </c>
      <c r="H225" s="25" t="n">
        <v>1.3239551782608</v>
      </c>
      <c r="I225" s="25" t="n">
        <v>2.37041878700256</v>
      </c>
      <c r="J225" s="25" t="n">
        <v>3.04765356445313</v>
      </c>
      <c r="K225" s="25" t="n">
        <v>1.62051232910156</v>
      </c>
      <c r="L225" s="25" t="n">
        <v>0.424983337402344</v>
      </c>
      <c r="M225" s="25" t="n">
        <v>39.2552833557129</v>
      </c>
      <c r="N225" s="25" t="n">
        <v>26.2117233276367</v>
      </c>
      <c r="O225" s="25" t="n">
        <v>319.525543212891</v>
      </c>
      <c r="P225" s="25" t="n">
        <v>25.2795677185059</v>
      </c>
      <c r="Q225" s="25" t="n">
        <v>102.515655517578</v>
      </c>
      <c r="R225" s="25" t="n">
        <v>23.269739151001</v>
      </c>
      <c r="S225" s="25" t="n">
        <v>0.922379672527313</v>
      </c>
      <c r="T225" s="25" t="n">
        <v>0.5130415558815</v>
      </c>
      <c r="U225" s="25" t="n">
        <v>0.197541832923889</v>
      </c>
      <c r="V225" s="25" t="n">
        <v>8.60657501220703</v>
      </c>
      <c r="W225" s="25" t="n">
        <v>0.266119450330734</v>
      </c>
      <c r="X225" s="25" t="n">
        <v>48.9780349731445</v>
      </c>
      <c r="Y225" s="25" t="n">
        <v>1884.15771484375</v>
      </c>
      <c r="Z225" s="25" t="n">
        <v>0.824164152145386</v>
      </c>
      <c r="AA225" s="25" t="n">
        <v>9.53042984008789</v>
      </c>
      <c r="AB225" s="25" t="n">
        <v>11.8623323440552</v>
      </c>
      <c r="AC225" s="25" t="n">
        <v>0.136478990316391</v>
      </c>
      <c r="AD225" s="25" t="n">
        <v>0.0548093244433403</v>
      </c>
      <c r="AE225" s="25" t="n">
        <v>4.13292360305786</v>
      </c>
      <c r="AF225" s="25" t="n">
        <v>0.624643802642822</v>
      </c>
      <c r="AG225" s="25" t="n">
        <v>0.300693660974503</v>
      </c>
      <c r="AH225" s="25" t="n">
        <v>2.99154400825501</v>
      </c>
      <c r="AI225" s="25" t="n">
        <v>14.8429441452026</v>
      </c>
      <c r="AJ225" s="6" t="n">
        <v>275.2</v>
      </c>
      <c r="AK225" s="6" t="n">
        <v>377</v>
      </c>
      <c r="AL225" s="26"/>
    </row>
    <row r="226" customFormat="false" ht="15" hidden="false" customHeight="false" outlineLevel="0" collapsed="false">
      <c r="A226" s="6" t="s">
        <v>1546</v>
      </c>
      <c r="B226" s="6" t="s">
        <v>3306</v>
      </c>
      <c r="C226" s="6" t="s">
        <v>3296</v>
      </c>
      <c r="D226" s="13" t="n">
        <v>729.406066894531</v>
      </c>
      <c r="E226" s="25" t="n">
        <v>3.70745348930359</v>
      </c>
      <c r="F226" s="25" t="n">
        <v>1.1134866476059</v>
      </c>
      <c r="G226" s="25" t="n">
        <v>78.8861312866211</v>
      </c>
      <c r="H226" s="25" t="n">
        <v>0.21231235563755</v>
      </c>
      <c r="I226" s="25" t="n">
        <v>0.237255856394768</v>
      </c>
      <c r="J226" s="25" t="n">
        <v>9.436357421875</v>
      </c>
      <c r="K226" s="25" t="n">
        <v>16.0467353515625</v>
      </c>
      <c r="L226" s="25" t="n">
        <v>49.1181796875</v>
      </c>
      <c r="M226" s="25" t="n">
        <v>9.93543148040772</v>
      </c>
      <c r="N226" s="25" t="n">
        <v>69.7614517211914</v>
      </c>
      <c r="O226" s="25" t="n">
        <v>62.6715087890625</v>
      </c>
      <c r="P226" s="25" t="n">
        <v>3.4571225643158</v>
      </c>
      <c r="Q226" s="25" t="n">
        <v>31.7068595886231</v>
      </c>
      <c r="R226" s="25" t="n">
        <v>5.23724794387817</v>
      </c>
      <c r="S226" s="25" t="n">
        <v>0.277687638998032</v>
      </c>
      <c r="T226" s="25" t="n">
        <v>0.153224363923073</v>
      </c>
      <c r="U226" s="25" t="n">
        <v>0.0594471357762814</v>
      </c>
      <c r="V226" s="25" t="n">
        <v>3.0161337852478</v>
      </c>
      <c r="W226" s="25" t="n">
        <v>0.0819128304719925</v>
      </c>
      <c r="X226" s="25" t="n">
        <v>1.12348663806915</v>
      </c>
      <c r="Y226" s="25" t="n">
        <v>11.3234062194824</v>
      </c>
      <c r="Z226" s="25" t="n">
        <v>38.1911888122559</v>
      </c>
      <c r="AA226" s="25" t="n">
        <v>5.52259874343872</v>
      </c>
      <c r="AB226" s="25" t="n">
        <v>0.331012934446335</v>
      </c>
      <c r="AC226" s="25" t="n">
        <v>0.0197175145149231</v>
      </c>
      <c r="AD226" s="25" t="n">
        <v>0.011638417840004</v>
      </c>
      <c r="AE226" s="25" t="n">
        <v>1.32608962059021</v>
      </c>
      <c r="AF226" s="25" t="n">
        <v>0.208171904087067</v>
      </c>
      <c r="AG226" s="25" t="n">
        <v>0.0943179950118065</v>
      </c>
      <c r="AH226" s="25" t="n">
        <v>0.776186466217041</v>
      </c>
      <c r="AI226" s="25" t="n">
        <v>3.09127926826477</v>
      </c>
      <c r="AJ226" s="6" t="n">
        <v>123.9</v>
      </c>
      <c r="AK226" s="6" t="n">
        <v>903.7</v>
      </c>
      <c r="AL226" s="26" t="s">
        <v>3100</v>
      </c>
    </row>
    <row r="227" customFormat="false" ht="15" hidden="false" customHeight="false" outlineLevel="0" collapsed="false">
      <c r="A227" s="6" t="s">
        <v>1566</v>
      </c>
      <c r="B227" s="6" t="s">
        <v>3307</v>
      </c>
      <c r="C227" s="6" t="s">
        <v>3007</v>
      </c>
      <c r="D227" s="13" t="n">
        <v>198.83430480957</v>
      </c>
      <c r="E227" s="25" t="n">
        <v>9.57208156585693</v>
      </c>
      <c r="F227" s="25" t="n">
        <v>2.85940527915955</v>
      </c>
      <c r="G227" s="25" t="n">
        <v>16.562744140625</v>
      </c>
      <c r="H227" s="25" t="n">
        <v>0.993055939674377</v>
      </c>
      <c r="I227" s="25" t="n">
        <v>0.930392384529114</v>
      </c>
      <c r="J227" s="25" t="n">
        <v>1.90234106445313</v>
      </c>
      <c r="K227" s="25" t="n">
        <v>3.04834033203125</v>
      </c>
      <c r="L227" s="25" t="n">
        <v>8.403861328125</v>
      </c>
      <c r="M227" s="25" t="n">
        <v>23.8676891326904</v>
      </c>
      <c r="N227" s="25" t="n">
        <v>223.746002197266</v>
      </c>
      <c r="O227" s="25" t="n">
        <v>207.300857543945</v>
      </c>
      <c r="P227" s="25" t="n">
        <v>12.974178314209</v>
      </c>
      <c r="Q227" s="25" t="n">
        <v>84.3507080078125</v>
      </c>
      <c r="R227" s="25" t="n">
        <v>16.4764957427979</v>
      </c>
      <c r="S227" s="25" t="n">
        <v>0.655883848667145</v>
      </c>
      <c r="T227" s="25" t="n">
        <v>0.391096353530884</v>
      </c>
      <c r="U227" s="25" t="n">
        <v>0.13812755048275</v>
      </c>
      <c r="V227" s="25" t="n">
        <v>8.2033052444458</v>
      </c>
      <c r="W227" s="25" t="n">
        <v>0.169987589120865</v>
      </c>
      <c r="X227" s="25" t="n">
        <v>2.69892954826355</v>
      </c>
      <c r="Y227" s="25" t="n">
        <v>312.17138671875</v>
      </c>
      <c r="Z227" s="25" t="n">
        <v>6.50364875793457</v>
      </c>
      <c r="AA227" s="25" t="n">
        <v>6.13108825683594</v>
      </c>
      <c r="AB227" s="25" t="n">
        <v>14.2680702209473</v>
      </c>
      <c r="AC227" s="25" t="n">
        <v>0.0532516427338123</v>
      </c>
      <c r="AD227" s="25" t="n">
        <v>0.044006772339344</v>
      </c>
      <c r="AE227" s="25" t="n">
        <v>3.33986043930054</v>
      </c>
      <c r="AF227" s="25" t="n">
        <v>0.61272144317627</v>
      </c>
      <c r="AG227" s="25" t="n">
        <v>0.253637611865997</v>
      </c>
      <c r="AH227" s="25" t="n">
        <v>2.97677636146545</v>
      </c>
      <c r="AI227" s="25" t="n">
        <v>13.3253583908081</v>
      </c>
      <c r="AJ227" s="6" t="n">
        <v>386.8</v>
      </c>
      <c r="AK227" s="6" t="n">
        <v>769.1</v>
      </c>
      <c r="AL227" s="26"/>
    </row>
    <row r="228" customFormat="false" ht="15" hidden="false" customHeight="false" outlineLevel="0" collapsed="false">
      <c r="A228" s="6" t="s">
        <v>3308</v>
      </c>
      <c r="B228" s="6" t="s">
        <v>3309</v>
      </c>
      <c r="C228" s="6" t="s">
        <v>3299</v>
      </c>
      <c r="D228" s="13" t="n">
        <v>125.031944274902</v>
      </c>
      <c r="E228" s="25" t="n">
        <v>11.478141784668</v>
      </c>
      <c r="F228" s="25" t="n">
        <v>2.50670719146729</v>
      </c>
      <c r="G228" s="25" t="n">
        <v>7.61038398742676</v>
      </c>
      <c r="H228" s="25" t="n">
        <v>1.13329291343689</v>
      </c>
      <c r="I228" s="25" t="n">
        <v>1.15608084201813</v>
      </c>
      <c r="J228" s="25" t="n">
        <v>0.881217834472656</v>
      </c>
      <c r="K228" s="25" t="n">
        <v>1.09994213867188</v>
      </c>
      <c r="L228" s="25" t="n">
        <v>1.99319763183594</v>
      </c>
      <c r="M228" s="25" t="n">
        <v>31.0858592987061</v>
      </c>
      <c r="N228" s="25" t="n">
        <v>107.563232421875</v>
      </c>
      <c r="O228" s="25" t="n">
        <v>242.33837890625</v>
      </c>
      <c r="P228" s="25" t="n">
        <v>16.0853137969971</v>
      </c>
      <c r="Q228" s="25" t="n">
        <v>101.906341552734</v>
      </c>
      <c r="R228" s="25" t="n">
        <v>17.7713947296143</v>
      </c>
      <c r="S228" s="25" t="n">
        <v>0.638101041316986</v>
      </c>
      <c r="T228" s="25" t="n">
        <v>0.485191941261292</v>
      </c>
      <c r="U228" s="25" t="n">
        <v>0.166434347629547</v>
      </c>
      <c r="V228" s="25" t="n">
        <v>9.42480850219727</v>
      </c>
      <c r="W228" s="25" t="n">
        <v>0.0863636359572411</v>
      </c>
      <c r="X228" s="25" t="n">
        <v>3.5151515007019</v>
      </c>
      <c r="Y228" s="25" t="n">
        <v>2774.01904296875</v>
      </c>
      <c r="Z228" s="25" t="n">
        <v>1.5947071313858</v>
      </c>
      <c r="AA228" s="25" t="n">
        <v>11.0185661315918</v>
      </c>
      <c r="AB228" s="25" t="n">
        <v>8.70830249786377</v>
      </c>
      <c r="AC228" s="25" t="n">
        <v>0.0703232288360596</v>
      </c>
      <c r="AD228" s="25" t="n">
        <v>0.0410505048930645</v>
      </c>
      <c r="AE228" s="25" t="n">
        <v>4.27189874649048</v>
      </c>
      <c r="AF228" s="25" t="n">
        <v>0.684666693210602</v>
      </c>
      <c r="AG228" s="25" t="n">
        <v>0.310585856437683</v>
      </c>
      <c r="AH228" s="25" t="n">
        <v>2.68997979164124</v>
      </c>
      <c r="AI228" s="25" t="n">
        <v>14.0718183517456</v>
      </c>
      <c r="AJ228" s="6" t="n">
        <v>123.8</v>
      </c>
      <c r="AK228" s="6" t="n">
        <v>154.7</v>
      </c>
      <c r="AL228" s="26"/>
    </row>
    <row r="229" customFormat="false" ht="15" hidden="false" customHeight="false" outlineLevel="0" collapsed="false">
      <c r="A229" s="6" t="s">
        <v>1418</v>
      </c>
      <c r="B229" s="6" t="s">
        <v>3310</v>
      </c>
      <c r="C229" s="6" t="s">
        <v>3007</v>
      </c>
      <c r="D229" s="13" t="n">
        <v>111.127906799316</v>
      </c>
      <c r="E229" s="25" t="n">
        <v>8.76191997528076</v>
      </c>
      <c r="F229" s="25" t="n">
        <v>3.77377223968506</v>
      </c>
      <c r="G229" s="25" t="n">
        <v>6.69141817092896</v>
      </c>
      <c r="H229" s="25" t="n">
        <v>1.88572943210602</v>
      </c>
      <c r="I229" s="25" t="n">
        <v>2.01564240455627</v>
      </c>
      <c r="J229" s="25" t="n">
        <v>1.5872919921875</v>
      </c>
      <c r="K229" s="25" t="n">
        <v>2.19197314453125</v>
      </c>
      <c r="L229" s="25" t="n">
        <v>3.79281420898438</v>
      </c>
      <c r="M229" s="25" t="n">
        <v>19.2227439880371</v>
      </c>
      <c r="N229" s="25" t="n">
        <v>184.713668823242</v>
      </c>
      <c r="O229" s="25" t="n">
        <v>241.981094360352</v>
      </c>
      <c r="P229" s="25" t="n">
        <v>52.0608215332031</v>
      </c>
      <c r="Q229" s="25" t="n">
        <v>101.871170043945</v>
      </c>
      <c r="R229" s="25" t="n">
        <v>24.1091365814209</v>
      </c>
      <c r="S229" s="25" t="n">
        <v>1.09035706520081</v>
      </c>
      <c r="T229" s="25" t="n">
        <v>0.527281939983368</v>
      </c>
      <c r="U229" s="25" t="n">
        <v>0.0758971497416496</v>
      </c>
      <c r="V229" s="25" t="n">
        <v>20.6397705078125</v>
      </c>
      <c r="W229" s="25" t="n">
        <v>0.700041353702545</v>
      </c>
      <c r="X229" s="25" t="n">
        <v>2.62629437446594</v>
      </c>
      <c r="Y229" s="25" t="n">
        <v>1231.95947265625</v>
      </c>
      <c r="Z229" s="25" t="n">
        <v>3.63997483253479</v>
      </c>
      <c r="AA229" s="25" t="n">
        <v>8.35040950775147</v>
      </c>
      <c r="AB229" s="25" t="n">
        <v>8.8501615524292</v>
      </c>
      <c r="AC229" s="25" t="n">
        <v>0.0269807446748018</v>
      </c>
      <c r="AD229" s="25" t="n">
        <v>0.040192935615778</v>
      </c>
      <c r="AE229" s="25" t="n">
        <v>1.16441464424133</v>
      </c>
      <c r="AF229" s="25" t="n">
        <v>0.606816947460175</v>
      </c>
      <c r="AG229" s="25" t="n">
        <v>0.15197266638279</v>
      </c>
      <c r="AH229" s="25" t="n">
        <v>0.897160649299622</v>
      </c>
      <c r="AI229" s="25" t="n">
        <v>15.9282569885254</v>
      </c>
      <c r="AJ229" s="6" t="n">
        <v>254</v>
      </c>
      <c r="AK229" s="6" t="n">
        <v>282.2</v>
      </c>
      <c r="AL229" s="26"/>
    </row>
    <row r="230" customFormat="false" ht="15" hidden="false" customHeight="false" outlineLevel="0" collapsed="false">
      <c r="A230" s="6" t="s">
        <v>1584</v>
      </c>
      <c r="B230" s="6" t="s">
        <v>3311</v>
      </c>
      <c r="C230" s="6" t="s">
        <v>3299</v>
      </c>
      <c r="D230" s="13" t="n">
        <v>658.544067382813</v>
      </c>
      <c r="E230" s="25" t="n">
        <v>4.34542798995972</v>
      </c>
      <c r="F230" s="25" t="n">
        <v>5.40476989746094</v>
      </c>
      <c r="G230" s="25" t="n">
        <v>68.8800048828125</v>
      </c>
      <c r="H230" s="25" t="n">
        <v>0.606930732727051</v>
      </c>
      <c r="I230" s="25" t="n">
        <v>0.395031809806824</v>
      </c>
      <c r="J230" s="25" t="n">
        <v>8.3364248046875</v>
      </c>
      <c r="K230" s="25" t="n">
        <v>14.107740234375</v>
      </c>
      <c r="L230" s="25" t="n">
        <v>43.53163671875</v>
      </c>
      <c r="M230" s="25" t="n">
        <v>6.57425737380981</v>
      </c>
      <c r="N230" s="25" t="n">
        <v>156.936019897461</v>
      </c>
      <c r="O230" s="25" t="n">
        <v>75.4890365600586</v>
      </c>
      <c r="P230" s="25" t="n">
        <v>11.113790512085</v>
      </c>
      <c r="Q230" s="25" t="n">
        <v>46.8997535705566</v>
      </c>
      <c r="R230" s="25" t="n">
        <v>10.226414680481</v>
      </c>
      <c r="S230" s="25" t="n">
        <v>0.558705806732178</v>
      </c>
      <c r="T230" s="25" t="n">
        <v>0.204384729266167</v>
      </c>
      <c r="U230" s="25" t="n">
        <v>0.0459582731127739</v>
      </c>
      <c r="V230" s="25" t="n">
        <v>9.26449775695801</v>
      </c>
      <c r="W230" s="25" t="n">
        <v>0.102934934198856</v>
      </c>
      <c r="X230" s="25" t="n">
        <v>2.31117391586304</v>
      </c>
      <c r="Y230" s="25" t="n">
        <v>41.2623558044434</v>
      </c>
      <c r="Z230" s="25" t="n">
        <v>33.9034576416016</v>
      </c>
      <c r="AA230" s="25" t="n">
        <v>4.94363498687744</v>
      </c>
      <c r="AB230" s="25" t="n">
        <v>2.04384708404541</v>
      </c>
      <c r="AC230" s="25" t="n">
        <v>0.0348691642284393</v>
      </c>
      <c r="AD230" s="25" t="n">
        <v>0.0257708635181189</v>
      </c>
      <c r="AE230" s="25" t="n">
        <v>0.509264528751373</v>
      </c>
      <c r="AF230" s="25" t="n">
        <v>0.276152759790421</v>
      </c>
      <c r="AG230" s="25" t="n">
        <v>0.041212871670723</v>
      </c>
      <c r="AH230" s="25" t="n">
        <v>1.21513438224793</v>
      </c>
      <c r="AI230" s="25" t="n">
        <v>9.95528602600098</v>
      </c>
      <c r="AJ230" s="6" t="n">
        <v>353.5</v>
      </c>
      <c r="AK230" s="6" t="n">
        <v>2328</v>
      </c>
      <c r="AL230" s="26" t="s">
        <v>3146</v>
      </c>
    </row>
    <row r="231" customFormat="false" ht="15" hidden="false" customHeight="false" outlineLevel="0" collapsed="false">
      <c r="A231" s="6" t="s">
        <v>3312</v>
      </c>
      <c r="B231" s="6" t="s">
        <v>3313</v>
      </c>
      <c r="C231" s="6" t="s">
        <v>3314</v>
      </c>
      <c r="D231" s="13" t="n">
        <v>651.748840332031</v>
      </c>
      <c r="E231" s="25" t="n">
        <v>3.36027956008911</v>
      </c>
      <c r="F231" s="25" t="n">
        <v>2.77027583122253</v>
      </c>
      <c r="G231" s="25" t="n">
        <v>69.6939392089844</v>
      </c>
      <c r="H231" s="25" t="n">
        <v>0.285173773765564</v>
      </c>
      <c r="I231" s="25" t="n">
        <v>0.168842703104019</v>
      </c>
      <c r="J231" s="25" t="n">
        <v>8.701072265625</v>
      </c>
      <c r="K231" s="25" t="n">
        <v>14.320396484375</v>
      </c>
      <c r="L231" s="25" t="n">
        <v>43.72444140625</v>
      </c>
      <c r="M231" s="25" t="n">
        <v>12.5130777359009</v>
      </c>
      <c r="N231" s="25" t="n">
        <v>72.732551574707</v>
      </c>
      <c r="O231" s="25" t="n">
        <v>90.7244720458984</v>
      </c>
      <c r="P231" s="25" t="n">
        <v>6.56216430664063</v>
      </c>
      <c r="Q231" s="25" t="n">
        <v>40.2006454467773</v>
      </c>
      <c r="R231" s="25" t="n">
        <v>8.0511999130249</v>
      </c>
      <c r="S231" s="25" t="n">
        <v>0.261741310358048</v>
      </c>
      <c r="T231" s="25" t="n">
        <v>0.147287711501122</v>
      </c>
      <c r="U231" s="25" t="n">
        <v>0.02882837690413</v>
      </c>
      <c r="V231" s="25" t="n">
        <v>5.08393383026123</v>
      </c>
      <c r="W231" s="25" t="n">
        <v>0.0363740585744381</v>
      </c>
      <c r="X231" s="25" t="n">
        <v>7.89107847213745</v>
      </c>
      <c r="Y231" s="25" t="n">
        <v>202.618408203125</v>
      </c>
      <c r="Z231" s="25" t="n">
        <v>34.0803565979004</v>
      </c>
      <c r="AA231" s="25" t="n">
        <v>5.38982439041138</v>
      </c>
      <c r="AB231" s="25" t="n">
        <v>3.17577934265137</v>
      </c>
      <c r="AC231" s="25" t="n">
        <v>0.0189645290374756</v>
      </c>
      <c r="AD231" s="25" t="n">
        <v>0.0115263340994716</v>
      </c>
      <c r="AE231" s="25" t="n">
        <v>0.327230393886566</v>
      </c>
      <c r="AF231" s="25" t="n">
        <v>0.231773555278778</v>
      </c>
      <c r="AG231" s="25" t="n">
        <v>0.0356682203710079</v>
      </c>
      <c r="AH231" s="25" t="n">
        <v>0.465560734272003</v>
      </c>
      <c r="AI231" s="25" t="n">
        <v>4.53657484054565</v>
      </c>
      <c r="AJ231" s="6" t="n">
        <v>697.8</v>
      </c>
      <c r="AK231" s="6" t="n">
        <v>4547.6</v>
      </c>
      <c r="AL231" s="26" t="s">
        <v>3146</v>
      </c>
    </row>
    <row r="232" customFormat="false" ht="15" hidden="false" customHeight="false" outlineLevel="0" collapsed="false">
      <c r="A232" s="6" t="s">
        <v>3315</v>
      </c>
      <c r="B232" s="6" t="s">
        <v>3316</v>
      </c>
      <c r="C232" s="6" t="s">
        <v>3007</v>
      </c>
      <c r="D232" s="13" t="n">
        <v>489.788146972656</v>
      </c>
      <c r="E232" s="25" t="n">
        <v>2.39446425437927</v>
      </c>
      <c r="F232" s="25" t="n">
        <v>3.17728853225708</v>
      </c>
      <c r="G232" s="25" t="n">
        <v>51.9081916809082</v>
      </c>
      <c r="H232" s="25" t="n">
        <v>0.715708911418915</v>
      </c>
      <c r="I232" s="25" t="n">
        <v>1.35044896602631</v>
      </c>
      <c r="J232" s="25" t="n">
        <v>6.63100244140625</v>
      </c>
      <c r="K232" s="25" t="n">
        <v>10.6596845703125</v>
      </c>
      <c r="L232" s="25" t="n">
        <v>32.431607421875</v>
      </c>
      <c r="M232" s="25" t="n">
        <v>5.17392826080322</v>
      </c>
      <c r="N232" s="25" t="n">
        <v>91.4678726196289</v>
      </c>
      <c r="O232" s="25" t="n">
        <v>115.54175567627</v>
      </c>
      <c r="P232" s="25" t="n">
        <v>6.46053600311279</v>
      </c>
      <c r="Q232" s="25" t="n">
        <v>31.4835376739502</v>
      </c>
      <c r="R232" s="25" t="n">
        <v>9.63801765441895</v>
      </c>
      <c r="S232" s="25" t="n">
        <v>0.237366333603859</v>
      </c>
      <c r="T232" s="25" t="n">
        <v>0.13493238389492</v>
      </c>
      <c r="U232" s="25" t="n">
        <v>0.0364339351654053</v>
      </c>
      <c r="V232" s="25" t="n">
        <v>3.11436986923218</v>
      </c>
      <c r="W232" s="25" t="n">
        <v>0.0735429227352142</v>
      </c>
      <c r="X232" s="25" t="n">
        <v>7.09038877487183</v>
      </c>
      <c r="Y232" s="25" t="n">
        <v>1270.90307617188</v>
      </c>
      <c r="Z232" s="25" t="n">
        <v>25.2897777557373</v>
      </c>
      <c r="AA232" s="25" t="n">
        <v>9.55848026275635</v>
      </c>
      <c r="AB232" s="25" t="n">
        <v>7.75774621963501</v>
      </c>
      <c r="AC232" s="25" t="n">
        <v>0.0217729583382607</v>
      </c>
      <c r="AD232" s="25" t="n">
        <v>0.0105475597083569</v>
      </c>
      <c r="AE232" s="25" t="n">
        <v>0.354105859994888</v>
      </c>
      <c r="AF232" s="25" t="n">
        <v>0.206991836428642</v>
      </c>
      <c r="AG232" s="25" t="n">
        <v>0.0492488071322441</v>
      </c>
      <c r="AH232" s="25" t="n">
        <v>0.550919890403748</v>
      </c>
      <c r="AI232" s="25" t="n">
        <v>7.94262170791626</v>
      </c>
      <c r="AJ232" s="6" t="n">
        <v>967.9</v>
      </c>
      <c r="AK232" s="6" t="n">
        <v>4740.8</v>
      </c>
      <c r="AL232" s="26" t="s">
        <v>3146</v>
      </c>
    </row>
    <row r="233" customFormat="false" ht="15" hidden="false" customHeight="false" outlineLevel="0" collapsed="false">
      <c r="A233" s="6" t="s">
        <v>3317</v>
      </c>
      <c r="B233" s="6" t="s">
        <v>3318</v>
      </c>
      <c r="C233" s="6" t="s">
        <v>3007</v>
      </c>
      <c r="D233" s="13" t="n">
        <v>113.962471008301</v>
      </c>
      <c r="E233" s="25" t="n">
        <v>8.63677787780762</v>
      </c>
      <c r="F233" s="25" t="n">
        <v>4.06423330307007</v>
      </c>
      <c r="G233" s="25" t="n">
        <v>7.0216817855835</v>
      </c>
      <c r="H233" s="25" t="n">
        <v>0.0761272087693214</v>
      </c>
      <c r="I233" s="25" t="n">
        <v>3.21688342094421</v>
      </c>
      <c r="J233" s="25" t="n">
        <v>4.18738232421875</v>
      </c>
      <c r="K233" s="25" t="n">
        <v>1.78680249023438</v>
      </c>
      <c r="L233" s="25" t="n">
        <v>0.4545703125</v>
      </c>
      <c r="M233" s="25" t="n">
        <v>21.3681983947754</v>
      </c>
      <c r="N233" s="25" t="n">
        <v>209.47509765625</v>
      </c>
      <c r="O233" s="25" t="n">
        <v>158.51448059082</v>
      </c>
      <c r="P233" s="25" t="n">
        <v>115.642402648926</v>
      </c>
      <c r="Q233" s="25" t="n">
        <v>170.771728515625</v>
      </c>
      <c r="R233" s="25" t="n">
        <v>16.839822769165</v>
      </c>
      <c r="S233" s="25" t="n">
        <v>0.259060084819794</v>
      </c>
      <c r="T233" s="25" t="n">
        <v>0.538148403167725</v>
      </c>
      <c r="U233" s="25" t="n">
        <v>0.035780917853117</v>
      </c>
      <c r="V233" s="25" t="n">
        <v>9.24824047088623</v>
      </c>
      <c r="W233" s="25" t="n">
        <v>0.0314134284853935</v>
      </c>
      <c r="X233" s="25" t="n">
        <v>43.8982315063477</v>
      </c>
      <c r="Y233" s="25" t="n">
        <v>136.296813964844</v>
      </c>
      <c r="Z233" s="25" t="n">
        <v>0.55313777923584</v>
      </c>
      <c r="AA233" s="25" t="n">
        <v>0.490883409976959</v>
      </c>
      <c r="AB233" s="25" t="n">
        <v>2.81837439537048</v>
      </c>
      <c r="AC233" s="25" t="n">
        <v>0.038494698703289</v>
      </c>
      <c r="AD233" s="25" t="n">
        <v>0.090784452855587</v>
      </c>
      <c r="AE233" s="25" t="n">
        <v>0.456713765859604</v>
      </c>
      <c r="AF233" s="25" t="n">
        <v>0.56325089931488</v>
      </c>
      <c r="AG233" s="25" t="n">
        <v>0.0680141299962997</v>
      </c>
      <c r="AH233" s="25" t="n">
        <v>1.52966785430908</v>
      </c>
      <c r="AI233" s="25" t="n">
        <v>8.30072784423828</v>
      </c>
      <c r="AJ233" s="6" t="n">
        <v>353.8</v>
      </c>
      <c r="AK233" s="6" t="n">
        <v>403.1</v>
      </c>
      <c r="AL233" s="26"/>
    </row>
    <row r="234" customFormat="false" ht="15" hidden="false" customHeight="false" outlineLevel="0" collapsed="false">
      <c r="A234" s="6" t="s">
        <v>1579</v>
      </c>
      <c r="B234" s="6" t="s">
        <v>1577</v>
      </c>
      <c r="C234" s="6" t="s">
        <v>3299</v>
      </c>
      <c r="D234" s="13" t="n">
        <v>117.330528259277</v>
      </c>
      <c r="E234" s="25" t="n">
        <v>15.997218132019</v>
      </c>
      <c r="F234" s="25" t="n">
        <v>3.90732383728027</v>
      </c>
      <c r="G234" s="25" t="n">
        <v>4.14901399612427</v>
      </c>
      <c r="H234" s="25" t="n">
        <v>1.17785215377808</v>
      </c>
      <c r="I234" s="25" t="n">
        <v>1.18091547489166</v>
      </c>
      <c r="J234" s="25" t="n">
        <v>0.807195251464844</v>
      </c>
      <c r="K234" s="25" t="n">
        <v>0.800242248535156</v>
      </c>
      <c r="L234" s="25" t="n">
        <v>2.22132104492188</v>
      </c>
      <c r="M234" s="25" t="n">
        <v>32.7323951721191</v>
      </c>
      <c r="N234" s="25" t="n">
        <v>503.436828613281</v>
      </c>
      <c r="O234" s="25" t="n">
        <v>296.426055908203</v>
      </c>
      <c r="P234" s="25" t="n">
        <v>31.9848594665527</v>
      </c>
      <c r="Q234" s="25" t="n">
        <v>178.142608642578</v>
      </c>
      <c r="R234" s="25" t="n">
        <v>35.4991188049316</v>
      </c>
      <c r="S234" s="25" t="n">
        <v>1.40982401371002</v>
      </c>
      <c r="T234" s="25" t="n">
        <v>0.625387310981751</v>
      </c>
      <c r="U234" s="25" t="n">
        <v>0.125281691551209</v>
      </c>
      <c r="V234" s="25" t="n">
        <v>45.2114105224609</v>
      </c>
      <c r="W234" s="25" t="n">
        <v>0.228028163313866</v>
      </c>
      <c r="X234" s="25" t="n">
        <v>11.5070419311523</v>
      </c>
      <c r="Y234" s="25" t="n">
        <v>160.263198852539</v>
      </c>
      <c r="Z234" s="25" t="n">
        <v>1.91239428520203</v>
      </c>
      <c r="AA234" s="25" t="n">
        <v>2.74295783042908</v>
      </c>
      <c r="AB234" s="25" t="n">
        <v>2.54014086723328</v>
      </c>
      <c r="AC234" s="25" t="n">
        <v>0.0691549330949783</v>
      </c>
      <c r="AD234" s="25" t="n">
        <v>0.0900000035762787</v>
      </c>
      <c r="AE234" s="25" t="n">
        <v>2.05686616897583</v>
      </c>
      <c r="AF234" s="25" t="n">
        <v>1.07661974430084</v>
      </c>
      <c r="AG234" s="25" t="n">
        <v>0.135528162121773</v>
      </c>
      <c r="AH234" s="25" t="n">
        <v>4.6283802986145</v>
      </c>
      <c r="AI234" s="25" t="n">
        <v>13.0248947143555</v>
      </c>
      <c r="AJ234" s="6" t="n">
        <v>35.5</v>
      </c>
      <c r="AK234" s="6" t="n">
        <v>41.7</v>
      </c>
      <c r="AL234" s="26"/>
    </row>
    <row r="235" customFormat="false" ht="15" hidden="false" customHeight="false" outlineLevel="0" collapsed="false">
      <c r="A235" s="6" t="s">
        <v>3319</v>
      </c>
      <c r="B235" s="6" t="s">
        <v>3320</v>
      </c>
      <c r="C235" s="6" t="s">
        <v>3299</v>
      </c>
      <c r="D235" s="13" t="n">
        <v>95.9795150756836</v>
      </c>
      <c r="E235" s="25" t="n">
        <v>11.1918935775757</v>
      </c>
      <c r="F235" s="25" t="n">
        <v>2.37437129020691</v>
      </c>
      <c r="G235" s="25" t="n">
        <v>4.64207077026367</v>
      </c>
      <c r="H235" s="25" t="n">
        <v>0.580058872699738</v>
      </c>
      <c r="I235" s="25" t="n">
        <v>1.60376143455505</v>
      </c>
      <c r="J235" s="25" t="n">
        <v>1.83897705078125</v>
      </c>
      <c r="K235" s="25" t="n">
        <v>0.95248291015625</v>
      </c>
      <c r="L235" s="25" t="n">
        <v>1.46822314453125</v>
      </c>
      <c r="M235" s="25" t="n">
        <v>23.4135913848877</v>
      </c>
      <c r="N235" s="25" t="n">
        <v>123.942436218262</v>
      </c>
      <c r="O235" s="25" t="n">
        <v>226.364364624023</v>
      </c>
      <c r="P235" s="25" t="n">
        <v>37.2725257873535</v>
      </c>
      <c r="Q235" s="25" t="n">
        <v>138.543823242188</v>
      </c>
      <c r="R235" s="25" t="n">
        <v>24.8011226654053</v>
      </c>
      <c r="S235" s="25" t="n">
        <v>0.460856080055237</v>
      </c>
      <c r="T235" s="25" t="n">
        <v>0.428940623998642</v>
      </c>
      <c r="U235" s="25" t="n">
        <v>0.0450936332345009</v>
      </c>
      <c r="V235" s="25" t="n">
        <v>16.0809307098389</v>
      </c>
      <c r="W235" s="25" t="n">
        <v>0.135425359010696</v>
      </c>
      <c r="X235" s="25" t="n">
        <v>19.2134838104248</v>
      </c>
      <c r="Y235" s="25" t="n">
        <v>658.164489746094</v>
      </c>
      <c r="Z235" s="25" t="n">
        <v>1.42533981800079</v>
      </c>
      <c r="AA235" s="25" t="n">
        <v>3.58817553520203</v>
      </c>
      <c r="AB235" s="25" t="n">
        <v>8.41629219055176</v>
      </c>
      <c r="AC235" s="25" t="n">
        <v>0.0465275533497334</v>
      </c>
      <c r="AD235" s="25" t="n">
        <v>0.0523060485720635</v>
      </c>
      <c r="AE235" s="25" t="n">
        <v>0.876056730747223</v>
      </c>
      <c r="AF235" s="25" t="n">
        <v>0.710893571376801</v>
      </c>
      <c r="AG235" s="25" t="n">
        <v>0.110315673053265</v>
      </c>
      <c r="AH235" s="25" t="n">
        <v>0.564612090587616</v>
      </c>
      <c r="AI235" s="25" t="n">
        <v>11.7906684875488</v>
      </c>
      <c r="AJ235" s="6" t="n">
        <v>233.6</v>
      </c>
      <c r="AK235" s="6" t="n">
        <v>224.2</v>
      </c>
      <c r="AL235" s="26"/>
    </row>
    <row r="236" customFormat="false" ht="15" hidden="false" customHeight="false" outlineLevel="0" collapsed="false">
      <c r="A236" s="6" t="s">
        <v>3321</v>
      </c>
      <c r="B236" s="6" t="s">
        <v>3322</v>
      </c>
      <c r="C236" s="6" t="s">
        <v>3007</v>
      </c>
      <c r="D236" s="13" t="n">
        <v>95.0802688598633</v>
      </c>
      <c r="E236" s="25" t="n">
        <v>3.88407373428345</v>
      </c>
      <c r="F236" s="25" t="n">
        <v>8.34822463989258</v>
      </c>
      <c r="G236" s="25" t="n">
        <v>5.06778860092163</v>
      </c>
      <c r="H236" s="25" t="n">
        <v>1.64745879173279</v>
      </c>
      <c r="I236" s="25" t="n">
        <v>6.36308431625366</v>
      </c>
      <c r="J236" s="25" t="n">
        <v>2.55472583007813</v>
      </c>
      <c r="K236" s="25" t="n">
        <v>1.27531311035156</v>
      </c>
      <c r="L236" s="25" t="n">
        <v>0.895368774414063</v>
      </c>
      <c r="M236" s="25" t="n">
        <v>6.51794385910034</v>
      </c>
      <c r="N236" s="25" t="n">
        <v>176.631332397461</v>
      </c>
      <c r="O236" s="25" t="n">
        <v>185.053924560547</v>
      </c>
      <c r="P236" s="25" t="n">
        <v>103.047836303711</v>
      </c>
      <c r="Q236" s="25" t="n">
        <v>86.9447174072266</v>
      </c>
      <c r="R236" s="25" t="n">
        <v>22.7313671112061</v>
      </c>
      <c r="S236" s="25" t="n">
        <v>0.840261876583099</v>
      </c>
      <c r="T236" s="25" t="n">
        <v>0.614568412303925</v>
      </c>
      <c r="U236" s="25" t="n">
        <v>0.0872550904750824</v>
      </c>
      <c r="V236" s="25" t="n">
        <v>4.11355018615723</v>
      </c>
      <c r="W236" s="25" t="n">
        <v>0.32028129696846</v>
      </c>
      <c r="X236" s="25" t="n">
        <v>31.2434520721436</v>
      </c>
      <c r="Y236" s="25" t="n">
        <v>2073.10498046875</v>
      </c>
      <c r="Z236" s="25" t="n">
        <v>0.217613965272903</v>
      </c>
      <c r="AA236" s="25" t="n">
        <v>21.0476818084717</v>
      </c>
      <c r="AB236" s="25" t="n">
        <v>9.81408309936523</v>
      </c>
      <c r="AC236" s="25" t="n">
        <v>0.0433753617107868</v>
      </c>
      <c r="AD236" s="25" t="n">
        <v>0.0850824415683746</v>
      </c>
      <c r="AE236" s="25" t="n">
        <v>0.200911730527878</v>
      </c>
      <c r="AF236" s="25" t="n">
        <v>0.261648893356323</v>
      </c>
      <c r="AG236" s="25" t="n">
        <v>0.0873326882719994</v>
      </c>
      <c r="AH236" s="25" t="n">
        <v>4.20344305038452</v>
      </c>
      <c r="AI236" s="25" t="n">
        <v>26.0441608428955</v>
      </c>
      <c r="AJ236" s="6" t="n">
        <v>257.7</v>
      </c>
      <c r="AK236" s="6" t="n">
        <v>245.1</v>
      </c>
      <c r="AL236" s="26"/>
    </row>
    <row r="237" customFormat="false" ht="15" hidden="false" customHeight="false" outlineLevel="0" collapsed="false">
      <c r="A237" s="6" t="s">
        <v>3323</v>
      </c>
      <c r="B237" s="6" t="s">
        <v>3324</v>
      </c>
      <c r="C237" s="6" t="s">
        <v>3007</v>
      </c>
      <c r="D237" s="13" t="n">
        <v>114.827659606934</v>
      </c>
      <c r="E237" s="25" t="n">
        <v>4.26293849945068</v>
      </c>
      <c r="F237" s="25" t="n">
        <v>6.49946308135986</v>
      </c>
      <c r="G237" s="25" t="n">
        <v>7.83668231964111</v>
      </c>
      <c r="H237" s="25" t="n">
        <v>2.56973147392273</v>
      </c>
      <c r="I237" s="25" t="n">
        <v>1.65753555297852</v>
      </c>
      <c r="J237" s="25" t="n">
        <v>1.49030627441406</v>
      </c>
      <c r="K237" s="25" t="n">
        <v>4.04524829101563</v>
      </c>
      <c r="L237" s="25" t="n">
        <v>1.72666284179688</v>
      </c>
      <c r="M237" s="25" t="n">
        <v>64.4928894042969</v>
      </c>
      <c r="N237" s="25" t="n">
        <v>101.091911315918</v>
      </c>
      <c r="O237" s="25" t="n">
        <v>254.543441772461</v>
      </c>
      <c r="P237" s="25" t="n">
        <v>34.9233169555664</v>
      </c>
      <c r="Q237" s="25" t="n">
        <v>64.3099517822266</v>
      </c>
      <c r="R237" s="25" t="n">
        <v>24.5188312530518</v>
      </c>
      <c r="S237" s="25" t="n">
        <v>1.22698259353638</v>
      </c>
      <c r="T237" s="25" t="n">
        <v>0.56976306438446</v>
      </c>
      <c r="U237" s="25" t="n">
        <v>0.101311214268208</v>
      </c>
      <c r="V237" s="25" t="n">
        <v>7.637535572052</v>
      </c>
      <c r="W237" s="25" t="n">
        <v>0.323191165924072</v>
      </c>
      <c r="X237" s="25" t="n">
        <v>50.6161155700684</v>
      </c>
      <c r="Y237" s="25" t="n">
        <v>2270.96459960938</v>
      </c>
      <c r="Z237" s="25" t="n">
        <v>1.94243276119232</v>
      </c>
      <c r="AA237" s="25" t="n">
        <v>24.0066032409668</v>
      </c>
      <c r="AB237" s="25" t="n">
        <v>15.658073425293</v>
      </c>
      <c r="AC237" s="25" t="n">
        <v>0.0824960544705391</v>
      </c>
      <c r="AD237" s="25" t="n">
        <v>0.0754660367965698</v>
      </c>
      <c r="AE237" s="25" t="n">
        <v>0.504296958446503</v>
      </c>
      <c r="AF237" s="25" t="n">
        <v>0.498594015836716</v>
      </c>
      <c r="AG237" s="25" t="n">
        <v>0.146966829895973</v>
      </c>
      <c r="AH237" s="25" t="n">
        <v>4.92796182632446</v>
      </c>
      <c r="AI237" s="25" t="n">
        <v>32.9618339538574</v>
      </c>
      <c r="AJ237" s="6" t="n">
        <v>316.5</v>
      </c>
      <c r="AK237" s="6" t="n">
        <v>363.4</v>
      </c>
      <c r="AL237" s="26"/>
    </row>
    <row r="238" customFormat="false" ht="15" hidden="false" customHeight="false" outlineLevel="0" collapsed="false">
      <c r="A238" s="6" t="s">
        <v>3325</v>
      </c>
      <c r="B238" s="6" t="s">
        <v>3326</v>
      </c>
      <c r="C238" s="6" t="s">
        <v>3007</v>
      </c>
      <c r="D238" s="13" t="n">
        <v>190.361206054688</v>
      </c>
      <c r="E238" s="25" t="n">
        <v>4.15334892272949</v>
      </c>
      <c r="F238" s="25" t="n">
        <v>12.6962223052979</v>
      </c>
      <c r="G238" s="25" t="n">
        <v>13.9173812866211</v>
      </c>
      <c r="H238" s="25" t="n">
        <v>0.955480873584747</v>
      </c>
      <c r="I238" s="25" t="n">
        <v>2.59536504745483</v>
      </c>
      <c r="J238" s="25" t="n">
        <v>2.68075561523438</v>
      </c>
      <c r="K238" s="25" t="n">
        <v>7.31992529296875</v>
      </c>
      <c r="L238" s="25" t="n">
        <v>3.09898413085938</v>
      </c>
      <c r="M238" s="25" t="n">
        <v>12.7045192718506</v>
      </c>
      <c r="N238" s="25" t="n">
        <v>152.308456420898</v>
      </c>
      <c r="O238" s="25" t="n">
        <v>162.159210205078</v>
      </c>
      <c r="P238" s="25" t="n">
        <v>66.7418518066406</v>
      </c>
      <c r="Q238" s="25" t="n">
        <v>74.8069534301758</v>
      </c>
      <c r="R238" s="25" t="n">
        <v>20.1602325439453</v>
      </c>
      <c r="S238" s="25" t="n">
        <v>0.814067244529724</v>
      </c>
      <c r="T238" s="25" t="n">
        <v>0.56880646944046</v>
      </c>
      <c r="U238" s="25" t="n">
        <v>0.0807300135493279</v>
      </c>
      <c r="V238" s="25" t="n">
        <v>5.45017385482788</v>
      </c>
      <c r="W238" s="25" t="n">
        <v>0.191842406988144</v>
      </c>
      <c r="X238" s="25" t="n">
        <v>33.4878349304199</v>
      </c>
      <c r="Y238" s="25" t="n">
        <v>2034.82385253906</v>
      </c>
      <c r="Z238" s="25" t="n">
        <v>3.32424116134644</v>
      </c>
      <c r="AA238" s="25" t="n">
        <v>16.943546295166</v>
      </c>
      <c r="AB238" s="25" t="n">
        <v>17.9757823944092</v>
      </c>
      <c r="AC238" s="25" t="n">
        <v>0.0528852827847004</v>
      </c>
      <c r="AD238" s="25" t="n">
        <v>0.0595712624490261</v>
      </c>
      <c r="AE238" s="25" t="n">
        <v>0.705492436885834</v>
      </c>
      <c r="AF238" s="25" t="n">
        <v>0.323545783758164</v>
      </c>
      <c r="AG238" s="25" t="n">
        <v>0.0919119343161583</v>
      </c>
      <c r="AH238" s="25" t="n">
        <v>3.68607187271118</v>
      </c>
      <c r="AI238" s="25" t="n">
        <v>26.2070465087891</v>
      </c>
      <c r="AJ238" s="6" t="n">
        <v>215.7</v>
      </c>
      <c r="AK238" s="6" t="n">
        <v>410.7</v>
      </c>
      <c r="AL238" s="26"/>
    </row>
    <row r="239" customFormat="false" ht="15" hidden="false" customHeight="false" outlineLevel="0" collapsed="false">
      <c r="A239" s="6" t="s">
        <v>3327</v>
      </c>
      <c r="B239" s="6" t="s">
        <v>3328</v>
      </c>
      <c r="C239" s="6" t="s">
        <v>3022</v>
      </c>
      <c r="D239" s="13" t="n">
        <v>98.5576629638672</v>
      </c>
      <c r="E239" s="25" t="n">
        <v>4.96701097488403</v>
      </c>
      <c r="F239" s="25" t="n">
        <v>2.22942090034485</v>
      </c>
      <c r="G239" s="25" t="n">
        <v>7.71561813354492</v>
      </c>
      <c r="H239" s="25" t="n">
        <v>1.15148675441742</v>
      </c>
      <c r="I239" s="25" t="n">
        <v>0.823787152767181</v>
      </c>
      <c r="J239" s="25" t="n">
        <v>1.33169519042969</v>
      </c>
      <c r="K239" s="25" t="n">
        <v>3.95876318359375</v>
      </c>
      <c r="L239" s="25" t="n">
        <v>1.71191857910156</v>
      </c>
      <c r="M239" s="25" t="n">
        <v>118.134582519531</v>
      </c>
      <c r="N239" s="25" t="n">
        <v>117.289390563965</v>
      </c>
      <c r="O239" s="25" t="n">
        <v>185.406890869141</v>
      </c>
      <c r="P239" s="25" t="n">
        <v>36.8395004272461</v>
      </c>
      <c r="Q239" s="25" t="n">
        <v>76.9570541381836</v>
      </c>
      <c r="R239" s="25" t="n">
        <v>21.3021602630615</v>
      </c>
      <c r="S239" s="25" t="n">
        <v>1.50923323631287</v>
      </c>
      <c r="T239" s="25" t="n">
        <v>0.585133016109467</v>
      </c>
      <c r="U239" s="25" t="n">
        <v>0.0828168988227844</v>
      </c>
      <c r="V239" s="25" t="n">
        <v>14.3680438995361</v>
      </c>
      <c r="W239" s="25" t="n">
        <v>0.17358373105526</v>
      </c>
      <c r="X239" s="25" t="n">
        <v>66.8544616699219</v>
      </c>
      <c r="Y239" s="25" t="n">
        <v>4136.36669921875</v>
      </c>
      <c r="Z239" s="25" t="n">
        <v>1.93217527866364</v>
      </c>
      <c r="AA239" s="25" t="n">
        <v>35.479434967041</v>
      </c>
      <c r="AB239" s="25" t="n">
        <v>11.5297031402588</v>
      </c>
      <c r="AC239" s="25" t="n">
        <v>0.0467605628073216</v>
      </c>
      <c r="AD239" s="25" t="n">
        <v>0.0993740186095238</v>
      </c>
      <c r="AE239" s="25" t="n">
        <v>0.249921754002571</v>
      </c>
      <c r="AF239" s="25" t="n">
        <v>0.561690151691437</v>
      </c>
      <c r="AG239" s="25" t="n">
        <v>0.106259778141975</v>
      </c>
      <c r="AH239" s="25" t="n">
        <v>6.76716756820679</v>
      </c>
      <c r="AI239" s="25" t="n">
        <v>30.2938652038574</v>
      </c>
      <c r="AJ239" s="6" t="n">
        <v>159.7</v>
      </c>
      <c r="AK239" s="6" t="n">
        <v>157.4</v>
      </c>
      <c r="AL239" s="26"/>
    </row>
    <row r="240" customFormat="false" ht="15" hidden="false" customHeight="false" outlineLevel="0" collapsed="false">
      <c r="A240" s="6" t="s">
        <v>3329</v>
      </c>
      <c r="B240" s="6" t="s">
        <v>3330</v>
      </c>
      <c r="C240" s="6" t="s">
        <v>3007</v>
      </c>
      <c r="D240" s="13" t="n">
        <v>175.233444213867</v>
      </c>
      <c r="E240" s="25" t="n">
        <v>4.26897478103638</v>
      </c>
      <c r="F240" s="25" t="n">
        <v>14.351881980896</v>
      </c>
      <c r="G240" s="25" t="n">
        <v>11.3664779663086</v>
      </c>
      <c r="H240" s="25" t="n">
        <v>3.9338231086731</v>
      </c>
      <c r="I240" s="25" t="n">
        <v>5.24257326126099</v>
      </c>
      <c r="J240" s="25" t="n">
        <v>6.3509541015625</v>
      </c>
      <c r="K240" s="25" t="n">
        <v>2.596896484375</v>
      </c>
      <c r="L240" s="25" t="n">
        <v>0.469200317382813</v>
      </c>
      <c r="M240" s="25" t="n">
        <v>4.23552083969116</v>
      </c>
      <c r="N240" s="25" t="n">
        <v>64.9167404174805</v>
      </c>
      <c r="O240" s="25" t="n">
        <v>204.639022827148</v>
      </c>
      <c r="P240" s="25" t="n">
        <v>61.0277061462402</v>
      </c>
      <c r="Q240" s="25" t="n">
        <v>72.0596466064453</v>
      </c>
      <c r="R240" s="25" t="n">
        <v>27.7444190979004</v>
      </c>
      <c r="S240" s="25" t="n">
        <v>1.11868119239807</v>
      </c>
      <c r="T240" s="25" t="n">
        <v>0.645111501216888</v>
      </c>
      <c r="U240" s="25" t="n">
        <v>0.155713140964508</v>
      </c>
      <c r="V240" s="25" t="n">
        <v>3.82603549957275</v>
      </c>
      <c r="W240" s="25" t="n">
        <v>0.521520912647247</v>
      </c>
      <c r="X240" s="25" t="n">
        <v>22.4097557067871</v>
      </c>
      <c r="Y240" s="25" t="n">
        <v>2220.59252929688</v>
      </c>
      <c r="Z240" s="25" t="n">
        <v>0.722682535648346</v>
      </c>
      <c r="AA240" s="25" t="n">
        <v>25.0430679321289</v>
      </c>
      <c r="AB240" s="25" t="n">
        <v>13.2833118438721</v>
      </c>
      <c r="AC240" s="25" t="n">
        <v>0.0751644521951675</v>
      </c>
      <c r="AD240" s="25" t="n">
        <v>0.0616589114069939</v>
      </c>
      <c r="AE240" s="25" t="n">
        <v>0.551670134067535</v>
      </c>
      <c r="AF240" s="25" t="n">
        <v>0.308564096689224</v>
      </c>
      <c r="AG240" s="25" t="n">
        <v>0.123702868819237</v>
      </c>
      <c r="AH240" s="25" t="n">
        <v>3.21084547042847</v>
      </c>
      <c r="AI240" s="25" t="n">
        <v>31.732572555542</v>
      </c>
      <c r="AJ240" s="6" t="n">
        <v>389.6</v>
      </c>
      <c r="AK240" s="6" t="n">
        <v>682.6</v>
      </c>
      <c r="AL240" s="26"/>
    </row>
    <row r="241" customFormat="false" ht="15" hidden="false" customHeight="false" outlineLevel="0" collapsed="false">
      <c r="A241" s="6" t="s">
        <v>3331</v>
      </c>
      <c r="B241" s="6" t="s">
        <v>3332</v>
      </c>
      <c r="C241" s="6" t="s">
        <v>3007</v>
      </c>
      <c r="D241" s="13" t="n">
        <v>83.1179962158203</v>
      </c>
      <c r="E241" s="25" t="n">
        <v>4.7359414100647</v>
      </c>
      <c r="F241" s="25" t="n">
        <v>13.9614591598511</v>
      </c>
      <c r="G241" s="25" t="n">
        <v>0.836849093437195</v>
      </c>
      <c r="H241" s="25" t="n">
        <v>2.96107530593872</v>
      </c>
      <c r="I241" s="25" t="n">
        <v>1.35945677757263</v>
      </c>
      <c r="J241" s="25" t="n">
        <v>0.137119415283203</v>
      </c>
      <c r="K241" s="25" t="n">
        <v>0.120556755065918</v>
      </c>
      <c r="L241" s="25" t="n">
        <v>0.442362945556641</v>
      </c>
      <c r="M241" s="25" t="n">
        <v>0</v>
      </c>
      <c r="N241" s="25" t="n">
        <v>127.779457092285</v>
      </c>
      <c r="O241" s="25" t="n">
        <v>442.647827148438</v>
      </c>
      <c r="P241" s="25" t="n">
        <v>51.6280708312988</v>
      </c>
      <c r="Q241" s="25" t="n">
        <v>93.2432861328125</v>
      </c>
      <c r="R241" s="25" t="n">
        <v>49.9947128295898</v>
      </c>
      <c r="S241" s="25" t="n">
        <v>2.12671542167664</v>
      </c>
      <c r="T241" s="25" t="n">
        <v>0.780078232288361</v>
      </c>
      <c r="U241" s="25" t="n">
        <v>0.232936084270477</v>
      </c>
      <c r="V241" s="25" t="n">
        <v>4.048743724823</v>
      </c>
      <c r="W241" s="25" t="n">
        <v>0.516140580177307</v>
      </c>
      <c r="X241" s="25" t="n">
        <v>0</v>
      </c>
      <c r="Y241" s="25" t="n">
        <v>2388.84912109375</v>
      </c>
      <c r="Z241" s="25" t="n">
        <v>0.306134670972824</v>
      </c>
      <c r="AA241" s="25" t="n">
        <v>32.4830551147461</v>
      </c>
      <c r="AB241" s="25" t="n">
        <v>14.018461227417</v>
      </c>
      <c r="AC241" s="25" t="n">
        <v>0.0978125035762787</v>
      </c>
      <c r="AD241" s="25" t="n">
        <v>0.0703342780470848</v>
      </c>
      <c r="AE241" s="25" t="n">
        <v>0.723097920417786</v>
      </c>
      <c r="AF241" s="25" t="n">
        <v>0.509842276573181</v>
      </c>
      <c r="AG241" s="25" t="n">
        <v>0.134946450591087</v>
      </c>
      <c r="AH241" s="25" t="n">
        <v>1.6131979227066</v>
      </c>
      <c r="AI241" s="25" t="n">
        <v>62.139347076416</v>
      </c>
      <c r="AJ241" s="6" t="n">
        <v>169.9</v>
      </c>
      <c r="AK241" s="6" t="n">
        <v>141.2</v>
      </c>
      <c r="AL241" s="26"/>
    </row>
    <row r="242" customFormat="false" ht="15" hidden="false" customHeight="false" outlineLevel="0" collapsed="false">
      <c r="A242" s="6" t="s">
        <v>1888</v>
      </c>
      <c r="B242" s="6" t="s">
        <v>3333</v>
      </c>
      <c r="C242" s="6" t="s">
        <v>3007</v>
      </c>
      <c r="D242" s="13" t="n">
        <v>37.8080711364746</v>
      </c>
      <c r="E242" s="25" t="n">
        <v>2.28932523727417</v>
      </c>
      <c r="F242" s="25" t="n">
        <v>5.48336172103882</v>
      </c>
      <c r="G242" s="25" t="n">
        <v>0.738871157169342</v>
      </c>
      <c r="H242" s="25" t="n">
        <v>0.946797549724579</v>
      </c>
      <c r="I242" s="25" t="n">
        <v>2.13418412208557</v>
      </c>
      <c r="J242" s="25" t="n">
        <v>0.354688598632813</v>
      </c>
      <c r="K242" s="25" t="n">
        <v>0.160549255371094</v>
      </c>
      <c r="L242" s="25" t="n">
        <v>0.165364410400391</v>
      </c>
      <c r="M242" s="25" t="n">
        <v>1.61963188648224</v>
      </c>
      <c r="N242" s="25" t="n">
        <v>116.375755310059</v>
      </c>
      <c r="O242" s="25" t="n">
        <v>254.17546081543</v>
      </c>
      <c r="P242" s="25" t="n">
        <v>54.5567131042481</v>
      </c>
      <c r="Q242" s="25" t="n">
        <v>55.0890808105469</v>
      </c>
      <c r="R242" s="25" t="n">
        <v>22.917594909668</v>
      </c>
      <c r="S242" s="25" t="n">
        <v>1.45456445217133</v>
      </c>
      <c r="T242" s="25" t="n">
        <v>0.390380352735519</v>
      </c>
      <c r="U242" s="25" t="n">
        <v>0.0638036802411079</v>
      </c>
      <c r="V242" s="25" t="n">
        <v>1.72963201999664</v>
      </c>
      <c r="W242" s="25" t="n">
        <v>0.176760733127594</v>
      </c>
      <c r="X242" s="25" t="n">
        <v>4.12269926071167</v>
      </c>
      <c r="Y242" s="25" t="n">
        <v>2753.7705078125</v>
      </c>
      <c r="Z242" s="25" t="n">
        <v>0.0525030680000782</v>
      </c>
      <c r="AA242" s="25" t="n">
        <v>25.5302581787109</v>
      </c>
      <c r="AB242" s="25" t="n">
        <v>13.6651782989502</v>
      </c>
      <c r="AC242" s="25" t="n">
        <v>0.0592147223651409</v>
      </c>
      <c r="AD242" s="25" t="n">
        <v>0.0789815932512283</v>
      </c>
      <c r="AE242" s="25" t="n">
        <v>0.419006139039993</v>
      </c>
      <c r="AF242" s="25" t="n">
        <v>0.238061353564262</v>
      </c>
      <c r="AG242" s="25" t="n">
        <v>0.0900981575250626</v>
      </c>
      <c r="AH242" s="25" t="n">
        <v>1.25287115573883</v>
      </c>
      <c r="AI242" s="25" t="n">
        <v>24.4230308532715</v>
      </c>
      <c r="AJ242" s="6" t="n">
        <v>203.7</v>
      </c>
      <c r="AK242" s="6" t="n">
        <v>77</v>
      </c>
      <c r="AL242" s="26"/>
    </row>
    <row r="243" customFormat="false" ht="15" hidden="false" customHeight="false" outlineLevel="0" collapsed="false">
      <c r="A243" s="6" t="s">
        <v>3334</v>
      </c>
      <c r="B243" s="6" t="s">
        <v>3335</v>
      </c>
      <c r="C243" s="6" t="s">
        <v>3007</v>
      </c>
      <c r="D243" s="13" t="n">
        <v>62.9588050842285</v>
      </c>
      <c r="E243" s="25" t="n">
        <v>1.02454543113709</v>
      </c>
      <c r="F243" s="25" t="n">
        <v>4.95140743255615</v>
      </c>
      <c r="G243" s="25" t="n">
        <v>4.21850442886353</v>
      </c>
      <c r="H243" s="25" t="n">
        <v>2.14815258979797</v>
      </c>
      <c r="I243" s="25" t="n">
        <v>1.55662763118744</v>
      </c>
      <c r="J243" s="25" t="n">
        <v>0.630656127929688</v>
      </c>
      <c r="K243" s="25" t="n">
        <v>2.94079711914063</v>
      </c>
      <c r="L243" s="25" t="n">
        <v>0.449892974853516</v>
      </c>
      <c r="M243" s="25" t="n">
        <v>0</v>
      </c>
      <c r="N243" s="25" t="n">
        <v>77.5020217895508</v>
      </c>
      <c r="O243" s="25" t="n">
        <v>232.982406616211</v>
      </c>
      <c r="P243" s="25" t="n">
        <v>32.3712005615234</v>
      </c>
      <c r="Q243" s="25" t="n">
        <v>29.2120227813721</v>
      </c>
      <c r="R243" s="25" t="n">
        <v>17.7626399993897</v>
      </c>
      <c r="S243" s="25" t="n">
        <v>0.860527873039246</v>
      </c>
      <c r="T243" s="25" t="n">
        <v>0.232785925269127</v>
      </c>
      <c r="U243" s="25" t="n">
        <v>0.055043987929821</v>
      </c>
      <c r="V243" s="25" t="n">
        <v>0.958592414855957</v>
      </c>
      <c r="W243" s="25" t="n">
        <v>0.162052795290947</v>
      </c>
      <c r="X243" s="25" t="n">
        <v>0</v>
      </c>
      <c r="Y243" s="25" t="n">
        <v>2432.11889648438</v>
      </c>
      <c r="Z243" s="25" t="n">
        <v>0.248035192489624</v>
      </c>
      <c r="AA243" s="25" t="n">
        <v>29.2268028259277</v>
      </c>
      <c r="AB243" s="25" t="n">
        <v>25.1324920654297</v>
      </c>
      <c r="AC243" s="25" t="n">
        <v>0.0356598235666752</v>
      </c>
      <c r="AD243" s="25" t="n">
        <v>0.0333870984613895</v>
      </c>
      <c r="AE243" s="25" t="n">
        <v>0.309413492679596</v>
      </c>
      <c r="AF243" s="25" t="n">
        <v>0.145982399582863</v>
      </c>
      <c r="AG243" s="25" t="n">
        <v>0.0861876830458641</v>
      </c>
      <c r="AH243" s="25" t="n">
        <v>2.09809374809265</v>
      </c>
      <c r="AI243" s="25" t="n">
        <v>29.2290897369385</v>
      </c>
      <c r="AJ243" s="6" t="n">
        <v>341</v>
      </c>
      <c r="AK243" s="6" t="n">
        <v>214.7</v>
      </c>
      <c r="AL243" s="26"/>
    </row>
    <row r="244" customFormat="false" ht="15" hidden="false" customHeight="false" outlineLevel="0" collapsed="false">
      <c r="A244" s="6" t="s">
        <v>3336</v>
      </c>
      <c r="B244" s="6" t="s">
        <v>3337</v>
      </c>
      <c r="C244" s="6" t="s">
        <v>3007</v>
      </c>
      <c r="D244" s="13" t="n">
        <v>60.2805671691895</v>
      </c>
      <c r="E244" s="25" t="n">
        <v>4.22965002059937</v>
      </c>
      <c r="F244" s="25" t="n">
        <v>7.03428745269775</v>
      </c>
      <c r="G244" s="25" t="n">
        <v>1.50077700614929</v>
      </c>
      <c r="H244" s="25" t="n">
        <v>3.78579449653626</v>
      </c>
      <c r="I244" s="25" t="n">
        <v>2.15787243843079</v>
      </c>
      <c r="J244" s="25" t="n">
        <v>0.880419555664063</v>
      </c>
      <c r="K244" s="25" t="n">
        <v>0.364960083007813</v>
      </c>
      <c r="L244" s="25" t="n">
        <v>0.160545486450195</v>
      </c>
      <c r="M244" s="25" t="n">
        <v>4.08504295349121</v>
      </c>
      <c r="N244" s="25" t="n">
        <v>116.656044006348</v>
      </c>
      <c r="O244" s="25" t="n">
        <v>267.241760253906</v>
      </c>
      <c r="P244" s="25" t="n">
        <v>65.5118942260742</v>
      </c>
      <c r="Q244" s="25" t="n">
        <v>67.791618347168</v>
      </c>
      <c r="R244" s="25" t="n">
        <v>32.9368286132813</v>
      </c>
      <c r="S244" s="25" t="n">
        <v>1.3463419675827</v>
      </c>
      <c r="T244" s="25" t="n">
        <v>0.673038244247437</v>
      </c>
      <c r="U244" s="25" t="n">
        <v>0.126719892024994</v>
      </c>
      <c r="V244" s="25" t="n">
        <v>1.90947914123535</v>
      </c>
      <c r="W244" s="25" t="n">
        <v>0.310289680957794</v>
      </c>
      <c r="X244" s="25" t="n">
        <v>17.4078540802002</v>
      </c>
      <c r="Y244" s="25" t="n">
        <v>3408.86401367188</v>
      </c>
      <c r="Z244" s="25" t="n">
        <v>0.151707828044891</v>
      </c>
      <c r="AA244" s="25" t="n">
        <v>36.951587677002</v>
      </c>
      <c r="AB244" s="25" t="n">
        <v>17.5166034698486</v>
      </c>
      <c r="AC244" s="25" t="n">
        <v>0.125546842813492</v>
      </c>
      <c r="AD244" s="25" t="n">
        <v>0.0858146846294403</v>
      </c>
      <c r="AE244" s="25" t="n">
        <v>0.658417522907257</v>
      </c>
      <c r="AF244" s="25" t="n">
        <v>0.422929167747498</v>
      </c>
      <c r="AG244" s="25" t="n">
        <v>0.175297558307648</v>
      </c>
      <c r="AH244" s="25" t="n">
        <v>3.31803965568543</v>
      </c>
      <c r="AI244" s="25" t="n">
        <v>40.0779647827148</v>
      </c>
      <c r="AJ244" s="6" t="n">
        <v>215.4</v>
      </c>
      <c r="AK244" s="6" t="n">
        <v>129.9</v>
      </c>
      <c r="AL244" s="26"/>
    </row>
    <row r="245" customFormat="false" ht="15" hidden="false" customHeight="false" outlineLevel="0" collapsed="false">
      <c r="A245" s="6" t="s">
        <v>3338</v>
      </c>
      <c r="B245" s="6" t="s">
        <v>3339</v>
      </c>
      <c r="C245" s="6" t="s">
        <v>3007</v>
      </c>
      <c r="D245" s="13" t="n">
        <v>89.908073425293</v>
      </c>
      <c r="E245" s="25" t="n">
        <v>1.39745759963989</v>
      </c>
      <c r="F245" s="25" t="n">
        <v>11.1887712478638</v>
      </c>
      <c r="G245" s="25" t="n">
        <v>4.39694929122925</v>
      </c>
      <c r="H245" s="25" t="n">
        <v>1.32110166549683</v>
      </c>
      <c r="I245" s="25" t="n">
        <v>3.93927955627441</v>
      </c>
      <c r="J245" s="25" t="n">
        <v>0.5727822265625</v>
      </c>
      <c r="K245" s="25" t="n">
        <v>1.64208850097656</v>
      </c>
      <c r="L245" s="25" t="n">
        <v>1.89055932617188</v>
      </c>
      <c r="M245" s="25" t="n">
        <v>0</v>
      </c>
      <c r="N245" s="25" t="n">
        <v>125.010681152344</v>
      </c>
      <c r="O245" s="25" t="n">
        <v>347.449157714844</v>
      </c>
      <c r="P245" s="25" t="n">
        <v>25.6145763397217</v>
      </c>
      <c r="Q245" s="25" t="n">
        <v>38.4670753479004</v>
      </c>
      <c r="R245" s="25" t="n">
        <v>21.3128814697266</v>
      </c>
      <c r="S245" s="25" t="n">
        <v>0.994576275348663</v>
      </c>
      <c r="T245" s="25" t="n">
        <v>0.296610176563263</v>
      </c>
      <c r="U245" s="25" t="n">
        <v>0.0836440697312355</v>
      </c>
      <c r="V245" s="25" t="n">
        <v>1.16605937480927</v>
      </c>
      <c r="W245" s="25" t="n">
        <v>0.173898309469223</v>
      </c>
      <c r="X245" s="25" t="n">
        <v>0</v>
      </c>
      <c r="Y245" s="25" t="n">
        <v>1542.13562011719</v>
      </c>
      <c r="Z245" s="25" t="n">
        <v>1.16466104984283</v>
      </c>
      <c r="AA245" s="25" t="n">
        <v>20.3776264190674</v>
      </c>
      <c r="AB245" s="25" t="n">
        <v>24.9064826965332</v>
      </c>
      <c r="AC245" s="25" t="n">
        <v>0.0452542379498482</v>
      </c>
      <c r="AD245" s="25" t="n">
        <v>0.0256779659539461</v>
      </c>
      <c r="AE245" s="25" t="n">
        <v>0.605466067790985</v>
      </c>
      <c r="AF245" s="25" t="n">
        <v>0.241525426506996</v>
      </c>
      <c r="AG245" s="25" t="n">
        <v>0.087711863219738</v>
      </c>
      <c r="AH245" s="25" t="n">
        <v>1.55758476257324</v>
      </c>
      <c r="AI245" s="25" t="n">
        <v>22.3374156951904</v>
      </c>
      <c r="AJ245" s="6" t="n">
        <v>236</v>
      </c>
      <c r="AK245" s="6" t="n">
        <v>212.2</v>
      </c>
      <c r="AL245" s="26"/>
    </row>
    <row r="246" customFormat="false" ht="15" hidden="false" customHeight="false" outlineLevel="0" collapsed="false">
      <c r="A246" s="6" t="s">
        <v>3340</v>
      </c>
      <c r="B246" s="6" t="s">
        <v>3341</v>
      </c>
      <c r="C246" s="6" t="s">
        <v>3007</v>
      </c>
      <c r="D246" s="13" t="n">
        <v>141.753234863281</v>
      </c>
      <c r="E246" s="25" t="n">
        <v>1.47407710552216</v>
      </c>
      <c r="F246" s="25" t="n">
        <v>11.0194320678711</v>
      </c>
      <c r="G246" s="25" t="n">
        <v>10.0510349273682</v>
      </c>
      <c r="H246" s="25" t="n">
        <v>1.86535489559174</v>
      </c>
      <c r="I246" s="25" t="n">
        <v>8.23054790496826</v>
      </c>
      <c r="J246" s="25" t="n">
        <v>2.20157690429688</v>
      </c>
      <c r="K246" s="25" t="n">
        <v>3.98438061523438</v>
      </c>
      <c r="L246" s="25" t="n">
        <v>3.30479516601563</v>
      </c>
      <c r="M246" s="25" t="n">
        <v>9.87018299102783</v>
      </c>
      <c r="N246" s="25" t="n">
        <v>13.4185390472412</v>
      </c>
      <c r="O246" s="25" t="n">
        <v>192.86408996582</v>
      </c>
      <c r="P246" s="25" t="n">
        <v>29.2938747406006</v>
      </c>
      <c r="Q246" s="25" t="n">
        <v>37.097770690918</v>
      </c>
      <c r="R246" s="25" t="n">
        <v>19.233793258667</v>
      </c>
      <c r="S246" s="25" t="n">
        <v>1.0664097070694</v>
      </c>
      <c r="T246" s="25" t="n">
        <v>0.297525346279144</v>
      </c>
      <c r="U246" s="25" t="n">
        <v>0.121947258710861</v>
      </c>
      <c r="V246" s="25" t="n">
        <v>1.19103455543518</v>
      </c>
      <c r="W246" s="25" t="n">
        <v>0.248559832572937</v>
      </c>
      <c r="X246" s="25" t="n">
        <v>29.0263690948486</v>
      </c>
      <c r="Y246" s="25" t="n">
        <v>953.582153320313</v>
      </c>
      <c r="Z246" s="25" t="n">
        <v>1.6701420545578</v>
      </c>
      <c r="AA246" s="25" t="n">
        <v>14.2298984527588</v>
      </c>
      <c r="AB246" s="25" t="n">
        <v>8.69204902648926</v>
      </c>
      <c r="AC246" s="25" t="n">
        <v>0.0493914820253849</v>
      </c>
      <c r="AD246" s="25" t="n">
        <v>0.0411156192421913</v>
      </c>
      <c r="AE246" s="25" t="n">
        <v>0.265638947486877</v>
      </c>
      <c r="AF246" s="25" t="n">
        <v>0.138498976826668</v>
      </c>
      <c r="AG246" s="25" t="n">
        <v>0.0947058796882629</v>
      </c>
      <c r="AH246" s="25" t="n">
        <v>1.06855976581574</v>
      </c>
      <c r="AI246" s="25" t="n">
        <v>16.4769172668457</v>
      </c>
      <c r="AJ246" s="6" t="n">
        <v>246.5</v>
      </c>
      <c r="AK246" s="6" t="n">
        <v>349.4</v>
      </c>
      <c r="AL246" s="26"/>
    </row>
    <row r="247" customFormat="false" ht="15" hidden="false" customHeight="false" outlineLevel="0" collapsed="false">
      <c r="A247" s="6" t="s">
        <v>3342</v>
      </c>
      <c r="B247" s="6" t="s">
        <v>3343</v>
      </c>
      <c r="C247" s="6" t="s">
        <v>3007</v>
      </c>
      <c r="D247" s="13" t="n">
        <v>76.7125244140625</v>
      </c>
      <c r="E247" s="25" t="n">
        <v>1.23836064338684</v>
      </c>
      <c r="F247" s="25" t="n">
        <v>5.59081983566284</v>
      </c>
      <c r="G247" s="25" t="n">
        <v>5.32032775878906</v>
      </c>
      <c r="H247" s="25" t="n">
        <v>2.33803272247315</v>
      </c>
      <c r="I247" s="25" t="n">
        <v>3.62426233291626</v>
      </c>
      <c r="J247" s="25" t="n">
        <v>1.16076525878906</v>
      </c>
      <c r="K247" s="25" t="n">
        <v>2.61175244140625</v>
      </c>
      <c r="L247" s="25" t="n">
        <v>1.21725903320313</v>
      </c>
      <c r="M247" s="25" t="n">
        <v>6.4196720123291</v>
      </c>
      <c r="N247" s="25" t="n">
        <v>29.8701648712158</v>
      </c>
      <c r="O247" s="25" t="n">
        <v>207.704925537109</v>
      </c>
      <c r="P247" s="25" t="n">
        <v>37.0013122558594</v>
      </c>
      <c r="Q247" s="25" t="n">
        <v>32.2642631530762</v>
      </c>
      <c r="R247" s="25" t="n">
        <v>13.1340980529785</v>
      </c>
      <c r="S247" s="25" t="n">
        <v>0.631475389003754</v>
      </c>
      <c r="T247" s="25" t="n">
        <v>0.220983609557152</v>
      </c>
      <c r="U247" s="25" t="n">
        <v>0.0495081953704357</v>
      </c>
      <c r="V247" s="25" t="n">
        <v>0.361639350652695</v>
      </c>
      <c r="W247" s="25" t="n">
        <v>0.156393438577652</v>
      </c>
      <c r="X247" s="25" t="n">
        <v>22.9180335998535</v>
      </c>
      <c r="Y247" s="25" t="n">
        <v>3281.212890625</v>
      </c>
      <c r="Z247" s="25" t="n">
        <v>1.22295081615448</v>
      </c>
      <c r="AA247" s="25" t="n">
        <v>28.9032802581787</v>
      </c>
      <c r="AB247" s="25" t="n">
        <v>15.0724592208862</v>
      </c>
      <c r="AC247" s="25" t="n">
        <v>0.0354098342359066</v>
      </c>
      <c r="AD247" s="25" t="n">
        <v>0.0439344234764576</v>
      </c>
      <c r="AE247" s="25" t="n">
        <v>0.252131134271622</v>
      </c>
      <c r="AF247" s="25" t="n">
        <v>0.202786892652512</v>
      </c>
      <c r="AG247" s="25" t="n">
        <v>0.0968852490186691</v>
      </c>
      <c r="AH247" s="25" t="n">
        <v>1.10590159893036</v>
      </c>
      <c r="AI247" s="25" t="n">
        <v>27.5308208465576</v>
      </c>
      <c r="AJ247" s="6" t="n">
        <v>152.5</v>
      </c>
      <c r="AK247" s="6" t="n">
        <v>117</v>
      </c>
      <c r="AL247" s="26"/>
    </row>
    <row r="248" customFormat="false" ht="15" hidden="false" customHeight="false" outlineLevel="0" collapsed="false">
      <c r="A248" s="6" t="s">
        <v>1893</v>
      </c>
      <c r="B248" s="6" t="s">
        <v>3344</v>
      </c>
      <c r="C248" s="6" t="s">
        <v>3007</v>
      </c>
      <c r="D248" s="13" t="n">
        <v>78.1364593505859</v>
      </c>
      <c r="E248" s="25" t="n">
        <v>0.914226949214935</v>
      </c>
      <c r="F248" s="25" t="n">
        <v>15.9604444503784</v>
      </c>
      <c r="G248" s="25" t="n">
        <v>1.21661186218262</v>
      </c>
      <c r="H248" s="25" t="n">
        <v>1.57672691345215</v>
      </c>
      <c r="I248" s="25" t="n">
        <v>9.78273010253906</v>
      </c>
      <c r="J248" s="25" t="n">
        <v>0.684542785644531</v>
      </c>
      <c r="K248" s="25" t="n">
        <v>0.271846221923828</v>
      </c>
      <c r="L248" s="25" t="n">
        <v>0.165137176513672</v>
      </c>
      <c r="M248" s="25" t="n">
        <v>2.71381568908691</v>
      </c>
      <c r="N248" s="25" t="n">
        <v>7.10666084289551</v>
      </c>
      <c r="O248" s="25" t="n">
        <v>178.271377563477</v>
      </c>
      <c r="P248" s="25" t="n">
        <v>25.9323196411133</v>
      </c>
      <c r="Q248" s="25" t="n">
        <v>23.1142272949219</v>
      </c>
      <c r="R248" s="25" t="n">
        <v>17.5580596923828</v>
      </c>
      <c r="S248" s="25" t="n">
        <v>0.805756568908691</v>
      </c>
      <c r="T248" s="25" t="n">
        <v>0.178371712565422</v>
      </c>
      <c r="U248" s="25" t="n">
        <v>0.0713157877326012</v>
      </c>
      <c r="V248" s="25" t="n">
        <v>1.18585526943207</v>
      </c>
      <c r="W248" s="25" t="n">
        <v>0.272039473056793</v>
      </c>
      <c r="X248" s="25" t="n">
        <v>14.3585529327393</v>
      </c>
      <c r="Y248" s="25" t="n">
        <v>1660.97436523438</v>
      </c>
      <c r="Z248" s="25" t="n">
        <v>0.12333881855011</v>
      </c>
      <c r="AA248" s="25" t="n">
        <v>19.7148017883301</v>
      </c>
      <c r="AB248" s="25" t="n">
        <v>17.2521381378174</v>
      </c>
      <c r="AC248" s="25" t="n">
        <v>0.0370559208095074</v>
      </c>
      <c r="AD248" s="25" t="n">
        <v>0.0427302643656731</v>
      </c>
      <c r="AE248" s="25" t="n">
        <v>0.191776320338249</v>
      </c>
      <c r="AF248" s="25" t="n">
        <v>0.141299337148666</v>
      </c>
      <c r="AG248" s="25" t="n">
        <v>0.111595392227173</v>
      </c>
      <c r="AH248" s="25" t="n">
        <v>1.40575659275055</v>
      </c>
      <c r="AI248" s="25" t="n">
        <v>14.9333057403565</v>
      </c>
      <c r="AJ248" s="6" t="n">
        <v>304</v>
      </c>
      <c r="AK248" s="6" t="n">
        <v>237.5</v>
      </c>
      <c r="AL248" s="26"/>
    </row>
    <row r="249" customFormat="false" ht="15" hidden="false" customHeight="false" outlineLevel="0" collapsed="false">
      <c r="A249" s="6" t="s">
        <v>1869</v>
      </c>
      <c r="B249" s="6" t="s">
        <v>3345</v>
      </c>
      <c r="C249" s="6" t="s">
        <v>3007</v>
      </c>
      <c r="D249" s="13" t="n">
        <v>59.0047416687012</v>
      </c>
      <c r="E249" s="25" t="n">
        <v>3.73554158210754</v>
      </c>
      <c r="F249" s="25" t="n">
        <v>7.08077430725098</v>
      </c>
      <c r="G249" s="25" t="n">
        <v>1.84238982200623</v>
      </c>
      <c r="H249" s="25" t="n">
        <v>0.97486013174057</v>
      </c>
      <c r="I249" s="25" t="n">
        <v>5.97660779953003</v>
      </c>
      <c r="J249" s="25" t="n">
        <v>1.10327868652344</v>
      </c>
      <c r="K249" s="25" t="n">
        <v>0.47587451171875</v>
      </c>
      <c r="L249" s="25" t="n">
        <v>0.125375473022461</v>
      </c>
      <c r="M249" s="25" t="n">
        <v>6.19125366210938</v>
      </c>
      <c r="N249" s="25" t="n">
        <v>165.206985473633</v>
      </c>
      <c r="O249" s="25" t="n">
        <v>237.732711791992</v>
      </c>
      <c r="P249" s="25" t="n">
        <v>120.616096496582</v>
      </c>
      <c r="Q249" s="25" t="n">
        <v>106.973152160645</v>
      </c>
      <c r="R249" s="25" t="n">
        <v>18.2249774932861</v>
      </c>
      <c r="S249" s="25" t="n">
        <v>0.255946427583695</v>
      </c>
      <c r="T249" s="25" t="n">
        <v>0.502608180046082</v>
      </c>
      <c r="U249" s="25" t="n">
        <v>0.0353211015462875</v>
      </c>
      <c r="V249" s="25" t="n">
        <v>1.20027303695679</v>
      </c>
      <c r="W249" s="25" t="n">
        <v>0.0784887671470642</v>
      </c>
      <c r="X249" s="25" t="n">
        <v>15.7595539093018</v>
      </c>
      <c r="Y249" s="25" t="n">
        <v>1379.48852539063</v>
      </c>
      <c r="Z249" s="25" t="n">
        <v>0.092156246304512</v>
      </c>
      <c r="AA249" s="25" t="n">
        <v>6.85121631622315</v>
      </c>
      <c r="AB249" s="25" t="n">
        <v>8.4668025970459</v>
      </c>
      <c r="AC249" s="25" t="n">
        <v>0.0525851286947727</v>
      </c>
      <c r="AD249" s="25" t="n">
        <v>0.160979345440865</v>
      </c>
      <c r="AE249" s="25" t="n">
        <v>0.323092252016068</v>
      </c>
      <c r="AF249" s="25" t="n">
        <v>0.384673267602921</v>
      </c>
      <c r="AG249" s="25" t="n">
        <v>0.100130021572113</v>
      </c>
      <c r="AH249" s="25" t="n">
        <v>2.23055148124695</v>
      </c>
      <c r="AI249" s="25" t="n">
        <v>19.5702838897705</v>
      </c>
      <c r="AJ249" s="6" t="n">
        <v>177.7</v>
      </c>
      <c r="AK249" s="6" t="n">
        <v>104.8</v>
      </c>
      <c r="AL249" s="26"/>
    </row>
    <row r="250" customFormat="false" ht="15" hidden="false" customHeight="false" outlineLevel="0" collapsed="false">
      <c r="A250" s="6" t="s">
        <v>3346</v>
      </c>
      <c r="B250" s="6" t="s">
        <v>3347</v>
      </c>
      <c r="C250" s="6" t="s">
        <v>3007</v>
      </c>
      <c r="D250" s="13" t="n">
        <v>150.387603759766</v>
      </c>
      <c r="E250" s="25" t="n">
        <v>8.59047603607178</v>
      </c>
      <c r="F250" s="25" t="n">
        <v>9.30008316040039</v>
      </c>
      <c r="G250" s="25" t="n">
        <v>8.97968101501465</v>
      </c>
      <c r="H250" s="25" t="n">
        <v>1.89005780220032</v>
      </c>
      <c r="I250" s="25" t="n">
        <v>7.10576295852661</v>
      </c>
      <c r="J250" s="25" t="n">
        <v>2.89284399414063</v>
      </c>
      <c r="K250" s="25" t="n">
        <v>3.65770776367188</v>
      </c>
      <c r="L250" s="25" t="n">
        <v>2.00090051269531</v>
      </c>
      <c r="M250" s="25" t="n">
        <v>8.96714782714844</v>
      </c>
      <c r="N250" s="25" t="n">
        <v>235.832931518555</v>
      </c>
      <c r="O250" s="25" t="n">
        <v>351.780944824219</v>
      </c>
      <c r="P250" s="25" t="n">
        <v>174.596984863281</v>
      </c>
      <c r="Q250" s="25" t="n">
        <v>204.418518066406</v>
      </c>
      <c r="R250" s="25" t="n">
        <v>49.5233688354492</v>
      </c>
      <c r="S250" s="25" t="n">
        <v>0.737132132053375</v>
      </c>
      <c r="T250" s="25" t="n">
        <v>1.11069047451019</v>
      </c>
      <c r="U250" s="25" t="n">
        <v>0.156725361943245</v>
      </c>
      <c r="V250" s="25" t="n">
        <v>2.19452595710754</v>
      </c>
      <c r="W250" s="25" t="n">
        <v>0.27997961640358</v>
      </c>
      <c r="X250" s="25" t="n">
        <v>22.8254661560059</v>
      </c>
      <c r="Y250" s="25" t="n">
        <v>86.3392791748047</v>
      </c>
      <c r="Z250" s="25" t="n">
        <v>0.7452791929245</v>
      </c>
      <c r="AA250" s="25" t="n">
        <v>1.18167114257813</v>
      </c>
      <c r="AB250" s="25" t="n">
        <v>2.1141836643219</v>
      </c>
      <c r="AC250" s="25" t="n">
        <v>0.14463846385479</v>
      </c>
      <c r="AD250" s="25" t="n">
        <v>0.243345573544502</v>
      </c>
      <c r="AE250" s="25" t="n">
        <v>2.0551381111145</v>
      </c>
      <c r="AF250" s="25" t="n">
        <v>0.577524244785309</v>
      </c>
      <c r="AG250" s="25" t="n">
        <v>0.127904951572418</v>
      </c>
      <c r="AH250" s="25" t="n">
        <v>2.39302277565002</v>
      </c>
      <c r="AI250" s="25" t="n">
        <v>29.8952674865723</v>
      </c>
      <c r="AJ250" s="6" t="n">
        <v>122.7</v>
      </c>
      <c r="AK250" s="6" t="n">
        <v>184.5</v>
      </c>
      <c r="AL250" s="26"/>
    </row>
    <row r="251" customFormat="false" ht="15" hidden="false" customHeight="false" outlineLevel="0" collapsed="false">
      <c r="A251" s="6" t="s">
        <v>3348</v>
      </c>
      <c r="B251" s="6" t="s">
        <v>3349</v>
      </c>
      <c r="C251" s="6" t="s">
        <v>3007</v>
      </c>
      <c r="D251" s="13" t="n">
        <v>60.8945274353027</v>
      </c>
      <c r="E251" s="25" t="n">
        <v>4.62300157546997</v>
      </c>
      <c r="F251" s="25" t="n">
        <v>6.12721061706543</v>
      </c>
      <c r="G251" s="25" t="n">
        <v>2.1873152256012</v>
      </c>
      <c r="H251" s="25" t="n">
        <v>0.158861592411995</v>
      </c>
      <c r="I251" s="25" t="n">
        <v>5.58894300460815</v>
      </c>
      <c r="J251" s="25" t="n">
        <v>1.29026782226563</v>
      </c>
      <c r="K251" s="25" t="n">
        <v>0.569535766601563</v>
      </c>
      <c r="L251" s="25" t="n">
        <v>0.155698303222656</v>
      </c>
      <c r="M251" s="25" t="n">
        <v>7.20508289337158</v>
      </c>
      <c r="N251" s="25" t="n">
        <v>189.201705932617</v>
      </c>
      <c r="O251" s="25" t="n">
        <v>208.770355224609</v>
      </c>
      <c r="P251" s="25" t="n">
        <v>139.436767578125</v>
      </c>
      <c r="Q251" s="25" t="n">
        <v>125.145866394043</v>
      </c>
      <c r="R251" s="25" t="n">
        <v>18.5696716308594</v>
      </c>
      <c r="S251" s="25" t="n">
        <v>0.862147152423859</v>
      </c>
      <c r="T251" s="25" t="n">
        <v>0.574103593826294</v>
      </c>
      <c r="U251" s="25" t="n">
        <v>0.00868212431669235</v>
      </c>
      <c r="V251" s="25" t="n">
        <v>1.31658148765564</v>
      </c>
      <c r="W251" s="25" t="n">
        <v>0.0454909279942513</v>
      </c>
      <c r="X251" s="25" t="n">
        <v>18.3402118682861</v>
      </c>
      <c r="Y251" s="25" t="n">
        <v>73.591667175293</v>
      </c>
      <c r="Z251" s="25" t="n">
        <v>0.0381437093019486</v>
      </c>
      <c r="AA251" s="25" t="n">
        <v>0.621966361999512</v>
      </c>
      <c r="AB251" s="25" t="n">
        <v>2.35374927520752</v>
      </c>
      <c r="AC251" s="25" t="n">
        <v>0.0710211545228958</v>
      </c>
      <c r="AD251" s="25" t="n">
        <v>0.196182623505592</v>
      </c>
      <c r="AE251" s="25" t="n">
        <v>0.262682914733887</v>
      </c>
      <c r="AF251" s="25" t="n">
        <v>0.410328805446625</v>
      </c>
      <c r="AG251" s="25" t="n">
        <v>0.0955662578344345</v>
      </c>
      <c r="AH251" s="25" t="n">
        <v>1.71187591552734</v>
      </c>
      <c r="AI251" s="25" t="n">
        <v>17.6842365264893</v>
      </c>
      <c r="AJ251" s="6" t="n">
        <v>152.7</v>
      </c>
      <c r="AK251" s="6" t="n">
        <v>93</v>
      </c>
      <c r="AL251" s="26"/>
    </row>
    <row r="252" customFormat="false" ht="15" hidden="false" customHeight="false" outlineLevel="0" collapsed="false">
      <c r="A252" s="6" t="s">
        <v>3350</v>
      </c>
      <c r="B252" s="6" t="s">
        <v>3351</v>
      </c>
      <c r="C252" s="6" t="s">
        <v>3007</v>
      </c>
      <c r="D252" s="13" t="n">
        <v>56.3075103759766</v>
      </c>
      <c r="E252" s="25" t="n">
        <v>3.97781944274902</v>
      </c>
      <c r="F252" s="25" t="n">
        <v>5.76040601730347</v>
      </c>
      <c r="G252" s="25" t="n">
        <v>2.06613874435425</v>
      </c>
      <c r="H252" s="25" t="n">
        <v>0.853169560432434</v>
      </c>
      <c r="I252" s="25" t="n">
        <v>5.24833917617798</v>
      </c>
      <c r="J252" s="25" t="n">
        <v>1.27108911132813</v>
      </c>
      <c r="K252" s="25" t="n">
        <v>0.537944763183594</v>
      </c>
      <c r="L252" s="25" t="n">
        <v>0.111465644836426</v>
      </c>
      <c r="M252" s="25" t="n">
        <v>7.20508289337158</v>
      </c>
      <c r="N252" s="25" t="n">
        <v>188.369842529297</v>
      </c>
      <c r="O252" s="25" t="n">
        <v>234.315643310547</v>
      </c>
      <c r="P252" s="25" t="n">
        <v>138.264312744141</v>
      </c>
      <c r="Q252" s="25" t="n">
        <v>118.271560668945</v>
      </c>
      <c r="R252" s="25" t="n">
        <v>17.5642337799072</v>
      </c>
      <c r="S252" s="25" t="n">
        <v>0.226789802312851</v>
      </c>
      <c r="T252" s="25" t="n">
        <v>0.524978041648865</v>
      </c>
      <c r="U252" s="25" t="n">
        <v>0.0217822752892971</v>
      </c>
      <c r="V252" s="25" t="n">
        <v>1.89626312255859</v>
      </c>
      <c r="W252" s="25" t="n">
        <v>0.0553160384297371</v>
      </c>
      <c r="X252" s="25" t="n">
        <v>18.3402118682861</v>
      </c>
      <c r="Y252" s="25" t="n">
        <v>89.6786499023438</v>
      </c>
      <c r="Z252" s="25" t="n">
        <v>0.0446937829256058</v>
      </c>
      <c r="AA252" s="25" t="n">
        <v>1.30972421169281</v>
      </c>
      <c r="AB252" s="25" t="n">
        <v>3.11683297157288</v>
      </c>
      <c r="AC252" s="25" t="n">
        <v>0.0513709299266338</v>
      </c>
      <c r="AD252" s="25" t="n">
        <v>0.183082476258278</v>
      </c>
      <c r="AE252" s="25" t="n">
        <v>0.210282310843468</v>
      </c>
      <c r="AF252" s="25" t="n">
        <v>0.515130043029785</v>
      </c>
      <c r="AG252" s="25" t="n">
        <v>0.0791910663247109</v>
      </c>
      <c r="AH252" s="25" t="n">
        <v>2.54701042175293</v>
      </c>
      <c r="AI252" s="25" t="n">
        <v>25.8685569763184</v>
      </c>
      <c r="AJ252" s="6" t="n">
        <v>152.7</v>
      </c>
      <c r="AK252" s="6" t="n">
        <v>86</v>
      </c>
      <c r="AL252" s="26"/>
    </row>
    <row r="253" customFormat="false" ht="15" hidden="false" customHeight="false" outlineLevel="0" collapsed="false">
      <c r="A253" s="6" t="s">
        <v>1864</v>
      </c>
      <c r="B253" s="6" t="s">
        <v>3352</v>
      </c>
      <c r="C253" s="6" t="s">
        <v>3007</v>
      </c>
      <c r="D253" s="13" t="n">
        <v>59.1253509521484</v>
      </c>
      <c r="E253" s="25" t="n">
        <v>4.03676986694336</v>
      </c>
      <c r="F253" s="25" t="n">
        <v>6.34991312026978</v>
      </c>
      <c r="G253" s="25" t="n">
        <v>2.07596373558044</v>
      </c>
      <c r="H253" s="25" t="n">
        <v>0.859719693660736</v>
      </c>
      <c r="I253" s="25" t="n">
        <v>5.21886348724365</v>
      </c>
      <c r="J253" s="25" t="n">
        <v>1.27853332519531</v>
      </c>
      <c r="K253" s="25" t="n">
        <v>0.5402470703125</v>
      </c>
      <c r="L253" s="25" t="n">
        <v>0.112444877624512</v>
      </c>
      <c r="M253" s="25" t="n">
        <v>7.20508289337158</v>
      </c>
      <c r="N253" s="25" t="n">
        <v>189.964797973633</v>
      </c>
      <c r="O253" s="25" t="n">
        <v>253.638366699219</v>
      </c>
      <c r="P253" s="25" t="n">
        <v>138.581985473633</v>
      </c>
      <c r="Q253" s="25" t="n">
        <v>122.309684753418</v>
      </c>
      <c r="R253" s="25" t="n">
        <v>20.6591453552246</v>
      </c>
      <c r="S253" s="25" t="n">
        <v>0.292290568351746</v>
      </c>
      <c r="T253" s="25" t="n">
        <v>0.531528115272522</v>
      </c>
      <c r="U253" s="25" t="n">
        <v>0.0185072366148233</v>
      </c>
      <c r="V253" s="25" t="n">
        <v>1.37225711345673</v>
      </c>
      <c r="W253" s="25" t="n">
        <v>0.0389408506453037</v>
      </c>
      <c r="X253" s="25" t="n">
        <v>18.3402118682861</v>
      </c>
      <c r="Y253" s="25" t="n">
        <v>114.529640197754</v>
      </c>
      <c r="Z253" s="25" t="n">
        <v>0.0446937829256058</v>
      </c>
      <c r="AA253" s="25" t="n">
        <v>3.30749726295471</v>
      </c>
      <c r="AB253" s="25" t="n">
        <v>3.69978976249695</v>
      </c>
      <c r="AC253" s="25" t="n">
        <v>0.0480958931148052</v>
      </c>
      <c r="AD253" s="25" t="n">
        <v>0.183082476258278</v>
      </c>
      <c r="AE253" s="25" t="n">
        <v>0.27905809879303</v>
      </c>
      <c r="AF253" s="25" t="n">
        <v>0.479104608297348</v>
      </c>
      <c r="AG253" s="25" t="n">
        <v>0.0922912135720253</v>
      </c>
      <c r="AH253" s="25" t="n">
        <v>2.63543653488159</v>
      </c>
      <c r="AI253" s="25" t="n">
        <v>17.6318359375</v>
      </c>
      <c r="AJ253" s="6" t="n">
        <v>152.7</v>
      </c>
      <c r="AK253" s="6" t="n">
        <v>90.3</v>
      </c>
      <c r="AL253" s="26"/>
    </row>
    <row r="254" customFormat="false" ht="15" hidden="false" customHeight="false" outlineLevel="0" collapsed="false">
      <c r="A254" s="6" t="s">
        <v>3353</v>
      </c>
      <c r="B254" s="6" t="s">
        <v>3354</v>
      </c>
      <c r="C254" s="6" t="s">
        <v>3007</v>
      </c>
      <c r="D254" s="13" t="n">
        <v>56.8255348205566</v>
      </c>
      <c r="E254" s="25" t="n">
        <v>4.00486135482788</v>
      </c>
      <c r="F254" s="25" t="n">
        <v>5.83492565155029</v>
      </c>
      <c r="G254" s="25" t="n">
        <v>1.98507010936737</v>
      </c>
      <c r="H254" s="25" t="n">
        <v>1.3944582939148</v>
      </c>
      <c r="I254" s="25" t="n">
        <v>4.93056726455689</v>
      </c>
      <c r="J254" s="25" t="n">
        <v>1.14441345214844</v>
      </c>
      <c r="K254" s="25" t="n">
        <v>0.476263702392578</v>
      </c>
      <c r="L254" s="25" t="n">
        <v>0.197953842163086</v>
      </c>
      <c r="M254" s="25" t="n">
        <v>6.19125366210938</v>
      </c>
      <c r="N254" s="25" t="n">
        <v>180.791213989258</v>
      </c>
      <c r="O254" s="25" t="n">
        <v>380.750671386719</v>
      </c>
      <c r="P254" s="25" t="n">
        <v>142.565216064453</v>
      </c>
      <c r="Q254" s="25" t="n">
        <v>112.354476928711</v>
      </c>
      <c r="R254" s="25" t="n">
        <v>38.8460731506348</v>
      </c>
      <c r="S254" s="25" t="n">
        <v>1.03632581233978</v>
      </c>
      <c r="T254" s="25" t="n">
        <v>0.573526203632355</v>
      </c>
      <c r="U254" s="25" t="n">
        <v>0.0637445822358131</v>
      </c>
      <c r="V254" s="25" t="n">
        <v>1.75045025348663</v>
      </c>
      <c r="W254" s="25" t="n">
        <v>0.358502268791199</v>
      </c>
      <c r="X254" s="25" t="n">
        <v>15.7595539093018</v>
      </c>
      <c r="Y254" s="25" t="n">
        <v>4058.14282226563</v>
      </c>
      <c r="Z254" s="25" t="n">
        <v>0.425358235836029</v>
      </c>
      <c r="AA254" s="25" t="n">
        <v>94.5781784057617</v>
      </c>
      <c r="AB254" s="25" t="n">
        <v>10.8563451766968</v>
      </c>
      <c r="AC254" s="25" t="n">
        <v>0.0863556042313576</v>
      </c>
      <c r="AD254" s="25" t="n">
        <v>0.18687005341053</v>
      </c>
      <c r="AE254" s="25" t="n">
        <v>0.26511961221695</v>
      </c>
      <c r="AF254" s="25" t="n">
        <v>0.38917601108551</v>
      </c>
      <c r="AG254" s="25" t="n">
        <v>0.120110884308815</v>
      </c>
      <c r="AH254" s="25" t="n">
        <v>2.84714412689209</v>
      </c>
      <c r="AI254" s="25" t="n">
        <v>53.7561340332031</v>
      </c>
      <c r="AJ254" s="6" t="n">
        <v>177.7</v>
      </c>
      <c r="AK254" s="6" t="n">
        <v>101</v>
      </c>
      <c r="AL254" s="26"/>
    </row>
    <row r="255" customFormat="false" ht="15" hidden="false" customHeight="false" outlineLevel="0" collapsed="false">
      <c r="A255" s="6" t="s">
        <v>3355</v>
      </c>
      <c r="B255" s="6" t="s">
        <v>3356</v>
      </c>
      <c r="C255" s="6" t="s">
        <v>3007</v>
      </c>
      <c r="D255" s="13" t="n">
        <v>77.5853424072266</v>
      </c>
      <c r="E255" s="25" t="n">
        <v>5.6378493309021</v>
      </c>
      <c r="F255" s="25" t="n">
        <v>7.64518213272095</v>
      </c>
      <c r="G255" s="25" t="n">
        <v>2.9639573097229</v>
      </c>
      <c r="H255" s="25" t="n">
        <v>0.344257175922394</v>
      </c>
      <c r="I255" s="25" t="n">
        <v>7.484703540802</v>
      </c>
      <c r="J255" s="25" t="n">
        <v>1.83658337402344</v>
      </c>
      <c r="K255" s="25" t="n">
        <v>0.783199401855469</v>
      </c>
      <c r="L255" s="25" t="n">
        <v>0.13828662109375</v>
      </c>
      <c r="M255" s="25" t="n">
        <v>10.5092191696167</v>
      </c>
      <c r="N255" s="25" t="n">
        <v>274.378173828125</v>
      </c>
      <c r="O255" s="25" t="n">
        <v>292.834350585938</v>
      </c>
      <c r="P255" s="25" t="n">
        <v>198.22119140625</v>
      </c>
      <c r="Q255" s="25" t="n">
        <v>166.107955932617</v>
      </c>
      <c r="R255" s="25" t="n">
        <v>22.4995861053467</v>
      </c>
      <c r="S255" s="25" t="n">
        <v>0.370153814554215</v>
      </c>
      <c r="T255" s="25" t="n">
        <v>0.708401620388031</v>
      </c>
      <c r="U255" s="25" t="n">
        <v>0.0149565301835537</v>
      </c>
      <c r="V255" s="25" t="n">
        <v>2.12651658058167</v>
      </c>
      <c r="W255" s="25" t="n">
        <v>0.0388372987508774</v>
      </c>
      <c r="X255" s="25" t="n">
        <v>26.7507400512695</v>
      </c>
      <c r="Y255" s="25" t="n">
        <v>442.545501708984</v>
      </c>
      <c r="Z255" s="25" t="n">
        <v>0.0644253343343735</v>
      </c>
      <c r="AA255" s="25" t="n">
        <v>4.04084825515747</v>
      </c>
      <c r="AB255" s="25" t="n">
        <v>2.80564546585083</v>
      </c>
      <c r="AC255" s="25" t="n">
        <v>0.0609802231192589</v>
      </c>
      <c r="AD255" s="25" t="n">
        <v>0.265894740819931</v>
      </c>
      <c r="AE255" s="25" t="n">
        <v>0.25397726893425</v>
      </c>
      <c r="AF255" s="25" t="n">
        <v>0.490349680185318</v>
      </c>
      <c r="AG255" s="25" t="n">
        <v>0.109201297163963</v>
      </c>
      <c r="AH255" s="25" t="n">
        <v>2.53914284706116</v>
      </c>
      <c r="AI255" s="25" t="n">
        <v>19.698600769043</v>
      </c>
      <c r="AJ255" s="6" t="n">
        <v>104.7</v>
      </c>
      <c r="AK255" s="6" t="n">
        <v>81.2</v>
      </c>
      <c r="AL255" s="26"/>
    </row>
    <row r="256" customFormat="false" ht="15" hidden="false" customHeight="false" outlineLevel="0" collapsed="false">
      <c r="A256" s="6" t="s">
        <v>3357</v>
      </c>
      <c r="B256" s="6" t="s">
        <v>3358</v>
      </c>
      <c r="C256" s="6" t="s">
        <v>3007</v>
      </c>
      <c r="D256" s="13" t="n">
        <v>75.379638671875</v>
      </c>
      <c r="E256" s="25" t="n">
        <v>4.22080087661743</v>
      </c>
      <c r="F256" s="25" t="n">
        <v>10.2390508651733</v>
      </c>
      <c r="G256" s="25" t="n">
        <v>2.03962326049805</v>
      </c>
      <c r="H256" s="25" t="n">
        <v>0.750322818756104</v>
      </c>
      <c r="I256" s="25" t="n">
        <v>5.07936763763428</v>
      </c>
      <c r="J256" s="25" t="n">
        <v>1.23283422851563</v>
      </c>
      <c r="K256" s="25" t="n">
        <v>0.524583801269531</v>
      </c>
      <c r="L256" s="25" t="n">
        <v>0.132336273193359</v>
      </c>
      <c r="M256" s="25" t="n">
        <v>6.97659683227539</v>
      </c>
      <c r="N256" s="25" t="n">
        <v>183.367004394531</v>
      </c>
      <c r="O256" s="25" t="n">
        <v>376.279388427734</v>
      </c>
      <c r="P256" s="25" t="n">
        <v>132.310592651367</v>
      </c>
      <c r="Q256" s="25" t="n">
        <v>124.590087890625</v>
      </c>
      <c r="R256" s="25" t="n">
        <v>21.9374752044678</v>
      </c>
      <c r="S256" s="25" t="n">
        <v>0.335980206727982</v>
      </c>
      <c r="T256" s="25" t="n">
        <v>0.558434724807739</v>
      </c>
      <c r="U256" s="25" t="n">
        <v>0.0366303026676178</v>
      </c>
      <c r="V256" s="25" t="n">
        <v>1.53645277023315</v>
      </c>
      <c r="W256" s="25" t="n">
        <v>0.0611727014183998</v>
      </c>
      <c r="X256" s="25" t="n">
        <v>17.7586097717285</v>
      </c>
      <c r="Y256" s="25" t="n">
        <v>129.227127075195</v>
      </c>
      <c r="Z256" s="25" t="n">
        <v>0.0578638948500156</v>
      </c>
      <c r="AA256" s="25" t="n">
        <v>1.34176194667816</v>
      </c>
      <c r="AB256" s="25" t="n">
        <v>9.72028255462647</v>
      </c>
      <c r="AC256" s="25" t="n">
        <v>0.061158113181591</v>
      </c>
      <c r="AD256" s="25" t="n">
        <v>0.17759370803833</v>
      </c>
      <c r="AE256" s="25" t="n">
        <v>0.522000372409821</v>
      </c>
      <c r="AF256" s="25" t="n">
        <v>0.453763574361801</v>
      </c>
      <c r="AG256" s="25" t="n">
        <v>0.105220399796963</v>
      </c>
      <c r="AH256" s="25" t="n">
        <v>2.12850952148438</v>
      </c>
      <c r="AI256" s="25" t="n">
        <v>17.1427822113037</v>
      </c>
      <c r="AJ256" s="6" t="n">
        <v>157.7</v>
      </c>
      <c r="AK256" s="6" t="n">
        <v>118.9</v>
      </c>
      <c r="AL256" s="26"/>
    </row>
    <row r="257" customFormat="false" ht="15" hidden="false" customHeight="false" outlineLevel="0" collapsed="false">
      <c r="A257" s="6" t="s">
        <v>1860</v>
      </c>
      <c r="B257" s="6" t="s">
        <v>1859</v>
      </c>
      <c r="C257" s="6" t="s">
        <v>3007</v>
      </c>
      <c r="D257" s="13" t="n">
        <v>687.719116210938</v>
      </c>
      <c r="E257" s="25" t="n">
        <v>2.19377422332764</v>
      </c>
      <c r="F257" s="25" t="n">
        <v>3.96246290206909</v>
      </c>
      <c r="G257" s="25" t="n">
        <v>73.8268661499023</v>
      </c>
      <c r="H257" s="25" t="n">
        <v>0.459863185882568</v>
      </c>
      <c r="I257" s="25" t="n">
        <v>1.87820601463318</v>
      </c>
      <c r="J257" s="25" t="n">
        <v>9.22009765625</v>
      </c>
      <c r="K257" s="25" t="n">
        <v>15.189888671875</v>
      </c>
      <c r="L257" s="25" t="n">
        <v>46.33852734375</v>
      </c>
      <c r="M257" s="25" t="n">
        <v>2.50855183601379</v>
      </c>
      <c r="N257" s="25" t="n">
        <v>99.1828231811523</v>
      </c>
      <c r="O257" s="25" t="n">
        <v>79.7099990844727</v>
      </c>
      <c r="P257" s="25" t="n">
        <v>49.0026588439941</v>
      </c>
      <c r="Q257" s="25" t="n">
        <v>47.8787536621094</v>
      </c>
      <c r="R257" s="25" t="n">
        <v>7.39642715454102</v>
      </c>
      <c r="S257" s="25" t="n">
        <v>0.238259226083756</v>
      </c>
      <c r="T257" s="25" t="n">
        <v>0.226636245846748</v>
      </c>
      <c r="U257" s="25" t="n">
        <v>0.0200988221913576</v>
      </c>
      <c r="V257" s="25" t="n">
        <v>0.611182034015656</v>
      </c>
      <c r="W257" s="25" t="n">
        <v>0.0681185871362686</v>
      </c>
      <c r="X257" s="25" t="n">
        <v>6.38540458679199</v>
      </c>
      <c r="Y257" s="25" t="n">
        <v>33.4724426269531</v>
      </c>
      <c r="Z257" s="25" t="n">
        <v>36.027889251709</v>
      </c>
      <c r="AA257" s="25" t="n">
        <v>5.20820999145508</v>
      </c>
      <c r="AB257" s="25" t="n">
        <v>0.235651835799217</v>
      </c>
      <c r="AC257" s="25" t="n">
        <v>0.0315621420741081</v>
      </c>
      <c r="AD257" s="25" t="n">
        <v>0.0695629045367241</v>
      </c>
      <c r="AE257" s="25" t="n">
        <v>0.137643486261368</v>
      </c>
      <c r="AF257" s="25" t="n">
        <v>0.162675783038139</v>
      </c>
      <c r="AG257" s="25" t="n">
        <v>0.0433979481458664</v>
      </c>
      <c r="AH257" s="25" t="n">
        <v>0.913112878799439</v>
      </c>
      <c r="AI257" s="25" t="n">
        <v>11.5042114257813</v>
      </c>
      <c r="AJ257" s="6" t="n">
        <v>328.9</v>
      </c>
      <c r="AK257" s="6" t="n">
        <v>2261.7</v>
      </c>
      <c r="AL257" s="26" t="s">
        <v>3146</v>
      </c>
    </row>
    <row r="258" customFormat="false" ht="15" hidden="false" customHeight="false" outlineLevel="0" collapsed="false">
      <c r="A258" s="6" t="s">
        <v>3359</v>
      </c>
      <c r="B258" s="6" t="s">
        <v>3360</v>
      </c>
      <c r="C258" s="6" t="s">
        <v>3007</v>
      </c>
      <c r="D258" s="13" t="n">
        <v>99.2430191040039</v>
      </c>
      <c r="E258" s="25" t="n">
        <v>3.23958325386047</v>
      </c>
      <c r="F258" s="25" t="n">
        <v>17.9312496185303</v>
      </c>
      <c r="G258" s="25" t="n">
        <v>1.77916669845581</v>
      </c>
      <c r="H258" s="25" t="n">
        <v>1.01979160308838</v>
      </c>
      <c r="I258" s="25" t="n">
        <v>15.3598957061768</v>
      </c>
      <c r="J258" s="25" t="n">
        <v>1.05208337402344</v>
      </c>
      <c r="K258" s="25" t="n">
        <v>0.427020324707031</v>
      </c>
      <c r="L258" s="25" t="n">
        <v>0.14614582824707</v>
      </c>
      <c r="M258" s="25" t="n">
        <v>5.72916650772095</v>
      </c>
      <c r="N258" s="25" t="n">
        <v>42.984375</v>
      </c>
      <c r="O258" s="25" t="n">
        <v>233.29167175293</v>
      </c>
      <c r="P258" s="25" t="n">
        <v>108.911979675293</v>
      </c>
      <c r="Q258" s="25" t="n">
        <v>94.5807266235352</v>
      </c>
      <c r="R258" s="25" t="n">
        <v>16.724479675293</v>
      </c>
      <c r="S258" s="25" t="n">
        <v>0.213541656732559</v>
      </c>
      <c r="T258" s="25" t="n">
        <v>0.417708337306976</v>
      </c>
      <c r="U258" s="25" t="n">
        <v>0.0322916656732559</v>
      </c>
      <c r="V258" s="25" t="n">
        <v>1.1640625</v>
      </c>
      <c r="W258" s="25" t="n">
        <v>0.0692708343267441</v>
      </c>
      <c r="X258" s="25" t="n">
        <v>14.5833330154419</v>
      </c>
      <c r="Y258" s="25" t="n">
        <v>111.197914123535</v>
      </c>
      <c r="Z258" s="25" t="n">
        <v>0.0791666656732559</v>
      </c>
      <c r="AA258" s="25" t="n">
        <v>1.29427087306976</v>
      </c>
      <c r="AB258" s="25" t="n">
        <v>2.70989584922791</v>
      </c>
      <c r="AC258" s="25" t="n">
        <v>0.0406249985098839</v>
      </c>
      <c r="AD258" s="25" t="n">
        <v>0.149479165673256</v>
      </c>
      <c r="AE258" s="25" t="n">
        <v>0.244270831346512</v>
      </c>
      <c r="AF258" s="25" t="n">
        <v>0.338541656732559</v>
      </c>
      <c r="AG258" s="25" t="n">
        <v>0.142187505960465</v>
      </c>
      <c r="AH258" s="25" t="n">
        <v>1.68333327770233</v>
      </c>
      <c r="AI258" s="25" t="n">
        <v>12.9682292938232</v>
      </c>
      <c r="AJ258" s="6" t="n">
        <v>192</v>
      </c>
      <c r="AK258" s="6" t="n">
        <v>190.5</v>
      </c>
      <c r="AL258" s="26"/>
    </row>
    <row r="259" customFormat="false" ht="15" hidden="false" customHeight="false" outlineLevel="0" collapsed="false">
      <c r="A259" s="6" t="s">
        <v>1655</v>
      </c>
      <c r="B259" s="6" t="s">
        <v>3361</v>
      </c>
      <c r="C259" s="6" t="s">
        <v>3362</v>
      </c>
      <c r="D259" s="13" t="n">
        <v>667.726318359375</v>
      </c>
      <c r="E259" s="25" t="n">
        <v>2.96058773994446</v>
      </c>
      <c r="F259" s="25" t="n">
        <v>5.48624086380005</v>
      </c>
      <c r="G259" s="25" t="n">
        <v>70.4029312133789</v>
      </c>
      <c r="H259" s="25" t="n">
        <v>0.965449929237366</v>
      </c>
      <c r="I259" s="25" t="n">
        <v>1.77529752254486</v>
      </c>
      <c r="J259" s="25" t="n">
        <v>8.80036328125</v>
      </c>
      <c r="K259" s="25" t="n">
        <v>14.4759833984375</v>
      </c>
      <c r="L259" s="25" t="n">
        <v>44.1869453125</v>
      </c>
      <c r="M259" s="25" t="n">
        <v>2.39477515220642</v>
      </c>
      <c r="N259" s="25" t="n">
        <v>78.9994888305664</v>
      </c>
      <c r="O259" s="25" t="n">
        <v>152.371551513672</v>
      </c>
      <c r="P259" s="25" t="n">
        <v>49.0332374572754</v>
      </c>
      <c r="Q259" s="25" t="n">
        <v>65.2295761108398</v>
      </c>
      <c r="R259" s="25" t="n">
        <v>17.8376770019531</v>
      </c>
      <c r="S259" s="25" t="n">
        <v>0.487431049346924</v>
      </c>
      <c r="T259" s="25" t="n">
        <v>0.381284475326538</v>
      </c>
      <c r="U259" s="25" t="n">
        <v>0.0567198842763901</v>
      </c>
      <c r="V259" s="25" t="n">
        <v>2.18055868148804</v>
      </c>
      <c r="W259" s="25" t="n">
        <v>0.140965163707733</v>
      </c>
      <c r="X259" s="25" t="n">
        <v>6.09579086303711</v>
      </c>
      <c r="Y259" s="25" t="n">
        <v>80.5986938476563</v>
      </c>
      <c r="Z259" s="25" t="n">
        <v>34.3176536560059</v>
      </c>
      <c r="AA259" s="25" t="n">
        <v>6.15471696853638</v>
      </c>
      <c r="AB259" s="25" t="n">
        <v>0.332931786775589</v>
      </c>
      <c r="AC259" s="25" t="n">
        <v>0.0294121913611889</v>
      </c>
      <c r="AD259" s="25" t="n">
        <v>0.0665239468216896</v>
      </c>
      <c r="AE259" s="25" t="n">
        <v>0.186930328607559</v>
      </c>
      <c r="AF259" s="25" t="n">
        <v>0.32730770111084</v>
      </c>
      <c r="AG259" s="25" t="n">
        <v>0.0415457189083099</v>
      </c>
      <c r="AH259" s="25" t="n">
        <v>0.645558774471283</v>
      </c>
      <c r="AI259" s="25" t="n">
        <v>10.6262912750244</v>
      </c>
      <c r="AJ259" s="6" t="n">
        <v>172.3</v>
      </c>
      <c r="AK259" s="6" t="n">
        <v>1150.2</v>
      </c>
      <c r="AL259" s="26" t="s">
        <v>3100</v>
      </c>
    </row>
    <row r="260" customFormat="false" ht="15" hidden="false" customHeight="false" outlineLevel="0" collapsed="false">
      <c r="A260" s="6" t="s">
        <v>2092</v>
      </c>
      <c r="B260" s="6" t="s">
        <v>3363</v>
      </c>
      <c r="C260" s="6" t="s">
        <v>3364</v>
      </c>
      <c r="D260" s="13" t="n">
        <v>667.341552734375</v>
      </c>
      <c r="E260" s="25" t="n">
        <v>2.98203849792481</v>
      </c>
      <c r="F260" s="25" t="n">
        <v>5.67723894119263</v>
      </c>
      <c r="G260" s="25" t="n">
        <v>70.276611328125</v>
      </c>
      <c r="H260" s="25" t="n">
        <v>1.13478541374207</v>
      </c>
      <c r="I260" s="25" t="n">
        <v>2.04908442497253</v>
      </c>
      <c r="J260" s="25" t="n">
        <v>9.2742265625</v>
      </c>
      <c r="K260" s="25" t="n">
        <v>14.3210625</v>
      </c>
      <c r="L260" s="25" t="n">
        <v>43.565328125</v>
      </c>
      <c r="M260" s="25" t="n">
        <v>2.36051511764526</v>
      </c>
      <c r="N260" s="25" t="n">
        <v>77.8973999023438</v>
      </c>
      <c r="O260" s="25" t="n">
        <v>154.158798217773</v>
      </c>
      <c r="P260" s="25" t="n">
        <v>48.1602020263672</v>
      </c>
      <c r="Q260" s="25" t="n">
        <v>65.4695129394531</v>
      </c>
      <c r="R260" s="25" t="n">
        <v>17.8312168121338</v>
      </c>
      <c r="S260" s="25" t="n">
        <v>0.499084413051605</v>
      </c>
      <c r="T260" s="25" t="n">
        <v>0.384170234203339</v>
      </c>
      <c r="U260" s="25" t="n">
        <v>0.0633619427680969</v>
      </c>
      <c r="V260" s="25" t="n">
        <v>2.15339779853821</v>
      </c>
      <c r="W260" s="25" t="n">
        <v>0.126030042767525</v>
      </c>
      <c r="X260" s="25" t="n">
        <v>6.00858354568481</v>
      </c>
      <c r="Y260" s="25" t="n">
        <v>42.5543632507324</v>
      </c>
      <c r="Z260" s="25" t="n">
        <v>33.8815231323242</v>
      </c>
      <c r="AA260" s="25" t="n">
        <v>5.60287570953369</v>
      </c>
      <c r="AB260" s="25" t="n">
        <v>0.291273236274719</v>
      </c>
      <c r="AC260" s="25" t="n">
        <v>0.0293490700423718</v>
      </c>
      <c r="AD260" s="25" t="n">
        <v>0.0669742524623871</v>
      </c>
      <c r="AE260" s="25" t="n">
        <v>0.186974257230759</v>
      </c>
      <c r="AF260" s="25" t="n">
        <v>0.324213176965714</v>
      </c>
      <c r="AG260" s="25" t="n">
        <v>0.0416094437241554</v>
      </c>
      <c r="AH260" s="25" t="n">
        <v>0.632346212863922</v>
      </c>
      <c r="AI260" s="25" t="n">
        <v>10.9057865142822</v>
      </c>
      <c r="AJ260" s="6" t="n">
        <v>174.8</v>
      </c>
      <c r="AK260" s="6" t="n">
        <v>1166.2</v>
      </c>
      <c r="AL260" s="26" t="s">
        <v>3100</v>
      </c>
    </row>
    <row r="261" customFormat="false" ht="15" hidden="false" customHeight="false" outlineLevel="0" collapsed="false">
      <c r="A261" s="6" t="s">
        <v>1922</v>
      </c>
      <c r="B261" s="6" t="s">
        <v>3365</v>
      </c>
      <c r="C261" s="6" t="s">
        <v>3366</v>
      </c>
      <c r="D261" s="13" t="n">
        <v>141.525802612305</v>
      </c>
      <c r="E261" s="25" t="n">
        <v>1.01245760917664</v>
      </c>
      <c r="F261" s="25" t="n">
        <v>33.5511856079102</v>
      </c>
      <c r="G261" s="25" t="n">
        <v>0.153785318136215</v>
      </c>
      <c r="H261" s="25" t="n">
        <v>0.934039533138275</v>
      </c>
      <c r="I261" s="25" t="n">
        <v>31.3123722076416</v>
      </c>
      <c r="J261" s="25" t="n">
        <v>0.0321045227050781</v>
      </c>
      <c r="K261" s="25" t="n">
        <v>0.0437867240905762</v>
      </c>
      <c r="L261" s="25" t="n">
        <v>0.0466822013854981</v>
      </c>
      <c r="M261" s="25" t="n">
        <v>0</v>
      </c>
      <c r="N261" s="25" t="n">
        <v>244.375701904297</v>
      </c>
      <c r="O261" s="25" t="n">
        <v>267.271179199219</v>
      </c>
      <c r="P261" s="25" t="n">
        <v>54.7401123046875</v>
      </c>
      <c r="Q261" s="25" t="n">
        <v>38.9463272094727</v>
      </c>
      <c r="R261" s="25" t="n">
        <v>46.269775390625</v>
      </c>
      <c r="S261" s="25" t="n">
        <v>2.7103955745697</v>
      </c>
      <c r="T261" s="25" t="n">
        <v>0.233870044350624</v>
      </c>
      <c r="U261" s="25" t="n">
        <v>0.0968926548957825</v>
      </c>
      <c r="V261" s="25" t="n">
        <v>0.300875693559647</v>
      </c>
      <c r="W261" s="25" t="n">
        <v>0.293531090021133</v>
      </c>
      <c r="X261" s="25" t="n">
        <v>0</v>
      </c>
      <c r="Y261" s="25" t="n">
        <v>83.5932159423828</v>
      </c>
      <c r="Z261" s="25" t="n">
        <v>0.029632767662406</v>
      </c>
      <c r="AA261" s="25" t="n">
        <v>0.94689267873764</v>
      </c>
      <c r="AB261" s="25" t="n">
        <v>0.536723136901856</v>
      </c>
      <c r="AC261" s="25" t="n">
        <v>0.0614971742033958</v>
      </c>
      <c r="AD261" s="25" t="n">
        <v>0.01573446393013</v>
      </c>
      <c r="AE261" s="25" t="n">
        <v>0.266864389181137</v>
      </c>
      <c r="AF261" s="25" t="n">
        <v>0.0921186432242394</v>
      </c>
      <c r="AG261" s="25" t="n">
        <v>0.218898296356201</v>
      </c>
      <c r="AH261" s="25" t="n">
        <v>0.260451972484589</v>
      </c>
      <c r="AI261" s="25" t="n">
        <v>5.60816383361816</v>
      </c>
      <c r="AJ261" s="6" t="n">
        <v>17.7</v>
      </c>
      <c r="AK261" s="6" t="n">
        <v>25.1</v>
      </c>
      <c r="AL261" s="26"/>
    </row>
    <row r="262" customFormat="false" ht="15" hidden="false" customHeight="false" outlineLevel="0" collapsed="false">
      <c r="A262" s="6" t="s">
        <v>2150</v>
      </c>
      <c r="B262" s="6" t="s">
        <v>3367</v>
      </c>
      <c r="C262" s="6" t="s">
        <v>3007</v>
      </c>
      <c r="D262" s="13" t="n">
        <v>75.0260314941406</v>
      </c>
      <c r="E262" s="25" t="n">
        <v>2.29722547531128</v>
      </c>
      <c r="F262" s="25" t="n">
        <v>10.0490875244141</v>
      </c>
      <c r="G262" s="25" t="n">
        <v>2.97233653068543</v>
      </c>
      <c r="H262" s="25" t="n">
        <v>0.172836884856224</v>
      </c>
      <c r="I262" s="25" t="n">
        <v>8.01795101165772</v>
      </c>
      <c r="J262" s="25" t="n">
        <v>1.70400415039063</v>
      </c>
      <c r="K262" s="25" t="n">
        <v>0.866183471679688</v>
      </c>
      <c r="L262" s="25" t="n">
        <v>0.129287857055664</v>
      </c>
      <c r="M262" s="25" t="n">
        <v>0</v>
      </c>
      <c r="N262" s="25" t="n">
        <v>16.2362079620361</v>
      </c>
      <c r="O262" s="25" t="n">
        <v>83.0804290771484</v>
      </c>
      <c r="P262" s="25" t="n">
        <v>75.572883605957</v>
      </c>
      <c r="Q262" s="25" t="n">
        <v>65.4072189331055</v>
      </c>
      <c r="R262" s="25" t="n">
        <v>7.33419752120972</v>
      </c>
      <c r="S262" s="25" t="n">
        <v>0.168968364596367</v>
      </c>
      <c r="T262" s="25" t="n">
        <v>0.252225071191788</v>
      </c>
      <c r="U262" s="25" t="n">
        <v>0.0367076359689236</v>
      </c>
      <c r="V262" s="25" t="n">
        <v>0.653317272663117</v>
      </c>
      <c r="W262" s="25" t="n">
        <v>0.0822452679276466</v>
      </c>
      <c r="X262" s="25" t="n">
        <v>0</v>
      </c>
      <c r="Y262" s="25" t="n">
        <v>127.084976196289</v>
      </c>
      <c r="Z262" s="25" t="n">
        <v>0.211960822343826</v>
      </c>
      <c r="AA262" s="25" t="n">
        <v>0.0752262473106384</v>
      </c>
      <c r="AB262" s="25" t="n">
        <v>1.2624876499176</v>
      </c>
      <c r="AC262" s="25" t="n">
        <v>0.0238376017659903</v>
      </c>
      <c r="AD262" s="25" t="n">
        <v>0.071011945605278</v>
      </c>
      <c r="AE262" s="25" t="n">
        <v>0.125908344984055</v>
      </c>
      <c r="AF262" s="25" t="n">
        <v>0.228765934705734</v>
      </c>
      <c r="AG262" s="25" t="n">
        <v>0.0314873717725277</v>
      </c>
      <c r="AH262" s="25" t="n">
        <v>1.25730562210083</v>
      </c>
      <c r="AI262" s="25" t="n">
        <v>4.87234354019165</v>
      </c>
      <c r="AJ262" s="6" t="n">
        <v>401.1</v>
      </c>
      <c r="AK262" s="6" t="n">
        <v>300.9</v>
      </c>
      <c r="AL262" s="26"/>
    </row>
    <row r="263" customFormat="false" ht="15" hidden="false" customHeight="false" outlineLevel="0" collapsed="false">
      <c r="A263" s="6" t="s">
        <v>3368</v>
      </c>
      <c r="B263" s="6" t="s">
        <v>3369</v>
      </c>
      <c r="C263" s="6" t="s">
        <v>3007</v>
      </c>
      <c r="D263" s="13" t="n">
        <v>107.849418640137</v>
      </c>
      <c r="E263" s="25" t="n">
        <v>3.30998539924622</v>
      </c>
      <c r="F263" s="25" t="n">
        <v>12.8786792755127</v>
      </c>
      <c r="G263" s="25" t="n">
        <v>5.00443649291992</v>
      </c>
      <c r="H263" s="25" t="n">
        <v>0.114798463881016</v>
      </c>
      <c r="I263" s="25" t="n">
        <v>11.5399675369263</v>
      </c>
      <c r="J263" s="25" t="n">
        <v>2.87829663085938</v>
      </c>
      <c r="K263" s="25" t="n">
        <v>1.43794995117188</v>
      </c>
      <c r="L263" s="25" t="n">
        <v>0.232529037475586</v>
      </c>
      <c r="M263" s="25" t="n">
        <v>1.76908421516419</v>
      </c>
      <c r="N263" s="25" t="n">
        <v>23.4004707336426</v>
      </c>
      <c r="O263" s="25" t="n">
        <v>139.349136352539</v>
      </c>
      <c r="P263" s="25" t="n">
        <v>111.64266204834</v>
      </c>
      <c r="Q263" s="25" t="n">
        <v>100.55549621582</v>
      </c>
      <c r="R263" s="25" t="n">
        <v>13.392614364624</v>
      </c>
      <c r="S263" s="25" t="n">
        <v>0.281273245811462</v>
      </c>
      <c r="T263" s="25" t="n">
        <v>0.343820780515671</v>
      </c>
      <c r="U263" s="25" t="n">
        <v>0.0495264492928982</v>
      </c>
      <c r="V263" s="25" t="n">
        <v>0.899471819400787</v>
      </c>
      <c r="W263" s="25" t="n">
        <v>0.1319240629673</v>
      </c>
      <c r="X263" s="25" t="n">
        <v>6.63047027587891</v>
      </c>
      <c r="Y263" s="25" t="n">
        <v>195.002166748047</v>
      </c>
      <c r="Z263" s="25" t="n">
        <v>0.343891263008118</v>
      </c>
      <c r="AA263" s="25" t="n">
        <v>0.0545611456036568</v>
      </c>
      <c r="AB263" s="25" t="n">
        <v>1.82084929943085</v>
      </c>
      <c r="AC263" s="25" t="n">
        <v>0.0397738330066204</v>
      </c>
      <c r="AD263" s="25" t="n">
        <v>0.10295782238245</v>
      </c>
      <c r="AE263" s="25" t="n">
        <v>0.120107509195805</v>
      </c>
      <c r="AF263" s="25" t="n">
        <v>0.325465828180313</v>
      </c>
      <c r="AG263" s="25" t="n">
        <v>0.0488112606108189</v>
      </c>
      <c r="AH263" s="25" t="n">
        <v>1.80222892761231</v>
      </c>
      <c r="AI263" s="25" t="n">
        <v>8.54642295837402</v>
      </c>
      <c r="AJ263" s="6" t="n">
        <v>278.1</v>
      </c>
      <c r="AK263" s="6" t="n">
        <v>299.9</v>
      </c>
      <c r="AL263" s="26"/>
    </row>
    <row r="264" customFormat="false" ht="15" hidden="false" customHeight="false" outlineLevel="0" collapsed="false">
      <c r="A264" s="6" t="s">
        <v>2155</v>
      </c>
      <c r="B264" s="6" t="s">
        <v>3370</v>
      </c>
      <c r="C264" s="6" t="s">
        <v>3007</v>
      </c>
      <c r="D264" s="13" t="n">
        <v>120.069236755371</v>
      </c>
      <c r="E264" s="25" t="n">
        <v>3.35467672348023</v>
      </c>
      <c r="F264" s="25" t="n">
        <v>15.8743591308594</v>
      </c>
      <c r="G264" s="25" t="n">
        <v>4.99708604812622</v>
      </c>
      <c r="H264" s="25" t="n">
        <v>0.495508313179016</v>
      </c>
      <c r="I264" s="25" t="n">
        <v>12.7912425994873</v>
      </c>
      <c r="J264" s="25" t="n">
        <v>2.85530834960938</v>
      </c>
      <c r="K264" s="25" t="n">
        <v>1.45034106445313</v>
      </c>
      <c r="L264" s="25" t="n">
        <v>0.229310028076172</v>
      </c>
      <c r="M264" s="25" t="n">
        <v>2.11676645278931</v>
      </c>
      <c r="N264" s="25" t="n">
        <v>22.520637512207</v>
      </c>
      <c r="O264" s="25" t="n">
        <v>116.570541381836</v>
      </c>
      <c r="P264" s="25" t="n">
        <v>104.797386169434</v>
      </c>
      <c r="Q264" s="25" t="n">
        <v>90.3391036987305</v>
      </c>
      <c r="R264" s="25" t="n">
        <v>10.6692047119141</v>
      </c>
      <c r="S264" s="25" t="n">
        <v>0.295074224472046</v>
      </c>
      <c r="T264" s="25" t="n">
        <v>0.347525715827942</v>
      </c>
      <c r="U264" s="25" t="n">
        <v>0.052399430423975</v>
      </c>
      <c r="V264" s="25" t="n">
        <v>1.46006238460541</v>
      </c>
      <c r="W264" s="25" t="n">
        <v>0.0559557713568211</v>
      </c>
      <c r="X264" s="25" t="n">
        <v>7.93357181549072</v>
      </c>
      <c r="Y264" s="25" t="n">
        <v>190.272750854492</v>
      </c>
      <c r="Z264" s="25" t="n">
        <v>0.362909257411957</v>
      </c>
      <c r="AA264" s="25" t="n">
        <v>0.0923959910869598</v>
      </c>
      <c r="AB264" s="25" t="n">
        <v>1.74472916126251</v>
      </c>
      <c r="AC264" s="25" t="n">
        <v>0.0322045348584652</v>
      </c>
      <c r="AD264" s="25" t="n">
        <v>0.0965512171387672</v>
      </c>
      <c r="AE264" s="25" t="n">
        <v>0.118107385933399</v>
      </c>
      <c r="AF264" s="25" t="n">
        <v>0.318321645259857</v>
      </c>
      <c r="AG264" s="25" t="n">
        <v>0.0371049344539642</v>
      </c>
      <c r="AH264" s="25" t="n">
        <v>1.7769501209259</v>
      </c>
      <c r="AI264" s="25" t="n">
        <v>7.00910663604736</v>
      </c>
      <c r="AJ264" s="6" t="n">
        <v>232.4</v>
      </c>
      <c r="AK264" s="6" t="n">
        <v>279.1</v>
      </c>
      <c r="AL264" s="26"/>
    </row>
    <row r="265" customFormat="false" ht="15" hidden="false" customHeight="false" outlineLevel="0" collapsed="false">
      <c r="A265" s="6" t="s">
        <v>3371</v>
      </c>
      <c r="B265" s="6" t="s">
        <v>3372</v>
      </c>
      <c r="C265" s="6" t="s">
        <v>3007</v>
      </c>
      <c r="D265" s="13" t="n">
        <v>113.210792541504</v>
      </c>
      <c r="E265" s="25" t="n">
        <v>3.42675638198853</v>
      </c>
      <c r="F265" s="25" t="n">
        <v>15.882381439209</v>
      </c>
      <c r="G265" s="25" t="n">
        <v>4.20419502258301</v>
      </c>
      <c r="H265" s="25" t="n">
        <v>0.507186591625214</v>
      </c>
      <c r="I265" s="25" t="n">
        <v>12.8809986114502</v>
      </c>
      <c r="J265" s="25" t="n">
        <v>2.37472778320313</v>
      </c>
      <c r="K265" s="25" t="n">
        <v>1.24153881835938</v>
      </c>
      <c r="L265" s="25" t="n">
        <v>0.198448684692383</v>
      </c>
      <c r="M265" s="25" t="n">
        <v>0</v>
      </c>
      <c r="N265" s="25" t="n">
        <v>22.6588191986084</v>
      </c>
      <c r="O265" s="25" t="n">
        <v>122.225791931152</v>
      </c>
      <c r="P265" s="25" t="n">
        <v>105.991218566895</v>
      </c>
      <c r="Q265" s="25" t="n">
        <v>91.6439590454102</v>
      </c>
      <c r="R265" s="25" t="n">
        <v>10.7123336791992</v>
      </c>
      <c r="S265" s="25" t="n">
        <v>0.336258739233017</v>
      </c>
      <c r="T265" s="25" t="n">
        <v>0.404788464307785</v>
      </c>
      <c r="U265" s="25" t="n">
        <v>0.0632695406675339</v>
      </c>
      <c r="V265" s="25" t="n">
        <v>1.32692050933838</v>
      </c>
      <c r="W265" s="25" t="n">
        <v>0.109819903969765</v>
      </c>
      <c r="X265" s="25" t="n">
        <v>0</v>
      </c>
      <c r="Y265" s="25" t="n">
        <v>186.806381225586</v>
      </c>
      <c r="Z265" s="25" t="n">
        <v>0.324311077594757</v>
      </c>
      <c r="AA265" s="25" t="n">
        <v>0.101877361536026</v>
      </c>
      <c r="AB265" s="25" t="n">
        <v>1.75987243652344</v>
      </c>
      <c r="AC265" s="25" t="n">
        <v>0.0398615635931492</v>
      </c>
      <c r="AD265" s="25" t="n">
        <v>0.0986911430954933</v>
      </c>
      <c r="AE265" s="25" t="n">
        <v>0.139095172286034</v>
      </c>
      <c r="AF265" s="25" t="n">
        <v>0.33236774802208</v>
      </c>
      <c r="AG265" s="25" t="n">
        <v>0.0408987551927567</v>
      </c>
      <c r="AH265" s="25" t="n">
        <v>1.75331556797028</v>
      </c>
      <c r="AI265" s="25" t="n">
        <v>7.61110401153565</v>
      </c>
      <c r="AJ265" s="6" t="n">
        <v>230.4</v>
      </c>
      <c r="AK265" s="6" t="n">
        <v>260.9</v>
      </c>
      <c r="AL265" s="26"/>
    </row>
    <row r="266" customFormat="false" ht="15" hidden="false" customHeight="false" outlineLevel="0" collapsed="false">
      <c r="A266" s="6" t="s">
        <v>3373</v>
      </c>
      <c r="B266" s="6" t="s">
        <v>3374</v>
      </c>
      <c r="C266" s="6" t="s">
        <v>3007</v>
      </c>
      <c r="D266" s="13" t="n">
        <v>105.305252075195</v>
      </c>
      <c r="E266" s="25" t="n">
        <v>4.52726888656616</v>
      </c>
      <c r="F266" s="25" t="n">
        <v>10.0291166305542</v>
      </c>
      <c r="G266" s="25" t="n">
        <v>5.37218904495239</v>
      </c>
      <c r="H266" s="25" t="n">
        <v>0.0679646208882332</v>
      </c>
      <c r="I266" s="25" t="n">
        <v>9.86566162109375</v>
      </c>
      <c r="J266" s="25" t="n">
        <v>3.11973486328125</v>
      </c>
      <c r="K266" s="25" t="n">
        <v>1.56726806640625</v>
      </c>
      <c r="L266" s="25" t="n">
        <v>0.208525482177734</v>
      </c>
      <c r="M266" s="25" t="n">
        <v>0</v>
      </c>
      <c r="N266" s="25" t="n">
        <v>23.812915802002</v>
      </c>
      <c r="O266" s="25" t="n">
        <v>112.74829864502</v>
      </c>
      <c r="P266" s="25" t="n">
        <v>144.662811279297</v>
      </c>
      <c r="Q266" s="25" t="n">
        <v>114.01554107666</v>
      </c>
      <c r="R266" s="25" t="n">
        <v>10.9077959060669</v>
      </c>
      <c r="S266" s="25" t="n">
        <v>0.264257669448853</v>
      </c>
      <c r="T266" s="25" t="n">
        <v>0.540287435054779</v>
      </c>
      <c r="U266" s="25" t="n">
        <v>0.0458114221692085</v>
      </c>
      <c r="V266" s="25" t="n">
        <v>2.84166216850281</v>
      </c>
      <c r="W266" s="25" t="n">
        <v>0.0319794081151485</v>
      </c>
      <c r="X266" s="25" t="n">
        <v>0</v>
      </c>
      <c r="Y266" s="25" t="n">
        <v>190.497848510742</v>
      </c>
      <c r="Z266" s="25" t="n">
        <v>0.29102373123169</v>
      </c>
      <c r="AA266" s="25" t="n">
        <v>0.0396489650011063</v>
      </c>
      <c r="AB266" s="25" t="n">
        <v>1.74835848808289</v>
      </c>
      <c r="AC266" s="25" t="n">
        <v>0.0286262668669224</v>
      </c>
      <c r="AD266" s="25" t="n">
        <v>0.104831568896771</v>
      </c>
      <c r="AE266" s="25" t="n">
        <v>0.0967477485537529</v>
      </c>
      <c r="AF266" s="25" t="n">
        <v>0.339762657880783</v>
      </c>
      <c r="AG266" s="25" t="n">
        <v>0.0391262136399746</v>
      </c>
      <c r="AH266" s="25" t="n">
        <v>3.54011845588684</v>
      </c>
      <c r="AI266" s="25" t="n">
        <v>14.446590423584</v>
      </c>
      <c r="AJ266" s="6" t="n">
        <v>289.4</v>
      </c>
      <c r="AK266" s="6" t="n">
        <v>304.8</v>
      </c>
      <c r="AL266" s="26"/>
    </row>
    <row r="267" customFormat="false" ht="15" hidden="false" customHeight="false" outlineLevel="0" collapsed="false">
      <c r="A267" s="6" t="s">
        <v>3375</v>
      </c>
      <c r="B267" s="6" t="s">
        <v>3376</v>
      </c>
      <c r="C267" s="6" t="s">
        <v>3007</v>
      </c>
      <c r="D267" s="13" t="n">
        <v>83.5087127685547</v>
      </c>
      <c r="E267" s="25" t="n">
        <v>2.87005257606506</v>
      </c>
      <c r="F267" s="25" t="n">
        <v>9.72950267791748</v>
      </c>
      <c r="G267" s="25" t="n">
        <v>3.7974009513855</v>
      </c>
      <c r="H267" s="25" t="n">
        <v>0.51122510433197</v>
      </c>
      <c r="I267" s="25" t="n">
        <v>9.28219318389893</v>
      </c>
      <c r="J267" s="25" t="n">
        <v>2.15454711914063</v>
      </c>
      <c r="K267" s="25" t="n">
        <v>1.12650390625</v>
      </c>
      <c r="L267" s="25" t="n">
        <v>0.181325042724609</v>
      </c>
      <c r="M267" s="25" t="n">
        <v>0</v>
      </c>
      <c r="N267" s="25" t="n">
        <v>22.6678123474121</v>
      </c>
      <c r="O267" s="25" t="n">
        <v>136.04719543457</v>
      </c>
      <c r="P267" s="25" t="n">
        <v>102.740074157715</v>
      </c>
      <c r="Q267" s="25" t="n">
        <v>83.0386276245117</v>
      </c>
      <c r="R267" s="25" t="n">
        <v>10.9937629699707</v>
      </c>
      <c r="S267" s="25" t="n">
        <v>0.237723931670189</v>
      </c>
      <c r="T267" s="25" t="n">
        <v>0.305684864521027</v>
      </c>
      <c r="U267" s="25" t="n">
        <v>0.0411083586513996</v>
      </c>
      <c r="V267" s="25" t="n">
        <v>0.941957712173462</v>
      </c>
      <c r="W267" s="25" t="n">
        <v>0.0530825778841972</v>
      </c>
      <c r="X267" s="25" t="n">
        <v>0</v>
      </c>
      <c r="Y267" s="25" t="n">
        <v>201.256896972656</v>
      </c>
      <c r="Z267" s="25" t="n">
        <v>0.293719291687012</v>
      </c>
      <c r="AA267" s="25" t="n">
        <v>17.8103046417236</v>
      </c>
      <c r="AB267" s="25" t="n">
        <v>6.82123756408691</v>
      </c>
      <c r="AC267" s="25" t="n">
        <v>0.0294198784977198</v>
      </c>
      <c r="AD267" s="25" t="n">
        <v>0.0956703200936317</v>
      </c>
      <c r="AE267" s="25" t="n">
        <v>0.119292929768562</v>
      </c>
      <c r="AF267" s="25" t="n">
        <v>0.30926975607872</v>
      </c>
      <c r="AG267" s="25" t="n">
        <v>0.0531552881002426</v>
      </c>
      <c r="AH267" s="25" t="n">
        <v>1.79230630397797</v>
      </c>
      <c r="AI267" s="25" t="n">
        <v>13.1722936630249</v>
      </c>
      <c r="AJ267" s="6" t="n">
        <v>254.4</v>
      </c>
      <c r="AK267" s="6" t="n">
        <v>212.5</v>
      </c>
      <c r="AL267" s="26"/>
    </row>
    <row r="268" customFormat="false" ht="15" hidden="false" customHeight="false" outlineLevel="0" collapsed="false">
      <c r="A268" s="6" t="s">
        <v>3377</v>
      </c>
      <c r="B268" s="6" t="s">
        <v>3378</v>
      </c>
      <c r="C268" s="6" t="s">
        <v>3007</v>
      </c>
      <c r="D268" s="13" t="n">
        <v>85.349853515625</v>
      </c>
      <c r="E268" s="25" t="n">
        <v>2.80559492111206</v>
      </c>
      <c r="F268" s="25" t="n">
        <v>10.0910949707031</v>
      </c>
      <c r="G268" s="25" t="n">
        <v>3.85242581367493</v>
      </c>
      <c r="H268" s="25" t="n">
        <v>0.73446923494339</v>
      </c>
      <c r="I268" s="25" t="n">
        <v>9.63278102874756</v>
      </c>
      <c r="J268" s="25" t="n">
        <v>2.16101977539063</v>
      </c>
      <c r="K268" s="25" t="n">
        <v>1.12508264160156</v>
      </c>
      <c r="L268" s="25" t="n">
        <v>0.208774642944336</v>
      </c>
      <c r="M268" s="25" t="n">
        <v>0</v>
      </c>
      <c r="N268" s="25" t="n">
        <v>28.5397624969482</v>
      </c>
      <c r="O268" s="25" t="n">
        <v>142.33576965332</v>
      </c>
      <c r="P268" s="25" t="n">
        <v>100.119316101074</v>
      </c>
      <c r="Q268" s="25" t="n">
        <v>85.0682601928711</v>
      </c>
      <c r="R268" s="25" t="n">
        <v>10.7956733703613</v>
      </c>
      <c r="S268" s="25" t="n">
        <v>0.277027487754822</v>
      </c>
      <c r="T268" s="25" t="n">
        <v>0.319834142923355</v>
      </c>
      <c r="U268" s="25" t="n">
        <v>0.048969067633152</v>
      </c>
      <c r="V268" s="25" t="n">
        <v>0.806753516197205</v>
      </c>
      <c r="W268" s="25" t="n">
        <v>0.0577990002930164</v>
      </c>
      <c r="X268" s="25" t="n">
        <v>0</v>
      </c>
      <c r="Y268" s="25" t="n">
        <v>1632.53466796875</v>
      </c>
      <c r="Z268" s="25" t="n">
        <v>0.318873554468155</v>
      </c>
      <c r="AA268" s="25" t="n">
        <v>2.92998313903809</v>
      </c>
      <c r="AB268" s="25" t="n">
        <v>2.57173824310303</v>
      </c>
      <c r="AC268" s="25" t="n">
        <v>0.0309920217841864</v>
      </c>
      <c r="AD268" s="25" t="n">
        <v>0.0925260409712791</v>
      </c>
      <c r="AE268" s="25" t="n">
        <v>0.116148643195629</v>
      </c>
      <c r="AF268" s="25" t="n">
        <v>0.318702578544617</v>
      </c>
      <c r="AG268" s="25" t="n">
        <v>0.0500110052525997</v>
      </c>
      <c r="AH268" s="25" t="n">
        <v>1.80645561218262</v>
      </c>
      <c r="AI268" s="25" t="n">
        <v>9.66327381134033</v>
      </c>
      <c r="AJ268" s="6" t="n">
        <v>254.4</v>
      </c>
      <c r="AK268" s="6" t="n">
        <v>217.2</v>
      </c>
      <c r="AL268" s="26"/>
    </row>
    <row r="269" customFormat="false" ht="15" hidden="false" customHeight="false" outlineLevel="0" collapsed="false">
      <c r="A269" s="6" t="s">
        <v>3379</v>
      </c>
      <c r="B269" s="6" t="s">
        <v>3380</v>
      </c>
      <c r="C269" s="6" t="s">
        <v>3007</v>
      </c>
      <c r="D269" s="13" t="n">
        <v>81.9539260864258</v>
      </c>
      <c r="E269" s="25" t="n">
        <v>3.03789854049683</v>
      </c>
      <c r="F269" s="25" t="n">
        <v>8.78256797790527</v>
      </c>
      <c r="G269" s="25" t="n">
        <v>3.95155763626099</v>
      </c>
      <c r="H269" s="25" t="n">
        <v>0.55208420753479</v>
      </c>
      <c r="I269" s="25" t="n">
        <v>8.49117565155029</v>
      </c>
      <c r="J269" s="25" t="n">
        <v>2.25454077148438</v>
      </c>
      <c r="K269" s="25" t="n">
        <v>1.1401884765625</v>
      </c>
      <c r="L269" s="25" t="n">
        <v>0.190580856323242</v>
      </c>
      <c r="M269" s="25" t="n">
        <v>0</v>
      </c>
      <c r="N269" s="25" t="n">
        <v>25.1945343017578</v>
      </c>
      <c r="O269" s="25" t="n">
        <v>145.204116821289</v>
      </c>
      <c r="P269" s="25" t="n">
        <v>101.751327514648</v>
      </c>
      <c r="Q269" s="25" t="n">
        <v>87.516731262207</v>
      </c>
      <c r="R269" s="25" t="n">
        <v>11.2168426513672</v>
      </c>
      <c r="S269" s="25" t="n">
        <v>0.303465813398361</v>
      </c>
      <c r="T269" s="25" t="n">
        <v>0.329387366771698</v>
      </c>
      <c r="U269" s="25" t="n">
        <v>0.0419117696583271</v>
      </c>
      <c r="V269" s="25" t="n">
        <v>0.863128781318665</v>
      </c>
      <c r="W269" s="25" t="n">
        <v>0.0499484278261662</v>
      </c>
      <c r="X269" s="25" t="n">
        <v>0</v>
      </c>
      <c r="Y269" s="25" t="n">
        <v>171.812881469727</v>
      </c>
      <c r="Z269" s="25" t="n">
        <v>0.277669757604599</v>
      </c>
      <c r="AA269" s="25" t="n">
        <v>1.92055833339691</v>
      </c>
      <c r="AB269" s="25" t="n">
        <v>7.85608339309692</v>
      </c>
      <c r="AC269" s="25" t="n">
        <v>0.0308290924876928</v>
      </c>
      <c r="AD269" s="25" t="n">
        <v>0.10065171122551</v>
      </c>
      <c r="AE269" s="25" t="n">
        <v>0.122036918997765</v>
      </c>
      <c r="AF269" s="25" t="n">
        <v>0.364246308803558</v>
      </c>
      <c r="AG269" s="25" t="n">
        <v>0.0509946458041668</v>
      </c>
      <c r="AH269" s="25" t="n">
        <v>1.96240997314453</v>
      </c>
      <c r="AI269" s="25" t="n">
        <v>12.1096038818359</v>
      </c>
      <c r="AJ269" s="6" t="n">
        <v>304.4</v>
      </c>
      <c r="AK269" s="6" t="n">
        <v>249.5</v>
      </c>
      <c r="AL269" s="26"/>
    </row>
    <row r="270" customFormat="false" ht="15" hidden="false" customHeight="false" outlineLevel="0" collapsed="false">
      <c r="A270" s="6" t="s">
        <v>3381</v>
      </c>
      <c r="B270" s="6" t="s">
        <v>3382</v>
      </c>
      <c r="C270" s="6" t="s">
        <v>3007</v>
      </c>
      <c r="D270" s="13" t="n">
        <v>77.1571655273438</v>
      </c>
      <c r="E270" s="25" t="n">
        <v>2.95248866081238</v>
      </c>
      <c r="F270" s="25" t="n">
        <v>9.89400672912598</v>
      </c>
      <c r="G270" s="25" t="n">
        <v>2.97368884086609</v>
      </c>
      <c r="H270" s="25" t="n">
        <v>0.395187854766846</v>
      </c>
      <c r="I270" s="25" t="n">
        <v>7.91855192184448</v>
      </c>
      <c r="J270" s="25" t="n">
        <v>1.69048876953125</v>
      </c>
      <c r="K270" s="25" t="n">
        <v>0.855023376464844</v>
      </c>
      <c r="L270" s="25" t="n">
        <v>0.141549789428711</v>
      </c>
      <c r="M270" s="25" t="n">
        <v>0</v>
      </c>
      <c r="N270" s="25" t="n">
        <v>16.3364124298096</v>
      </c>
      <c r="O270" s="25" t="n">
        <v>123.55891418457</v>
      </c>
      <c r="P270" s="25" t="n">
        <v>75.6646194458008</v>
      </c>
      <c r="Q270" s="25" t="n">
        <v>76.4509735107422</v>
      </c>
      <c r="R270" s="25" t="n">
        <v>11.9096841812134</v>
      </c>
      <c r="S270" s="25" t="n">
        <v>0.281513690948486</v>
      </c>
      <c r="T270" s="25" t="n">
        <v>0.310350477695465</v>
      </c>
      <c r="U270" s="25" t="n">
        <v>0.0642014667391777</v>
      </c>
      <c r="V270" s="25" t="n">
        <v>2.45680451393127</v>
      </c>
      <c r="W270" s="25" t="n">
        <v>0.0510712079703808</v>
      </c>
      <c r="X270" s="25" t="n">
        <v>0</v>
      </c>
      <c r="Y270" s="25" t="n">
        <v>146.932373046875</v>
      </c>
      <c r="Z270" s="25" t="n">
        <v>0.215033426880837</v>
      </c>
      <c r="AA270" s="25" t="n">
        <v>0.335386127233505</v>
      </c>
      <c r="AB270" s="25" t="n">
        <v>1.24812519550324</v>
      </c>
      <c r="AC270" s="25" t="n">
        <v>0.0321517884731293</v>
      </c>
      <c r="AD270" s="25" t="n">
        <v>0.0731110200285912</v>
      </c>
      <c r="AE270" s="25" t="n">
        <v>0.129126355051994</v>
      </c>
      <c r="AF270" s="25" t="n">
        <v>0.274492532014847</v>
      </c>
      <c r="AG270" s="25" t="n">
        <v>0.0324946343898773</v>
      </c>
      <c r="AH270" s="25" t="n">
        <v>1.25389456748962</v>
      </c>
      <c r="AI270" s="25" t="n">
        <v>7.96728563308716</v>
      </c>
      <c r="AJ270" s="6" t="n">
        <v>405.4</v>
      </c>
      <c r="AK270" s="6" t="n">
        <v>312.8</v>
      </c>
      <c r="AL270" s="26"/>
    </row>
    <row r="271" customFormat="false" ht="15" hidden="false" customHeight="false" outlineLevel="0" collapsed="false">
      <c r="A271" s="6" t="s">
        <v>2163</v>
      </c>
      <c r="B271" s="6" t="s">
        <v>2161</v>
      </c>
      <c r="C271" s="6" t="s">
        <v>3007</v>
      </c>
      <c r="D271" s="13" t="n">
        <v>116.11735534668</v>
      </c>
      <c r="E271" s="25" t="n">
        <v>3.48725152015686</v>
      </c>
      <c r="F271" s="25" t="n">
        <v>16.1082935333252</v>
      </c>
      <c r="G271" s="25" t="n">
        <v>4.34445524215698</v>
      </c>
      <c r="H271" s="25" t="n">
        <v>0.35763630270958</v>
      </c>
      <c r="I271" s="25" t="n">
        <v>10.7878522872925</v>
      </c>
      <c r="J271" s="25" t="n">
        <v>2.37552465820313</v>
      </c>
      <c r="K271" s="25" t="n">
        <v>1.34497668457031</v>
      </c>
      <c r="L271" s="25" t="n">
        <v>0.234847015380859</v>
      </c>
      <c r="M271" s="25" t="n">
        <v>0</v>
      </c>
      <c r="N271" s="25" t="n">
        <v>22.4709873199463</v>
      </c>
      <c r="O271" s="25" t="n">
        <v>114.505477905273</v>
      </c>
      <c r="P271" s="25" t="n">
        <v>104.570190429688</v>
      </c>
      <c r="Q271" s="25" t="n">
        <v>96.2997741699219</v>
      </c>
      <c r="R271" s="25" t="n">
        <v>11.5304250717163</v>
      </c>
      <c r="S271" s="25" t="n">
        <v>0.226344838738442</v>
      </c>
      <c r="T271" s="25" t="n">
        <v>0.391668379306793</v>
      </c>
      <c r="U271" s="25" t="n">
        <v>0.0601529888808727</v>
      </c>
      <c r="V271" s="25" t="n">
        <v>0.927965700626373</v>
      </c>
      <c r="W271" s="25" t="n">
        <v>0.0824850127100945</v>
      </c>
      <c r="X271" s="25" t="n">
        <v>0</v>
      </c>
      <c r="Y271" s="25" t="n">
        <v>175.601638793945</v>
      </c>
      <c r="Z271" s="25" t="n">
        <v>0.393526315689087</v>
      </c>
      <c r="AA271" s="25" t="n">
        <v>0.167624562978745</v>
      </c>
      <c r="AB271" s="25" t="n">
        <v>1.73710572719574</v>
      </c>
      <c r="AC271" s="25" t="n">
        <v>0.0387051217257977</v>
      </c>
      <c r="AD271" s="25" t="n">
        <v>0.100879333913326</v>
      </c>
      <c r="AE271" s="25" t="n">
        <v>0.270264625549316</v>
      </c>
      <c r="AF271" s="25" t="n">
        <v>0.336367577314377</v>
      </c>
      <c r="AG271" s="25" t="n">
        <v>0.0503059737384319</v>
      </c>
      <c r="AH271" s="25" t="n">
        <v>1.74524772167206</v>
      </c>
      <c r="AI271" s="25" t="n">
        <v>7.00655126571655</v>
      </c>
      <c r="AJ271" s="6" t="n">
        <v>290.2</v>
      </c>
      <c r="AK271" s="6" t="n">
        <v>337</v>
      </c>
      <c r="AL271" s="26"/>
    </row>
    <row r="272" customFormat="false" ht="15" hidden="false" customHeight="false" outlineLevel="0" collapsed="false">
      <c r="A272" s="6" t="s">
        <v>2133</v>
      </c>
      <c r="B272" s="6" t="s">
        <v>3383</v>
      </c>
      <c r="C272" s="6" t="s">
        <v>3007</v>
      </c>
      <c r="D272" s="13" t="n">
        <v>225.647766113281</v>
      </c>
      <c r="E272" s="25" t="n">
        <v>2.16445565223694</v>
      </c>
      <c r="F272" s="25" t="n">
        <v>24.6663627624512</v>
      </c>
      <c r="G272" s="25" t="n">
        <v>13.3819122314453</v>
      </c>
      <c r="H272" s="25" t="n">
        <v>1.85623610019684</v>
      </c>
      <c r="I272" s="25" t="n">
        <v>13.9758625030518</v>
      </c>
      <c r="J272" s="25" t="n">
        <v>7.4127216796875</v>
      </c>
      <c r="K272" s="25" t="n">
        <v>3.90634765625</v>
      </c>
      <c r="L272" s="25" t="n">
        <v>0.857213256835938</v>
      </c>
      <c r="M272" s="25" t="n">
        <v>30.823205947876</v>
      </c>
      <c r="N272" s="25" t="n">
        <v>1.27936220169067</v>
      </c>
      <c r="O272" s="25" t="n">
        <v>70.4598388671875</v>
      </c>
      <c r="P272" s="25" t="n">
        <v>11.7690563201904</v>
      </c>
      <c r="Q272" s="25" t="n">
        <v>27.6422653198242</v>
      </c>
      <c r="R272" s="25" t="n">
        <v>13.0761384963989</v>
      </c>
      <c r="S272" s="25" t="n">
        <v>0.654718697071075</v>
      </c>
      <c r="T272" s="25" t="n">
        <v>0.420971065759659</v>
      </c>
      <c r="U272" s="25" t="n">
        <v>0.112795390188694</v>
      </c>
      <c r="V272" s="25" t="n">
        <v>1.82726609706879</v>
      </c>
      <c r="W272" s="25" t="n">
        <v>0.477937608957291</v>
      </c>
      <c r="X272" s="25" t="n">
        <v>115.524368286133</v>
      </c>
      <c r="Y272" s="25" t="n">
        <v>279.713745117188</v>
      </c>
      <c r="Z272" s="25" t="n">
        <v>1.20924317836762</v>
      </c>
      <c r="AA272" s="25" t="n">
        <v>0.370107769966126</v>
      </c>
      <c r="AB272" s="25" t="n">
        <v>0.0299335923045874</v>
      </c>
      <c r="AC272" s="25" t="n">
        <v>0.0491717830300331</v>
      </c>
      <c r="AD272" s="25" t="n">
        <v>0.0113757671788335</v>
      </c>
      <c r="AE272" s="25" t="n">
        <v>0.249571472406387</v>
      </c>
      <c r="AF272" s="25" t="n">
        <v>0.132854282855988</v>
      </c>
      <c r="AG272" s="25" t="n">
        <v>0.0206828713417053</v>
      </c>
      <c r="AH272" s="25" t="n">
        <v>0.132349327206612</v>
      </c>
      <c r="AI272" s="25" t="n">
        <v>4.98727607727051</v>
      </c>
      <c r="AJ272" s="6" t="n">
        <v>159.6</v>
      </c>
      <c r="AK272" s="6" t="n">
        <v>360.2</v>
      </c>
      <c r="AL272" s="26"/>
    </row>
    <row r="273" customFormat="false" ht="15" hidden="false" customHeight="false" outlineLevel="0" collapsed="false">
      <c r="A273" s="6" t="s">
        <v>3384</v>
      </c>
      <c r="B273" s="6" t="s">
        <v>3385</v>
      </c>
      <c r="C273" s="6" t="s">
        <v>3007</v>
      </c>
      <c r="D273" s="13" t="n">
        <v>382.343841552734</v>
      </c>
      <c r="E273" s="25" t="n">
        <v>3.48014235496521</v>
      </c>
      <c r="F273" s="25" t="n">
        <v>44.4368476867676</v>
      </c>
      <c r="G273" s="25" t="n">
        <v>21.7250461578369</v>
      </c>
      <c r="H273" s="25" t="n">
        <v>2.96152591705322</v>
      </c>
      <c r="I273" s="25" t="n">
        <v>27.208890914917</v>
      </c>
      <c r="J273" s="25" t="n">
        <v>12.03597265625</v>
      </c>
      <c r="K273" s="25" t="n">
        <v>6.34252099609375</v>
      </c>
      <c r="L273" s="25" t="n">
        <v>1.38981176757813</v>
      </c>
      <c r="M273" s="25" t="n">
        <v>50.0508651733398</v>
      </c>
      <c r="N273" s="25" t="n">
        <v>2.18418097496033</v>
      </c>
      <c r="O273" s="25" t="n">
        <v>99.8290939331055</v>
      </c>
      <c r="P273" s="25" t="n">
        <v>18.6358089447022</v>
      </c>
      <c r="Q273" s="25" t="n">
        <v>43.8942031860352</v>
      </c>
      <c r="R273" s="25" t="n">
        <v>20.8814849853516</v>
      </c>
      <c r="S273" s="25" t="n">
        <v>0.981861650943756</v>
      </c>
      <c r="T273" s="25" t="n">
        <v>0.685707032680512</v>
      </c>
      <c r="U273" s="25" t="n">
        <v>0.182950153946877</v>
      </c>
      <c r="V273" s="25" t="n">
        <v>2.94214653968811</v>
      </c>
      <c r="W273" s="25" t="n">
        <v>0.769094586372376</v>
      </c>
      <c r="X273" s="25" t="n">
        <v>187.589004516602</v>
      </c>
      <c r="Y273" s="25" t="n">
        <v>451.420837402344</v>
      </c>
      <c r="Z273" s="25" t="n">
        <v>1.96330606937408</v>
      </c>
      <c r="AA273" s="25" t="n">
        <v>0.579094648361206</v>
      </c>
      <c r="AB273" s="25" t="n">
        <v>0.0210783313959837</v>
      </c>
      <c r="AC273" s="25" t="n">
        <v>0.0786368250846863</v>
      </c>
      <c r="AD273" s="25" t="n">
        <v>0.0179348923265934</v>
      </c>
      <c r="AE273" s="25" t="n">
        <v>0.398809760808945</v>
      </c>
      <c r="AF273" s="25" t="n">
        <v>0.212909460067749</v>
      </c>
      <c r="AG273" s="25" t="n">
        <v>0.031302135437727</v>
      </c>
      <c r="AH273" s="25" t="n">
        <v>0.205106809735298</v>
      </c>
      <c r="AI273" s="25" t="n">
        <v>7.58405923843384</v>
      </c>
      <c r="AJ273" s="6" t="n">
        <v>98.3</v>
      </c>
      <c r="AK273" s="6" t="n">
        <v>375.8</v>
      </c>
      <c r="AL273" s="26"/>
    </row>
    <row r="274" customFormat="false" ht="15" hidden="false" customHeight="false" outlineLevel="0" collapsed="false">
      <c r="A274" s="6" t="s">
        <v>2123</v>
      </c>
      <c r="B274" s="6" t="s">
        <v>3386</v>
      </c>
      <c r="C274" s="6" t="s">
        <v>3007</v>
      </c>
      <c r="D274" s="13" t="n">
        <v>172.641082763672</v>
      </c>
      <c r="E274" s="25" t="n">
        <v>3.11247897148132</v>
      </c>
      <c r="F274" s="25" t="n">
        <v>18.5328845977783</v>
      </c>
      <c r="G274" s="25" t="n">
        <v>9.73226833343506</v>
      </c>
      <c r="H274" s="25" t="n">
        <v>2.65314698219299</v>
      </c>
      <c r="I274" s="25" t="n">
        <v>16.8533630371094</v>
      </c>
      <c r="J274" s="25" t="n">
        <v>5.4100947265625</v>
      </c>
      <c r="K274" s="25" t="n">
        <v>2.81291259765625</v>
      </c>
      <c r="L274" s="25" t="n">
        <v>0.694988952636719</v>
      </c>
      <c r="M274" s="25" t="n">
        <v>14.6594362258911</v>
      </c>
      <c r="N274" s="25" t="n">
        <v>39.9563713073731</v>
      </c>
      <c r="O274" s="25" t="n">
        <v>249.929916381836</v>
      </c>
      <c r="P274" s="25" t="n">
        <v>106.942855834961</v>
      </c>
      <c r="Q274" s="25" t="n">
        <v>98.6524047851563</v>
      </c>
      <c r="R274" s="25" t="n">
        <v>22.9833145141602</v>
      </c>
      <c r="S274" s="25" t="n">
        <v>0.763750076293945</v>
      </c>
      <c r="T274" s="25" t="n">
        <v>0.54062032699585</v>
      </c>
      <c r="U274" s="25" t="n">
        <v>0.0991853848099709</v>
      </c>
      <c r="V274" s="25" t="n">
        <v>5.72687339782715</v>
      </c>
      <c r="W274" s="25" t="n">
        <v>0.235167160630226</v>
      </c>
      <c r="X274" s="25" t="n">
        <v>54.9430885314941</v>
      </c>
      <c r="Y274" s="25" t="n">
        <v>5740.7724609375</v>
      </c>
      <c r="Z274" s="25" t="n">
        <v>0.716173648834229</v>
      </c>
      <c r="AA274" s="25" t="n">
        <v>11.0365533828735</v>
      </c>
      <c r="AB274" s="25" t="n">
        <v>3.8911349773407</v>
      </c>
      <c r="AC274" s="25" t="n">
        <v>0.0465109348297119</v>
      </c>
      <c r="AD274" s="25" t="n">
        <v>0.0429152026772499</v>
      </c>
      <c r="AE274" s="25" t="n">
        <v>0.224421069025993</v>
      </c>
      <c r="AF274" s="25" t="n">
        <v>0.264845967292786</v>
      </c>
      <c r="AG274" s="25" t="n">
        <v>0.0794314965605736</v>
      </c>
      <c r="AH274" s="25" t="n">
        <v>3.55745720863342</v>
      </c>
      <c r="AI274" s="25" t="n">
        <v>26.6975345611572</v>
      </c>
      <c r="AJ274" s="6" t="n">
        <v>167.8</v>
      </c>
      <c r="AK274" s="6" t="n">
        <v>289.7</v>
      </c>
      <c r="AL274" s="26"/>
    </row>
    <row r="275" customFormat="false" ht="15" hidden="false" customHeight="false" outlineLevel="0" collapsed="false">
      <c r="A275" s="6" t="s">
        <v>3387</v>
      </c>
      <c r="B275" s="6" t="s">
        <v>3388</v>
      </c>
      <c r="C275" s="6" t="s">
        <v>3007</v>
      </c>
      <c r="D275" s="13" t="n">
        <v>299.744110107422</v>
      </c>
      <c r="E275" s="25" t="n">
        <v>7.85440397262573</v>
      </c>
      <c r="F275" s="25" t="n">
        <v>39.5894317626953</v>
      </c>
      <c r="G275" s="25" t="n">
        <v>13.4134712219238</v>
      </c>
      <c r="H275" s="25" t="n">
        <v>0.487564772367477</v>
      </c>
      <c r="I275" s="25" t="n">
        <v>37.8548202514648</v>
      </c>
      <c r="J275" s="25" t="n">
        <v>5.5381552734375</v>
      </c>
      <c r="K275" s="25" t="n">
        <v>3.4061708984375</v>
      </c>
      <c r="L275" s="25" t="n">
        <v>0.883435241699219</v>
      </c>
      <c r="M275" s="25" t="n">
        <v>204.932647705078</v>
      </c>
      <c r="N275" s="25" t="n">
        <v>83.0440902709961</v>
      </c>
      <c r="O275" s="25" t="n">
        <v>119.025909423828</v>
      </c>
      <c r="P275" s="25" t="n">
        <v>35.7720184326172</v>
      </c>
      <c r="Q275" s="25" t="n">
        <v>96.9015579223633</v>
      </c>
      <c r="R275" s="25" t="n">
        <v>7.93264245986939</v>
      </c>
      <c r="S275" s="25" t="n">
        <v>1.44523322582245</v>
      </c>
      <c r="T275" s="25" t="n">
        <v>0.692797958850861</v>
      </c>
      <c r="U275" s="25" t="n">
        <v>0.0591709837317467</v>
      </c>
      <c r="V275" s="25" t="n">
        <v>21.0140399932861</v>
      </c>
      <c r="W275" s="25" t="n">
        <v>0.207150250673294</v>
      </c>
      <c r="X275" s="25" t="n">
        <v>159.917098999023</v>
      </c>
      <c r="Y275" s="25" t="n">
        <v>187.678756713867</v>
      </c>
      <c r="Z275" s="25" t="n">
        <v>1.14450776576996</v>
      </c>
      <c r="AA275" s="25" t="n">
        <v>0.0352849736809731</v>
      </c>
      <c r="AB275" s="25" t="n">
        <v>0</v>
      </c>
      <c r="AC275" s="25" t="n">
        <v>0.0317098423838615</v>
      </c>
      <c r="AD275" s="25" t="n">
        <v>0.0988082885742188</v>
      </c>
      <c r="AE275" s="25" t="n">
        <v>0.0628497377038002</v>
      </c>
      <c r="AF275" s="25" t="n">
        <v>0.763056993484497</v>
      </c>
      <c r="AG275" s="25" t="n">
        <v>0.0836787521839142</v>
      </c>
      <c r="AH275" s="25" t="n">
        <v>9.47637271881104</v>
      </c>
      <c r="AI275" s="25" t="n">
        <v>25.569169998169</v>
      </c>
      <c r="AJ275" s="6" t="n">
        <v>96.5</v>
      </c>
      <c r="AK275" s="6" t="n">
        <v>289.3</v>
      </c>
      <c r="AL275" s="26"/>
    </row>
    <row r="276" customFormat="false" ht="15" hidden="false" customHeight="false" outlineLevel="0" collapsed="false">
      <c r="A276" s="6" t="s">
        <v>3389</v>
      </c>
      <c r="B276" s="6" t="s">
        <v>3390</v>
      </c>
      <c r="C276" s="6" t="s">
        <v>3007</v>
      </c>
      <c r="D276" s="13" t="n">
        <v>151.663848876953</v>
      </c>
      <c r="E276" s="25" t="n">
        <v>1.52627563476563</v>
      </c>
      <c r="F276" s="25" t="n">
        <v>29.1760406494141</v>
      </c>
      <c r="G276" s="25" t="n">
        <v>3.48485565185547</v>
      </c>
      <c r="H276" s="25" t="n">
        <v>1.64178442955017</v>
      </c>
      <c r="I276" s="25" t="n">
        <v>17.4214363098145</v>
      </c>
      <c r="J276" s="25" t="n">
        <v>1.57677941894531</v>
      </c>
      <c r="K276" s="25" t="n">
        <v>1.203115234375</v>
      </c>
      <c r="L276" s="25" t="n">
        <v>0.406249572753906</v>
      </c>
      <c r="M276" s="25" t="n">
        <v>6.22627210617065</v>
      </c>
      <c r="N276" s="25" t="n">
        <v>4.22894048690796</v>
      </c>
      <c r="O276" s="25" t="n">
        <v>451.729827880859</v>
      </c>
      <c r="P276" s="25" t="n">
        <v>14.1472845077515</v>
      </c>
      <c r="Q276" s="25" t="n">
        <v>41.8316802978516</v>
      </c>
      <c r="R276" s="25" t="n">
        <v>25.1472606658936</v>
      </c>
      <c r="S276" s="25" t="n">
        <v>0.630182206630707</v>
      </c>
      <c r="T276" s="25" t="n">
        <v>0.300021499395371</v>
      </c>
      <c r="U276" s="25" t="n">
        <v>0.1121741309762</v>
      </c>
      <c r="V276" s="25" t="n">
        <v>0.696497082710266</v>
      </c>
      <c r="W276" s="25" t="n">
        <v>0.270913690328598</v>
      </c>
      <c r="X276" s="25" t="n">
        <v>23.335865020752</v>
      </c>
      <c r="Y276" s="25" t="n">
        <v>214.713668823242</v>
      </c>
      <c r="Z276" s="25" t="n">
        <v>0.559102773666382</v>
      </c>
      <c r="AA276" s="25" t="n">
        <v>1.82994568347931</v>
      </c>
      <c r="AB276" s="25" t="n">
        <v>18.3377552032471</v>
      </c>
      <c r="AC276" s="25" t="n">
        <v>0.0506947636604309</v>
      </c>
      <c r="AD276" s="25" t="n">
        <v>0.0121171856299043</v>
      </c>
      <c r="AE276" s="25" t="n">
        <v>0.882275342941284</v>
      </c>
      <c r="AF276" s="25" t="n">
        <v>0.313419371843338</v>
      </c>
      <c r="AG276" s="25" t="n">
        <v>0.0822525918483734</v>
      </c>
      <c r="AH276" s="25" t="n">
        <v>1.1230663061142</v>
      </c>
      <c r="AI276" s="25" t="n">
        <v>13.10853099823</v>
      </c>
      <c r="AJ276" s="6" t="n">
        <v>158</v>
      </c>
      <c r="AK276" s="6" t="n">
        <v>239.7</v>
      </c>
      <c r="AL276" s="26"/>
    </row>
    <row r="277" customFormat="false" ht="15" hidden="false" customHeight="false" outlineLevel="0" collapsed="false">
      <c r="A277" s="6" t="s">
        <v>3391</v>
      </c>
      <c r="B277" s="6" t="s">
        <v>3392</v>
      </c>
      <c r="C277" s="6" t="s">
        <v>3007</v>
      </c>
      <c r="D277" s="13" t="n">
        <v>190.27375793457</v>
      </c>
      <c r="E277" s="25" t="n">
        <v>1.32619071006775</v>
      </c>
      <c r="F277" s="25" t="n">
        <v>27.6046924591065</v>
      </c>
      <c r="G277" s="25" t="n">
        <v>8.80931758880615</v>
      </c>
      <c r="H277" s="25" t="n">
        <v>2.97031474113464</v>
      </c>
      <c r="I277" s="25" t="n">
        <v>26.6356029510498</v>
      </c>
      <c r="J277" s="25" t="n">
        <v>5.13691455078125</v>
      </c>
      <c r="K277" s="25" t="n">
        <v>1.8002763671875</v>
      </c>
      <c r="L277" s="25" t="n">
        <v>0.46930908203125</v>
      </c>
      <c r="M277" s="25" t="n">
        <v>9.52012443542481</v>
      </c>
      <c r="N277" s="25" t="n">
        <v>8.09076309204102</v>
      </c>
      <c r="O277" s="25" t="n">
        <v>235.464263916016</v>
      </c>
      <c r="P277" s="25" t="n">
        <v>24.3410530090332</v>
      </c>
      <c r="Q277" s="25" t="n">
        <v>35.097900390625</v>
      </c>
      <c r="R277" s="25" t="n">
        <v>19.3538646697998</v>
      </c>
      <c r="S277" s="25" t="n">
        <v>0.629798769950867</v>
      </c>
      <c r="T277" s="25" t="n">
        <v>0.248422339558601</v>
      </c>
      <c r="U277" s="25" t="n">
        <v>0.146271929144859</v>
      </c>
      <c r="V277" s="25" t="n">
        <v>1.97255170345306</v>
      </c>
      <c r="W277" s="25" t="n">
        <v>0.312275528907776</v>
      </c>
      <c r="X277" s="25" t="n">
        <v>35.6811141967773</v>
      </c>
      <c r="Y277" s="25" t="n">
        <v>1021.15161132813</v>
      </c>
      <c r="Z277" s="25" t="n">
        <v>1.37371397018433</v>
      </c>
      <c r="AA277" s="25" t="n">
        <v>54.3279418945313</v>
      </c>
      <c r="AB277" s="25" t="n">
        <v>5.21380805969238</v>
      </c>
      <c r="AC277" s="25" t="n">
        <v>0.0252309087663889</v>
      </c>
      <c r="AD277" s="25" t="n">
        <v>0.0262190401554108</v>
      </c>
      <c r="AE277" s="25" t="n">
        <v>0.37109649181366</v>
      </c>
      <c r="AF277" s="25" t="n">
        <v>0.142755419015884</v>
      </c>
      <c r="AG277" s="25" t="n">
        <v>0.0644943192601204</v>
      </c>
      <c r="AH277" s="25" t="n">
        <v>1.17285478115082</v>
      </c>
      <c r="AI277" s="25" t="n">
        <v>17.9929180145264</v>
      </c>
      <c r="AJ277" s="6" t="n">
        <v>155</v>
      </c>
      <c r="AK277" s="6" t="n">
        <v>295</v>
      </c>
      <c r="AL277" s="26"/>
    </row>
    <row r="278" customFormat="false" ht="15" hidden="false" customHeight="false" outlineLevel="0" collapsed="false">
      <c r="A278" s="6" t="s">
        <v>2128</v>
      </c>
      <c r="B278" s="6" t="s">
        <v>2127</v>
      </c>
      <c r="C278" s="6" t="s">
        <v>3007</v>
      </c>
      <c r="D278" s="13" t="n">
        <v>349.803039550781</v>
      </c>
      <c r="E278" s="25" t="n">
        <v>8.35069751739502</v>
      </c>
      <c r="F278" s="25" t="n">
        <v>40.2257995605469</v>
      </c>
      <c r="G278" s="25" t="n">
        <v>17.6792850494385</v>
      </c>
      <c r="H278" s="25" t="n">
        <v>2.64769887924194</v>
      </c>
      <c r="I278" s="25" t="n">
        <v>25.5898094177246</v>
      </c>
      <c r="J278" s="25" t="n">
        <v>10.384384765625</v>
      </c>
      <c r="K278" s="25" t="n">
        <v>4.7140517578125</v>
      </c>
      <c r="L278" s="25" t="n">
        <v>0.972716064453125</v>
      </c>
      <c r="M278" s="25" t="n">
        <v>34.8149681091309</v>
      </c>
      <c r="N278" s="25" t="n">
        <v>11.1888818740845</v>
      </c>
      <c r="O278" s="25" t="n">
        <v>386.867828369141</v>
      </c>
      <c r="P278" s="25" t="n">
        <v>110.399795532227</v>
      </c>
      <c r="Q278" s="25" t="n">
        <v>172.436706542969</v>
      </c>
      <c r="R278" s="25" t="n">
        <v>46.7775840759277</v>
      </c>
      <c r="S278" s="25" t="n">
        <v>1.5133273601532</v>
      </c>
      <c r="T278" s="25" t="n">
        <v>1.0521092414856</v>
      </c>
      <c r="U278" s="25" t="n">
        <v>0.277137011289597</v>
      </c>
      <c r="V278" s="25" t="n">
        <v>18.2437934875488</v>
      </c>
      <c r="W278" s="25" t="n">
        <v>0.438037514686585</v>
      </c>
      <c r="X278" s="25" t="n">
        <v>130.485382080078</v>
      </c>
      <c r="Y278" s="25" t="n">
        <v>442.282257080078</v>
      </c>
      <c r="Z278" s="25" t="n">
        <v>1.04143512248993</v>
      </c>
      <c r="AA278" s="25" t="n">
        <v>1.90810143947601</v>
      </c>
      <c r="AB278" s="25" t="n">
        <v>0.0264147203415632</v>
      </c>
      <c r="AC278" s="25" t="n">
        <v>0.109816543757916</v>
      </c>
      <c r="AD278" s="25" t="n">
        <v>0.0461861826479435</v>
      </c>
      <c r="AE278" s="25" t="n">
        <v>0.53581714630127</v>
      </c>
      <c r="AF278" s="25" t="n">
        <v>0.450335472822189</v>
      </c>
      <c r="AG278" s="25" t="n">
        <v>0.0597326755523682</v>
      </c>
      <c r="AH278" s="25" t="n">
        <v>3.42014884948731</v>
      </c>
      <c r="AI278" s="25" t="n">
        <v>36.1944389343262</v>
      </c>
      <c r="AJ278" s="6" t="n">
        <v>95.4</v>
      </c>
      <c r="AK278" s="6" t="n">
        <v>333.7</v>
      </c>
      <c r="AL278" s="26"/>
    </row>
    <row r="279" customFormat="false" ht="15" hidden="false" customHeight="false" outlineLevel="0" collapsed="false">
      <c r="A279" s="6" t="s">
        <v>2203</v>
      </c>
      <c r="B279" s="6" t="s">
        <v>3393</v>
      </c>
      <c r="C279" s="6" t="s">
        <v>3007</v>
      </c>
      <c r="D279" s="13" t="n">
        <v>121.57780456543</v>
      </c>
      <c r="E279" s="25" t="n">
        <v>4.97008609771729</v>
      </c>
      <c r="F279" s="25" t="n">
        <v>15.0155172348023</v>
      </c>
      <c r="G279" s="25" t="n">
        <v>4.86879301071167</v>
      </c>
      <c r="H279" s="25" t="n">
        <v>0</v>
      </c>
      <c r="I279" s="25" t="n">
        <v>14.9831895828247</v>
      </c>
      <c r="J279" s="25" t="n">
        <v>2.38775854492188</v>
      </c>
      <c r="K279" s="25" t="n">
        <v>1.53517236328125</v>
      </c>
      <c r="L279" s="25" t="n">
        <v>0.337517242431641</v>
      </c>
      <c r="M279" s="25" t="n">
        <v>78.8793106079102</v>
      </c>
      <c r="N279" s="25" t="n">
        <v>43.5689659118652</v>
      </c>
      <c r="O279" s="25" t="n">
        <v>105.293106079102</v>
      </c>
      <c r="P279" s="25" t="n">
        <v>88.1163787841797</v>
      </c>
      <c r="Q279" s="25" t="n">
        <v>102.439651489258</v>
      </c>
      <c r="R279" s="25" t="n">
        <v>8.21767234802246</v>
      </c>
      <c r="S279" s="25" t="n">
        <v>0.512155175209045</v>
      </c>
      <c r="T279" s="25" t="n">
        <v>0.490129321813583</v>
      </c>
      <c r="U279" s="25" t="n">
        <v>0.0482413806021214</v>
      </c>
      <c r="V279" s="25" t="n">
        <v>9.32974147796631</v>
      </c>
      <c r="W279" s="25" t="n">
        <v>0.0117672411724925</v>
      </c>
      <c r="X279" s="25" t="n">
        <v>42.6724128723145</v>
      </c>
      <c r="Y279" s="25" t="n">
        <v>158.405166625977</v>
      </c>
      <c r="Z279" s="25" t="n">
        <v>0.467672407627106</v>
      </c>
      <c r="AA279" s="25" t="n">
        <v>0</v>
      </c>
      <c r="AB279" s="25" t="n">
        <v>1.29956901073456</v>
      </c>
      <c r="AC279" s="25" t="n">
        <v>0.0323750004172325</v>
      </c>
      <c r="AD279" s="25" t="n">
        <v>0.112478449940682</v>
      </c>
      <c r="AE279" s="25" t="n">
        <v>0.0772629305720329</v>
      </c>
      <c r="AF279" s="25" t="n">
        <v>0.536788821220398</v>
      </c>
      <c r="AG279" s="25" t="n">
        <v>0.060456894338131</v>
      </c>
      <c r="AH279" s="25" t="n">
        <v>5.21120691299439</v>
      </c>
      <c r="AI279" s="25" t="n">
        <v>15.1745691299439</v>
      </c>
      <c r="AJ279" s="6" t="n">
        <v>232</v>
      </c>
      <c r="AK279" s="6" t="n">
        <v>282.1</v>
      </c>
      <c r="AL279" s="26"/>
    </row>
    <row r="280" customFormat="false" ht="15" hidden="false" customHeight="false" outlineLevel="0" collapsed="false">
      <c r="A280" s="6" t="s">
        <v>3394</v>
      </c>
      <c r="B280" s="6" t="s">
        <v>3395</v>
      </c>
      <c r="C280" s="6" t="s">
        <v>3007</v>
      </c>
      <c r="D280" s="13" t="n">
        <v>106.526054382324</v>
      </c>
      <c r="E280" s="25" t="n">
        <v>5.41342687606812</v>
      </c>
      <c r="F280" s="25" t="n">
        <v>9.45352077484131</v>
      </c>
      <c r="G280" s="25" t="n">
        <v>5.30309820175171</v>
      </c>
      <c r="H280" s="25" t="n">
        <v>0</v>
      </c>
      <c r="I280" s="25" t="n">
        <v>9.41831016540527</v>
      </c>
      <c r="J280" s="25" t="n">
        <v>2.60075122070313</v>
      </c>
      <c r="K280" s="25" t="n">
        <v>1.67211267089844</v>
      </c>
      <c r="L280" s="25" t="n">
        <v>0.367624420166016</v>
      </c>
      <c r="M280" s="25" t="n">
        <v>85.9154891967773</v>
      </c>
      <c r="N280" s="25" t="n">
        <v>47.1267585754395</v>
      </c>
      <c r="O280" s="25" t="n">
        <v>114.356803894043</v>
      </c>
      <c r="P280" s="25" t="n">
        <v>95.3192520141602</v>
      </c>
      <c r="Q280" s="25" t="n">
        <v>111.511734008789</v>
      </c>
      <c r="R280" s="25" t="n">
        <v>8.81924915313721</v>
      </c>
      <c r="S280" s="25" t="n">
        <v>0.544694840908051</v>
      </c>
      <c r="T280" s="25" t="n">
        <v>0.527276992797852</v>
      </c>
      <c r="U280" s="25" t="n">
        <v>0.0446572788059712</v>
      </c>
      <c r="V280" s="25" t="n">
        <v>10.1619710922241</v>
      </c>
      <c r="W280" s="25" t="n">
        <v>0.0128169013187289</v>
      </c>
      <c r="X280" s="25" t="n">
        <v>46.478874206543</v>
      </c>
      <c r="Y280" s="25" t="n">
        <v>172.535217285156</v>
      </c>
      <c r="Z280" s="25" t="n">
        <v>0.509389698505402</v>
      </c>
      <c r="AA280" s="25" t="n">
        <v>0</v>
      </c>
      <c r="AB280" s="25" t="n">
        <v>1.41549301147461</v>
      </c>
      <c r="AC280" s="25" t="n">
        <v>0.0352629125118256</v>
      </c>
      <c r="AD280" s="25" t="n">
        <v>0.122511737048626</v>
      </c>
      <c r="AE280" s="25" t="n">
        <v>0.0841549262404442</v>
      </c>
      <c r="AF280" s="25" t="n">
        <v>0.584671378135681</v>
      </c>
      <c r="AG280" s="25" t="n">
        <v>0.0658497661352158</v>
      </c>
      <c r="AH280" s="25" t="n">
        <v>5.67605638504028</v>
      </c>
      <c r="AI280" s="25" t="n">
        <v>16.528169631958</v>
      </c>
      <c r="AJ280" s="6" t="n">
        <v>213</v>
      </c>
      <c r="AK280" s="6" t="n">
        <v>226.9</v>
      </c>
      <c r="AL280" s="26"/>
    </row>
    <row r="281" customFormat="false" ht="15" hidden="false" customHeight="false" outlineLevel="0" collapsed="false">
      <c r="A281" s="6" t="s">
        <v>3396</v>
      </c>
      <c r="B281" s="6" t="s">
        <v>3397</v>
      </c>
      <c r="C281" s="6" t="s">
        <v>3007</v>
      </c>
      <c r="D281" s="13" t="n">
        <v>109.18196105957</v>
      </c>
      <c r="E281" s="25" t="n">
        <v>5.01346683502197</v>
      </c>
      <c r="F281" s="25" t="n">
        <v>11.1895790100098</v>
      </c>
      <c r="G281" s="25" t="n">
        <v>5.06597185134888</v>
      </c>
      <c r="H281" s="25" t="n">
        <v>0</v>
      </c>
      <c r="I281" s="25" t="n">
        <v>11.153507232666</v>
      </c>
      <c r="J281" s="25" t="n">
        <v>2.545771484375</v>
      </c>
      <c r="K281" s="25" t="n">
        <v>1.57346691894531</v>
      </c>
      <c r="L281" s="25" t="n">
        <v>0.330436859130859</v>
      </c>
      <c r="M281" s="25" t="n">
        <v>73.3466949462891</v>
      </c>
      <c r="N281" s="25" t="n">
        <v>122.171539306641</v>
      </c>
      <c r="O281" s="25" t="n">
        <v>111.753509521484</v>
      </c>
      <c r="P281" s="25" t="n">
        <v>95.8236465454102</v>
      </c>
      <c r="Q281" s="25" t="n">
        <v>106.834869384766</v>
      </c>
      <c r="R281" s="25" t="n">
        <v>8.72504997253418</v>
      </c>
      <c r="S281" s="25" t="n">
        <v>0.488456934690476</v>
      </c>
      <c r="T281" s="25" t="n">
        <v>0.492424845695496</v>
      </c>
      <c r="U281" s="25" t="n">
        <v>0.0447775572538376</v>
      </c>
      <c r="V281" s="25" t="n">
        <v>8.78957843780518</v>
      </c>
      <c r="W281" s="25" t="n">
        <v>0.0121442880481482</v>
      </c>
      <c r="X281" s="25" t="n">
        <v>39.6793594360352</v>
      </c>
      <c r="Y281" s="25" t="n">
        <v>171.342681884766</v>
      </c>
      <c r="Z281" s="25" t="n">
        <v>0.461322635412216</v>
      </c>
      <c r="AA281" s="25" t="n">
        <v>0</v>
      </c>
      <c r="AB281" s="25" t="n">
        <v>1.45010018348694</v>
      </c>
      <c r="AC281" s="25" t="n">
        <v>0.0337114222347736</v>
      </c>
      <c r="AD281" s="25" t="n">
        <v>0.117815628647804</v>
      </c>
      <c r="AE281" s="25" t="n">
        <v>0.0814629197120667</v>
      </c>
      <c r="AF281" s="25" t="n">
        <v>0.540020048618317</v>
      </c>
      <c r="AG281" s="25" t="n">
        <v>0.0610260516405106</v>
      </c>
      <c r="AH281" s="25" t="n">
        <v>5.08376741409302</v>
      </c>
      <c r="AI281" s="25" t="n">
        <v>14.9555110931397</v>
      </c>
      <c r="AJ281" s="6" t="n">
        <v>249.5</v>
      </c>
      <c r="AK281" s="6" t="n">
        <v>272.4</v>
      </c>
      <c r="AL281" s="26"/>
    </row>
    <row r="282" customFormat="false" ht="15" hidden="false" customHeight="false" outlineLevel="0" collapsed="false">
      <c r="A282" s="6" t="s">
        <v>3398</v>
      </c>
      <c r="B282" s="6" t="s">
        <v>3399</v>
      </c>
      <c r="C282" s="6" t="s">
        <v>3400</v>
      </c>
      <c r="D282" s="13" t="n">
        <v>177.70378112793</v>
      </c>
      <c r="E282" s="25" t="n">
        <v>4.46889495849609</v>
      </c>
      <c r="F282" s="25" t="n">
        <v>15.4088945388794</v>
      </c>
      <c r="G282" s="25" t="n">
        <v>11.2459840774536</v>
      </c>
      <c r="H282" s="25" t="n">
        <v>0</v>
      </c>
      <c r="I282" s="25" t="n">
        <v>15.3293800354004</v>
      </c>
      <c r="J282" s="25" t="n">
        <v>6.6459296875</v>
      </c>
      <c r="K282" s="25" t="n">
        <v>3.2419677734375</v>
      </c>
      <c r="L282" s="25" t="n">
        <v>0.486991912841797</v>
      </c>
      <c r="M282" s="25" t="n">
        <v>68.2614517211914</v>
      </c>
      <c r="N282" s="25" t="n">
        <v>36.7881393432617</v>
      </c>
      <c r="O282" s="25" t="n">
        <v>118.053909301758</v>
      </c>
      <c r="P282" s="25" t="n">
        <v>84.2398910522461</v>
      </c>
      <c r="Q282" s="25" t="n">
        <v>97.5186004638672</v>
      </c>
      <c r="R282" s="25" t="n">
        <v>13.629919052124</v>
      </c>
      <c r="S282" s="25" t="n">
        <v>0.473369270563126</v>
      </c>
      <c r="T282" s="25" t="n">
        <v>0.48735848069191</v>
      </c>
      <c r="U282" s="25" t="n">
        <v>0.0784959569573402</v>
      </c>
      <c r="V282" s="25" t="n">
        <v>6.07816696166992</v>
      </c>
      <c r="W282" s="25" t="n">
        <v>0.0495417788624764</v>
      </c>
      <c r="X282" s="25" t="n">
        <v>125.741241455078</v>
      </c>
      <c r="Y282" s="25" t="n">
        <v>151.617248535156</v>
      </c>
      <c r="Z282" s="25" t="n">
        <v>0.541913747787476</v>
      </c>
      <c r="AA282" s="25" t="n">
        <v>0.154986515641213</v>
      </c>
      <c r="AB282" s="25" t="n">
        <v>1.09541785717011</v>
      </c>
      <c r="AC282" s="25" t="n">
        <v>0.0322398915886879</v>
      </c>
      <c r="AD282" s="25" t="n">
        <v>0.135431259870529</v>
      </c>
      <c r="AE282" s="25" t="n">
        <v>0.106805928051472</v>
      </c>
      <c r="AF282" s="25" t="n">
        <v>0.447803229093552</v>
      </c>
      <c r="AG282" s="25" t="n">
        <v>0.0488571412861347</v>
      </c>
      <c r="AH282" s="25" t="n">
        <v>4.35094356536865</v>
      </c>
      <c r="AI282" s="25" t="n">
        <v>11.7929916381836</v>
      </c>
      <c r="AJ282" s="6" t="n">
        <v>371</v>
      </c>
      <c r="AK282" s="6" t="n">
        <v>659.3</v>
      </c>
      <c r="AL282" s="26"/>
    </row>
    <row r="283" customFormat="false" ht="15" hidden="false" customHeight="false" outlineLevel="0" collapsed="false">
      <c r="A283" s="6" t="s">
        <v>3401</v>
      </c>
      <c r="B283" s="6" t="s">
        <v>3402</v>
      </c>
      <c r="C283" s="6" t="s">
        <v>3400</v>
      </c>
      <c r="D283" s="13" t="n">
        <v>125.685966491699</v>
      </c>
      <c r="E283" s="25" t="n">
        <v>3.40254378318787</v>
      </c>
      <c r="F283" s="25" t="n">
        <v>11.135087966919</v>
      </c>
      <c r="G283" s="25" t="n">
        <v>7.618004322052</v>
      </c>
      <c r="H283" s="25" t="n">
        <v>0.515350878238678</v>
      </c>
      <c r="I283" s="25" t="n">
        <v>11.0089912414551</v>
      </c>
      <c r="J283" s="25" t="n">
        <v>4.443607421875</v>
      </c>
      <c r="K283" s="25" t="n">
        <v>2.14103076171875</v>
      </c>
      <c r="L283" s="25" t="n">
        <v>0.373035095214844</v>
      </c>
      <c r="M283" s="25" t="n">
        <v>55.2083320617676</v>
      </c>
      <c r="N283" s="25" t="n">
        <v>29.1315784454346</v>
      </c>
      <c r="O283" s="25" t="n">
        <v>115.291664123535</v>
      </c>
      <c r="P283" s="25" t="n">
        <v>67.1694107055664</v>
      </c>
      <c r="Q283" s="25" t="n">
        <v>71.5235748291016</v>
      </c>
      <c r="R283" s="25" t="n">
        <v>9.59703922271729</v>
      </c>
      <c r="S283" s="25" t="n">
        <v>0.393903523683548</v>
      </c>
      <c r="T283" s="25" t="n">
        <v>0.347280710935593</v>
      </c>
      <c r="U283" s="25" t="n">
        <v>0.0513640344142914</v>
      </c>
      <c r="V283" s="25" t="n">
        <v>5.21820163726807</v>
      </c>
      <c r="W283" s="25" t="n">
        <v>0.0657456144690514</v>
      </c>
      <c r="X283" s="25" t="n">
        <v>101.480262756348</v>
      </c>
      <c r="Y283" s="25" t="n">
        <v>506.304809570313</v>
      </c>
      <c r="Z283" s="25" t="n">
        <v>0.431469291448593</v>
      </c>
      <c r="AA283" s="25" t="n">
        <v>1.3075658082962</v>
      </c>
      <c r="AB283" s="25" t="n">
        <v>9.86293888092041</v>
      </c>
      <c r="AC283" s="25" t="n">
        <v>0.0312741249799728</v>
      </c>
      <c r="AD283" s="25" t="n">
        <v>0.114243417978287</v>
      </c>
      <c r="AE283" s="25" t="n">
        <v>0.133607447147369</v>
      </c>
      <c r="AF283" s="25" t="n">
        <v>0.369594305753708</v>
      </c>
      <c r="AG283" s="25" t="n">
        <v>0.0696842148900032</v>
      </c>
      <c r="AH283" s="25" t="n">
        <v>3.74890351295471</v>
      </c>
      <c r="AI283" s="25" t="n">
        <v>31.1973686218262</v>
      </c>
      <c r="AJ283" s="6" t="n">
        <v>456</v>
      </c>
      <c r="AK283" s="6" t="n">
        <v>573.1</v>
      </c>
      <c r="AL283" s="26"/>
    </row>
    <row r="284" customFormat="false" ht="15" hidden="false" customHeight="false" outlineLevel="0" collapsed="false">
      <c r="A284" s="6" t="s">
        <v>3403</v>
      </c>
      <c r="B284" s="6" t="s">
        <v>3404</v>
      </c>
      <c r="C284" s="6" t="s">
        <v>3400</v>
      </c>
      <c r="D284" s="13" t="n">
        <v>171.460693359375</v>
      </c>
      <c r="E284" s="25" t="n">
        <v>4.37322950363159</v>
      </c>
      <c r="F284" s="25" t="n">
        <v>16.0513610839844</v>
      </c>
      <c r="G284" s="25" t="n">
        <v>10.3805446624756</v>
      </c>
      <c r="H284" s="25" t="n">
        <v>0.331517517566681</v>
      </c>
      <c r="I284" s="25" t="n">
        <v>14.029727935791</v>
      </c>
      <c r="J284" s="25" t="n">
        <v>5.3807626953125</v>
      </c>
      <c r="K284" s="25" t="n">
        <v>2.1472685546875</v>
      </c>
      <c r="L284" s="25" t="n">
        <v>0.26387548828125</v>
      </c>
      <c r="M284" s="25" t="n">
        <v>17.1206226348877</v>
      </c>
      <c r="N284" s="25" t="n">
        <v>38.7828788757324</v>
      </c>
      <c r="O284" s="25" t="n">
        <v>119.980545043945</v>
      </c>
      <c r="P284" s="25" t="n">
        <v>93.346305847168</v>
      </c>
      <c r="Q284" s="25" t="n">
        <v>70.2770385742188</v>
      </c>
      <c r="R284" s="25" t="n">
        <v>6.73385238647461</v>
      </c>
      <c r="S284" s="25" t="n">
        <v>0.364280164241791</v>
      </c>
      <c r="T284" s="25" t="n">
        <v>0.263035029172897</v>
      </c>
      <c r="U284" s="25" t="n">
        <v>0.0257976651191711</v>
      </c>
      <c r="V284" s="25" t="n">
        <v>0.673151731491089</v>
      </c>
      <c r="W284" s="25" t="n">
        <v>0.00618677027523518</v>
      </c>
      <c r="X284" s="25" t="n">
        <v>90.5836563110352</v>
      </c>
      <c r="Y284" s="25" t="n">
        <v>145.992218017578</v>
      </c>
      <c r="Z284" s="25" t="n">
        <v>0.249027237296104</v>
      </c>
      <c r="AA284" s="25" t="n">
        <v>0</v>
      </c>
      <c r="AB284" s="25" t="n">
        <v>1.24980545043945</v>
      </c>
      <c r="AC284" s="25" t="n">
        <v>0.0235019456595182</v>
      </c>
      <c r="AD284" s="25" t="n">
        <v>0.11050583422184</v>
      </c>
      <c r="AE284" s="25" t="n">
        <v>0.0684824883937836</v>
      </c>
      <c r="AF284" s="25" t="n">
        <v>0.252140074968338</v>
      </c>
      <c r="AG284" s="25" t="n">
        <v>0.0280155632644892</v>
      </c>
      <c r="AH284" s="25" t="n">
        <v>1.79610896110535</v>
      </c>
      <c r="AI284" s="25" t="n">
        <v>4.85447454452515</v>
      </c>
      <c r="AJ284" s="6" t="n">
        <v>321.3</v>
      </c>
      <c r="AK284" s="6" t="n">
        <v>550.8</v>
      </c>
      <c r="AL284" s="26"/>
    </row>
    <row r="285" customFormat="false" ht="15" hidden="false" customHeight="false" outlineLevel="0" collapsed="false">
      <c r="A285" s="6" t="s">
        <v>3405</v>
      </c>
      <c r="B285" s="6" t="s">
        <v>3406</v>
      </c>
      <c r="C285" s="6" t="s">
        <v>3400</v>
      </c>
      <c r="D285" s="13" t="n">
        <v>173.522766113281</v>
      </c>
      <c r="E285" s="25" t="n">
        <v>4.31341218948364</v>
      </c>
      <c r="F285" s="25" t="n">
        <v>14.8059329986572</v>
      </c>
      <c r="G285" s="25" t="n">
        <v>11.1521615982056</v>
      </c>
      <c r="H285" s="25" t="n">
        <v>0.0841296687722206</v>
      </c>
      <c r="I285" s="25" t="n">
        <v>14.5231475830078</v>
      </c>
      <c r="J285" s="25" t="n">
        <v>6.41838427734375</v>
      </c>
      <c r="K285" s="25" t="n">
        <v>3.29595361328125</v>
      </c>
      <c r="L285" s="25" t="n">
        <v>0.548199035644531</v>
      </c>
      <c r="M285" s="25" t="n">
        <v>54.7890968322754</v>
      </c>
      <c r="N285" s="25" t="n">
        <v>33.4660606384277</v>
      </c>
      <c r="O285" s="25" t="n">
        <v>105.165962219238</v>
      </c>
      <c r="P285" s="25" t="n">
        <v>87.3193969726563</v>
      </c>
      <c r="Q285" s="25" t="n">
        <v>91.3352355957031</v>
      </c>
      <c r="R285" s="25" t="n">
        <v>11.9754095077515</v>
      </c>
      <c r="S285" s="25" t="n">
        <v>0.350913614034653</v>
      </c>
      <c r="T285" s="25" t="n">
        <v>0.434978812932968</v>
      </c>
      <c r="U285" s="25" t="n">
        <v>0.062984898686409</v>
      </c>
      <c r="V285" s="25" t="n">
        <v>4.41095304489136</v>
      </c>
      <c r="W285" s="25" t="n">
        <v>0.035256952047348</v>
      </c>
      <c r="X285" s="25" t="n">
        <v>125.105911254883</v>
      </c>
      <c r="Y285" s="25" t="n">
        <v>168.252960205078</v>
      </c>
      <c r="Z285" s="25" t="n">
        <v>0.518362522125244</v>
      </c>
      <c r="AA285" s="25" t="n">
        <v>0.251054525375366</v>
      </c>
      <c r="AB285" s="25" t="n">
        <v>1.20412790775299</v>
      </c>
      <c r="AC285" s="25" t="n">
        <v>0.0351077541708946</v>
      </c>
      <c r="AD285" s="25" t="n">
        <v>0.123717993497849</v>
      </c>
      <c r="AE285" s="25" t="n">
        <v>0.0977325513958931</v>
      </c>
      <c r="AF285" s="25" t="n">
        <v>0.394556105136871</v>
      </c>
      <c r="AG285" s="25" t="n">
        <v>0.0435595884919167</v>
      </c>
      <c r="AH285" s="25" t="n">
        <v>3.40775179862976</v>
      </c>
      <c r="AI285" s="25" t="n">
        <v>9.5619068145752</v>
      </c>
      <c r="AJ285" s="6" t="n">
        <v>271.5</v>
      </c>
      <c r="AK285" s="6" t="n">
        <v>471</v>
      </c>
      <c r="AL285" s="26"/>
    </row>
    <row r="286" customFormat="false" ht="15" hidden="false" customHeight="false" outlineLevel="0" collapsed="false">
      <c r="A286" s="6" t="s">
        <v>3407</v>
      </c>
      <c r="B286" s="6" t="s">
        <v>3408</v>
      </c>
      <c r="C286" s="6" t="s">
        <v>3409</v>
      </c>
      <c r="D286" s="13" t="n">
        <v>168.505477905273</v>
      </c>
      <c r="E286" s="25" t="n">
        <v>6.94738388061523</v>
      </c>
      <c r="F286" s="25" t="n">
        <v>13.4320678710938</v>
      </c>
      <c r="G286" s="25" t="n">
        <v>10.0191135406494</v>
      </c>
      <c r="H286" s="25" t="n">
        <v>0</v>
      </c>
      <c r="I286" s="25" t="n">
        <v>11.6729965209961</v>
      </c>
      <c r="J286" s="25" t="n">
        <v>5.765421875</v>
      </c>
      <c r="K286" s="25" t="n">
        <v>2.87364990234375</v>
      </c>
      <c r="L286" s="25" t="n">
        <v>0.523637145996094</v>
      </c>
      <c r="M286" s="25" t="n">
        <v>100.421943664551</v>
      </c>
      <c r="N286" s="25" t="n">
        <v>50.7278480529785</v>
      </c>
      <c r="O286" s="25" t="n">
        <v>88.4409255981445</v>
      </c>
      <c r="P286" s="25" t="n">
        <v>59.8122329711914</v>
      </c>
      <c r="Q286" s="25" t="n">
        <v>75.156120300293</v>
      </c>
      <c r="R286" s="25" t="n">
        <v>7.40084409713745</v>
      </c>
      <c r="S286" s="25" t="n">
        <v>0.5645991563797</v>
      </c>
      <c r="T286" s="25" t="n">
        <v>0.419641345739365</v>
      </c>
      <c r="U286" s="25" t="n">
        <v>0.0232531651854515</v>
      </c>
      <c r="V286" s="25" t="n">
        <v>9.28059005737305</v>
      </c>
      <c r="W286" s="25" t="n">
        <v>0.00881856493651867</v>
      </c>
      <c r="X286" s="25" t="n">
        <v>164.55696105957</v>
      </c>
      <c r="Y286" s="25" t="n">
        <v>100.52742767334</v>
      </c>
      <c r="Z286" s="25" t="n">
        <v>0.5168776512146</v>
      </c>
      <c r="AA286" s="25" t="n">
        <v>0</v>
      </c>
      <c r="AB286" s="25" t="n">
        <v>5.44303798675537</v>
      </c>
      <c r="AC286" s="25" t="n">
        <v>0.0297700427472591</v>
      </c>
      <c r="AD286" s="25" t="n">
        <v>0.121930375695229</v>
      </c>
      <c r="AE286" s="25" t="n">
        <v>0.0810654014348984</v>
      </c>
      <c r="AF286" s="25" t="n">
        <v>0.45450422167778</v>
      </c>
      <c r="AG286" s="25" t="n">
        <v>0.0538523197174072</v>
      </c>
      <c r="AH286" s="25" t="n">
        <v>5.02953577041626</v>
      </c>
      <c r="AI286" s="25" t="n">
        <v>13.5485229492188</v>
      </c>
      <c r="AJ286" s="6" t="n">
        <v>237</v>
      </c>
      <c r="AK286" s="6" t="n">
        <v>399.4</v>
      </c>
      <c r="AL286" s="26"/>
    </row>
    <row r="287" customFormat="false" ht="15" hidden="false" customHeight="false" outlineLevel="0" collapsed="false">
      <c r="A287" s="6" t="s">
        <v>3410</v>
      </c>
      <c r="B287" s="6" t="s">
        <v>3411</v>
      </c>
      <c r="C287" s="6" t="s">
        <v>3409</v>
      </c>
      <c r="D287" s="13" t="n">
        <v>168.284301757813</v>
      </c>
      <c r="E287" s="25" t="n">
        <v>6.79815578460693</v>
      </c>
      <c r="F287" s="25" t="n">
        <v>14.1995906829834</v>
      </c>
      <c r="G287" s="25" t="n">
        <v>9.72551250457764</v>
      </c>
      <c r="H287" s="25" t="n">
        <v>0.22469262778759</v>
      </c>
      <c r="I287" s="25" t="n">
        <v>12.3063526153565</v>
      </c>
      <c r="J287" s="25" t="n">
        <v>5.59211962890625</v>
      </c>
      <c r="K287" s="25" t="n">
        <v>2.79454321289063</v>
      </c>
      <c r="L287" s="25" t="n">
        <v>0.502558502197266</v>
      </c>
      <c r="M287" s="25" t="n">
        <v>97.5409851074219</v>
      </c>
      <c r="N287" s="25" t="n">
        <v>49.223258972168</v>
      </c>
      <c r="O287" s="25" t="n">
        <v>101.256141662598</v>
      </c>
      <c r="P287" s="25" t="n">
        <v>59.0352439880371</v>
      </c>
      <c r="Q287" s="25" t="n">
        <v>73.8002090454102</v>
      </c>
      <c r="R287" s="25" t="n">
        <v>8.22797107696533</v>
      </c>
      <c r="S287" s="25" t="n">
        <v>0.646209001541138</v>
      </c>
      <c r="T287" s="25" t="n">
        <v>0.400000005960465</v>
      </c>
      <c r="U287" s="25" t="n">
        <v>0.0276639349758625</v>
      </c>
      <c r="V287" s="25" t="n">
        <v>8.90399551391602</v>
      </c>
      <c r="W287" s="25" t="n">
        <v>0.0115778688341379</v>
      </c>
      <c r="X287" s="25" t="n">
        <v>159.836059570313</v>
      </c>
      <c r="Y287" s="25" t="n">
        <v>214.641387939453</v>
      </c>
      <c r="Z287" s="25" t="n">
        <v>0.509016394615173</v>
      </c>
      <c r="AA287" s="25" t="n">
        <v>0.435450822114945</v>
      </c>
      <c r="AB287" s="25" t="n">
        <v>7.85081958770752</v>
      </c>
      <c r="AC287" s="25" t="n">
        <v>0.0367827862501144</v>
      </c>
      <c r="AD287" s="25" t="n">
        <v>0.120286881923676</v>
      </c>
      <c r="AE287" s="25" t="n">
        <v>0.112295083701611</v>
      </c>
      <c r="AF287" s="25" t="n">
        <v>0.459016382694244</v>
      </c>
      <c r="AG287" s="25" t="n">
        <v>0.0520491786301136</v>
      </c>
      <c r="AH287" s="25" t="n">
        <v>5.38688516616821</v>
      </c>
      <c r="AI287" s="25" t="n">
        <v>15.5452871322632</v>
      </c>
      <c r="AJ287" s="6" t="n">
        <v>244</v>
      </c>
      <c r="AK287" s="6" t="n">
        <v>410.6</v>
      </c>
      <c r="AL287" s="26"/>
    </row>
    <row r="288" customFormat="false" ht="15" hidden="false" customHeight="false" outlineLevel="0" collapsed="false">
      <c r="A288" s="6" t="s">
        <v>3412</v>
      </c>
      <c r="B288" s="6" t="s">
        <v>3413</v>
      </c>
      <c r="C288" s="6" t="s">
        <v>3409</v>
      </c>
      <c r="D288" s="13" t="n">
        <v>187.853912353516</v>
      </c>
      <c r="E288" s="25" t="n">
        <v>7.71475839614868</v>
      </c>
      <c r="F288" s="25" t="n">
        <v>14.7806901931763</v>
      </c>
      <c r="G288" s="25" t="n">
        <v>11.1942987442017</v>
      </c>
      <c r="H288" s="25" t="n">
        <v>0</v>
      </c>
      <c r="I288" s="25" t="n">
        <v>12.8604602813721</v>
      </c>
      <c r="J288" s="25" t="n">
        <v>6.4529423828125</v>
      </c>
      <c r="K288" s="25" t="n">
        <v>3.21503442382813</v>
      </c>
      <c r="L288" s="25" t="n">
        <v>0.564018371582031</v>
      </c>
      <c r="M288" s="25" t="n">
        <v>109.425285339356</v>
      </c>
      <c r="N288" s="25" t="n">
        <v>56.7305755615234</v>
      </c>
      <c r="O288" s="25" t="n">
        <v>90.1586227416992</v>
      </c>
      <c r="P288" s="25" t="n">
        <v>70.602294921875</v>
      </c>
      <c r="Q288" s="25" t="n">
        <v>86.9581604003906</v>
      </c>
      <c r="R288" s="25" t="n">
        <v>7.69747114181519</v>
      </c>
      <c r="S288" s="25" t="n">
        <v>0.577563226222992</v>
      </c>
      <c r="T288" s="25" t="n">
        <v>0.464183896780014</v>
      </c>
      <c r="U288" s="25" t="n">
        <v>0.027572413906455</v>
      </c>
      <c r="V288" s="25" t="n">
        <v>10.0172414779663</v>
      </c>
      <c r="W288" s="25" t="n">
        <v>0.0108275860548019</v>
      </c>
      <c r="X288" s="25" t="n">
        <v>179.310348510742</v>
      </c>
      <c r="Y288" s="25" t="n">
        <v>122.689651489258</v>
      </c>
      <c r="Z288" s="25" t="n">
        <v>0.578390777111054</v>
      </c>
      <c r="AA288" s="25" t="n">
        <v>0</v>
      </c>
      <c r="AB288" s="25" t="n">
        <v>0.598390817642212</v>
      </c>
      <c r="AC288" s="25" t="n">
        <v>0.0297057460993528</v>
      </c>
      <c r="AD288" s="25" t="n">
        <v>0.139057472348213</v>
      </c>
      <c r="AE288" s="25" t="n">
        <v>0.0787356346845627</v>
      </c>
      <c r="AF288" s="25" t="n">
        <v>0.49947127699852</v>
      </c>
      <c r="AG288" s="25" t="n">
        <v>0.0534528717398644</v>
      </c>
      <c r="AH288" s="25" t="n">
        <v>5.61701154708862</v>
      </c>
      <c r="AI288" s="25" t="n">
        <v>14.1216087341309</v>
      </c>
      <c r="AJ288" s="6" t="n">
        <v>217.5</v>
      </c>
      <c r="AK288" s="6" t="n">
        <v>408.6</v>
      </c>
      <c r="AL288" s="26"/>
    </row>
    <row r="289" customFormat="false" ht="15" hidden="false" customHeight="false" outlineLevel="0" collapsed="false">
      <c r="A289" s="6" t="s">
        <v>3414</v>
      </c>
      <c r="B289" s="6" t="s">
        <v>3415</v>
      </c>
      <c r="C289" s="6" t="s">
        <v>3409</v>
      </c>
      <c r="D289" s="13" t="n">
        <v>189.319198608398</v>
      </c>
      <c r="E289" s="25" t="n">
        <v>7.87922716140747</v>
      </c>
      <c r="F289" s="25" t="n">
        <v>14.740909576416</v>
      </c>
      <c r="G289" s="25" t="n">
        <v>11.3628635406494</v>
      </c>
      <c r="H289" s="25" t="n">
        <v>0</v>
      </c>
      <c r="I289" s="25" t="n">
        <v>12.6856822967529</v>
      </c>
      <c r="J289" s="25" t="n">
        <v>6.55413623046875</v>
      </c>
      <c r="K289" s="25" t="n">
        <v>3.2766591796875</v>
      </c>
      <c r="L289" s="25" t="n">
        <v>0.565781799316406</v>
      </c>
      <c r="M289" s="25" t="n">
        <v>108.181816101074</v>
      </c>
      <c r="N289" s="25" t="n">
        <v>56.0654563903809</v>
      </c>
      <c r="O289" s="25" t="n">
        <v>109.25227355957</v>
      </c>
      <c r="P289" s="25" t="n">
        <v>71.547721862793</v>
      </c>
      <c r="Q289" s="25" t="n">
        <v>94.9563674926758</v>
      </c>
      <c r="R289" s="25" t="n">
        <v>14.6736364364624</v>
      </c>
      <c r="S289" s="25" t="n">
        <v>0.713909089565277</v>
      </c>
      <c r="T289" s="25" t="n">
        <v>0.552749991416931</v>
      </c>
      <c r="U289" s="25" t="n">
        <v>0.0802772715687752</v>
      </c>
      <c r="V289" s="25" t="n">
        <v>9.90340900421143</v>
      </c>
      <c r="W289" s="25" t="n">
        <v>0.0101818181574345</v>
      </c>
      <c r="X289" s="25" t="n">
        <v>177.272735595703</v>
      </c>
      <c r="Y289" s="25" t="n">
        <v>121.84090423584</v>
      </c>
      <c r="Z289" s="25" t="n">
        <v>0.581090927124023</v>
      </c>
      <c r="AA289" s="25" t="n">
        <v>0.0204545464366674</v>
      </c>
      <c r="AB289" s="25" t="n">
        <v>0.591590940952301</v>
      </c>
      <c r="AC289" s="25" t="n">
        <v>0.0315250009298325</v>
      </c>
      <c r="AD289" s="25" t="n">
        <v>0.138079538941383</v>
      </c>
      <c r="AE289" s="25" t="n">
        <v>0.100056819617748</v>
      </c>
      <c r="AF289" s="25" t="n">
        <v>0.493715912103653</v>
      </c>
      <c r="AG289" s="25" t="n">
        <v>0.0537409074604511</v>
      </c>
      <c r="AH289" s="25" t="n">
        <v>5.5531816482544</v>
      </c>
      <c r="AI289" s="25" t="n">
        <v>14.4793176651001</v>
      </c>
      <c r="AJ289" s="6" t="n">
        <v>220</v>
      </c>
      <c r="AK289" s="6" t="n">
        <v>416.5</v>
      </c>
      <c r="AL289" s="26"/>
    </row>
    <row r="290" customFormat="false" ht="15" hidden="false" customHeight="false" outlineLevel="0" collapsed="false">
      <c r="A290" s="6" t="s">
        <v>3416</v>
      </c>
      <c r="B290" s="6" t="s">
        <v>3417</v>
      </c>
      <c r="C290" s="6" t="s">
        <v>3409</v>
      </c>
      <c r="D290" s="13" t="n">
        <v>196.142578125</v>
      </c>
      <c r="E290" s="25" t="n">
        <v>8.06450462341309</v>
      </c>
      <c r="F290" s="25" t="n">
        <v>15.5168323516846</v>
      </c>
      <c r="G290" s="25" t="n">
        <v>11.7204456329346</v>
      </c>
      <c r="H290" s="25" t="n">
        <v>0</v>
      </c>
      <c r="I290" s="25" t="n">
        <v>13.4529705047607</v>
      </c>
      <c r="J290" s="25" t="n">
        <v>6.7470546875</v>
      </c>
      <c r="K290" s="25" t="n">
        <v>3.37155932617188</v>
      </c>
      <c r="L290" s="25" t="n">
        <v>0.597039611816406</v>
      </c>
      <c r="M290" s="25" t="n">
        <v>117.821784973145</v>
      </c>
      <c r="N290" s="25" t="n">
        <v>59.1707916259766</v>
      </c>
      <c r="O290" s="25" t="n">
        <v>88.1707916259766</v>
      </c>
      <c r="P290" s="25" t="n">
        <v>67.2301940917969</v>
      </c>
      <c r="Q290" s="25" t="n">
        <v>86.4455413818359</v>
      </c>
      <c r="R290" s="25" t="n">
        <v>7.64356470108032</v>
      </c>
      <c r="S290" s="25" t="n">
        <v>0.610445559024811</v>
      </c>
      <c r="T290" s="25" t="n">
        <v>0.47502475976944</v>
      </c>
      <c r="U290" s="25" t="n">
        <v>0.027282178401947</v>
      </c>
      <c r="V290" s="25" t="n">
        <v>10.7153463363648</v>
      </c>
      <c r="W290" s="25" t="n">
        <v>0.0103465346619487</v>
      </c>
      <c r="X290" s="25" t="n">
        <v>193.069305419922</v>
      </c>
      <c r="Y290" s="25" t="n">
        <v>117.252471923828</v>
      </c>
      <c r="Z290" s="25" t="n">
        <v>0.606435656547546</v>
      </c>
      <c r="AA290" s="25" t="n">
        <v>0</v>
      </c>
      <c r="AB290" s="25" t="n">
        <v>0.495049506425858</v>
      </c>
      <c r="AC290" s="25" t="n">
        <v>0.0297301970422268</v>
      </c>
      <c r="AD290" s="25" t="n">
        <v>0.141324251890183</v>
      </c>
      <c r="AE290" s="25" t="n">
        <v>0.0777846500277519</v>
      </c>
      <c r="AF290" s="25" t="n">
        <v>0.512462854385376</v>
      </c>
      <c r="AG290" s="25" t="n">
        <v>0.0545198023319244</v>
      </c>
      <c r="AH290" s="25" t="n">
        <v>5.90099000930786</v>
      </c>
      <c r="AI290" s="25" t="n">
        <v>14.6831684112549</v>
      </c>
      <c r="AJ290" s="6" t="n">
        <v>202</v>
      </c>
      <c r="AK290" s="6" t="n">
        <v>396.2</v>
      </c>
      <c r="AL290" s="26"/>
    </row>
    <row r="291" customFormat="false" ht="15" hidden="false" customHeight="false" outlineLevel="0" collapsed="false">
      <c r="A291" s="6" t="s">
        <v>3418</v>
      </c>
      <c r="B291" s="6" t="s">
        <v>3419</v>
      </c>
      <c r="C291" s="6" t="s">
        <v>3007</v>
      </c>
      <c r="D291" s="13" t="n">
        <v>106.924865722656</v>
      </c>
      <c r="E291" s="25" t="n">
        <v>4.20821905136108</v>
      </c>
      <c r="F291" s="25" t="n">
        <v>12.7650680541992</v>
      </c>
      <c r="G291" s="25" t="n">
        <v>4.2739725112915</v>
      </c>
      <c r="H291" s="25" t="n">
        <v>1.59657526016235</v>
      </c>
      <c r="I291" s="25" t="n">
        <v>10.5582189559937</v>
      </c>
      <c r="J291" s="25" t="n">
        <v>2.16931518554688</v>
      </c>
      <c r="K291" s="25" t="n">
        <v>1.20288830566406</v>
      </c>
      <c r="L291" s="25" t="n">
        <v>0.422739715576172</v>
      </c>
      <c r="M291" s="25" t="n">
        <v>57.6712341308594</v>
      </c>
      <c r="N291" s="25" t="n">
        <v>28.7856159210205</v>
      </c>
      <c r="O291" s="25" t="n">
        <v>109.321914672852</v>
      </c>
      <c r="P291" s="25" t="n">
        <v>33.7602729797363</v>
      </c>
      <c r="Q291" s="25" t="n">
        <v>43.7780838012695</v>
      </c>
      <c r="R291" s="25" t="n">
        <v>8.40616416931152</v>
      </c>
      <c r="S291" s="25" t="n">
        <v>0.475342452526093</v>
      </c>
      <c r="T291" s="25" t="n">
        <v>0.278082191944122</v>
      </c>
      <c r="U291" s="25" t="n">
        <v>0.0402054786682129</v>
      </c>
      <c r="V291" s="25" t="n">
        <v>6.26780796051025</v>
      </c>
      <c r="W291" s="25" t="n">
        <v>0.036232877522707</v>
      </c>
      <c r="X291" s="25" t="n">
        <v>66.9862976074219</v>
      </c>
      <c r="Y291" s="25" t="n">
        <v>183</v>
      </c>
      <c r="Z291" s="25" t="n">
        <v>0.36369863152504</v>
      </c>
      <c r="AA291" s="25" t="n">
        <v>2.25</v>
      </c>
      <c r="AB291" s="25" t="n">
        <v>3.96780824661255</v>
      </c>
      <c r="AC291" s="25" t="n">
        <v>0.0322602726519108</v>
      </c>
      <c r="AD291" s="25" t="n">
        <v>0.0586986280977726</v>
      </c>
      <c r="AE291" s="25" t="n">
        <v>0.187671229243279</v>
      </c>
      <c r="AF291" s="25" t="n">
        <v>0.303698629140854</v>
      </c>
      <c r="AG291" s="25" t="n">
        <v>0.0530821904540062</v>
      </c>
      <c r="AH291" s="25" t="n">
        <v>3.09178066253662</v>
      </c>
      <c r="AI291" s="25" t="n">
        <v>9.65068531036377</v>
      </c>
      <c r="AJ291" s="6" t="n">
        <v>365</v>
      </c>
      <c r="AK291" s="6" t="n">
        <v>390.3</v>
      </c>
      <c r="AL291" s="26"/>
    </row>
    <row r="292" customFormat="false" ht="15" hidden="false" customHeight="false" outlineLevel="0" collapsed="false">
      <c r="A292" s="6" t="s">
        <v>3420</v>
      </c>
      <c r="B292" s="6" t="s">
        <v>3421</v>
      </c>
      <c r="C292" s="6" t="s">
        <v>2949</v>
      </c>
      <c r="D292" s="13" t="n">
        <v>188.260330200195</v>
      </c>
      <c r="E292" s="25" t="n">
        <v>7.95942974090576</v>
      </c>
      <c r="F292" s="25" t="n">
        <v>10.8370542526245</v>
      </c>
      <c r="G292" s="25" t="n">
        <v>12.1850833892822</v>
      </c>
      <c r="H292" s="25" t="n">
        <v>0</v>
      </c>
      <c r="I292" s="25" t="n">
        <v>10.2973871231079</v>
      </c>
      <c r="J292" s="25" t="n">
        <v>7.00033251953125</v>
      </c>
      <c r="K292" s="25" t="n">
        <v>3.58384790039063</v>
      </c>
      <c r="L292" s="25" t="n">
        <v>0.592988098144531</v>
      </c>
      <c r="M292" s="25" t="n">
        <v>111.705459594727</v>
      </c>
      <c r="N292" s="25" t="n">
        <v>51.7054634094238</v>
      </c>
      <c r="O292" s="25" t="n">
        <v>128.77197265625</v>
      </c>
      <c r="P292" s="25" t="n">
        <v>54.5938262939453</v>
      </c>
      <c r="Q292" s="25" t="n">
        <v>97.3681716918945</v>
      </c>
      <c r="R292" s="25" t="n">
        <v>26.6555805206299</v>
      </c>
      <c r="S292" s="25" t="n">
        <v>0.971353948116303</v>
      </c>
      <c r="T292" s="25" t="n">
        <v>0.679857492446899</v>
      </c>
      <c r="U292" s="25" t="n">
        <v>0.178180530667305</v>
      </c>
      <c r="V292" s="25" t="n">
        <v>10.3206644058228</v>
      </c>
      <c r="W292" s="25" t="n">
        <v>0.0164608079940081</v>
      </c>
      <c r="X292" s="25" t="n">
        <v>167.277908325195</v>
      </c>
      <c r="Y292" s="25" t="n">
        <v>105.187652587891</v>
      </c>
      <c r="Z292" s="25" t="n">
        <v>0.630023777484894</v>
      </c>
      <c r="AA292" s="25" t="n">
        <v>0.219477429986</v>
      </c>
      <c r="AB292" s="25" t="n">
        <v>0.332541584968567</v>
      </c>
      <c r="AC292" s="25" t="n">
        <v>0.0302660316228867</v>
      </c>
      <c r="AD292" s="25" t="n">
        <v>0.111995249986649</v>
      </c>
      <c r="AE292" s="25" t="n">
        <v>0.125059381127358</v>
      </c>
      <c r="AF292" s="25" t="n">
        <v>0.449097394943237</v>
      </c>
      <c r="AG292" s="25" t="n">
        <v>0.0515249408781529</v>
      </c>
      <c r="AH292" s="25" t="n">
        <v>5.22945356369019</v>
      </c>
      <c r="AI292" s="25" t="n">
        <v>15.0308790206909</v>
      </c>
      <c r="AJ292" s="6" t="n">
        <v>210.5</v>
      </c>
      <c r="AK292" s="6" t="n">
        <v>396.3</v>
      </c>
      <c r="AL292" s="26"/>
    </row>
    <row r="293" customFormat="false" ht="15" hidden="false" customHeight="false" outlineLevel="0" collapsed="false">
      <c r="A293" s="6" t="s">
        <v>3422</v>
      </c>
      <c r="B293" s="6" t="s">
        <v>3423</v>
      </c>
      <c r="C293" s="6" t="s">
        <v>2949</v>
      </c>
      <c r="D293" s="13" t="n">
        <v>124.975685119629</v>
      </c>
      <c r="E293" s="25" t="n">
        <v>3.20724010467529</v>
      </c>
      <c r="F293" s="25" t="n">
        <v>9.14007186889648</v>
      </c>
      <c r="G293" s="25" t="n">
        <v>8.46612930297852</v>
      </c>
      <c r="H293" s="25" t="n">
        <v>0.88451611995697</v>
      </c>
      <c r="I293" s="25" t="n">
        <v>8.89250946044922</v>
      </c>
      <c r="J293" s="25" t="n">
        <v>5.3028671875</v>
      </c>
      <c r="K293" s="25" t="n">
        <v>2.24077587890625</v>
      </c>
      <c r="L293" s="25" t="n">
        <v>0.332630828857422</v>
      </c>
      <c r="M293" s="25" t="n">
        <v>23.6559143066406</v>
      </c>
      <c r="N293" s="25" t="n">
        <v>19.6245155334473</v>
      </c>
      <c r="O293" s="25" t="n">
        <v>113.709678649902</v>
      </c>
      <c r="P293" s="25" t="n">
        <v>51.3808250427246</v>
      </c>
      <c r="Q293" s="25" t="n">
        <v>40.022403717041</v>
      </c>
      <c r="R293" s="25" t="n">
        <v>10.4793910980225</v>
      </c>
      <c r="S293" s="25" t="n">
        <v>0.34899640083313</v>
      </c>
      <c r="T293" s="25" t="n">
        <v>0.196057349443436</v>
      </c>
      <c r="U293" s="25" t="n">
        <v>0.0505017936229706</v>
      </c>
      <c r="V293" s="25" t="n">
        <v>1.27358424663544</v>
      </c>
      <c r="W293" s="25" t="n">
        <v>0.108494624495506</v>
      </c>
      <c r="X293" s="25" t="n">
        <v>125.161293029785</v>
      </c>
      <c r="Y293" s="25" t="n">
        <v>844.680969238281</v>
      </c>
      <c r="Z293" s="25" t="n">
        <v>0.33089604973793</v>
      </c>
      <c r="AA293" s="25" t="n">
        <v>3.31272411346436</v>
      </c>
      <c r="AB293" s="25" t="n">
        <v>15.3246240615845</v>
      </c>
      <c r="AC293" s="25" t="n">
        <v>0.0264874547719955</v>
      </c>
      <c r="AD293" s="25" t="n">
        <v>0.101003587245941</v>
      </c>
      <c r="AE293" s="25" t="n">
        <v>0.164802864193916</v>
      </c>
      <c r="AF293" s="25" t="n">
        <v>0.185232982039452</v>
      </c>
      <c r="AG293" s="25" t="n">
        <v>0.0678853020071983</v>
      </c>
      <c r="AH293" s="25" t="n">
        <v>1.93698918819428</v>
      </c>
      <c r="AI293" s="25" t="n">
        <v>39.6711463928223</v>
      </c>
      <c r="AJ293" s="6" t="n">
        <v>279</v>
      </c>
      <c r="AK293" s="6" t="n">
        <v>348.7</v>
      </c>
      <c r="AL293" s="26"/>
    </row>
    <row r="294" customFormat="false" ht="15" hidden="false" customHeight="false" outlineLevel="0" collapsed="false">
      <c r="A294" s="6" t="s">
        <v>3424</v>
      </c>
      <c r="B294" s="6" t="s">
        <v>3425</v>
      </c>
      <c r="C294" s="6" t="s">
        <v>3007</v>
      </c>
      <c r="D294" s="13" t="n">
        <v>101.183113098145</v>
      </c>
      <c r="E294" s="25" t="n">
        <v>1.43604481220245</v>
      </c>
      <c r="F294" s="25" t="n">
        <v>11.956521987915</v>
      </c>
      <c r="G294" s="25" t="n">
        <v>5.42861175537109</v>
      </c>
      <c r="H294" s="25" t="n">
        <v>1.0314165353775</v>
      </c>
      <c r="I294" s="25" t="n">
        <v>11.3705472946167</v>
      </c>
      <c r="J294" s="25" t="n">
        <v>3.42925830078125</v>
      </c>
      <c r="K294" s="25" t="n">
        <v>1.43393603515625</v>
      </c>
      <c r="L294" s="25" t="n">
        <v>0.200844879150391</v>
      </c>
      <c r="M294" s="25" t="n">
        <v>15.4277696609497</v>
      </c>
      <c r="N294" s="25" t="n">
        <v>10.1702661514282</v>
      </c>
      <c r="O294" s="25" t="n">
        <v>114.984573364258</v>
      </c>
      <c r="P294" s="25" t="n">
        <v>35.0005607604981</v>
      </c>
      <c r="Q294" s="25" t="n">
        <v>29.61598777771</v>
      </c>
      <c r="R294" s="25" t="n">
        <v>8.46507740020752</v>
      </c>
      <c r="S294" s="25" t="n">
        <v>0.40785413980484</v>
      </c>
      <c r="T294" s="25" t="n">
        <v>0.119284719228745</v>
      </c>
      <c r="U294" s="25" t="n">
        <v>0.0256549790501595</v>
      </c>
      <c r="V294" s="25" t="n">
        <v>0.0788218826055527</v>
      </c>
      <c r="W294" s="25" t="n">
        <v>0.224964931607246</v>
      </c>
      <c r="X294" s="25" t="n">
        <v>81.6269302368164</v>
      </c>
      <c r="Y294" s="25" t="n">
        <v>290.683319091797</v>
      </c>
      <c r="Z294" s="25" t="n">
        <v>0.231206178665161</v>
      </c>
      <c r="AA294" s="25" t="n">
        <v>1.24544179439545</v>
      </c>
      <c r="AB294" s="25" t="n">
        <v>22.3186531066895</v>
      </c>
      <c r="AC294" s="25" t="n">
        <v>0.0428050495684147</v>
      </c>
      <c r="AD294" s="25" t="n">
        <v>0.0657643750309944</v>
      </c>
      <c r="AE294" s="25" t="n">
        <v>0.149368867278099</v>
      </c>
      <c r="AF294" s="25" t="n">
        <v>0.181612908840179</v>
      </c>
      <c r="AG294" s="25" t="n">
        <v>0.0454081334173679</v>
      </c>
      <c r="AH294" s="25" t="n">
        <v>1.95960736274719</v>
      </c>
      <c r="AI294" s="25" t="n">
        <v>11.8451614379883</v>
      </c>
      <c r="AJ294" s="6" t="n">
        <v>89.1</v>
      </c>
      <c r="AK294" s="6" t="n">
        <v>90.2</v>
      </c>
      <c r="AL294" s="26"/>
    </row>
    <row r="295" customFormat="false" ht="15" hidden="false" customHeight="false" outlineLevel="0" collapsed="false">
      <c r="A295" s="6" t="s">
        <v>3426</v>
      </c>
      <c r="B295" s="6" t="s">
        <v>3427</v>
      </c>
      <c r="C295" s="6" t="s">
        <v>3007</v>
      </c>
      <c r="D295" s="13" t="n">
        <v>188.28645324707</v>
      </c>
      <c r="E295" s="25" t="n">
        <v>3.95491099357605</v>
      </c>
      <c r="F295" s="25" t="n">
        <v>34.080680847168</v>
      </c>
      <c r="G295" s="25" t="n">
        <v>4.78065204620361</v>
      </c>
      <c r="H295" s="25" t="n">
        <v>1.00928854942322</v>
      </c>
      <c r="I295" s="25" t="n">
        <v>20.4761867523193</v>
      </c>
      <c r="J295" s="25" t="n">
        <v>2.71756323242188</v>
      </c>
      <c r="K295" s="25" t="n">
        <v>1.35916235351563</v>
      </c>
      <c r="L295" s="25" t="n">
        <v>0.278216796875</v>
      </c>
      <c r="M295" s="25" t="n">
        <v>47.035572052002</v>
      </c>
      <c r="N295" s="25" t="n">
        <v>56.4460487365723</v>
      </c>
      <c r="O295" s="25" t="n">
        <v>92.2588958740234</v>
      </c>
      <c r="P295" s="25" t="n">
        <v>34.9484176635742</v>
      </c>
      <c r="Q295" s="25" t="n">
        <v>46.1821632385254</v>
      </c>
      <c r="R295" s="25" t="n">
        <v>9.64916038513184</v>
      </c>
      <c r="S295" s="25" t="n">
        <v>0.529486179351807</v>
      </c>
      <c r="T295" s="25" t="n">
        <v>0.266620546579361</v>
      </c>
      <c r="U295" s="25" t="n">
        <v>0.0410513840615749</v>
      </c>
      <c r="V295" s="25" t="n">
        <v>4.29664039611816</v>
      </c>
      <c r="W295" s="25" t="n">
        <v>0.343142300844193</v>
      </c>
      <c r="X295" s="25" t="n">
        <v>77.0750961303711</v>
      </c>
      <c r="Y295" s="25" t="n">
        <v>88.6454544067383</v>
      </c>
      <c r="Z295" s="25" t="n">
        <v>0.353952586650848</v>
      </c>
      <c r="AA295" s="25" t="n">
        <v>0.791501998901367</v>
      </c>
      <c r="AB295" s="25" t="n">
        <v>9.99258899688721</v>
      </c>
      <c r="AC295" s="25" t="n">
        <v>0.0356442667543888</v>
      </c>
      <c r="AD295" s="25" t="n">
        <v>0.0692588910460472</v>
      </c>
      <c r="AE295" s="25" t="n">
        <v>0.104644268751144</v>
      </c>
      <c r="AF295" s="25" t="n">
        <v>0.283023715019226</v>
      </c>
      <c r="AG295" s="25" t="n">
        <v>0.0601304359734058</v>
      </c>
      <c r="AH295" s="25" t="n">
        <v>2.70889329910278</v>
      </c>
      <c r="AI295" s="25" t="n">
        <v>11.3502960205078</v>
      </c>
      <c r="AJ295" s="6" t="n">
        <v>253</v>
      </c>
      <c r="AK295" s="6" t="n">
        <v>476.4</v>
      </c>
      <c r="AL295" s="26"/>
    </row>
    <row r="296" customFormat="false" ht="15" hidden="false" customHeight="false" outlineLevel="0" collapsed="false">
      <c r="A296" s="6" t="s">
        <v>3428</v>
      </c>
      <c r="B296" s="6" t="s">
        <v>3429</v>
      </c>
      <c r="C296" s="6" t="s">
        <v>3007</v>
      </c>
      <c r="D296" s="13" t="n">
        <v>116.967063903809</v>
      </c>
      <c r="E296" s="25" t="n">
        <v>2.93337893486023</v>
      </c>
      <c r="F296" s="25" t="n">
        <v>18.2368698120117</v>
      </c>
      <c r="G296" s="25" t="n">
        <v>3.93466210365295</v>
      </c>
      <c r="H296" s="25" t="n">
        <v>0.118049614131451</v>
      </c>
      <c r="I296" s="25" t="n">
        <v>13.888879776001</v>
      </c>
      <c r="J296" s="25" t="n">
        <v>2.20046826171875</v>
      </c>
      <c r="K296" s="25" t="n">
        <v>1.13323522949219</v>
      </c>
      <c r="L296" s="25" t="n">
        <v>0.217158248901367</v>
      </c>
      <c r="M296" s="25" t="n">
        <v>36.9546623229981</v>
      </c>
      <c r="N296" s="25" t="n">
        <v>26.9452514648438</v>
      </c>
      <c r="O296" s="25" t="n">
        <v>99.8964920043945</v>
      </c>
      <c r="P296" s="25" t="n">
        <v>48.718563079834</v>
      </c>
      <c r="Q296" s="25" t="n">
        <v>59.7065849304199</v>
      </c>
      <c r="R296" s="25" t="n">
        <v>8.36740779876709</v>
      </c>
      <c r="S296" s="25" t="n">
        <v>0.47137725353241</v>
      </c>
      <c r="T296" s="25" t="n">
        <v>0.314730554819107</v>
      </c>
      <c r="U296" s="25" t="n">
        <v>0.0437758788466454</v>
      </c>
      <c r="V296" s="25" t="n">
        <v>3.70316505432129</v>
      </c>
      <c r="W296" s="25" t="n">
        <v>0.074388362467289</v>
      </c>
      <c r="X296" s="25" t="n">
        <v>46.8092384338379</v>
      </c>
      <c r="Y296" s="25" t="n">
        <v>114.867408752441</v>
      </c>
      <c r="Z296" s="25" t="n">
        <v>0.236013695597649</v>
      </c>
      <c r="AA296" s="25" t="n">
        <v>0.0427716001868248</v>
      </c>
      <c r="AB296" s="25" t="n">
        <v>6.60650110244751</v>
      </c>
      <c r="AC296" s="25" t="n">
        <v>0.0268793851137161</v>
      </c>
      <c r="AD296" s="25" t="n">
        <v>0.0709922984242439</v>
      </c>
      <c r="AE296" s="25" t="n">
        <v>0.202181354165077</v>
      </c>
      <c r="AF296" s="25" t="n">
        <v>0.296039342880249</v>
      </c>
      <c r="AG296" s="25" t="n">
        <v>0.0476065017282963</v>
      </c>
      <c r="AH296" s="25" t="n">
        <v>2.50898194313049</v>
      </c>
      <c r="AI296" s="25" t="n">
        <v>9.8233528137207</v>
      </c>
      <c r="AJ296" s="6" t="n">
        <v>292.2</v>
      </c>
      <c r="AK296" s="6" t="n">
        <v>341.8</v>
      </c>
      <c r="AL296" s="26"/>
    </row>
    <row r="297" customFormat="false" ht="15" hidden="false" customHeight="false" outlineLevel="0" collapsed="false">
      <c r="A297" s="6" t="s">
        <v>3430</v>
      </c>
      <c r="B297" s="6" t="s">
        <v>3431</v>
      </c>
      <c r="C297" s="6" t="s">
        <v>3007</v>
      </c>
      <c r="D297" s="13" t="n">
        <v>95.2147827148438</v>
      </c>
      <c r="E297" s="25" t="n">
        <v>4.67455959320068</v>
      </c>
      <c r="F297" s="25" t="n">
        <v>8.07217025756836</v>
      </c>
      <c r="G297" s="25" t="n">
        <v>4.96811294555664</v>
      </c>
      <c r="H297" s="25" t="n">
        <v>0.0333333313465118</v>
      </c>
      <c r="I297" s="25" t="n">
        <v>8.01478004455566</v>
      </c>
      <c r="J297" s="25" t="n">
        <v>2.59523583984375</v>
      </c>
      <c r="K297" s="25" t="n">
        <v>1.50326806640625</v>
      </c>
      <c r="L297" s="25" t="n">
        <v>0.292575469970703</v>
      </c>
      <c r="M297" s="25" t="n">
        <v>57.5471687316895</v>
      </c>
      <c r="N297" s="25" t="n">
        <v>39.5981140136719</v>
      </c>
      <c r="O297" s="25" t="n">
        <v>115.355346679688</v>
      </c>
      <c r="P297" s="25" t="n">
        <v>101.328300476074</v>
      </c>
      <c r="Q297" s="25" t="n">
        <v>105.454559326172</v>
      </c>
      <c r="R297" s="25" t="n">
        <v>8.7369499206543</v>
      </c>
      <c r="S297" s="25" t="n">
        <v>0.417672961950302</v>
      </c>
      <c r="T297" s="25" t="n">
        <v>0.45883646607399</v>
      </c>
      <c r="U297" s="25" t="n">
        <v>0.0404465422034264</v>
      </c>
      <c r="V297" s="25" t="n">
        <v>7.10534572601318</v>
      </c>
      <c r="W297" s="25" t="n">
        <v>0.0140880504623056</v>
      </c>
      <c r="X297" s="25" t="n">
        <v>31.1320762634277</v>
      </c>
      <c r="Y297" s="25" t="n">
        <v>182.531448364258</v>
      </c>
      <c r="Z297" s="25" t="n">
        <v>0.411320745944977</v>
      </c>
      <c r="AA297" s="25" t="n">
        <v>0.0874213799834251</v>
      </c>
      <c r="AB297" s="25" t="n">
        <v>1.71886801719666</v>
      </c>
      <c r="AC297" s="25" t="n">
        <v>0.034154087305069</v>
      </c>
      <c r="AD297" s="25" t="n">
        <v>0.116965413093567</v>
      </c>
      <c r="AE297" s="25" t="n">
        <v>0.0845125764608383</v>
      </c>
      <c r="AF297" s="25" t="n">
        <v>0.502154111862183</v>
      </c>
      <c r="AG297" s="25" t="n">
        <v>0.0573144666850567</v>
      </c>
      <c r="AH297" s="25" t="n">
        <v>4.44842767715454</v>
      </c>
      <c r="AI297" s="25" t="n">
        <v>13.3588056564331</v>
      </c>
      <c r="AJ297" s="6" t="n">
        <v>318</v>
      </c>
      <c r="AK297" s="6" t="n">
        <v>302.8</v>
      </c>
      <c r="AL297" s="26"/>
    </row>
    <row r="298" customFormat="false" ht="15" hidden="false" customHeight="false" outlineLevel="0" collapsed="false">
      <c r="A298" s="6" t="s">
        <v>2193</v>
      </c>
      <c r="B298" s="6" t="s">
        <v>3432</v>
      </c>
      <c r="C298" s="6" t="s">
        <v>3433</v>
      </c>
      <c r="D298" s="13" t="n">
        <v>98.4265060424805</v>
      </c>
      <c r="E298" s="25" t="n">
        <v>3.20861148834229</v>
      </c>
      <c r="F298" s="25" t="n">
        <v>11.3026685714722</v>
      </c>
      <c r="G298" s="25" t="n">
        <v>4.69640827178955</v>
      </c>
      <c r="H298" s="25" t="n">
        <v>0.123090483248234</v>
      </c>
      <c r="I298" s="25" t="n">
        <v>10.3865346908569</v>
      </c>
      <c r="J298" s="25" t="n">
        <v>2.54809692382813</v>
      </c>
      <c r="K298" s="25" t="n">
        <v>1.46758740234375</v>
      </c>
      <c r="L298" s="25" t="n">
        <v>0.256795867919922</v>
      </c>
      <c r="M298" s="25" t="n">
        <v>0</v>
      </c>
      <c r="N298" s="25" t="n">
        <v>23.9656524658203</v>
      </c>
      <c r="O298" s="25" t="n">
        <v>114.043685913086</v>
      </c>
      <c r="P298" s="25" t="n">
        <v>111.858283996582</v>
      </c>
      <c r="Q298" s="25" t="n">
        <v>94.0412368774414</v>
      </c>
      <c r="R298" s="25" t="n">
        <v>10.6269807815552</v>
      </c>
      <c r="S298" s="25" t="n">
        <v>0.195245817303658</v>
      </c>
      <c r="T298" s="25" t="n">
        <v>0.347949057817459</v>
      </c>
      <c r="U298" s="25" t="n">
        <v>0.0446231327950954</v>
      </c>
      <c r="V298" s="25" t="n">
        <v>0.92439728975296</v>
      </c>
      <c r="W298" s="25" t="n">
        <v>0.0314186289906502</v>
      </c>
      <c r="X298" s="25" t="n">
        <v>0</v>
      </c>
      <c r="Y298" s="25" t="n">
        <v>185.964416503906</v>
      </c>
      <c r="Z298" s="25" t="n">
        <v>0.466374963521957</v>
      </c>
      <c r="AA298" s="25" t="n">
        <v>0.0966533422470093</v>
      </c>
      <c r="AB298" s="25" t="n">
        <v>1.866366147995</v>
      </c>
      <c r="AC298" s="25" t="n">
        <v>0.0306345336139202</v>
      </c>
      <c r="AD298" s="25" t="n">
        <v>0.104002669453621</v>
      </c>
      <c r="AE298" s="25" t="n">
        <v>0.105805568397045</v>
      </c>
      <c r="AF298" s="25" t="n">
        <v>0.321533411741257</v>
      </c>
      <c r="AG298" s="25" t="n">
        <v>0.0391818471252918</v>
      </c>
      <c r="AH298" s="25" t="n">
        <v>1.86966454982758</v>
      </c>
      <c r="AI298" s="25" t="n">
        <v>6.92063236236572</v>
      </c>
      <c r="AJ298" s="6" t="n">
        <v>270.1</v>
      </c>
      <c r="AK298" s="6" t="n">
        <v>265.9</v>
      </c>
      <c r="AL298" s="26"/>
    </row>
    <row r="299" customFormat="false" ht="15" hidden="false" customHeight="false" outlineLevel="0" collapsed="false">
      <c r="A299" s="6" t="s">
        <v>3434</v>
      </c>
      <c r="B299" s="6" t="s">
        <v>3435</v>
      </c>
      <c r="C299" s="6" t="s">
        <v>3436</v>
      </c>
      <c r="D299" s="13" t="n">
        <v>278.033142089844</v>
      </c>
      <c r="E299" s="25" t="n">
        <v>2.34341907501221</v>
      </c>
      <c r="F299" s="25" t="n">
        <v>41.5254516601563</v>
      </c>
      <c r="G299" s="25" t="n">
        <v>12.0350847244263</v>
      </c>
      <c r="H299" s="25" t="n">
        <v>0.584868788719177</v>
      </c>
      <c r="I299" s="25" t="n">
        <v>26.5340576171875</v>
      </c>
      <c r="J299" s="25" t="n">
        <v>7.54222900390625</v>
      </c>
      <c r="K299" s="25" t="n">
        <v>3.037576171875</v>
      </c>
      <c r="L299" s="25" t="n">
        <v>0.479210113525391</v>
      </c>
      <c r="M299" s="25" t="n">
        <v>31.8640441894531</v>
      </c>
      <c r="N299" s="25" t="n">
        <v>79.1038970947266</v>
      </c>
      <c r="O299" s="25" t="n">
        <v>108.757720947266</v>
      </c>
      <c r="P299" s="25" t="n">
        <v>21.1479835510254</v>
      </c>
      <c r="Q299" s="25" t="n">
        <v>83.060905456543</v>
      </c>
      <c r="R299" s="25" t="n">
        <v>11.2269525527954</v>
      </c>
      <c r="S299" s="25" t="n">
        <v>0.548899114131928</v>
      </c>
      <c r="T299" s="25" t="n">
        <v>0.229848772287369</v>
      </c>
      <c r="U299" s="25" t="n">
        <v>0.0455188006162643</v>
      </c>
      <c r="V299" s="25" t="n">
        <v>0.221453562378883</v>
      </c>
      <c r="W299" s="25" t="n">
        <v>0.157795459032059</v>
      </c>
      <c r="X299" s="25" t="n">
        <v>138.798904418945</v>
      </c>
      <c r="Y299" s="25" t="n">
        <v>164.775024414063</v>
      </c>
      <c r="Z299" s="25" t="n">
        <v>0.419861793518066</v>
      </c>
      <c r="AA299" s="25" t="n">
        <v>1.25348973274231</v>
      </c>
      <c r="AB299" s="25" t="n">
        <v>20.2307834625244</v>
      </c>
      <c r="AC299" s="25" t="n">
        <v>0.0602559074759483</v>
      </c>
      <c r="AD299" s="25" t="n">
        <v>0.0299753397703171</v>
      </c>
      <c r="AE299" s="25" t="n">
        <v>0.224845066666603</v>
      </c>
      <c r="AF299" s="25" t="n">
        <v>0.253721833229065</v>
      </c>
      <c r="AG299" s="25" t="n">
        <v>0.0355723090469837</v>
      </c>
      <c r="AH299" s="25" t="n">
        <v>0.589153170585632</v>
      </c>
      <c r="AI299" s="25" t="n">
        <v>14.8103685379028</v>
      </c>
      <c r="AJ299" s="6" t="n">
        <v>107.5</v>
      </c>
      <c r="AK299" s="6" t="n">
        <v>298.8</v>
      </c>
      <c r="AL299" s="26"/>
    </row>
    <row r="300" customFormat="false" ht="15" hidden="false" customHeight="false" outlineLevel="0" collapsed="false">
      <c r="A300" s="6" t="s">
        <v>3437</v>
      </c>
      <c r="B300" s="6" t="s">
        <v>3438</v>
      </c>
      <c r="C300" s="6" t="s">
        <v>3007</v>
      </c>
      <c r="D300" s="13" t="n">
        <v>112.926879882813</v>
      </c>
      <c r="E300" s="25" t="n">
        <v>4.83651781082153</v>
      </c>
      <c r="F300" s="25" t="n">
        <v>14.6044645309448</v>
      </c>
      <c r="G300" s="25" t="n">
        <v>4.05031251907349</v>
      </c>
      <c r="H300" s="25" t="n">
        <v>0.166964292526245</v>
      </c>
      <c r="I300" s="25" t="n">
        <v>10.8741073608398</v>
      </c>
      <c r="J300" s="25" t="n">
        <v>2.14955346679688</v>
      </c>
      <c r="K300" s="25" t="n">
        <v>1.20531970214844</v>
      </c>
      <c r="L300" s="25" t="n">
        <v>0.230625</v>
      </c>
      <c r="M300" s="25" t="n">
        <v>40.8482131958008</v>
      </c>
      <c r="N300" s="25" t="n">
        <v>44.1589279174805</v>
      </c>
      <c r="O300" s="25" t="n">
        <v>110.875</v>
      </c>
      <c r="P300" s="25" t="n">
        <v>85.4329452514648</v>
      </c>
      <c r="Q300" s="25" t="n">
        <v>92.8114700317383</v>
      </c>
      <c r="R300" s="25" t="n">
        <v>8.94459819793701</v>
      </c>
      <c r="S300" s="25" t="n">
        <v>0.367812514305115</v>
      </c>
      <c r="T300" s="25" t="n">
        <v>0.414107143878937</v>
      </c>
      <c r="U300" s="25" t="n">
        <v>0.0449107140302658</v>
      </c>
      <c r="V300" s="25" t="n">
        <v>6.81388378143311</v>
      </c>
      <c r="W300" s="25" t="n">
        <v>0.044196430593729</v>
      </c>
      <c r="X300" s="25" t="n">
        <v>22.0982151031494</v>
      </c>
      <c r="Y300" s="25" t="n">
        <v>151.089279174805</v>
      </c>
      <c r="Z300" s="25" t="n">
        <v>0.319866061210632</v>
      </c>
      <c r="AA300" s="25" t="n">
        <v>0.066964291036129</v>
      </c>
      <c r="AB300" s="25" t="n">
        <v>1.34598219394684</v>
      </c>
      <c r="AC300" s="25" t="n">
        <v>0.0358928591012955</v>
      </c>
      <c r="AD300" s="25" t="n">
        <v>0.109687499701977</v>
      </c>
      <c r="AE300" s="25" t="n">
        <v>0.178660705685616</v>
      </c>
      <c r="AF300" s="25" t="n">
        <v>0.518750011920929</v>
      </c>
      <c r="AG300" s="25" t="n">
        <v>0.0544642843306065</v>
      </c>
      <c r="AH300" s="25" t="n">
        <v>3.70633935928345</v>
      </c>
      <c r="AI300" s="25" t="n">
        <v>11.0237503051758</v>
      </c>
      <c r="AJ300" s="6" t="n">
        <v>224</v>
      </c>
      <c r="AK300" s="6" t="n">
        <v>253</v>
      </c>
      <c r="AL300" s="26"/>
    </row>
    <row r="301" customFormat="false" ht="15" hidden="false" customHeight="false" outlineLevel="0" collapsed="false">
      <c r="A301" s="6" t="s">
        <v>3439</v>
      </c>
      <c r="B301" s="6" t="s">
        <v>3440</v>
      </c>
      <c r="C301" s="6" t="s">
        <v>3436</v>
      </c>
      <c r="D301" s="13" t="n">
        <v>285.014801025391</v>
      </c>
      <c r="E301" s="25" t="n">
        <v>11.2910747528076</v>
      </c>
      <c r="F301" s="25" t="n">
        <v>19.273853302002</v>
      </c>
      <c r="G301" s="25" t="n">
        <v>18.3719615936279</v>
      </c>
      <c r="H301" s="25" t="n">
        <v>0.0496308580040932</v>
      </c>
      <c r="I301" s="25" t="n">
        <v>18.6318588256836</v>
      </c>
      <c r="J301" s="25" t="n">
        <v>10.5552861328125</v>
      </c>
      <c r="K301" s="25" t="n">
        <v>5.35695458984375</v>
      </c>
      <c r="L301" s="25" t="n">
        <v>0.851299011230469</v>
      </c>
      <c r="M301" s="25" t="n">
        <v>99.7552871704102</v>
      </c>
      <c r="N301" s="25" t="n">
        <v>37.829532623291</v>
      </c>
      <c r="O301" s="25" t="n">
        <v>81.7026138305664</v>
      </c>
      <c r="P301" s="25" t="n">
        <v>226.107009887695</v>
      </c>
      <c r="Q301" s="25" t="n">
        <v>196.407302856445</v>
      </c>
      <c r="R301" s="25" t="n">
        <v>19.0319366455078</v>
      </c>
      <c r="S301" s="25" t="n">
        <v>0.871277451515198</v>
      </c>
      <c r="T301" s="25" t="n">
        <v>1.52535879611969</v>
      </c>
      <c r="U301" s="25" t="n">
        <v>0.104749068617821</v>
      </c>
      <c r="V301" s="25" t="n">
        <v>18.2706260681152</v>
      </c>
      <c r="W301" s="25" t="n">
        <v>0.0831522196531296</v>
      </c>
      <c r="X301" s="25" t="n">
        <v>148.345092773438</v>
      </c>
      <c r="Y301" s="25" t="n">
        <v>201.652908325195</v>
      </c>
      <c r="Z301" s="25" t="n">
        <v>0.576565742492676</v>
      </c>
      <c r="AA301" s="25" t="n">
        <v>0.852231442928314</v>
      </c>
      <c r="AB301" s="25" t="n">
        <v>0.250103682279587</v>
      </c>
      <c r="AC301" s="25" t="n">
        <v>0.0323600172996521</v>
      </c>
      <c r="AD301" s="25" t="n">
        <v>0.103185400366783</v>
      </c>
      <c r="AE301" s="25" t="n">
        <v>0.101692244410515</v>
      </c>
      <c r="AF301" s="25" t="n">
        <v>0.574139356613159</v>
      </c>
      <c r="AG301" s="25" t="n">
        <v>0.0569141432642937</v>
      </c>
      <c r="AH301" s="25" t="n">
        <v>12.8112735748291</v>
      </c>
      <c r="AI301" s="25" t="n">
        <v>50.1286582946777</v>
      </c>
      <c r="AJ301" s="6" t="n">
        <v>120.5</v>
      </c>
      <c r="AK301" s="6" t="n">
        <v>343.6</v>
      </c>
      <c r="AL301" s="26"/>
    </row>
    <row r="302" customFormat="false" ht="15" hidden="false" customHeight="false" outlineLevel="0" collapsed="false">
      <c r="A302" s="6" t="s">
        <v>3441</v>
      </c>
      <c r="B302" s="6" t="s">
        <v>3442</v>
      </c>
      <c r="C302" s="6" t="s">
        <v>3436</v>
      </c>
      <c r="D302" s="13" t="n">
        <v>211.963485717773</v>
      </c>
      <c r="E302" s="25" t="n">
        <v>3.5474009513855</v>
      </c>
      <c r="F302" s="25" t="n">
        <v>29.5895137786865</v>
      </c>
      <c r="G302" s="25" t="n">
        <v>9.47761535644531</v>
      </c>
      <c r="H302" s="25" t="n">
        <v>0.525084853172302</v>
      </c>
      <c r="I302" s="25" t="n">
        <v>20.6815547943115</v>
      </c>
      <c r="J302" s="25" t="n">
        <v>5.510765625</v>
      </c>
      <c r="K302" s="25" t="n">
        <v>2.43292333984375</v>
      </c>
      <c r="L302" s="25" t="n">
        <v>0.372396820068359</v>
      </c>
      <c r="M302" s="25" t="n">
        <v>46.2527351379395</v>
      </c>
      <c r="N302" s="25" t="n">
        <v>171.356475830078</v>
      </c>
      <c r="O302" s="25" t="n">
        <v>79.2240676879883</v>
      </c>
      <c r="P302" s="25" t="n">
        <v>64.5605392456055</v>
      </c>
      <c r="Q302" s="25" t="n">
        <v>77.364013671875</v>
      </c>
      <c r="R302" s="25" t="n">
        <v>12.0388526916504</v>
      </c>
      <c r="S302" s="25" t="n">
        <v>0.602836668491364</v>
      </c>
      <c r="T302" s="25" t="n">
        <v>0.391535252332687</v>
      </c>
      <c r="U302" s="25" t="n">
        <v>0.0895480960607529</v>
      </c>
      <c r="V302" s="25" t="n">
        <v>4.5333833694458</v>
      </c>
      <c r="W302" s="25" t="n">
        <v>0.0938815549015999</v>
      </c>
      <c r="X302" s="25" t="n">
        <v>98.7763137817383</v>
      </c>
      <c r="Y302" s="25" t="n">
        <v>109.021499633789</v>
      </c>
      <c r="Z302" s="25" t="n">
        <v>0.346254259347916</v>
      </c>
      <c r="AA302" s="25" t="n">
        <v>0.66118448972702</v>
      </c>
      <c r="AB302" s="25" t="n">
        <v>0.454922676086426</v>
      </c>
      <c r="AC302" s="25" t="n">
        <v>0.052740853279829</v>
      </c>
      <c r="AD302" s="25" t="n">
        <v>0.0591474920511246</v>
      </c>
      <c r="AE302" s="25" t="n">
        <v>0.334062606096268</v>
      </c>
      <c r="AF302" s="25" t="n">
        <v>0.192440584301949</v>
      </c>
      <c r="AG302" s="25" t="n">
        <v>0.0345892123878002</v>
      </c>
      <c r="AH302" s="25" t="n">
        <v>1.84172010421753</v>
      </c>
      <c r="AI302" s="25" t="n">
        <v>10.9143714904785</v>
      </c>
      <c r="AJ302" s="6" t="n">
        <v>165.7</v>
      </c>
      <c r="AK302" s="6" t="n">
        <v>351.2</v>
      </c>
      <c r="AL302" s="26"/>
    </row>
    <row r="303" customFormat="false" ht="15" hidden="false" customHeight="false" outlineLevel="0" collapsed="false">
      <c r="A303" s="6" t="s">
        <v>3443</v>
      </c>
      <c r="B303" s="6" t="s">
        <v>3444</v>
      </c>
      <c r="C303" s="6" t="s">
        <v>3112</v>
      </c>
      <c r="D303" s="13" t="n">
        <v>167.941268920898</v>
      </c>
      <c r="E303" s="25" t="n">
        <v>5.58700942993164</v>
      </c>
      <c r="F303" s="25" t="n">
        <v>19.6277942657471</v>
      </c>
      <c r="G303" s="25" t="n">
        <v>7.87648153305054</v>
      </c>
      <c r="H303" s="25" t="n">
        <v>0.975358605384827</v>
      </c>
      <c r="I303" s="25" t="n">
        <v>11.8417863845825</v>
      </c>
      <c r="J303" s="25" t="n">
        <v>3.401107421875</v>
      </c>
      <c r="K303" s="25" t="n">
        <v>2.73632763671875</v>
      </c>
      <c r="L303" s="25" t="n">
        <v>0.672163757324219</v>
      </c>
      <c r="M303" s="25" t="n">
        <v>55.2909317016602</v>
      </c>
      <c r="N303" s="25" t="n">
        <v>96.2983856201172</v>
      </c>
      <c r="O303" s="25" t="n">
        <v>155.431671142578</v>
      </c>
      <c r="P303" s="25" t="n">
        <v>105.542083740234</v>
      </c>
      <c r="Q303" s="25" t="n">
        <v>108.36873626709</v>
      </c>
      <c r="R303" s="25" t="n">
        <v>19.8645458221436</v>
      </c>
      <c r="S303" s="25" t="n">
        <v>0.900581896305084</v>
      </c>
      <c r="T303" s="25" t="n">
        <v>0.572192132472992</v>
      </c>
      <c r="U303" s="25" t="n">
        <v>0.101028420031071</v>
      </c>
      <c r="V303" s="25" t="n">
        <v>7.2810959815979</v>
      </c>
      <c r="W303" s="25" t="n">
        <v>0.177158325910568</v>
      </c>
      <c r="X303" s="25" t="n">
        <v>52.7198944091797</v>
      </c>
      <c r="Y303" s="25" t="n">
        <v>152.499465942383</v>
      </c>
      <c r="Z303" s="25" t="n">
        <v>1.08932340145111</v>
      </c>
      <c r="AA303" s="25" t="n">
        <v>0.629391074180603</v>
      </c>
      <c r="AB303" s="25" t="n">
        <v>1.28281462192535</v>
      </c>
      <c r="AC303" s="25" t="n">
        <v>0.0675778090953827</v>
      </c>
      <c r="AD303" s="25" t="n">
        <v>0.106968879699707</v>
      </c>
      <c r="AE303" s="25" t="n">
        <v>0.434654921293259</v>
      </c>
      <c r="AF303" s="25" t="n">
        <v>0.413301765918732</v>
      </c>
      <c r="AG303" s="25" t="n">
        <v>0.0623815953731537</v>
      </c>
      <c r="AH303" s="25" t="n">
        <v>3.65248990058899</v>
      </c>
      <c r="AI303" s="25" t="n">
        <v>17.3791332244873</v>
      </c>
      <c r="AJ303" s="6" t="n">
        <v>123.2</v>
      </c>
      <c r="AK303" s="6" t="n">
        <v>206.8</v>
      </c>
      <c r="AL303" s="26"/>
    </row>
    <row r="304" customFormat="false" ht="15" hidden="false" customHeight="false" outlineLevel="0" collapsed="false">
      <c r="A304" s="6" t="s">
        <v>3445</v>
      </c>
      <c r="B304" s="6" t="s">
        <v>3446</v>
      </c>
      <c r="C304" s="6" t="s">
        <v>3436</v>
      </c>
      <c r="D304" s="13" t="n">
        <v>132.919769287109</v>
      </c>
      <c r="E304" s="25" t="n">
        <v>5.50762844085693</v>
      </c>
      <c r="F304" s="25" t="n">
        <v>16.3495006561279</v>
      </c>
      <c r="G304" s="25" t="n">
        <v>5.37955474853516</v>
      </c>
      <c r="H304" s="25" t="n">
        <v>0.26707598567009</v>
      </c>
      <c r="I304" s="25" t="n">
        <v>11.7702226638794</v>
      </c>
      <c r="J304" s="25" t="n">
        <v>2.78452026367188</v>
      </c>
      <c r="K304" s="25" t="n">
        <v>1.52660778808594</v>
      </c>
      <c r="L304" s="25" t="n">
        <v>0.30361474609375</v>
      </c>
      <c r="M304" s="25" t="n">
        <v>60.5917129516602</v>
      </c>
      <c r="N304" s="25" t="n">
        <v>85.5901794433594</v>
      </c>
      <c r="O304" s="25" t="n">
        <v>107.574058532715</v>
      </c>
      <c r="P304" s="25" t="n">
        <v>78.2632675170898</v>
      </c>
      <c r="Q304" s="25" t="n">
        <v>84.3493118286133</v>
      </c>
      <c r="R304" s="25" t="n">
        <v>9.24107456207275</v>
      </c>
      <c r="S304" s="25" t="n">
        <v>0.531020700931549</v>
      </c>
      <c r="T304" s="25" t="n">
        <v>0.4211665391922</v>
      </c>
      <c r="U304" s="25" t="n">
        <v>0.0455794334411621</v>
      </c>
      <c r="V304" s="25" t="n">
        <v>9.55125045776367</v>
      </c>
      <c r="W304" s="25" t="n">
        <v>0.0528012290596962</v>
      </c>
      <c r="X304" s="25" t="n">
        <v>50.2425193786621</v>
      </c>
      <c r="Y304" s="25" t="n">
        <v>125.599388122559</v>
      </c>
      <c r="Z304" s="25" t="n">
        <v>0.378779739141464</v>
      </c>
      <c r="AA304" s="25" t="n">
        <v>0.153338447213173</v>
      </c>
      <c r="AB304" s="25" t="n">
        <v>2.49117422103882</v>
      </c>
      <c r="AC304" s="25" t="n">
        <v>0.0467536449432373</v>
      </c>
      <c r="AD304" s="25" t="n">
        <v>0.1048733741045</v>
      </c>
      <c r="AE304" s="25" t="n">
        <v>0.206722944974899</v>
      </c>
      <c r="AF304" s="25" t="n">
        <v>0.529662311077118</v>
      </c>
      <c r="AG304" s="25" t="n">
        <v>0.0517267845571041</v>
      </c>
      <c r="AH304" s="25" t="n">
        <v>4.17065238952637</v>
      </c>
      <c r="AI304" s="25" t="n">
        <v>14.3181581497192</v>
      </c>
      <c r="AJ304" s="6" t="n">
        <v>325.7</v>
      </c>
      <c r="AK304" s="6" t="n">
        <v>433</v>
      </c>
      <c r="AL304" s="26"/>
    </row>
    <row r="305" customFormat="false" ht="15" hidden="false" customHeight="false" outlineLevel="0" collapsed="false">
      <c r="A305" s="6" t="s">
        <v>3447</v>
      </c>
      <c r="B305" s="6" t="s">
        <v>3448</v>
      </c>
      <c r="C305" s="6" t="s">
        <v>3436</v>
      </c>
      <c r="D305" s="13" t="n">
        <v>257.733520507813</v>
      </c>
      <c r="E305" s="25" t="n">
        <v>3.14742755889893</v>
      </c>
      <c r="F305" s="25" t="n">
        <v>35.7317123413086</v>
      </c>
      <c r="G305" s="25" t="n">
        <v>11.9131898880005</v>
      </c>
      <c r="H305" s="25" t="n">
        <v>0.801496684551239</v>
      </c>
      <c r="I305" s="25" t="n">
        <v>22.163423538208</v>
      </c>
      <c r="J305" s="25" t="n">
        <v>7.19598583984375</v>
      </c>
      <c r="K305" s="25" t="n">
        <v>3.11015942382813</v>
      </c>
      <c r="L305" s="25" t="n">
        <v>0.541769104003906</v>
      </c>
      <c r="M305" s="25" t="n">
        <v>62.1328353881836</v>
      </c>
      <c r="N305" s="25" t="n">
        <v>74.5180511474609</v>
      </c>
      <c r="O305" s="25" t="n">
        <v>81.0523834228516</v>
      </c>
      <c r="P305" s="25" t="n">
        <v>26.053882598877</v>
      </c>
      <c r="Q305" s="25" t="n">
        <v>81.3582763671875</v>
      </c>
      <c r="R305" s="25" t="n">
        <v>10.2660427093506</v>
      </c>
      <c r="S305" s="25" t="n">
        <v>0.680168390274048</v>
      </c>
      <c r="T305" s="25" t="n">
        <v>0.345275968313217</v>
      </c>
      <c r="U305" s="25" t="n">
        <v>0.0592142194509506</v>
      </c>
      <c r="V305" s="25" t="n">
        <v>3.81861543655396</v>
      </c>
      <c r="W305" s="25" t="n">
        <v>0.436576247215271</v>
      </c>
      <c r="X305" s="25" t="n">
        <v>143.98503112793</v>
      </c>
      <c r="Y305" s="25" t="n">
        <v>150.343490600586</v>
      </c>
      <c r="Z305" s="25" t="n">
        <v>0.456127226352692</v>
      </c>
      <c r="AA305" s="25" t="n">
        <v>1.3882132768631</v>
      </c>
      <c r="AB305" s="25" t="n">
        <v>7.22609901428223</v>
      </c>
      <c r="AC305" s="25" t="n">
        <v>0.0515435002744198</v>
      </c>
      <c r="AD305" s="25" t="n">
        <v>0.0451824143528938</v>
      </c>
      <c r="AE305" s="25" t="n">
        <v>0.169317111372948</v>
      </c>
      <c r="AF305" s="25" t="n">
        <v>0.295603364706039</v>
      </c>
      <c r="AG305" s="25" t="n">
        <v>0.0566884949803352</v>
      </c>
      <c r="AH305" s="25" t="n">
        <v>1.99270343780518</v>
      </c>
      <c r="AI305" s="25" t="n">
        <v>11.5510759353638</v>
      </c>
      <c r="AJ305" s="6" t="n">
        <v>133.6</v>
      </c>
      <c r="AK305" s="6" t="n">
        <v>344.4</v>
      </c>
      <c r="AL305" s="26"/>
    </row>
    <row r="306" customFormat="false" ht="15" hidden="false" customHeight="false" outlineLevel="0" collapsed="false">
      <c r="A306" s="6" t="s">
        <v>3449</v>
      </c>
      <c r="B306" s="6" t="s">
        <v>3450</v>
      </c>
      <c r="C306" s="6" t="s">
        <v>3007</v>
      </c>
      <c r="D306" s="13" t="n">
        <v>322.415985107422</v>
      </c>
      <c r="E306" s="25" t="n">
        <v>3.92743372917175</v>
      </c>
      <c r="F306" s="25" t="n">
        <v>46.8637161254883</v>
      </c>
      <c r="G306" s="25" t="n">
        <v>13.3137168884277</v>
      </c>
      <c r="H306" s="25" t="n">
        <v>4.13451337814331</v>
      </c>
      <c r="I306" s="25" t="n">
        <v>31.1818580627441</v>
      </c>
      <c r="J306" s="25" t="n">
        <v>5.14274267578125</v>
      </c>
      <c r="K306" s="25" t="n">
        <v>2.88034326171875</v>
      </c>
      <c r="L306" s="25" t="n">
        <v>4.38190283203125</v>
      </c>
      <c r="M306" s="25" t="n">
        <v>18.8495559692383</v>
      </c>
      <c r="N306" s="25" t="n">
        <v>3.86991143226624</v>
      </c>
      <c r="O306" s="25" t="n">
        <v>291.154876708984</v>
      </c>
      <c r="P306" s="25" t="n">
        <v>34.6884956359863</v>
      </c>
      <c r="Q306" s="25" t="n">
        <v>77.2123870849609</v>
      </c>
      <c r="R306" s="25" t="n">
        <v>40.6088485717773</v>
      </c>
      <c r="S306" s="25" t="n">
        <v>1.54247784614563</v>
      </c>
      <c r="T306" s="25" t="n">
        <v>0.745132744312286</v>
      </c>
      <c r="U306" s="25" t="n">
        <v>0.286504417657852</v>
      </c>
      <c r="V306" s="25" t="n">
        <v>1.8482301235199</v>
      </c>
      <c r="W306" s="25" t="n">
        <v>0.740707993507385</v>
      </c>
      <c r="X306" s="25" t="n">
        <v>84.7787628173828</v>
      </c>
      <c r="Y306" s="25" t="n">
        <v>935.376098632813</v>
      </c>
      <c r="Z306" s="25" t="n">
        <v>0.598008871078491</v>
      </c>
      <c r="AA306" s="25" t="n">
        <v>9.91106128692627</v>
      </c>
      <c r="AB306" s="25" t="n">
        <v>2.82964611053467</v>
      </c>
      <c r="AC306" s="25" t="n">
        <v>0.0893805325031281</v>
      </c>
      <c r="AD306" s="25" t="n">
        <v>0.0362831875681877</v>
      </c>
      <c r="AE306" s="25" t="n">
        <v>0.634513258934021</v>
      </c>
      <c r="AF306" s="25" t="n">
        <v>0.347566366195679</v>
      </c>
      <c r="AG306" s="25" t="n">
        <v>0.128539815545082</v>
      </c>
      <c r="AH306" s="25" t="n">
        <v>1.54159283638001</v>
      </c>
      <c r="AI306" s="25" t="n">
        <v>14.257080078125</v>
      </c>
      <c r="AJ306" s="6" t="n">
        <v>226</v>
      </c>
      <c r="AK306" s="6" t="n">
        <v>728.7</v>
      </c>
      <c r="AL306" s="26"/>
    </row>
    <row r="307" customFormat="false" ht="15" hidden="false" customHeight="false" outlineLevel="0" collapsed="false">
      <c r="A307" s="6" t="s">
        <v>3451</v>
      </c>
      <c r="B307" s="6" t="s">
        <v>3452</v>
      </c>
      <c r="C307" s="6" t="s">
        <v>3299</v>
      </c>
      <c r="D307" s="13" t="n">
        <v>92.8726654052734</v>
      </c>
      <c r="E307" s="25" t="n">
        <v>1.26984131336212</v>
      </c>
      <c r="F307" s="25" t="n">
        <v>18.3597888946533</v>
      </c>
      <c r="G307" s="25" t="n">
        <v>1.8204585313797</v>
      </c>
      <c r="H307" s="25" t="n">
        <v>1.00723099708557</v>
      </c>
      <c r="I307" s="25" t="n">
        <v>15.4606695175171</v>
      </c>
      <c r="J307" s="25" t="n">
        <v>1.01155200195313</v>
      </c>
      <c r="K307" s="25" t="n">
        <v>0.448458557128906</v>
      </c>
      <c r="L307" s="25" t="n">
        <v>0.153562606811523</v>
      </c>
      <c r="M307" s="25" t="n">
        <v>0</v>
      </c>
      <c r="N307" s="25" t="n">
        <v>16.6631393432617</v>
      </c>
      <c r="O307" s="25" t="n">
        <v>82.7883605957031</v>
      </c>
      <c r="P307" s="25" t="n">
        <v>49.238094329834</v>
      </c>
      <c r="Q307" s="25" t="n">
        <v>38.2539672851563</v>
      </c>
      <c r="R307" s="25" t="n">
        <v>6.11287450790405</v>
      </c>
      <c r="S307" s="25" t="n">
        <v>0.180811285972595</v>
      </c>
      <c r="T307" s="25" t="n">
        <v>0.170017644762993</v>
      </c>
      <c r="U307" s="25" t="n">
        <v>0.038024690002203</v>
      </c>
      <c r="V307" s="25" t="n">
        <v>0.506172835826874</v>
      </c>
      <c r="W307" s="25" t="n">
        <v>0.0519753098487854</v>
      </c>
      <c r="X307" s="25" t="n">
        <v>0</v>
      </c>
      <c r="Y307" s="25" t="n">
        <v>151.634918212891</v>
      </c>
      <c r="Z307" s="25" t="n">
        <v>0.130511462688446</v>
      </c>
      <c r="AA307" s="25" t="n">
        <v>1.34250450134277</v>
      </c>
      <c r="AB307" s="25" t="n">
        <v>1.97530865669251</v>
      </c>
      <c r="AC307" s="25" t="n">
        <v>0.0215520281344652</v>
      </c>
      <c r="AD307" s="25" t="n">
        <v>0.0423985905945301</v>
      </c>
      <c r="AE307" s="25" t="n">
        <v>0.118694886565208</v>
      </c>
      <c r="AF307" s="25" t="n">
        <v>0.152310401201248</v>
      </c>
      <c r="AG307" s="25" t="n">
        <v>0.0285008810460568</v>
      </c>
      <c r="AH307" s="25" t="n">
        <v>0.81834214925766</v>
      </c>
      <c r="AI307" s="25" t="n">
        <v>3.59788370132446</v>
      </c>
      <c r="AJ307" s="6" t="n">
        <v>283.5</v>
      </c>
      <c r="AK307" s="6" t="n">
        <v>263.3</v>
      </c>
      <c r="AL307" s="26"/>
    </row>
    <row r="308" customFormat="false" ht="15" hidden="false" customHeight="false" outlineLevel="0" collapsed="false">
      <c r="A308" s="6" t="s">
        <v>3453</v>
      </c>
      <c r="B308" s="6" t="s">
        <v>3454</v>
      </c>
      <c r="C308" s="6" t="s">
        <v>3299</v>
      </c>
      <c r="D308" s="13" t="n">
        <v>101.511199951172</v>
      </c>
      <c r="E308" s="25" t="n">
        <v>0.857533752918243</v>
      </c>
      <c r="F308" s="25" t="n">
        <v>24.580924987793</v>
      </c>
      <c r="G308" s="25" t="n">
        <v>0.312215805053711</v>
      </c>
      <c r="H308" s="25" t="n">
        <v>1.24759149551392</v>
      </c>
      <c r="I308" s="25" t="n">
        <v>19.4036617279053</v>
      </c>
      <c r="J308" s="25" t="n">
        <v>0.0741811141967774</v>
      </c>
      <c r="K308" s="25" t="n">
        <v>0.024629093170166</v>
      </c>
      <c r="L308" s="25" t="n">
        <v>0.135838150024414</v>
      </c>
      <c r="M308" s="25" t="n">
        <v>0</v>
      </c>
      <c r="N308" s="25" t="n">
        <v>12.796724319458</v>
      </c>
      <c r="O308" s="25" t="n">
        <v>70.0732192993164</v>
      </c>
      <c r="P308" s="25" t="n">
        <v>9.4253568649292</v>
      </c>
      <c r="Q308" s="25" t="n">
        <v>6.35364151000977</v>
      </c>
      <c r="R308" s="25" t="n">
        <v>4.93406581878662</v>
      </c>
      <c r="S308" s="25" t="n">
        <v>0.176069363951683</v>
      </c>
      <c r="T308" s="25" t="n">
        <v>0.0588053949177265</v>
      </c>
      <c r="U308" s="25" t="n">
        <v>0.035298652946949</v>
      </c>
      <c r="V308" s="25" t="n">
        <v>1.61718690395355</v>
      </c>
      <c r="W308" s="25" t="n">
        <v>0.0240847785025835</v>
      </c>
      <c r="X308" s="25" t="n">
        <v>0</v>
      </c>
      <c r="Y308" s="25" t="n">
        <v>110.443161010742</v>
      </c>
      <c r="Z308" s="25" t="n">
        <v>0.0722543373703957</v>
      </c>
      <c r="AA308" s="25" t="n">
        <v>1.75818884372711</v>
      </c>
      <c r="AB308" s="25" t="n">
        <v>1.71965324878693</v>
      </c>
      <c r="AC308" s="25" t="n">
        <v>0.0157610792666674</v>
      </c>
      <c r="AD308" s="25" t="n">
        <v>0.0152986515313387</v>
      </c>
      <c r="AE308" s="25" t="n">
        <v>0.121078997850418</v>
      </c>
      <c r="AF308" s="25" t="n">
        <v>0.131791904568672</v>
      </c>
      <c r="AG308" s="25" t="n">
        <v>0.0192678235471249</v>
      </c>
      <c r="AH308" s="25" t="n">
        <v>0.449402689933777</v>
      </c>
      <c r="AI308" s="25" t="n">
        <v>1.78928709030151</v>
      </c>
      <c r="AJ308" s="6" t="n">
        <v>259.5</v>
      </c>
      <c r="AK308" s="6" t="n">
        <v>263.4</v>
      </c>
      <c r="AL308" s="26"/>
    </row>
    <row r="309" customFormat="false" ht="15" hidden="false" customHeight="false" outlineLevel="0" collapsed="false">
      <c r="A309" s="6" t="s">
        <v>3455</v>
      </c>
      <c r="B309" s="6" t="s">
        <v>3456</v>
      </c>
      <c r="C309" s="6" t="s">
        <v>3007</v>
      </c>
      <c r="D309" s="13" t="n">
        <v>179.965225219727</v>
      </c>
      <c r="E309" s="25" t="n">
        <v>6.86934423446655</v>
      </c>
      <c r="F309" s="25" t="n">
        <v>18.768196105957</v>
      </c>
      <c r="G309" s="25" t="n">
        <v>8.94762325286865</v>
      </c>
      <c r="H309" s="25" t="n">
        <v>0.294344276189804</v>
      </c>
      <c r="I309" s="25" t="n">
        <v>14.9257373809815</v>
      </c>
      <c r="J309" s="25" t="n">
        <v>4.44916357421875</v>
      </c>
      <c r="K309" s="25" t="n">
        <v>2.75838305664063</v>
      </c>
      <c r="L309" s="25" t="n">
        <v>0.667970886230469</v>
      </c>
      <c r="M309" s="25" t="n">
        <v>160.475402832031</v>
      </c>
      <c r="N309" s="25" t="n">
        <v>58.7958183288574</v>
      </c>
      <c r="O309" s="25" t="n">
        <v>114.959014892578</v>
      </c>
      <c r="P309" s="25" t="n">
        <v>53.8131141662598</v>
      </c>
      <c r="Q309" s="25" t="n">
        <v>107.813934326172</v>
      </c>
      <c r="R309" s="25" t="n">
        <v>9.9245080947876</v>
      </c>
      <c r="S309" s="25" t="n">
        <v>1.03090167045593</v>
      </c>
      <c r="T309" s="25" t="n">
        <v>0.650655746459961</v>
      </c>
      <c r="U309" s="25" t="n">
        <v>0.0547540970146656</v>
      </c>
      <c r="V309" s="25" t="n">
        <v>16.830738067627</v>
      </c>
      <c r="W309" s="25" t="n">
        <v>0.0440983586013317</v>
      </c>
      <c r="X309" s="25" t="n">
        <v>128.262298583984</v>
      </c>
      <c r="Y309" s="25" t="n">
        <v>230.680328369141</v>
      </c>
      <c r="Z309" s="25" t="n">
        <v>0.771311461925507</v>
      </c>
      <c r="AA309" s="25" t="n">
        <v>0.720491826534271</v>
      </c>
      <c r="AB309" s="25" t="n">
        <v>5.7467212677002</v>
      </c>
      <c r="AC309" s="25" t="n">
        <v>0.0479508191347122</v>
      </c>
      <c r="AD309" s="25" t="n">
        <v>0.113770492374897</v>
      </c>
      <c r="AE309" s="25" t="n">
        <v>0.137049183249474</v>
      </c>
      <c r="AF309" s="25" t="n">
        <v>0.748524606227875</v>
      </c>
      <c r="AG309" s="25" t="n">
        <v>0.0842622965574265</v>
      </c>
      <c r="AH309" s="25" t="n">
        <v>8.35475444793701</v>
      </c>
      <c r="AI309" s="25" t="n">
        <v>25.1336059570313</v>
      </c>
      <c r="AJ309" s="6" t="n">
        <v>122</v>
      </c>
      <c r="AK309" s="6" t="n">
        <v>219.6</v>
      </c>
      <c r="AL309" s="26"/>
    </row>
    <row r="310" customFormat="false" ht="15" hidden="false" customHeight="false" outlineLevel="0" collapsed="false">
      <c r="A310" s="6" t="s">
        <v>3457</v>
      </c>
      <c r="B310" s="6" t="s">
        <v>3458</v>
      </c>
      <c r="C310" s="6" t="s">
        <v>3007</v>
      </c>
      <c r="D310" s="13" t="n">
        <v>226.091003417969</v>
      </c>
      <c r="E310" s="25" t="n">
        <v>6.70042228698731</v>
      </c>
      <c r="F310" s="25" t="n">
        <v>26.2114086151123</v>
      </c>
      <c r="G310" s="25" t="n">
        <v>11.1046476364136</v>
      </c>
      <c r="H310" s="25" t="n">
        <v>0.116619721055031</v>
      </c>
      <c r="I310" s="25" t="n">
        <v>22.8830280303955</v>
      </c>
      <c r="J310" s="25" t="n">
        <v>5.87919921875</v>
      </c>
      <c r="K310" s="25" t="n">
        <v>3.44678759765625</v>
      </c>
      <c r="L310" s="25" t="n">
        <v>0.689070434570313</v>
      </c>
      <c r="M310" s="25" t="n">
        <v>138.507049560547</v>
      </c>
      <c r="N310" s="25" t="n">
        <v>54.1052131652832</v>
      </c>
      <c r="O310" s="25" t="n">
        <v>125.669013977051</v>
      </c>
      <c r="P310" s="25" t="n">
        <v>60.1929588317871</v>
      </c>
      <c r="Q310" s="25" t="n">
        <v>116.290138244629</v>
      </c>
      <c r="R310" s="25" t="n">
        <v>17.6354942321777</v>
      </c>
      <c r="S310" s="25" t="n">
        <v>1.07654929161072</v>
      </c>
      <c r="T310" s="25" t="n">
        <v>0.730492949485779</v>
      </c>
      <c r="U310" s="25" t="n">
        <v>0.123802818357945</v>
      </c>
      <c r="V310" s="25" t="n">
        <v>14.9630279541016</v>
      </c>
      <c r="W310" s="25" t="n">
        <v>0.103380277752876</v>
      </c>
      <c r="X310" s="25" t="n">
        <v>111.781692504883</v>
      </c>
      <c r="Y310" s="25" t="n">
        <v>149.598587036133</v>
      </c>
      <c r="Z310" s="25" t="n">
        <v>0.833802819252014</v>
      </c>
      <c r="AA310" s="25" t="n">
        <v>0.597887337207794</v>
      </c>
      <c r="AB310" s="25" t="n">
        <v>0.636971831321716</v>
      </c>
      <c r="AC310" s="25" t="n">
        <v>0.0411971807479858</v>
      </c>
      <c r="AD310" s="25" t="n">
        <v>0.11359154433012</v>
      </c>
      <c r="AE310" s="25" t="n">
        <v>0.138873234391213</v>
      </c>
      <c r="AF310" s="25" t="n">
        <v>0.689577460289002</v>
      </c>
      <c r="AG310" s="25" t="n">
        <v>0.0755633786320686</v>
      </c>
      <c r="AH310" s="25" t="n">
        <v>7.3998589515686</v>
      </c>
      <c r="AI310" s="25" t="n">
        <v>21.5482387542725</v>
      </c>
      <c r="AJ310" s="6" t="n">
        <v>142</v>
      </c>
      <c r="AK310" s="6" t="n">
        <v>321</v>
      </c>
      <c r="AL310" s="26"/>
    </row>
    <row r="311" customFormat="false" ht="15" hidden="false" customHeight="false" outlineLevel="0" collapsed="false">
      <c r="A311" s="6" t="s">
        <v>3459</v>
      </c>
      <c r="B311" s="6" t="s">
        <v>3460</v>
      </c>
      <c r="C311" s="6" t="s">
        <v>3007</v>
      </c>
      <c r="D311" s="13" t="n">
        <v>192.932723999023</v>
      </c>
      <c r="E311" s="25" t="n">
        <v>6.87443113327026</v>
      </c>
      <c r="F311" s="25" t="n">
        <v>21.7711372375488</v>
      </c>
      <c r="G311" s="25" t="n">
        <v>9.07364654541016</v>
      </c>
      <c r="H311" s="25" t="n">
        <v>0.129882350564003</v>
      </c>
      <c r="I311" s="25" t="n">
        <v>18.1701183319092</v>
      </c>
      <c r="J311" s="25" t="n">
        <v>4.5713828125</v>
      </c>
      <c r="K311" s="25" t="n">
        <v>2.77999096679688</v>
      </c>
      <c r="L311" s="25" t="n">
        <v>0.649803955078125</v>
      </c>
      <c r="M311" s="25" t="n">
        <v>153.552947998047</v>
      </c>
      <c r="N311" s="25" t="n">
        <v>59.5877647399902</v>
      </c>
      <c r="O311" s="25" t="n">
        <v>105.247062683106</v>
      </c>
      <c r="P311" s="25" t="n">
        <v>63.19921875</v>
      </c>
      <c r="Q311" s="25" t="n">
        <v>113.068237304688</v>
      </c>
      <c r="R311" s="25" t="n">
        <v>9.21756839752197</v>
      </c>
      <c r="S311" s="25" t="n">
        <v>0.928862750530243</v>
      </c>
      <c r="T311" s="25" t="n">
        <v>0.661058843135834</v>
      </c>
      <c r="U311" s="25" t="n">
        <v>0.0546352937817574</v>
      </c>
      <c r="V311" s="25" t="n">
        <v>16.1941165924072</v>
      </c>
      <c r="W311" s="25" t="n">
        <v>0.0419215671718121</v>
      </c>
      <c r="X311" s="25" t="n">
        <v>122.72940826416</v>
      </c>
      <c r="Y311" s="25" t="n">
        <v>164.847061157227</v>
      </c>
      <c r="Z311" s="25" t="n">
        <v>0.759215712547302</v>
      </c>
      <c r="AA311" s="25" t="n">
        <v>0.39529412984848</v>
      </c>
      <c r="AB311" s="25" t="n">
        <v>0.70941174030304</v>
      </c>
      <c r="AC311" s="25" t="n">
        <v>0.0412196069955826</v>
      </c>
      <c r="AD311" s="25" t="n">
        <v>0.119823530316353</v>
      </c>
      <c r="AE311" s="25" t="n">
        <v>0.109274506568909</v>
      </c>
      <c r="AF311" s="25" t="n">
        <v>0.732843160629273</v>
      </c>
      <c r="AG311" s="25" t="n">
        <v>0.0807294100522995</v>
      </c>
      <c r="AH311" s="25" t="n">
        <v>7.88847064971924</v>
      </c>
      <c r="AI311" s="25" t="n">
        <v>22.5870590209961</v>
      </c>
      <c r="AJ311" s="6" t="n">
        <v>127.5</v>
      </c>
      <c r="AK311" s="6" t="n">
        <v>246</v>
      </c>
      <c r="AL311" s="26"/>
    </row>
    <row r="312" customFormat="false" ht="15" hidden="false" customHeight="false" outlineLevel="0" collapsed="false">
      <c r="A312" s="6" t="s">
        <v>2061</v>
      </c>
      <c r="B312" s="6" t="s">
        <v>3461</v>
      </c>
      <c r="C312" s="6" t="s">
        <v>3462</v>
      </c>
      <c r="D312" s="13" t="n">
        <v>408.323944091797</v>
      </c>
      <c r="E312" s="25" t="n">
        <v>9.81615352630615</v>
      </c>
      <c r="F312" s="25" t="n">
        <v>30.884220123291</v>
      </c>
      <c r="G312" s="25" t="n">
        <v>27.9637680053711</v>
      </c>
      <c r="H312" s="25" t="n">
        <v>0.166417181491852</v>
      </c>
      <c r="I312" s="25" t="n">
        <v>30.4261894226074</v>
      </c>
      <c r="J312" s="25" t="n">
        <v>16.68973046875</v>
      </c>
      <c r="K312" s="25" t="n">
        <v>7.7921357421875</v>
      </c>
      <c r="L312" s="25" t="n">
        <v>1.33645556640625</v>
      </c>
      <c r="M312" s="25" t="n">
        <v>38.124210357666</v>
      </c>
      <c r="N312" s="25" t="n">
        <v>31.6549758911133</v>
      </c>
      <c r="O312" s="25" t="n">
        <v>325.374694824219</v>
      </c>
      <c r="P312" s="25" t="n">
        <v>355.775238037109</v>
      </c>
      <c r="Q312" s="25" t="n">
        <v>284.644256591797</v>
      </c>
      <c r="R312" s="25" t="n">
        <v>38.1228332519531</v>
      </c>
      <c r="S312" s="25" t="n">
        <v>1.49919521808624</v>
      </c>
      <c r="T312" s="25" t="n">
        <v>1.42675924301148</v>
      </c>
      <c r="U312" s="25" t="n">
        <v>0.065707728266716</v>
      </c>
      <c r="V312" s="25" t="n">
        <v>25.9127216339111</v>
      </c>
      <c r="W312" s="25" t="n">
        <v>0.0788589119911194</v>
      </c>
      <c r="X312" s="25" t="n">
        <v>142.888305664063</v>
      </c>
      <c r="Y312" s="25" t="n">
        <v>409.402526855469</v>
      </c>
      <c r="Z312" s="25" t="n">
        <v>1.25203311443329</v>
      </c>
      <c r="AA312" s="25" t="n">
        <v>0.107037082314491</v>
      </c>
      <c r="AB312" s="25" t="n">
        <v>0.124800831079483</v>
      </c>
      <c r="AC312" s="25" t="n">
        <v>0.0667718946933746</v>
      </c>
      <c r="AD312" s="25" t="n">
        <v>0.0727654695510864</v>
      </c>
      <c r="AE312" s="25" t="n">
        <v>0.298680990934372</v>
      </c>
      <c r="AF312" s="25" t="n">
        <v>0.218233272433281</v>
      </c>
      <c r="AG312" s="25" t="n">
        <v>0.0378819890320301</v>
      </c>
      <c r="AH312" s="25" t="n">
        <v>11.8476972579956</v>
      </c>
      <c r="AI312" s="25" t="n">
        <v>54.9663696289063</v>
      </c>
      <c r="AJ312" s="6" t="n">
        <v>43.6</v>
      </c>
      <c r="AK312" s="6" t="n">
        <v>177.8</v>
      </c>
      <c r="AL312" s="26"/>
    </row>
    <row r="313" customFormat="false" ht="15" hidden="false" customHeight="false" outlineLevel="0" collapsed="false">
      <c r="A313" s="6" t="s">
        <v>3463</v>
      </c>
      <c r="B313" s="6" t="s">
        <v>3464</v>
      </c>
      <c r="C313" s="6" t="s">
        <v>3462</v>
      </c>
      <c r="D313" s="13" t="n">
        <v>467.635467529297</v>
      </c>
      <c r="E313" s="25" t="n">
        <v>8.8114538192749</v>
      </c>
      <c r="F313" s="25" t="n">
        <v>32.1519813537598</v>
      </c>
      <c r="G313" s="25" t="n">
        <v>34.6264305114746</v>
      </c>
      <c r="H313" s="25" t="n">
        <v>3.49779748916626</v>
      </c>
      <c r="I313" s="25" t="n">
        <v>31.5</v>
      </c>
      <c r="J313" s="25" t="n">
        <v>22.14907421875</v>
      </c>
      <c r="K313" s="25" t="n">
        <v>6.3691630859375</v>
      </c>
      <c r="L313" s="25" t="n">
        <v>1.09502197265625</v>
      </c>
      <c r="M313" s="25" t="n">
        <v>29.2599105834961</v>
      </c>
      <c r="N313" s="25" t="n">
        <v>27.6255493164063</v>
      </c>
      <c r="O313" s="25" t="n">
        <v>401.321594238281</v>
      </c>
      <c r="P313" s="25" t="n">
        <v>272.80615234375</v>
      </c>
      <c r="Q313" s="25" t="n">
        <v>254.625549316406</v>
      </c>
      <c r="R313" s="25" t="n">
        <v>47.1960334777832</v>
      </c>
      <c r="S313" s="25" t="n">
        <v>1.82158589363098</v>
      </c>
      <c r="T313" s="25" t="n">
        <v>1.36343610286713</v>
      </c>
      <c r="U313" s="25" t="n">
        <v>0.240088105201721</v>
      </c>
      <c r="V313" s="25" t="n">
        <v>25.3722476959229</v>
      </c>
      <c r="W313" s="25" t="n">
        <v>0.389867842197418</v>
      </c>
      <c r="X313" s="25" t="n">
        <v>109.665199279785</v>
      </c>
      <c r="Y313" s="25" t="n">
        <v>344.057281494141</v>
      </c>
      <c r="Z313" s="25" t="n">
        <v>2.033127784729</v>
      </c>
      <c r="AA313" s="25" t="n">
        <v>0.634361267089844</v>
      </c>
      <c r="AB313" s="25" t="n">
        <v>0</v>
      </c>
      <c r="AC313" s="25" t="n">
        <v>0.0572687238454819</v>
      </c>
      <c r="AD313" s="25" t="n">
        <v>0.0572687238454819</v>
      </c>
      <c r="AE313" s="25" t="n">
        <v>0.345814973115921</v>
      </c>
      <c r="AF313" s="25" t="n">
        <v>0.191629961133003</v>
      </c>
      <c r="AG313" s="25" t="n">
        <v>0.0594713650643826</v>
      </c>
      <c r="AH313" s="25" t="n">
        <v>9.2048454284668</v>
      </c>
      <c r="AI313" s="25" t="n">
        <v>46.8656387329102</v>
      </c>
      <c r="AJ313" s="6" t="n">
        <v>56.7</v>
      </c>
      <c r="AK313" s="6" t="n">
        <v>265.4</v>
      </c>
      <c r="AL313" s="26"/>
    </row>
    <row r="314" customFormat="false" ht="15" hidden="false" customHeight="false" outlineLevel="0" collapsed="false">
      <c r="A314" s="6" t="s">
        <v>3465</v>
      </c>
      <c r="B314" s="6" t="s">
        <v>3466</v>
      </c>
      <c r="C314" s="6" t="s">
        <v>3462</v>
      </c>
      <c r="D314" s="13" t="n">
        <v>275.955627441406</v>
      </c>
      <c r="E314" s="25" t="n">
        <v>5.85823249816895</v>
      </c>
      <c r="F314" s="25" t="n">
        <v>24.5095329284668</v>
      </c>
      <c r="G314" s="25" t="n">
        <v>17.6797218322754</v>
      </c>
      <c r="H314" s="25" t="n">
        <v>0.7348353266716</v>
      </c>
      <c r="I314" s="25" t="n">
        <v>23.9168109893799</v>
      </c>
      <c r="J314" s="25" t="n">
        <v>10.7756123046875</v>
      </c>
      <c r="K314" s="25" t="n">
        <v>4.72601025390625</v>
      </c>
      <c r="L314" s="25" t="n">
        <v>0.786322326660156</v>
      </c>
      <c r="M314" s="25" t="n">
        <v>26.4332752227783</v>
      </c>
      <c r="N314" s="25" t="n">
        <v>18.1525115966797</v>
      </c>
      <c r="O314" s="25" t="n">
        <v>229.636047363281</v>
      </c>
      <c r="P314" s="25" t="n">
        <v>215.850952148438</v>
      </c>
      <c r="Q314" s="25" t="n">
        <v>170.71403503418</v>
      </c>
      <c r="R314" s="25" t="n">
        <v>24.4228763580322</v>
      </c>
      <c r="S314" s="25" t="n">
        <v>0.928942799568176</v>
      </c>
      <c r="T314" s="25" t="n">
        <v>0.880415916442871</v>
      </c>
      <c r="U314" s="25" t="n">
        <v>0.0623916797339916</v>
      </c>
      <c r="V314" s="25" t="n">
        <v>16.2010402679443</v>
      </c>
      <c r="W314" s="25" t="n">
        <v>0.0727902948856354</v>
      </c>
      <c r="X314" s="25" t="n">
        <v>99.0710601806641</v>
      </c>
      <c r="Y314" s="25" t="n">
        <v>299.012145996094</v>
      </c>
      <c r="Z314" s="25" t="n">
        <v>0.636256515979767</v>
      </c>
      <c r="AA314" s="25" t="n">
        <v>0.727902889251709</v>
      </c>
      <c r="AB314" s="25" t="n">
        <v>1.50086653232575</v>
      </c>
      <c r="AC314" s="25" t="n">
        <v>0.0485268644988537</v>
      </c>
      <c r="AD314" s="25" t="n">
        <v>0.0415944531559944</v>
      </c>
      <c r="AE314" s="25" t="n">
        <v>0.197573661804199</v>
      </c>
      <c r="AF314" s="25" t="n">
        <v>0.308492213487625</v>
      </c>
      <c r="AG314" s="25" t="n">
        <v>0.0277296360582113</v>
      </c>
      <c r="AH314" s="25" t="n">
        <v>7.95147275924683</v>
      </c>
      <c r="AI314" s="25" t="n">
        <v>47.2235717773438</v>
      </c>
      <c r="AJ314" s="6" t="n">
        <v>72.1</v>
      </c>
      <c r="AK314" s="6" t="n">
        <v>199</v>
      </c>
      <c r="AL314" s="26"/>
    </row>
    <row r="315" customFormat="false" ht="15" hidden="false" customHeight="false" outlineLevel="0" collapsed="false">
      <c r="A315" s="6" t="s">
        <v>3467</v>
      </c>
      <c r="B315" s="6" t="s">
        <v>3468</v>
      </c>
      <c r="C315" s="6" t="s">
        <v>3462</v>
      </c>
      <c r="D315" s="13" t="n">
        <v>339.329223632813</v>
      </c>
      <c r="E315" s="25" t="n">
        <v>12.9976921081543</v>
      </c>
      <c r="F315" s="25" t="n">
        <v>33.1538467407227</v>
      </c>
      <c r="G315" s="25" t="n">
        <v>17.863847732544</v>
      </c>
      <c r="H315" s="25" t="n">
        <v>0</v>
      </c>
      <c r="I315" s="25" t="n">
        <v>32.3769226074219</v>
      </c>
      <c r="J315" s="25" t="n">
        <v>11.1449228515625</v>
      </c>
      <c r="K315" s="25" t="n">
        <v>4.91846142578125</v>
      </c>
      <c r="L315" s="25" t="n">
        <v>0.691692321777344</v>
      </c>
      <c r="M315" s="25" t="n">
        <v>3.7846155166626</v>
      </c>
      <c r="N315" s="25" t="n">
        <v>39.3230743408203</v>
      </c>
      <c r="O315" s="25" t="n">
        <v>449.038452148438</v>
      </c>
      <c r="P315" s="25" t="n">
        <v>466.476928710938</v>
      </c>
      <c r="Q315" s="25" t="n">
        <v>381.576934814453</v>
      </c>
      <c r="R315" s="25" t="n">
        <v>57.0230751037598</v>
      </c>
      <c r="S315" s="25" t="n">
        <v>2.12307691574097</v>
      </c>
      <c r="T315" s="25" t="n">
        <v>1.97846150398254</v>
      </c>
      <c r="U315" s="25" t="n">
        <v>0.153461530804634</v>
      </c>
      <c r="V315" s="25" t="n">
        <v>34.5923080444336</v>
      </c>
      <c r="W315" s="25" t="n">
        <v>0.0615384615957737</v>
      </c>
      <c r="X315" s="25" t="n">
        <v>14.1846160888672</v>
      </c>
      <c r="Y315" s="25" t="n">
        <v>175.738464355469</v>
      </c>
      <c r="Z315" s="25" t="n">
        <v>0.12738461792469</v>
      </c>
      <c r="AA315" s="25" t="n">
        <v>0.0346153862774372</v>
      </c>
      <c r="AB315" s="25" t="n">
        <v>0</v>
      </c>
      <c r="AC315" s="25" t="n">
        <v>0.0883076936006546</v>
      </c>
      <c r="AD315" s="25" t="n">
        <v>0.0860000029206276</v>
      </c>
      <c r="AE315" s="25" t="n">
        <v>0.370000004768372</v>
      </c>
      <c r="AF315" s="25" t="n">
        <v>0.253846168518066</v>
      </c>
      <c r="AG315" s="25" t="n">
        <v>0.0477692298591137</v>
      </c>
      <c r="AH315" s="25" t="n">
        <v>15.6846151351929</v>
      </c>
      <c r="AI315" s="25" t="n">
        <v>73.3769226074219</v>
      </c>
      <c r="AJ315" s="6" t="n">
        <v>32.5</v>
      </c>
      <c r="AK315" s="6" t="n">
        <v>110.3</v>
      </c>
      <c r="AL315" s="26"/>
    </row>
    <row r="316" customFormat="false" ht="15" hidden="false" customHeight="false" outlineLevel="0" collapsed="false">
      <c r="A316" s="6" t="s">
        <v>2028</v>
      </c>
      <c r="B316" s="6" t="s">
        <v>3469</v>
      </c>
      <c r="C316" s="6" t="s">
        <v>3462</v>
      </c>
      <c r="D316" s="13" t="n">
        <v>421.744781494141</v>
      </c>
      <c r="E316" s="25" t="n">
        <v>5.47500038146973</v>
      </c>
      <c r="F316" s="25" t="n">
        <v>37.9244194030762</v>
      </c>
      <c r="G316" s="25" t="n">
        <v>28.4604644775391</v>
      </c>
      <c r="H316" s="25" t="n">
        <v>1.12209296226502</v>
      </c>
      <c r="I316" s="25" t="n">
        <v>31.4273262023926</v>
      </c>
      <c r="J316" s="25" t="n">
        <v>11.4426748046875</v>
      </c>
      <c r="K316" s="25" t="n">
        <v>12.146802734375</v>
      </c>
      <c r="L316" s="25" t="n">
        <v>2.89081396484375</v>
      </c>
      <c r="M316" s="25" t="n">
        <v>38.6162796020508</v>
      </c>
      <c r="N316" s="25" t="n">
        <v>4.22674417495728</v>
      </c>
      <c r="O316" s="25" t="n">
        <v>186.046508789063</v>
      </c>
      <c r="P316" s="25" t="n">
        <v>12.9476747512817</v>
      </c>
      <c r="Q316" s="25" t="n">
        <v>145.639541625977</v>
      </c>
      <c r="R316" s="25" t="n">
        <v>89.8255844116211</v>
      </c>
      <c r="S316" s="25" t="n">
        <v>1.78779065608978</v>
      </c>
      <c r="T316" s="25" t="n">
        <v>1.58139538764954</v>
      </c>
      <c r="U316" s="25" t="n">
        <v>0.683139562606812</v>
      </c>
      <c r="V316" s="25" t="n">
        <v>3.80232548713684</v>
      </c>
      <c r="W316" s="25" t="n">
        <v>0.517441868782044</v>
      </c>
      <c r="X316" s="25" t="n">
        <v>144.732559204102</v>
      </c>
      <c r="Y316" s="25" t="n">
        <v>297.372100830078</v>
      </c>
      <c r="Z316" s="25" t="n">
        <v>1.36930227279663</v>
      </c>
      <c r="AA316" s="25" t="n">
        <v>0.531976759433746</v>
      </c>
      <c r="AB316" s="25" t="n">
        <v>0</v>
      </c>
      <c r="AC316" s="25" t="n">
        <v>0.177325591444969</v>
      </c>
      <c r="AD316" s="25" t="n">
        <v>0.00872092973440886</v>
      </c>
      <c r="AE316" s="25" t="n">
        <v>0.299418598413467</v>
      </c>
      <c r="AF316" s="25" t="n">
        <v>0.406976729631424</v>
      </c>
      <c r="AG316" s="25" t="n">
        <v>0.0465116277337074</v>
      </c>
      <c r="AH316" s="25" t="n">
        <v>0.75</v>
      </c>
      <c r="AI316" s="25" t="n">
        <v>7.32558155059815</v>
      </c>
      <c r="AJ316" s="6" t="n">
        <v>28.7</v>
      </c>
      <c r="AK316" s="6" t="n">
        <v>120.9</v>
      </c>
      <c r="AL316" s="26"/>
    </row>
    <row r="317" customFormat="false" ht="15" hidden="false" customHeight="false" outlineLevel="0" collapsed="false">
      <c r="A317" s="6" t="s">
        <v>2068</v>
      </c>
      <c r="B317" s="6" t="s">
        <v>3470</v>
      </c>
      <c r="C317" s="6" t="s">
        <v>3462</v>
      </c>
      <c r="D317" s="13" t="n">
        <v>421.793060302734</v>
      </c>
      <c r="E317" s="25" t="n">
        <v>11.1939640045166</v>
      </c>
      <c r="F317" s="25" t="n">
        <v>46.58642578125</v>
      </c>
      <c r="G317" s="25" t="n">
        <v>22.4055461883545</v>
      </c>
      <c r="H317" s="25" t="n">
        <v>3.40831995010376</v>
      </c>
      <c r="I317" s="25" t="n">
        <v>28.4379119873047</v>
      </c>
      <c r="J317" s="25" t="n">
        <v>12.686642578125</v>
      </c>
      <c r="K317" s="25" t="n">
        <v>5.8199560546875</v>
      </c>
      <c r="L317" s="25" t="n">
        <v>1.84069982910156</v>
      </c>
      <c r="M317" s="25" t="n">
        <v>40.1305046081543</v>
      </c>
      <c r="N317" s="25" t="n">
        <v>13.0188083648682</v>
      </c>
      <c r="O317" s="25" t="n">
        <v>226.632949829102</v>
      </c>
      <c r="P317" s="25" t="n">
        <v>160.707992553711</v>
      </c>
      <c r="Q317" s="25" t="n">
        <v>181.363784790039</v>
      </c>
      <c r="R317" s="25" t="n">
        <v>35.667537689209</v>
      </c>
      <c r="S317" s="25" t="n">
        <v>1.47437191009522</v>
      </c>
      <c r="T317" s="25" t="n">
        <v>1.06481242179871</v>
      </c>
      <c r="U317" s="25" t="n">
        <v>0.13598695397377</v>
      </c>
      <c r="V317" s="25" t="n">
        <v>11.6328382492065</v>
      </c>
      <c r="W317" s="25" t="n">
        <v>0.739216983318329</v>
      </c>
      <c r="X317" s="25" t="n">
        <v>150.407836914063</v>
      </c>
      <c r="Y317" s="25" t="n">
        <v>359.539978027344</v>
      </c>
      <c r="Z317" s="25" t="n">
        <v>1.77897226810455</v>
      </c>
      <c r="AA317" s="25" t="n">
        <v>2.94360518455505</v>
      </c>
      <c r="AB317" s="25" t="n">
        <v>0</v>
      </c>
      <c r="AC317" s="25" t="n">
        <v>0.172528550028801</v>
      </c>
      <c r="AD317" s="25" t="n">
        <v>0.0809298530220985</v>
      </c>
      <c r="AE317" s="25" t="n">
        <v>0.723637819290161</v>
      </c>
      <c r="AF317" s="25" t="n">
        <v>0.481256127357483</v>
      </c>
      <c r="AG317" s="25" t="n">
        <v>0.161256119608879</v>
      </c>
      <c r="AH317" s="25" t="n">
        <v>7.42156600952148</v>
      </c>
      <c r="AI317" s="25" t="n">
        <v>84.5082397460938</v>
      </c>
      <c r="AJ317" s="6" t="n">
        <v>38.3</v>
      </c>
      <c r="AK317" s="6" t="n">
        <v>161.6</v>
      </c>
      <c r="AL317" s="26"/>
    </row>
    <row r="318" customFormat="false" ht="15" hidden="false" customHeight="false" outlineLevel="0" collapsed="false">
      <c r="A318" s="6" t="s">
        <v>3471</v>
      </c>
      <c r="B318" s="6" t="s">
        <v>3472</v>
      </c>
      <c r="C318" s="6" t="s">
        <v>3473</v>
      </c>
      <c r="D318" s="13" t="n">
        <v>428.706634521484</v>
      </c>
      <c r="E318" s="25" t="n">
        <v>6.71351385116577</v>
      </c>
      <c r="F318" s="25" t="n">
        <v>52.8561744689941</v>
      </c>
      <c r="G318" s="25" t="n">
        <v>21.8593215942383</v>
      </c>
      <c r="H318" s="25" t="n">
        <v>4.67849826812744</v>
      </c>
      <c r="I318" s="25" t="n">
        <v>33.2782363891602</v>
      </c>
      <c r="J318" s="25" t="n">
        <v>13.5429287109375</v>
      </c>
      <c r="K318" s="25" t="n">
        <v>4.33224951171875</v>
      </c>
      <c r="L318" s="25" t="n">
        <v>0.903063598632813</v>
      </c>
      <c r="M318" s="25" t="n">
        <v>27.8741703033447</v>
      </c>
      <c r="N318" s="25" t="n">
        <v>14.4017105102539</v>
      </c>
      <c r="O318" s="25" t="n">
        <v>259.348175048828</v>
      </c>
      <c r="P318" s="25" t="n">
        <v>106.419418334961</v>
      </c>
      <c r="Q318" s="25" t="n">
        <v>133.311477661133</v>
      </c>
      <c r="R318" s="25" t="n">
        <v>32.2861633300781</v>
      </c>
      <c r="S318" s="25" t="n">
        <v>1.72711217403412</v>
      </c>
      <c r="T318" s="25" t="n">
        <v>1.16581451892853</v>
      </c>
      <c r="U318" s="25" t="n">
        <v>0.2657251060009</v>
      </c>
      <c r="V318" s="25" t="n">
        <v>12.4729261398315</v>
      </c>
      <c r="W318" s="25" t="n">
        <v>0.868931889533997</v>
      </c>
      <c r="X318" s="25" t="n">
        <v>104.471481323242</v>
      </c>
      <c r="Y318" s="25" t="n">
        <v>351.441162109375</v>
      </c>
      <c r="Z318" s="25" t="n">
        <v>1.60704219341278</v>
      </c>
      <c r="AA318" s="25" t="n">
        <v>0.791212856769562</v>
      </c>
      <c r="AB318" s="25" t="n">
        <v>0.113876186311245</v>
      </c>
      <c r="AC318" s="25" t="n">
        <v>0.109853684902191</v>
      </c>
      <c r="AD318" s="25" t="n">
        <v>0.0381003655493259</v>
      </c>
      <c r="AE318" s="25" t="n">
        <v>0.474059164524078</v>
      </c>
      <c r="AF318" s="25" t="n">
        <v>0.306304275989533</v>
      </c>
      <c r="AG318" s="25" t="n">
        <v>0.0647847801446915</v>
      </c>
      <c r="AH318" s="25" t="n">
        <v>3.32019877433777</v>
      </c>
      <c r="AI318" s="25" t="n">
        <v>24.1478404998779</v>
      </c>
      <c r="AJ318" s="6" t="n">
        <v>29.4</v>
      </c>
      <c r="AK318" s="6" t="n">
        <v>126.1</v>
      </c>
      <c r="AL318" s="26"/>
    </row>
    <row r="319" customFormat="false" ht="15" hidden="false" customHeight="false" outlineLevel="0" collapsed="false">
      <c r="A319" s="6" t="s">
        <v>3474</v>
      </c>
      <c r="B319" s="6" t="s">
        <v>3475</v>
      </c>
      <c r="C319" s="6" t="s">
        <v>3473</v>
      </c>
      <c r="D319" s="13" t="n">
        <v>464.429748535156</v>
      </c>
      <c r="E319" s="25" t="n">
        <v>5.67525768280029</v>
      </c>
      <c r="F319" s="25" t="n">
        <v>50.9043312072754</v>
      </c>
      <c r="G319" s="25" t="n">
        <v>27.0302410125732</v>
      </c>
      <c r="H319" s="25" t="n">
        <v>6.69381427764893</v>
      </c>
      <c r="I319" s="25" t="n">
        <v>27.3157405853272</v>
      </c>
      <c r="J319" s="25" t="n">
        <v>17.14340625</v>
      </c>
      <c r="K319" s="25" t="n">
        <v>4.40723388671875</v>
      </c>
      <c r="L319" s="25" t="n">
        <v>0.941522338867188</v>
      </c>
      <c r="M319" s="25" t="n">
        <v>33.8144340515137</v>
      </c>
      <c r="N319" s="25" t="n">
        <v>9.06017208099365</v>
      </c>
      <c r="O319" s="25" t="n">
        <v>264.852233886719</v>
      </c>
      <c r="P319" s="25" t="n">
        <v>26.7216491699219</v>
      </c>
      <c r="Q319" s="25" t="n">
        <v>90.0797271728516</v>
      </c>
      <c r="R319" s="25" t="n">
        <v>34.7670097351074</v>
      </c>
      <c r="S319" s="25" t="n">
        <v>1.82862544059753</v>
      </c>
      <c r="T319" s="25" t="n">
        <v>1.08216500282288</v>
      </c>
      <c r="U319" s="25" t="n">
        <v>0.360893487930298</v>
      </c>
      <c r="V319" s="25" t="n">
        <v>9.06773185729981</v>
      </c>
      <c r="W319" s="25" t="n">
        <v>1.14357388019562</v>
      </c>
      <c r="X319" s="25" t="n">
        <v>126.735389709473</v>
      </c>
      <c r="Y319" s="25" t="n">
        <v>402.219940185547</v>
      </c>
      <c r="Z319" s="25" t="n">
        <v>2.12773180007935</v>
      </c>
      <c r="AA319" s="25" t="n">
        <v>1.02958762645721</v>
      </c>
      <c r="AB319" s="25" t="n">
        <v>0.138144329190254</v>
      </c>
      <c r="AC319" s="25" t="n">
        <v>0.110378004610539</v>
      </c>
      <c r="AD319" s="25" t="n">
        <v>0.0297938138246536</v>
      </c>
      <c r="AE319" s="25" t="n">
        <v>0.544089317321777</v>
      </c>
      <c r="AF319" s="25" t="n">
        <v>0.325326472520828</v>
      </c>
      <c r="AG319" s="25" t="n">
        <v>0.0719931274652481</v>
      </c>
      <c r="AH319" s="25" t="n">
        <v>0.512508571147919</v>
      </c>
      <c r="AI319" s="25" t="n">
        <v>14.3218212127686</v>
      </c>
      <c r="AJ319" s="6" t="n">
        <v>36.4</v>
      </c>
      <c r="AK319" s="6" t="n">
        <v>168.9</v>
      </c>
      <c r="AL319" s="26"/>
    </row>
    <row r="320" customFormat="false" ht="15" hidden="false" customHeight="false" outlineLevel="0" collapsed="false">
      <c r="A320" s="6" t="s">
        <v>2032</v>
      </c>
      <c r="B320" s="6" t="s">
        <v>3476</v>
      </c>
      <c r="C320" s="6" t="s">
        <v>3473</v>
      </c>
      <c r="D320" s="13" t="n">
        <v>476.909484863281</v>
      </c>
      <c r="E320" s="25" t="n">
        <v>8.93390083312988</v>
      </c>
      <c r="F320" s="25" t="n">
        <v>62.6084403991699</v>
      </c>
      <c r="G320" s="25" t="n">
        <v>22.7603912353516</v>
      </c>
      <c r="H320" s="25" t="n">
        <v>4.4286527633667</v>
      </c>
      <c r="I320" s="25" t="n">
        <v>37.7606735229492</v>
      </c>
      <c r="J320" s="25" t="n">
        <v>12.6604091796875</v>
      </c>
      <c r="K320" s="25" t="n">
        <v>5.83576513671875</v>
      </c>
      <c r="L320" s="25" t="n">
        <v>1.99511706542969</v>
      </c>
      <c r="M320" s="25" t="n">
        <v>52.3404273986816</v>
      </c>
      <c r="N320" s="25" t="n">
        <v>5.48269510269165</v>
      </c>
      <c r="O320" s="25" t="n">
        <v>142.255325317383</v>
      </c>
      <c r="P320" s="25" t="n">
        <v>25.3460998535156</v>
      </c>
      <c r="Q320" s="25" t="n">
        <v>88.2553176879883</v>
      </c>
      <c r="R320" s="25" t="n">
        <v>26.7652473449707</v>
      </c>
      <c r="S320" s="25" t="n">
        <v>1.51421988010407</v>
      </c>
      <c r="T320" s="25" t="n">
        <v>0.74095743894577</v>
      </c>
      <c r="U320" s="25" t="n">
        <v>0.150921985507011</v>
      </c>
      <c r="V320" s="25" t="n">
        <v>2.25787234306335</v>
      </c>
      <c r="W320" s="25" t="n">
        <v>0.885354578495026</v>
      </c>
      <c r="X320" s="25" t="n">
        <v>196.170211791992</v>
      </c>
      <c r="Y320" s="25" t="n">
        <v>430.117034912109</v>
      </c>
      <c r="Z320" s="25" t="n">
        <v>2.15351057052612</v>
      </c>
      <c r="AA320" s="25" t="n">
        <v>3.31776595115662</v>
      </c>
      <c r="AB320" s="25" t="n">
        <v>0</v>
      </c>
      <c r="AC320" s="25" t="n">
        <v>0.1807801425457</v>
      </c>
      <c r="AD320" s="25" t="n">
        <v>0.0634042546153069</v>
      </c>
      <c r="AE320" s="25" t="n">
        <v>0.763404250144959</v>
      </c>
      <c r="AF320" s="25" t="n">
        <v>0.494326233863831</v>
      </c>
      <c r="AG320" s="25" t="n">
        <v>0.16836878657341</v>
      </c>
      <c r="AH320" s="25" t="n">
        <v>3.03014159202576</v>
      </c>
      <c r="AI320" s="25" t="n">
        <v>70.3202514648438</v>
      </c>
      <c r="AJ320" s="6" t="n">
        <v>35.3</v>
      </c>
      <c r="AK320" s="6" t="n">
        <v>168.1</v>
      </c>
      <c r="AL320" s="26"/>
    </row>
    <row r="321" customFormat="false" ht="15" hidden="false" customHeight="false" outlineLevel="0" collapsed="false">
      <c r="A321" s="6" t="s">
        <v>2050</v>
      </c>
      <c r="B321" s="6" t="s">
        <v>3477</v>
      </c>
      <c r="C321" s="6" t="s">
        <v>3473</v>
      </c>
      <c r="D321" s="13" t="n">
        <v>396.957275390625</v>
      </c>
      <c r="E321" s="25" t="n">
        <v>10.7045459747315</v>
      </c>
      <c r="F321" s="25" t="n">
        <v>43.5</v>
      </c>
      <c r="G321" s="25" t="n">
        <v>19.6409091949463</v>
      </c>
      <c r="H321" s="25" t="n">
        <v>7.72272729873657</v>
      </c>
      <c r="I321" s="25" t="n">
        <v>38.6318168640137</v>
      </c>
      <c r="J321" s="25" t="n">
        <v>2.95419555664063</v>
      </c>
      <c r="K321" s="25" t="n">
        <v>7.33894091796875</v>
      </c>
      <c r="L321" s="25" t="n">
        <v>8.4682275390625</v>
      </c>
      <c r="M321" s="25" t="n">
        <v>0</v>
      </c>
      <c r="N321" s="25" t="n">
        <v>18.5499992370606</v>
      </c>
      <c r="O321" s="25" t="n">
        <v>430.909088134766</v>
      </c>
      <c r="P321" s="25" t="n">
        <v>631.818176269531</v>
      </c>
      <c r="Q321" s="25" t="n">
        <v>376.604553222656</v>
      </c>
      <c r="R321" s="25" t="n">
        <v>221.363632202148</v>
      </c>
      <c r="S321" s="25" t="n">
        <v>8.94090938568115</v>
      </c>
      <c r="T321" s="25" t="n">
        <v>3.73636364936829</v>
      </c>
      <c r="U321" s="25" t="n">
        <v>0.713636338710785</v>
      </c>
      <c r="V321" s="25" t="n">
        <v>12.1545457839966</v>
      </c>
      <c r="W321" s="25" t="n">
        <v>1.11818182468414</v>
      </c>
      <c r="X321" s="25" t="n">
        <v>0</v>
      </c>
      <c r="Y321" s="25" t="n">
        <v>34.3409080505371</v>
      </c>
      <c r="Z321" s="25" t="n">
        <v>0.590909063816071</v>
      </c>
      <c r="AA321" s="25" t="n">
        <v>48.1818199157715</v>
      </c>
      <c r="AB321" s="25" t="n">
        <v>0</v>
      </c>
      <c r="AC321" s="25" t="n">
        <v>0.181818187236786</v>
      </c>
      <c r="AD321" s="25" t="n">
        <v>0.036363635212183</v>
      </c>
      <c r="AE321" s="25" t="n">
        <v>1.80000007152557</v>
      </c>
      <c r="AF321" s="25" t="n">
        <v>0.322727262973785</v>
      </c>
      <c r="AG321" s="25" t="n">
        <v>0.604545474052429</v>
      </c>
      <c r="AH321" s="25" t="n">
        <v>1.83636367321014</v>
      </c>
      <c r="AI321" s="25" t="n">
        <v>66.0909118652344</v>
      </c>
      <c r="AJ321" s="6" t="n">
        <v>27.5</v>
      </c>
      <c r="AK321" s="6" t="n">
        <v>109.2</v>
      </c>
      <c r="AL321" s="26"/>
    </row>
    <row r="322" customFormat="false" ht="15" hidden="false" customHeight="false" outlineLevel="0" collapsed="false">
      <c r="A322" s="6" t="s">
        <v>3478</v>
      </c>
      <c r="B322" s="6" t="s">
        <v>3479</v>
      </c>
      <c r="C322" s="6" t="s">
        <v>3007</v>
      </c>
      <c r="D322" s="13" t="n">
        <v>252.692657470703</v>
      </c>
      <c r="E322" s="25" t="n">
        <v>10.4632453918457</v>
      </c>
      <c r="F322" s="25" t="n">
        <v>36.0110969543457</v>
      </c>
      <c r="G322" s="25" t="n">
        <v>8.19972229003906</v>
      </c>
      <c r="H322" s="25" t="n">
        <v>0</v>
      </c>
      <c r="I322" s="25" t="n">
        <v>35.5450744628906</v>
      </c>
      <c r="J322" s="25" t="n">
        <v>4.91040234375</v>
      </c>
      <c r="K322" s="25" t="n">
        <v>2.38557568359375</v>
      </c>
      <c r="L322" s="25" t="n">
        <v>0.243550628662109</v>
      </c>
      <c r="M322" s="25" t="n">
        <v>0</v>
      </c>
      <c r="N322" s="25" t="n">
        <v>11.39528465271</v>
      </c>
      <c r="O322" s="25" t="n">
        <v>65.4535369873047</v>
      </c>
      <c r="P322" s="25" t="n">
        <v>266.851593017578</v>
      </c>
      <c r="Q322" s="25" t="n">
        <v>183.3564453125</v>
      </c>
      <c r="R322" s="25" t="n">
        <v>15.3231630325317</v>
      </c>
      <c r="S322" s="25" t="n">
        <v>0.554785013198853</v>
      </c>
      <c r="T322" s="25" t="n">
        <v>1.54785025119782</v>
      </c>
      <c r="U322" s="25" t="n">
        <v>0.0887656062841415</v>
      </c>
      <c r="V322" s="25" t="n">
        <v>12.837724685669</v>
      </c>
      <c r="W322" s="25" t="n">
        <v>0.0721220523118973</v>
      </c>
      <c r="X322" s="25" t="n">
        <v>0</v>
      </c>
      <c r="Y322" s="25" t="n">
        <v>107.628295898438</v>
      </c>
      <c r="Z322" s="25" t="n">
        <v>0.0110956998541951</v>
      </c>
      <c r="AA322" s="25" t="n">
        <v>0</v>
      </c>
      <c r="AB322" s="25" t="n">
        <v>0</v>
      </c>
      <c r="AC322" s="25" t="n">
        <v>0.0110956998541951</v>
      </c>
      <c r="AD322" s="25" t="n">
        <v>0.0554785020649433</v>
      </c>
      <c r="AE322" s="25" t="n">
        <v>0.0721220523118973</v>
      </c>
      <c r="AF322" s="25" t="n">
        <v>0.271844655275345</v>
      </c>
      <c r="AG322" s="25" t="n">
        <v>0.0221913997083902</v>
      </c>
      <c r="AH322" s="25" t="n">
        <v>11.6726770401001</v>
      </c>
      <c r="AI322" s="25" t="n">
        <v>51.7669906616211</v>
      </c>
      <c r="AJ322" s="6" t="n">
        <v>90.1</v>
      </c>
      <c r="AK322" s="6" t="n">
        <v>227.7</v>
      </c>
      <c r="AL322" s="26"/>
    </row>
    <row r="323" customFormat="false" ht="15" hidden="false" customHeight="false" outlineLevel="0" collapsed="false">
      <c r="A323" s="6" t="s">
        <v>3480</v>
      </c>
      <c r="B323" s="6" t="s">
        <v>3481</v>
      </c>
      <c r="C323" s="6" t="s">
        <v>3482</v>
      </c>
      <c r="D323" s="13" t="n">
        <v>127.408180236816</v>
      </c>
      <c r="E323" s="25" t="n">
        <v>3.01261949539185</v>
      </c>
      <c r="F323" s="25" t="n">
        <v>9.12880802154541</v>
      </c>
      <c r="G323" s="25" t="n">
        <v>8.92724132537842</v>
      </c>
      <c r="H323" s="25" t="n">
        <v>0.0617928616702557</v>
      </c>
      <c r="I323" s="25" t="n">
        <v>8.89878177642822</v>
      </c>
      <c r="J323" s="25" t="n">
        <v>5.166736328125</v>
      </c>
      <c r="K323" s="25" t="n">
        <v>2.26440380859375</v>
      </c>
      <c r="L323" s="25" t="n">
        <v>0.337458648681641</v>
      </c>
      <c r="M323" s="25" t="n">
        <v>11.561357498169</v>
      </c>
      <c r="N323" s="25" t="n">
        <v>24.9730205535889</v>
      </c>
      <c r="O323" s="25" t="n">
        <v>109.260223388672</v>
      </c>
      <c r="P323" s="25" t="n">
        <v>104.942558288574</v>
      </c>
      <c r="Q323" s="25" t="n">
        <v>84.3864212036133</v>
      </c>
      <c r="R323" s="25" t="n">
        <v>7.47606658935547</v>
      </c>
      <c r="S323" s="25" t="n">
        <v>0.195039168000221</v>
      </c>
      <c r="T323" s="25" t="n">
        <v>0.294604003429413</v>
      </c>
      <c r="U323" s="25" t="n">
        <v>0.0313315950334072</v>
      </c>
      <c r="V323" s="25" t="n">
        <v>0.857267200946808</v>
      </c>
      <c r="W323" s="25" t="n">
        <v>0.00870322063565254</v>
      </c>
      <c r="X323" s="25" t="n">
        <v>43.3315925598145</v>
      </c>
      <c r="Y323" s="25" t="n">
        <v>261.742401123047</v>
      </c>
      <c r="Z323" s="25" t="n">
        <v>0.462175816297531</v>
      </c>
      <c r="AA323" s="25" t="n">
        <v>0</v>
      </c>
      <c r="AB323" s="25" t="n">
        <v>2.78503036499023</v>
      </c>
      <c r="AC323" s="25" t="n">
        <v>0.0270234998315573</v>
      </c>
      <c r="AD323" s="25" t="n">
        <v>0.0960400402545929</v>
      </c>
      <c r="AE323" s="25" t="n">
        <v>0.0726718902587891</v>
      </c>
      <c r="AF323" s="25" t="n">
        <v>0.299564838409424</v>
      </c>
      <c r="AG323" s="25" t="n">
        <v>0.0363359451293945</v>
      </c>
      <c r="AH323" s="25" t="n">
        <v>1.72323751449585</v>
      </c>
      <c r="AI323" s="25" t="n">
        <v>6.33159303665161</v>
      </c>
      <c r="AJ323" s="6" t="n">
        <v>287.3</v>
      </c>
      <c r="AK323" s="6" t="n">
        <v>366</v>
      </c>
      <c r="AL323" s="26"/>
    </row>
    <row r="324" customFormat="false" ht="15" hidden="false" customHeight="false" outlineLevel="0" collapsed="false">
      <c r="A324" s="6" t="s">
        <v>3483</v>
      </c>
      <c r="B324" s="6" t="s">
        <v>3484</v>
      </c>
      <c r="C324" s="6" t="s">
        <v>3364</v>
      </c>
      <c r="D324" s="13" t="n">
        <v>768.978942871094</v>
      </c>
      <c r="E324" s="25" t="n">
        <v>1.86337816715241</v>
      </c>
      <c r="F324" s="25" t="n">
        <v>13.0048875808716</v>
      </c>
      <c r="G324" s="25" t="n">
        <v>78.9301986694336</v>
      </c>
      <c r="H324" s="25" t="n">
        <v>0.518872916698456</v>
      </c>
      <c r="I324" s="25" t="n">
        <v>6.08268308639526</v>
      </c>
      <c r="J324" s="25" t="n">
        <v>11.4065830078125</v>
      </c>
      <c r="K324" s="25" t="n">
        <v>16.2156259765625</v>
      </c>
      <c r="L324" s="25" t="n">
        <v>47.73415234375</v>
      </c>
      <c r="M324" s="25" t="n">
        <v>4.62116479873657</v>
      </c>
      <c r="N324" s="25" t="n">
        <v>3.27799320220947</v>
      </c>
      <c r="O324" s="25" t="n">
        <v>54.2720718383789</v>
      </c>
      <c r="P324" s="25" t="n">
        <v>31.0078773498535</v>
      </c>
      <c r="Q324" s="25" t="n">
        <v>36.1297988891602</v>
      </c>
      <c r="R324" s="25" t="n">
        <v>7.24822759628296</v>
      </c>
      <c r="S324" s="25" t="n">
        <v>0.442013144493103</v>
      </c>
      <c r="T324" s="25" t="n">
        <v>0.219937384128571</v>
      </c>
      <c r="U324" s="25" t="n">
        <v>0.0445303693413734</v>
      </c>
      <c r="V324" s="25" t="n">
        <v>2.51244211196899</v>
      </c>
      <c r="W324" s="25" t="n">
        <v>0.0895992442965508</v>
      </c>
      <c r="X324" s="25" t="n">
        <v>17.319974899292</v>
      </c>
      <c r="Y324" s="25" t="n">
        <v>72.6183471679688</v>
      </c>
      <c r="Z324" s="25" t="n">
        <v>37.1935768127441</v>
      </c>
      <c r="AA324" s="25" t="n">
        <v>4.87747955322266</v>
      </c>
      <c r="AB324" s="25" t="n">
        <v>0.00577645562589169</v>
      </c>
      <c r="AC324" s="25" t="n">
        <v>0.0201346278190613</v>
      </c>
      <c r="AD324" s="25" t="n">
        <v>0.0115403877571225</v>
      </c>
      <c r="AE324" s="25" t="n">
        <v>0.104984350502491</v>
      </c>
      <c r="AF324" s="25" t="n">
        <v>0.0870037600398064</v>
      </c>
      <c r="AG324" s="25" t="n">
        <v>0.0131590478122234</v>
      </c>
      <c r="AH324" s="25" t="n">
        <v>1.02992177009583</v>
      </c>
      <c r="AI324" s="25" t="n">
        <v>6.44041967391968</v>
      </c>
      <c r="AJ324" s="6" t="n">
        <v>106.5</v>
      </c>
      <c r="AK324" s="6" t="n">
        <v>818.7</v>
      </c>
      <c r="AL324" s="26" t="s">
        <v>3100</v>
      </c>
    </row>
    <row r="325" customFormat="false" ht="15" hidden="false" customHeight="false" outlineLevel="0" collapsed="false">
      <c r="A325" s="6" t="s">
        <v>1995</v>
      </c>
      <c r="B325" s="6" t="s">
        <v>3485</v>
      </c>
      <c r="C325" s="6" t="s">
        <v>3486</v>
      </c>
      <c r="D325" s="13" t="n">
        <v>586.0634765625</v>
      </c>
      <c r="E325" s="25" t="n">
        <v>2.030522108078</v>
      </c>
      <c r="F325" s="25" t="n">
        <v>26.0921516418457</v>
      </c>
      <c r="G325" s="25" t="n">
        <v>53.2334365844727</v>
      </c>
      <c r="H325" s="25" t="n">
        <v>0.0733808353543282</v>
      </c>
      <c r="I325" s="25" t="n">
        <v>24.1233654022217</v>
      </c>
      <c r="J325" s="25" t="n">
        <v>7.5184501953125</v>
      </c>
      <c r="K325" s="25" t="n">
        <v>11.074908203125</v>
      </c>
      <c r="L325" s="25" t="n">
        <v>32.4069609375</v>
      </c>
      <c r="M325" s="25" t="n">
        <v>0</v>
      </c>
      <c r="N325" s="25" t="n">
        <v>15.0907163619995</v>
      </c>
      <c r="O325" s="25" t="n">
        <v>62.6129951477051</v>
      </c>
      <c r="P325" s="25" t="n">
        <v>67.3189392089844</v>
      </c>
      <c r="Q325" s="25" t="n">
        <v>54.272891998291</v>
      </c>
      <c r="R325" s="25" t="n">
        <v>7.50999689102173</v>
      </c>
      <c r="S325" s="25" t="n">
        <v>0.388173967599869</v>
      </c>
      <c r="T325" s="25" t="n">
        <v>0.2952781021595</v>
      </c>
      <c r="U325" s="25" t="n">
        <v>0.0427523143589497</v>
      </c>
      <c r="V325" s="25" t="n">
        <v>4.78756809234619</v>
      </c>
      <c r="W325" s="25" t="n">
        <v>0.0253110714256764</v>
      </c>
      <c r="X325" s="25" t="n">
        <v>0</v>
      </c>
      <c r="Y325" s="25" t="n">
        <v>28.4483680725098</v>
      </c>
      <c r="Z325" s="25" t="n">
        <v>25.1312866210938</v>
      </c>
      <c r="AA325" s="25" t="n">
        <v>3.24258208274841</v>
      </c>
      <c r="AB325" s="25" t="n">
        <v>0.0106880785897374</v>
      </c>
      <c r="AC325" s="25" t="n">
        <v>0.0158460065722466</v>
      </c>
      <c r="AD325" s="25" t="n">
        <v>0.0138785494491458</v>
      </c>
      <c r="AE325" s="25" t="n">
        <v>0.06662767380476</v>
      </c>
      <c r="AF325" s="25" t="n">
        <v>0.0560459457337856</v>
      </c>
      <c r="AG325" s="25" t="n">
        <v>0.00872062053531408</v>
      </c>
      <c r="AH325" s="25" t="n">
        <v>2.19440603256226</v>
      </c>
      <c r="AI325" s="25" t="n">
        <v>10.4928216934204</v>
      </c>
      <c r="AJ325" s="6" t="n">
        <v>156.7</v>
      </c>
      <c r="AK325" s="6" t="n">
        <v>918.5</v>
      </c>
      <c r="AL325" s="26" t="s">
        <v>3100</v>
      </c>
    </row>
    <row r="326" customFormat="false" ht="15" hidden="false" customHeight="false" outlineLevel="0" collapsed="false">
      <c r="A326" s="6" t="s">
        <v>2078</v>
      </c>
      <c r="B326" s="6" t="s">
        <v>3487</v>
      </c>
      <c r="C326" s="6" t="s">
        <v>3488</v>
      </c>
      <c r="D326" s="13" t="n">
        <v>566.677673339844</v>
      </c>
      <c r="E326" s="25" t="n">
        <v>1.70571172237396</v>
      </c>
      <c r="F326" s="25" t="n">
        <v>17.5615310668945</v>
      </c>
      <c r="G326" s="25" t="n">
        <v>54.6356315612793</v>
      </c>
      <c r="H326" s="25" t="n">
        <v>0.617451548576355</v>
      </c>
      <c r="I326" s="25" t="n">
        <v>11.7708444595337</v>
      </c>
      <c r="J326" s="25" t="n">
        <v>7.0397001953125</v>
      </c>
      <c r="K326" s="25" t="n">
        <v>11.33356640625</v>
      </c>
      <c r="L326" s="25" t="n">
        <v>33.94101953125</v>
      </c>
      <c r="M326" s="25" t="n">
        <v>0</v>
      </c>
      <c r="N326" s="25" t="n">
        <v>6.35083532333374</v>
      </c>
      <c r="O326" s="25" t="n">
        <v>47.8739128112793</v>
      </c>
      <c r="P326" s="25" t="n">
        <v>30.0506801605225</v>
      </c>
      <c r="Q326" s="25" t="n">
        <v>32.7431488037109</v>
      </c>
      <c r="R326" s="25" t="n">
        <v>5.77316761016846</v>
      </c>
      <c r="S326" s="25" t="n">
        <v>0.329652488231659</v>
      </c>
      <c r="T326" s="25" t="n">
        <v>0.229416355490685</v>
      </c>
      <c r="U326" s="25" t="n">
        <v>0.0559523291885853</v>
      </c>
      <c r="V326" s="25" t="n">
        <v>0.778355956077576</v>
      </c>
      <c r="W326" s="25" t="n">
        <v>0.128583192825317</v>
      </c>
      <c r="X326" s="25" t="n">
        <v>0</v>
      </c>
      <c r="Y326" s="25" t="n">
        <v>68.0099792480469</v>
      </c>
      <c r="Z326" s="25" t="n">
        <v>26.4653244018555</v>
      </c>
      <c r="AA326" s="25" t="n">
        <v>3.49940967559815</v>
      </c>
      <c r="AB326" s="25" t="n">
        <v>0.449244827032089</v>
      </c>
      <c r="AC326" s="25" t="n">
        <v>0.0276230797171593</v>
      </c>
      <c r="AD326" s="25" t="n">
        <v>0.0290799736976624</v>
      </c>
      <c r="AE326" s="25" t="n">
        <v>0.108585432171822</v>
      </c>
      <c r="AF326" s="25" t="n">
        <v>0.139501005411148</v>
      </c>
      <c r="AG326" s="25" t="n">
        <v>0.0183470696210861</v>
      </c>
      <c r="AH326" s="25" t="n">
        <v>0.500470042228699</v>
      </c>
      <c r="AI326" s="25" t="n">
        <v>3.54157710075378</v>
      </c>
      <c r="AJ326" s="6" t="n">
        <v>149.6</v>
      </c>
      <c r="AK326" s="6" t="n">
        <v>847.9</v>
      </c>
      <c r="AL326" s="26"/>
    </row>
    <row r="327" customFormat="false" ht="15" hidden="false" customHeight="false" outlineLevel="0" collapsed="false">
      <c r="A327" s="6" t="s">
        <v>2095</v>
      </c>
      <c r="B327" s="6" t="s">
        <v>3489</v>
      </c>
      <c r="C327" s="6" t="s">
        <v>3490</v>
      </c>
      <c r="D327" s="13" t="n">
        <v>189.810043334961</v>
      </c>
      <c r="E327" s="25" t="n">
        <v>2.76338291168213</v>
      </c>
      <c r="F327" s="25" t="n">
        <v>41.4598808288574</v>
      </c>
      <c r="G327" s="25" t="n">
        <v>2.53776502609253</v>
      </c>
      <c r="H327" s="25" t="n">
        <v>0.508437275886536</v>
      </c>
      <c r="I327" s="25" t="n">
        <v>34.6999931335449</v>
      </c>
      <c r="J327" s="25" t="n">
        <v>1.15667028808594</v>
      </c>
      <c r="K327" s="25" t="n">
        <v>0.733660583496094</v>
      </c>
      <c r="L327" s="25" t="n">
        <v>0.141248474121094</v>
      </c>
      <c r="M327" s="25" t="n">
        <v>0</v>
      </c>
      <c r="N327" s="25" t="n">
        <v>71.0448532104492</v>
      </c>
      <c r="O327" s="25" t="n">
        <v>74.0591278076172</v>
      </c>
      <c r="P327" s="25" t="n">
        <v>76.4686737060547</v>
      </c>
      <c r="Q327" s="25" t="n">
        <v>57.6642913818359</v>
      </c>
      <c r="R327" s="25" t="n">
        <v>9.18296432495117</v>
      </c>
      <c r="S327" s="25" t="n">
        <v>0.374097913503647</v>
      </c>
      <c r="T327" s="25" t="n">
        <v>0.292767763137817</v>
      </c>
      <c r="U327" s="25" t="n">
        <v>0.0766733735799789</v>
      </c>
      <c r="V327" s="25" t="n">
        <v>1.45649909973145</v>
      </c>
      <c r="W327" s="25" t="n">
        <v>0.0909837633371353</v>
      </c>
      <c r="X327" s="25" t="n">
        <v>0</v>
      </c>
      <c r="Y327" s="25" t="n">
        <v>83.9819183349609</v>
      </c>
      <c r="Z327" s="25" t="n">
        <v>0.277653694152832</v>
      </c>
      <c r="AA327" s="25" t="n">
        <v>0.0640498548746109</v>
      </c>
      <c r="AB327" s="25" t="n">
        <v>0.842310965061188</v>
      </c>
      <c r="AC327" s="25" t="n">
        <v>0.0466733723878861</v>
      </c>
      <c r="AD327" s="25" t="n">
        <v>0.0576350539922714</v>
      </c>
      <c r="AE327" s="25" t="n">
        <v>0.289927393198013</v>
      </c>
      <c r="AF327" s="25" t="n">
        <v>0.146343648433685</v>
      </c>
      <c r="AG327" s="25" t="n">
        <v>0.0284181348979473</v>
      </c>
      <c r="AH327" s="25" t="n">
        <v>0.850384652614594</v>
      </c>
      <c r="AI327" s="25" t="n">
        <v>7.46283578872681</v>
      </c>
      <c r="AJ327" s="6" t="n">
        <v>101.9</v>
      </c>
      <c r="AK327" s="6" t="n">
        <v>193.4</v>
      </c>
      <c r="AL327" s="26"/>
    </row>
    <row r="328" customFormat="false" ht="15" hidden="false" customHeight="false" outlineLevel="0" collapsed="false">
      <c r="A328" s="6" t="s">
        <v>1629</v>
      </c>
      <c r="B328" s="6" t="s">
        <v>3491</v>
      </c>
      <c r="C328" s="6" t="s">
        <v>3112</v>
      </c>
      <c r="D328" s="13" t="n">
        <v>677.190246582031</v>
      </c>
      <c r="E328" s="25" t="n">
        <v>1.90382516384125</v>
      </c>
      <c r="F328" s="25" t="n">
        <v>6.04345417022705</v>
      </c>
      <c r="G328" s="25" t="n">
        <v>71.8379516601563</v>
      </c>
      <c r="H328" s="25" t="n">
        <v>1.02550041675568</v>
      </c>
      <c r="I328" s="25" t="n">
        <v>0.216456636786461</v>
      </c>
      <c r="J328" s="25" t="n">
        <v>8.6288212890625</v>
      </c>
      <c r="K328" s="25" t="n">
        <v>14.7294482421875</v>
      </c>
      <c r="L328" s="25" t="n">
        <v>45.4661640625</v>
      </c>
      <c r="M328" s="25" t="n">
        <v>0</v>
      </c>
      <c r="N328" s="25" t="n">
        <v>63.3848037719727</v>
      </c>
      <c r="O328" s="25" t="n">
        <v>90.0081558227539</v>
      </c>
      <c r="P328" s="25" t="n">
        <v>6.58650875091553</v>
      </c>
      <c r="Q328" s="25" t="n">
        <v>21.9378795623779</v>
      </c>
      <c r="R328" s="25" t="n">
        <v>7.85151958465576</v>
      </c>
      <c r="S328" s="25" t="n">
        <v>0.377790957689285</v>
      </c>
      <c r="T328" s="25" t="n">
        <v>0.150741294026375</v>
      </c>
      <c r="U328" s="25" t="n">
        <v>0.0396664217114449</v>
      </c>
      <c r="V328" s="25" t="n">
        <v>0.385470718145371</v>
      </c>
      <c r="W328" s="25" t="n">
        <v>0.142290592193604</v>
      </c>
      <c r="X328" s="25" t="n">
        <v>0</v>
      </c>
      <c r="Y328" s="25" t="n">
        <v>46.949592590332</v>
      </c>
      <c r="Z328" s="25" t="n">
        <v>35.3681831359863</v>
      </c>
      <c r="AA328" s="25" t="n">
        <v>5.53220891952515</v>
      </c>
      <c r="AB328" s="25" t="n">
        <v>2.74684953689575</v>
      </c>
      <c r="AC328" s="25" t="n">
        <v>0.0408821329474449</v>
      </c>
      <c r="AD328" s="25" t="n">
        <v>0.014955522492528</v>
      </c>
      <c r="AE328" s="25" t="n">
        <v>0.278020769357681</v>
      </c>
      <c r="AF328" s="25" t="n">
        <v>0.137979984283447</v>
      </c>
      <c r="AG328" s="25" t="n">
        <v>0.0475537441670895</v>
      </c>
      <c r="AH328" s="25" t="n">
        <v>0.782802045345306</v>
      </c>
      <c r="AI328" s="25" t="n">
        <v>16.1776123046875</v>
      </c>
      <c r="AJ328" s="6" t="n">
        <v>674.5</v>
      </c>
      <c r="AK328" s="6" t="n">
        <v>4567.6</v>
      </c>
      <c r="AL328" s="26" t="s">
        <v>3146</v>
      </c>
    </row>
    <row r="329" customFormat="false" ht="15" hidden="false" customHeight="false" outlineLevel="0" collapsed="false">
      <c r="A329" s="6" t="s">
        <v>1621</v>
      </c>
      <c r="B329" s="6" t="s">
        <v>3492</v>
      </c>
      <c r="C329" s="6" t="s">
        <v>3112</v>
      </c>
      <c r="D329" s="13" t="n">
        <v>674.610656738281</v>
      </c>
      <c r="E329" s="25" t="n">
        <v>1.89908087253571</v>
      </c>
      <c r="F329" s="25" t="n">
        <v>5.41128253936768</v>
      </c>
      <c r="G329" s="25" t="n">
        <v>71.8391418457031</v>
      </c>
      <c r="H329" s="25" t="n">
        <v>1.11326909065247</v>
      </c>
      <c r="I329" s="25" t="n">
        <v>0.875908076763153</v>
      </c>
      <c r="J329" s="25" t="n">
        <v>8.6308671875</v>
      </c>
      <c r="K329" s="25" t="n">
        <v>14.7324775390625</v>
      </c>
      <c r="L329" s="25" t="n">
        <v>45.4635546875</v>
      </c>
      <c r="M329" s="25" t="n">
        <v>0</v>
      </c>
      <c r="N329" s="25" t="n">
        <v>63.5496673583984</v>
      </c>
      <c r="O329" s="25" t="n">
        <v>46.1237945556641</v>
      </c>
      <c r="P329" s="25" t="n">
        <v>7.95166778564453</v>
      </c>
      <c r="Q329" s="25" t="n">
        <v>20.623722076416</v>
      </c>
      <c r="R329" s="25" t="n">
        <v>7.12683486938477</v>
      </c>
      <c r="S329" s="25" t="n">
        <v>0.361186057329178</v>
      </c>
      <c r="T329" s="25" t="n">
        <v>0.159043729305267</v>
      </c>
      <c r="U329" s="25" t="n">
        <v>0.0420385487377644</v>
      </c>
      <c r="V329" s="25" t="n">
        <v>0.338028162717819</v>
      </c>
      <c r="W329" s="25" t="n">
        <v>0.15415121614933</v>
      </c>
      <c r="X329" s="25" t="n">
        <v>0</v>
      </c>
      <c r="Y329" s="25" t="n">
        <v>32.8472938537598</v>
      </c>
      <c r="Z329" s="25" t="n">
        <v>35.3669967651367</v>
      </c>
      <c r="AA329" s="25" t="n">
        <v>5.81449222564697</v>
      </c>
      <c r="AB329" s="25" t="n">
        <v>0.794588625431061</v>
      </c>
      <c r="AC329" s="25" t="n">
        <v>0.0385100059211254</v>
      </c>
      <c r="AD329" s="25" t="n">
        <v>0.014955522492528</v>
      </c>
      <c r="AE329" s="25" t="n">
        <v>0.194996297359467</v>
      </c>
      <c r="AF329" s="25" t="n">
        <v>0.128491476178169</v>
      </c>
      <c r="AG329" s="25" t="n">
        <v>0.0475537441670895</v>
      </c>
      <c r="AH329" s="25" t="n">
        <v>0.932246088981628</v>
      </c>
      <c r="AI329" s="25" t="n">
        <v>17.7633800506592</v>
      </c>
      <c r="AJ329" s="6" t="n">
        <v>674.5</v>
      </c>
      <c r="AK329" s="6" t="n">
        <v>4550.2</v>
      </c>
      <c r="AL329" s="26" t="s">
        <v>3146</v>
      </c>
    </row>
    <row r="330" customFormat="false" ht="15" hidden="false" customHeight="false" outlineLevel="0" collapsed="false">
      <c r="A330" s="6" t="s">
        <v>1637</v>
      </c>
      <c r="B330" s="6" t="s">
        <v>3493</v>
      </c>
      <c r="C330" s="6" t="s">
        <v>3112</v>
      </c>
      <c r="D330" s="13" t="n">
        <v>671.634216308594</v>
      </c>
      <c r="E330" s="25" t="n">
        <v>1.97617495059967</v>
      </c>
      <c r="F330" s="25" t="n">
        <v>4.51817655563355</v>
      </c>
      <c r="G330" s="25" t="n">
        <v>71.8628616333008</v>
      </c>
      <c r="H330" s="25" t="n">
        <v>1.26271319389343</v>
      </c>
      <c r="I330" s="25" t="n">
        <v>0.234247580170631</v>
      </c>
      <c r="J330" s="25" t="n">
        <v>8.63753125</v>
      </c>
      <c r="K330" s="25" t="n">
        <v>14.7307548828125</v>
      </c>
      <c r="L330" s="25" t="n">
        <v>45.476484375</v>
      </c>
      <c r="M330" s="25" t="n">
        <v>0</v>
      </c>
      <c r="N330" s="25" t="n">
        <v>66.5409164428711</v>
      </c>
      <c r="O330" s="25" t="n">
        <v>64.8636016845703</v>
      </c>
      <c r="P330" s="25" t="n">
        <v>8.44151210784912</v>
      </c>
      <c r="Q330" s="25" t="n">
        <v>22.4016304016113</v>
      </c>
      <c r="R330" s="25" t="n">
        <v>7.73409938812256</v>
      </c>
      <c r="S330" s="25" t="n">
        <v>0.424047440290451</v>
      </c>
      <c r="T330" s="25" t="n">
        <v>0.154299482703209</v>
      </c>
      <c r="U330" s="25" t="n">
        <v>0.0349221639335156</v>
      </c>
      <c r="V330" s="25" t="n">
        <v>0.352260917425156</v>
      </c>
      <c r="W330" s="25" t="n">
        <v>0.152965158224106</v>
      </c>
      <c r="X330" s="25" t="n">
        <v>0</v>
      </c>
      <c r="Y330" s="25" t="n">
        <v>28.266716003418</v>
      </c>
      <c r="Z330" s="25" t="n">
        <v>35.3634376525879</v>
      </c>
      <c r="AA330" s="25" t="n">
        <v>6.98039293289185</v>
      </c>
      <c r="AB330" s="25" t="n">
        <v>5.59221649169922</v>
      </c>
      <c r="AC330" s="25" t="n">
        <v>0.0385100059211254</v>
      </c>
      <c r="AD330" s="25" t="n">
        <v>0.0220719054341316</v>
      </c>
      <c r="AE330" s="25" t="n">
        <v>0.191438093781471</v>
      </c>
      <c r="AF330" s="25" t="n">
        <v>0.166445508599281</v>
      </c>
      <c r="AG330" s="25" t="n">
        <v>0.0511119328439236</v>
      </c>
      <c r="AH330" s="25" t="n">
        <v>0.915641188621521</v>
      </c>
      <c r="AI330" s="25" t="n">
        <v>19.7879905700684</v>
      </c>
      <c r="AJ330" s="6" t="n">
        <v>674.5</v>
      </c>
      <c r="AK330" s="6" t="n">
        <v>4530.2</v>
      </c>
      <c r="AL330" s="26" t="s">
        <v>3146</v>
      </c>
    </row>
    <row r="331" customFormat="false" ht="15" hidden="false" customHeight="false" outlineLevel="0" collapsed="false">
      <c r="A331" s="6" t="s">
        <v>1625</v>
      </c>
      <c r="B331" s="6" t="s">
        <v>3494</v>
      </c>
      <c r="C331" s="6" t="s">
        <v>3112</v>
      </c>
      <c r="D331" s="13" t="n">
        <v>673.809875488281</v>
      </c>
      <c r="E331" s="25" t="n">
        <v>1.93851745128632</v>
      </c>
      <c r="F331" s="25" t="n">
        <v>5.12336540222168</v>
      </c>
      <c r="G331" s="25" t="n">
        <v>71.8566360473633</v>
      </c>
      <c r="H331" s="25" t="n">
        <v>1.12661230564117</v>
      </c>
      <c r="I331" s="25" t="n">
        <v>0.383395105600357</v>
      </c>
      <c r="J331" s="25" t="n">
        <v>8.63564453125</v>
      </c>
      <c r="K331" s="25" t="n">
        <v>14.731392578125</v>
      </c>
      <c r="L331" s="25" t="n">
        <v>45.47301171875</v>
      </c>
      <c r="M331" s="25" t="n">
        <v>0</v>
      </c>
      <c r="N331" s="25" t="n">
        <v>65.3548583984375</v>
      </c>
      <c r="O331" s="25" t="n">
        <v>75.2416610717773</v>
      </c>
      <c r="P331" s="25" t="n">
        <v>9.54929542541504</v>
      </c>
      <c r="Q331" s="25" t="n">
        <v>21.4041519165039</v>
      </c>
      <c r="R331" s="25" t="n">
        <v>9.50607872009277</v>
      </c>
      <c r="S331" s="25" t="n">
        <v>0.455774664878845</v>
      </c>
      <c r="T331" s="25" t="n">
        <v>0.159043729305267</v>
      </c>
      <c r="U331" s="25" t="n">
        <v>0.0414455160498619</v>
      </c>
      <c r="V331" s="25" t="n">
        <v>0.405040770769119</v>
      </c>
      <c r="W331" s="25" t="n">
        <v>0.176982954144478</v>
      </c>
      <c r="X331" s="25" t="n">
        <v>0</v>
      </c>
      <c r="Y331" s="25" t="n">
        <v>315.847442626953</v>
      </c>
      <c r="Z331" s="25" t="n">
        <v>35.4031715393066</v>
      </c>
      <c r="AA331" s="25" t="n">
        <v>15.5387325286865</v>
      </c>
      <c r="AB331" s="25" t="n">
        <v>3.18154191970825</v>
      </c>
      <c r="AC331" s="25" t="n">
        <v>0.0426612310111523</v>
      </c>
      <c r="AD331" s="25" t="n">
        <v>0.0194032620638609</v>
      </c>
      <c r="AE331" s="25" t="n">
        <v>0.214566349983215</v>
      </c>
      <c r="AF331" s="25" t="n">
        <v>0.137979984283447</v>
      </c>
      <c r="AG331" s="25" t="n">
        <v>0.049925871193409</v>
      </c>
      <c r="AH331" s="25" t="n">
        <v>0.936100780963898</v>
      </c>
      <c r="AI331" s="25" t="n">
        <v>21.2272796630859</v>
      </c>
      <c r="AJ331" s="6" t="n">
        <v>674.5</v>
      </c>
      <c r="AK331" s="6" t="n">
        <v>4544.8</v>
      </c>
      <c r="AL331" s="26" t="s">
        <v>3146</v>
      </c>
    </row>
    <row r="332" customFormat="false" ht="15" hidden="false" customHeight="false" outlineLevel="0" collapsed="false">
      <c r="A332" s="6" t="s">
        <v>1633</v>
      </c>
      <c r="B332" s="6" t="s">
        <v>3495</v>
      </c>
      <c r="C332" s="6" t="s">
        <v>3112</v>
      </c>
      <c r="D332" s="13" t="n">
        <v>712.619201660156</v>
      </c>
      <c r="E332" s="25" t="n">
        <v>1.96458637714386</v>
      </c>
      <c r="F332" s="25" t="n">
        <v>4.67629623413086</v>
      </c>
      <c r="G332" s="25" t="n">
        <v>76.3780899047852</v>
      </c>
      <c r="H332" s="25" t="n">
        <v>1.0245863199234</v>
      </c>
      <c r="I332" s="25" t="n">
        <v>0.204885736107826</v>
      </c>
      <c r="J332" s="25" t="n">
        <v>9.178841796875</v>
      </c>
      <c r="K332" s="25" t="n">
        <v>15.6589765625</v>
      </c>
      <c r="L332" s="25" t="n">
        <v>48.33476171875</v>
      </c>
      <c r="M332" s="25" t="n">
        <v>0</v>
      </c>
      <c r="N332" s="25" t="n">
        <v>69.5449142456055</v>
      </c>
      <c r="O332" s="25" t="n">
        <v>66.8723373413086</v>
      </c>
      <c r="P332" s="25" t="n">
        <v>10.98912525177</v>
      </c>
      <c r="Q332" s="25" t="n">
        <v>19.9008674621582</v>
      </c>
      <c r="R332" s="25" t="n">
        <v>10.7944049835205</v>
      </c>
      <c r="S332" s="25" t="n">
        <v>0.515713155269623</v>
      </c>
      <c r="T332" s="25" t="n">
        <v>0.153940111398697</v>
      </c>
      <c r="U332" s="25" t="n">
        <v>0.0415366441011429</v>
      </c>
      <c r="V332" s="25" t="n">
        <v>0.446966111660004</v>
      </c>
      <c r="W332" s="25" t="n">
        <v>0.204215914011002</v>
      </c>
      <c r="X332" s="25" t="n">
        <v>0</v>
      </c>
      <c r="Y332" s="25" t="n">
        <v>625.921997070313</v>
      </c>
      <c r="Z332" s="25" t="n">
        <v>37.6716156005859</v>
      </c>
      <c r="AA332" s="25" t="n">
        <v>26.1022453308106</v>
      </c>
      <c r="AB332" s="25" t="n">
        <v>1.91008675098419</v>
      </c>
      <c r="AC332" s="25" t="n">
        <v>0.0459810867905617</v>
      </c>
      <c r="AD332" s="25" t="n">
        <v>0.020941685885191</v>
      </c>
      <c r="AE332" s="25" t="n">
        <v>0.185224577784538</v>
      </c>
      <c r="AF332" s="25" t="n">
        <v>0.112635932862759</v>
      </c>
      <c r="AG332" s="25" t="n">
        <v>0.0473995245993137</v>
      </c>
      <c r="AH332" s="25" t="n">
        <v>0.922931432723999</v>
      </c>
      <c r="AI332" s="25" t="n">
        <v>24.1938533782959</v>
      </c>
      <c r="AJ332" s="6" t="n">
        <v>634.5</v>
      </c>
      <c r="AK332" s="6" t="n">
        <v>4521.6</v>
      </c>
      <c r="AL332" s="26" t="s">
        <v>3146</v>
      </c>
    </row>
    <row r="333" customFormat="false" ht="15" hidden="false" customHeight="false" outlineLevel="0" collapsed="false">
      <c r="A333" s="6" t="s">
        <v>3496</v>
      </c>
      <c r="B333" s="6" t="s">
        <v>3497</v>
      </c>
      <c r="C333" s="6" t="s">
        <v>3112</v>
      </c>
      <c r="D333" s="13" t="n">
        <v>713.252014160156</v>
      </c>
      <c r="E333" s="25" t="n">
        <v>2.06167078018189</v>
      </c>
      <c r="F333" s="25" t="n">
        <v>4.68386125564575</v>
      </c>
      <c r="G333" s="25" t="n">
        <v>76.3900680541992</v>
      </c>
      <c r="H333" s="25" t="n">
        <v>1.18345153331757</v>
      </c>
      <c r="I333" s="25" t="n">
        <v>0.245232462882996</v>
      </c>
      <c r="J333" s="25" t="n">
        <v>9.1798505859375</v>
      </c>
      <c r="K333" s="25" t="n">
        <v>15.657546875</v>
      </c>
      <c r="L333" s="25" t="n">
        <v>48.34421875</v>
      </c>
      <c r="M333" s="25" t="n">
        <v>0</v>
      </c>
      <c r="N333" s="25" t="n">
        <v>69.8260803222656</v>
      </c>
      <c r="O333" s="25" t="n">
        <v>41.718677520752</v>
      </c>
      <c r="P333" s="25" t="n">
        <v>23.0748615264893</v>
      </c>
      <c r="Q333" s="25" t="n">
        <v>21.1907005310059</v>
      </c>
      <c r="R333" s="25" t="n">
        <v>9.32553195953369</v>
      </c>
      <c r="S333" s="25" t="n">
        <v>0.688447594642639</v>
      </c>
      <c r="T333" s="25" t="n">
        <v>0.158983454108238</v>
      </c>
      <c r="U333" s="25" t="n">
        <v>0.0421670600771904</v>
      </c>
      <c r="V333" s="25" t="n">
        <v>0.396532684564591</v>
      </c>
      <c r="W333" s="25" t="n">
        <v>0.186564221978188</v>
      </c>
      <c r="X333" s="25" t="n">
        <v>0</v>
      </c>
      <c r="Y333" s="25" t="n">
        <v>827.78173828125</v>
      </c>
      <c r="Z333" s="25" t="n">
        <v>37.6129875183106</v>
      </c>
      <c r="AA333" s="25" t="n">
        <v>32.5955467224121</v>
      </c>
      <c r="AB333" s="25" t="n">
        <v>3.67336463928223</v>
      </c>
      <c r="AC333" s="25" t="n">
        <v>0.0428289994597435</v>
      </c>
      <c r="AD333" s="25" t="n">
        <v>0.0285066980868578</v>
      </c>
      <c r="AE333" s="25" t="n">
        <v>0.208550035953522</v>
      </c>
      <c r="AF333" s="25" t="n">
        <v>0.129657208919525</v>
      </c>
      <c r="AG333" s="25" t="n">
        <v>0.0618991330265999</v>
      </c>
      <c r="AH333" s="25" t="n">
        <v>0.965799808502197</v>
      </c>
      <c r="AI333" s="25" t="n">
        <v>19.9864463806152</v>
      </c>
      <c r="AJ333" s="6" t="n">
        <v>634.5</v>
      </c>
      <c r="AK333" s="6" t="n">
        <v>4525.6</v>
      </c>
      <c r="AL333" s="26" t="s">
        <v>3146</v>
      </c>
    </row>
    <row r="334" customFormat="false" ht="15" hidden="false" customHeight="false" outlineLevel="0" collapsed="false">
      <c r="A334" s="6" t="s">
        <v>1605</v>
      </c>
      <c r="B334" s="6" t="s">
        <v>3498</v>
      </c>
      <c r="C334" s="6" t="s">
        <v>3112</v>
      </c>
      <c r="D334" s="13" t="n">
        <v>710.506713867188</v>
      </c>
      <c r="E334" s="25" t="n">
        <v>2.83154392242432</v>
      </c>
      <c r="F334" s="25" t="n">
        <v>4.47650909423828</v>
      </c>
      <c r="G334" s="25" t="n">
        <v>75.863151550293</v>
      </c>
      <c r="H334" s="25" t="n">
        <v>0.860977530479431</v>
      </c>
      <c r="I334" s="25" t="n">
        <v>0.186811476945877</v>
      </c>
      <c r="J334" s="25" t="n">
        <v>9.2545458984375</v>
      </c>
      <c r="K334" s="25" t="n">
        <v>15.6834091796875</v>
      </c>
      <c r="L334" s="25" t="n">
        <v>47.6558671875</v>
      </c>
      <c r="M334" s="25" t="n">
        <v>28.3941040039063</v>
      </c>
      <c r="N334" s="25" t="n">
        <v>75.3673400878906</v>
      </c>
      <c r="O334" s="25" t="n">
        <v>37.7509689331055</v>
      </c>
      <c r="P334" s="25" t="n">
        <v>9.54693508148193</v>
      </c>
      <c r="Q334" s="25" t="n">
        <v>31.9216442108154</v>
      </c>
      <c r="R334" s="25" t="n">
        <v>6.16097736358643</v>
      </c>
      <c r="S334" s="25" t="n">
        <v>0.465818464756012</v>
      </c>
      <c r="T334" s="25" t="n">
        <v>0.218425139784813</v>
      </c>
      <c r="U334" s="25" t="n">
        <v>0.0357719175517559</v>
      </c>
      <c r="V334" s="25" t="n">
        <v>3.44763374328613</v>
      </c>
      <c r="W334" s="25" t="n">
        <v>0.133087664842606</v>
      </c>
      <c r="X334" s="25" t="n">
        <v>15.3607444763184</v>
      </c>
      <c r="Y334" s="25" t="n">
        <v>33.7897605895996</v>
      </c>
      <c r="Z334" s="25" t="n">
        <v>37.1241874694824</v>
      </c>
      <c r="AA334" s="25" t="n">
        <v>5.52657079696655</v>
      </c>
      <c r="AB334" s="25" t="n">
        <v>0.00116369279567152</v>
      </c>
      <c r="AC334" s="25" t="n">
        <v>0.0399922393262386</v>
      </c>
      <c r="AD334" s="25" t="n">
        <v>0.0291505046188831</v>
      </c>
      <c r="AE334" s="25" t="n">
        <v>0.170403406023979</v>
      </c>
      <c r="AF334" s="25" t="n">
        <v>0.211276188492775</v>
      </c>
      <c r="AG334" s="25" t="n">
        <v>0.0497672595083714</v>
      </c>
      <c r="AH334" s="25" t="n">
        <v>2.06671833992004</v>
      </c>
      <c r="AI334" s="25" t="n">
        <v>18.8316516876221</v>
      </c>
      <c r="AJ334" s="6" t="n">
        <v>644.5</v>
      </c>
      <c r="AK334" s="6" t="n">
        <v>4579.2</v>
      </c>
      <c r="AL334" s="26" t="s">
        <v>3146</v>
      </c>
    </row>
    <row r="335" customFormat="false" ht="15" hidden="false" customHeight="false" outlineLevel="0" collapsed="false">
      <c r="A335" s="6" t="s">
        <v>1644</v>
      </c>
      <c r="B335" s="6" t="s">
        <v>3499</v>
      </c>
      <c r="C335" s="6" t="s">
        <v>3112</v>
      </c>
      <c r="D335" s="13" t="n">
        <v>710.988159179688</v>
      </c>
      <c r="E335" s="25" t="n">
        <v>2.57132172584534</v>
      </c>
      <c r="F335" s="25" t="n">
        <v>8.87259006500244</v>
      </c>
      <c r="G335" s="25" t="n">
        <v>74.1975555419922</v>
      </c>
      <c r="H335" s="25" t="n">
        <v>1.11367464065552</v>
      </c>
      <c r="I335" s="25" t="n">
        <v>0.458976298570633</v>
      </c>
      <c r="J335" s="25" t="n">
        <v>8.887173828125</v>
      </c>
      <c r="K335" s="25" t="n">
        <v>15.177857421875</v>
      </c>
      <c r="L335" s="25" t="n">
        <v>46.83973828125</v>
      </c>
      <c r="M335" s="25" t="n">
        <v>0</v>
      </c>
      <c r="N335" s="25" t="n">
        <v>101.488540649414</v>
      </c>
      <c r="O335" s="25" t="n">
        <v>38.9159660339356</v>
      </c>
      <c r="P335" s="25" t="n">
        <v>19.833459854126</v>
      </c>
      <c r="Q335" s="25" t="n">
        <v>26.1016044616699</v>
      </c>
      <c r="R335" s="25" t="n">
        <v>7.16615724563599</v>
      </c>
      <c r="S335" s="25" t="n">
        <v>0.457173407077789</v>
      </c>
      <c r="T335" s="25" t="n">
        <v>0.18529412150383</v>
      </c>
      <c r="U335" s="25" t="n">
        <v>0.0427119955420494</v>
      </c>
      <c r="V335" s="25" t="n">
        <v>0.947287976741791</v>
      </c>
      <c r="W335" s="25" t="n">
        <v>0.174446135759354</v>
      </c>
      <c r="X335" s="25" t="n">
        <v>0</v>
      </c>
      <c r="Y335" s="25" t="n">
        <v>22.9602737426758</v>
      </c>
      <c r="Z335" s="25" t="n">
        <v>36.4489517211914</v>
      </c>
      <c r="AA335" s="25" t="n">
        <v>5.44213151931763</v>
      </c>
      <c r="AB335" s="25" t="n">
        <v>0.00114591291639954</v>
      </c>
      <c r="AC335" s="25" t="n">
        <v>0.0549656227231026</v>
      </c>
      <c r="AD335" s="25" t="n">
        <v>0.0206073336303234</v>
      </c>
      <c r="AE335" s="25" t="n">
        <v>0.30607333779335</v>
      </c>
      <c r="AF335" s="25" t="n">
        <v>0.0957486629486084</v>
      </c>
      <c r="AG335" s="25" t="n">
        <v>0.0432009175419807</v>
      </c>
      <c r="AH335" s="25" t="n">
        <v>0.641711175441742</v>
      </c>
      <c r="AI335" s="25" t="n">
        <v>17.4346828460693</v>
      </c>
      <c r="AJ335" s="6" t="n">
        <v>654.5</v>
      </c>
      <c r="AK335" s="6" t="n">
        <v>4653.4</v>
      </c>
      <c r="AL335" s="26" t="s">
        <v>3146</v>
      </c>
    </row>
    <row r="336" customFormat="false" ht="15" hidden="false" customHeight="false" outlineLevel="0" collapsed="false">
      <c r="A336" s="6" t="s">
        <v>1530</v>
      </c>
      <c r="B336" s="6" t="s">
        <v>3500</v>
      </c>
      <c r="C336" s="6" t="s">
        <v>3112</v>
      </c>
      <c r="D336" s="13" t="n">
        <v>718.121887207031</v>
      </c>
      <c r="E336" s="25" t="n">
        <v>3.2703595161438</v>
      </c>
      <c r="F336" s="25" t="n">
        <v>5.5248703956604</v>
      </c>
      <c r="G336" s="25" t="n">
        <v>76.0516815185547</v>
      </c>
      <c r="H336" s="25" t="n">
        <v>0.886896073818207</v>
      </c>
      <c r="I336" s="25" t="n">
        <v>1.08341705799103</v>
      </c>
      <c r="J336" s="25" t="n">
        <v>9.67888671875</v>
      </c>
      <c r="K336" s="25" t="n">
        <v>15.6934052734375</v>
      </c>
      <c r="L336" s="25" t="n">
        <v>47.43805078125</v>
      </c>
      <c r="M336" s="25" t="n">
        <v>0</v>
      </c>
      <c r="N336" s="25" t="n">
        <v>131.696563720703</v>
      </c>
      <c r="O336" s="25" t="n">
        <v>33.8747596740723</v>
      </c>
      <c r="P336" s="25" t="n">
        <v>43.3761100769043</v>
      </c>
      <c r="Q336" s="25" t="n">
        <v>43.4395065307617</v>
      </c>
      <c r="R336" s="25" t="n">
        <v>7.6992654800415</v>
      </c>
      <c r="S336" s="25" t="n">
        <v>0.425427138805389</v>
      </c>
      <c r="T336" s="25" t="n">
        <v>0.339157313108444</v>
      </c>
      <c r="U336" s="25" t="n">
        <v>0.0397294163703919</v>
      </c>
      <c r="V336" s="25" t="n">
        <v>2.09818315505981</v>
      </c>
      <c r="W336" s="25" t="n">
        <v>0.146424427628517</v>
      </c>
      <c r="X336" s="25" t="n">
        <v>0</v>
      </c>
      <c r="Y336" s="25" t="n">
        <v>45.3730163574219</v>
      </c>
      <c r="Z336" s="25" t="n">
        <v>36.8798446655273</v>
      </c>
      <c r="AA336" s="25" t="n">
        <v>5.54820251464844</v>
      </c>
      <c r="AB336" s="25" t="n">
        <v>0.0108233476057649</v>
      </c>
      <c r="AC336" s="25" t="n">
        <v>0.0371279455721378</v>
      </c>
      <c r="AD336" s="25" t="n">
        <v>0.0227097030729055</v>
      </c>
      <c r="AE336" s="25" t="n">
        <v>0.177773475646973</v>
      </c>
      <c r="AF336" s="25" t="n">
        <v>0.135121762752533</v>
      </c>
      <c r="AG336" s="25" t="n">
        <v>0.041128721088171</v>
      </c>
      <c r="AH336" s="25" t="n">
        <v>2.27599549293518</v>
      </c>
      <c r="AI336" s="25" t="n">
        <v>22.177812576294</v>
      </c>
      <c r="AJ336" s="6" t="n">
        <v>646.7</v>
      </c>
      <c r="AK336" s="6" t="n">
        <v>4644.5</v>
      </c>
      <c r="AL336" s="26" t="s">
        <v>3146</v>
      </c>
    </row>
    <row r="337" customFormat="false" ht="15" hidden="false" customHeight="false" outlineLevel="0" collapsed="false">
      <c r="A337" s="6" t="s">
        <v>1648</v>
      </c>
      <c r="B337" s="6" t="s">
        <v>3501</v>
      </c>
      <c r="C337" s="6" t="s">
        <v>3502</v>
      </c>
      <c r="D337" s="13" t="n">
        <v>632.835021972656</v>
      </c>
      <c r="E337" s="25" t="n">
        <v>1.0886664390564</v>
      </c>
      <c r="F337" s="25" t="n">
        <v>4.53430938720703</v>
      </c>
      <c r="G337" s="25" t="n">
        <v>67.7987747192383</v>
      </c>
      <c r="H337" s="25" t="n">
        <v>0.830328106880188</v>
      </c>
      <c r="I337" s="25" t="n">
        <v>0.270271331071854</v>
      </c>
      <c r="J337" s="25" t="n">
        <v>8.1554072265625</v>
      </c>
      <c r="K337" s="25" t="n">
        <v>13.9718583984375</v>
      </c>
      <c r="L337" s="25" t="n">
        <v>42.8571796875</v>
      </c>
      <c r="M337" s="25" t="n">
        <v>0</v>
      </c>
      <c r="N337" s="25" t="n">
        <v>132.533538818359</v>
      </c>
      <c r="O337" s="25" t="n">
        <v>105.935203552246</v>
      </c>
      <c r="P337" s="25" t="n">
        <v>6.79252529144287</v>
      </c>
      <c r="Q337" s="25" t="n">
        <v>16.8975067138672</v>
      </c>
      <c r="R337" s="25" t="n">
        <v>9.0196123123169</v>
      </c>
      <c r="S337" s="25" t="n">
        <v>0.37447652220726</v>
      </c>
      <c r="T337" s="25" t="n">
        <v>0.140234217047691</v>
      </c>
      <c r="U337" s="25" t="n">
        <v>0.0471687838435173</v>
      </c>
      <c r="V337" s="25" t="n">
        <v>0.38385671377182</v>
      </c>
      <c r="W337" s="25" t="n">
        <v>0.115874610841274</v>
      </c>
      <c r="X337" s="25" t="n">
        <v>0</v>
      </c>
      <c r="Y337" s="25" t="n">
        <v>182.560180664063</v>
      </c>
      <c r="Z337" s="25" t="n">
        <v>33.315055847168</v>
      </c>
      <c r="AA337" s="25" t="n">
        <v>7.90466260910034</v>
      </c>
      <c r="AB337" s="25" t="n">
        <v>4.9995436668396</v>
      </c>
      <c r="AC337" s="25" t="n">
        <v>0.0299927461892366</v>
      </c>
      <c r="AD337" s="25" t="n">
        <v>0.00803719181567431</v>
      </c>
      <c r="AE337" s="25" t="n">
        <v>0.261908262968063</v>
      </c>
      <c r="AF337" s="25" t="n">
        <v>0.115348272025585</v>
      </c>
      <c r="AG337" s="25" t="n">
        <v>0.0379063375294209</v>
      </c>
      <c r="AH337" s="25" t="n">
        <v>0.557015478610992</v>
      </c>
      <c r="AI337" s="25" t="n">
        <v>8.93962001800537</v>
      </c>
      <c r="AJ337" s="6" t="n">
        <v>179.2</v>
      </c>
      <c r="AK337" s="6" t="n">
        <v>1134.1</v>
      </c>
      <c r="AL337" s="26" t="s">
        <v>3100</v>
      </c>
    </row>
    <row r="338" customFormat="false" ht="15" hidden="false" customHeight="false" outlineLevel="0" collapsed="false">
      <c r="A338" s="6" t="s">
        <v>1610</v>
      </c>
      <c r="B338" s="6" t="s">
        <v>3503</v>
      </c>
      <c r="C338" s="6" t="s">
        <v>3504</v>
      </c>
      <c r="D338" s="13" t="n">
        <v>577.385681152344</v>
      </c>
      <c r="E338" s="25" t="n">
        <v>1.71178364753723</v>
      </c>
      <c r="F338" s="25" t="n">
        <v>9.20566654205322</v>
      </c>
      <c r="G338" s="25" t="n">
        <v>59.1909294128418</v>
      </c>
      <c r="H338" s="25" t="n">
        <v>1.19161427021027</v>
      </c>
      <c r="I338" s="25" t="n">
        <v>0.287694752216339</v>
      </c>
      <c r="J338" s="25" t="n">
        <v>7.555451171875</v>
      </c>
      <c r="K338" s="25" t="n">
        <v>12.1864375</v>
      </c>
      <c r="L338" s="25" t="n">
        <v>36.9367265625</v>
      </c>
      <c r="M338" s="25" t="n">
        <v>2.3272590637207</v>
      </c>
      <c r="N338" s="25" t="n">
        <v>77.1000823974609</v>
      </c>
      <c r="O338" s="25" t="n">
        <v>137.501159667969</v>
      </c>
      <c r="P338" s="25" t="n">
        <v>7.62673425674439</v>
      </c>
      <c r="Q338" s="25" t="n">
        <v>21.788408279419</v>
      </c>
      <c r="R338" s="25" t="n">
        <v>11.3801431655884</v>
      </c>
      <c r="S338" s="25" t="n">
        <v>0.498654246330261</v>
      </c>
      <c r="T338" s="25" t="n">
        <v>0.221863821148872</v>
      </c>
      <c r="U338" s="25" t="n">
        <v>0.0578478798270226</v>
      </c>
      <c r="V338" s="25" t="n">
        <v>0.281038999557495</v>
      </c>
      <c r="W338" s="25" t="n">
        <v>0.149556547403336</v>
      </c>
      <c r="X338" s="25" t="n">
        <v>8.72249126434326</v>
      </c>
      <c r="Y338" s="25" t="n">
        <v>239.157989501953</v>
      </c>
      <c r="Z338" s="25" t="n">
        <v>28.7296466827393</v>
      </c>
      <c r="AA338" s="25" t="n">
        <v>9.09733009338379</v>
      </c>
      <c r="AB338" s="25" t="n">
        <v>7.9958643913269</v>
      </c>
      <c r="AC338" s="25" t="n">
        <v>0.0467582754790783</v>
      </c>
      <c r="AD338" s="25" t="n">
        <v>0.0103664724156261</v>
      </c>
      <c r="AE338" s="25" t="n">
        <v>0.371014028787613</v>
      </c>
      <c r="AF338" s="25" t="n">
        <v>0.18360298871994</v>
      </c>
      <c r="AG338" s="25" t="n">
        <v>0.0447772666811943</v>
      </c>
      <c r="AH338" s="25" t="n">
        <v>0.659971952438355</v>
      </c>
      <c r="AI338" s="25" t="n">
        <v>9.08033752441406</v>
      </c>
      <c r="AJ338" s="6" t="n">
        <v>140.9</v>
      </c>
      <c r="AK338" s="6" t="n">
        <v>813.8</v>
      </c>
      <c r="AL338" s="26" t="s">
        <v>3100</v>
      </c>
    </row>
    <row r="339" customFormat="false" ht="15" hidden="false" customHeight="false" outlineLevel="0" collapsed="false">
      <c r="A339" s="6" t="s">
        <v>1614</v>
      </c>
      <c r="B339" s="6" t="s">
        <v>3505</v>
      </c>
      <c r="C339" s="6" t="s">
        <v>3504</v>
      </c>
      <c r="D339" s="13" t="n">
        <v>620.988464355469</v>
      </c>
      <c r="E339" s="25" t="n">
        <v>4.42531156539917</v>
      </c>
      <c r="F339" s="25" t="n">
        <v>6.13786697387695</v>
      </c>
      <c r="G339" s="25" t="n">
        <v>64.2611541748047</v>
      </c>
      <c r="H339" s="25" t="n">
        <v>0.387554377317429</v>
      </c>
      <c r="I339" s="25" t="n">
        <v>0.501901865005493</v>
      </c>
      <c r="J339" s="25" t="n">
        <v>9.0357919921875</v>
      </c>
      <c r="K339" s="25" t="n">
        <v>13.7089296875</v>
      </c>
      <c r="L339" s="25" t="n">
        <v>38.6810625</v>
      </c>
      <c r="M339" s="25" t="n">
        <v>16.7053890228272</v>
      </c>
      <c r="N339" s="25" t="n">
        <v>88.6408157348633</v>
      </c>
      <c r="O339" s="25" t="n">
        <v>81.9861602783203</v>
      </c>
      <c r="P339" s="25" t="n">
        <v>6.7039852142334</v>
      </c>
      <c r="Q339" s="25" t="n">
        <v>45.9095993041992</v>
      </c>
      <c r="R339" s="25" t="n">
        <v>7.77689933776856</v>
      </c>
      <c r="S339" s="25" t="n">
        <v>0.549110233783722</v>
      </c>
      <c r="T339" s="25" t="n">
        <v>0.741422414779663</v>
      </c>
      <c r="U339" s="25" t="n">
        <v>0.04239372164011</v>
      </c>
      <c r="V339" s="25" t="n">
        <v>0.392362833023071</v>
      </c>
      <c r="W339" s="25" t="n">
        <v>0.068741962313652</v>
      </c>
      <c r="X339" s="25" t="n">
        <v>10.0420169830322</v>
      </c>
      <c r="Y339" s="25" t="n">
        <v>57.9756546020508</v>
      </c>
      <c r="Z339" s="25" t="n">
        <v>30.0238246917725</v>
      </c>
      <c r="AA339" s="25" t="n">
        <v>4.28825521469116</v>
      </c>
      <c r="AB339" s="25" t="n">
        <v>0.611615180969238</v>
      </c>
      <c r="AC339" s="25" t="n">
        <v>0.0363976769149303</v>
      </c>
      <c r="AD339" s="25" t="n">
        <v>0.0394488386809826</v>
      </c>
      <c r="AE339" s="25" t="n">
        <v>0.978451550006867</v>
      </c>
      <c r="AF339" s="25" t="n">
        <v>0.23976643383503</v>
      </c>
      <c r="AG339" s="25" t="n">
        <v>0.0510701946914196</v>
      </c>
      <c r="AH339" s="25" t="n">
        <v>0.576335906982422</v>
      </c>
      <c r="AI339" s="25" t="n">
        <v>3.42257785797119</v>
      </c>
      <c r="AJ339" s="6" t="n">
        <v>134.9</v>
      </c>
      <c r="AK339" s="6" t="n">
        <v>837.5</v>
      </c>
      <c r="AL339" s="26" t="s">
        <v>3100</v>
      </c>
    </row>
    <row r="340" customFormat="false" ht="15" hidden="false" customHeight="false" outlineLevel="0" collapsed="false">
      <c r="A340" s="6" t="s">
        <v>3506</v>
      </c>
      <c r="B340" s="6" t="s">
        <v>3507</v>
      </c>
      <c r="C340" s="6" t="s">
        <v>3504</v>
      </c>
      <c r="D340" s="13" t="n">
        <v>623.806274414063</v>
      </c>
      <c r="E340" s="25" t="n">
        <v>4.01774835586548</v>
      </c>
      <c r="F340" s="25" t="n">
        <v>8.54889011383057</v>
      </c>
      <c r="G340" s="25" t="n">
        <v>63.6462211608887</v>
      </c>
      <c r="H340" s="25" t="n">
        <v>1.01718854904175</v>
      </c>
      <c r="I340" s="25" t="n">
        <v>1.68825876712799</v>
      </c>
      <c r="J340" s="25" t="n">
        <v>8.519974609375</v>
      </c>
      <c r="K340" s="25" t="n">
        <v>13.2075791015625</v>
      </c>
      <c r="L340" s="25" t="n">
        <v>39.20515625</v>
      </c>
      <c r="M340" s="25" t="n">
        <v>0</v>
      </c>
      <c r="N340" s="25" t="n">
        <v>78.1823425292969</v>
      </c>
      <c r="O340" s="25" t="n">
        <v>52.5781021118164</v>
      </c>
      <c r="P340" s="25" t="n">
        <v>64.5568008422852</v>
      </c>
      <c r="Q340" s="25" t="n">
        <v>56.3866119384766</v>
      </c>
      <c r="R340" s="25" t="n">
        <v>11.0208444595337</v>
      </c>
      <c r="S340" s="25" t="n">
        <v>0.533415734767914</v>
      </c>
      <c r="T340" s="25" t="n">
        <v>0.54431414604187</v>
      </c>
      <c r="U340" s="25" t="n">
        <v>0.0604115165770054</v>
      </c>
      <c r="V340" s="25" t="n">
        <v>3.06104779243469</v>
      </c>
      <c r="W340" s="25" t="n">
        <v>0.124970339238644</v>
      </c>
      <c r="X340" s="25" t="n">
        <v>0</v>
      </c>
      <c r="Y340" s="25" t="n">
        <v>216.948715209961</v>
      </c>
      <c r="Z340" s="25" t="n">
        <v>30.4454498291016</v>
      </c>
      <c r="AA340" s="25" t="n">
        <v>9.53714275360107</v>
      </c>
      <c r="AB340" s="25" t="n">
        <v>4.94367170333862</v>
      </c>
      <c r="AC340" s="25" t="n">
        <v>0.0475197732448578</v>
      </c>
      <c r="AD340" s="25" t="n">
        <v>0.0215299054980278</v>
      </c>
      <c r="AE340" s="25" t="n">
        <v>0.241921648383141</v>
      </c>
      <c r="AF340" s="25" t="n">
        <v>0.198985427618027</v>
      </c>
      <c r="AG340" s="25" t="n">
        <v>0.0362407304346561</v>
      </c>
      <c r="AH340" s="25" t="n">
        <v>3.14368653297424</v>
      </c>
      <c r="AI340" s="25" t="n">
        <v>19.5669174194336</v>
      </c>
      <c r="AJ340" s="6" t="n">
        <v>134.9</v>
      </c>
      <c r="AK340" s="6" t="n">
        <v>841.3</v>
      </c>
      <c r="AL340" s="26" t="s">
        <v>3100</v>
      </c>
    </row>
    <row r="341" customFormat="false" ht="15" hidden="false" customHeight="false" outlineLevel="0" collapsed="false">
      <c r="A341" s="6" t="s">
        <v>1966</v>
      </c>
      <c r="B341" s="6" t="s">
        <v>1965</v>
      </c>
      <c r="C341" s="6" t="s">
        <v>3508</v>
      </c>
      <c r="D341" s="13" t="n">
        <v>805.123352050781</v>
      </c>
      <c r="E341" s="25" t="n">
        <v>1.74962317943573</v>
      </c>
      <c r="F341" s="25" t="n">
        <v>12.3230953216553</v>
      </c>
      <c r="G341" s="25" t="n">
        <v>83.0970993041992</v>
      </c>
      <c r="H341" s="25" t="n">
        <v>0.599705159664154</v>
      </c>
      <c r="I341" s="25" t="n">
        <v>0.29425060749054</v>
      </c>
      <c r="J341" s="25" t="n">
        <v>9.98439453125</v>
      </c>
      <c r="K341" s="25" t="n">
        <v>17.034380859375</v>
      </c>
      <c r="L341" s="25" t="n">
        <v>52.6282578125</v>
      </c>
      <c r="M341" s="25" t="n">
        <v>0</v>
      </c>
      <c r="N341" s="25" t="n">
        <v>64.7046051025391</v>
      </c>
      <c r="O341" s="25" t="n">
        <v>30.3513507843018</v>
      </c>
      <c r="P341" s="25" t="n">
        <v>5.23095846176148</v>
      </c>
      <c r="Q341" s="25" t="n">
        <v>18.4913997650147</v>
      </c>
      <c r="R341" s="25" t="n">
        <v>5.79361200332642</v>
      </c>
      <c r="S341" s="25" t="n">
        <v>0.425741195678711</v>
      </c>
      <c r="T341" s="25" t="n">
        <v>0.148370191454887</v>
      </c>
      <c r="U341" s="25" t="n">
        <v>0.0420475006103516</v>
      </c>
      <c r="V341" s="25" t="n">
        <v>0.0397379174828529</v>
      </c>
      <c r="W341" s="25" t="n">
        <v>0.127764120697975</v>
      </c>
      <c r="X341" s="25" t="n">
        <v>0</v>
      </c>
      <c r="Y341" s="25" t="n">
        <v>51.4954948425293</v>
      </c>
      <c r="Z341" s="25" t="n">
        <v>40.8879280090332</v>
      </c>
      <c r="AA341" s="25" t="n">
        <v>5.95593786239624</v>
      </c>
      <c r="AB341" s="25" t="n">
        <v>0</v>
      </c>
      <c r="AC341" s="25" t="n">
        <v>0.0247665848582983</v>
      </c>
      <c r="AD341" s="25" t="n">
        <v>0.0101228496059775</v>
      </c>
      <c r="AE341" s="25" t="n">
        <v>0.128910720348358</v>
      </c>
      <c r="AF341" s="25" t="n">
        <v>0.118918925523758</v>
      </c>
      <c r="AG341" s="25" t="n">
        <v>0.013988533988595</v>
      </c>
      <c r="AH341" s="25" t="n">
        <v>0.106437340378761</v>
      </c>
      <c r="AI341" s="25" t="n">
        <v>2.73346447944641</v>
      </c>
      <c r="AJ341" s="6" t="n">
        <v>87.2</v>
      </c>
      <c r="AK341" s="6" t="n">
        <v>702.2</v>
      </c>
      <c r="AL341" s="26" t="s">
        <v>3100</v>
      </c>
    </row>
    <row r="342" customFormat="false" ht="15" hidden="false" customHeight="false" outlineLevel="0" collapsed="false">
      <c r="A342" s="6" t="s">
        <v>604</v>
      </c>
      <c r="B342" s="6" t="s">
        <v>602</v>
      </c>
      <c r="C342" s="6" t="s">
        <v>3508</v>
      </c>
      <c r="D342" s="13" t="n">
        <v>712.728759765625</v>
      </c>
      <c r="E342" s="25" t="n">
        <v>2.50879740715027</v>
      </c>
      <c r="F342" s="25" t="n">
        <v>12.8113298416138</v>
      </c>
      <c r="G342" s="25" t="n">
        <v>72.2739639282227</v>
      </c>
      <c r="H342" s="25" t="n">
        <v>0.974019169807434</v>
      </c>
      <c r="I342" s="25" t="n">
        <v>0.33636748790741</v>
      </c>
      <c r="J342" s="25" t="n">
        <v>8.6868046875</v>
      </c>
      <c r="K342" s="25" t="n">
        <v>14.816947265625</v>
      </c>
      <c r="L342" s="25" t="n">
        <v>45.74928515625</v>
      </c>
      <c r="M342" s="25" t="n">
        <v>0</v>
      </c>
      <c r="N342" s="25" t="n">
        <v>90.5568237304688</v>
      </c>
      <c r="O342" s="25" t="n">
        <v>78.1326751708984</v>
      </c>
      <c r="P342" s="25" t="n">
        <v>7.83909177780151</v>
      </c>
      <c r="Q342" s="25" t="n">
        <v>32.9294700622559</v>
      </c>
      <c r="R342" s="25" t="n">
        <v>12.8998937606812</v>
      </c>
      <c r="S342" s="25" t="n">
        <v>0.589152157306671</v>
      </c>
      <c r="T342" s="25" t="n">
        <v>0.267733246088028</v>
      </c>
      <c r="U342" s="25" t="n">
        <v>0.0618907436728478</v>
      </c>
      <c r="V342" s="25" t="n">
        <v>1.05841076374054</v>
      </c>
      <c r="W342" s="25" t="n">
        <v>0.163653776049614</v>
      </c>
      <c r="X342" s="25" t="n">
        <v>0</v>
      </c>
      <c r="Y342" s="25" t="n">
        <v>76.0993270874023</v>
      </c>
      <c r="Z342" s="25" t="n">
        <v>35.5123023986816</v>
      </c>
      <c r="AA342" s="25" t="n">
        <v>5.32522869110107</v>
      </c>
      <c r="AB342" s="25" t="n">
        <v>0.851365685462952</v>
      </c>
      <c r="AC342" s="25" t="n">
        <v>0.0325647406280041</v>
      </c>
      <c r="AD342" s="25" t="n">
        <v>0.0142745655030012</v>
      </c>
      <c r="AE342" s="25" t="n">
        <v>0.212770476937294</v>
      </c>
      <c r="AF342" s="25" t="n">
        <v>0.232238382101059</v>
      </c>
      <c r="AG342" s="25" t="n">
        <v>0.0252288039773703</v>
      </c>
      <c r="AH342" s="25" t="n">
        <v>0.119240865111351</v>
      </c>
      <c r="AI342" s="25" t="n">
        <v>6.3356294631958</v>
      </c>
      <c r="AJ342" s="6" t="n">
        <v>100.7</v>
      </c>
      <c r="AK342" s="6" t="n">
        <v>717.6</v>
      </c>
      <c r="AL342" s="26" t="s">
        <v>3100</v>
      </c>
    </row>
    <row r="343" customFormat="false" ht="15" hidden="false" customHeight="false" outlineLevel="0" collapsed="false">
      <c r="A343" s="6" t="s">
        <v>1516</v>
      </c>
      <c r="B343" s="6" t="s">
        <v>1515</v>
      </c>
      <c r="C343" s="6" t="s">
        <v>3509</v>
      </c>
      <c r="D343" s="13" t="n">
        <v>665.454406738281</v>
      </c>
      <c r="E343" s="25" t="n">
        <v>1.24670052528381</v>
      </c>
      <c r="F343" s="25" t="n">
        <v>4.68482398986816</v>
      </c>
      <c r="G343" s="25" t="n">
        <v>71.3270416259766</v>
      </c>
      <c r="H343" s="25" t="n">
        <v>0.931791722774506</v>
      </c>
      <c r="I343" s="25" t="n">
        <v>0.347422361373901</v>
      </c>
      <c r="J343" s="25" t="n">
        <v>8.59555078125</v>
      </c>
      <c r="K343" s="25" t="n">
        <v>14.638041015625</v>
      </c>
      <c r="L343" s="25" t="n">
        <v>45.03977734375</v>
      </c>
      <c r="M343" s="25" t="n">
        <v>6.77276086807251</v>
      </c>
      <c r="N343" s="25" t="n">
        <v>85.3802642822266</v>
      </c>
      <c r="O343" s="25" t="n">
        <v>103.13948059082</v>
      </c>
      <c r="P343" s="25" t="n">
        <v>13.5459480285645</v>
      </c>
      <c r="Q343" s="25" t="n">
        <v>18.455738067627</v>
      </c>
      <c r="R343" s="25" t="n">
        <v>8.02060031890869</v>
      </c>
      <c r="S343" s="25" t="n">
        <v>0.401582539081574</v>
      </c>
      <c r="T343" s="25" t="n">
        <v>0.159970983862877</v>
      </c>
      <c r="U343" s="25" t="n">
        <v>0.0420230962336063</v>
      </c>
      <c r="V343" s="25" t="n">
        <v>1.2110288143158</v>
      </c>
      <c r="W343" s="25" t="n">
        <v>0.0973307192325592</v>
      </c>
      <c r="X343" s="25" t="n">
        <v>3.66395258903503</v>
      </c>
      <c r="Y343" s="25" t="n">
        <v>424.842254638672</v>
      </c>
      <c r="Z343" s="25" t="n">
        <v>35.0340614318848</v>
      </c>
      <c r="AA343" s="25" t="n">
        <v>7.96019649505615</v>
      </c>
      <c r="AB343" s="25" t="n">
        <v>4.99957990646362</v>
      </c>
      <c r="AC343" s="25" t="n">
        <v>0.0329481884837151</v>
      </c>
      <c r="AD343" s="25" t="n">
        <v>0.0130023686215282</v>
      </c>
      <c r="AE343" s="25" t="n">
        <v>0.289148926734924</v>
      </c>
      <c r="AF343" s="25" t="n">
        <v>0.119338862597942</v>
      </c>
      <c r="AG343" s="25" t="n">
        <v>0.0456645451486111</v>
      </c>
      <c r="AH343" s="25" t="n">
        <v>0.894951581954956</v>
      </c>
      <c r="AI343" s="25" t="n">
        <v>9.03648281097412</v>
      </c>
      <c r="AJ343" s="6" t="n">
        <v>337.8</v>
      </c>
      <c r="AK343" s="6" t="n">
        <v>2247.6</v>
      </c>
      <c r="AL343" s="26" t="s">
        <v>3146</v>
      </c>
    </row>
    <row r="344" customFormat="false" ht="15" hidden="false" customHeight="false" outlineLevel="0" collapsed="false">
      <c r="A344" s="6" t="s">
        <v>3510</v>
      </c>
      <c r="B344" s="6" t="s">
        <v>3511</v>
      </c>
      <c r="C344" s="6" t="s">
        <v>3509</v>
      </c>
      <c r="D344" s="13" t="n">
        <v>701.711181640625</v>
      </c>
      <c r="E344" s="25" t="n">
        <v>1.75582301616669</v>
      </c>
      <c r="F344" s="25" t="n">
        <v>7.39424800872803</v>
      </c>
      <c r="G344" s="25" t="n">
        <v>73.8872680664063</v>
      </c>
      <c r="H344" s="25" t="n">
        <v>0.856664538383484</v>
      </c>
      <c r="I344" s="25" t="n">
        <v>0.268095582723618</v>
      </c>
      <c r="J344" s="25" t="n">
        <v>9.016</v>
      </c>
      <c r="K344" s="25" t="n">
        <v>15.491966796875</v>
      </c>
      <c r="L344" s="25" t="n">
        <v>46.275859375</v>
      </c>
      <c r="M344" s="25" t="n">
        <v>6.90388870239258</v>
      </c>
      <c r="N344" s="25" t="n">
        <v>76.6547088623047</v>
      </c>
      <c r="O344" s="25" t="n">
        <v>119.473449707031</v>
      </c>
      <c r="P344" s="25" t="n">
        <v>9.16521263122559</v>
      </c>
      <c r="Q344" s="25" t="n">
        <v>33.5444488525391</v>
      </c>
      <c r="R344" s="25" t="n">
        <v>14.5666275024414</v>
      </c>
      <c r="S344" s="25" t="n">
        <v>0.587327063083649</v>
      </c>
      <c r="T344" s="25" t="n">
        <v>0.252668589353561</v>
      </c>
      <c r="U344" s="25" t="n">
        <v>0.0678399503231049</v>
      </c>
      <c r="V344" s="25" t="n">
        <v>1.12816333770752</v>
      </c>
      <c r="W344" s="25" t="n">
        <v>0.13045346736908</v>
      </c>
      <c r="X344" s="25" t="n">
        <v>3.7348906993866</v>
      </c>
      <c r="Y344" s="25" t="n">
        <v>96.7031707763672</v>
      </c>
      <c r="Z344" s="25" t="n">
        <v>35.8248672485352</v>
      </c>
      <c r="AA344" s="25" t="n">
        <v>5.95904541015625</v>
      </c>
      <c r="AB344" s="25" t="n">
        <v>3.81236028671265</v>
      </c>
      <c r="AC344" s="25" t="n">
        <v>0.038420781493187</v>
      </c>
      <c r="AD344" s="25" t="n">
        <v>0.0133908279240131</v>
      </c>
      <c r="AE344" s="25" t="n">
        <v>0.622891187667847</v>
      </c>
      <c r="AF344" s="25" t="n">
        <v>0.140412881970406</v>
      </c>
      <c r="AG344" s="25" t="n">
        <v>0.0302980374544859</v>
      </c>
      <c r="AH344" s="25" t="n">
        <v>0.628204226493835</v>
      </c>
      <c r="AI344" s="25" t="n">
        <v>7.23833131790161</v>
      </c>
      <c r="AJ344" s="6" t="n">
        <v>331.3</v>
      </c>
      <c r="AK344" s="6" t="n">
        <v>2325</v>
      </c>
      <c r="AL344" s="26" t="s">
        <v>3146</v>
      </c>
    </row>
    <row r="345" customFormat="false" ht="15" hidden="false" customHeight="false" outlineLevel="0" collapsed="false">
      <c r="A345" s="6" t="s">
        <v>3512</v>
      </c>
      <c r="B345" s="6" t="s">
        <v>3513</v>
      </c>
      <c r="C345" s="6" t="s">
        <v>3509</v>
      </c>
      <c r="D345" s="13" t="n">
        <v>698.766723632813</v>
      </c>
      <c r="E345" s="25" t="n">
        <v>2.62713599205017</v>
      </c>
      <c r="F345" s="25" t="n">
        <v>5.67539691925049</v>
      </c>
      <c r="G345" s="25" t="n">
        <v>74.0022048950195</v>
      </c>
      <c r="H345" s="25" t="n">
        <v>1.20823693275452</v>
      </c>
      <c r="I345" s="25" t="n">
        <v>0.509184241294861</v>
      </c>
      <c r="J345" s="25" t="n">
        <v>9.164390625</v>
      </c>
      <c r="K345" s="25" t="n">
        <v>15.9420087890625</v>
      </c>
      <c r="L345" s="25" t="n">
        <v>45.73883203125</v>
      </c>
      <c r="M345" s="25" t="n">
        <v>6.75107336044312</v>
      </c>
      <c r="N345" s="25" t="n">
        <v>84.2381591796875</v>
      </c>
      <c r="O345" s="25" t="n">
        <v>143.302001953125</v>
      </c>
      <c r="P345" s="25" t="n">
        <v>14.3769264221191</v>
      </c>
      <c r="Q345" s="25" t="n">
        <v>43.6036720275879</v>
      </c>
      <c r="R345" s="25" t="n">
        <v>20.0027542114258</v>
      </c>
      <c r="S345" s="25" t="n">
        <v>0.562373995780945</v>
      </c>
      <c r="T345" s="25" t="n">
        <v>0.337385296821594</v>
      </c>
      <c r="U345" s="25" t="n">
        <v>0.0986549556255341</v>
      </c>
      <c r="V345" s="25" t="n">
        <v>1.40909290313721</v>
      </c>
      <c r="W345" s="25" t="n">
        <v>0.170728519558907</v>
      </c>
      <c r="X345" s="25" t="n">
        <v>3.65222001075745</v>
      </c>
      <c r="Y345" s="25" t="n">
        <v>96.7402877807617</v>
      </c>
      <c r="Z345" s="25" t="n">
        <v>35.2209281921387</v>
      </c>
      <c r="AA345" s="25" t="n">
        <v>5.89354801177979</v>
      </c>
      <c r="AB345" s="25" t="n">
        <v>3.72797513008118</v>
      </c>
      <c r="AC345" s="25" t="n">
        <v>0.0623611770570278</v>
      </c>
      <c r="AD345" s="25" t="n">
        <v>0.0181853994727135</v>
      </c>
      <c r="AE345" s="25" t="n">
        <v>1.07614517211914</v>
      </c>
      <c r="AF345" s="25" t="n">
        <v>0.160767629742622</v>
      </c>
      <c r="AG345" s="25" t="n">
        <v>0.0404733866453171</v>
      </c>
      <c r="AH345" s="25" t="n">
        <v>0.668307721614838</v>
      </c>
      <c r="AI345" s="25" t="n">
        <v>11.3682546615601</v>
      </c>
      <c r="AJ345" s="6" t="n">
        <v>338.8</v>
      </c>
      <c r="AK345" s="6" t="n">
        <v>2367.7</v>
      </c>
      <c r="AL345" s="26" t="s">
        <v>3146</v>
      </c>
    </row>
    <row r="346" customFormat="false" ht="15" hidden="false" customHeight="false" outlineLevel="0" collapsed="false">
      <c r="A346" s="6" t="s">
        <v>1601</v>
      </c>
      <c r="B346" s="6" t="s">
        <v>3514</v>
      </c>
      <c r="C346" s="6" t="s">
        <v>3509</v>
      </c>
      <c r="D346" s="13" t="n">
        <v>654.64013671875</v>
      </c>
      <c r="E346" s="25" t="n">
        <v>2.76820945739746</v>
      </c>
      <c r="F346" s="25" t="n">
        <v>3.12967991828919</v>
      </c>
      <c r="G346" s="25" t="n">
        <v>70.1061630249023</v>
      </c>
      <c r="H346" s="25" t="n">
        <v>0.537931859493256</v>
      </c>
      <c r="I346" s="25" t="n">
        <v>0.286607205867767</v>
      </c>
      <c r="J346" s="25" t="n">
        <v>8.67415234375</v>
      </c>
      <c r="K346" s="25" t="n">
        <v>14.39896484375</v>
      </c>
      <c r="L346" s="25" t="n">
        <v>44.0473359375</v>
      </c>
      <c r="M346" s="25" t="n">
        <v>11.0213203430176</v>
      </c>
      <c r="N346" s="25" t="n">
        <v>75.3261871337891</v>
      </c>
      <c r="O346" s="25" t="n">
        <v>109.153228759766</v>
      </c>
      <c r="P346" s="25" t="n">
        <v>10.436653137207</v>
      </c>
      <c r="Q346" s="25" t="n">
        <v>35.3395805358887</v>
      </c>
      <c r="R346" s="25" t="n">
        <v>9.018141746521</v>
      </c>
      <c r="S346" s="25" t="n">
        <v>0.355469107627869</v>
      </c>
      <c r="T346" s="25" t="n">
        <v>0.150358781218529</v>
      </c>
      <c r="U346" s="25" t="n">
        <v>0.0413557440042496</v>
      </c>
      <c r="V346" s="25" t="n">
        <v>4.18001699447632</v>
      </c>
      <c r="W346" s="25" t="n">
        <v>0.081481546163559</v>
      </c>
      <c r="X346" s="25" t="n">
        <v>6.80343008041382</v>
      </c>
      <c r="Y346" s="25" t="n">
        <v>94.2867202758789</v>
      </c>
      <c r="Z346" s="25" t="n">
        <v>34.3139114379883</v>
      </c>
      <c r="AA346" s="25" t="n">
        <v>6.49584579467773</v>
      </c>
      <c r="AB346" s="25" t="n">
        <v>2.99797868728638</v>
      </c>
      <c r="AC346" s="25" t="n">
        <v>0.0200170502066612</v>
      </c>
      <c r="AD346" s="25" t="n">
        <v>0.0115718133747578</v>
      </c>
      <c r="AE346" s="25" t="n">
        <v>0.323097616434097</v>
      </c>
      <c r="AF346" s="25" t="n">
        <v>0.202222168445587</v>
      </c>
      <c r="AG346" s="25" t="n">
        <v>0.0373038463294506</v>
      </c>
      <c r="AH346" s="25" t="n">
        <v>0.582061111927033</v>
      </c>
      <c r="AI346" s="25" t="n">
        <v>5.46074771881104</v>
      </c>
      <c r="AJ346" s="6" t="n">
        <v>349</v>
      </c>
      <c r="AK346" s="6" t="n">
        <v>2284.4</v>
      </c>
      <c r="AL346" s="26" t="s">
        <v>3146</v>
      </c>
    </row>
    <row r="347" customFormat="false" ht="15" hidden="false" customHeight="false" outlineLevel="0" collapsed="false">
      <c r="A347" s="6" t="s">
        <v>3515</v>
      </c>
      <c r="B347" s="6" t="s">
        <v>3516</v>
      </c>
      <c r="C347" s="6" t="s">
        <v>3509</v>
      </c>
      <c r="D347" s="13" t="n">
        <v>672.9443359375</v>
      </c>
      <c r="E347" s="25" t="n">
        <v>2.47028398513794</v>
      </c>
      <c r="F347" s="25" t="n">
        <v>5.22855043411255</v>
      </c>
      <c r="G347" s="25" t="n">
        <v>71.4032745361328</v>
      </c>
      <c r="H347" s="25" t="n">
        <v>0.41150763630867</v>
      </c>
      <c r="I347" s="25" t="n">
        <v>1.02126729488373</v>
      </c>
      <c r="J347" s="25" t="n">
        <v>9.1508896484375</v>
      </c>
      <c r="K347" s="25" t="n">
        <v>14.7778759765625</v>
      </c>
      <c r="L347" s="25" t="n">
        <v>44.3578359375</v>
      </c>
      <c r="M347" s="25" t="n">
        <v>13.3284778594971</v>
      </c>
      <c r="N347" s="25" t="n">
        <v>85.7050247192383</v>
      </c>
      <c r="O347" s="25" t="n">
        <v>96.7246932983398</v>
      </c>
      <c r="P347" s="25" t="n">
        <v>45.3576126098633</v>
      </c>
      <c r="Q347" s="25" t="n">
        <v>41.6562271118164</v>
      </c>
      <c r="R347" s="25" t="n">
        <v>7.27130365371704</v>
      </c>
      <c r="S347" s="25" t="n">
        <v>0.38492351770401</v>
      </c>
      <c r="T347" s="25" t="n">
        <v>0.320757478475571</v>
      </c>
      <c r="U347" s="25" t="n">
        <v>0.0378732718527317</v>
      </c>
      <c r="V347" s="25" t="n">
        <v>3.56300067901611</v>
      </c>
      <c r="W347" s="25" t="n">
        <v>0.0568973049521446</v>
      </c>
      <c r="X347" s="25" t="n">
        <v>7.21048784255981</v>
      </c>
      <c r="Y347" s="25" t="n">
        <v>62.5491638183594</v>
      </c>
      <c r="Z347" s="25" t="n">
        <v>34.4831314086914</v>
      </c>
      <c r="AA347" s="25" t="n">
        <v>4.79075002670288</v>
      </c>
      <c r="AB347" s="25" t="n">
        <v>3.38164591789246</v>
      </c>
      <c r="AC347" s="25" t="n">
        <v>0.022112162783742</v>
      </c>
      <c r="AD347" s="25" t="n">
        <v>0.0195411499589682</v>
      </c>
      <c r="AE347" s="25" t="n">
        <v>0.242825925350189</v>
      </c>
      <c r="AF347" s="25" t="n">
        <v>0.145222142338753</v>
      </c>
      <c r="AG347" s="25" t="n">
        <v>0.0277931541204453</v>
      </c>
      <c r="AH347" s="25" t="n">
        <v>2.39329934120178</v>
      </c>
      <c r="AI347" s="25" t="n">
        <v>12.0968675613403</v>
      </c>
      <c r="AJ347" s="6" t="n">
        <v>343.2</v>
      </c>
      <c r="AK347" s="6" t="n">
        <v>2309.9</v>
      </c>
      <c r="AL347" s="26" t="s">
        <v>3146</v>
      </c>
    </row>
    <row r="348" customFormat="false" ht="15" hidden="false" customHeight="false" outlineLevel="0" collapsed="false">
      <c r="A348" s="6" t="s">
        <v>3517</v>
      </c>
      <c r="B348" s="6" t="s">
        <v>3518</v>
      </c>
      <c r="C348" s="6" t="s">
        <v>3509</v>
      </c>
      <c r="D348" s="13" t="n">
        <v>688.028137207031</v>
      </c>
      <c r="E348" s="25" t="n">
        <v>1.44095540046692</v>
      </c>
      <c r="F348" s="25" t="n">
        <v>4.93210935592651</v>
      </c>
      <c r="G348" s="25" t="n">
        <v>73.5993347167969</v>
      </c>
      <c r="H348" s="25" t="n">
        <v>0.929531455039978</v>
      </c>
      <c r="I348" s="25" t="n">
        <v>0.160627901554108</v>
      </c>
      <c r="J348" s="25" t="n">
        <v>8.871431640625</v>
      </c>
      <c r="K348" s="25" t="n">
        <v>15.106904296875</v>
      </c>
      <c r="L348" s="25" t="n">
        <v>46.47595703125</v>
      </c>
      <c r="M348" s="25" t="n">
        <v>6.97759532928467</v>
      </c>
      <c r="N348" s="25" t="n">
        <v>79.1274948120117</v>
      </c>
      <c r="O348" s="25" t="n">
        <v>144.622253417969</v>
      </c>
      <c r="P348" s="25" t="n">
        <v>11.3005952835083</v>
      </c>
      <c r="Q348" s="25" t="n">
        <v>24.0124893188477</v>
      </c>
      <c r="R348" s="25" t="n">
        <v>11.8415613174439</v>
      </c>
      <c r="S348" s="25" t="n">
        <v>0.566373348236084</v>
      </c>
      <c r="T348" s="25" t="n">
        <v>0.216993153095245</v>
      </c>
      <c r="U348" s="25" t="n">
        <v>0.0593675188720226</v>
      </c>
      <c r="V348" s="25" t="n">
        <v>2.66925430297852</v>
      </c>
      <c r="W348" s="25" t="n">
        <v>0.132730796933174</v>
      </c>
      <c r="X348" s="25" t="n">
        <v>3.77476477622986</v>
      </c>
      <c r="Y348" s="25" t="n">
        <v>446.851287841797</v>
      </c>
      <c r="Z348" s="25" t="n">
        <v>36.1280746459961</v>
      </c>
      <c r="AA348" s="25" t="n">
        <v>17.5025253295898</v>
      </c>
      <c r="AB348" s="25" t="n">
        <v>4.93479490280151</v>
      </c>
      <c r="AC348" s="25" t="n">
        <v>0.0324558094143868</v>
      </c>
      <c r="AD348" s="25" t="n">
        <v>0.0162790734320879</v>
      </c>
      <c r="AE348" s="25" t="n">
        <v>0.277519643306732</v>
      </c>
      <c r="AF348" s="25" t="n">
        <v>0.144413188099861</v>
      </c>
      <c r="AG348" s="25" t="n">
        <v>0.0336260609328747</v>
      </c>
      <c r="AH348" s="25" t="n">
        <v>0.737798094749451</v>
      </c>
      <c r="AI348" s="25" t="n">
        <v>14.9669885635376</v>
      </c>
      <c r="AJ348" s="6" t="n">
        <v>327.8</v>
      </c>
      <c r="AK348" s="6" t="n">
        <v>2255.6</v>
      </c>
      <c r="AL348" s="26" t="s">
        <v>3146</v>
      </c>
    </row>
    <row r="349" customFormat="false" ht="15" hidden="false" customHeight="false" outlineLevel="0" collapsed="false">
      <c r="A349" s="6" t="s">
        <v>3519</v>
      </c>
      <c r="B349" s="6" t="s">
        <v>3520</v>
      </c>
      <c r="C349" s="6" t="s">
        <v>3521</v>
      </c>
      <c r="D349" s="13" t="n">
        <v>785.366943359375</v>
      </c>
      <c r="E349" s="25" t="n">
        <v>1.98401713371277</v>
      </c>
      <c r="F349" s="25" t="n">
        <v>5.48518085479736</v>
      </c>
      <c r="G349" s="25" t="n">
        <v>84.1091079711914</v>
      </c>
      <c r="H349" s="25" t="n">
        <v>0.314293116331101</v>
      </c>
      <c r="I349" s="25" t="n">
        <v>0.525999963283539</v>
      </c>
      <c r="J349" s="25" t="n">
        <v>10.61381640625</v>
      </c>
      <c r="K349" s="25" t="n">
        <v>17.331298828125</v>
      </c>
      <c r="L349" s="25" t="n">
        <v>52.45257421875</v>
      </c>
      <c r="M349" s="25" t="n">
        <v>11.5517244338989</v>
      </c>
      <c r="N349" s="25" t="n">
        <v>121.051330566406</v>
      </c>
      <c r="O349" s="25" t="n">
        <v>26.0431041717529</v>
      </c>
      <c r="P349" s="25" t="n">
        <v>43.8650856018066</v>
      </c>
      <c r="Q349" s="25" t="n">
        <v>47.276294708252</v>
      </c>
      <c r="R349" s="25" t="n">
        <v>4.07693958282471</v>
      </c>
      <c r="S349" s="25" t="n">
        <v>0.312504291534424</v>
      </c>
      <c r="T349" s="25" t="n">
        <v>0.218293100595474</v>
      </c>
      <c r="U349" s="25" t="n">
        <v>0.0252672415226698</v>
      </c>
      <c r="V349" s="25" t="n">
        <v>1.81643533706665</v>
      </c>
      <c r="W349" s="25" t="n">
        <v>0.0575431026518345</v>
      </c>
      <c r="X349" s="25" t="n">
        <v>15.9051723480225</v>
      </c>
      <c r="Y349" s="25" t="n">
        <v>7.96077585220337</v>
      </c>
      <c r="Z349" s="25" t="n">
        <v>40.7988662719727</v>
      </c>
      <c r="AA349" s="25" t="n">
        <v>5.35646533966065</v>
      </c>
      <c r="AB349" s="25" t="n">
        <v>0</v>
      </c>
      <c r="AC349" s="25" t="n">
        <v>0.0267068967223167</v>
      </c>
      <c r="AD349" s="25" t="n">
        <v>0.0221508610993624</v>
      </c>
      <c r="AE349" s="25" t="n">
        <v>0.172564655542374</v>
      </c>
      <c r="AF349" s="25" t="n">
        <v>0.0576724149286747</v>
      </c>
      <c r="AG349" s="25" t="n">
        <v>0.0138232754543424</v>
      </c>
      <c r="AH349" s="25" t="n">
        <v>0.635987043380737</v>
      </c>
      <c r="AI349" s="25" t="n">
        <v>4.72322845458984</v>
      </c>
      <c r="AJ349" s="6" t="n">
        <v>145</v>
      </c>
      <c r="AK349" s="6" t="n">
        <v>1138.8</v>
      </c>
      <c r="AL349" s="26" t="s">
        <v>3100</v>
      </c>
    </row>
    <row r="350" customFormat="false" ht="15" hidden="false" customHeight="false" outlineLevel="0" collapsed="false">
      <c r="A350" s="6" t="s">
        <v>1667</v>
      </c>
      <c r="B350" s="6" t="s">
        <v>3522</v>
      </c>
      <c r="C350" s="6" t="s">
        <v>3523</v>
      </c>
      <c r="D350" s="13" t="n">
        <v>519.931091308594</v>
      </c>
      <c r="E350" s="25" t="n">
        <v>3.26280927658081</v>
      </c>
      <c r="F350" s="25" t="n">
        <v>13.688063621521</v>
      </c>
      <c r="G350" s="25" t="n">
        <v>50.6313171386719</v>
      </c>
      <c r="H350" s="25" t="n">
        <v>1.69757401943207</v>
      </c>
      <c r="I350" s="25" t="n">
        <v>1.87821447849274</v>
      </c>
      <c r="J350" s="25" t="n">
        <v>5.994205078125</v>
      </c>
      <c r="K350" s="25" t="n">
        <v>11.447646484375</v>
      </c>
      <c r="L350" s="25" t="n">
        <v>30.695205078125</v>
      </c>
      <c r="M350" s="25" t="n">
        <v>7.39689493179321</v>
      </c>
      <c r="N350" s="25" t="n">
        <v>168.972106933594</v>
      </c>
      <c r="O350" s="25" t="n">
        <v>90.8685073852539</v>
      </c>
      <c r="P350" s="25" t="n">
        <v>26.0824356079102</v>
      </c>
      <c r="Q350" s="25" t="n">
        <v>18.3366317749023</v>
      </c>
      <c r="R350" s="25" t="n">
        <v>6.46407079696655</v>
      </c>
      <c r="S350" s="25" t="n">
        <v>0.702886939048767</v>
      </c>
      <c r="T350" s="25" t="n">
        <v>0.160650163888931</v>
      </c>
      <c r="U350" s="25" t="n">
        <v>0.0329645797610283</v>
      </c>
      <c r="V350" s="25" t="n">
        <v>1.06506550312042</v>
      </c>
      <c r="W350" s="25" t="n">
        <v>0.0848471596837044</v>
      </c>
      <c r="X350" s="25" t="n">
        <v>7.25861215591431</v>
      </c>
      <c r="Y350" s="25" t="n">
        <v>470.764190673828</v>
      </c>
      <c r="Z350" s="25" t="n">
        <v>23.8968887329102</v>
      </c>
      <c r="AA350" s="25" t="n">
        <v>8.16276073455811</v>
      </c>
      <c r="AB350" s="25" t="n">
        <v>4.78981065750122</v>
      </c>
      <c r="AC350" s="25" t="n">
        <v>0.0323435217142105</v>
      </c>
      <c r="AD350" s="25" t="n">
        <v>0.0365963131189346</v>
      </c>
      <c r="AE350" s="25" t="n">
        <v>0.8376225233078</v>
      </c>
      <c r="AF350" s="25" t="n">
        <v>0.118653565645218</v>
      </c>
      <c r="AG350" s="25" t="n">
        <v>0.0405434258282185</v>
      </c>
      <c r="AH350" s="25" t="n">
        <v>0.905094623565674</v>
      </c>
      <c r="AI350" s="25" t="n">
        <v>7.95026683807373</v>
      </c>
      <c r="AJ350" s="6" t="n">
        <v>515.2</v>
      </c>
      <c r="AK350" s="6" t="n">
        <v>2678.9</v>
      </c>
      <c r="AL350" s="26" t="s">
        <v>3070</v>
      </c>
    </row>
    <row r="351" customFormat="false" ht="15" hidden="false" customHeight="false" outlineLevel="0" collapsed="false">
      <c r="A351" s="6" t="s">
        <v>3524</v>
      </c>
      <c r="B351" s="6" t="s">
        <v>3525</v>
      </c>
      <c r="C351" s="6" t="s">
        <v>3299</v>
      </c>
      <c r="D351" s="13" t="n">
        <v>249.497375488281</v>
      </c>
      <c r="E351" s="25" t="n">
        <v>5.79115629196167</v>
      </c>
      <c r="F351" s="25" t="n">
        <v>30.624979019165</v>
      </c>
      <c r="G351" s="25" t="n">
        <v>12.4348430633545</v>
      </c>
      <c r="H351" s="25" t="n">
        <v>1.94559144973755</v>
      </c>
      <c r="I351" s="25" t="n">
        <v>3.41554236412048</v>
      </c>
      <c r="J351" s="25" t="n">
        <v>2.3469306640625</v>
      </c>
      <c r="K351" s="25" t="n">
        <v>1.72800915527344</v>
      </c>
      <c r="L351" s="25" t="n">
        <v>3.449525390625</v>
      </c>
      <c r="M351" s="25" t="n">
        <v>10.6405296325684</v>
      </c>
      <c r="N351" s="25" t="n">
        <v>397.728057861328</v>
      </c>
      <c r="O351" s="25" t="n">
        <v>152.893951416016</v>
      </c>
      <c r="P351" s="25" t="n">
        <v>96.5106887817383</v>
      </c>
      <c r="Q351" s="25" t="n">
        <v>110.074844360352</v>
      </c>
      <c r="R351" s="25" t="n">
        <v>17.3593101501465</v>
      </c>
      <c r="S351" s="25" t="n">
        <v>1.09110045433044</v>
      </c>
      <c r="T351" s="25" t="n">
        <v>0.631151974201202</v>
      </c>
      <c r="U351" s="25" t="n">
        <v>0.0694796070456505</v>
      </c>
      <c r="V351" s="25" t="n">
        <v>0.517562568187714</v>
      </c>
      <c r="W351" s="25" t="n">
        <v>0.374451279640198</v>
      </c>
      <c r="X351" s="25" t="n">
        <v>22.5913696289063</v>
      </c>
      <c r="Y351" s="25" t="n">
        <v>942.874938964844</v>
      </c>
      <c r="Z351" s="25" t="n">
        <v>2.73397946357727</v>
      </c>
      <c r="AA351" s="25" t="n">
        <v>5.13541507720947</v>
      </c>
      <c r="AB351" s="25" t="n">
        <v>5.12641572952271</v>
      </c>
      <c r="AC351" s="25" t="n">
        <v>0.221232235431671</v>
      </c>
      <c r="AD351" s="25" t="n">
        <v>0.0429652370512486</v>
      </c>
      <c r="AE351" s="25" t="n">
        <v>1.0381041765213</v>
      </c>
      <c r="AF351" s="25" t="n">
        <v>0.139124736189842</v>
      </c>
      <c r="AG351" s="25" t="n">
        <v>0.0657062232494354</v>
      </c>
      <c r="AH351" s="25" t="n">
        <v>0.976795256137848</v>
      </c>
      <c r="AI351" s="25" t="n">
        <v>12.0874433517456</v>
      </c>
      <c r="AJ351" s="6" t="n">
        <v>131.1</v>
      </c>
      <c r="AK351" s="6" t="n">
        <v>327.1</v>
      </c>
      <c r="AL351" s="26"/>
    </row>
    <row r="352" customFormat="false" ht="15" hidden="false" customHeight="false" outlineLevel="0" collapsed="false">
      <c r="A352" s="6" t="s">
        <v>1492</v>
      </c>
      <c r="B352" s="6" t="s">
        <v>3526</v>
      </c>
      <c r="C352" s="6" t="s">
        <v>3296</v>
      </c>
      <c r="D352" s="13" t="n">
        <v>690.725219726563</v>
      </c>
      <c r="E352" s="25" t="n">
        <v>1.57303643226624</v>
      </c>
      <c r="F352" s="25" t="n">
        <v>5.32305145263672</v>
      </c>
      <c r="G352" s="25" t="n">
        <v>73.7203826904297</v>
      </c>
      <c r="H352" s="25" t="n">
        <v>0.586333155632019</v>
      </c>
      <c r="I352" s="25" t="n">
        <v>0.741476833820343</v>
      </c>
      <c r="J352" s="25" t="n">
        <v>9.1695771484375</v>
      </c>
      <c r="K352" s="25" t="n">
        <v>15.1658896484375</v>
      </c>
      <c r="L352" s="25" t="n">
        <v>46.2287421875</v>
      </c>
      <c r="M352" s="25" t="n">
        <v>0</v>
      </c>
      <c r="N352" s="25" t="n">
        <v>83.6673736572266</v>
      </c>
      <c r="O352" s="25" t="n">
        <v>104.525177001953</v>
      </c>
      <c r="P352" s="25" t="n">
        <v>32.6628036499023</v>
      </c>
      <c r="Q352" s="25" t="n">
        <v>27.8423748016357</v>
      </c>
      <c r="R352" s="25" t="n">
        <v>7.91860914230347</v>
      </c>
      <c r="S352" s="25" t="n">
        <v>0.358316600322723</v>
      </c>
      <c r="T352" s="25" t="n">
        <v>0.21703152358532</v>
      </c>
      <c r="U352" s="25" t="n">
        <v>0.0376086495816708</v>
      </c>
      <c r="V352" s="25" t="n">
        <v>1.49542605876923</v>
      </c>
      <c r="W352" s="25" t="n">
        <v>0.11941921710968</v>
      </c>
      <c r="X352" s="25" t="n">
        <v>0</v>
      </c>
      <c r="Y352" s="25" t="n">
        <v>101.829582214356</v>
      </c>
      <c r="Z352" s="25" t="n">
        <v>35.9243698120117</v>
      </c>
      <c r="AA352" s="25" t="n">
        <v>6.49737787246704</v>
      </c>
      <c r="AB352" s="25" t="n">
        <v>4.17053079605103</v>
      </c>
      <c r="AC352" s="25" t="n">
        <v>0.0222802702337503</v>
      </c>
      <c r="AD352" s="25" t="n">
        <v>0.0111404387280345</v>
      </c>
      <c r="AE352" s="25" t="n">
        <v>0.258773535490036</v>
      </c>
      <c r="AF352" s="25" t="n">
        <v>0.0874287337064743</v>
      </c>
      <c r="AG352" s="25" t="n">
        <v>0.0266341473907232</v>
      </c>
      <c r="AH352" s="25" t="n">
        <v>1.19824016094208</v>
      </c>
      <c r="AI352" s="25" t="n">
        <v>8.41372585296631</v>
      </c>
      <c r="AJ352" s="6" t="n">
        <v>164.5</v>
      </c>
      <c r="AK352" s="6" t="n">
        <v>1136.4</v>
      </c>
      <c r="AL352" s="26" t="s">
        <v>3100</v>
      </c>
    </row>
    <row r="353" customFormat="false" ht="15" hidden="false" customHeight="false" outlineLevel="0" collapsed="false">
      <c r="A353" s="6" t="s">
        <v>739</v>
      </c>
      <c r="B353" s="6" t="s">
        <v>3527</v>
      </c>
      <c r="C353" s="6" t="s">
        <v>3362</v>
      </c>
      <c r="D353" s="13" t="n">
        <v>826.024597167969</v>
      </c>
      <c r="E353" s="25" t="n">
        <v>1.68622100353241</v>
      </c>
      <c r="F353" s="25" t="n">
        <v>4.06222152709961</v>
      </c>
      <c r="G353" s="25" t="n">
        <v>89.1547927856445</v>
      </c>
      <c r="H353" s="25" t="n">
        <v>1.06623780727387</v>
      </c>
      <c r="I353" s="25" t="n">
        <v>0.238338828086853</v>
      </c>
      <c r="J353" s="25" t="n">
        <v>10.707736328125</v>
      </c>
      <c r="K353" s="25" t="n">
        <v>18.276412109375</v>
      </c>
      <c r="L353" s="25" t="n">
        <v>56.4436171875</v>
      </c>
      <c r="M353" s="25" t="n">
        <v>0</v>
      </c>
      <c r="N353" s="25" t="n">
        <v>74.5305633544922</v>
      </c>
      <c r="O353" s="25" t="n">
        <v>97.187614440918</v>
      </c>
      <c r="P353" s="25" t="n">
        <v>7.45243406295776</v>
      </c>
      <c r="Q353" s="25" t="n">
        <v>25.6925506591797</v>
      </c>
      <c r="R353" s="25" t="n">
        <v>10.4377021789551</v>
      </c>
      <c r="S353" s="25" t="n">
        <v>0.518181622028351</v>
      </c>
      <c r="T353" s="25" t="n">
        <v>0.247813537716866</v>
      </c>
      <c r="U353" s="25" t="n">
        <v>0.0871392041444778</v>
      </c>
      <c r="V353" s="25" t="n">
        <v>2.49230766296387</v>
      </c>
      <c r="W353" s="25" t="n">
        <v>0.137158289551735</v>
      </c>
      <c r="X353" s="25" t="n">
        <v>0</v>
      </c>
      <c r="Y353" s="25" t="n">
        <v>148.625473022461</v>
      </c>
      <c r="Z353" s="25" t="n">
        <v>43.8169670104981</v>
      </c>
      <c r="AA353" s="25" t="n">
        <v>8.59844875335693</v>
      </c>
      <c r="AB353" s="25" t="n">
        <v>0.758936405181885</v>
      </c>
      <c r="AC353" s="25" t="n">
        <v>0.0314485654234886</v>
      </c>
      <c r="AD353" s="25" t="n">
        <v>0.0112198330461979</v>
      </c>
      <c r="AE353" s="25" t="n">
        <v>0.164217054843903</v>
      </c>
      <c r="AF353" s="25" t="n">
        <v>0.116614274680615</v>
      </c>
      <c r="AG353" s="25" t="n">
        <v>0.0228107497096062</v>
      </c>
      <c r="AH353" s="25" t="n">
        <v>0.10663540661335</v>
      </c>
      <c r="AI353" s="25" t="n">
        <v>11.9160232543945</v>
      </c>
      <c r="AJ353" s="6" t="n">
        <v>269.8</v>
      </c>
      <c r="AK353" s="6" t="n">
        <v>2228.2</v>
      </c>
      <c r="AL353" s="26" t="s">
        <v>3146</v>
      </c>
    </row>
    <row r="354" customFormat="false" ht="15" hidden="false" customHeight="false" outlineLevel="0" collapsed="false">
      <c r="A354" s="6" t="s">
        <v>1651</v>
      </c>
      <c r="B354" s="6" t="s">
        <v>3528</v>
      </c>
      <c r="C354" s="6" t="s">
        <v>3362</v>
      </c>
      <c r="D354" s="13" t="n">
        <v>749.8857421875</v>
      </c>
      <c r="E354" s="25" t="n">
        <v>1.01449871063232</v>
      </c>
      <c r="F354" s="25" t="n">
        <v>7.13941478729248</v>
      </c>
      <c r="G354" s="25" t="n">
        <v>79.8225555419922</v>
      </c>
      <c r="H354" s="25" t="n">
        <v>0.622635126113892</v>
      </c>
      <c r="I354" s="25" t="n">
        <v>0.192186951637268</v>
      </c>
      <c r="J354" s="25" t="n">
        <v>9.7044169921875</v>
      </c>
      <c r="K354" s="25" t="n">
        <v>16.709677734375</v>
      </c>
      <c r="L354" s="25" t="n">
        <v>50.1181171875</v>
      </c>
      <c r="M354" s="25" t="n">
        <v>0</v>
      </c>
      <c r="N354" s="25" t="n">
        <v>71.2880630493164</v>
      </c>
      <c r="O354" s="25" t="n">
        <v>94.4998474121094</v>
      </c>
      <c r="P354" s="25" t="n">
        <v>5.02611637115479</v>
      </c>
      <c r="Q354" s="25" t="n">
        <v>20.4638633728027</v>
      </c>
      <c r="R354" s="25" t="n">
        <v>10.3823680877686</v>
      </c>
      <c r="S354" s="25" t="n">
        <v>0.381897032260895</v>
      </c>
      <c r="T354" s="25" t="n">
        <v>0.148176282644272</v>
      </c>
      <c r="U354" s="25" t="n">
        <v>0.053946528583765</v>
      </c>
      <c r="V354" s="25" t="n">
        <v>0.205098420381546</v>
      </c>
      <c r="W354" s="25" t="n">
        <v>0.0803992375731468</v>
      </c>
      <c r="X354" s="25" t="n">
        <v>0</v>
      </c>
      <c r="Y354" s="25" t="n">
        <v>91.9326705932617</v>
      </c>
      <c r="Z354" s="25" t="n">
        <v>38.8060111999512</v>
      </c>
      <c r="AA354" s="25" t="n">
        <v>6.32537698745728</v>
      </c>
      <c r="AB354" s="25" t="n">
        <v>3.18665313720703</v>
      </c>
      <c r="AC354" s="25" t="n">
        <v>0.0270469766110182</v>
      </c>
      <c r="AD354" s="25" t="n">
        <v>0.0066572311334312</v>
      </c>
      <c r="AE354" s="25" t="n">
        <v>0.515398800373077</v>
      </c>
      <c r="AF354" s="25" t="n">
        <v>0.0830741077661514</v>
      </c>
      <c r="AG354" s="25" t="n">
        <v>0.0229029562324286</v>
      </c>
      <c r="AH354" s="25" t="n">
        <v>0.233719110488892</v>
      </c>
      <c r="AI354" s="25" t="n">
        <v>5.12553787231445</v>
      </c>
      <c r="AJ354" s="6" t="n">
        <v>305.6</v>
      </c>
      <c r="AK354" s="6" t="n">
        <v>2291.5</v>
      </c>
      <c r="AL354" s="26" t="s">
        <v>3146</v>
      </c>
    </row>
    <row r="355" customFormat="false" ht="15" hidden="false" customHeight="false" outlineLevel="0" collapsed="false">
      <c r="A355" s="6" t="s">
        <v>3529</v>
      </c>
      <c r="B355" s="6" t="s">
        <v>3530</v>
      </c>
      <c r="C355" s="6" t="s">
        <v>3299</v>
      </c>
      <c r="D355" s="13" t="n">
        <v>681.66552734375</v>
      </c>
      <c r="E355" s="25" t="n">
        <v>2.16302156448364</v>
      </c>
      <c r="F355" s="25" t="n">
        <v>4.64202404022217</v>
      </c>
      <c r="G355" s="25" t="n">
        <v>72.7732086181641</v>
      </c>
      <c r="H355" s="25" t="n">
        <v>0.577197253704071</v>
      </c>
      <c r="I355" s="25" t="n">
        <v>0.233239904046059</v>
      </c>
      <c r="J355" s="25" t="n">
        <v>8.9034833984375</v>
      </c>
      <c r="K355" s="25" t="n">
        <v>15.0561884765625</v>
      </c>
      <c r="L355" s="25" t="n">
        <v>45.60021484375</v>
      </c>
      <c r="M355" s="25" t="n">
        <v>34.2352981567383</v>
      </c>
      <c r="N355" s="25" t="n">
        <v>93.3263626098633</v>
      </c>
      <c r="O355" s="25" t="n">
        <v>80.635871887207</v>
      </c>
      <c r="P355" s="25" t="n">
        <v>15.2004899978638</v>
      </c>
      <c r="Q355" s="25" t="n">
        <v>29.1242790222168</v>
      </c>
      <c r="R355" s="25" t="n">
        <v>6.41952180862427</v>
      </c>
      <c r="S355" s="25" t="n">
        <v>0.459694385528565</v>
      </c>
      <c r="T355" s="25" t="n">
        <v>0.224794447422028</v>
      </c>
      <c r="U355" s="25" t="n">
        <v>0.0394892022013664</v>
      </c>
      <c r="V355" s="25" t="n">
        <v>4.27772855758667</v>
      </c>
      <c r="W355" s="25" t="n">
        <v>0.0632587522268295</v>
      </c>
      <c r="X355" s="25" t="n">
        <v>18.5207366943359</v>
      </c>
      <c r="Y355" s="25" t="n">
        <v>90.5824737548828</v>
      </c>
      <c r="Z355" s="25" t="n">
        <v>35.5182075500488</v>
      </c>
      <c r="AA355" s="25" t="n">
        <v>6.46191167831421</v>
      </c>
      <c r="AB355" s="25" t="n">
        <v>3.75106191635132</v>
      </c>
      <c r="AC355" s="25" t="n">
        <v>0.033637098968029</v>
      </c>
      <c r="AD355" s="25" t="n">
        <v>0.0244342014193535</v>
      </c>
      <c r="AE355" s="25" t="n">
        <v>0.245762750506401</v>
      </c>
      <c r="AF355" s="25" t="n">
        <v>0.20064489543438</v>
      </c>
      <c r="AG355" s="25" t="n">
        <v>0.0365065783262253</v>
      </c>
      <c r="AH355" s="25" t="n">
        <v>1.98228311538696</v>
      </c>
      <c r="AI355" s="25" t="n">
        <v>9.69944763183594</v>
      </c>
      <c r="AJ355" s="6" t="n">
        <v>334.1</v>
      </c>
      <c r="AK355" s="6" t="n">
        <v>2277.3</v>
      </c>
      <c r="AL355" s="26" t="s">
        <v>3146</v>
      </c>
    </row>
    <row r="356" customFormat="false" ht="15" hidden="false" customHeight="false" outlineLevel="0" collapsed="false">
      <c r="A356" s="6" t="s">
        <v>1481</v>
      </c>
      <c r="B356" s="6" t="s">
        <v>3531</v>
      </c>
      <c r="C356" s="6" t="s">
        <v>3112</v>
      </c>
      <c r="D356" s="13" t="n">
        <v>93.8495635986328</v>
      </c>
      <c r="E356" s="25" t="n">
        <v>5.11279821395874</v>
      </c>
      <c r="F356" s="25" t="n">
        <v>7.98045492172241</v>
      </c>
      <c r="G356" s="25" t="n">
        <v>4.49290418624878</v>
      </c>
      <c r="H356" s="25" t="n">
        <v>1.23255729675293</v>
      </c>
      <c r="I356" s="25" t="n">
        <v>4.6076979637146</v>
      </c>
      <c r="J356" s="25" t="n">
        <v>2.17178955078125</v>
      </c>
      <c r="K356" s="25" t="n">
        <v>1.18836120605469</v>
      </c>
      <c r="L356" s="25" t="n">
        <v>0.767398498535156</v>
      </c>
      <c r="M356" s="25" t="n">
        <v>0</v>
      </c>
      <c r="N356" s="25" t="n">
        <v>103.389053344727</v>
      </c>
      <c r="O356" s="25" t="n">
        <v>130.930923461914</v>
      </c>
      <c r="P356" s="25" t="n">
        <v>123.859191894531</v>
      </c>
      <c r="Q356" s="25" t="n">
        <v>92.4143447875977</v>
      </c>
      <c r="R356" s="25" t="n">
        <v>15.852786064148</v>
      </c>
      <c r="S356" s="25" t="n">
        <v>0.67511796951294</v>
      </c>
      <c r="T356" s="25" t="n">
        <v>0.768598020076752</v>
      </c>
      <c r="U356" s="25" t="n">
        <v>0.0689139887690544</v>
      </c>
      <c r="V356" s="25" t="n">
        <v>5.46173667907715</v>
      </c>
      <c r="W356" s="25" t="n">
        <v>0.153435617685318</v>
      </c>
      <c r="X356" s="25" t="n">
        <v>0</v>
      </c>
      <c r="Y356" s="25" t="n">
        <v>1779.63049316406</v>
      </c>
      <c r="Z356" s="25" t="n">
        <v>0.605354607105255</v>
      </c>
      <c r="AA356" s="25" t="n">
        <v>10.835207939148</v>
      </c>
      <c r="AB356" s="25" t="n">
        <v>24.5545330047607</v>
      </c>
      <c r="AC356" s="25" t="n">
        <v>0.0338074192404747</v>
      </c>
      <c r="AD356" s="25" t="n">
        <v>0.041303712874651</v>
      </c>
      <c r="AE356" s="25" t="n">
        <v>0.335095405578613</v>
      </c>
      <c r="AF356" s="25" t="n">
        <v>0.257989823818207</v>
      </c>
      <c r="AG356" s="25" t="n">
        <v>0.0749939605593681</v>
      </c>
      <c r="AH356" s="25" t="n">
        <v>6.18435764312744</v>
      </c>
      <c r="AI356" s="25" t="n">
        <v>39.8350105285645</v>
      </c>
      <c r="AJ356" s="6" t="n">
        <v>438.7</v>
      </c>
      <c r="AK356" s="6" t="n">
        <v>411.7</v>
      </c>
      <c r="AL356" s="26"/>
    </row>
    <row r="357" customFormat="false" ht="15" hidden="false" customHeight="false" outlineLevel="0" collapsed="false">
      <c r="A357" s="6" t="s">
        <v>2108</v>
      </c>
      <c r="B357" s="6" t="s">
        <v>3532</v>
      </c>
      <c r="C357" s="6" t="s">
        <v>3299</v>
      </c>
      <c r="D357" s="13" t="n">
        <v>320.462951660156</v>
      </c>
      <c r="E357" s="25" t="n">
        <v>6.94263935089111</v>
      </c>
      <c r="F357" s="25" t="n">
        <v>47.464469909668</v>
      </c>
      <c r="G357" s="25" t="n">
        <v>11.1304569244385</v>
      </c>
      <c r="H357" s="25" t="n">
        <v>2.63451790809631</v>
      </c>
      <c r="I357" s="25" t="n">
        <v>43.9238586425781</v>
      </c>
      <c r="J357" s="25" t="n">
        <v>2.69524365234375</v>
      </c>
      <c r="K357" s="25" t="n">
        <v>4.925974609375</v>
      </c>
      <c r="L357" s="25" t="n">
        <v>3.00319799804688</v>
      </c>
      <c r="M357" s="25" t="n">
        <v>2.49746203422546</v>
      </c>
      <c r="N357" s="25" t="n">
        <v>15.9923849105835</v>
      </c>
      <c r="O357" s="25" t="n">
        <v>420.050750732422</v>
      </c>
      <c r="P357" s="25" t="n">
        <v>68.0304565429688</v>
      </c>
      <c r="Q357" s="25" t="n">
        <v>137.071060180664</v>
      </c>
      <c r="R357" s="25" t="n">
        <v>108.375633239746</v>
      </c>
      <c r="S357" s="25" t="n">
        <v>3.22335028648377</v>
      </c>
      <c r="T357" s="25" t="n">
        <v>1.03553295135498</v>
      </c>
      <c r="U357" s="25" t="n">
        <v>0.269035547971726</v>
      </c>
      <c r="V357" s="25" t="n">
        <v>0.865482270717621</v>
      </c>
      <c r="W357" s="25" t="n">
        <v>0.77664977312088</v>
      </c>
      <c r="X357" s="25" t="n">
        <v>9.36040592193604</v>
      </c>
      <c r="Y357" s="25" t="n">
        <v>49.3147201538086</v>
      </c>
      <c r="Z357" s="25" t="n">
        <v>1.16507613658905</v>
      </c>
      <c r="AA357" s="25" t="n">
        <v>0.634517788887024</v>
      </c>
      <c r="AB357" s="25" t="n">
        <v>0</v>
      </c>
      <c r="AC357" s="25" t="n">
        <v>0.164974614977837</v>
      </c>
      <c r="AD357" s="25" t="n">
        <v>0.0355329923331738</v>
      </c>
      <c r="AE357" s="25" t="n">
        <v>2.89086294174194</v>
      </c>
      <c r="AF357" s="25" t="n">
        <v>0.373096436262131</v>
      </c>
      <c r="AG357" s="25" t="n">
        <v>0.418781727552414</v>
      </c>
      <c r="AH357" s="25" t="n">
        <v>0.703045666217804</v>
      </c>
      <c r="AI357" s="25" t="n">
        <v>30.3730964660645</v>
      </c>
      <c r="AJ357" s="6" t="n">
        <v>24.6</v>
      </c>
      <c r="AK357" s="6" t="n">
        <v>78.9</v>
      </c>
      <c r="AL357" s="26"/>
    </row>
    <row r="358" customFormat="false" ht="15" hidden="false" customHeight="false" outlineLevel="0" collapsed="false">
      <c r="A358" s="6" t="s">
        <v>1526</v>
      </c>
      <c r="B358" s="6" t="s">
        <v>1525</v>
      </c>
      <c r="C358" s="6" t="s">
        <v>3533</v>
      </c>
      <c r="D358" s="13" t="n">
        <v>623.873962402344</v>
      </c>
      <c r="E358" s="25" t="n">
        <v>1.80535483360291</v>
      </c>
      <c r="F358" s="25" t="n">
        <v>8.55843353271484</v>
      </c>
      <c r="G358" s="25" t="n">
        <v>64.6327819824219</v>
      </c>
      <c r="H358" s="25" t="n">
        <v>0.668446004390717</v>
      </c>
      <c r="I358" s="25" t="n">
        <v>0.597981035709381</v>
      </c>
      <c r="J358" s="25" t="n">
        <v>7.83197119140625</v>
      </c>
      <c r="K358" s="25" t="n">
        <v>13.29999609375</v>
      </c>
      <c r="L358" s="25" t="n">
        <v>40.778046875</v>
      </c>
      <c r="M358" s="25" t="n">
        <v>12.148006439209</v>
      </c>
      <c r="N358" s="25" t="n">
        <v>132.843627929688</v>
      </c>
      <c r="O358" s="25" t="n">
        <v>60.8554306030273</v>
      </c>
      <c r="P358" s="25" t="n">
        <v>9.5137414932251</v>
      </c>
      <c r="Q358" s="25" t="n">
        <v>23.5427837371826</v>
      </c>
      <c r="R358" s="25" t="n">
        <v>6.99653434753418</v>
      </c>
      <c r="S358" s="25" t="n">
        <v>0.487912267446518</v>
      </c>
      <c r="T358" s="25" t="n">
        <v>0.179013028740883</v>
      </c>
      <c r="U358" s="25" t="n">
        <v>0.0371925495564938</v>
      </c>
      <c r="V358" s="25" t="n">
        <v>1.39733016490936</v>
      </c>
      <c r="W358" s="25" t="n">
        <v>0.112105526030064</v>
      </c>
      <c r="X358" s="25" t="n">
        <v>6.57187223434448</v>
      </c>
      <c r="Y358" s="25" t="n">
        <v>424.021484375</v>
      </c>
      <c r="Z358" s="25" t="n">
        <v>31.6962280273438</v>
      </c>
      <c r="AA358" s="25" t="n">
        <v>8.12922096252441</v>
      </c>
      <c r="AB358" s="25" t="n">
        <v>4.87596750259399</v>
      </c>
      <c r="AC358" s="25" t="n">
        <v>0.0251931063830853</v>
      </c>
      <c r="AD358" s="25" t="n">
        <v>0.0197039339691401</v>
      </c>
      <c r="AE358" s="25" t="n">
        <v>0.183468759059906</v>
      </c>
      <c r="AF358" s="25" t="n">
        <v>0.157969087362289</v>
      </c>
      <c r="AG358" s="25" t="n">
        <v>0.0421097688376904</v>
      </c>
      <c r="AH358" s="25" t="n">
        <v>1.00612461566925</v>
      </c>
      <c r="AI358" s="25" t="n">
        <v>10.1873998641968</v>
      </c>
      <c r="AJ358" s="6" t="n">
        <v>94.2</v>
      </c>
      <c r="AK358" s="6" t="n">
        <v>587.4</v>
      </c>
      <c r="AL358" s="26" t="s">
        <v>3100</v>
      </c>
    </row>
    <row r="359" customFormat="false" ht="15" hidden="false" customHeight="false" outlineLevel="0" collapsed="false">
      <c r="A359" s="6" t="s">
        <v>3534</v>
      </c>
      <c r="B359" s="6" t="s">
        <v>3535</v>
      </c>
      <c r="C359" s="6" t="s">
        <v>3536</v>
      </c>
      <c r="D359" s="13" t="n">
        <v>298.132446289063</v>
      </c>
      <c r="E359" s="25" t="n">
        <v>2.43447828292847</v>
      </c>
      <c r="F359" s="25" t="n">
        <v>69.1704483032227</v>
      </c>
      <c r="G359" s="25" t="n">
        <v>0.698240101337433</v>
      </c>
      <c r="H359" s="25" t="n">
        <v>3.74086093902588</v>
      </c>
      <c r="I359" s="25" t="n">
        <v>61.8602828979492</v>
      </c>
      <c r="J359" s="25" t="n">
        <v>0.147050857543945</v>
      </c>
      <c r="K359" s="25" t="n">
        <v>0.0944160614013672</v>
      </c>
      <c r="L359" s="25" t="n">
        <v>0.334868194580078</v>
      </c>
      <c r="M359" s="25" t="n">
        <v>0</v>
      </c>
      <c r="N359" s="25" t="n">
        <v>437.914581298828</v>
      </c>
      <c r="O359" s="25" t="n">
        <v>654.535034179688</v>
      </c>
      <c r="P359" s="25" t="n">
        <v>72.0496444702148</v>
      </c>
      <c r="Q359" s="25" t="n">
        <v>71.9742050170898</v>
      </c>
      <c r="R359" s="25" t="n">
        <v>77.5957412719727</v>
      </c>
      <c r="S359" s="25" t="n">
        <v>3.9785361289978</v>
      </c>
      <c r="T359" s="25" t="n">
        <v>0.421355575323105</v>
      </c>
      <c r="U359" s="25" t="n">
        <v>0.188054144382477</v>
      </c>
      <c r="V359" s="25" t="n">
        <v>1.50969135761261</v>
      </c>
      <c r="W359" s="25" t="n">
        <v>0.74712997674942</v>
      </c>
      <c r="X359" s="25" t="n">
        <v>0</v>
      </c>
      <c r="Y359" s="25" t="n">
        <v>6345.33544921875</v>
      </c>
      <c r="Z359" s="25" t="n">
        <v>0.099851980805397</v>
      </c>
      <c r="AA359" s="25" t="n">
        <v>19.2318325042725</v>
      </c>
      <c r="AB359" s="25" t="n">
        <v>0.910218417644501</v>
      </c>
      <c r="AC359" s="25" t="n">
        <v>0.0697400718927383</v>
      </c>
      <c r="AD359" s="25" t="n">
        <v>0.0761317685246468</v>
      </c>
      <c r="AE359" s="25" t="n">
        <v>0.647393465042114</v>
      </c>
      <c r="AF359" s="25" t="n">
        <v>0.222254514694214</v>
      </c>
      <c r="AG359" s="25" t="n">
        <v>0.419234663248062</v>
      </c>
      <c r="AH359" s="25" t="n">
        <v>0.551290631294251</v>
      </c>
      <c r="AI359" s="25" t="n">
        <v>18.6594295501709</v>
      </c>
      <c r="AJ359" s="6" t="n">
        <v>27.7</v>
      </c>
      <c r="AK359" s="6" t="n">
        <v>82.6</v>
      </c>
      <c r="AL359" s="26"/>
    </row>
    <row r="360" customFormat="false" ht="15" hidden="false" customHeight="false" outlineLevel="0" collapsed="false">
      <c r="A360" s="6" t="s">
        <v>1912</v>
      </c>
      <c r="B360" s="6" t="s">
        <v>3537</v>
      </c>
      <c r="C360" s="6" t="s">
        <v>3536</v>
      </c>
      <c r="D360" s="13" t="n">
        <v>258.366760253906</v>
      </c>
      <c r="E360" s="25" t="n">
        <v>11.795147895813</v>
      </c>
      <c r="F360" s="25" t="n">
        <v>9.86544513702393</v>
      </c>
      <c r="G360" s="25" t="n">
        <v>19.0640983581543</v>
      </c>
      <c r="H360" s="25" t="n">
        <v>5.72560214996338</v>
      </c>
      <c r="I360" s="25" t="n">
        <v>2.75675702095032</v>
      </c>
      <c r="J360" s="25" t="n">
        <v>3.94147241210938</v>
      </c>
      <c r="K360" s="25" t="n">
        <v>8.739587890625</v>
      </c>
      <c r="L360" s="25" t="n">
        <v>5.61340625</v>
      </c>
      <c r="M360" s="25" t="n">
        <v>0</v>
      </c>
      <c r="N360" s="25" t="n">
        <v>475.340942382813</v>
      </c>
      <c r="O360" s="25" t="n">
        <v>414.290954589844</v>
      </c>
      <c r="P360" s="25" t="n">
        <v>34.7925758361816</v>
      </c>
      <c r="Q360" s="25" t="n">
        <v>197.158355712891</v>
      </c>
      <c r="R360" s="25" t="n">
        <v>103.322395324707</v>
      </c>
      <c r="S360" s="25" t="n">
        <v>1.98735725879669</v>
      </c>
      <c r="T360" s="25" t="n">
        <v>1.60203325748444</v>
      </c>
      <c r="U360" s="25" t="n">
        <v>0.460752367973328</v>
      </c>
      <c r="V360" s="25" t="n">
        <v>1.98095238208771</v>
      </c>
      <c r="W360" s="25" t="n">
        <v>1.08421194553375</v>
      </c>
      <c r="X360" s="25" t="n">
        <v>0</v>
      </c>
      <c r="Y360" s="25" t="n">
        <v>172.486663818359</v>
      </c>
      <c r="Z360" s="25" t="n">
        <v>2.08365488052368</v>
      </c>
      <c r="AA360" s="25" t="n">
        <v>4.63959312438965</v>
      </c>
      <c r="AB360" s="25" t="n">
        <v>20.0110988616943</v>
      </c>
      <c r="AC360" s="25" t="n">
        <v>0.292297631502152</v>
      </c>
      <c r="AD360" s="25" t="n">
        <v>0.0724547654390335</v>
      </c>
      <c r="AE360" s="25" t="n">
        <v>5.54274034500122</v>
      </c>
      <c r="AF360" s="25" t="n">
        <v>0.559366703033447</v>
      </c>
      <c r="AG360" s="25" t="n">
        <v>0.164676189422607</v>
      </c>
      <c r="AH360" s="25" t="n">
        <v>0.897376179695129</v>
      </c>
      <c r="AI360" s="25" t="n">
        <v>48.292724609375</v>
      </c>
      <c r="AJ360" s="6" t="n">
        <v>21</v>
      </c>
      <c r="AK360" s="6" t="n">
        <v>54.3</v>
      </c>
      <c r="AL360" s="26"/>
    </row>
    <row r="361" customFormat="false" ht="15" hidden="false" customHeight="false" outlineLevel="0" collapsed="false">
      <c r="A361" s="6" t="s">
        <v>1902</v>
      </c>
      <c r="B361" s="6" t="s">
        <v>3538</v>
      </c>
      <c r="C361" s="6" t="s">
        <v>3536</v>
      </c>
      <c r="D361" s="13" t="n">
        <v>265.924591064453</v>
      </c>
      <c r="E361" s="25" t="n">
        <v>3.59006500244141</v>
      </c>
      <c r="F361" s="25" t="n">
        <v>8.29109191894531</v>
      </c>
      <c r="G361" s="25" t="n">
        <v>24.9991130828857</v>
      </c>
      <c r="H361" s="25" t="n">
        <v>6.73447275161743</v>
      </c>
      <c r="I361" s="25" t="n">
        <v>3.78541493415833</v>
      </c>
      <c r="J361" s="25" t="n">
        <v>14.366166015625</v>
      </c>
      <c r="K361" s="25" t="n">
        <v>2.08232739257813</v>
      </c>
      <c r="L361" s="25" t="n">
        <v>2.91846240234375</v>
      </c>
      <c r="M361" s="25" t="n">
        <v>0</v>
      </c>
      <c r="N361" s="25" t="n">
        <v>428.281829833984</v>
      </c>
      <c r="O361" s="25" t="n">
        <v>230.877136230469</v>
      </c>
      <c r="P361" s="25" t="n">
        <v>15.7004690170288</v>
      </c>
      <c r="Q361" s="25" t="n">
        <v>47.5705680847168</v>
      </c>
      <c r="R361" s="25" t="n">
        <v>25.0663013458252</v>
      </c>
      <c r="S361" s="25" t="n">
        <v>1.24857890605927</v>
      </c>
      <c r="T361" s="25" t="n">
        <v>0.410999685525894</v>
      </c>
      <c r="U361" s="25" t="n">
        <v>0.200947403907776</v>
      </c>
      <c r="V361" s="25" t="n">
        <v>1.32771635055542</v>
      </c>
      <c r="W361" s="25" t="n">
        <v>0.430375009775162</v>
      </c>
      <c r="X361" s="25" t="n">
        <v>0</v>
      </c>
      <c r="Y361" s="25" t="n">
        <v>161.603271484375</v>
      </c>
      <c r="Z361" s="25" t="n">
        <v>3.30491065979004</v>
      </c>
      <c r="AA361" s="25" t="n">
        <v>12.6833057403565</v>
      </c>
      <c r="AB361" s="25" t="n">
        <v>16.3155345916748</v>
      </c>
      <c r="AC361" s="25" t="n">
        <v>0.0390525981783867</v>
      </c>
      <c r="AD361" s="25" t="n">
        <v>0.0497759804129601</v>
      </c>
      <c r="AE361" s="25" t="n">
        <v>0.259140431880951</v>
      </c>
      <c r="AF361" s="25" t="n">
        <v>0.199078261852264</v>
      </c>
      <c r="AG361" s="25" t="n">
        <v>0.0805526524782181</v>
      </c>
      <c r="AH361" s="25" t="n">
        <v>0.362334936857224</v>
      </c>
      <c r="AI361" s="25" t="n">
        <v>18.6983623504639</v>
      </c>
      <c r="AJ361" s="6" t="n">
        <v>25.3</v>
      </c>
      <c r="AK361" s="6" t="n">
        <v>67.4</v>
      </c>
      <c r="AL361" s="26"/>
    </row>
    <row r="362" customFormat="false" ht="15" hidden="false" customHeight="false" outlineLevel="0" collapsed="false">
      <c r="A362" s="6" t="s">
        <v>1917</v>
      </c>
      <c r="B362" s="6" t="s">
        <v>3539</v>
      </c>
      <c r="C362" s="6" t="s">
        <v>3536</v>
      </c>
      <c r="D362" s="13" t="n">
        <v>102.595314025879</v>
      </c>
      <c r="E362" s="25" t="n">
        <v>2.81338834762573</v>
      </c>
      <c r="F362" s="25" t="n">
        <v>21.182279586792</v>
      </c>
      <c r="G362" s="25" t="n">
        <v>0.506881535053253</v>
      </c>
      <c r="H362" s="25" t="n">
        <v>4.333420753479</v>
      </c>
      <c r="I362" s="25" t="n">
        <v>15.8797607421875</v>
      </c>
      <c r="J362" s="25" t="n">
        <v>0.110614181518555</v>
      </c>
      <c r="K362" s="25" t="n">
        <v>0.0670505599975586</v>
      </c>
      <c r="L362" s="25" t="n">
        <v>0.218277816772461</v>
      </c>
      <c r="M362" s="25" t="n">
        <v>0</v>
      </c>
      <c r="N362" s="25" t="n">
        <v>391.664184570313</v>
      </c>
      <c r="O362" s="25" t="n">
        <v>459.415466308594</v>
      </c>
      <c r="P362" s="25" t="n">
        <v>107.446495056152</v>
      </c>
      <c r="Q362" s="25" t="n">
        <v>61.5733184814453</v>
      </c>
      <c r="R362" s="25" t="n">
        <v>62.7220726013184</v>
      </c>
      <c r="S362" s="25" t="n">
        <v>4.76082897186279</v>
      </c>
      <c r="T362" s="25" t="n">
        <v>0.53926032781601</v>
      </c>
      <c r="U362" s="25" t="n">
        <v>0.265784382820129</v>
      </c>
      <c r="V362" s="25" t="n">
        <v>2.64598774909973</v>
      </c>
      <c r="W362" s="25" t="n">
        <v>0.812409222126007</v>
      </c>
      <c r="X362" s="25" t="n">
        <v>0</v>
      </c>
      <c r="Y362" s="25" t="n">
        <v>6306.46875</v>
      </c>
      <c r="Z362" s="25" t="n">
        <v>0.243160292506218</v>
      </c>
      <c r="AA362" s="25" t="n">
        <v>87.7300643920898</v>
      </c>
      <c r="AB362" s="25" t="n">
        <v>13.7509031295776</v>
      </c>
      <c r="AC362" s="25" t="n">
        <v>0.104717627167702</v>
      </c>
      <c r="AD362" s="25" t="n">
        <v>0.0683209747076035</v>
      </c>
      <c r="AE362" s="25" t="n">
        <v>0.74035370349884</v>
      </c>
      <c r="AF362" s="25" t="n">
        <v>0.324837446212769</v>
      </c>
      <c r="AG362" s="25" t="n">
        <v>0.13498954474926</v>
      </c>
      <c r="AH362" s="25" t="n">
        <v>2.17330288887024</v>
      </c>
      <c r="AI362" s="25" t="n">
        <v>41.4214096069336</v>
      </c>
      <c r="AJ362" s="6" t="n">
        <v>26.3</v>
      </c>
      <c r="AK362" s="6" t="n">
        <v>27</v>
      </c>
      <c r="AL362" s="26"/>
    </row>
    <row r="363" customFormat="false" ht="15" hidden="false" customHeight="false" outlineLevel="0" collapsed="false">
      <c r="A363" s="6" t="s">
        <v>3540</v>
      </c>
      <c r="B363" s="6" t="s">
        <v>3541</v>
      </c>
      <c r="C363" s="6" t="s">
        <v>3542</v>
      </c>
      <c r="D363" s="13" t="n">
        <v>225.599304199219</v>
      </c>
      <c r="E363" s="25" t="n">
        <v>3.72310376167297</v>
      </c>
      <c r="F363" s="25" t="n">
        <v>28.6591110229492</v>
      </c>
      <c r="G363" s="25" t="n">
        <v>10.7250213623047</v>
      </c>
      <c r="H363" s="25" t="n">
        <v>0.912292957305908</v>
      </c>
      <c r="I363" s="25" t="n">
        <v>9.30566692352295</v>
      </c>
      <c r="J363" s="25" t="n">
        <v>6.6250498046875</v>
      </c>
      <c r="K363" s="25" t="n">
        <v>2.71431079101563</v>
      </c>
      <c r="L363" s="25" t="n">
        <v>0.464934600830078</v>
      </c>
      <c r="M363" s="25" t="n">
        <v>22.2842197418213</v>
      </c>
      <c r="N363" s="25" t="n">
        <v>59.7391471862793</v>
      </c>
      <c r="O363" s="25" t="n">
        <v>115.725372314453</v>
      </c>
      <c r="P363" s="25" t="n">
        <v>57.4699249267578</v>
      </c>
      <c r="Q363" s="25" t="n">
        <v>68.656494140625</v>
      </c>
      <c r="R363" s="25" t="n">
        <v>12.9876194000244</v>
      </c>
      <c r="S363" s="25" t="n">
        <v>0.494768977165222</v>
      </c>
      <c r="T363" s="25" t="n">
        <v>0.371839582920075</v>
      </c>
      <c r="U363" s="25" t="n">
        <v>0.0675152540206909</v>
      </c>
      <c r="V363" s="25" t="n">
        <v>0.430340021848679</v>
      </c>
      <c r="W363" s="25" t="n">
        <v>0.164603307843208</v>
      </c>
      <c r="X363" s="25" t="n">
        <v>100.226676940918</v>
      </c>
      <c r="Y363" s="25" t="n">
        <v>237.907577514648</v>
      </c>
      <c r="Z363" s="25" t="n">
        <v>0.312816053628922</v>
      </c>
      <c r="AA363" s="25" t="n">
        <v>1.39145600795746</v>
      </c>
      <c r="AB363" s="25" t="n">
        <v>1.65231037139893</v>
      </c>
      <c r="AC363" s="25" t="n">
        <v>0.0474280752241612</v>
      </c>
      <c r="AD363" s="25" t="n">
        <v>0.069398432970047</v>
      </c>
      <c r="AE363" s="25" t="n">
        <v>0.245510026812553</v>
      </c>
      <c r="AF363" s="25" t="n">
        <v>0.328857898712158</v>
      </c>
      <c r="AG363" s="25" t="n">
        <v>0.0718395784497261</v>
      </c>
      <c r="AH363" s="25" t="n">
        <v>1.10200524330139</v>
      </c>
      <c r="AI363" s="25" t="n">
        <v>7.87445497512817</v>
      </c>
      <c r="AJ363" s="6" t="n">
        <v>71.7</v>
      </c>
      <c r="AK363" s="6" t="n">
        <v>161.7</v>
      </c>
      <c r="AL363" s="26"/>
    </row>
    <row r="364" customFormat="false" ht="15" hidden="false" customHeight="false" outlineLevel="0" collapsed="false">
      <c r="A364" s="6" t="s">
        <v>3543</v>
      </c>
      <c r="B364" s="6" t="s">
        <v>3544</v>
      </c>
      <c r="C364" s="6" t="s">
        <v>3542</v>
      </c>
      <c r="D364" s="13" t="n">
        <v>303.352600097656</v>
      </c>
      <c r="E364" s="25" t="n">
        <v>6.11733627319336</v>
      </c>
      <c r="F364" s="25" t="n">
        <v>30.6835823059082</v>
      </c>
      <c r="G364" s="25" t="n">
        <v>17.448450088501</v>
      </c>
      <c r="H364" s="25" t="n">
        <v>0.809184849262238</v>
      </c>
      <c r="I364" s="25" t="n">
        <v>10.6755447387695</v>
      </c>
      <c r="J364" s="25" t="n">
        <v>10.29179296875</v>
      </c>
      <c r="K364" s="25" t="n">
        <v>4.65656787109375</v>
      </c>
      <c r="L364" s="25" t="n">
        <v>0.896968994140625</v>
      </c>
      <c r="M364" s="25" t="n">
        <v>123.168769836426</v>
      </c>
      <c r="N364" s="25" t="n">
        <v>76.0946044921875</v>
      </c>
      <c r="O364" s="25" t="n">
        <v>94.2330703735352</v>
      </c>
      <c r="P364" s="25" t="n">
        <v>24.0270938873291</v>
      </c>
      <c r="Q364" s="25" t="n">
        <v>79.0668182373047</v>
      </c>
      <c r="R364" s="25" t="n">
        <v>12.9908151626587</v>
      </c>
      <c r="S364" s="25" t="n">
        <v>0.976693511009216</v>
      </c>
      <c r="T364" s="25" t="n">
        <v>0.569115936756134</v>
      </c>
      <c r="U364" s="25" t="n">
        <v>0.076831229031086</v>
      </c>
      <c r="V364" s="25" t="n">
        <v>9.42365074157715</v>
      </c>
      <c r="W364" s="25" t="n">
        <v>0.181630298495293</v>
      </c>
      <c r="X364" s="25" t="n">
        <v>221.44660949707</v>
      </c>
      <c r="Y364" s="25" t="n">
        <v>223.582092285156</v>
      </c>
      <c r="Z364" s="25" t="n">
        <v>0.701722145080566</v>
      </c>
      <c r="AA364" s="25" t="n">
        <v>1.76257181167603</v>
      </c>
      <c r="AB364" s="25" t="n">
        <v>4.88679647445679</v>
      </c>
      <c r="AC364" s="25" t="n">
        <v>0.0608495995402336</v>
      </c>
      <c r="AD364" s="25" t="n">
        <v>0.0748564824461937</v>
      </c>
      <c r="AE364" s="25" t="n">
        <v>0.255568325519562</v>
      </c>
      <c r="AF364" s="25" t="n">
        <v>0.566934585571289</v>
      </c>
      <c r="AG364" s="25" t="n">
        <v>0.0665901228785515</v>
      </c>
      <c r="AH364" s="25" t="n">
        <v>4.4197473526001</v>
      </c>
      <c r="AI364" s="25" t="n">
        <v>16.8799076080322</v>
      </c>
      <c r="AJ364" s="6" t="n">
        <v>54.4</v>
      </c>
      <c r="AK364" s="6" t="n">
        <v>165.1</v>
      </c>
      <c r="AL364" s="26"/>
    </row>
    <row r="365" customFormat="false" ht="15" hidden="false" customHeight="false" outlineLevel="0" collapsed="false">
      <c r="A365" s="6" t="s">
        <v>3545</v>
      </c>
      <c r="B365" s="6" t="s">
        <v>3546</v>
      </c>
      <c r="C365" s="6" t="s">
        <v>3542</v>
      </c>
      <c r="D365" s="13" t="n">
        <v>360.721801757813</v>
      </c>
      <c r="E365" s="25" t="n">
        <v>4.41865301132202</v>
      </c>
      <c r="F365" s="25" t="n">
        <v>46.1761665344238</v>
      </c>
      <c r="G365" s="25" t="n">
        <v>17.3512954711914</v>
      </c>
      <c r="H365" s="25" t="n">
        <v>1.14404141902924</v>
      </c>
      <c r="I365" s="25" t="n">
        <v>14.7357511520386</v>
      </c>
      <c r="J365" s="25" t="n">
        <v>10.836705078125</v>
      </c>
      <c r="K365" s="25" t="n">
        <v>4.35466943359375</v>
      </c>
      <c r="L365" s="25" t="n">
        <v>0.728704650878906</v>
      </c>
      <c r="M365" s="25" t="n">
        <v>44.1450805664063</v>
      </c>
      <c r="N365" s="25" t="n">
        <v>70.3378219604492</v>
      </c>
      <c r="O365" s="25" t="n">
        <v>67.2487106323242</v>
      </c>
      <c r="P365" s="25" t="n">
        <v>12.2314338684082</v>
      </c>
      <c r="Q365" s="25" t="n">
        <v>50.3782386779785</v>
      </c>
      <c r="R365" s="25" t="n">
        <v>13.2670116424561</v>
      </c>
      <c r="S365" s="25" t="n">
        <v>0.741105377674103</v>
      </c>
      <c r="T365" s="25" t="n">
        <v>0.387046635150909</v>
      </c>
      <c r="U365" s="25" t="n">
        <v>0.0733678713440895</v>
      </c>
      <c r="V365" s="25" t="n">
        <v>0</v>
      </c>
      <c r="W365" s="25" t="n">
        <v>0.261139899492264</v>
      </c>
      <c r="X365" s="25" t="n">
        <v>198.549224853516</v>
      </c>
      <c r="Y365" s="25" t="n">
        <v>237.927459716797</v>
      </c>
      <c r="Z365" s="25" t="n">
        <v>0.40414509177208</v>
      </c>
      <c r="AA365" s="25" t="n">
        <v>1.94818651676178</v>
      </c>
      <c r="AB365" s="25" t="n">
        <v>0</v>
      </c>
      <c r="AC365" s="25" t="n">
        <v>0.0621761679649353</v>
      </c>
      <c r="AD365" s="25" t="n">
        <v>0.0393782369792461</v>
      </c>
      <c r="AE365" s="25" t="n">
        <v>0.319170981645584</v>
      </c>
      <c r="AF365" s="25" t="n">
        <v>0.308808296918869</v>
      </c>
      <c r="AG365" s="25" t="n">
        <v>0.0331606231629849</v>
      </c>
      <c r="AH365" s="25" t="n">
        <v>0.281865268945694</v>
      </c>
      <c r="AI365" s="25" t="n">
        <v>6.73575115203857</v>
      </c>
      <c r="AJ365" s="6" t="n">
        <v>36.2</v>
      </c>
      <c r="AK365" s="6" t="n">
        <v>130.5</v>
      </c>
      <c r="AL365" s="26"/>
    </row>
    <row r="366" customFormat="false" ht="15" hidden="false" customHeight="false" outlineLevel="0" collapsed="false">
      <c r="A366" s="6" t="s">
        <v>3547</v>
      </c>
      <c r="B366" s="6" t="s">
        <v>3548</v>
      </c>
      <c r="C366" s="6" t="s">
        <v>3542</v>
      </c>
      <c r="D366" s="13" t="n">
        <v>197.159271240234</v>
      </c>
      <c r="E366" s="25" t="n">
        <v>2.57766246795654</v>
      </c>
      <c r="F366" s="25" t="n">
        <v>27.4348049163818</v>
      </c>
      <c r="G366" s="25" t="n">
        <v>8.72190475463867</v>
      </c>
      <c r="H366" s="25" t="n">
        <v>0.640519499778748</v>
      </c>
      <c r="I366" s="25" t="n">
        <v>10.0810394287109</v>
      </c>
      <c r="J366" s="25" t="n">
        <v>5.43677783203125</v>
      </c>
      <c r="K366" s="25" t="n">
        <v>2.18641479492188</v>
      </c>
      <c r="L366" s="25" t="n">
        <v>0.375045715332031</v>
      </c>
      <c r="M366" s="25" t="n">
        <v>22.1298713684082</v>
      </c>
      <c r="N366" s="25" t="n">
        <v>36.8500442504883</v>
      </c>
      <c r="O366" s="25" t="n">
        <v>136.018188476563</v>
      </c>
      <c r="P366" s="25" t="n">
        <v>13.8434629440308</v>
      </c>
      <c r="Q366" s="25" t="n">
        <v>37.8069267272949</v>
      </c>
      <c r="R366" s="25" t="n">
        <v>13.5901298522949</v>
      </c>
      <c r="S366" s="25" t="n">
        <v>0.580173194408417</v>
      </c>
      <c r="T366" s="25" t="n">
        <v>0.212380945682526</v>
      </c>
      <c r="U366" s="25" t="n">
        <v>0.043324675410986</v>
      </c>
      <c r="V366" s="25" t="n">
        <v>0.00987012963742018</v>
      </c>
      <c r="W366" s="25" t="n">
        <v>0.183896109461784</v>
      </c>
      <c r="X366" s="25" t="n">
        <v>99.5324630737305</v>
      </c>
      <c r="Y366" s="25" t="n">
        <v>182.909088134766</v>
      </c>
      <c r="Z366" s="25" t="n">
        <v>0.386493504047394</v>
      </c>
      <c r="AA366" s="25" t="n">
        <v>1.10649347305298</v>
      </c>
      <c r="AB366" s="25" t="n">
        <v>27.1542854309082</v>
      </c>
      <c r="AC366" s="25" t="n">
        <v>0.0768484845757484</v>
      </c>
      <c r="AD366" s="25" t="n">
        <v>0.0311688296496868</v>
      </c>
      <c r="AE366" s="25" t="n">
        <v>0.278441578149796</v>
      </c>
      <c r="AF366" s="25" t="n">
        <v>0.305454552173615</v>
      </c>
      <c r="AG366" s="25" t="n">
        <v>0.0446753241121769</v>
      </c>
      <c r="AH366" s="25" t="n">
        <v>0.810389637947083</v>
      </c>
      <c r="AI366" s="25" t="n">
        <v>18.9814720153809</v>
      </c>
      <c r="AJ366" s="6" t="n">
        <v>72.2</v>
      </c>
      <c r="AK366" s="6" t="n">
        <v>142.3</v>
      </c>
      <c r="AL366" s="26"/>
    </row>
    <row r="367" customFormat="false" ht="15" hidden="false" customHeight="false" outlineLevel="0" collapsed="false">
      <c r="A367" s="6" t="s">
        <v>3549</v>
      </c>
      <c r="B367" s="6" t="s">
        <v>3550</v>
      </c>
      <c r="C367" s="6" t="s">
        <v>3542</v>
      </c>
      <c r="D367" s="13" t="n">
        <v>195.404296875</v>
      </c>
      <c r="E367" s="25" t="n">
        <v>2.28793525695801</v>
      </c>
      <c r="F367" s="25" t="n">
        <v>28.6189479827881</v>
      </c>
      <c r="G367" s="25" t="n">
        <v>8.21473693847656</v>
      </c>
      <c r="H367" s="25" t="n">
        <v>0.8725506067276</v>
      </c>
      <c r="I367" s="25" t="n">
        <v>11.0924701690674</v>
      </c>
      <c r="J367" s="25" t="n">
        <v>5.08775927734375</v>
      </c>
      <c r="K367" s="25" t="n">
        <v>2.04687573242188</v>
      </c>
      <c r="L367" s="25" t="n">
        <v>0.353077880859375</v>
      </c>
      <c r="M367" s="25" t="n">
        <v>20.6963558197022</v>
      </c>
      <c r="N367" s="25" t="n">
        <v>37.8827514648438</v>
      </c>
      <c r="O367" s="25" t="n">
        <v>71.8226699829102</v>
      </c>
      <c r="P367" s="25" t="n">
        <v>12.0191087722778</v>
      </c>
      <c r="Q367" s="25" t="n">
        <v>25.9920654296875</v>
      </c>
      <c r="R367" s="25" t="n">
        <v>10.5710115432739</v>
      </c>
      <c r="S367" s="25" t="n">
        <v>0.496437251567841</v>
      </c>
      <c r="T367" s="25" t="n">
        <v>0.256599187850952</v>
      </c>
      <c r="U367" s="25" t="n">
        <v>0.0568744912743568</v>
      </c>
      <c r="V367" s="25" t="n">
        <v>0.00777327921241522</v>
      </c>
      <c r="W367" s="25" t="n">
        <v>0.586882591247559</v>
      </c>
      <c r="X367" s="25" t="n">
        <v>93.0850219726563</v>
      </c>
      <c r="Y367" s="25" t="n">
        <v>123.932952880859</v>
      </c>
      <c r="Z367" s="25" t="n">
        <v>0.247773289680481</v>
      </c>
      <c r="AA367" s="25" t="n">
        <v>1.14655876159668</v>
      </c>
      <c r="AB367" s="25" t="n">
        <v>8.87805652618408</v>
      </c>
      <c r="AC367" s="25" t="n">
        <v>0.0636113360524178</v>
      </c>
      <c r="AD367" s="25" t="n">
        <v>0.0262348167598248</v>
      </c>
      <c r="AE367" s="25" t="n">
        <v>0.209878548979759</v>
      </c>
      <c r="AF367" s="25" t="n">
        <v>0.191417008638382</v>
      </c>
      <c r="AG367" s="25" t="n">
        <v>0.0524696372449398</v>
      </c>
      <c r="AH367" s="25" t="n">
        <v>0.234170034527779</v>
      </c>
      <c r="AI367" s="25" t="n">
        <v>8.85927104949951</v>
      </c>
      <c r="AJ367" s="6" t="n">
        <v>77.2</v>
      </c>
      <c r="AK367" s="6" t="n">
        <v>150.8</v>
      </c>
      <c r="AL367" s="26"/>
    </row>
    <row r="368" customFormat="false" ht="15" hidden="false" customHeight="false" outlineLevel="0" collapsed="false">
      <c r="A368" s="6" t="s">
        <v>3551</v>
      </c>
      <c r="B368" s="6" t="s">
        <v>3552</v>
      </c>
      <c r="C368" s="6" t="s">
        <v>3542</v>
      </c>
      <c r="D368" s="13" t="n">
        <v>246.096420288086</v>
      </c>
      <c r="E368" s="25" t="n">
        <v>5.50849437713623</v>
      </c>
      <c r="F368" s="25" t="n">
        <v>21.4267101287842</v>
      </c>
      <c r="G368" s="25" t="n">
        <v>15.2849254608154</v>
      </c>
      <c r="H368" s="25" t="n">
        <v>1.17724907398224</v>
      </c>
      <c r="I368" s="25" t="n">
        <v>3.15951681137085</v>
      </c>
      <c r="J368" s="25" t="n">
        <v>9.483224609375</v>
      </c>
      <c r="K368" s="25" t="n">
        <v>3.91564575195313</v>
      </c>
      <c r="L368" s="25" t="n">
        <v>0.646609680175781</v>
      </c>
      <c r="M368" s="25" t="n">
        <v>37.9888496398926</v>
      </c>
      <c r="N368" s="25" t="n">
        <v>212.422271728516</v>
      </c>
      <c r="O368" s="25" t="n">
        <v>136.368957519531</v>
      </c>
      <c r="P368" s="25" t="n">
        <v>100.969886779785</v>
      </c>
      <c r="Q368" s="25" t="n">
        <v>138.267837524414</v>
      </c>
      <c r="R368" s="25" t="n">
        <v>15.7219324111939</v>
      </c>
      <c r="S368" s="25" t="n">
        <v>0.588494420051575</v>
      </c>
      <c r="T368" s="25" t="n">
        <v>0.592825293540955</v>
      </c>
      <c r="U368" s="25" t="n">
        <v>0.0662453547120094</v>
      </c>
      <c r="V368" s="25" t="n">
        <v>0.765483260154724</v>
      </c>
      <c r="W368" s="25" t="n">
        <v>0.186710029840469</v>
      </c>
      <c r="X368" s="25" t="n">
        <v>160.423782348633</v>
      </c>
      <c r="Y368" s="25" t="n">
        <v>401.518585205078</v>
      </c>
      <c r="Z368" s="25" t="n">
        <v>0.393624544143677</v>
      </c>
      <c r="AA368" s="25" t="n">
        <v>4.96245384216309</v>
      </c>
      <c r="AB368" s="25" t="n">
        <v>9.70539093017578</v>
      </c>
      <c r="AC368" s="25" t="n">
        <v>0.052713755518198</v>
      </c>
      <c r="AD368" s="25" t="n">
        <v>0.082918219268322</v>
      </c>
      <c r="AE368" s="25" t="n">
        <v>0.322397768497467</v>
      </c>
      <c r="AF368" s="25" t="n">
        <v>0.382342010736466</v>
      </c>
      <c r="AG368" s="25" t="n">
        <v>0.0605390332639217</v>
      </c>
      <c r="AH368" s="25" t="n">
        <v>2.60723042488098</v>
      </c>
      <c r="AI368" s="25" t="n">
        <v>11.8349256515503</v>
      </c>
      <c r="AJ368" s="6" t="n">
        <v>67.3</v>
      </c>
      <c r="AK368" s="6" t="n">
        <v>165.5</v>
      </c>
      <c r="AL368" s="26"/>
    </row>
    <row r="369" customFormat="false" ht="15" hidden="false" customHeight="false" outlineLevel="0" collapsed="false">
      <c r="A369" s="6" t="s">
        <v>3553</v>
      </c>
      <c r="B369" s="6" t="s">
        <v>3554</v>
      </c>
      <c r="C369" s="6" t="s">
        <v>3555</v>
      </c>
      <c r="D369" s="13" t="n">
        <v>238.979721069336</v>
      </c>
      <c r="E369" s="25" t="n">
        <v>7.44815874099731</v>
      </c>
      <c r="F369" s="25" t="n">
        <v>20.6606941223145</v>
      </c>
      <c r="G369" s="25" t="n">
        <v>13.8270225524902</v>
      </c>
      <c r="H369" s="25" t="n">
        <v>2.20583748817444</v>
      </c>
      <c r="I369" s="25" t="n">
        <v>3.62029385566711</v>
      </c>
      <c r="J369" s="25" t="n">
        <v>7.188013671875</v>
      </c>
      <c r="K369" s="25" t="n">
        <v>3.464962890625</v>
      </c>
      <c r="L369" s="25" t="n">
        <v>2.14115966796875</v>
      </c>
      <c r="M369" s="25" t="n">
        <v>20.8619003295898</v>
      </c>
      <c r="N369" s="25" t="n">
        <v>103.291458129883</v>
      </c>
      <c r="O369" s="25" t="n">
        <v>128.095489501953</v>
      </c>
      <c r="P369" s="25" t="n">
        <v>108.047012329102</v>
      </c>
      <c r="Q369" s="25" t="n">
        <v>104.314888000488</v>
      </c>
      <c r="R369" s="25" t="n">
        <v>22.7051906585693</v>
      </c>
      <c r="S369" s="25" t="n">
        <v>0.915876567363739</v>
      </c>
      <c r="T369" s="25" t="n">
        <v>0.982115566730499</v>
      </c>
      <c r="U369" s="25" t="n">
        <v>0.113937318325043</v>
      </c>
      <c r="V369" s="25" t="n">
        <v>4.89826631546021</v>
      </c>
      <c r="W369" s="25" t="n">
        <v>0.279480904340744</v>
      </c>
      <c r="X369" s="25" t="n">
        <v>93.8295822143555</v>
      </c>
      <c r="Y369" s="25" t="n">
        <v>983.867797851563</v>
      </c>
      <c r="Z369" s="25" t="n">
        <v>1.56533789634705</v>
      </c>
      <c r="AA369" s="25" t="n">
        <v>12.7199811935425</v>
      </c>
      <c r="AB369" s="25" t="n">
        <v>10.6523017883301</v>
      </c>
      <c r="AC369" s="25" t="n">
        <v>0.094084233045578</v>
      </c>
      <c r="AD369" s="25" t="n">
        <v>0.0471008829772472</v>
      </c>
      <c r="AE369" s="25" t="n">
        <v>0.511116564273834</v>
      </c>
      <c r="AF369" s="25" t="n">
        <v>0.422428995370865</v>
      </c>
      <c r="AG369" s="25" t="n">
        <v>0.0786190032958984</v>
      </c>
      <c r="AH369" s="25" t="n">
        <v>5.41184139251709</v>
      </c>
      <c r="AI369" s="25" t="n">
        <v>36.5493545532227</v>
      </c>
      <c r="AJ369" s="6" t="n">
        <v>340.3</v>
      </c>
      <c r="AK369" s="6" t="n">
        <v>813.3</v>
      </c>
      <c r="AL369" s="26"/>
    </row>
    <row r="370" customFormat="false" ht="15" hidden="false" customHeight="false" outlineLevel="0" collapsed="false">
      <c r="A370" s="6" t="s">
        <v>3556</v>
      </c>
      <c r="B370" s="6" t="s">
        <v>3557</v>
      </c>
      <c r="C370" s="6" t="s">
        <v>3555</v>
      </c>
      <c r="D370" s="13" t="n">
        <v>221.55290222168</v>
      </c>
      <c r="E370" s="25" t="n">
        <v>7.37821006774902</v>
      </c>
      <c r="F370" s="25" t="n">
        <v>18.1147136688232</v>
      </c>
      <c r="G370" s="25" t="n">
        <v>13.0392742156982</v>
      </c>
      <c r="H370" s="25" t="n">
        <v>2.32572770118713</v>
      </c>
      <c r="I370" s="25" t="n">
        <v>1.41810643672943</v>
      </c>
      <c r="J370" s="25" t="n">
        <v>6.41925048828125</v>
      </c>
      <c r="K370" s="25" t="n">
        <v>3.52271069335938</v>
      </c>
      <c r="L370" s="25" t="n">
        <v>2.09814453125</v>
      </c>
      <c r="M370" s="25" t="n">
        <v>34.5737152099609</v>
      </c>
      <c r="N370" s="25" t="n">
        <v>127.851509094238</v>
      </c>
      <c r="O370" s="25" t="n">
        <v>185.891662597656</v>
      </c>
      <c r="P370" s="25" t="n">
        <v>18.1358451843262</v>
      </c>
      <c r="Q370" s="25" t="n">
        <v>76.9789886474609</v>
      </c>
      <c r="R370" s="25" t="n">
        <v>22.3314170837402</v>
      </c>
      <c r="S370" s="25" t="n">
        <v>1.06534147262573</v>
      </c>
      <c r="T370" s="25" t="n">
        <v>1.11049461364746</v>
      </c>
      <c r="U370" s="25" t="n">
        <v>0.110381536185741</v>
      </c>
      <c r="V370" s="25" t="n">
        <v>0.735308527946472</v>
      </c>
      <c r="W370" s="25" t="n">
        <v>0.324776262044907</v>
      </c>
      <c r="X370" s="25" t="n">
        <v>91.1917114257813</v>
      </c>
      <c r="Y370" s="25" t="n">
        <v>916.550720214844</v>
      </c>
      <c r="Z370" s="25" t="n">
        <v>1.54292035102844</v>
      </c>
      <c r="AA370" s="25" t="n">
        <v>12.7763547897339</v>
      </c>
      <c r="AB370" s="25" t="n">
        <v>10.6038627624512</v>
      </c>
      <c r="AC370" s="25" t="n">
        <v>0.113857753574848</v>
      </c>
      <c r="AD370" s="25" t="n">
        <v>0.0654639676213265</v>
      </c>
      <c r="AE370" s="25" t="n">
        <v>1.38619875907898</v>
      </c>
      <c r="AF370" s="25" t="n">
        <v>0.516533195972443</v>
      </c>
      <c r="AG370" s="25" t="n">
        <v>0.124041453003883</v>
      </c>
      <c r="AH370" s="25" t="n">
        <v>1.6860009431839</v>
      </c>
      <c r="AI370" s="25" t="n">
        <v>19.6398391723633</v>
      </c>
      <c r="AJ370" s="6" t="n">
        <v>353.8</v>
      </c>
      <c r="AK370" s="6" t="n">
        <v>783.9</v>
      </c>
      <c r="AL370" s="26"/>
    </row>
    <row r="371" customFormat="false" ht="15" hidden="false" customHeight="false" outlineLevel="0" collapsed="false">
      <c r="A371" s="6" t="s">
        <v>3558</v>
      </c>
      <c r="B371" s="6" t="s">
        <v>3559</v>
      </c>
      <c r="C371" s="6" t="s">
        <v>3482</v>
      </c>
      <c r="D371" s="13" t="n">
        <v>258.734375</v>
      </c>
      <c r="E371" s="25" t="n">
        <v>3.35144662857056</v>
      </c>
      <c r="F371" s="25" t="n">
        <v>33.6783332824707</v>
      </c>
      <c r="G371" s="25" t="n">
        <v>12.2054691314697</v>
      </c>
      <c r="H371" s="25" t="n">
        <v>1.76796042919159</v>
      </c>
      <c r="I371" s="25" t="n">
        <v>11.9518699645996</v>
      </c>
      <c r="J371" s="25" t="n">
        <v>7.48699365234375</v>
      </c>
      <c r="K371" s="25" t="n">
        <v>3.04540991210938</v>
      </c>
      <c r="L371" s="25" t="n">
        <v>0.616189147949219</v>
      </c>
      <c r="M371" s="25" t="n">
        <v>36.5208168029785</v>
      </c>
      <c r="N371" s="25" t="n">
        <v>60.1425552368164</v>
      </c>
      <c r="O371" s="25" t="n">
        <v>90.1044464111328</v>
      </c>
      <c r="P371" s="25" t="n">
        <v>16.1439666748047</v>
      </c>
      <c r="Q371" s="25" t="n">
        <v>41.4135513305664</v>
      </c>
      <c r="R371" s="25" t="n">
        <v>12.345272064209</v>
      </c>
      <c r="S371" s="25" t="n">
        <v>0.652604103088379</v>
      </c>
      <c r="T371" s="25" t="n">
        <v>0.326287925243378</v>
      </c>
      <c r="U371" s="25" t="n">
        <v>0.0740931555628777</v>
      </c>
      <c r="V371" s="25" t="n">
        <v>0.88355678319931</v>
      </c>
      <c r="W371" s="25" t="n">
        <v>0.220494002103806</v>
      </c>
      <c r="X371" s="25" t="n">
        <v>138.708541870117</v>
      </c>
      <c r="Y371" s="25" t="n">
        <v>245.468597412109</v>
      </c>
      <c r="Z371" s="25" t="n">
        <v>0.354798883199692</v>
      </c>
      <c r="AA371" s="25" t="n">
        <v>2.65871572494507</v>
      </c>
      <c r="AB371" s="25" t="n">
        <v>1.26534938812256</v>
      </c>
      <c r="AC371" s="25" t="n">
        <v>0.0540155284106731</v>
      </c>
      <c r="AD371" s="25" t="n">
        <v>0.0337544120848179</v>
      </c>
      <c r="AE371" s="25" t="n">
        <v>0.309350728988648</v>
      </c>
      <c r="AF371" s="25" t="n">
        <v>0.268503874540329</v>
      </c>
      <c r="AG371" s="25" t="n">
        <v>0.0397459417581558</v>
      </c>
      <c r="AH371" s="25" t="n">
        <v>0.633733212947846</v>
      </c>
      <c r="AI371" s="25" t="n">
        <v>6.53846168518066</v>
      </c>
      <c r="AJ371" s="6" t="n">
        <v>177.1</v>
      </c>
      <c r="AK371" s="6" t="n">
        <v>458.3</v>
      </c>
      <c r="AL371" s="26"/>
    </row>
    <row r="372" customFormat="false" ht="15" hidden="false" customHeight="false" outlineLevel="0" collapsed="false">
      <c r="A372" s="6" t="s">
        <v>3560</v>
      </c>
      <c r="B372" s="6" t="s">
        <v>3561</v>
      </c>
      <c r="C372" s="6" t="s">
        <v>3482</v>
      </c>
      <c r="D372" s="13" t="n">
        <v>224.426132202148</v>
      </c>
      <c r="E372" s="25" t="n">
        <v>3.87649393081665</v>
      </c>
      <c r="F372" s="25" t="n">
        <v>35.1069297790527</v>
      </c>
      <c r="G372" s="25" t="n">
        <v>8.15657329559326</v>
      </c>
      <c r="H372" s="25" t="n">
        <v>0.439840644598007</v>
      </c>
      <c r="I372" s="25" t="n">
        <v>21.1700401306152</v>
      </c>
      <c r="J372" s="25" t="n">
        <v>4.6484541015625</v>
      </c>
      <c r="K372" s="25" t="n">
        <v>2.23014184570313</v>
      </c>
      <c r="L372" s="25" t="n">
        <v>0.476892425537109</v>
      </c>
      <c r="M372" s="25" t="n">
        <v>75.2988052368164</v>
      </c>
      <c r="N372" s="25" t="n">
        <v>85.1227111816406</v>
      </c>
      <c r="O372" s="25" t="n">
        <v>58.1123504638672</v>
      </c>
      <c r="P372" s="25" t="n">
        <v>16.7920322418213</v>
      </c>
      <c r="Q372" s="25" t="n">
        <v>50.3466148376465</v>
      </c>
      <c r="R372" s="25" t="n">
        <v>8.08127498626709</v>
      </c>
      <c r="S372" s="25" t="n">
        <v>0.667808771133423</v>
      </c>
      <c r="T372" s="25" t="n">
        <v>0.381274908781052</v>
      </c>
      <c r="U372" s="25" t="n">
        <v>0.0614820718765259</v>
      </c>
      <c r="V372" s="25" t="n">
        <v>6.54023885726929</v>
      </c>
      <c r="W372" s="25" t="n">
        <v>0.103585653007031</v>
      </c>
      <c r="X372" s="25" t="n">
        <v>107.888442993164</v>
      </c>
      <c r="Y372" s="25" t="n">
        <v>113.482070922852</v>
      </c>
      <c r="Z372" s="25" t="n">
        <v>0.39601594209671</v>
      </c>
      <c r="AA372" s="25" t="n">
        <v>0.749004006385803</v>
      </c>
      <c r="AB372" s="25" t="n">
        <v>3.25099587440491</v>
      </c>
      <c r="AC372" s="25" t="n">
        <v>0.0365737043321133</v>
      </c>
      <c r="AD372" s="25" t="n">
        <v>0.046374499797821</v>
      </c>
      <c r="AE372" s="25" t="n">
        <v>0.149800792336464</v>
      </c>
      <c r="AF372" s="25" t="n">
        <v>0.364462167024612</v>
      </c>
      <c r="AG372" s="25" t="n">
        <v>0.0430278889834881</v>
      </c>
      <c r="AH372" s="25" t="n">
        <v>3.01513934135437</v>
      </c>
      <c r="AI372" s="25" t="n">
        <v>11.1426296234131</v>
      </c>
      <c r="AJ372" s="6" t="n">
        <v>156.9</v>
      </c>
      <c r="AK372" s="6" t="n">
        <v>352.1</v>
      </c>
      <c r="AL372" s="26"/>
    </row>
    <row r="373" customFormat="false" ht="15" hidden="false" customHeight="false" outlineLevel="0" collapsed="false">
      <c r="A373" s="6" t="s">
        <v>3562</v>
      </c>
      <c r="B373" s="6" t="s">
        <v>3563</v>
      </c>
      <c r="C373" s="6" t="s">
        <v>3482</v>
      </c>
      <c r="D373" s="13" t="n">
        <v>214.75732421875</v>
      </c>
      <c r="E373" s="25" t="n">
        <v>4.97953844070435</v>
      </c>
      <c r="F373" s="25" t="n">
        <v>28.8005428314209</v>
      </c>
      <c r="G373" s="25" t="n">
        <v>9.17438220977783</v>
      </c>
      <c r="H373" s="25" t="n">
        <v>0.374491184949875</v>
      </c>
      <c r="I373" s="25" t="n">
        <v>15.0316143035889</v>
      </c>
      <c r="J373" s="25" t="n">
        <v>5.28755078125</v>
      </c>
      <c r="K373" s="25" t="n">
        <v>2.54787524414063</v>
      </c>
      <c r="L373" s="25" t="n">
        <v>0.472602447509766</v>
      </c>
      <c r="M373" s="25" t="n">
        <v>64.1112594604492</v>
      </c>
      <c r="N373" s="25" t="n">
        <v>80.7720489501953</v>
      </c>
      <c r="O373" s="25" t="n">
        <v>130.014923095703</v>
      </c>
      <c r="P373" s="25" t="n">
        <v>55.9782905578613</v>
      </c>
      <c r="Q373" s="25" t="n">
        <v>96.6227951049805</v>
      </c>
      <c r="R373" s="25" t="n">
        <v>26.0461330413818</v>
      </c>
      <c r="S373" s="25" t="n">
        <v>0.922442317008972</v>
      </c>
      <c r="T373" s="25" t="n">
        <v>0.661628246307373</v>
      </c>
      <c r="U373" s="25" t="n">
        <v>0.182664856314659</v>
      </c>
      <c r="V373" s="25" t="n">
        <v>5.80936193466187</v>
      </c>
      <c r="W373" s="25" t="n">
        <v>0.0922116711735725</v>
      </c>
      <c r="X373" s="25" t="n">
        <v>91.85888671875</v>
      </c>
      <c r="Y373" s="25" t="n">
        <v>165.345993041992</v>
      </c>
      <c r="Z373" s="25" t="n">
        <v>0.433948457241058</v>
      </c>
      <c r="AA373" s="25" t="n">
        <v>0.686567187309265</v>
      </c>
      <c r="AB373" s="25" t="n">
        <v>0.681818187236786</v>
      </c>
      <c r="AC373" s="25" t="n">
        <v>0.0446702875196934</v>
      </c>
      <c r="AD373" s="25" t="n">
        <v>0.0781953856348991</v>
      </c>
      <c r="AE373" s="25" t="n">
        <v>0.203052908182144</v>
      </c>
      <c r="AF373" s="25" t="n">
        <v>0.415970146656036</v>
      </c>
      <c r="AG373" s="25" t="n">
        <v>0.0484830401837826</v>
      </c>
      <c r="AH373" s="25" t="n">
        <v>3.2388060092926</v>
      </c>
      <c r="AI373" s="25" t="n">
        <v>12.5949792861939</v>
      </c>
      <c r="AJ373" s="6" t="n">
        <v>184.2</v>
      </c>
      <c r="AK373" s="6" t="n">
        <v>395.7</v>
      </c>
      <c r="AL373" s="26"/>
    </row>
    <row r="374" customFormat="false" ht="15" hidden="false" customHeight="false" outlineLevel="0" collapsed="false">
      <c r="A374" s="6" t="s">
        <v>3564</v>
      </c>
      <c r="B374" s="6" t="s">
        <v>3565</v>
      </c>
      <c r="C374" s="6" t="s">
        <v>3566</v>
      </c>
      <c r="D374" s="13" t="n">
        <v>221.326843261719</v>
      </c>
      <c r="E374" s="25" t="n">
        <v>4.69913625717163</v>
      </c>
      <c r="F374" s="25" t="n">
        <v>16.0048370361328</v>
      </c>
      <c r="G374" s="25" t="n">
        <v>15.4815196990967</v>
      </c>
      <c r="H374" s="25" t="n">
        <v>0.381347149610519</v>
      </c>
      <c r="I374" s="25" t="n">
        <v>5.93713331222534</v>
      </c>
      <c r="J374" s="25" t="n">
        <v>9.2799375</v>
      </c>
      <c r="K374" s="25" t="n">
        <v>4.17608154296875</v>
      </c>
      <c r="L374" s="25" t="n">
        <v>0.713713317871094</v>
      </c>
      <c r="M374" s="25" t="n">
        <v>100.483589172363</v>
      </c>
      <c r="N374" s="25" t="n">
        <v>98.7550964355469</v>
      </c>
      <c r="O374" s="25" t="n">
        <v>76.5060424804688</v>
      </c>
      <c r="P374" s="25" t="n">
        <v>37.9309158325195</v>
      </c>
      <c r="Q374" s="25" t="n">
        <v>71.4145050048828</v>
      </c>
      <c r="R374" s="25" t="n">
        <v>8.8639030456543</v>
      </c>
      <c r="S374" s="25" t="n">
        <v>0.583592414855957</v>
      </c>
      <c r="T374" s="25" t="n">
        <v>0.432297050952911</v>
      </c>
      <c r="U374" s="25" t="n">
        <v>0.0391709841787815</v>
      </c>
      <c r="V374" s="25" t="n">
        <v>6.98445558547974</v>
      </c>
      <c r="W374" s="25" t="n">
        <v>0.0905008614063263</v>
      </c>
      <c r="X374" s="25" t="n">
        <v>213.886016845703</v>
      </c>
      <c r="Y374" s="25" t="n">
        <v>170.328155517578</v>
      </c>
      <c r="Z374" s="25" t="n">
        <v>0.589291870594025</v>
      </c>
      <c r="AA374" s="25" t="n">
        <v>0.905008673667908</v>
      </c>
      <c r="AB374" s="25" t="n">
        <v>0.276338517665863</v>
      </c>
      <c r="AC374" s="25" t="n">
        <v>0.0393782369792461</v>
      </c>
      <c r="AD374" s="25" t="n">
        <v>0.100863553583622</v>
      </c>
      <c r="AE374" s="25" t="n">
        <v>0.153022453188896</v>
      </c>
      <c r="AF374" s="25" t="n">
        <v>0.441450774669647</v>
      </c>
      <c r="AG374" s="25" t="n">
        <v>0.0469775460660458</v>
      </c>
      <c r="AH374" s="25" t="n">
        <v>4.0248703956604</v>
      </c>
      <c r="AI374" s="25" t="n">
        <v>12.1450777053833</v>
      </c>
      <c r="AJ374" s="6" t="n">
        <v>72.4</v>
      </c>
      <c r="AK374" s="6" t="n">
        <v>160.2</v>
      </c>
      <c r="AL374" s="26"/>
    </row>
    <row r="375" customFormat="false" ht="15" hidden="false" customHeight="false" outlineLevel="0" collapsed="false">
      <c r="A375" s="6" t="s">
        <v>3567</v>
      </c>
      <c r="B375" s="6" t="s">
        <v>3568</v>
      </c>
      <c r="C375" s="6" t="s">
        <v>3569</v>
      </c>
      <c r="D375" s="13" t="n">
        <v>239.415420532227</v>
      </c>
      <c r="E375" s="25" t="n">
        <v>4.23751831054688</v>
      </c>
      <c r="F375" s="25" t="n">
        <v>26.2197933197022</v>
      </c>
      <c r="G375" s="25" t="n">
        <v>13.4968976974487</v>
      </c>
      <c r="H375" s="25" t="n">
        <v>0.326144754886627</v>
      </c>
      <c r="I375" s="25" t="n">
        <v>17.3435745239258</v>
      </c>
      <c r="J375" s="25" t="n">
        <v>8.0878642578125</v>
      </c>
      <c r="K375" s="25" t="n">
        <v>3.65664868164063</v>
      </c>
      <c r="L375" s="25" t="n">
        <v>0.617488891601563</v>
      </c>
      <c r="M375" s="25" t="n">
        <v>85.9379653930664</v>
      </c>
      <c r="N375" s="25" t="n">
        <v>85.8776931762695</v>
      </c>
      <c r="O375" s="25" t="n">
        <v>84.456428527832</v>
      </c>
      <c r="P375" s="25" t="n">
        <v>34.212703704834</v>
      </c>
      <c r="Q375" s="25" t="n">
        <v>68.9940948486328</v>
      </c>
      <c r="R375" s="25" t="n">
        <v>13.7255535125732</v>
      </c>
      <c r="S375" s="25" t="n">
        <v>0.682274758815765</v>
      </c>
      <c r="T375" s="25" t="n">
        <v>0.463072389364243</v>
      </c>
      <c r="U375" s="25" t="n">
        <v>0.0854948312044144</v>
      </c>
      <c r="V375" s="25" t="n">
        <v>5.97341203689575</v>
      </c>
      <c r="W375" s="25" t="n">
        <v>0.0774002969264984</v>
      </c>
      <c r="X375" s="25" t="n">
        <v>182.924667358398</v>
      </c>
      <c r="Y375" s="25" t="n">
        <v>146.144760131836</v>
      </c>
      <c r="Z375" s="25" t="n">
        <v>0.512023627758026</v>
      </c>
      <c r="AA375" s="25" t="n">
        <v>0.79172819852829</v>
      </c>
      <c r="AB375" s="25" t="n">
        <v>0.236336782574654</v>
      </c>
      <c r="AC375" s="25" t="n">
        <v>0.0355686843395233</v>
      </c>
      <c r="AD375" s="25" t="n">
        <v>0.0869719311594963</v>
      </c>
      <c r="AE375" s="25" t="n">
        <v>0.150960117578507</v>
      </c>
      <c r="AF375" s="25" t="n">
        <v>0.377548009157181</v>
      </c>
      <c r="AG375" s="25" t="n">
        <v>0.0410044305026531</v>
      </c>
      <c r="AH375" s="25" t="n">
        <v>3.44224524497986</v>
      </c>
      <c r="AI375" s="25" t="n">
        <v>10.8360414505005</v>
      </c>
      <c r="AJ375" s="6" t="n">
        <v>169.3</v>
      </c>
      <c r="AK375" s="6" t="n">
        <v>405.2</v>
      </c>
      <c r="AL375" s="26"/>
    </row>
    <row r="376" customFormat="false" ht="15" hidden="false" customHeight="false" outlineLevel="0" collapsed="false">
      <c r="A376" s="6" t="s">
        <v>3570</v>
      </c>
      <c r="B376" s="6" t="s">
        <v>3571</v>
      </c>
      <c r="C376" s="6" t="s">
        <v>3299</v>
      </c>
      <c r="D376" s="13" t="n">
        <v>681.282287597656</v>
      </c>
      <c r="E376" s="25" t="n">
        <v>2.21100378036499</v>
      </c>
      <c r="F376" s="25" t="n">
        <v>4.80966520309448</v>
      </c>
      <c r="G376" s="25" t="n">
        <v>72.5673370361328</v>
      </c>
      <c r="H376" s="25" t="n">
        <v>0.178908064961433</v>
      </c>
      <c r="I376" s="25" t="n">
        <v>0.629531502723694</v>
      </c>
      <c r="J376" s="25" t="n">
        <v>11.055166015625</v>
      </c>
      <c r="K376" s="25" t="n">
        <v>15.228146484375</v>
      </c>
      <c r="L376" s="25" t="n">
        <v>43.06051171875</v>
      </c>
      <c r="M376" s="25" t="n">
        <v>37.7809104919434</v>
      </c>
      <c r="N376" s="25" t="n">
        <v>120.697341918945</v>
      </c>
      <c r="O376" s="25" t="n">
        <v>27.574146270752</v>
      </c>
      <c r="P376" s="25" t="n">
        <v>30.0063400268555</v>
      </c>
      <c r="Q376" s="25" t="n">
        <v>62.8887634277344</v>
      </c>
      <c r="R376" s="25" t="n">
        <v>3.93060946464539</v>
      </c>
      <c r="S376" s="25" t="n">
        <v>0.324487507343292</v>
      </c>
      <c r="T376" s="25" t="n">
        <v>0.240605846047401</v>
      </c>
      <c r="U376" s="25" t="n">
        <v>0.0234026070684195</v>
      </c>
      <c r="V376" s="25" t="n">
        <v>3.04024648666382</v>
      </c>
      <c r="W376" s="25" t="n">
        <v>0.0436773523688316</v>
      </c>
      <c r="X376" s="25" t="n">
        <v>63.9520950317383</v>
      </c>
      <c r="Y376" s="25" t="n">
        <v>56.74462890625</v>
      </c>
      <c r="Z376" s="25" t="n">
        <v>33.4964218139648</v>
      </c>
      <c r="AA376" s="25" t="n">
        <v>4.80662202835083</v>
      </c>
      <c r="AB376" s="25" t="n">
        <v>0.0141599159687758</v>
      </c>
      <c r="AC376" s="25" t="n">
        <v>0.0150475520640612</v>
      </c>
      <c r="AD376" s="25" t="n">
        <v>0.0293694958090782</v>
      </c>
      <c r="AE376" s="25" t="n">
        <v>0.0558295175433159</v>
      </c>
      <c r="AF376" s="25" t="n">
        <v>0.169989436864853</v>
      </c>
      <c r="AG376" s="25" t="n">
        <v>0.0187178589403629</v>
      </c>
      <c r="AH376" s="25" t="n">
        <v>1.53976047039032</v>
      </c>
      <c r="AI376" s="25" t="n">
        <v>4.9835786819458</v>
      </c>
      <c r="AJ376" s="6" t="n">
        <v>59.1</v>
      </c>
      <c r="AK376" s="6" t="n">
        <v>403</v>
      </c>
      <c r="AL376" s="26" t="s">
        <v>3100</v>
      </c>
    </row>
    <row r="377" customFormat="false" ht="15" hidden="false" customHeight="false" outlineLevel="0" collapsed="false">
      <c r="A377" s="6" t="s">
        <v>3572</v>
      </c>
      <c r="B377" s="6" t="s">
        <v>3573</v>
      </c>
      <c r="C377" s="6" t="s">
        <v>3574</v>
      </c>
      <c r="D377" s="13" t="n">
        <v>265.719024658203</v>
      </c>
      <c r="E377" s="25" t="n">
        <v>6.87734889984131</v>
      </c>
      <c r="F377" s="25" t="n">
        <v>15.2543458938599</v>
      </c>
      <c r="G377" s="25" t="n">
        <v>19.5714263916016</v>
      </c>
      <c r="H377" s="25" t="n">
        <v>0.767496824264526</v>
      </c>
      <c r="I377" s="25" t="n">
        <v>0.875838160514832</v>
      </c>
      <c r="J377" s="25" t="n">
        <v>3.64307421875</v>
      </c>
      <c r="K377" s="25" t="n">
        <v>4.807123046875</v>
      </c>
      <c r="L377" s="25" t="n">
        <v>9.927140625</v>
      </c>
      <c r="M377" s="25" t="n">
        <v>81.3571090698242</v>
      </c>
      <c r="N377" s="25" t="n">
        <v>252.182754516602</v>
      </c>
      <c r="O377" s="25" t="n">
        <v>119.592056274414</v>
      </c>
      <c r="P377" s="25" t="n">
        <v>19.2311840057373</v>
      </c>
      <c r="Q377" s="25" t="n">
        <v>96.8322067260742</v>
      </c>
      <c r="R377" s="25" t="n">
        <v>13.1986818313599</v>
      </c>
      <c r="S377" s="25" t="n">
        <v>0.933219075202942</v>
      </c>
      <c r="T377" s="25" t="n">
        <v>0.982635259628296</v>
      </c>
      <c r="U377" s="25" t="n">
        <v>0.0682423859834671</v>
      </c>
      <c r="V377" s="25" t="n">
        <v>3.63963890075684</v>
      </c>
      <c r="W377" s="25" t="n">
        <v>0.157690912485123</v>
      </c>
      <c r="X377" s="25" t="n">
        <v>34.7749061584473</v>
      </c>
      <c r="Y377" s="25" t="n">
        <v>113.495933532715</v>
      </c>
      <c r="Z377" s="25" t="n">
        <v>7.66494369506836</v>
      </c>
      <c r="AA377" s="25" t="n">
        <v>1.85131359100342</v>
      </c>
      <c r="AB377" s="25" t="n">
        <v>1.21499168872833</v>
      </c>
      <c r="AC377" s="25" t="n">
        <v>0.0648912116885185</v>
      </c>
      <c r="AD377" s="25" t="n">
        <v>0.0601097568869591</v>
      </c>
      <c r="AE377" s="25" t="n">
        <v>1.17129933834076</v>
      </c>
      <c r="AF377" s="25" t="n">
        <v>0.514181077480316</v>
      </c>
      <c r="AG377" s="25" t="n">
        <v>0.0838856995105743</v>
      </c>
      <c r="AH377" s="25" t="n">
        <v>4.74281597137451</v>
      </c>
      <c r="AI377" s="25" t="n">
        <v>12.6071548461914</v>
      </c>
      <c r="AJ377" s="6" t="n">
        <v>129.8</v>
      </c>
      <c r="AK377" s="6" t="n">
        <v>345</v>
      </c>
      <c r="AL377" s="26"/>
    </row>
    <row r="378" customFormat="false" ht="15" hidden="false" customHeight="false" outlineLevel="0" collapsed="false">
      <c r="A378" s="6" t="s">
        <v>3575</v>
      </c>
      <c r="B378" s="6" t="s">
        <v>3576</v>
      </c>
      <c r="C378" s="6" t="s">
        <v>3574</v>
      </c>
      <c r="D378" s="13" t="n">
        <v>324.009094238281</v>
      </c>
      <c r="E378" s="25" t="n">
        <v>7.38108968734741</v>
      </c>
      <c r="F378" s="25" t="n">
        <v>22.233772277832</v>
      </c>
      <c r="G378" s="25" t="n">
        <v>22.6685619354248</v>
      </c>
      <c r="H378" s="25" t="n">
        <v>1.24324691295624</v>
      </c>
      <c r="I378" s="25" t="n">
        <v>3.93218016624451</v>
      </c>
      <c r="J378" s="25" t="n">
        <v>4.4870712890625</v>
      </c>
      <c r="K378" s="25" t="n">
        <v>4.93255810546875</v>
      </c>
      <c r="L378" s="25" t="n">
        <v>12.1056904296875</v>
      </c>
      <c r="M378" s="25" t="n">
        <v>0</v>
      </c>
      <c r="N378" s="25" t="n">
        <v>295.224426269531</v>
      </c>
      <c r="O378" s="25" t="n">
        <v>97.1069183349609</v>
      </c>
      <c r="P378" s="25" t="n">
        <v>126.414779663086</v>
      </c>
      <c r="Q378" s="25" t="n">
        <v>113.769577026367</v>
      </c>
      <c r="R378" s="25" t="n">
        <v>18.8824157714844</v>
      </c>
      <c r="S378" s="25" t="n">
        <v>0.81826663017273</v>
      </c>
      <c r="T378" s="25" t="n">
        <v>0.932069540023804</v>
      </c>
      <c r="U378" s="25" t="n">
        <v>0.0886903628706932</v>
      </c>
      <c r="V378" s="25" t="n">
        <v>5.64190530776978</v>
      </c>
      <c r="W378" s="25" t="n">
        <v>0.321722775697708</v>
      </c>
      <c r="X378" s="25" t="n">
        <v>0</v>
      </c>
      <c r="Y378" s="25" t="n">
        <v>588.582092285156</v>
      </c>
      <c r="Z378" s="25" t="n">
        <v>9.28682136535645</v>
      </c>
      <c r="AA378" s="25" t="n">
        <v>4.79369783401489</v>
      </c>
      <c r="AB378" s="25" t="n">
        <v>3.24137592315674</v>
      </c>
      <c r="AC378" s="25" t="n">
        <v>0.0495036579668522</v>
      </c>
      <c r="AD378" s="25" t="n">
        <v>0.0464779734611511</v>
      </c>
      <c r="AE378" s="25" t="n">
        <v>0.312915056943893</v>
      </c>
      <c r="AF378" s="25" t="n">
        <v>0.343112260103226</v>
      </c>
      <c r="AG378" s="25" t="n">
        <v>0.0530377067625523</v>
      </c>
      <c r="AH378" s="25" t="n">
        <v>5.55284309387207</v>
      </c>
      <c r="AI378" s="25" t="n">
        <v>30.2301368713379</v>
      </c>
      <c r="AJ378" s="6" t="n">
        <v>104</v>
      </c>
      <c r="AK378" s="6" t="n">
        <v>336.8</v>
      </c>
      <c r="AL378" s="26"/>
    </row>
    <row r="379" customFormat="false" ht="15" hidden="false" customHeight="false" outlineLevel="0" collapsed="false">
      <c r="A379" s="6" t="s">
        <v>3577</v>
      </c>
      <c r="B379" s="6" t="s">
        <v>3578</v>
      </c>
      <c r="C379" s="6" t="s">
        <v>3007</v>
      </c>
      <c r="D379" s="13" t="n">
        <v>177.096725463867</v>
      </c>
      <c r="E379" s="25" t="n">
        <v>9.18257808685303</v>
      </c>
      <c r="F379" s="25" t="n">
        <v>5.40574550628662</v>
      </c>
      <c r="G379" s="25" t="n">
        <v>13.2302780151367</v>
      </c>
      <c r="H379" s="25" t="n">
        <v>0.120943553745747</v>
      </c>
      <c r="I379" s="25" t="n">
        <v>2.91282224655151</v>
      </c>
      <c r="J379" s="25" t="n">
        <v>7.3166943359375</v>
      </c>
      <c r="K379" s="25" t="n">
        <v>3.861708984375</v>
      </c>
      <c r="L379" s="25" t="n">
        <v>0.748909851074219</v>
      </c>
      <c r="M379" s="25" t="n">
        <v>149.142379760742</v>
      </c>
      <c r="N379" s="25" t="n">
        <v>286.957427978516</v>
      </c>
      <c r="O379" s="25" t="n">
        <v>130.844985961914</v>
      </c>
      <c r="P379" s="25" t="n">
        <v>169.173553466797</v>
      </c>
      <c r="Q379" s="25" t="n">
        <v>235.860824584961</v>
      </c>
      <c r="R379" s="25" t="n">
        <v>13.3799495697022</v>
      </c>
      <c r="S379" s="25" t="n">
        <v>0.828399360179901</v>
      </c>
      <c r="T379" s="25" t="n">
        <v>1.02227461338043</v>
      </c>
      <c r="U379" s="25" t="n">
        <v>0.0436057299375534</v>
      </c>
      <c r="V379" s="25" t="n">
        <v>14.8644733428955</v>
      </c>
      <c r="W379" s="25" t="n">
        <v>0.0450716093182564</v>
      </c>
      <c r="X379" s="25" t="n">
        <v>163.868576049805</v>
      </c>
      <c r="Y379" s="25" t="n">
        <v>186.125518798828</v>
      </c>
      <c r="Z379" s="25" t="n">
        <v>0.792982280254364</v>
      </c>
      <c r="AA379" s="25" t="n">
        <v>0.846335291862488</v>
      </c>
      <c r="AB379" s="25" t="n">
        <v>0.812805354595184</v>
      </c>
      <c r="AC379" s="25" t="n">
        <v>0.0475652888417244</v>
      </c>
      <c r="AD379" s="25" t="n">
        <v>0.156503796577454</v>
      </c>
      <c r="AE379" s="25" t="n">
        <v>0.11293175816536</v>
      </c>
      <c r="AF379" s="25" t="n">
        <v>0.761162579059601</v>
      </c>
      <c r="AG379" s="25" t="n">
        <v>0.0848104432225227</v>
      </c>
      <c r="AH379" s="25" t="n">
        <v>7.92408561706543</v>
      </c>
      <c r="AI379" s="25" t="n">
        <v>22.5562686920166</v>
      </c>
      <c r="AJ379" s="6" t="n">
        <v>296.8</v>
      </c>
      <c r="AK379" s="6" t="n">
        <v>525.5</v>
      </c>
      <c r="AL379" s="26"/>
    </row>
    <row r="380" customFormat="false" ht="15" hidden="false" customHeight="false" outlineLevel="0" collapsed="false">
      <c r="A380" s="6" t="s">
        <v>3579</v>
      </c>
      <c r="B380" s="6" t="s">
        <v>3580</v>
      </c>
      <c r="C380" s="6" t="s">
        <v>3007</v>
      </c>
      <c r="D380" s="13" t="n">
        <v>125.63875579834</v>
      </c>
      <c r="E380" s="25" t="n">
        <v>5.50710296630859</v>
      </c>
      <c r="F380" s="25" t="n">
        <v>8.56429481506348</v>
      </c>
      <c r="G380" s="25" t="n">
        <v>7.64467620849609</v>
      </c>
      <c r="H380" s="25" t="n">
        <v>0.657368779182434</v>
      </c>
      <c r="I380" s="25" t="n">
        <v>1.77990460395813</v>
      </c>
      <c r="J380" s="25" t="n">
        <v>3.98215747070313</v>
      </c>
      <c r="K380" s="25" t="n">
        <v>2.26481396484375</v>
      </c>
      <c r="L380" s="25" t="n">
        <v>0.535021118164063</v>
      </c>
      <c r="M380" s="25" t="n">
        <v>109.087936401367</v>
      </c>
      <c r="N380" s="25" t="n">
        <v>97.1992340087891</v>
      </c>
      <c r="O380" s="25" t="n">
        <v>258.618286132813</v>
      </c>
      <c r="P380" s="25" t="n">
        <v>56.8361282348633</v>
      </c>
      <c r="Q380" s="25" t="n">
        <v>100.346557617188</v>
      </c>
      <c r="R380" s="25" t="n">
        <v>15.0208587646484</v>
      </c>
      <c r="S380" s="25" t="n">
        <v>0.788623034954071</v>
      </c>
      <c r="T380" s="25" t="n">
        <v>0.564308106899262</v>
      </c>
      <c r="U380" s="25" t="n">
        <v>0.064730741083622</v>
      </c>
      <c r="V380" s="25" t="n">
        <v>11.5910902023315</v>
      </c>
      <c r="W380" s="25" t="n">
        <v>0.0768234506249428</v>
      </c>
      <c r="X380" s="25" t="n">
        <v>95.781867980957</v>
      </c>
      <c r="Y380" s="25" t="n">
        <v>205.706207275391</v>
      </c>
      <c r="Z380" s="25" t="n">
        <v>0.586278140544891</v>
      </c>
      <c r="AA380" s="25" t="n">
        <v>1.16032719612122</v>
      </c>
      <c r="AB380" s="25" t="n">
        <v>8.2323112487793</v>
      </c>
      <c r="AC380" s="25" t="n">
        <v>0.0499386489391327</v>
      </c>
      <c r="AD380" s="25" t="n">
        <v>0.0958214029669762</v>
      </c>
      <c r="AE380" s="25" t="n">
        <v>0.418029993772507</v>
      </c>
      <c r="AF380" s="25" t="n">
        <v>0.658418536186218</v>
      </c>
      <c r="AG380" s="25" t="n">
        <v>0.0917995870113373</v>
      </c>
      <c r="AH380" s="25" t="n">
        <v>6.08990430831909</v>
      </c>
      <c r="AI380" s="25" t="n">
        <v>21.2809066772461</v>
      </c>
      <c r="AJ380" s="6" t="n">
        <v>366.7</v>
      </c>
      <c r="AK380" s="6" t="n">
        <v>460.8</v>
      </c>
      <c r="AL380" s="26"/>
    </row>
    <row r="381" customFormat="false" ht="15" hidden="false" customHeight="false" outlineLevel="0" collapsed="false">
      <c r="A381" s="6" t="s">
        <v>3581</v>
      </c>
      <c r="B381" s="6" t="s">
        <v>3582</v>
      </c>
      <c r="C381" s="6" t="s">
        <v>3007</v>
      </c>
      <c r="D381" s="13" t="n">
        <v>142.921051025391</v>
      </c>
      <c r="E381" s="25" t="n">
        <v>11.2265300750732</v>
      </c>
      <c r="F381" s="25" t="n">
        <v>3.69231081008911</v>
      </c>
      <c r="G381" s="25" t="n">
        <v>9.24467658996582</v>
      </c>
      <c r="H381" s="25" t="n">
        <v>0.0978595763444901</v>
      </c>
      <c r="I381" s="25" t="n">
        <v>1.67520105838776</v>
      </c>
      <c r="J381" s="25" t="n">
        <v>4.841197265625</v>
      </c>
      <c r="K381" s="25" t="n">
        <v>2.60352319335938</v>
      </c>
      <c r="L381" s="25" t="n">
        <v>0.793507873535156</v>
      </c>
      <c r="M381" s="25" t="n">
        <v>122.686302185059</v>
      </c>
      <c r="N381" s="25" t="n">
        <v>110.935020446777</v>
      </c>
      <c r="O381" s="25" t="n">
        <v>165.039535522461</v>
      </c>
      <c r="P381" s="25" t="n">
        <v>58.1841850280762</v>
      </c>
      <c r="Q381" s="25" t="n">
        <v>155.178451538086</v>
      </c>
      <c r="R381" s="25" t="n">
        <v>17.6809806823731</v>
      </c>
      <c r="S381" s="25" t="n">
        <v>0.703551471233368</v>
      </c>
      <c r="T381" s="25" t="n">
        <v>0.64610767364502</v>
      </c>
      <c r="U381" s="25" t="n">
        <v>0.0516428090631962</v>
      </c>
      <c r="V381" s="25" t="n">
        <v>20.942419052124</v>
      </c>
      <c r="W381" s="25" t="n">
        <v>0.0375596471130848</v>
      </c>
      <c r="X381" s="25" t="n">
        <v>105.699249267578</v>
      </c>
      <c r="Y381" s="25" t="n">
        <v>137.648941040039</v>
      </c>
      <c r="Z381" s="25" t="n">
        <v>0.978916168212891</v>
      </c>
      <c r="AA381" s="25" t="n">
        <v>0.466666668653488</v>
      </c>
      <c r="AB381" s="25" t="n">
        <v>0.657668709754944</v>
      </c>
      <c r="AC381" s="25" t="n">
        <v>0.0466666668653488</v>
      </c>
      <c r="AD381" s="25" t="n">
        <v>0.102365367114544</v>
      </c>
      <c r="AE381" s="25" t="n">
        <v>0.529277443885803</v>
      </c>
      <c r="AF381" s="25" t="n">
        <v>0.897273361682892</v>
      </c>
      <c r="AG381" s="25" t="n">
        <v>0.10161554068327</v>
      </c>
      <c r="AH381" s="25" t="n">
        <v>5.64818668365479</v>
      </c>
      <c r="AI381" s="25" t="n">
        <v>19.350435256958</v>
      </c>
      <c r="AJ381" s="6" t="n">
        <v>366.8</v>
      </c>
      <c r="AK381" s="6" t="n">
        <v>524.2</v>
      </c>
      <c r="AL381" s="26"/>
    </row>
    <row r="382" customFormat="false" ht="15" hidden="false" customHeight="false" outlineLevel="0" collapsed="false">
      <c r="A382" s="6" t="s">
        <v>3583</v>
      </c>
      <c r="B382" s="6" t="s">
        <v>3584</v>
      </c>
      <c r="C382" s="6" t="s">
        <v>3007</v>
      </c>
      <c r="D382" s="13" t="n">
        <v>104.24739074707</v>
      </c>
      <c r="E382" s="25" t="n">
        <v>5.43397617340088</v>
      </c>
      <c r="F382" s="25" t="n">
        <v>4.18816614151001</v>
      </c>
      <c r="G382" s="25" t="n">
        <v>7.23902940750122</v>
      </c>
      <c r="H382" s="25" t="n">
        <v>0.990270912647247</v>
      </c>
      <c r="I382" s="25" t="n">
        <v>1.63926911354065</v>
      </c>
      <c r="J382" s="25" t="n">
        <v>3.73706127929688</v>
      </c>
      <c r="K382" s="25" t="n">
        <v>2.10557446289063</v>
      </c>
      <c r="L382" s="25" t="n">
        <v>0.567080017089844</v>
      </c>
      <c r="M382" s="25" t="n">
        <v>100.839317321777</v>
      </c>
      <c r="N382" s="25" t="n">
        <v>104.693435668945</v>
      </c>
      <c r="O382" s="25" t="n">
        <v>311.728424072266</v>
      </c>
      <c r="P382" s="25" t="n">
        <v>80.770637512207</v>
      </c>
      <c r="Q382" s="25" t="n">
        <v>91.9475708007813</v>
      </c>
      <c r="R382" s="25" t="n">
        <v>39.4858245849609</v>
      </c>
      <c r="S382" s="25" t="n">
        <v>1.67190301418304</v>
      </c>
      <c r="T382" s="25" t="n">
        <v>0.610863268375397</v>
      </c>
      <c r="U382" s="25" t="n">
        <v>0.0968872085213661</v>
      </c>
      <c r="V382" s="25" t="n">
        <v>11.27796459198</v>
      </c>
      <c r="W382" s="25" t="n">
        <v>0.452110886573792</v>
      </c>
      <c r="X382" s="25" t="n">
        <v>88.5393829345703</v>
      </c>
      <c r="Y382" s="25" t="n">
        <v>3738.9609375</v>
      </c>
      <c r="Z382" s="25" t="n">
        <v>1.0115122795105</v>
      </c>
      <c r="AA382" s="25" t="n">
        <v>123.304725646973</v>
      </c>
      <c r="AB382" s="25" t="n">
        <v>12.0559539794922</v>
      </c>
      <c r="AC382" s="25" t="n">
        <v>0.0885066166520119</v>
      </c>
      <c r="AD382" s="25" t="n">
        <v>0.12335854023695</v>
      </c>
      <c r="AE382" s="25" t="n">
        <v>0.196628853678703</v>
      </c>
      <c r="AF382" s="25" t="n">
        <v>0.576874613761902</v>
      </c>
      <c r="AG382" s="25" t="n">
        <v>0.11132325232029</v>
      </c>
      <c r="AH382" s="25" t="n">
        <v>6.78632020950317</v>
      </c>
      <c r="AI382" s="25" t="n">
        <v>68.6668472290039</v>
      </c>
      <c r="AJ382" s="6" t="n">
        <v>396.8</v>
      </c>
      <c r="AK382" s="6" t="n">
        <v>413.6</v>
      </c>
      <c r="AL382" s="26"/>
    </row>
    <row r="383" customFormat="false" ht="15" hidden="false" customHeight="false" outlineLevel="0" collapsed="false">
      <c r="A383" s="6" t="s">
        <v>3585</v>
      </c>
      <c r="B383" s="6" t="s">
        <v>3586</v>
      </c>
      <c r="C383" s="6" t="s">
        <v>3299</v>
      </c>
      <c r="D383" s="13" t="n">
        <v>353.939727783203</v>
      </c>
      <c r="E383" s="25" t="n">
        <v>6.18183088302612</v>
      </c>
      <c r="F383" s="25" t="n">
        <v>47.1842727661133</v>
      </c>
      <c r="G383" s="25" t="n">
        <v>16.1668071746826</v>
      </c>
      <c r="H383" s="25" t="n">
        <v>0.712676048278809</v>
      </c>
      <c r="I383" s="25" t="n">
        <v>27.7375583648682</v>
      </c>
      <c r="J383" s="25" t="n">
        <v>9.4698603515625</v>
      </c>
      <c r="K383" s="25" t="n">
        <v>4.35164404296875</v>
      </c>
      <c r="L383" s="25" t="n">
        <v>0.833741760253906</v>
      </c>
      <c r="M383" s="25" t="n">
        <v>120.915496826172</v>
      </c>
      <c r="N383" s="25" t="n">
        <v>173.99577331543</v>
      </c>
      <c r="O383" s="25" t="n">
        <v>86.9084548950195</v>
      </c>
      <c r="P383" s="25" t="n">
        <v>41.9460105895996</v>
      </c>
      <c r="Q383" s="25" t="n">
        <v>181.62629699707</v>
      </c>
      <c r="R383" s="25" t="n">
        <v>11.789436340332</v>
      </c>
      <c r="S383" s="25" t="n">
        <v>1.02422535419464</v>
      </c>
      <c r="T383" s="25" t="n">
        <v>0.61457747220993</v>
      </c>
      <c r="U383" s="25" t="n">
        <v>0.0771643221378326</v>
      </c>
      <c r="V383" s="25" t="n">
        <v>9.55985927581787</v>
      </c>
      <c r="W383" s="25" t="n">
        <v>0.168615028262138</v>
      </c>
      <c r="X383" s="25" t="n">
        <v>203.896713256836</v>
      </c>
      <c r="Y383" s="25" t="n">
        <v>215.399063110352</v>
      </c>
      <c r="Z383" s="25" t="n">
        <v>0.686854422092438</v>
      </c>
      <c r="AA383" s="25" t="n">
        <v>1.47417831420898</v>
      </c>
      <c r="AB383" s="25" t="n">
        <v>0.141549289226532</v>
      </c>
      <c r="AC383" s="25" t="n">
        <v>0.0549554005265236</v>
      </c>
      <c r="AD383" s="25" t="n">
        <v>0.0795657262206078</v>
      </c>
      <c r="AE383" s="25" t="n">
        <v>0.231279343366623</v>
      </c>
      <c r="AF383" s="25" t="n">
        <v>0.563227713108063</v>
      </c>
      <c r="AG383" s="25" t="n">
        <v>0.0610938966274262</v>
      </c>
      <c r="AH383" s="25" t="n">
        <v>4.60375595092773</v>
      </c>
      <c r="AI383" s="25" t="n">
        <v>16.2685451507568</v>
      </c>
      <c r="AJ383" s="6" t="n">
        <v>53.3</v>
      </c>
      <c r="AK383" s="6" t="n">
        <v>188.5</v>
      </c>
      <c r="AL383" s="26"/>
    </row>
    <row r="384" customFormat="false" ht="15" hidden="false" customHeight="false" outlineLevel="0" collapsed="false">
      <c r="A384" s="6" t="s">
        <v>3587</v>
      </c>
      <c r="B384" s="6" t="s">
        <v>3588</v>
      </c>
      <c r="C384" s="6" t="s">
        <v>3299</v>
      </c>
      <c r="D384" s="13" t="n">
        <v>290.076385498047</v>
      </c>
      <c r="E384" s="25" t="n">
        <v>4.93772029876709</v>
      </c>
      <c r="F384" s="25" t="n">
        <v>39.4832153320313</v>
      </c>
      <c r="G384" s="25" t="n">
        <v>12.8679962158203</v>
      </c>
      <c r="H384" s="25" t="n">
        <v>1.21729779243469</v>
      </c>
      <c r="I384" s="25" t="n">
        <v>23.5212860107422</v>
      </c>
      <c r="J384" s="25" t="n">
        <v>7.458544921875</v>
      </c>
      <c r="K384" s="25" t="n">
        <v>3.421701171875</v>
      </c>
      <c r="L384" s="25" t="n">
        <v>0.714615783691406</v>
      </c>
      <c r="M384" s="25" t="n">
        <v>94.6875</v>
      </c>
      <c r="N384" s="25" t="n">
        <v>136.953140258789</v>
      </c>
      <c r="O384" s="25" t="n">
        <v>96.1617660522461</v>
      </c>
      <c r="P384" s="25" t="n">
        <v>38.9871330261231</v>
      </c>
      <c r="Q384" s="25" t="n">
        <v>145.075180053711</v>
      </c>
      <c r="R384" s="25" t="n">
        <v>11.9987134933472</v>
      </c>
      <c r="S384" s="25" t="n">
        <v>0.895000040531158</v>
      </c>
      <c r="T384" s="25" t="n">
        <v>0.508621335029602</v>
      </c>
      <c r="U384" s="25" t="n">
        <v>0.0716029405593872</v>
      </c>
      <c r="V384" s="25" t="n">
        <v>7.63341903686523</v>
      </c>
      <c r="W384" s="25" t="n">
        <v>0.293345600366592</v>
      </c>
      <c r="X384" s="25" t="n">
        <v>159.66911315918</v>
      </c>
      <c r="Y384" s="25" t="n">
        <v>212.010864257813</v>
      </c>
      <c r="Z384" s="25" t="n">
        <v>0.569080889225006</v>
      </c>
      <c r="AA384" s="25" t="n">
        <v>2.29066181182861</v>
      </c>
      <c r="AB384" s="25" t="n">
        <v>1.71194851398468</v>
      </c>
      <c r="AC384" s="25" t="n">
        <v>0.0504613965749741</v>
      </c>
      <c r="AD384" s="25" t="n">
        <v>0.0649908110499382</v>
      </c>
      <c r="AE384" s="25" t="n">
        <v>0.235266551375389</v>
      </c>
      <c r="AF384" s="25" t="n">
        <v>0.462840080261231</v>
      </c>
      <c r="AG384" s="25" t="n">
        <v>0.0571066178381443</v>
      </c>
      <c r="AH384" s="25" t="n">
        <v>3.67499995231628</v>
      </c>
      <c r="AI384" s="25" t="n">
        <v>13.7003488540649</v>
      </c>
      <c r="AJ384" s="6" t="n">
        <v>68</v>
      </c>
      <c r="AK384" s="6" t="n">
        <v>197.3</v>
      </c>
      <c r="AL384" s="26"/>
    </row>
    <row r="385" customFormat="false" ht="15" hidden="false" customHeight="false" outlineLevel="0" collapsed="false">
      <c r="A385" s="6" t="s">
        <v>3589</v>
      </c>
      <c r="B385" s="6" t="s">
        <v>3590</v>
      </c>
      <c r="C385" s="6" t="s">
        <v>3299</v>
      </c>
      <c r="D385" s="13" t="n">
        <v>354.105133056641</v>
      </c>
      <c r="E385" s="25" t="n">
        <v>6.29961490631104</v>
      </c>
      <c r="F385" s="25" t="n">
        <v>46.8787155151367</v>
      </c>
      <c r="G385" s="25" t="n">
        <v>16.2655620574951</v>
      </c>
      <c r="H385" s="25" t="n">
        <v>0.708104968070984</v>
      </c>
      <c r="I385" s="25" t="n">
        <v>27.5596504211426</v>
      </c>
      <c r="J385" s="25" t="n">
        <v>9.5285380859375</v>
      </c>
      <c r="K385" s="25" t="n">
        <v>4.39090478515625</v>
      </c>
      <c r="L385" s="25" t="n">
        <v>0.833991821289063</v>
      </c>
      <c r="M385" s="25" t="n">
        <v>120.139945983887</v>
      </c>
      <c r="N385" s="25" t="n">
        <v>138.477432250977</v>
      </c>
      <c r="O385" s="25" t="n">
        <v>100.202331542969</v>
      </c>
      <c r="P385" s="25" t="n">
        <v>39.5953369140625</v>
      </c>
      <c r="Q385" s="25" t="n">
        <v>162.041519165039</v>
      </c>
      <c r="R385" s="25" t="n">
        <v>16.5388908386231</v>
      </c>
      <c r="S385" s="25" t="n">
        <v>1.11561512947083</v>
      </c>
      <c r="T385" s="25" t="n">
        <v>0.666845500469208</v>
      </c>
      <c r="U385" s="25" t="n">
        <v>0.113054230809212</v>
      </c>
      <c r="V385" s="25" t="n">
        <v>9.49854183197022</v>
      </c>
      <c r="W385" s="25" t="n">
        <v>0.167533531785011</v>
      </c>
      <c r="X385" s="25" t="n">
        <v>202.588912963867</v>
      </c>
      <c r="Y385" s="25" t="n">
        <v>214.390670776367</v>
      </c>
      <c r="Z385" s="25" t="n">
        <v>0.688793003559113</v>
      </c>
      <c r="AA385" s="25" t="n">
        <v>1.47871720790863</v>
      </c>
      <c r="AB385" s="25" t="n">
        <v>0.140641391277313</v>
      </c>
      <c r="AC385" s="25" t="n">
        <v>0.0560956262052059</v>
      </c>
      <c r="AD385" s="25" t="n">
        <v>0.0796151608228684</v>
      </c>
      <c r="AE385" s="25" t="n">
        <v>0.245655983686447</v>
      </c>
      <c r="AF385" s="25" t="n">
        <v>0.559615194797516</v>
      </c>
      <c r="AG385" s="25" t="n">
        <v>0.0613551028072834</v>
      </c>
      <c r="AH385" s="25" t="n">
        <v>4.57422733306885</v>
      </c>
      <c r="AI385" s="25" t="n">
        <v>16.5187168121338</v>
      </c>
      <c r="AJ385" s="6" t="n">
        <v>53.6</v>
      </c>
      <c r="AK385" s="6" t="n">
        <v>189.8</v>
      </c>
      <c r="AL385" s="26"/>
    </row>
    <row r="386" customFormat="false" ht="15" hidden="false" customHeight="false" outlineLevel="0" collapsed="false">
      <c r="A386" s="6" t="s">
        <v>3591</v>
      </c>
      <c r="B386" s="6" t="s">
        <v>3592</v>
      </c>
      <c r="C386" s="6" t="s">
        <v>3299</v>
      </c>
      <c r="D386" s="13" t="n">
        <v>335.608673095703</v>
      </c>
      <c r="E386" s="25" t="n">
        <v>6.00679397583008</v>
      </c>
      <c r="F386" s="25" t="n">
        <v>45.1371536254883</v>
      </c>
      <c r="G386" s="25" t="n">
        <v>15.1838645935059</v>
      </c>
      <c r="H386" s="25" t="n">
        <v>0.644585967063904</v>
      </c>
      <c r="I386" s="25" t="n">
        <v>27.5760078430176</v>
      </c>
      <c r="J386" s="25" t="n">
        <v>8.900552734375</v>
      </c>
      <c r="K386" s="25" t="n">
        <v>4.1049052734375</v>
      </c>
      <c r="L386" s="25" t="n">
        <v>0.770509582519531</v>
      </c>
      <c r="M386" s="25" t="n">
        <v>109.363059997559</v>
      </c>
      <c r="N386" s="25" t="n">
        <v>241.925689697266</v>
      </c>
      <c r="O386" s="25" t="n">
        <v>104.697456359863</v>
      </c>
      <c r="P386" s="25" t="n">
        <v>41.1316337585449</v>
      </c>
      <c r="Q386" s="25" t="n">
        <v>134.094696044922</v>
      </c>
      <c r="R386" s="25" t="n">
        <v>17.7414016723633</v>
      </c>
      <c r="S386" s="25" t="n">
        <v>1.08004248142242</v>
      </c>
      <c r="T386" s="25" t="n">
        <v>0.651804685592651</v>
      </c>
      <c r="U386" s="25" t="n">
        <v>0.122292995452881</v>
      </c>
      <c r="V386" s="25" t="n">
        <v>8.70700645446777</v>
      </c>
      <c r="W386" s="25" t="n">
        <v>0.152653932571411</v>
      </c>
      <c r="X386" s="25" t="n">
        <v>184.416137695313</v>
      </c>
      <c r="Y386" s="25" t="n">
        <v>208.067947387695</v>
      </c>
      <c r="Z386" s="25" t="n">
        <v>0.643906593322754</v>
      </c>
      <c r="AA386" s="25" t="n">
        <v>1.35244154930115</v>
      </c>
      <c r="AB386" s="25" t="n">
        <v>0.256050944328308</v>
      </c>
      <c r="AC386" s="25" t="n">
        <v>0.0536305755376816</v>
      </c>
      <c r="AD386" s="25" t="n">
        <v>0.0795329064130783</v>
      </c>
      <c r="AE386" s="25" t="n">
        <v>0.235031843185425</v>
      </c>
      <c r="AF386" s="25" t="n">
        <v>0.5309978723526</v>
      </c>
      <c r="AG386" s="25" t="n">
        <v>0.0586411878466606</v>
      </c>
      <c r="AH386" s="25" t="n">
        <v>4.29002094268799</v>
      </c>
      <c r="AI386" s="25" t="n">
        <v>15.6460723876953</v>
      </c>
      <c r="AJ386" s="6" t="n">
        <v>58.9</v>
      </c>
      <c r="AK386" s="6" t="n">
        <v>197.6</v>
      </c>
      <c r="AL386" s="26"/>
    </row>
    <row r="387" customFormat="false" ht="15" hidden="false" customHeight="false" outlineLevel="0" collapsed="false">
      <c r="A387" s="6" t="s">
        <v>3593</v>
      </c>
      <c r="B387" s="6" t="s">
        <v>3594</v>
      </c>
      <c r="C387" s="6" t="s">
        <v>3299</v>
      </c>
      <c r="D387" s="13" t="n">
        <v>357.608581542969</v>
      </c>
      <c r="E387" s="25" t="n">
        <v>6.0998797416687</v>
      </c>
      <c r="F387" s="25" t="n">
        <v>48.2765884399414</v>
      </c>
      <c r="G387" s="25" t="n">
        <v>16.2146453857422</v>
      </c>
      <c r="H387" s="25" t="n">
        <v>0.83073228597641</v>
      </c>
      <c r="I387" s="25" t="n">
        <v>28.3767108917236</v>
      </c>
      <c r="J387" s="25" t="n">
        <v>9.491083984375</v>
      </c>
      <c r="K387" s="25" t="n">
        <v>4.3637802734375</v>
      </c>
      <c r="L387" s="25" t="n">
        <v>0.843193298339844</v>
      </c>
      <c r="M387" s="25" t="n">
        <v>123.673469543457</v>
      </c>
      <c r="N387" s="25" t="n">
        <v>105.40552520752</v>
      </c>
      <c r="O387" s="25" t="n">
        <v>90.6374588012695</v>
      </c>
      <c r="P387" s="25" t="n">
        <v>29.7166862487793</v>
      </c>
      <c r="Q387" s="25" t="n">
        <v>129.457382202148</v>
      </c>
      <c r="R387" s="25" t="n">
        <v>12.1666259765625</v>
      </c>
      <c r="S387" s="25" t="n">
        <v>1.0585834980011</v>
      </c>
      <c r="T387" s="25" t="n">
        <v>0.590156078338623</v>
      </c>
      <c r="U387" s="25" t="n">
        <v>0.0774741917848587</v>
      </c>
      <c r="V387" s="25" t="n">
        <v>9.71908760070801</v>
      </c>
      <c r="W387" s="25" t="n">
        <v>0.175990402698517</v>
      </c>
      <c r="X387" s="25" t="n">
        <v>208.547409057617</v>
      </c>
      <c r="Y387" s="25" t="n">
        <v>208.547424316406</v>
      </c>
      <c r="Z387" s="25" t="n">
        <v>0.70588231086731</v>
      </c>
      <c r="AA387" s="25" t="n">
        <v>1.50780308246613</v>
      </c>
      <c r="AB387" s="25" t="n">
        <v>3.61104440689087</v>
      </c>
      <c r="AC387" s="25" t="n">
        <v>0.0590156093239784</v>
      </c>
      <c r="AD387" s="25" t="n">
        <v>0.0750540196895599</v>
      </c>
      <c r="AE387" s="25" t="n">
        <v>0.248019203543663</v>
      </c>
      <c r="AF387" s="25" t="n">
        <v>0.569171667098999</v>
      </c>
      <c r="AG387" s="25" t="n">
        <v>0.0636350512504578</v>
      </c>
      <c r="AH387" s="25" t="n">
        <v>4.61416578292847</v>
      </c>
      <c r="AI387" s="25" t="n">
        <v>17.765905380249</v>
      </c>
      <c r="AJ387" s="6" t="n">
        <v>52.1</v>
      </c>
      <c r="AK387" s="6" t="n">
        <v>186.2</v>
      </c>
      <c r="AL387" s="26"/>
    </row>
    <row r="388" customFormat="false" ht="15" hidden="false" customHeight="false" outlineLevel="0" collapsed="false">
      <c r="A388" s="6" t="s">
        <v>3595</v>
      </c>
      <c r="B388" s="6" t="s">
        <v>3596</v>
      </c>
      <c r="C388" s="6" t="s">
        <v>3482</v>
      </c>
      <c r="D388" s="13" t="n">
        <v>324.194946289063</v>
      </c>
      <c r="E388" s="25" t="n">
        <v>5.36425065994263</v>
      </c>
      <c r="F388" s="25" t="n">
        <v>46.4919242858887</v>
      </c>
      <c r="G388" s="25" t="n">
        <v>13.3140268325806</v>
      </c>
      <c r="H388" s="25" t="n">
        <v>0.871633112430573</v>
      </c>
      <c r="I388" s="25" t="n">
        <v>24.5423488616943</v>
      </c>
      <c r="J388" s="25" t="n">
        <v>7.82547705078125</v>
      </c>
      <c r="K388" s="25" t="n">
        <v>3.55725537109375</v>
      </c>
      <c r="L388" s="25" t="n">
        <v>0.687251892089844</v>
      </c>
      <c r="M388" s="25" t="n">
        <v>90</v>
      </c>
      <c r="N388" s="25" t="n">
        <v>160.598617553711</v>
      </c>
      <c r="O388" s="25" t="n">
        <v>116.78076171875</v>
      </c>
      <c r="P388" s="25" t="n">
        <v>45.7109642028809</v>
      </c>
      <c r="Q388" s="25" t="n">
        <v>170.569580078125</v>
      </c>
      <c r="R388" s="25" t="n">
        <v>13.0576734542847</v>
      </c>
      <c r="S388" s="25" t="n">
        <v>0.955234885215759</v>
      </c>
      <c r="T388" s="25" t="n">
        <v>0.53447425365448</v>
      </c>
      <c r="U388" s="25" t="n">
        <v>0.0792841166257858</v>
      </c>
      <c r="V388" s="25" t="n">
        <v>6.98120784759522</v>
      </c>
      <c r="W388" s="25" t="n">
        <v>0.250581651926041</v>
      </c>
      <c r="X388" s="25" t="n">
        <v>161.812072753906</v>
      </c>
      <c r="Y388" s="25" t="n">
        <v>209.183441162109</v>
      </c>
      <c r="Z388" s="25" t="n">
        <v>0.571140944957733</v>
      </c>
      <c r="AA388" s="25" t="n">
        <v>2.41991066932678</v>
      </c>
      <c r="AB388" s="25" t="n">
        <v>4.41789722442627</v>
      </c>
      <c r="AC388" s="25" t="n">
        <v>0.0529082790017128</v>
      </c>
      <c r="AD388" s="25" t="n">
        <v>0.070626400411129</v>
      </c>
      <c r="AE388" s="25" t="n">
        <v>0.246845632791519</v>
      </c>
      <c r="AF388" s="25" t="n">
        <v>0.47738254070282</v>
      </c>
      <c r="AG388" s="25" t="n">
        <v>0.0625503361225128</v>
      </c>
      <c r="AH388" s="25" t="n">
        <v>3.6327965259552</v>
      </c>
      <c r="AI388" s="25" t="n">
        <v>13.9871368408203</v>
      </c>
      <c r="AJ388" s="6" t="n">
        <v>55.9</v>
      </c>
      <c r="AK388" s="6" t="n">
        <v>181.1</v>
      </c>
      <c r="AL388" s="26"/>
    </row>
    <row r="389" customFormat="false" ht="15" hidden="false" customHeight="false" outlineLevel="0" collapsed="false">
      <c r="A389" s="6" t="s">
        <v>3597</v>
      </c>
      <c r="B389" s="6" t="s">
        <v>3598</v>
      </c>
      <c r="C389" s="6" t="s">
        <v>3482</v>
      </c>
      <c r="D389" s="13" t="n">
        <v>389.514465332031</v>
      </c>
      <c r="E389" s="25" t="n">
        <v>5.77243137359619</v>
      </c>
      <c r="F389" s="25" t="n">
        <v>39.9960861206055</v>
      </c>
      <c r="G389" s="25" t="n">
        <v>23.3142318725586</v>
      </c>
      <c r="H389" s="25" t="n">
        <v>1.14472198486328</v>
      </c>
      <c r="I389" s="25" t="n">
        <v>23.0443916320801</v>
      </c>
      <c r="J389" s="25" t="n">
        <v>3.30039575195313</v>
      </c>
      <c r="K389" s="25" t="n">
        <v>6.11079345703125</v>
      </c>
      <c r="L389" s="25" t="n">
        <v>12.6613193359375</v>
      </c>
      <c r="M389" s="25" t="n">
        <v>68.9915161132813</v>
      </c>
      <c r="N389" s="25" t="n">
        <v>117.805610656738</v>
      </c>
      <c r="O389" s="25" t="n">
        <v>157.609802246094</v>
      </c>
      <c r="P389" s="25" t="n">
        <v>23.5515079498291</v>
      </c>
      <c r="Q389" s="25" t="n">
        <v>127.631240844727</v>
      </c>
      <c r="R389" s="25" t="n">
        <v>31.4551372528076</v>
      </c>
      <c r="S389" s="25" t="n">
        <v>1.14354383945465</v>
      </c>
      <c r="T389" s="25" t="n">
        <v>0.759425044059753</v>
      </c>
      <c r="U389" s="25" t="n">
        <v>0.217983037233353</v>
      </c>
      <c r="V389" s="25" t="n">
        <v>8.3626766204834</v>
      </c>
      <c r="W389" s="25" t="n">
        <v>0.289349675178528</v>
      </c>
      <c r="X389" s="25" t="n">
        <v>37.3232803344727</v>
      </c>
      <c r="Y389" s="25" t="n">
        <v>125.086143493652</v>
      </c>
      <c r="Z389" s="25" t="n">
        <v>9.679123878479</v>
      </c>
      <c r="AA389" s="25" t="n">
        <v>1.88388311862946</v>
      </c>
      <c r="AB389" s="25" t="n">
        <v>1.48133838176727</v>
      </c>
      <c r="AC389" s="25" t="n">
        <v>0.0759189426898956</v>
      </c>
      <c r="AD389" s="25" t="n">
        <v>0.0561734214425087</v>
      </c>
      <c r="AE389" s="25" t="n">
        <v>0.31234684586525</v>
      </c>
      <c r="AF389" s="25" t="n">
        <v>0.556314826011658</v>
      </c>
      <c r="AG389" s="25" t="n">
        <v>0.148020729422569</v>
      </c>
      <c r="AH389" s="25" t="n">
        <v>3.97653150558472</v>
      </c>
      <c r="AI389" s="25" t="n">
        <v>17.0804424285889</v>
      </c>
      <c r="AJ389" s="6" t="n">
        <v>66.3</v>
      </c>
      <c r="AK389" s="6" t="n">
        <v>258.3</v>
      </c>
      <c r="AL389" s="26"/>
    </row>
    <row r="390" customFormat="false" ht="15" hidden="false" customHeight="false" outlineLevel="0" collapsed="false">
      <c r="A390" s="6" t="s">
        <v>3599</v>
      </c>
      <c r="B390" s="6" t="s">
        <v>3600</v>
      </c>
      <c r="C390" s="6" t="s">
        <v>3482</v>
      </c>
      <c r="D390" s="13" t="n">
        <v>311.709289550781</v>
      </c>
      <c r="E390" s="25" t="n">
        <v>5.76443576812744</v>
      </c>
      <c r="F390" s="25" t="n">
        <v>37.8688545227051</v>
      </c>
      <c r="G390" s="25" t="n">
        <v>15.7990303039551</v>
      </c>
      <c r="H390" s="25" t="n">
        <v>0.704847693443298</v>
      </c>
      <c r="I390" s="25" t="n">
        <v>24.2508373260498</v>
      </c>
      <c r="J390" s="25" t="n">
        <v>3.32751611328125</v>
      </c>
      <c r="K390" s="25" t="n">
        <v>3.6905302734375</v>
      </c>
      <c r="L390" s="25" t="n">
        <v>7.75355712890625</v>
      </c>
      <c r="M390" s="25" t="n">
        <v>93.3470611572266</v>
      </c>
      <c r="N390" s="25" t="n">
        <v>188.588790893555</v>
      </c>
      <c r="O390" s="25" t="n">
        <v>138.71858215332</v>
      </c>
      <c r="P390" s="25" t="n">
        <v>42.1548194885254</v>
      </c>
      <c r="Q390" s="25" t="n">
        <v>196.426818847656</v>
      </c>
      <c r="R390" s="25" t="n">
        <v>28.9253025054932</v>
      </c>
      <c r="S390" s="25" t="n">
        <v>1.06776487827301</v>
      </c>
      <c r="T390" s="25" t="n">
        <v>0.660523355007172</v>
      </c>
      <c r="U390" s="25" t="n">
        <v>0.216519951820374</v>
      </c>
      <c r="V390" s="25" t="n">
        <v>6.99444007873535</v>
      </c>
      <c r="W390" s="25" t="n">
        <v>0.25992277264595</v>
      </c>
      <c r="X390" s="25" t="n">
        <v>69.3642196655273</v>
      </c>
      <c r="Y390" s="25" t="n">
        <v>87.2466354370117</v>
      </c>
      <c r="Z390" s="25" t="n">
        <v>4.70996141433716</v>
      </c>
      <c r="AA390" s="25" t="n">
        <v>4.39897012710571</v>
      </c>
      <c r="AB390" s="25" t="n">
        <v>0.292406678199768</v>
      </c>
      <c r="AC390" s="25" t="n">
        <v>0.0609026178717613</v>
      </c>
      <c r="AD390" s="25" t="n">
        <v>0.0652423873543739</v>
      </c>
      <c r="AE390" s="25" t="n">
        <v>0.277606189250946</v>
      </c>
      <c r="AF390" s="25" t="n">
        <v>0.572415292263031</v>
      </c>
      <c r="AG390" s="25" t="n">
        <v>0.0763637945055962</v>
      </c>
      <c r="AH390" s="25" t="n">
        <v>6.78865718841553</v>
      </c>
      <c r="AI390" s="25" t="n">
        <v>16.4737968444824</v>
      </c>
      <c r="AJ390" s="6" t="n">
        <v>72.8</v>
      </c>
      <c r="AK390" s="6" t="n">
        <v>227.1</v>
      </c>
      <c r="AL390" s="26"/>
    </row>
    <row r="391" customFormat="false" ht="15" hidden="false" customHeight="false" outlineLevel="0" collapsed="false">
      <c r="A391" s="6" t="s">
        <v>3601</v>
      </c>
      <c r="B391" s="6" t="s">
        <v>3602</v>
      </c>
      <c r="C391" s="6" t="s">
        <v>3482</v>
      </c>
      <c r="D391" s="13" t="n">
        <v>372.947723388672</v>
      </c>
      <c r="E391" s="25" t="n">
        <v>5.49280595779419</v>
      </c>
      <c r="F391" s="25" t="n">
        <v>48.2946395874023</v>
      </c>
      <c r="G391" s="25" t="n">
        <v>16.8838310241699</v>
      </c>
      <c r="H391" s="25" t="n">
        <v>1.48790681362152</v>
      </c>
      <c r="I391" s="25" t="n">
        <v>27.4479446411133</v>
      </c>
      <c r="J391" s="25" t="n">
        <v>8.8388759765625</v>
      </c>
      <c r="K391" s="25" t="n">
        <v>5.45130224609375</v>
      </c>
      <c r="L391" s="25" t="n">
        <v>1.14343627929688</v>
      </c>
      <c r="M391" s="25" t="n">
        <v>97.8092651367188</v>
      </c>
      <c r="N391" s="25" t="n">
        <v>64.8424987792969</v>
      </c>
      <c r="O391" s="25" t="n">
        <v>176.268844604492</v>
      </c>
      <c r="P391" s="25" t="n">
        <v>40.9772186279297</v>
      </c>
      <c r="Q391" s="25" t="n">
        <v>116.373832702637</v>
      </c>
      <c r="R391" s="25" t="n">
        <v>30.7957782745361</v>
      </c>
      <c r="S391" s="25" t="n">
        <v>1.31817150115967</v>
      </c>
      <c r="T391" s="25" t="n">
        <v>0.770784199237824</v>
      </c>
      <c r="U391" s="25" t="n">
        <v>0.223364323377609</v>
      </c>
      <c r="V391" s="25" t="n">
        <v>8.16898727416992</v>
      </c>
      <c r="W391" s="25" t="n">
        <v>0.469872713088989</v>
      </c>
      <c r="X391" s="25" t="n">
        <v>179.301986694336</v>
      </c>
      <c r="Y391" s="25" t="n">
        <v>161.048477172852</v>
      </c>
      <c r="Z391" s="25" t="n">
        <v>0.714475810527802</v>
      </c>
      <c r="AA391" s="25" t="n">
        <v>1.80054533481598</v>
      </c>
      <c r="AB391" s="25" t="n">
        <v>8.16306972503662</v>
      </c>
      <c r="AC391" s="25" t="n">
        <v>0.0838961750268936</v>
      </c>
      <c r="AD391" s="25" t="n">
        <v>0.0647469162940979</v>
      </c>
      <c r="AE391" s="25" t="n">
        <v>0.305903941392899</v>
      </c>
      <c r="AF391" s="25" t="n">
        <v>0.50093412399292</v>
      </c>
      <c r="AG391" s="25" t="n">
        <v>0.0767396911978722</v>
      </c>
      <c r="AH391" s="25" t="n">
        <v>3.86134743690491</v>
      </c>
      <c r="AI391" s="25" t="n">
        <v>16.3752193450928</v>
      </c>
      <c r="AJ391" s="6" t="n">
        <v>104.2</v>
      </c>
      <c r="AK391" s="6" t="n">
        <v>388.6</v>
      </c>
      <c r="AL391" s="26"/>
    </row>
    <row r="392" customFormat="false" ht="15" hidden="false" customHeight="false" outlineLevel="0" collapsed="false">
      <c r="A392" s="6" t="s">
        <v>3603</v>
      </c>
      <c r="B392" s="6" t="s">
        <v>3604</v>
      </c>
      <c r="C392" s="6" t="s">
        <v>3482</v>
      </c>
      <c r="D392" s="13" t="n">
        <v>370.5380859375</v>
      </c>
      <c r="E392" s="25" t="n">
        <v>3.8904721736908</v>
      </c>
      <c r="F392" s="25" t="n">
        <v>44.2539329528809</v>
      </c>
      <c r="G392" s="25" t="n">
        <v>20.3886108398438</v>
      </c>
      <c r="H392" s="25" t="n">
        <v>0.791988551616669</v>
      </c>
      <c r="I392" s="25" t="n">
        <v>32.4266090393066</v>
      </c>
      <c r="J392" s="25" t="n">
        <v>12.410259765625</v>
      </c>
      <c r="K392" s="25" t="n">
        <v>5.32079736328125</v>
      </c>
      <c r="L392" s="25" t="n">
        <v>0.910194580078125</v>
      </c>
      <c r="M392" s="25" t="n">
        <v>101.115882873535</v>
      </c>
      <c r="N392" s="25" t="n">
        <v>107.266098022461</v>
      </c>
      <c r="O392" s="25" t="n">
        <v>74.53076171875</v>
      </c>
      <c r="P392" s="25" t="n">
        <v>28.1688117980957</v>
      </c>
      <c r="Q392" s="25" t="n">
        <v>114.82202911377</v>
      </c>
      <c r="R392" s="25" t="n">
        <v>9.76494979858398</v>
      </c>
      <c r="S392" s="25" t="n">
        <v>0.700543642044067</v>
      </c>
      <c r="T392" s="25" t="n">
        <v>0.412789702415466</v>
      </c>
      <c r="U392" s="25" t="n">
        <v>0.0749470666050911</v>
      </c>
      <c r="V392" s="25" t="n">
        <v>5.84191703796387</v>
      </c>
      <c r="W392" s="25" t="n">
        <v>0.164978548884392</v>
      </c>
      <c r="X392" s="25" t="n">
        <v>247.610885620117</v>
      </c>
      <c r="Y392" s="25" t="n">
        <v>235.021453857422</v>
      </c>
      <c r="Z392" s="25" t="n">
        <v>0.687696695327759</v>
      </c>
      <c r="AA392" s="25" t="n">
        <v>4.68526458740234</v>
      </c>
      <c r="AB392" s="25" t="n">
        <v>7.2104434967041</v>
      </c>
      <c r="AC392" s="25" t="n">
        <v>0.0412646643817425</v>
      </c>
      <c r="AD392" s="25" t="n">
        <v>0.0561945624649525</v>
      </c>
      <c r="AE392" s="25" t="n">
        <v>0.209155932068825</v>
      </c>
      <c r="AF392" s="25" t="n">
        <v>0.365865528583527</v>
      </c>
      <c r="AG392" s="25" t="n">
        <v>0.049075823277235</v>
      </c>
      <c r="AH392" s="25" t="n">
        <v>2.78483533859253</v>
      </c>
      <c r="AI392" s="25" t="n">
        <v>10.9882688522339</v>
      </c>
      <c r="AJ392" s="6" t="n">
        <v>116.5</v>
      </c>
      <c r="AK392" s="6" t="n">
        <v>431.7</v>
      </c>
      <c r="AL392" s="26"/>
    </row>
    <row r="393" customFormat="false" ht="15" hidden="false" customHeight="false" outlineLevel="0" collapsed="false">
      <c r="A393" s="6" t="s">
        <v>3605</v>
      </c>
      <c r="B393" s="6" t="s">
        <v>3606</v>
      </c>
      <c r="C393" s="6" t="s">
        <v>3482</v>
      </c>
      <c r="D393" s="13" t="n">
        <v>318.081420898438</v>
      </c>
      <c r="E393" s="25" t="n">
        <v>8.11944675445557</v>
      </c>
      <c r="F393" s="25" t="n">
        <v>46.1424903869629</v>
      </c>
      <c r="G393" s="25" t="n">
        <v>11.7504043579102</v>
      </c>
      <c r="H393" s="25" t="n">
        <v>0.679036378860474</v>
      </c>
      <c r="I393" s="25" t="n">
        <v>27.7045612335205</v>
      </c>
      <c r="J393" s="25" t="n">
        <v>7.31375927734375</v>
      </c>
      <c r="K393" s="25" t="n">
        <v>2.9826484375</v>
      </c>
      <c r="L393" s="25" t="n">
        <v>0.474964630126953</v>
      </c>
      <c r="M393" s="25" t="n">
        <v>27.6781139373779</v>
      </c>
      <c r="N393" s="25" t="n">
        <v>310.5029296875</v>
      </c>
      <c r="O393" s="25" t="n">
        <v>273.61865234375</v>
      </c>
      <c r="P393" s="25" t="n">
        <v>212.96565246582</v>
      </c>
      <c r="Q393" s="25" t="n">
        <v>265.526397705078</v>
      </c>
      <c r="R393" s="25" t="n">
        <v>26.5295753479004</v>
      </c>
      <c r="S393" s="25" t="n">
        <v>0.607626855373383</v>
      </c>
      <c r="T393" s="25" t="n">
        <v>0.869830846786499</v>
      </c>
      <c r="U393" s="25" t="n">
        <v>0.0617365464568138</v>
      </c>
      <c r="V393" s="25" t="n">
        <v>1.64531004428864</v>
      </c>
      <c r="W393" s="25" t="n">
        <v>0.158544331789017</v>
      </c>
      <c r="X393" s="25" t="n">
        <v>185.504867553711</v>
      </c>
      <c r="Y393" s="25" t="n">
        <v>203.341873168945</v>
      </c>
      <c r="Z393" s="25" t="n">
        <v>0.308764755725861</v>
      </c>
      <c r="AA393" s="25" t="n">
        <v>1.15633010864258</v>
      </c>
      <c r="AB393" s="25" t="n">
        <v>2.21732449531555</v>
      </c>
      <c r="AC393" s="25" t="n">
        <v>0.092898003757</v>
      </c>
      <c r="AD393" s="25" t="n">
        <v>0.257908761501312</v>
      </c>
      <c r="AE393" s="25" t="n">
        <v>0.337929278612137</v>
      </c>
      <c r="AF393" s="25" t="n">
        <v>0.691409528255463</v>
      </c>
      <c r="AG393" s="25" t="n">
        <v>0.105845212936401</v>
      </c>
      <c r="AH393" s="25" t="n">
        <v>3.24879550933838</v>
      </c>
      <c r="AI393" s="25" t="n">
        <v>12.4336242675781</v>
      </c>
      <c r="AJ393" s="6" t="n">
        <v>61</v>
      </c>
      <c r="AK393" s="6" t="n">
        <v>193.9</v>
      </c>
      <c r="AL393" s="26"/>
    </row>
    <row r="394" customFormat="false" ht="15" hidden="false" customHeight="false" outlineLevel="0" collapsed="false">
      <c r="A394" s="6" t="s">
        <v>3607</v>
      </c>
      <c r="B394" s="6" t="s">
        <v>3608</v>
      </c>
      <c r="C394" s="6" t="s">
        <v>3609</v>
      </c>
      <c r="D394" s="13" t="n">
        <v>251.873519897461</v>
      </c>
      <c r="E394" s="25" t="n">
        <v>7.29667949676514</v>
      </c>
      <c r="F394" s="25" t="n">
        <v>48.339527130127</v>
      </c>
      <c r="G394" s="25" t="n">
        <v>3.76703548431397</v>
      </c>
      <c r="H394" s="25" t="n">
        <v>0.545454561710358</v>
      </c>
      <c r="I394" s="25" t="n">
        <v>32.9553375244141</v>
      </c>
      <c r="J394" s="25" t="n">
        <v>1.18868579101563</v>
      </c>
      <c r="K394" s="25" t="n">
        <v>1.38593676757813</v>
      </c>
      <c r="L394" s="25" t="n">
        <v>0.523138366699219</v>
      </c>
      <c r="M394" s="25" t="n">
        <v>144.664031982422</v>
      </c>
      <c r="N394" s="25" t="n">
        <v>51.8972320556641</v>
      </c>
      <c r="O394" s="25" t="n">
        <v>87.0750961303711</v>
      </c>
      <c r="P394" s="25" t="n">
        <v>24.1067180633545</v>
      </c>
      <c r="Q394" s="25" t="n">
        <v>95.1304321289063</v>
      </c>
      <c r="R394" s="25" t="n">
        <v>10.8596839904785</v>
      </c>
      <c r="S394" s="25" t="n">
        <v>1.19217395782471</v>
      </c>
      <c r="T394" s="25" t="n">
        <v>0.685019791126251</v>
      </c>
      <c r="U394" s="25" t="n">
        <v>0.0738023743033409</v>
      </c>
      <c r="V394" s="25" t="n">
        <v>15.9841890335083</v>
      </c>
      <c r="W394" s="25" t="n">
        <v>0.133320152759552</v>
      </c>
      <c r="X394" s="25" t="n">
        <v>78.260871887207</v>
      </c>
      <c r="Y394" s="25" t="n">
        <v>106.719367980957</v>
      </c>
      <c r="Z394" s="25" t="n">
        <v>0.606719374656677</v>
      </c>
      <c r="AA394" s="25" t="n">
        <v>0.197628453373909</v>
      </c>
      <c r="AB394" s="25" t="n">
        <v>0</v>
      </c>
      <c r="AC394" s="25" t="n">
        <v>0.0534031614661217</v>
      </c>
      <c r="AD394" s="25" t="n">
        <v>0.0873320177197456</v>
      </c>
      <c r="AE394" s="25" t="n">
        <v>0.197332009673119</v>
      </c>
      <c r="AF394" s="25" t="n">
        <v>0.723458528518677</v>
      </c>
      <c r="AG394" s="25" t="n">
        <v>0.0791541486978531</v>
      </c>
      <c r="AH394" s="25" t="n">
        <v>7.32411050796509</v>
      </c>
      <c r="AI394" s="25" t="n">
        <v>22.7055339813232</v>
      </c>
      <c r="AJ394" s="6" t="n">
        <v>63.2</v>
      </c>
      <c r="AK394" s="6" t="n">
        <v>159.3</v>
      </c>
      <c r="AL394" s="26"/>
    </row>
    <row r="395" customFormat="false" ht="15" hidden="false" customHeight="false" outlineLevel="0" collapsed="false">
      <c r="A395" s="6" t="s">
        <v>3610</v>
      </c>
      <c r="B395" s="6" t="s">
        <v>3611</v>
      </c>
      <c r="C395" s="6" t="s">
        <v>3612</v>
      </c>
      <c r="D395" s="13" t="n">
        <v>208.20849609375</v>
      </c>
      <c r="E395" s="25" t="n">
        <v>6.05852031707764</v>
      </c>
      <c r="F395" s="25" t="n">
        <v>29.0399990081787</v>
      </c>
      <c r="G395" s="25" t="n">
        <v>7.87413692474365</v>
      </c>
      <c r="H395" s="25" t="n">
        <v>0.720547914505005</v>
      </c>
      <c r="I395" s="25" t="n">
        <v>18.8342475891113</v>
      </c>
      <c r="J395" s="25" t="n">
        <v>4.1603291015625</v>
      </c>
      <c r="K395" s="25" t="n">
        <v>2.35489038085938</v>
      </c>
      <c r="L395" s="25" t="n">
        <v>0.544265197753906</v>
      </c>
      <c r="M395" s="25" t="n">
        <v>115.342468261719</v>
      </c>
      <c r="N395" s="25" t="n">
        <v>44.2994537353516</v>
      </c>
      <c r="O395" s="25" t="n">
        <v>107.326026916504</v>
      </c>
      <c r="P395" s="25" t="n">
        <v>42.9704093933106</v>
      </c>
      <c r="Q395" s="25" t="n">
        <v>89.4243850708008</v>
      </c>
      <c r="R395" s="25" t="n">
        <v>11.4180822372437</v>
      </c>
      <c r="S395" s="25" t="n">
        <v>0.862520575523377</v>
      </c>
      <c r="T395" s="25" t="n">
        <v>0.571808218955994</v>
      </c>
      <c r="U395" s="25" t="n">
        <v>0.0591561645269394</v>
      </c>
      <c r="V395" s="25" t="n">
        <v>11.0860271453857</v>
      </c>
      <c r="W395" s="25" t="n">
        <v>0.232410967350006</v>
      </c>
      <c r="X395" s="25" t="n">
        <v>133.972595214844</v>
      </c>
      <c r="Y395" s="25" t="n">
        <v>134.814514160156</v>
      </c>
      <c r="Z395" s="25" t="n">
        <v>0.589260280132294</v>
      </c>
      <c r="AA395" s="25" t="n">
        <v>0.486575335264206</v>
      </c>
      <c r="AB395" s="25" t="n">
        <v>3.9871232509613</v>
      </c>
      <c r="AC395" s="25" t="n">
        <v>0.0538931526243687</v>
      </c>
      <c r="AD395" s="25" t="n">
        <v>0.116041094064713</v>
      </c>
      <c r="AE395" s="25" t="n">
        <v>0.183630138635635</v>
      </c>
      <c r="AF395" s="25" t="n">
        <v>0.603712320327759</v>
      </c>
      <c r="AG395" s="25" t="n">
        <v>0.0770575329661369</v>
      </c>
      <c r="AH395" s="25" t="n">
        <v>5.97178077697754</v>
      </c>
      <c r="AI395" s="25" t="n">
        <v>19.090410232544</v>
      </c>
      <c r="AJ395" s="6" t="n">
        <v>91.2</v>
      </c>
      <c r="AK395" s="6" t="n">
        <v>190</v>
      </c>
      <c r="AL395" s="26"/>
    </row>
    <row r="396" customFormat="false" ht="15" hidden="false" customHeight="false" outlineLevel="0" collapsed="false">
      <c r="A396" s="6" t="s">
        <v>3613</v>
      </c>
      <c r="B396" s="6" t="s">
        <v>3614</v>
      </c>
      <c r="C396" s="6" t="s">
        <v>3612</v>
      </c>
      <c r="D396" s="13" t="n">
        <v>233.54557800293</v>
      </c>
      <c r="E396" s="25" t="n">
        <v>6.08782815933228</v>
      </c>
      <c r="F396" s="25" t="n">
        <v>34.476676940918</v>
      </c>
      <c r="G396" s="25" t="n">
        <v>8.4634313583374</v>
      </c>
      <c r="H396" s="25" t="n">
        <v>0.540482580661774</v>
      </c>
      <c r="I396" s="25" t="n">
        <v>21.3525466918945</v>
      </c>
      <c r="J396" s="25" t="n">
        <v>4.52409521484375</v>
      </c>
      <c r="K396" s="25" t="n">
        <v>2.54830419921875</v>
      </c>
      <c r="L396" s="25" t="n">
        <v>0.565587158203125</v>
      </c>
      <c r="M396" s="25" t="n">
        <v>113.029487609863</v>
      </c>
      <c r="N396" s="25" t="n">
        <v>53.4348526000977</v>
      </c>
      <c r="O396" s="25" t="n">
        <v>110.970512390137</v>
      </c>
      <c r="P396" s="25" t="n">
        <v>44.1538887023926</v>
      </c>
      <c r="Q396" s="25" t="n">
        <v>92.1911544799805</v>
      </c>
      <c r="R396" s="25" t="n">
        <v>13.5672922134399</v>
      </c>
      <c r="S396" s="25" t="n">
        <v>0.91962468624115</v>
      </c>
      <c r="T396" s="25" t="n">
        <v>0.588498651981354</v>
      </c>
      <c r="U396" s="25" t="n">
        <v>0.0741876661777496</v>
      </c>
      <c r="V396" s="25" t="n">
        <v>10.9490613937378</v>
      </c>
      <c r="W396" s="25" t="n">
        <v>0.119383379817009</v>
      </c>
      <c r="X396" s="25" t="n">
        <v>131.501342773438</v>
      </c>
      <c r="Y396" s="25" t="n">
        <v>138.927612304688</v>
      </c>
      <c r="Z396" s="25" t="n">
        <v>0.580965161323547</v>
      </c>
      <c r="AA396" s="25" t="n">
        <v>0.642895460128784</v>
      </c>
      <c r="AB396" s="25" t="n">
        <v>0.977479875087738</v>
      </c>
      <c r="AC396" s="25" t="n">
        <v>0.0516112595796585</v>
      </c>
      <c r="AD396" s="25" t="n">
        <v>0.114034853875637</v>
      </c>
      <c r="AE396" s="25" t="n">
        <v>0.186662197113037</v>
      </c>
      <c r="AF396" s="25" t="n">
        <v>0.598967850208283</v>
      </c>
      <c r="AG396" s="25" t="n">
        <v>0.0663967803120613</v>
      </c>
      <c r="AH396" s="25" t="n">
        <v>5.92117977142334</v>
      </c>
      <c r="AI396" s="25" t="n">
        <v>17.4587135314941</v>
      </c>
      <c r="AJ396" s="6" t="n">
        <v>93.2</v>
      </c>
      <c r="AK396" s="6" t="n">
        <v>217.8</v>
      </c>
      <c r="AL396" s="26"/>
    </row>
    <row r="397" customFormat="false" ht="15" hidden="false" customHeight="false" outlineLevel="0" collapsed="false">
      <c r="A397" s="6" t="s">
        <v>3615</v>
      </c>
      <c r="B397" s="6" t="s">
        <v>3616</v>
      </c>
      <c r="C397" s="6" t="s">
        <v>3617</v>
      </c>
      <c r="D397" s="13" t="n">
        <v>274.855682373047</v>
      </c>
      <c r="E397" s="25" t="n">
        <v>7.09024477005005</v>
      </c>
      <c r="F397" s="25" t="n">
        <v>42.5571670532227</v>
      </c>
      <c r="G397" s="25" t="n">
        <v>8.86209774017334</v>
      </c>
      <c r="H397" s="25" t="n">
        <v>1.8706294298172</v>
      </c>
      <c r="I397" s="25" t="n">
        <v>28.5501747131348</v>
      </c>
      <c r="J397" s="25" t="n">
        <v>4.822333984375</v>
      </c>
      <c r="K397" s="25" t="n">
        <v>1.55032165527344</v>
      </c>
      <c r="L397" s="25" t="n">
        <v>0.543982543945313</v>
      </c>
      <c r="M397" s="25" t="n">
        <v>127.972030639648</v>
      </c>
      <c r="N397" s="25" t="n">
        <v>46.8636360168457</v>
      </c>
      <c r="O397" s="25" t="n">
        <v>141.164337158203</v>
      </c>
      <c r="P397" s="25" t="n">
        <v>24.0384616851807</v>
      </c>
      <c r="Q397" s="25" t="n">
        <v>101.856643676758</v>
      </c>
      <c r="R397" s="25" t="n">
        <v>18.1040210723877</v>
      </c>
      <c r="S397" s="25" t="n">
        <v>1.30723774433136</v>
      </c>
      <c r="T397" s="25" t="n">
        <v>0.725034952163696</v>
      </c>
      <c r="U397" s="25" t="n">
        <v>0.141860142350197</v>
      </c>
      <c r="V397" s="25" t="n">
        <v>16.3470268249512</v>
      </c>
      <c r="W397" s="25" t="n">
        <v>0.258671343326569</v>
      </c>
      <c r="X397" s="25" t="n">
        <v>69.2307662963867</v>
      </c>
      <c r="Y397" s="25" t="n">
        <v>109.79020690918</v>
      </c>
      <c r="Z397" s="25" t="n">
        <v>1.06643354892731</v>
      </c>
      <c r="AA397" s="25" t="n">
        <v>0.426573425531387</v>
      </c>
      <c r="AB397" s="25" t="n">
        <v>0</v>
      </c>
      <c r="AC397" s="25" t="n">
        <v>0.0507377609610558</v>
      </c>
      <c r="AD397" s="25" t="n">
        <v>0.0807517468929291</v>
      </c>
      <c r="AE397" s="25" t="n">
        <v>0.236625865101814</v>
      </c>
      <c r="AF397" s="25" t="n">
        <v>0.658339202404022</v>
      </c>
      <c r="AG397" s="25" t="n">
        <v>0.0831328630447388</v>
      </c>
      <c r="AH397" s="25" t="n">
        <v>6.567307472229</v>
      </c>
      <c r="AI397" s="25" t="n">
        <v>22.2071685791016</v>
      </c>
      <c r="AJ397" s="6" t="n">
        <v>71.5</v>
      </c>
      <c r="AK397" s="6" t="n">
        <v>196.5</v>
      </c>
      <c r="AL397" s="26"/>
    </row>
    <row r="398" customFormat="false" ht="15" hidden="false" customHeight="false" outlineLevel="0" collapsed="false">
      <c r="A398" s="6" t="s">
        <v>3618</v>
      </c>
      <c r="B398" s="6" t="s">
        <v>3619</v>
      </c>
      <c r="C398" s="6" t="s">
        <v>3482</v>
      </c>
      <c r="D398" s="13" t="n">
        <v>195.571548461914</v>
      </c>
      <c r="E398" s="25" t="n">
        <v>5.01337242126465</v>
      </c>
      <c r="F398" s="25" t="n">
        <v>23.5089664459229</v>
      </c>
      <c r="G398" s="25" t="n">
        <v>9.34397697448731</v>
      </c>
      <c r="H398" s="25" t="n">
        <v>0.756335258483887</v>
      </c>
      <c r="I398" s="25" t="n">
        <v>16.1576995849609</v>
      </c>
      <c r="J398" s="25" t="n">
        <v>5.333923828125</v>
      </c>
      <c r="K398" s="25" t="n">
        <v>2.6675009765625</v>
      </c>
      <c r="L398" s="25" t="n">
        <v>0.516490478515625</v>
      </c>
      <c r="M398" s="25" t="n">
        <v>92.7875213623047</v>
      </c>
      <c r="N398" s="25" t="n">
        <v>37.474853515625</v>
      </c>
      <c r="O398" s="25" t="n">
        <v>108.385963439941</v>
      </c>
      <c r="P398" s="25" t="n">
        <v>49.0553588867188</v>
      </c>
      <c r="Q398" s="25" t="n">
        <v>80.3270950317383</v>
      </c>
      <c r="R398" s="25" t="n">
        <v>10.7050685882568</v>
      </c>
      <c r="S398" s="25" t="n">
        <v>0.644873321056366</v>
      </c>
      <c r="T398" s="25" t="n">
        <v>0.475068241357803</v>
      </c>
      <c r="U398" s="25" t="n">
        <v>0.04832748696208</v>
      </c>
      <c r="V398" s="25" t="n">
        <v>7.89239740371704</v>
      </c>
      <c r="W398" s="25" t="n">
        <v>0.243138402700424</v>
      </c>
      <c r="X398" s="25" t="n">
        <v>152.046783447266</v>
      </c>
      <c r="Y398" s="25" t="n">
        <v>138.960235595703</v>
      </c>
      <c r="Z398" s="25" t="n">
        <v>0.538362562656403</v>
      </c>
      <c r="AA398" s="25" t="n">
        <v>0.594931781291962</v>
      </c>
      <c r="AB398" s="25" t="n">
        <v>5.33060455322266</v>
      </c>
      <c r="AC398" s="25" t="n">
        <v>0.0484814830124378</v>
      </c>
      <c r="AD398" s="25" t="n">
        <v>0.121744640171528</v>
      </c>
      <c r="AE398" s="25" t="n">
        <v>0.160867437720299</v>
      </c>
      <c r="AF398" s="25" t="n">
        <v>0.500107228755951</v>
      </c>
      <c r="AG398" s="25" t="n">
        <v>0.0690565258264542</v>
      </c>
      <c r="AH398" s="25" t="n">
        <v>4.88576984405518</v>
      </c>
      <c r="AI398" s="25" t="n">
        <v>15.7183237075806</v>
      </c>
      <c r="AJ398" s="6" t="n">
        <v>513</v>
      </c>
      <c r="AK398" s="6" t="n">
        <v>1003.3</v>
      </c>
      <c r="AL398" s="26"/>
    </row>
    <row r="399" customFormat="false" ht="15" hidden="false" customHeight="false" outlineLevel="0" collapsed="false">
      <c r="A399" s="6" t="s">
        <v>3620</v>
      </c>
      <c r="B399" s="6" t="s">
        <v>3621</v>
      </c>
      <c r="C399" s="6" t="s">
        <v>3622</v>
      </c>
      <c r="D399" s="13" t="n">
        <v>424.801055908203</v>
      </c>
      <c r="E399" s="25" t="n">
        <v>6.55967807769775</v>
      </c>
      <c r="F399" s="25" t="n">
        <v>47.0965385437012</v>
      </c>
      <c r="G399" s="25" t="n">
        <v>23.6221084594727</v>
      </c>
      <c r="H399" s="25" t="n">
        <v>1.54497182369232</v>
      </c>
      <c r="I399" s="25" t="n">
        <v>22.580530166626</v>
      </c>
      <c r="J399" s="25" t="n">
        <v>10.5970556640625</v>
      </c>
      <c r="K399" s="25" t="n">
        <v>5.75461328125</v>
      </c>
      <c r="L399" s="25" t="n">
        <v>5.3048369140625</v>
      </c>
      <c r="M399" s="25" t="n">
        <v>69.0265502929688</v>
      </c>
      <c r="N399" s="25" t="n">
        <v>280.438629150391</v>
      </c>
      <c r="O399" s="25" t="n">
        <v>158.227676391602</v>
      </c>
      <c r="P399" s="25" t="n">
        <v>36.1000785827637</v>
      </c>
      <c r="Q399" s="25" t="n">
        <v>144.876266479492</v>
      </c>
      <c r="R399" s="25" t="n">
        <v>43.3103790283203</v>
      </c>
      <c r="S399" s="25" t="n">
        <v>1.36617863178253</v>
      </c>
      <c r="T399" s="25" t="n">
        <v>0.899018526077271</v>
      </c>
      <c r="U399" s="25" t="n">
        <v>0.336907476186752</v>
      </c>
      <c r="V399" s="25" t="n">
        <v>3.92083668708801</v>
      </c>
      <c r="W399" s="25" t="n">
        <v>0.552727282047272</v>
      </c>
      <c r="X399" s="25" t="n">
        <v>164.279968261719</v>
      </c>
      <c r="Y399" s="25" t="n">
        <v>433.419158935547</v>
      </c>
      <c r="Z399" s="25" t="n">
        <v>1.49055516719818</v>
      </c>
      <c r="AA399" s="25" t="n">
        <v>8.9164924621582</v>
      </c>
      <c r="AB399" s="25" t="n">
        <v>0.632341146469116</v>
      </c>
      <c r="AC399" s="25" t="n">
        <v>0.101374097168446</v>
      </c>
      <c r="AD399" s="25" t="n">
        <v>0.0534835048019886</v>
      </c>
      <c r="AE399" s="25" t="n">
        <v>0.402252614498138</v>
      </c>
      <c r="AF399" s="25" t="n">
        <v>0.457023352384567</v>
      </c>
      <c r="AG399" s="25" t="n">
        <v>0.121679805219173</v>
      </c>
      <c r="AH399" s="25" t="n">
        <v>3.07546257972717</v>
      </c>
      <c r="AI399" s="25" t="n">
        <v>16.3127918243408</v>
      </c>
      <c r="AJ399" s="6" t="n">
        <v>25.9</v>
      </c>
      <c r="AK399" s="6" t="n">
        <v>110</v>
      </c>
      <c r="AL399" s="26"/>
    </row>
    <row r="400" customFormat="false" ht="15" hidden="false" customHeight="false" outlineLevel="0" collapsed="false">
      <c r="A400" s="6" t="s">
        <v>3623</v>
      </c>
      <c r="B400" s="6" t="s">
        <v>3624</v>
      </c>
      <c r="C400" s="6" t="s">
        <v>3622</v>
      </c>
      <c r="D400" s="13" t="n">
        <v>425.290283203125</v>
      </c>
      <c r="E400" s="25" t="n">
        <v>5.79070472717285</v>
      </c>
      <c r="F400" s="25" t="n">
        <v>57.9794273376465</v>
      </c>
      <c r="G400" s="25" t="n">
        <v>19.3783226013184</v>
      </c>
      <c r="H400" s="25" t="n">
        <v>1.05142855644226</v>
      </c>
      <c r="I400" s="25" t="n">
        <v>30.2857151031494</v>
      </c>
      <c r="J400" s="25" t="n">
        <v>11.7772001953125</v>
      </c>
      <c r="K400" s="25" t="n">
        <v>5.1565673828125</v>
      </c>
      <c r="L400" s="25" t="n">
        <v>0.870872375488281</v>
      </c>
      <c r="M400" s="25" t="n">
        <v>75.9771423339844</v>
      </c>
      <c r="N400" s="25" t="n">
        <v>278.293334960938</v>
      </c>
      <c r="O400" s="25" t="n">
        <v>114.087615966797</v>
      </c>
      <c r="P400" s="25" t="n">
        <v>24.7580947875977</v>
      </c>
      <c r="Q400" s="25" t="n">
        <v>77.1847610473633</v>
      </c>
      <c r="R400" s="25" t="n">
        <v>22.9990482330322</v>
      </c>
      <c r="S400" s="25" t="n">
        <v>1.21836185455322</v>
      </c>
      <c r="T400" s="25" t="n">
        <v>0.613561928272247</v>
      </c>
      <c r="U400" s="25" t="n">
        <v>0.161379039287567</v>
      </c>
      <c r="V400" s="25" t="n">
        <v>4.2171425819397</v>
      </c>
      <c r="W400" s="25" t="n">
        <v>0.300380945205689</v>
      </c>
      <c r="X400" s="25" t="n">
        <v>202.70475769043</v>
      </c>
      <c r="Y400" s="25" t="n">
        <v>232.895233154297</v>
      </c>
      <c r="Z400" s="25" t="n">
        <v>0.646895229816437</v>
      </c>
      <c r="AA400" s="25" t="n">
        <v>2.00076198577881</v>
      </c>
      <c r="AB400" s="25" t="n">
        <v>0</v>
      </c>
      <c r="AC400" s="25" t="n">
        <v>0.0665561929345131</v>
      </c>
      <c r="AD400" s="25" t="n">
        <v>0.060133334249258</v>
      </c>
      <c r="AE400" s="25" t="n">
        <v>0.342000007629395</v>
      </c>
      <c r="AF400" s="25" t="n">
        <v>0.451371431350708</v>
      </c>
      <c r="AG400" s="25" t="n">
        <v>0.0485561899840832</v>
      </c>
      <c r="AH400" s="25" t="n">
        <v>2.27047610282898</v>
      </c>
      <c r="AI400" s="25" t="n">
        <v>11.9847621917725</v>
      </c>
      <c r="AJ400" s="6" t="n">
        <v>21.9</v>
      </c>
      <c r="AK400" s="6" t="n">
        <v>93</v>
      </c>
      <c r="AL400" s="26"/>
    </row>
    <row r="401" customFormat="false" ht="15" hidden="false" customHeight="false" outlineLevel="0" collapsed="false">
      <c r="A401" s="6" t="s">
        <v>3625</v>
      </c>
      <c r="B401" s="6" t="s">
        <v>3626</v>
      </c>
      <c r="C401" s="6" t="s">
        <v>3627</v>
      </c>
      <c r="D401" s="13" t="n">
        <v>380.757476806641</v>
      </c>
      <c r="E401" s="25" t="n">
        <v>5.85941743850708</v>
      </c>
      <c r="F401" s="25" t="n">
        <v>50.290096282959</v>
      </c>
      <c r="G401" s="25" t="n">
        <v>17.6666011810303</v>
      </c>
      <c r="H401" s="25" t="n">
        <v>1.0718446969986</v>
      </c>
      <c r="I401" s="25" t="n">
        <v>21.7697086334229</v>
      </c>
      <c r="J401" s="25" t="n">
        <v>10.7553984375</v>
      </c>
      <c r="K401" s="25" t="n">
        <v>4.55925830078125</v>
      </c>
      <c r="L401" s="25" t="n">
        <v>0.810640747070313</v>
      </c>
      <c r="M401" s="25" t="n">
        <v>76.8932037353516</v>
      </c>
      <c r="N401" s="25" t="n">
        <v>132.593399047852</v>
      </c>
      <c r="O401" s="25" t="n">
        <v>90.9611663818359</v>
      </c>
      <c r="P401" s="25" t="n">
        <v>42.8776702880859</v>
      </c>
      <c r="Q401" s="25" t="n">
        <v>158.434173583984</v>
      </c>
      <c r="R401" s="25" t="n">
        <v>14.9132041931152</v>
      </c>
      <c r="S401" s="25" t="n">
        <v>0.920388340950012</v>
      </c>
      <c r="T401" s="25" t="n">
        <v>0.565631091594696</v>
      </c>
      <c r="U401" s="25" t="n">
        <v>0.101553395390511</v>
      </c>
      <c r="V401" s="25" t="n">
        <v>4.03689289093018</v>
      </c>
      <c r="W401" s="25" t="n">
        <v>0.247766986489296</v>
      </c>
      <c r="X401" s="25" t="n">
        <v>205.242721557617</v>
      </c>
      <c r="Y401" s="25" t="n">
        <v>259.320373535156</v>
      </c>
      <c r="Z401" s="25" t="n">
        <v>0.550873816013336</v>
      </c>
      <c r="AA401" s="25" t="n">
        <v>1.82524275779724</v>
      </c>
      <c r="AB401" s="25" t="n">
        <v>0.234174758195877</v>
      </c>
      <c r="AC401" s="25" t="n">
        <v>0.0675728172063828</v>
      </c>
      <c r="AD401" s="25" t="n">
        <v>0.0681553408503532</v>
      </c>
      <c r="AE401" s="25" t="n">
        <v>0.319029122591019</v>
      </c>
      <c r="AF401" s="25" t="n">
        <v>0.471650511026382</v>
      </c>
      <c r="AG401" s="25" t="n">
        <v>0.0512621365487576</v>
      </c>
      <c r="AH401" s="25" t="n">
        <v>2.26563096046448</v>
      </c>
      <c r="AI401" s="25" t="n">
        <v>11.9180583953857</v>
      </c>
      <c r="AJ401" s="6" t="n">
        <v>14.3</v>
      </c>
      <c r="AK401" s="6" t="n">
        <v>54.5</v>
      </c>
      <c r="AL401" s="26"/>
    </row>
    <row r="402" customFormat="false" ht="15" hidden="false" customHeight="false" outlineLevel="0" collapsed="false">
      <c r="A402" s="6" t="s">
        <v>3628</v>
      </c>
      <c r="B402" s="6" t="s">
        <v>3629</v>
      </c>
      <c r="C402" s="6" t="s">
        <v>3627</v>
      </c>
      <c r="D402" s="13" t="n">
        <v>379.761657714844</v>
      </c>
      <c r="E402" s="25" t="n">
        <v>5.87632989883423</v>
      </c>
      <c r="F402" s="25" t="n">
        <v>51.5640335083008</v>
      </c>
      <c r="G402" s="25" t="n">
        <v>17.0922927856445</v>
      </c>
      <c r="H402" s="25" t="n">
        <v>1.01284408569336</v>
      </c>
      <c r="I402" s="25" t="n">
        <v>24.1603660583496</v>
      </c>
      <c r="J402" s="25" t="n">
        <v>10.3982197265625</v>
      </c>
      <c r="K402" s="25" t="n">
        <v>4.44039990234375</v>
      </c>
      <c r="L402" s="25" t="n">
        <v>0.777027526855469</v>
      </c>
      <c r="M402" s="25" t="n">
        <v>72.6605529785156</v>
      </c>
      <c r="N402" s="25" t="n">
        <v>127.01944732666</v>
      </c>
      <c r="O402" s="25" t="n">
        <v>114.981651306152</v>
      </c>
      <c r="P402" s="25" t="n">
        <v>41.5082588195801</v>
      </c>
      <c r="Q402" s="25" t="n">
        <v>161.859817504883</v>
      </c>
      <c r="R402" s="25" t="n">
        <v>23.2666053771973</v>
      </c>
      <c r="S402" s="25" t="n">
        <v>1.1357798576355</v>
      </c>
      <c r="T402" s="25" t="n">
        <v>0.664770662784576</v>
      </c>
      <c r="U402" s="25" t="n">
        <v>0.156513765454292</v>
      </c>
      <c r="V402" s="25" t="n">
        <v>3.81467866897583</v>
      </c>
      <c r="W402" s="25" t="n">
        <v>0.234128445386887</v>
      </c>
      <c r="X402" s="25" t="n">
        <v>193.944961547852</v>
      </c>
      <c r="Y402" s="25" t="n">
        <v>245.779815673828</v>
      </c>
      <c r="Z402" s="25" t="n">
        <v>0.533027529716492</v>
      </c>
      <c r="AA402" s="25" t="n">
        <v>1.75229358673096</v>
      </c>
      <c r="AB402" s="25" t="n">
        <v>0.221284404397011</v>
      </c>
      <c r="AC402" s="25" t="n">
        <v>0.0667889937758446</v>
      </c>
      <c r="AD402" s="25" t="n">
        <v>0.0655045881867409</v>
      </c>
      <c r="AE402" s="25" t="n">
        <v>0.332660555839539</v>
      </c>
      <c r="AF402" s="25" t="n">
        <v>0.445688098669052</v>
      </c>
      <c r="AG402" s="25" t="n">
        <v>0.0497247688472271</v>
      </c>
      <c r="AH402" s="25" t="n">
        <v>2.14091730117798</v>
      </c>
      <c r="AI402" s="25" t="n">
        <v>11.9592657089233</v>
      </c>
      <c r="AJ402" s="6" t="n">
        <v>15.1</v>
      </c>
      <c r="AK402" s="6" t="n">
        <v>57.5</v>
      </c>
      <c r="AL402" s="26"/>
    </row>
    <row r="403" customFormat="false" ht="15" hidden="false" customHeight="false" outlineLevel="0" collapsed="false">
      <c r="A403" s="6" t="s">
        <v>3630</v>
      </c>
      <c r="B403" s="6" t="s">
        <v>3631</v>
      </c>
      <c r="C403" s="6" t="s">
        <v>3627</v>
      </c>
      <c r="D403" s="13" t="n">
        <v>434.983093261719</v>
      </c>
      <c r="E403" s="25" t="n">
        <v>5.78074073791504</v>
      </c>
      <c r="F403" s="25" t="n">
        <v>42.9045906066895</v>
      </c>
      <c r="G403" s="25" t="n">
        <v>27.1607418060303</v>
      </c>
      <c r="H403" s="25" t="n">
        <v>3.64088892936707</v>
      </c>
      <c r="I403" s="25" t="n">
        <v>20.7570362091065</v>
      </c>
      <c r="J403" s="25" t="n">
        <v>17.41835546875</v>
      </c>
      <c r="K403" s="25" t="n">
        <v>4.75765625</v>
      </c>
      <c r="L403" s="25" t="n">
        <v>0.867496276855469</v>
      </c>
      <c r="M403" s="25" t="n">
        <v>64.9777755737305</v>
      </c>
      <c r="N403" s="25" t="n">
        <v>105.758811950684</v>
      </c>
      <c r="O403" s="25" t="n">
        <v>202.792587280273</v>
      </c>
      <c r="P403" s="25" t="n">
        <v>37.8103713989258</v>
      </c>
      <c r="Q403" s="25" t="n">
        <v>157.679412841797</v>
      </c>
      <c r="R403" s="25" t="n">
        <v>28.4229640960693</v>
      </c>
      <c r="S403" s="25" t="n">
        <v>1.31792593002319</v>
      </c>
      <c r="T403" s="25" t="n">
        <v>0.688148140907288</v>
      </c>
      <c r="U403" s="25" t="n">
        <v>0.228888899087906</v>
      </c>
      <c r="V403" s="25" t="n">
        <v>7.56888866424561</v>
      </c>
      <c r="W403" s="25" t="n">
        <v>0.475259274244309</v>
      </c>
      <c r="X403" s="25" t="n">
        <v>184.977767944336</v>
      </c>
      <c r="Y403" s="25" t="n">
        <v>247.155548095703</v>
      </c>
      <c r="Z403" s="25" t="n">
        <v>1.55244445800781</v>
      </c>
      <c r="AA403" s="25" t="n">
        <v>2.12385177612305</v>
      </c>
      <c r="AB403" s="25" t="n">
        <v>0.178666666150093</v>
      </c>
      <c r="AC403" s="25" t="n">
        <v>0.0586666688323021</v>
      </c>
      <c r="AD403" s="25" t="n">
        <v>0.06118518486619</v>
      </c>
      <c r="AE403" s="25" t="n">
        <v>0.369629621505737</v>
      </c>
      <c r="AF403" s="25" t="n">
        <v>0.398666679859161</v>
      </c>
      <c r="AG403" s="25" t="n">
        <v>0.0657777786254883</v>
      </c>
      <c r="AH403" s="25" t="n">
        <v>1.91407406330109</v>
      </c>
      <c r="AI403" s="25" t="n">
        <v>13.4077033996582</v>
      </c>
      <c r="AJ403" s="6" t="n">
        <v>18.7</v>
      </c>
      <c r="AK403" s="6" t="n">
        <v>81.6</v>
      </c>
      <c r="AL403" s="26"/>
    </row>
    <row r="404" customFormat="false" ht="15" hidden="false" customHeight="false" outlineLevel="0" collapsed="false">
      <c r="A404" s="6" t="s">
        <v>3632</v>
      </c>
      <c r="B404" s="6" t="s">
        <v>3633</v>
      </c>
      <c r="C404" s="6" t="s">
        <v>3627</v>
      </c>
      <c r="D404" s="13" t="n">
        <v>407.956756591797</v>
      </c>
      <c r="E404" s="25" t="n">
        <v>6.15341949462891</v>
      </c>
      <c r="F404" s="25" t="n">
        <v>45.0871467590332</v>
      </c>
      <c r="G404" s="25" t="n">
        <v>22.3854923248291</v>
      </c>
      <c r="H404" s="25" t="n">
        <v>1.67668390274048</v>
      </c>
      <c r="I404" s="25" t="n">
        <v>7.22124338150024</v>
      </c>
      <c r="J404" s="25" t="n">
        <v>13.9698701171875</v>
      </c>
      <c r="K404" s="25" t="n">
        <v>5.63204150390625</v>
      </c>
      <c r="L404" s="25" t="n">
        <v>0.932331604003906</v>
      </c>
      <c r="M404" s="25" t="n">
        <v>55.1813468933106</v>
      </c>
      <c r="N404" s="25" t="n">
        <v>414.70361328125</v>
      </c>
      <c r="O404" s="25" t="n">
        <v>109.953369140625</v>
      </c>
      <c r="P404" s="25" t="n">
        <v>37.2383422851563</v>
      </c>
      <c r="Q404" s="25" t="n">
        <v>78.0248718261719</v>
      </c>
      <c r="R404" s="25" t="n">
        <v>18.4943008422852</v>
      </c>
      <c r="S404" s="25" t="n">
        <v>1.05331599712372</v>
      </c>
      <c r="T404" s="25" t="n">
        <v>0.539378225803375</v>
      </c>
      <c r="U404" s="25" t="n">
        <v>0.0987564772367477</v>
      </c>
      <c r="V404" s="25" t="n">
        <v>0.147668391466141</v>
      </c>
      <c r="W404" s="25" t="n">
        <v>0.327979266643524</v>
      </c>
      <c r="X404" s="25" t="n">
        <v>248.1865234375</v>
      </c>
      <c r="Y404" s="25" t="n">
        <v>328.497406005859</v>
      </c>
      <c r="Z404" s="25" t="n">
        <v>0.539378225803375</v>
      </c>
      <c r="AA404" s="25" t="n">
        <v>2.4352331161499</v>
      </c>
      <c r="AB404" s="25" t="n">
        <v>0.312435239553452</v>
      </c>
      <c r="AC404" s="25" t="n">
        <v>0.0823834240436554</v>
      </c>
      <c r="AD404" s="25" t="n">
        <v>0.0663212463259697</v>
      </c>
      <c r="AE404" s="25" t="n">
        <v>0.411398947238922</v>
      </c>
      <c r="AF404" s="25" t="n">
        <v>0.43886011838913</v>
      </c>
      <c r="AG404" s="25" t="n">
        <v>0.0476683937013149</v>
      </c>
      <c r="AH404" s="25" t="n">
        <v>0.660103619098663</v>
      </c>
      <c r="AI404" s="25" t="n">
        <v>9.51243495941162</v>
      </c>
      <c r="AJ404" s="6" t="n">
        <v>10.7</v>
      </c>
      <c r="AK404" s="6" t="n">
        <v>43.7</v>
      </c>
      <c r="AL404" s="26"/>
    </row>
    <row r="405" customFormat="false" ht="15" hidden="false" customHeight="false" outlineLevel="0" collapsed="false">
      <c r="A405" s="6" t="s">
        <v>3634</v>
      </c>
      <c r="B405" s="6" t="s">
        <v>3635</v>
      </c>
      <c r="C405" s="6" t="s">
        <v>3627</v>
      </c>
      <c r="D405" s="13" t="n">
        <v>401.049224853516</v>
      </c>
      <c r="E405" s="25" t="n">
        <v>8.45093727111816</v>
      </c>
      <c r="F405" s="25" t="n">
        <v>46.7240600585938</v>
      </c>
      <c r="G405" s="25" t="n">
        <v>20.408281326294</v>
      </c>
      <c r="H405" s="25" t="n">
        <v>2.484375</v>
      </c>
      <c r="I405" s="25" t="n">
        <v>21.2646865844727</v>
      </c>
      <c r="J405" s="25" t="n">
        <v>9.927234375</v>
      </c>
      <c r="K405" s="25" t="n">
        <v>6.5339345703125</v>
      </c>
      <c r="L405" s="25" t="n">
        <v>2.4623125</v>
      </c>
      <c r="M405" s="25" t="n">
        <v>61.875</v>
      </c>
      <c r="N405" s="25" t="n">
        <v>202.260314941406</v>
      </c>
      <c r="O405" s="25" t="n">
        <v>180.953125</v>
      </c>
      <c r="P405" s="25" t="n">
        <v>50.5812492370606</v>
      </c>
      <c r="Q405" s="25" t="n">
        <v>254.474380493164</v>
      </c>
      <c r="R405" s="25" t="n">
        <v>42.5395317077637</v>
      </c>
      <c r="S405" s="25" t="n">
        <v>1.34062504768372</v>
      </c>
      <c r="T405" s="25" t="n">
        <v>0.977031230926514</v>
      </c>
      <c r="U405" s="25" t="n">
        <v>0.216093748807907</v>
      </c>
      <c r="V405" s="25" t="n">
        <v>3.78125</v>
      </c>
      <c r="W405" s="25" t="n">
        <v>0.452499985694885</v>
      </c>
      <c r="X405" s="25" t="n">
        <v>165.15625</v>
      </c>
      <c r="Y405" s="25" t="n">
        <v>221.609375</v>
      </c>
      <c r="Z405" s="25" t="n">
        <v>1.11203134059906</v>
      </c>
      <c r="AA405" s="25" t="n">
        <v>1.859375</v>
      </c>
      <c r="AB405" s="25" t="n">
        <v>0.18843749165535</v>
      </c>
      <c r="AC405" s="25" t="n">
        <v>0.143437504768372</v>
      </c>
      <c r="AD405" s="25" t="n">
        <v>0.0735937505960465</v>
      </c>
      <c r="AE405" s="25" t="n">
        <v>2.03015637397766</v>
      </c>
      <c r="AF405" s="25" t="n">
        <v>0.537343740463257</v>
      </c>
      <c r="AG405" s="25" t="n">
        <v>0.0771875008940697</v>
      </c>
      <c r="AH405" s="25" t="n">
        <v>2.07468748092651</v>
      </c>
      <c r="AI405" s="25" t="n">
        <v>23.7887496948242</v>
      </c>
      <c r="AJ405" s="6" t="n">
        <v>17.8</v>
      </c>
      <c r="AK405" s="6" t="n">
        <v>71.3</v>
      </c>
      <c r="AL405" s="26"/>
    </row>
    <row r="406" customFormat="false" ht="15" hidden="false" customHeight="false" outlineLevel="0" collapsed="false">
      <c r="A406" s="6" t="s">
        <v>3636</v>
      </c>
      <c r="B406" s="6" t="s">
        <v>3637</v>
      </c>
      <c r="C406" s="6" t="s">
        <v>3627</v>
      </c>
      <c r="D406" s="13" t="n">
        <v>404.600219726563</v>
      </c>
      <c r="E406" s="25" t="n">
        <v>5.39958047866821</v>
      </c>
      <c r="F406" s="25" t="n">
        <v>54.5647773742676</v>
      </c>
      <c r="G406" s="25" t="n">
        <v>18.660795211792</v>
      </c>
      <c r="H406" s="25" t="n">
        <v>1.15723264217377</v>
      </c>
      <c r="I406" s="25" t="n">
        <v>23.2524108886719</v>
      </c>
      <c r="J406" s="25" t="n">
        <v>11.624171875</v>
      </c>
      <c r="K406" s="25" t="n">
        <v>4.738716796875</v>
      </c>
      <c r="L406" s="25" t="n">
        <v>0.769559753417969</v>
      </c>
      <c r="M406" s="25" t="n">
        <v>44.6540870666504</v>
      </c>
      <c r="N406" s="25" t="n">
        <v>131.730819702148</v>
      </c>
      <c r="O406" s="25" t="n">
        <v>122.735847473145</v>
      </c>
      <c r="P406" s="25" t="n">
        <v>42.704402923584</v>
      </c>
      <c r="Q406" s="25" t="n">
        <v>168.267501831055</v>
      </c>
      <c r="R406" s="25" t="n">
        <v>27.5048217773438</v>
      </c>
      <c r="S406" s="25" t="n">
        <v>1.12997901439667</v>
      </c>
      <c r="T406" s="25" t="n">
        <v>0.655345916748047</v>
      </c>
      <c r="U406" s="25" t="n">
        <v>0.185744240880013</v>
      </c>
      <c r="V406" s="25" t="n">
        <v>0.1194968521595</v>
      </c>
      <c r="W406" s="25" t="n">
        <v>0.2654088139534</v>
      </c>
      <c r="X406" s="25" t="n">
        <v>200.838577270508</v>
      </c>
      <c r="Y406" s="25" t="n">
        <v>266.834381103516</v>
      </c>
      <c r="Z406" s="25" t="n">
        <v>0.453584909439087</v>
      </c>
      <c r="AA406" s="25" t="n">
        <v>2.00838565826416</v>
      </c>
      <c r="AB406" s="25" t="n">
        <v>0.252830177545548</v>
      </c>
      <c r="AC406" s="25" t="n">
        <v>0.0706918239593506</v>
      </c>
      <c r="AD406" s="25" t="n">
        <v>0.0551781952381134</v>
      </c>
      <c r="AE406" s="25" t="n">
        <v>0.375681340694428</v>
      </c>
      <c r="AF406" s="25" t="n">
        <v>0.355136275291443</v>
      </c>
      <c r="AG406" s="25" t="n">
        <v>0.0403354279696941</v>
      </c>
      <c r="AH406" s="25" t="n">
        <v>0.534171879291534</v>
      </c>
      <c r="AI406" s="25" t="n">
        <v>8.65366840362549</v>
      </c>
      <c r="AJ406" s="6" t="n">
        <v>19.9</v>
      </c>
      <c r="AK406" s="6" t="n">
        <v>80.4</v>
      </c>
      <c r="AL406" s="26"/>
    </row>
    <row r="407" customFormat="false" ht="15" hidden="false" customHeight="false" outlineLevel="0" collapsed="false">
      <c r="A407" s="6" t="s">
        <v>3638</v>
      </c>
      <c r="B407" s="6" t="s">
        <v>3639</v>
      </c>
      <c r="C407" s="6" t="s">
        <v>3627</v>
      </c>
      <c r="D407" s="13" t="n">
        <v>458.610076904297</v>
      </c>
      <c r="E407" s="25" t="n">
        <v>6.04731845855713</v>
      </c>
      <c r="F407" s="25" t="n">
        <v>59.7026481628418</v>
      </c>
      <c r="G407" s="25" t="n">
        <v>22.0112380981445</v>
      </c>
      <c r="H407" s="25" t="n">
        <v>1.90470337867737</v>
      </c>
      <c r="I407" s="25" t="n">
        <v>22.4166736602783</v>
      </c>
      <c r="J407" s="25" t="n">
        <v>12.108009765625</v>
      </c>
      <c r="K407" s="25" t="n">
        <v>6.22014453125</v>
      </c>
      <c r="L407" s="25" t="n">
        <v>1.44911926269531</v>
      </c>
      <c r="M407" s="25" t="n">
        <v>49.6368064880371</v>
      </c>
      <c r="N407" s="25" t="n">
        <v>5.65286540985107</v>
      </c>
      <c r="O407" s="25" t="n">
        <v>120.015937805176</v>
      </c>
      <c r="P407" s="25" t="n">
        <v>25.7078285217285</v>
      </c>
      <c r="Q407" s="25" t="n">
        <v>75.6882553100586</v>
      </c>
      <c r="R407" s="25" t="n">
        <v>26.3565368652344</v>
      </c>
      <c r="S407" s="25" t="n">
        <v>1.23203992843628</v>
      </c>
      <c r="T407" s="25" t="n">
        <v>0.594915270805359</v>
      </c>
      <c r="U407" s="25" t="n">
        <v>0.137495964765549</v>
      </c>
      <c r="V407" s="25" t="n">
        <v>0.267031878232956</v>
      </c>
      <c r="W407" s="25" t="n">
        <v>0.7307990193367</v>
      </c>
      <c r="X407" s="25" t="n">
        <v>186.037124633789</v>
      </c>
      <c r="Y407" s="25" t="n">
        <v>526.797485351563</v>
      </c>
      <c r="Z407" s="25" t="n">
        <v>1.92460858821869</v>
      </c>
      <c r="AA407" s="25" t="n">
        <v>1.10949349403381</v>
      </c>
      <c r="AB407" s="25" t="n">
        <v>0.11796610057354</v>
      </c>
      <c r="AC407" s="25" t="n">
        <v>0.0853006467223167</v>
      </c>
      <c r="AD407" s="25" t="n">
        <v>0.0424051657319069</v>
      </c>
      <c r="AE407" s="25" t="n">
        <v>0.487290143966675</v>
      </c>
      <c r="AF407" s="25" t="n">
        <v>0.402064174413681</v>
      </c>
      <c r="AG407" s="25" t="n">
        <v>0.0495238080620766</v>
      </c>
      <c r="AH407" s="25" t="n">
        <v>0.526622295379639</v>
      </c>
      <c r="AI407" s="25" t="n">
        <v>10.0218544006348</v>
      </c>
      <c r="AJ407" s="6" t="n">
        <v>11</v>
      </c>
      <c r="AK407" s="6" t="n">
        <v>50.5</v>
      </c>
      <c r="AL407" s="26"/>
    </row>
    <row r="408" customFormat="false" ht="15" hidden="false" customHeight="false" outlineLevel="0" collapsed="false">
      <c r="A408" s="6" t="s">
        <v>3640</v>
      </c>
      <c r="B408" s="6" t="s">
        <v>3641</v>
      </c>
      <c r="C408" s="6" t="s">
        <v>3627</v>
      </c>
      <c r="D408" s="13" t="n">
        <v>393.642150878906</v>
      </c>
      <c r="E408" s="25" t="n">
        <v>6.06144332885742</v>
      </c>
      <c r="F408" s="25" t="n">
        <v>45.1802062988281</v>
      </c>
      <c r="G408" s="25" t="n">
        <v>20.7502059936523</v>
      </c>
      <c r="H408" s="25" t="n">
        <v>2.14206194877625</v>
      </c>
      <c r="I408" s="25" t="n">
        <v>6.8205156326294</v>
      </c>
      <c r="J408" s="25" t="n">
        <v>12.2167265625</v>
      </c>
      <c r="K408" s="25" t="n">
        <v>5.3704033203125</v>
      </c>
      <c r="L408" s="25" t="n">
        <v>1.16013403320313</v>
      </c>
      <c r="M408" s="25" t="n">
        <v>51.2886619567871</v>
      </c>
      <c r="N408" s="25" t="n">
        <v>714.520324707031</v>
      </c>
      <c r="O408" s="25" t="n">
        <v>136.347946166992</v>
      </c>
      <c r="P408" s="25" t="n">
        <v>53.7309265136719</v>
      </c>
      <c r="Q408" s="25" t="n">
        <v>179.492370605469</v>
      </c>
      <c r="R408" s="25" t="n">
        <v>25.4784545898438</v>
      </c>
      <c r="S408" s="25" t="n">
        <v>1.31536078453064</v>
      </c>
      <c r="T408" s="25" t="n">
        <v>0.58989691734314</v>
      </c>
      <c r="U408" s="25" t="n">
        <v>0.115360826253891</v>
      </c>
      <c r="V408" s="25" t="n">
        <v>0.468041241168976</v>
      </c>
      <c r="W408" s="25" t="n">
        <v>0.568350493907929</v>
      </c>
      <c r="X408" s="25" t="n">
        <v>191.54638671875</v>
      </c>
      <c r="Y408" s="25" t="n">
        <v>1276.80407714844</v>
      </c>
      <c r="Z408" s="25" t="n">
        <v>1.27948451042175</v>
      </c>
      <c r="AA408" s="25" t="n">
        <v>13.1520614624023</v>
      </c>
      <c r="AB408" s="25" t="n">
        <v>0.948144316673279</v>
      </c>
      <c r="AC408" s="25" t="n">
        <v>0.0857731997966766</v>
      </c>
      <c r="AD408" s="25" t="n">
        <v>0.0506185553967953</v>
      </c>
      <c r="AE408" s="25" t="n">
        <v>0.461443275213242</v>
      </c>
      <c r="AF408" s="25" t="n">
        <v>0.432783514261246</v>
      </c>
      <c r="AG408" s="25" t="n">
        <v>0.072371132671833</v>
      </c>
      <c r="AH408" s="25" t="n">
        <v>0.610618531703949</v>
      </c>
      <c r="AI408" s="25" t="n">
        <v>13.3259792327881</v>
      </c>
      <c r="AJ408" s="6" t="n">
        <v>16.2</v>
      </c>
      <c r="AK408" s="6" t="n">
        <v>63.6</v>
      </c>
      <c r="AL408" s="26"/>
    </row>
    <row r="409" customFormat="false" ht="15" hidden="false" customHeight="false" outlineLevel="0" collapsed="false">
      <c r="A409" s="6" t="s">
        <v>3642</v>
      </c>
      <c r="B409" s="6" t="s">
        <v>3643</v>
      </c>
      <c r="C409" s="6" t="s">
        <v>3622</v>
      </c>
      <c r="D409" s="13" t="n">
        <v>374.243286132813</v>
      </c>
      <c r="E409" s="25" t="n">
        <v>5.69883728027344</v>
      </c>
      <c r="F409" s="25" t="n">
        <v>56.0921821594238</v>
      </c>
      <c r="G409" s="25" t="n">
        <v>14.4369144439697</v>
      </c>
      <c r="H409" s="25" t="n">
        <v>1.27615225315094</v>
      </c>
      <c r="I409" s="25" t="n">
        <v>26.6853694915772</v>
      </c>
      <c r="J409" s="25" t="n">
        <v>8.6970537109375</v>
      </c>
      <c r="K409" s="25" t="n">
        <v>3.72912231445313</v>
      </c>
      <c r="L409" s="25" t="n">
        <v>0.721619262695313</v>
      </c>
      <c r="M409" s="25" t="n">
        <v>70.8216400146484</v>
      </c>
      <c r="N409" s="25" t="n">
        <v>449.141479492188</v>
      </c>
      <c r="O409" s="25" t="n">
        <v>94.2965927124023</v>
      </c>
      <c r="P409" s="25" t="n">
        <v>18.4953899383545</v>
      </c>
      <c r="Q409" s="25" t="n">
        <v>68.6100234985352</v>
      </c>
      <c r="R409" s="25" t="n">
        <v>15.3292589187622</v>
      </c>
      <c r="S409" s="25" t="n">
        <v>1.04256510734558</v>
      </c>
      <c r="T409" s="25" t="n">
        <v>0.526493012905121</v>
      </c>
      <c r="U409" s="25" t="n">
        <v>0.0949979946017265</v>
      </c>
      <c r="V409" s="25" t="n">
        <v>4.05210399627686</v>
      </c>
      <c r="W409" s="25" t="n">
        <v>0.267454922199249</v>
      </c>
      <c r="X409" s="25" t="n">
        <v>173.426864624023</v>
      </c>
      <c r="Y409" s="25" t="n">
        <v>239.979965209961</v>
      </c>
      <c r="Z409" s="25" t="n">
        <v>0.472745507955551</v>
      </c>
      <c r="AA409" s="25" t="n">
        <v>2.03286576271057</v>
      </c>
      <c r="AB409" s="25" t="n">
        <v>0.70701402425766</v>
      </c>
      <c r="AC409" s="25" t="n">
        <v>0.0717875808477402</v>
      </c>
      <c r="AD409" s="25" t="n">
        <v>0.0562925860285759</v>
      </c>
      <c r="AE409" s="25" t="n">
        <v>0.336573123931885</v>
      </c>
      <c r="AF409" s="25" t="n">
        <v>0.462464958429337</v>
      </c>
      <c r="AG409" s="25" t="n">
        <v>0.0514068119227886</v>
      </c>
      <c r="AH409" s="25" t="n">
        <v>2.21402812004089</v>
      </c>
      <c r="AI409" s="25" t="n">
        <v>11.8492984771729</v>
      </c>
      <c r="AJ409" s="6" t="n">
        <v>13.9</v>
      </c>
      <c r="AK409" s="6" t="n">
        <v>51.9</v>
      </c>
      <c r="AL409" s="26"/>
    </row>
    <row r="410" customFormat="false" ht="15" hidden="false" customHeight="false" outlineLevel="0" collapsed="false">
      <c r="A410" s="6" t="s">
        <v>3644</v>
      </c>
      <c r="B410" s="6" t="s">
        <v>3645</v>
      </c>
      <c r="C410" s="6" t="s">
        <v>3627</v>
      </c>
      <c r="D410" s="13" t="n">
        <v>364.999816894531</v>
      </c>
      <c r="E410" s="25" t="n">
        <v>6.60949087142944</v>
      </c>
      <c r="F410" s="25" t="n">
        <v>60.2552146911621</v>
      </c>
      <c r="G410" s="25" t="n">
        <v>11.0060367584229</v>
      </c>
      <c r="H410" s="25" t="n">
        <v>1.59806478023529</v>
      </c>
      <c r="I410" s="25" t="n">
        <v>29.1196250915527</v>
      </c>
      <c r="J410" s="25" t="n">
        <v>6.40057421875</v>
      </c>
      <c r="K410" s="25" t="n">
        <v>2.89571435546875</v>
      </c>
      <c r="L410" s="25" t="n">
        <v>0.639536804199219</v>
      </c>
      <c r="M410" s="25" t="n">
        <v>75.3142623901367</v>
      </c>
      <c r="N410" s="25" t="n">
        <v>477.986968994141</v>
      </c>
      <c r="O410" s="25" t="n">
        <v>161.243576049805</v>
      </c>
      <c r="P410" s="25" t="n">
        <v>37.9213638305664</v>
      </c>
      <c r="Q410" s="25" t="n">
        <v>85.9547729492188</v>
      </c>
      <c r="R410" s="25" t="n">
        <v>31.7300472259522</v>
      </c>
      <c r="S410" s="25" t="n">
        <v>2.11884307861328</v>
      </c>
      <c r="T410" s="25" t="n">
        <v>0.677433729171753</v>
      </c>
      <c r="U410" s="25" t="n">
        <v>0.106562897562981</v>
      </c>
      <c r="V410" s="25" t="n">
        <v>5.6787257194519</v>
      </c>
      <c r="W410" s="25" t="n">
        <v>0.797913312911987</v>
      </c>
      <c r="X410" s="25" t="n">
        <v>136.472869873047</v>
      </c>
      <c r="Y410" s="25" t="n">
        <v>207.438781738281</v>
      </c>
      <c r="Z410" s="25" t="n">
        <v>0.449272185564041</v>
      </c>
      <c r="AA410" s="25" t="n">
        <v>1.7311737537384</v>
      </c>
      <c r="AB410" s="25" t="n">
        <v>0.288178354501724</v>
      </c>
      <c r="AC410" s="25" t="n">
        <v>0.0782793462276459</v>
      </c>
      <c r="AD410" s="25" t="n">
        <v>0.0633908286690712</v>
      </c>
      <c r="AE410" s="25" t="n">
        <v>0.393466532230377</v>
      </c>
      <c r="AF410" s="25" t="n">
        <v>0.556556582450867</v>
      </c>
      <c r="AG410" s="25" t="n">
        <v>0.155208244919777</v>
      </c>
      <c r="AH410" s="25" t="n">
        <v>2.89260840415955</v>
      </c>
      <c r="AI410" s="25" t="n">
        <v>15.6639842987061</v>
      </c>
      <c r="AJ410" s="6" t="n">
        <v>29.7</v>
      </c>
      <c r="AK410" s="6" t="n">
        <v>108.5</v>
      </c>
      <c r="AL410" s="26"/>
    </row>
    <row r="411" customFormat="false" ht="15" hidden="false" customHeight="false" outlineLevel="0" collapsed="false">
      <c r="A411" s="6" t="s">
        <v>3646</v>
      </c>
      <c r="B411" s="6" t="s">
        <v>3647</v>
      </c>
      <c r="C411" s="6" t="s">
        <v>3627</v>
      </c>
      <c r="D411" s="13" t="n">
        <v>475.327362060547</v>
      </c>
      <c r="E411" s="25" t="n">
        <v>5.3333330154419</v>
      </c>
      <c r="F411" s="25" t="n">
        <v>58.0049743652344</v>
      </c>
      <c r="G411" s="25" t="n">
        <v>24.9154224395752</v>
      </c>
      <c r="H411" s="25" t="n">
        <v>1.37313437461853</v>
      </c>
      <c r="I411" s="25" t="n">
        <v>21.7263679504395</v>
      </c>
      <c r="J411" s="25" t="n">
        <v>15.598283203125</v>
      </c>
      <c r="K411" s="25" t="n">
        <v>6.26698486328125</v>
      </c>
      <c r="L411" s="25" t="n">
        <v>1.01542291259766</v>
      </c>
      <c r="M411" s="25" t="n">
        <v>63.5820922851563</v>
      </c>
      <c r="N411" s="25" t="n">
        <v>201.064682006836</v>
      </c>
      <c r="O411" s="25" t="n">
        <v>84.3233871459961</v>
      </c>
      <c r="P411" s="25" t="n">
        <v>15.9701490402222</v>
      </c>
      <c r="Q411" s="25" t="n">
        <v>61.7960205078125</v>
      </c>
      <c r="R411" s="25" t="n">
        <v>16.243782043457</v>
      </c>
      <c r="S411" s="25" t="n">
        <v>0.981592059135437</v>
      </c>
      <c r="T411" s="25" t="n">
        <v>0.48805969953537</v>
      </c>
      <c r="U411" s="25" t="n">
        <v>0.0979104489088059</v>
      </c>
      <c r="V411" s="25" t="n">
        <v>0</v>
      </c>
      <c r="W411" s="25" t="n">
        <v>0.313432842493057</v>
      </c>
      <c r="X411" s="25" t="n">
        <v>285.970153808594</v>
      </c>
      <c r="Y411" s="25" t="n">
        <v>315.820892333984</v>
      </c>
      <c r="Z411" s="25" t="n">
        <v>0.577114462852478</v>
      </c>
      <c r="AA411" s="25" t="n">
        <v>2.706467628479</v>
      </c>
      <c r="AB411" s="25" t="n">
        <v>0</v>
      </c>
      <c r="AC411" s="25" t="n">
        <v>0.0746268704533577</v>
      </c>
      <c r="AD411" s="25" t="n">
        <v>0.0507462695240974</v>
      </c>
      <c r="AE411" s="25" t="n">
        <v>0.383084565401077</v>
      </c>
      <c r="AF411" s="25" t="n">
        <v>0.373134344816208</v>
      </c>
      <c r="AG411" s="25" t="n">
        <v>0.0398009940981865</v>
      </c>
      <c r="AH411" s="25" t="n">
        <v>0.348258703947067</v>
      </c>
      <c r="AI411" s="25" t="n">
        <v>8.08457756042481</v>
      </c>
      <c r="AJ411" s="6" t="n">
        <v>12.6</v>
      </c>
      <c r="AK411" s="6" t="n">
        <v>59.7</v>
      </c>
      <c r="AL411" s="26"/>
    </row>
    <row r="412" customFormat="false" ht="15" hidden="false" customHeight="false" outlineLevel="0" collapsed="false">
      <c r="A412" s="6" t="s">
        <v>3648</v>
      </c>
      <c r="B412" s="6" t="s">
        <v>3649</v>
      </c>
      <c r="C412" s="6" t="s">
        <v>3627</v>
      </c>
      <c r="D412" s="13" t="n">
        <v>443.093536376953</v>
      </c>
      <c r="E412" s="25" t="n">
        <v>6.02704620361328</v>
      </c>
      <c r="F412" s="25" t="n">
        <v>64.8156585693359</v>
      </c>
      <c r="G412" s="25" t="n">
        <v>17.9843406677246</v>
      </c>
      <c r="H412" s="25" t="n">
        <v>1.57153022289276</v>
      </c>
      <c r="I412" s="25" t="n">
        <v>23.3110313415527</v>
      </c>
      <c r="J412" s="25" t="n">
        <v>11.1785341796875</v>
      </c>
      <c r="K412" s="25" t="n">
        <v>4.49360302734375</v>
      </c>
      <c r="L412" s="25" t="n">
        <v>0.799572937011719</v>
      </c>
      <c r="M412" s="25" t="n">
        <v>45.4804267883301</v>
      </c>
      <c r="N412" s="25" t="n">
        <v>145.004989624023</v>
      </c>
      <c r="O412" s="25" t="n">
        <v>92.7010726928711</v>
      </c>
      <c r="P412" s="25" t="n">
        <v>15.9217081069946</v>
      </c>
      <c r="Q412" s="25" t="n">
        <v>67.7615661621094</v>
      </c>
      <c r="R412" s="25" t="n">
        <v>18.1722412109375</v>
      </c>
      <c r="S412" s="25" t="n">
        <v>1.11565840244293</v>
      </c>
      <c r="T412" s="25" t="n">
        <v>0.544128119945526</v>
      </c>
      <c r="U412" s="25" t="n">
        <v>0.10989324003458</v>
      </c>
      <c r="V412" s="25" t="n">
        <v>0</v>
      </c>
      <c r="W412" s="25" t="n">
        <v>0.358718872070313</v>
      </c>
      <c r="X412" s="25" t="n">
        <v>204.555160522461</v>
      </c>
      <c r="Y412" s="25" t="n">
        <v>283.558715820313</v>
      </c>
      <c r="Z412" s="25" t="n">
        <v>0.423487544059753</v>
      </c>
      <c r="AA412" s="25" t="n">
        <v>2.14946627616882</v>
      </c>
      <c r="AB412" s="25" t="n">
        <v>0</v>
      </c>
      <c r="AC412" s="25" t="n">
        <v>0.0854092538356781</v>
      </c>
      <c r="AD412" s="25" t="n">
        <v>0.0491103194653988</v>
      </c>
      <c r="AE412" s="25" t="n">
        <v>0.438434153795242</v>
      </c>
      <c r="AF412" s="25" t="n">
        <v>0.420640558004379</v>
      </c>
      <c r="AG412" s="25" t="n">
        <v>0.0455516017973423</v>
      </c>
      <c r="AH412" s="25" t="n">
        <v>0.372953712940216</v>
      </c>
      <c r="AI412" s="25" t="n">
        <v>9.25266933441162</v>
      </c>
      <c r="AJ412" s="6" t="n">
        <v>17.6</v>
      </c>
      <c r="AK412" s="6" t="n">
        <v>77.8</v>
      </c>
      <c r="AL412" s="26"/>
    </row>
    <row r="413" customFormat="false" ht="15" hidden="false" customHeight="false" outlineLevel="0" collapsed="false">
      <c r="A413" s="6" t="s">
        <v>3650</v>
      </c>
      <c r="B413" s="6" t="s">
        <v>3651</v>
      </c>
      <c r="C413" s="6" t="s">
        <v>3627</v>
      </c>
      <c r="D413" s="13" t="n">
        <v>416.572174072266</v>
      </c>
      <c r="E413" s="25" t="n">
        <v>6.89757680892944</v>
      </c>
      <c r="F413" s="25" t="n">
        <v>46.5534706115723</v>
      </c>
      <c r="G413" s="25" t="n">
        <v>23.0046844482422</v>
      </c>
      <c r="H413" s="25" t="n">
        <v>1.58836829662323</v>
      </c>
      <c r="I413" s="25" t="n">
        <v>21.6882057189941</v>
      </c>
      <c r="J413" s="25" t="n">
        <v>9.6214375</v>
      </c>
      <c r="K413" s="25" t="n">
        <v>5.25573193359375</v>
      </c>
      <c r="L413" s="25" t="n">
        <v>6.4792890625</v>
      </c>
      <c r="M413" s="25" t="n">
        <v>63.9741516113281</v>
      </c>
      <c r="N413" s="25" t="n">
        <v>112.529884338379</v>
      </c>
      <c r="O413" s="25" t="n">
        <v>160.492736816406</v>
      </c>
      <c r="P413" s="25" t="n">
        <v>48.920841217041</v>
      </c>
      <c r="Q413" s="25" t="n">
        <v>185.547012329102</v>
      </c>
      <c r="R413" s="25" t="n">
        <v>37.4802894592285</v>
      </c>
      <c r="S413" s="25" t="n">
        <v>1.27495968341827</v>
      </c>
      <c r="T413" s="25" t="n">
        <v>0.860904693603516</v>
      </c>
      <c r="U413" s="25" t="n">
        <v>0.275250405073166</v>
      </c>
      <c r="V413" s="25" t="n">
        <v>4.26074314117432</v>
      </c>
      <c r="W413" s="25" t="n">
        <v>0.668174505233765</v>
      </c>
      <c r="X413" s="25" t="n">
        <v>170.759292602539</v>
      </c>
      <c r="Y413" s="25" t="n">
        <v>231.518585205078</v>
      </c>
      <c r="Z413" s="25" t="n">
        <v>0.990791618824005</v>
      </c>
      <c r="AA413" s="25" t="n">
        <v>12.5214853286743</v>
      </c>
      <c r="AB413" s="25" t="n">
        <v>0.194830372929573</v>
      </c>
      <c r="AC413" s="25" t="n">
        <v>0.108174473047257</v>
      </c>
      <c r="AD413" s="25" t="n">
        <v>0.0735702738165855</v>
      </c>
      <c r="AE413" s="25" t="n">
        <v>0.536833584308624</v>
      </c>
      <c r="AF413" s="25" t="n">
        <v>0.500969290733337</v>
      </c>
      <c r="AG413" s="25" t="n">
        <v>0.146171241998673</v>
      </c>
      <c r="AH413" s="25" t="n">
        <v>4.00452327728272</v>
      </c>
      <c r="AI413" s="25" t="n">
        <v>17.4762516021729</v>
      </c>
      <c r="AJ413" s="6" t="n">
        <v>17.2</v>
      </c>
      <c r="AK413" s="6" t="n">
        <v>71.6</v>
      </c>
      <c r="AL413" s="26"/>
    </row>
    <row r="414" customFormat="false" ht="15" hidden="false" customHeight="false" outlineLevel="0" collapsed="false">
      <c r="A414" s="6" t="s">
        <v>3652</v>
      </c>
      <c r="B414" s="6" t="s">
        <v>3653</v>
      </c>
      <c r="C414" s="6" t="s">
        <v>3627</v>
      </c>
      <c r="D414" s="13" t="n">
        <v>437.910522460938</v>
      </c>
      <c r="E414" s="25" t="n">
        <v>5.71325540542603</v>
      </c>
      <c r="F414" s="25" t="n">
        <v>55.835391998291</v>
      </c>
      <c r="G414" s="25" t="n">
        <v>21.7791996002197</v>
      </c>
      <c r="H414" s="25" t="n">
        <v>1.88313865661621</v>
      </c>
      <c r="I414" s="25" t="n">
        <v>24.9956588745117</v>
      </c>
      <c r="J414" s="25" t="n">
        <v>13.0087646484375</v>
      </c>
      <c r="K414" s="25" t="n">
        <v>5.7916826171875</v>
      </c>
      <c r="L414" s="25" t="n">
        <v>1.18333227539063</v>
      </c>
      <c r="M414" s="25" t="n">
        <v>80.3338928222656</v>
      </c>
      <c r="N414" s="25" t="n">
        <v>119.088478088379</v>
      </c>
      <c r="O414" s="25" t="n">
        <v>112.248748779297</v>
      </c>
      <c r="P414" s="25" t="n">
        <v>30.3939895629883</v>
      </c>
      <c r="Q414" s="25" t="n">
        <v>159.138565063477</v>
      </c>
      <c r="R414" s="25" t="n">
        <v>21.4883136749268</v>
      </c>
      <c r="S414" s="25" t="n">
        <v>1.20180296897888</v>
      </c>
      <c r="T414" s="25" t="n">
        <v>0.677696168422699</v>
      </c>
      <c r="U414" s="25" t="n">
        <v>0.11550584435463</v>
      </c>
      <c r="V414" s="25" t="n">
        <v>4.17696142196655</v>
      </c>
      <c r="W414" s="25" t="n">
        <v>0.495358914136887</v>
      </c>
      <c r="X414" s="25" t="n">
        <v>240.434051513672</v>
      </c>
      <c r="Y414" s="25" t="n">
        <v>243.522537231445</v>
      </c>
      <c r="Z414" s="25" t="n">
        <v>0.759432375431061</v>
      </c>
      <c r="AA414" s="25" t="n">
        <v>2.0634388923645</v>
      </c>
      <c r="AB414" s="25" t="n">
        <v>0</v>
      </c>
      <c r="AC414" s="25" t="n">
        <v>0.191392317414284</v>
      </c>
      <c r="AD414" s="25" t="n">
        <v>0.194457426667213</v>
      </c>
      <c r="AE414" s="25" t="n">
        <v>0.803338885307312</v>
      </c>
      <c r="AF414" s="25" t="n">
        <v>0.417762964963913</v>
      </c>
      <c r="AG414" s="25" t="n">
        <v>0.0629449114203453</v>
      </c>
      <c r="AH414" s="25" t="n">
        <v>2.9515860080719</v>
      </c>
      <c r="AI414" s="25" t="n">
        <v>21.5626049041748</v>
      </c>
      <c r="AJ414" s="6" t="n">
        <v>16.6</v>
      </c>
      <c r="AK414" s="6" t="n">
        <v>72.9</v>
      </c>
      <c r="AL414" s="26"/>
    </row>
    <row r="415" customFormat="false" ht="15" hidden="false" customHeight="false" outlineLevel="0" collapsed="false">
      <c r="A415" s="6" t="s">
        <v>3654</v>
      </c>
      <c r="B415" s="6" t="s">
        <v>3655</v>
      </c>
      <c r="C415" s="6" t="s">
        <v>3627</v>
      </c>
      <c r="D415" s="13" t="n">
        <v>417.908996582031</v>
      </c>
      <c r="E415" s="25" t="n">
        <v>5.98101139068604</v>
      </c>
      <c r="F415" s="25" t="n">
        <v>58.4447860717773</v>
      </c>
      <c r="G415" s="25" t="n">
        <v>18.3056755065918</v>
      </c>
      <c r="H415" s="25" t="n">
        <v>1.48854494094849</v>
      </c>
      <c r="I415" s="25" t="n">
        <v>27.062126159668</v>
      </c>
      <c r="J415" s="25" t="n">
        <v>11.1361201171875</v>
      </c>
      <c r="K415" s="25" t="n">
        <v>4.71945947265625</v>
      </c>
      <c r="L415" s="25" t="n">
        <v>0.84755419921875</v>
      </c>
      <c r="M415" s="25" t="n">
        <v>81.7337493896484</v>
      </c>
      <c r="N415" s="25" t="n">
        <v>79.6821441650391</v>
      </c>
      <c r="O415" s="25" t="n">
        <v>106.42414855957</v>
      </c>
      <c r="P415" s="25" t="n">
        <v>25.9669761657715</v>
      </c>
      <c r="Q415" s="25" t="n">
        <v>116.460266113281</v>
      </c>
      <c r="R415" s="25" t="n">
        <v>17.5872039794922</v>
      </c>
      <c r="S415" s="25" t="n">
        <v>2.20144486427307</v>
      </c>
      <c r="T415" s="25" t="n">
        <v>0.666460275650024</v>
      </c>
      <c r="U415" s="25" t="n">
        <v>0.102992780506611</v>
      </c>
      <c r="V415" s="25" t="n">
        <v>4.17337465286255</v>
      </c>
      <c r="W415" s="25" t="n">
        <v>0.955624341964722</v>
      </c>
      <c r="X415" s="25" t="n">
        <v>218.163055419922</v>
      </c>
      <c r="Y415" s="25" t="n">
        <v>256.326110839844</v>
      </c>
      <c r="Z415" s="25" t="n">
        <v>0.558307528495789</v>
      </c>
      <c r="AA415" s="25" t="n">
        <v>1.9401445388794</v>
      </c>
      <c r="AB415" s="25" t="n">
        <v>0</v>
      </c>
      <c r="AC415" s="25" t="n">
        <v>0.0693498477339745</v>
      </c>
      <c r="AD415" s="25" t="n">
        <v>0.063529409468174</v>
      </c>
      <c r="AE415" s="25" t="n">
        <v>0.455521136522293</v>
      </c>
      <c r="AF415" s="25" t="n">
        <v>0.49069145321846</v>
      </c>
      <c r="AG415" s="25" t="n">
        <v>0.0745510831475258</v>
      </c>
      <c r="AH415" s="25" t="n">
        <v>2.16305470466614</v>
      </c>
      <c r="AI415" s="25" t="n">
        <v>11.7977294921875</v>
      </c>
      <c r="AJ415" s="6" t="n">
        <v>13.5</v>
      </c>
      <c r="AK415" s="6" t="n">
        <v>56.2</v>
      </c>
      <c r="AL415" s="26"/>
    </row>
    <row r="416" customFormat="false" ht="15" hidden="false" customHeight="false" outlineLevel="0" collapsed="false">
      <c r="A416" s="6" t="s">
        <v>3656</v>
      </c>
      <c r="B416" s="6" t="s">
        <v>3657</v>
      </c>
      <c r="C416" s="6" t="s">
        <v>3658</v>
      </c>
      <c r="D416" s="13" t="n">
        <v>839.326599121094</v>
      </c>
      <c r="E416" s="25" t="n">
        <v>2.45670652389526</v>
      </c>
      <c r="F416" s="25" t="n">
        <v>3.70212888717651</v>
      </c>
      <c r="G416" s="25" t="n">
        <v>90.4490661621094</v>
      </c>
      <c r="H416" s="25" t="n">
        <v>1.46989572048187</v>
      </c>
      <c r="I416" s="25" t="n">
        <v>0.166591107845306</v>
      </c>
      <c r="J416" s="25" t="n">
        <v>10.9049501953125</v>
      </c>
      <c r="K416" s="25" t="n">
        <v>18.603939453125</v>
      </c>
      <c r="L416" s="25" t="n">
        <v>57.23194921875</v>
      </c>
      <c r="M416" s="25" t="n">
        <v>0</v>
      </c>
      <c r="N416" s="25" t="n">
        <v>78.2490234375</v>
      </c>
      <c r="O416" s="25" t="n">
        <v>100.292518615723</v>
      </c>
      <c r="P416" s="25" t="n">
        <v>12.1568069458008</v>
      </c>
      <c r="Q416" s="25" t="n">
        <v>33.6373329162598</v>
      </c>
      <c r="R416" s="25" t="n">
        <v>12.0334529876709</v>
      </c>
      <c r="S416" s="25" t="n">
        <v>0.597248673439026</v>
      </c>
      <c r="T416" s="25" t="n">
        <v>0.240623846650124</v>
      </c>
      <c r="U416" s="25" t="n">
        <v>0.0652152448892593</v>
      </c>
      <c r="V416" s="25" t="n">
        <v>1.01205217838287</v>
      </c>
      <c r="W416" s="25" t="n">
        <v>0.160641923546791</v>
      </c>
      <c r="X416" s="25" t="n">
        <v>0</v>
      </c>
      <c r="Y416" s="25" t="n">
        <v>34.1467666625977</v>
      </c>
      <c r="Z416" s="25" t="n">
        <v>44.0891151428223</v>
      </c>
      <c r="AA416" s="25" t="n">
        <v>8.43897342681885</v>
      </c>
      <c r="AB416" s="25" t="n">
        <v>0.589577853679657</v>
      </c>
      <c r="AC416" s="25" t="n">
        <v>0.0419168062508106</v>
      </c>
      <c r="AD416" s="25" t="n">
        <v>0.0164694599807262</v>
      </c>
      <c r="AE416" s="25" t="n">
        <v>0.237810298800468</v>
      </c>
      <c r="AF416" s="25" t="n">
        <v>0.132360532879829</v>
      </c>
      <c r="AG416" s="25" t="n">
        <v>0.0363195054233074</v>
      </c>
      <c r="AH416" s="25" t="n">
        <v>0.0584876053035259</v>
      </c>
      <c r="AI416" s="25" t="n">
        <v>16.7121715545654</v>
      </c>
      <c r="AJ416" s="6" t="n">
        <v>134.2</v>
      </c>
      <c r="AK416" s="6" t="n">
        <v>1126.4</v>
      </c>
      <c r="AL416" s="26" t="s">
        <v>3100</v>
      </c>
    </row>
    <row r="417" customFormat="false" ht="15" hidden="false" customHeight="false" outlineLevel="0" collapsed="false">
      <c r="A417" s="6" t="s">
        <v>3659</v>
      </c>
      <c r="B417" s="6" t="s">
        <v>3660</v>
      </c>
      <c r="C417" s="6" t="s">
        <v>3661</v>
      </c>
      <c r="D417" s="13" t="n">
        <v>698.169616699219</v>
      </c>
      <c r="E417" s="25" t="n">
        <v>3.53471684455872</v>
      </c>
      <c r="F417" s="25" t="n">
        <v>4.38641500473023</v>
      </c>
      <c r="G417" s="25" t="n">
        <v>74.0175857543945</v>
      </c>
      <c r="H417" s="25" t="n">
        <v>2.20437741279602</v>
      </c>
      <c r="I417" s="25" t="n">
        <v>0.34958490729332</v>
      </c>
      <c r="J417" s="25" t="n">
        <v>8.939861328125</v>
      </c>
      <c r="K417" s="25" t="n">
        <v>15.2230751953125</v>
      </c>
      <c r="L417" s="25" t="n">
        <v>46.736234375</v>
      </c>
      <c r="M417" s="25" t="n">
        <v>0</v>
      </c>
      <c r="N417" s="25" t="n">
        <v>88.7162246704102</v>
      </c>
      <c r="O417" s="25" t="n">
        <v>218.994720458984</v>
      </c>
      <c r="P417" s="25" t="n">
        <v>29.2309436798096</v>
      </c>
      <c r="Q417" s="25" t="n">
        <v>47.5947151184082</v>
      </c>
      <c r="R417" s="25" t="n">
        <v>23.8679237365723</v>
      </c>
      <c r="S417" s="25" t="n">
        <v>1.03992450237274</v>
      </c>
      <c r="T417" s="25" t="n">
        <v>0.352830201387405</v>
      </c>
      <c r="U417" s="25" t="n">
        <v>0.0937056615948677</v>
      </c>
      <c r="V417" s="25" t="n">
        <v>1.80301892757416</v>
      </c>
      <c r="W417" s="25" t="n">
        <v>0.289886802434921</v>
      </c>
      <c r="X417" s="25" t="n">
        <v>0</v>
      </c>
      <c r="Y417" s="25" t="n">
        <v>771.388671875</v>
      </c>
      <c r="Z417" s="25" t="n">
        <v>35.8671684265137</v>
      </c>
      <c r="AA417" s="25" t="n">
        <v>32.8193969726563</v>
      </c>
      <c r="AB417" s="25" t="n">
        <v>4.05132055282593</v>
      </c>
      <c r="AC417" s="25" t="n">
        <v>0.0727924555540085</v>
      </c>
      <c r="AD417" s="25" t="n">
        <v>0.0295396223664284</v>
      </c>
      <c r="AE417" s="25" t="n">
        <v>0.356679230928421</v>
      </c>
      <c r="AF417" s="25" t="n">
        <v>0.194633960723877</v>
      </c>
      <c r="AG417" s="25" t="n">
        <v>0.0575849041342735</v>
      </c>
      <c r="AH417" s="25" t="n">
        <v>0.472452819347382</v>
      </c>
      <c r="AI417" s="25" t="n">
        <v>34.9577369689941</v>
      </c>
      <c r="AJ417" s="6" t="n">
        <v>165.6</v>
      </c>
      <c r="AK417" s="6" t="n">
        <v>1156.3</v>
      </c>
      <c r="AL417" s="26" t="s">
        <v>3100</v>
      </c>
    </row>
    <row r="418" customFormat="false" ht="15" hidden="false" customHeight="false" outlineLevel="0" collapsed="false">
      <c r="A418" s="6" t="s">
        <v>3662</v>
      </c>
      <c r="B418" s="6" t="s">
        <v>3663</v>
      </c>
      <c r="C418" s="6" t="s">
        <v>3112</v>
      </c>
      <c r="D418" s="13" t="n">
        <v>838.463562011719</v>
      </c>
      <c r="E418" s="25" t="n">
        <v>2.65098667144775</v>
      </c>
      <c r="F418" s="25" t="n">
        <v>4.65016889572144</v>
      </c>
      <c r="G418" s="25" t="n">
        <v>89.8251266479492</v>
      </c>
      <c r="H418" s="25" t="n">
        <v>1.41361355781555</v>
      </c>
      <c r="I418" s="25" t="n">
        <v>0.218730017542839</v>
      </c>
      <c r="J418" s="25" t="n">
        <v>10.8271748046875</v>
      </c>
      <c r="K418" s="25" t="n">
        <v>18.472416015625</v>
      </c>
      <c r="L418" s="25" t="n">
        <v>56.84096875</v>
      </c>
      <c r="M418" s="25" t="n">
        <v>0</v>
      </c>
      <c r="N418" s="25" t="n">
        <v>72.0531768798828</v>
      </c>
      <c r="O418" s="25" t="n">
        <v>98.4600296020508</v>
      </c>
      <c r="P418" s="25" t="n">
        <v>12.1311101913452</v>
      </c>
      <c r="Q418" s="25" t="n">
        <v>33.1128349304199</v>
      </c>
      <c r="R418" s="25" t="n">
        <v>12.1821842193604</v>
      </c>
      <c r="S418" s="25" t="n">
        <v>0.644399285316467</v>
      </c>
      <c r="T418" s="25" t="n">
        <v>0.238647788763046</v>
      </c>
      <c r="U418" s="25" t="n">
        <v>0.0616537220776081</v>
      </c>
      <c r="V418" s="25" t="n">
        <v>0.923709452152252</v>
      </c>
      <c r="W418" s="25" t="n">
        <v>0.158976703882217</v>
      </c>
      <c r="X418" s="25" t="n">
        <v>0</v>
      </c>
      <c r="Y418" s="25" t="n">
        <v>30.2603931427002</v>
      </c>
      <c r="Z418" s="25" t="n">
        <v>43.7867889404297</v>
      </c>
      <c r="AA418" s="25" t="n">
        <v>8.18236637115479</v>
      </c>
      <c r="AB418" s="25" t="n">
        <v>0</v>
      </c>
      <c r="AC418" s="25" t="n">
        <v>0.0416628606617451</v>
      </c>
      <c r="AD418" s="25" t="n">
        <v>0.0158976688981056</v>
      </c>
      <c r="AE418" s="25" t="n">
        <v>0.167199641466141</v>
      </c>
      <c r="AF418" s="25" t="n">
        <v>0.147464603185654</v>
      </c>
      <c r="AG418" s="25" t="n">
        <v>0.0290543641895056</v>
      </c>
      <c r="AH418" s="25" t="n">
        <v>0.0740063935518265</v>
      </c>
      <c r="AI418" s="25" t="n">
        <v>16.6788482666016</v>
      </c>
      <c r="AJ418" s="6" t="n">
        <v>273.6</v>
      </c>
      <c r="AK418" s="6" t="n">
        <v>2294.2</v>
      </c>
      <c r="AL418" s="26" t="s">
        <v>3146</v>
      </c>
    </row>
    <row r="419" customFormat="false" ht="15" hidden="false" customHeight="false" outlineLevel="0" collapsed="false">
      <c r="A419" s="6" t="s">
        <v>3664</v>
      </c>
      <c r="B419" s="6" t="s">
        <v>3665</v>
      </c>
      <c r="C419" s="6" t="s">
        <v>3462</v>
      </c>
      <c r="D419" s="13" t="n">
        <v>550.993713378906</v>
      </c>
      <c r="E419" s="25" t="n">
        <v>9.3110237121582</v>
      </c>
      <c r="F419" s="25" t="n">
        <v>48.1377944946289</v>
      </c>
      <c r="G419" s="25" t="n">
        <v>36.8409461975098</v>
      </c>
      <c r="H419" s="25" t="n">
        <v>4.08661413192749</v>
      </c>
      <c r="I419" s="25" t="n">
        <v>43.0787391662598</v>
      </c>
      <c r="J419" s="25" t="n">
        <v>5.75748046875</v>
      </c>
      <c r="K419" s="25" t="n">
        <v>11.57755859375</v>
      </c>
      <c r="L419" s="25" t="n">
        <v>18.018109375</v>
      </c>
      <c r="M419" s="25" t="n">
        <v>0</v>
      </c>
      <c r="N419" s="25" t="n">
        <v>6.77559041976929</v>
      </c>
      <c r="O419" s="25" t="n">
        <v>269.291351318359</v>
      </c>
      <c r="P419" s="25" t="n">
        <v>25.1968498229981</v>
      </c>
      <c r="Q419" s="25" t="n">
        <v>154.330703735352</v>
      </c>
      <c r="R419" s="25" t="n">
        <v>78.3464584350586</v>
      </c>
      <c r="S419" s="25" t="n">
        <v>1.45433068275452</v>
      </c>
      <c r="T419" s="25" t="n">
        <v>1.29133856296539</v>
      </c>
      <c r="U419" s="25" t="n">
        <v>0.411574810743332</v>
      </c>
      <c r="V419" s="25" t="n">
        <v>1.34251976013184</v>
      </c>
      <c r="W419" s="25" t="n">
        <v>0.637795269489288</v>
      </c>
      <c r="X419" s="25" t="n">
        <v>0</v>
      </c>
      <c r="Y419" s="25" t="n">
        <v>32.5984268188477</v>
      </c>
      <c r="Z419" s="25" t="n">
        <v>12.149133682251</v>
      </c>
      <c r="AA419" s="25" t="n">
        <v>2.32362198829651</v>
      </c>
      <c r="AB419" s="25" t="n">
        <v>0</v>
      </c>
      <c r="AC419" s="25" t="n">
        <v>0.224409446120262</v>
      </c>
      <c r="AD419" s="25" t="n">
        <v>0.047244094312191</v>
      </c>
      <c r="AE419" s="25" t="n">
        <v>4.46850395202637</v>
      </c>
      <c r="AF419" s="25" t="n">
        <v>0.397637784481049</v>
      </c>
      <c r="AG419" s="25" t="n">
        <v>0.0905511826276779</v>
      </c>
      <c r="AH419" s="25" t="n">
        <v>0.633858263492584</v>
      </c>
      <c r="AI419" s="25" t="n">
        <v>35.7755928039551</v>
      </c>
      <c r="AJ419" s="6" t="n">
        <v>21.2</v>
      </c>
      <c r="AK419" s="6" t="n">
        <v>116.6</v>
      </c>
      <c r="AL419" s="26"/>
    </row>
    <row r="420" customFormat="false" ht="15" hidden="false" customHeight="false" outlineLevel="0" collapsed="false">
      <c r="A420" s="6" t="s">
        <v>3666</v>
      </c>
      <c r="B420" s="6" t="s">
        <v>3667</v>
      </c>
      <c r="C420" s="6" t="s">
        <v>3112</v>
      </c>
      <c r="D420" s="13" t="n">
        <v>740.164855957031</v>
      </c>
      <c r="E420" s="25" t="n">
        <v>1.65433371067047</v>
      </c>
      <c r="F420" s="25" t="n">
        <v>6.61637783050537</v>
      </c>
      <c r="G420" s="25" t="n">
        <v>78.5110321044922</v>
      </c>
      <c r="H420" s="25" t="n">
        <v>0.809015393257141</v>
      </c>
      <c r="I420" s="25" t="n">
        <v>0.280585199594498</v>
      </c>
      <c r="J420" s="25" t="n">
        <v>9.525025390625</v>
      </c>
      <c r="K420" s="25" t="n">
        <v>16.3343681640625</v>
      </c>
      <c r="L420" s="25" t="n">
        <v>49.40140625</v>
      </c>
      <c r="M420" s="25" t="n">
        <v>0</v>
      </c>
      <c r="N420" s="25" t="n">
        <v>73.1536560058594</v>
      </c>
      <c r="O420" s="25" t="n">
        <v>104.163307189941</v>
      </c>
      <c r="P420" s="25" t="n">
        <v>13.3546857833862</v>
      </c>
      <c r="Q420" s="25" t="n">
        <v>22.0802688598633</v>
      </c>
      <c r="R420" s="25" t="n">
        <v>17.655595779419</v>
      </c>
      <c r="S420" s="25" t="n">
        <v>0.669588804244995</v>
      </c>
      <c r="T420" s="25" t="n">
        <v>0.203163310885429</v>
      </c>
      <c r="U420" s="25" t="n">
        <v>0.0641043856739998</v>
      </c>
      <c r="V420" s="25" t="n">
        <v>0.328825622797012</v>
      </c>
      <c r="W420" s="25" t="n">
        <v>0.222459465265274</v>
      </c>
      <c r="X420" s="25" t="n">
        <v>0</v>
      </c>
      <c r="Y420" s="25" t="n">
        <v>1170.60021972656</v>
      </c>
      <c r="Z420" s="25" t="n">
        <v>38.4045066833496</v>
      </c>
      <c r="AA420" s="25" t="n">
        <v>43.6573333740234</v>
      </c>
      <c r="AB420" s="25" t="n">
        <v>3.60221409797669</v>
      </c>
      <c r="AC420" s="25" t="n">
        <v>0.0445630699396133</v>
      </c>
      <c r="AD420" s="25" t="n">
        <v>0.02019770629704</v>
      </c>
      <c r="AE420" s="25" t="n">
        <v>0.378489524126053</v>
      </c>
      <c r="AF420" s="25" t="n">
        <v>0.107702650129795</v>
      </c>
      <c r="AG420" s="25" t="n">
        <v>0.03123764321208</v>
      </c>
      <c r="AH420" s="25" t="n">
        <v>0.575168073177338</v>
      </c>
      <c r="AI420" s="25" t="n">
        <v>20.307710647583</v>
      </c>
      <c r="AJ420" s="6" t="n">
        <v>316.1</v>
      </c>
      <c r="AK420" s="6" t="n">
        <v>2339.8</v>
      </c>
      <c r="AL420" s="26" t="s">
        <v>3146</v>
      </c>
    </row>
    <row r="421" customFormat="false" ht="15" hidden="false" customHeight="false" outlineLevel="0" collapsed="false">
      <c r="A421" s="6" t="s">
        <v>3668</v>
      </c>
      <c r="B421" s="6" t="s">
        <v>3669</v>
      </c>
      <c r="C421" s="6" t="s">
        <v>3670</v>
      </c>
      <c r="D421" s="13" t="n">
        <v>758.894836425781</v>
      </c>
      <c r="E421" s="25" t="n">
        <v>2.07632899284363</v>
      </c>
      <c r="F421" s="25" t="n">
        <v>7.63239192962647</v>
      </c>
      <c r="G421" s="25" t="n">
        <v>80.0377883911133</v>
      </c>
      <c r="H421" s="25" t="n">
        <v>1.39235877990723</v>
      </c>
      <c r="I421" s="25" t="n">
        <v>0.250166118144989</v>
      </c>
      <c r="J421" s="25" t="n">
        <v>9.62165234375</v>
      </c>
      <c r="K421" s="25" t="n">
        <v>16.406544921875</v>
      </c>
      <c r="L421" s="25" t="n">
        <v>50.66404296875</v>
      </c>
      <c r="M421" s="25" t="n">
        <v>0</v>
      </c>
      <c r="N421" s="25" t="n">
        <v>74.8835525512695</v>
      </c>
      <c r="O421" s="25" t="n">
        <v>87.3488388061523</v>
      </c>
      <c r="P421" s="25" t="n">
        <v>12.1340532302856</v>
      </c>
      <c r="Q421" s="25" t="n">
        <v>21.8280735015869</v>
      </c>
      <c r="R421" s="25" t="n">
        <v>13.0807313919067</v>
      </c>
      <c r="S421" s="25" t="n">
        <v>0.668687701225281</v>
      </c>
      <c r="T421" s="25" t="n">
        <v>0.258222579956055</v>
      </c>
      <c r="U421" s="25" t="n">
        <v>0.0670764148235321</v>
      </c>
      <c r="V421" s="25" t="n">
        <v>1.09916949272156</v>
      </c>
      <c r="W421" s="25" t="n">
        <v>0.307724267244339</v>
      </c>
      <c r="X421" s="25" t="n">
        <v>0</v>
      </c>
      <c r="Y421" s="25" t="n">
        <v>828.147827148438</v>
      </c>
      <c r="Z421" s="25" t="n">
        <v>39.4921913146973</v>
      </c>
      <c r="AA421" s="25" t="n">
        <v>32.6286544799805</v>
      </c>
      <c r="AB421" s="25" t="n">
        <v>2.52574753761292</v>
      </c>
      <c r="AC421" s="25" t="n">
        <v>0.0551910288631916</v>
      </c>
      <c r="AD421" s="25" t="n">
        <v>0.0202159471809864</v>
      </c>
      <c r="AE421" s="25" t="n">
        <v>0.206810623407364</v>
      </c>
      <c r="AF421" s="25" t="n">
        <v>0.130639538168907</v>
      </c>
      <c r="AG421" s="25" t="n">
        <v>0.0439368784427643</v>
      </c>
      <c r="AH421" s="25" t="n">
        <v>0.791694343090057</v>
      </c>
      <c r="AI421" s="25" t="n">
        <v>23.141529083252</v>
      </c>
      <c r="AJ421" s="6" t="n">
        <v>150.5</v>
      </c>
      <c r="AK421" s="6" t="n">
        <v>1142.1</v>
      </c>
      <c r="AL421" s="26"/>
    </row>
    <row r="422" customFormat="false" ht="15" hidden="false" customHeight="false" outlineLevel="0" collapsed="false">
      <c r="A422" s="6" t="s">
        <v>3671</v>
      </c>
      <c r="B422" s="6" t="s">
        <v>3672</v>
      </c>
      <c r="C422" s="6" t="s">
        <v>3670</v>
      </c>
      <c r="D422" s="13" t="n">
        <v>798.261291503906</v>
      </c>
      <c r="E422" s="25" t="n">
        <v>2.74099469184876</v>
      </c>
      <c r="F422" s="25" t="n">
        <v>11.1277875900269</v>
      </c>
      <c r="G422" s="25" t="n">
        <v>82.4379043579102</v>
      </c>
      <c r="H422" s="25" t="n">
        <v>1.18404805660248</v>
      </c>
      <c r="I422" s="25" t="n">
        <v>0.151286453008652</v>
      </c>
      <c r="J422" s="25" t="n">
        <v>9.91819921875</v>
      </c>
      <c r="K422" s="25" t="n">
        <v>16.894228515625</v>
      </c>
      <c r="L422" s="25" t="n">
        <v>52.19469921875</v>
      </c>
      <c r="M422" s="25" t="n">
        <v>0</v>
      </c>
      <c r="N422" s="25" t="n">
        <v>142.82160949707</v>
      </c>
      <c r="O422" s="25" t="n">
        <v>124.576332092285</v>
      </c>
      <c r="P422" s="25" t="n">
        <v>4.99485445022583</v>
      </c>
      <c r="Q422" s="25" t="n">
        <v>48.2024002075195</v>
      </c>
      <c r="R422" s="25" t="n">
        <v>16.1012001037598</v>
      </c>
      <c r="S422" s="25" t="n">
        <v>0.511835336685181</v>
      </c>
      <c r="T422" s="25" t="n">
        <v>0.313893646001816</v>
      </c>
      <c r="U422" s="25" t="n">
        <v>0.116569474339485</v>
      </c>
      <c r="V422" s="25" t="n">
        <v>4.40222978591919</v>
      </c>
      <c r="W422" s="25" t="n">
        <v>0.154716983437538</v>
      </c>
      <c r="X422" s="25" t="n">
        <v>0</v>
      </c>
      <c r="Y422" s="25" t="n">
        <v>87.6243591308594</v>
      </c>
      <c r="Z422" s="25" t="n">
        <v>40.551628112793</v>
      </c>
      <c r="AA422" s="25" t="n">
        <v>6.20874786376953</v>
      </c>
      <c r="AB422" s="25" t="n">
        <v>0.00171526579651982</v>
      </c>
      <c r="AC422" s="25" t="n">
        <v>0.0450257286429405</v>
      </c>
      <c r="AD422" s="25" t="n">
        <v>0.0170497428625822</v>
      </c>
      <c r="AE422" s="25" t="n">
        <v>0.392967402935028</v>
      </c>
      <c r="AF422" s="25" t="n">
        <v>0.192778721451759</v>
      </c>
      <c r="AG422" s="25" t="n">
        <v>0.0387650094926357</v>
      </c>
      <c r="AH422" s="25" t="n">
        <v>0.0823327600955963</v>
      </c>
      <c r="AI422" s="25" t="n">
        <v>8.78387641906738</v>
      </c>
      <c r="AJ422" s="6" t="n">
        <v>145.7</v>
      </c>
      <c r="AK422" s="6" t="n">
        <v>1163.5</v>
      </c>
      <c r="AL422" s="26"/>
    </row>
    <row r="423" customFormat="false" ht="15" hidden="false" customHeight="false" outlineLevel="0" collapsed="false">
      <c r="A423" s="6" t="s">
        <v>3673</v>
      </c>
      <c r="B423" s="6" t="s">
        <v>3674</v>
      </c>
      <c r="C423" s="6" t="s">
        <v>3112</v>
      </c>
      <c r="D423" s="13" t="n">
        <v>190.211410522461</v>
      </c>
      <c r="E423" s="25" t="n">
        <v>4.15454530715942</v>
      </c>
      <c r="F423" s="25" t="n">
        <v>41.0722732543945</v>
      </c>
      <c r="G423" s="25" t="n">
        <v>0.644090950489044</v>
      </c>
      <c r="H423" s="25" t="n">
        <v>2.22727274894714</v>
      </c>
      <c r="I423" s="25" t="n">
        <v>19.4095458984375</v>
      </c>
      <c r="J423" s="25" t="n">
        <v>0.0924613647460938</v>
      </c>
      <c r="K423" s="25" t="n">
        <v>0.104256820678711</v>
      </c>
      <c r="L423" s="25" t="n">
        <v>0.281704559326172</v>
      </c>
      <c r="M423" s="25" t="n">
        <v>0</v>
      </c>
      <c r="N423" s="25" t="n">
        <v>8.38000011444092</v>
      </c>
      <c r="O423" s="25" t="n">
        <v>230.18180847168</v>
      </c>
      <c r="P423" s="25" t="n">
        <v>30.3722724914551</v>
      </c>
      <c r="Q423" s="25" t="n">
        <v>78.3022689819336</v>
      </c>
      <c r="R423" s="25" t="n">
        <v>42.9363632202148</v>
      </c>
      <c r="S423" s="25" t="n">
        <v>1.76863634586334</v>
      </c>
      <c r="T423" s="25" t="n">
        <v>0.6795454621315</v>
      </c>
      <c r="U423" s="25" t="n">
        <v>0.151818186044693</v>
      </c>
      <c r="V423" s="25" t="n">
        <v>4.90409088134766</v>
      </c>
      <c r="W423" s="25" t="n">
        <v>0.495909094810486</v>
      </c>
      <c r="X423" s="25" t="n">
        <v>0</v>
      </c>
      <c r="Y423" s="25" t="n">
        <v>107.40682220459</v>
      </c>
      <c r="Z423" s="25" t="n">
        <v>0.0468181818723679</v>
      </c>
      <c r="AA423" s="25" t="n">
        <v>0.477272719144821</v>
      </c>
      <c r="AB423" s="25" t="n">
        <v>0</v>
      </c>
      <c r="AC423" s="25" t="n">
        <v>0.0795454531908035</v>
      </c>
      <c r="AD423" s="25" t="n">
        <v>0.0295454543083906</v>
      </c>
      <c r="AE423" s="25" t="n">
        <v>0.745000004768372</v>
      </c>
      <c r="AF423" s="25" t="n">
        <v>0.322727262973785</v>
      </c>
      <c r="AG423" s="25" t="n">
        <v>0.228636354207993</v>
      </c>
      <c r="AH423" s="25" t="n">
        <v>0.275909096002579</v>
      </c>
      <c r="AI423" s="25" t="n">
        <v>22.0340919494629</v>
      </c>
      <c r="AJ423" s="6" t="n">
        <v>220</v>
      </c>
      <c r="AK423" s="6" t="n">
        <v>418.5</v>
      </c>
      <c r="AL423" s="26"/>
    </row>
    <row r="424" customFormat="false" ht="15" hidden="false" customHeight="false" outlineLevel="0" collapsed="false">
      <c r="A424" s="6" t="s">
        <v>3675</v>
      </c>
      <c r="B424" s="6" t="s">
        <v>3676</v>
      </c>
      <c r="C424" s="6" t="s">
        <v>3099</v>
      </c>
      <c r="D424" s="13" t="n">
        <v>782.745727539063</v>
      </c>
      <c r="E424" s="25" t="n">
        <v>2.11803269386292</v>
      </c>
      <c r="F424" s="25" t="n">
        <v>14.2627868652344</v>
      </c>
      <c r="G424" s="25" t="n">
        <v>79.6311492919922</v>
      </c>
      <c r="H424" s="25" t="n">
        <v>1.54081964492798</v>
      </c>
      <c r="I424" s="25" t="n">
        <v>7.14540958404541</v>
      </c>
      <c r="J424" s="25" t="n">
        <v>9.5905927734375</v>
      </c>
      <c r="K424" s="25" t="n">
        <v>16.442580078125</v>
      </c>
      <c r="L424" s="25" t="n">
        <v>50.2700390625</v>
      </c>
      <c r="M424" s="25" t="n">
        <v>0</v>
      </c>
      <c r="N424" s="25" t="n">
        <v>2.56606554985046</v>
      </c>
      <c r="O424" s="25" t="n">
        <v>82.7704925537109</v>
      </c>
      <c r="P424" s="25" t="n">
        <v>34.2409858703613</v>
      </c>
      <c r="Q424" s="25" t="n">
        <v>51.5024604797363</v>
      </c>
      <c r="R424" s="25" t="n">
        <v>27.8032779693604</v>
      </c>
      <c r="S424" s="25" t="n">
        <v>1.12704920768738</v>
      </c>
      <c r="T424" s="25" t="n">
        <v>0.447049170732498</v>
      </c>
      <c r="U424" s="25" t="n">
        <v>0.0863934457302094</v>
      </c>
      <c r="V424" s="25" t="n">
        <v>4.92360639572144</v>
      </c>
      <c r="W424" s="25" t="n">
        <v>0.385573774576187</v>
      </c>
      <c r="X424" s="25" t="n">
        <v>0</v>
      </c>
      <c r="Y424" s="25" t="n">
        <v>26.7788524627686</v>
      </c>
      <c r="Z424" s="25" t="n">
        <v>38.859016418457</v>
      </c>
      <c r="AA424" s="25" t="n">
        <v>7.11049175262451</v>
      </c>
      <c r="AB424" s="25" t="n">
        <v>0</v>
      </c>
      <c r="AC424" s="25" t="n">
        <v>0.0583606548607349</v>
      </c>
      <c r="AD424" s="25" t="n">
        <v>0.0198360662907362</v>
      </c>
      <c r="AE424" s="25" t="n">
        <v>0.322786867618561</v>
      </c>
      <c r="AF424" s="25" t="n">
        <v>0.138688519597054</v>
      </c>
      <c r="AG424" s="25" t="n">
        <v>0.103606559336186</v>
      </c>
      <c r="AH424" s="25" t="n">
        <v>0.441967189311981</v>
      </c>
      <c r="AI424" s="25" t="n">
        <v>12.0508193969727</v>
      </c>
      <c r="AJ424" s="6" t="n">
        <v>152.5</v>
      </c>
      <c r="AK424" s="6" t="n">
        <v>1193.7</v>
      </c>
      <c r="AL424" s="26" t="s">
        <v>3100</v>
      </c>
    </row>
    <row r="425" customFormat="false" ht="15" hidden="false" customHeight="false" outlineLevel="0" collapsed="false">
      <c r="A425" s="6" t="s">
        <v>3677</v>
      </c>
      <c r="B425" s="6" t="s">
        <v>3678</v>
      </c>
      <c r="C425" s="6" t="s">
        <v>3299</v>
      </c>
      <c r="D425" s="13" t="n">
        <v>441.081695556641</v>
      </c>
      <c r="E425" s="25" t="n">
        <v>9.83523845672607</v>
      </c>
      <c r="F425" s="25" t="n">
        <v>59.9961891174316</v>
      </c>
      <c r="G425" s="25" t="n">
        <v>18.4114284515381</v>
      </c>
      <c r="H425" s="25" t="n">
        <v>6.01904773712158</v>
      </c>
      <c r="I425" s="25" t="n">
        <v>31.116189956665</v>
      </c>
      <c r="J425" s="25" t="n">
        <v>9.22723828125</v>
      </c>
      <c r="K425" s="25" t="n">
        <v>5.46720947265625</v>
      </c>
      <c r="L425" s="25" t="n">
        <v>2.06838110351563</v>
      </c>
      <c r="M425" s="25" t="n">
        <v>35.1428604125977</v>
      </c>
      <c r="N425" s="25" t="n">
        <v>5.24857139587402</v>
      </c>
      <c r="O425" s="25" t="n">
        <v>396.476196289063</v>
      </c>
      <c r="P425" s="25" t="n">
        <v>25.1980953216553</v>
      </c>
      <c r="Q425" s="25" t="n">
        <v>206.761901855469</v>
      </c>
      <c r="R425" s="25" t="n">
        <v>84.5714263916016</v>
      </c>
      <c r="S425" s="25" t="n">
        <v>2.30476188659668</v>
      </c>
      <c r="T425" s="25" t="n">
        <v>1.62000000476837</v>
      </c>
      <c r="U425" s="25" t="n">
        <v>0.443809509277344</v>
      </c>
      <c r="V425" s="25" t="n">
        <v>25.0523815155029</v>
      </c>
      <c r="W425" s="25" t="n">
        <v>1.19238090515137</v>
      </c>
      <c r="X425" s="25" t="n">
        <v>131.714294433594</v>
      </c>
      <c r="Y425" s="25" t="n">
        <v>473.076202392578</v>
      </c>
      <c r="Z425" s="25" t="n">
        <v>1.34857141971588</v>
      </c>
      <c r="AA425" s="25" t="n">
        <v>2.24761891365051</v>
      </c>
      <c r="AB425" s="25" t="n">
        <v>0</v>
      </c>
      <c r="AC425" s="25" t="n">
        <v>0.240952387452126</v>
      </c>
      <c r="AD425" s="25" t="n">
        <v>0.0771428570151329</v>
      </c>
      <c r="AE425" s="25" t="n">
        <v>2.10857152938843</v>
      </c>
      <c r="AF425" s="25" t="n">
        <v>0.664761900901794</v>
      </c>
      <c r="AG425" s="25" t="n">
        <v>0.129523813724518</v>
      </c>
      <c r="AH425" s="25" t="n">
        <v>0.494285702705383</v>
      </c>
      <c r="AI425" s="25" t="n">
        <v>34.5476188659668</v>
      </c>
      <c r="AJ425" s="6" t="n">
        <v>26.3</v>
      </c>
      <c r="AK425" s="6" t="n">
        <v>115.8</v>
      </c>
      <c r="AL425" s="26"/>
    </row>
    <row r="426" customFormat="false" ht="15" hidden="false" customHeight="false" outlineLevel="0" collapsed="false">
      <c r="A426" s="6" t="s">
        <v>3679</v>
      </c>
      <c r="B426" s="6" t="s">
        <v>3680</v>
      </c>
      <c r="C426" s="6" t="s">
        <v>3299</v>
      </c>
      <c r="D426" s="13" t="n">
        <v>121.172439575195</v>
      </c>
      <c r="E426" s="25" t="n">
        <v>2.70746064186096</v>
      </c>
      <c r="F426" s="25" t="n">
        <v>12.7603445053101</v>
      </c>
      <c r="G426" s="25" t="n">
        <v>6.81406021118164</v>
      </c>
      <c r="H426" s="25" t="n">
        <v>1.17173612117767</v>
      </c>
      <c r="I426" s="25" t="n">
        <v>12.1189098358154</v>
      </c>
      <c r="J426" s="25" t="n">
        <v>4.1858017578125</v>
      </c>
      <c r="K426" s="25" t="n">
        <v>1.40668151855469</v>
      </c>
      <c r="L426" s="25" t="n">
        <v>0.296015777587891</v>
      </c>
      <c r="M426" s="25" t="n">
        <v>5.64705896377564</v>
      </c>
      <c r="N426" s="25" t="n">
        <v>27.7749061584473</v>
      </c>
      <c r="O426" s="25" t="n">
        <v>268.783355712891</v>
      </c>
      <c r="P426" s="25" t="n">
        <v>93.6757507324219</v>
      </c>
      <c r="Q426" s="25" t="n">
        <v>70.866569519043</v>
      </c>
      <c r="R426" s="25" t="n">
        <v>33.1423225402832</v>
      </c>
      <c r="S426" s="25" t="n">
        <v>1.05154955387116</v>
      </c>
      <c r="T426" s="25" t="n">
        <v>0.375767588615418</v>
      </c>
      <c r="U426" s="25" t="n">
        <v>0.103472024202347</v>
      </c>
      <c r="V426" s="25" t="n">
        <v>1.88624107837677</v>
      </c>
      <c r="W426" s="25" t="n">
        <v>0.427804887294769</v>
      </c>
      <c r="X426" s="25" t="n">
        <v>21.1649932861328</v>
      </c>
      <c r="Y426" s="25" t="n">
        <v>2904.29565429688</v>
      </c>
      <c r="Z426" s="25" t="n">
        <v>0.803629815578461</v>
      </c>
      <c r="AA426" s="25" t="n">
        <v>93.3492279052734</v>
      </c>
      <c r="AB426" s="25" t="n">
        <v>9.84218120574951</v>
      </c>
      <c r="AC426" s="25" t="n">
        <v>0.0644476339221001</v>
      </c>
      <c r="AD426" s="25" t="n">
        <v>0.0930702984333038</v>
      </c>
      <c r="AE426" s="25" t="n">
        <v>0.162596851587296</v>
      </c>
      <c r="AF426" s="25" t="n">
        <v>0.264662832021713</v>
      </c>
      <c r="AG426" s="25" t="n">
        <v>0.0705164968967438</v>
      </c>
      <c r="AH426" s="25" t="n">
        <v>2.36031556129456</v>
      </c>
      <c r="AI426" s="25" t="n">
        <v>45.4809913635254</v>
      </c>
      <c r="AJ426" s="6" t="n">
        <v>87.1</v>
      </c>
      <c r="AK426" s="6" t="n">
        <v>105.6</v>
      </c>
      <c r="AL426" s="26"/>
    </row>
    <row r="427" customFormat="false" ht="15" hidden="false" customHeight="false" outlineLevel="0" collapsed="false">
      <c r="A427" s="6" t="s">
        <v>593</v>
      </c>
      <c r="B427" s="6" t="s">
        <v>3681</v>
      </c>
      <c r="C427" s="6" t="s">
        <v>3165</v>
      </c>
      <c r="D427" s="13" t="n">
        <v>366.586975097656</v>
      </c>
      <c r="E427" s="25" t="n">
        <v>9.51451969146729</v>
      </c>
      <c r="F427" s="25" t="n">
        <v>62.6604194641113</v>
      </c>
      <c r="G427" s="25" t="n">
        <v>7.92786884307861</v>
      </c>
      <c r="H427" s="25" t="n">
        <v>8.15925025939941</v>
      </c>
      <c r="I427" s="25" t="n">
        <v>24.732551574707</v>
      </c>
      <c r="J427" s="25" t="n">
        <v>3.89781640625</v>
      </c>
      <c r="K427" s="25" t="n">
        <v>1.86505944824219</v>
      </c>
      <c r="L427" s="25" t="n">
        <v>1.10906787109375</v>
      </c>
      <c r="M427" s="25" t="n">
        <v>15.5550346374512</v>
      </c>
      <c r="N427" s="25" t="n">
        <v>12.0538635253906</v>
      </c>
      <c r="O427" s="25" t="n">
        <v>462.107727050781</v>
      </c>
      <c r="P427" s="25" t="n">
        <v>53.3035125732422</v>
      </c>
      <c r="Q427" s="25" t="n">
        <v>229.376113891602</v>
      </c>
      <c r="R427" s="25" t="n">
        <v>112.974235534668</v>
      </c>
      <c r="S427" s="25" t="n">
        <v>4.36065578460693</v>
      </c>
      <c r="T427" s="25" t="n">
        <v>2.14519906044006</v>
      </c>
      <c r="U427" s="25" t="n">
        <v>0.39812645316124</v>
      </c>
      <c r="V427" s="25" t="n">
        <v>34.4299774169922</v>
      </c>
      <c r="W427" s="25" t="n">
        <v>1.9128805398941</v>
      </c>
      <c r="X427" s="25" t="n">
        <v>58.2997665405273</v>
      </c>
      <c r="Y427" s="25" t="n">
        <v>446.744262695313</v>
      </c>
      <c r="Z427" s="25" t="n">
        <v>0.532833695411682</v>
      </c>
      <c r="AA427" s="25" t="n">
        <v>0.983606576919556</v>
      </c>
      <c r="AB427" s="25" t="n">
        <v>0</v>
      </c>
      <c r="AC427" s="25" t="n">
        <v>0.273536294698715</v>
      </c>
      <c r="AD427" s="25" t="n">
        <v>0.101170964539051</v>
      </c>
      <c r="AE427" s="25" t="n">
        <v>1.46604216098785</v>
      </c>
      <c r="AF427" s="25" t="n">
        <v>0.771896958351135</v>
      </c>
      <c r="AG427" s="25" t="n">
        <v>0.352224826812744</v>
      </c>
      <c r="AH427" s="25" t="n">
        <v>0.670726001262665</v>
      </c>
      <c r="AI427" s="25" t="n">
        <v>51.8313827514648</v>
      </c>
      <c r="AJ427" s="6" t="n">
        <v>53.4</v>
      </c>
      <c r="AK427" s="6" t="n">
        <v>195.7</v>
      </c>
      <c r="AL427" s="26"/>
    </row>
    <row r="428" customFormat="false" ht="15" hidden="false" customHeight="false" outlineLevel="0" collapsed="false">
      <c r="A428" s="6" t="s">
        <v>3682</v>
      </c>
      <c r="B428" s="6" t="s">
        <v>3683</v>
      </c>
      <c r="C428" s="6" t="s">
        <v>3112</v>
      </c>
      <c r="D428" s="13" t="n">
        <v>111.563247680664</v>
      </c>
      <c r="E428" s="25" t="n">
        <v>2.80509495735169</v>
      </c>
      <c r="F428" s="25" t="n">
        <v>14.7725315093994</v>
      </c>
      <c r="G428" s="25" t="n">
        <v>4.70977830886841</v>
      </c>
      <c r="H428" s="25" t="n">
        <v>3.12294292449951</v>
      </c>
      <c r="I428" s="25" t="n">
        <v>1.66734182834625</v>
      </c>
      <c r="J428" s="25" t="n">
        <v>0.553939880371094</v>
      </c>
      <c r="K428" s="25" t="n">
        <v>0.927681945800781</v>
      </c>
      <c r="L428" s="25" t="n">
        <v>2.80858544921875</v>
      </c>
      <c r="M428" s="25" t="n">
        <v>0</v>
      </c>
      <c r="N428" s="25" t="n">
        <v>196.729431152344</v>
      </c>
      <c r="O428" s="25" t="n">
        <v>83.9224700927734</v>
      </c>
      <c r="P428" s="25" t="n">
        <v>22.6234169006348</v>
      </c>
      <c r="Q428" s="25" t="n">
        <v>18.9984188079834</v>
      </c>
      <c r="R428" s="25" t="n">
        <v>9.46360778808594</v>
      </c>
      <c r="S428" s="25" t="n">
        <v>1.29392409324646</v>
      </c>
      <c r="T428" s="25" t="n">
        <v>0.15645569562912</v>
      </c>
      <c r="U428" s="25" t="n">
        <v>0.0360601246356964</v>
      </c>
      <c r="V428" s="25" t="n">
        <v>0.102879747748375</v>
      </c>
      <c r="W428" s="25" t="n">
        <v>0.103512659668922</v>
      </c>
      <c r="X428" s="25" t="n">
        <v>0</v>
      </c>
      <c r="Y428" s="25" t="n">
        <v>1506.8291015625</v>
      </c>
      <c r="Z428" s="25" t="n">
        <v>2.1486074924469</v>
      </c>
      <c r="AA428" s="25" t="n">
        <v>4.34667730331421</v>
      </c>
      <c r="AB428" s="25" t="n">
        <v>2.38449358940125</v>
      </c>
      <c r="AC428" s="25" t="n">
        <v>0.0285443048924208</v>
      </c>
      <c r="AD428" s="25" t="n">
        <v>0.0146518982946873</v>
      </c>
      <c r="AE428" s="25" t="n">
        <v>0.145158231258392</v>
      </c>
      <c r="AF428" s="25" t="n">
        <v>0.133607596158981</v>
      </c>
      <c r="AG428" s="25" t="n">
        <v>0.0455379746854305</v>
      </c>
      <c r="AH428" s="25" t="n">
        <v>0.65411388874054</v>
      </c>
      <c r="AI428" s="25" t="n">
        <v>11.15123462677</v>
      </c>
      <c r="AJ428" s="6" t="n">
        <v>316</v>
      </c>
      <c r="AK428" s="6" t="n">
        <v>352.5</v>
      </c>
      <c r="AL428" s="26"/>
    </row>
    <row r="429" customFormat="false" ht="15" hidden="false" customHeight="false" outlineLevel="0" collapsed="false">
      <c r="A429" s="6" t="s">
        <v>3684</v>
      </c>
      <c r="B429" s="6" t="s">
        <v>3685</v>
      </c>
      <c r="C429" s="6" t="s">
        <v>3112</v>
      </c>
      <c r="D429" s="13" t="n">
        <v>192.603424072266</v>
      </c>
      <c r="E429" s="25" t="n">
        <v>5.59245204925537</v>
      </c>
      <c r="F429" s="25" t="n">
        <v>26.6048393249512</v>
      </c>
      <c r="G429" s="25" t="n">
        <v>6.88589143753052</v>
      </c>
      <c r="H429" s="25" t="n">
        <v>3.13282871246338</v>
      </c>
      <c r="I429" s="25" t="n">
        <v>1.92557942867279</v>
      </c>
      <c r="J429" s="25" t="n">
        <v>1.24122546386719</v>
      </c>
      <c r="K429" s="25" t="n">
        <v>2.54609765625</v>
      </c>
      <c r="L429" s="25" t="n">
        <v>2.82832421875</v>
      </c>
      <c r="M429" s="25" t="n">
        <v>0</v>
      </c>
      <c r="N429" s="25" t="n">
        <v>220.824417114258</v>
      </c>
      <c r="O429" s="25" t="n">
        <v>268.063201904297</v>
      </c>
      <c r="P429" s="25" t="n">
        <v>28.390417098999</v>
      </c>
      <c r="Q429" s="25" t="n">
        <v>116.237861633301</v>
      </c>
      <c r="R429" s="25" t="n">
        <v>55.6265525817871</v>
      </c>
      <c r="S429" s="25" t="n">
        <v>2.42576169967651</v>
      </c>
      <c r="T429" s="25" t="n">
        <v>0.930089890956879</v>
      </c>
      <c r="U429" s="25" t="n">
        <v>0.213163122534752</v>
      </c>
      <c r="V429" s="25" t="n">
        <v>1.0089373588562</v>
      </c>
      <c r="W429" s="25" t="n">
        <v>0.541589915752411</v>
      </c>
      <c r="X429" s="25" t="n">
        <v>0</v>
      </c>
      <c r="Y429" s="25" t="n">
        <v>517.279113769531</v>
      </c>
      <c r="Z429" s="25" t="n">
        <v>1.5466685295105</v>
      </c>
      <c r="AA429" s="25" t="n">
        <v>8.09606170654297</v>
      </c>
      <c r="AB429" s="25" t="n">
        <v>10.0547380447388</v>
      </c>
      <c r="AC429" s="25" t="n">
        <v>0.128964096307755</v>
      </c>
      <c r="AD429" s="25" t="n">
        <v>0.0420284308493137</v>
      </c>
      <c r="AE429" s="25" t="n">
        <v>1.95342445373535</v>
      </c>
      <c r="AF429" s="25" t="n">
        <v>0.405909150838852</v>
      </c>
      <c r="AG429" s="25" t="n">
        <v>0.0954497456550598</v>
      </c>
      <c r="AH429" s="25" t="n">
        <v>0.969962358474731</v>
      </c>
      <c r="AI429" s="25" t="n">
        <v>24.4634132385254</v>
      </c>
      <c r="AJ429" s="6" t="n">
        <v>191.3</v>
      </c>
      <c r="AK429" s="6" t="n">
        <v>368.5</v>
      </c>
      <c r="AL429" s="26"/>
    </row>
    <row r="430" customFormat="false" ht="15" hidden="false" customHeight="false" outlineLevel="0" collapsed="false">
      <c r="A430" s="6" t="s">
        <v>3686</v>
      </c>
      <c r="B430" s="6" t="s">
        <v>3687</v>
      </c>
      <c r="C430" s="6" t="s">
        <v>3473</v>
      </c>
      <c r="D430" s="13" t="n">
        <v>319.656219482422</v>
      </c>
      <c r="E430" s="25" t="n">
        <v>9.61368465423584</v>
      </c>
      <c r="F430" s="25" t="n">
        <v>50.9826316833496</v>
      </c>
      <c r="G430" s="25" t="n">
        <v>8.05894756317139</v>
      </c>
      <c r="H430" s="25" t="n">
        <v>5.99684190750122</v>
      </c>
      <c r="I430" s="25" t="n">
        <v>27.4410514831543</v>
      </c>
      <c r="J430" s="25" t="n">
        <v>1.47380944824219</v>
      </c>
      <c r="K430" s="25" t="n">
        <v>3.06498510742188</v>
      </c>
      <c r="L430" s="25" t="n">
        <v>2.78692626953125</v>
      </c>
      <c r="M430" s="25" t="n">
        <v>0</v>
      </c>
      <c r="N430" s="25" t="n">
        <v>12.2610521316528</v>
      </c>
      <c r="O430" s="25" t="n">
        <v>479.315795898438</v>
      </c>
      <c r="P430" s="25" t="n">
        <v>118.737365722656</v>
      </c>
      <c r="Q430" s="25" t="n">
        <v>224.220001220703</v>
      </c>
      <c r="R430" s="25" t="n">
        <v>125.578948974609</v>
      </c>
      <c r="S430" s="25" t="n">
        <v>4.7189474105835</v>
      </c>
      <c r="T430" s="25" t="n">
        <v>1.87421047687531</v>
      </c>
      <c r="U430" s="25" t="n">
        <v>0.442105263471603</v>
      </c>
      <c r="V430" s="25" t="n">
        <v>15.04421043396</v>
      </c>
      <c r="W430" s="25" t="n">
        <v>0.887368440628052</v>
      </c>
      <c r="X430" s="25" t="n">
        <v>0</v>
      </c>
      <c r="Y430" s="25" t="n">
        <v>159.821060180664</v>
      </c>
      <c r="Z430" s="25" t="n">
        <v>0.616842091083527</v>
      </c>
      <c r="AA430" s="25" t="n">
        <v>7.46578979492188</v>
      </c>
      <c r="AB430" s="25" t="n">
        <v>0</v>
      </c>
      <c r="AC430" s="25" t="n">
        <v>0.194210529327393</v>
      </c>
      <c r="AD430" s="25" t="n">
        <v>0.0847368463873863</v>
      </c>
      <c r="AE430" s="25" t="n">
        <v>1.82842099666596</v>
      </c>
      <c r="AF430" s="25" t="n">
        <v>0.512631595134735</v>
      </c>
      <c r="AG430" s="25" t="n">
        <v>0.372105270624161</v>
      </c>
      <c r="AH430" s="25" t="n">
        <v>0.771578907966614</v>
      </c>
      <c r="AI430" s="25" t="n">
        <v>40.2057914733887</v>
      </c>
      <c r="AJ430" s="6" t="n">
        <v>47.5</v>
      </c>
      <c r="AK430" s="6" t="n">
        <v>151.8</v>
      </c>
      <c r="AL430" s="26"/>
    </row>
    <row r="431" customFormat="false" ht="15" hidden="false" customHeight="false" outlineLevel="0" collapsed="false">
      <c r="A431" s="6" t="s">
        <v>3688</v>
      </c>
      <c r="B431" s="6" t="s">
        <v>3689</v>
      </c>
      <c r="C431" s="6" t="s">
        <v>3473</v>
      </c>
      <c r="D431" s="13" t="n">
        <v>485.872436523438</v>
      </c>
      <c r="E431" s="25" t="n">
        <v>7.6517858505249</v>
      </c>
      <c r="F431" s="25" t="n">
        <v>60.3353576660156</v>
      </c>
      <c r="G431" s="25" t="n">
        <v>24.982500076294</v>
      </c>
      <c r="H431" s="25" t="n">
        <v>4.57357120513916</v>
      </c>
      <c r="I431" s="25" t="n">
        <v>38.1192855834961</v>
      </c>
      <c r="J431" s="25" t="n">
        <v>13.246</v>
      </c>
      <c r="K431" s="25" t="n">
        <v>7.023892578125</v>
      </c>
      <c r="L431" s="25" t="n">
        <v>2.43707153320313</v>
      </c>
      <c r="M431" s="25" t="n">
        <v>52.7142868041992</v>
      </c>
      <c r="N431" s="25" t="n">
        <v>6.09357118606567</v>
      </c>
      <c r="O431" s="25" t="n">
        <v>161</v>
      </c>
      <c r="P431" s="25" t="n">
        <v>20.6678581237793</v>
      </c>
      <c r="Q431" s="25" t="n">
        <v>123.821426391602</v>
      </c>
      <c r="R431" s="25" t="n">
        <v>47.4642868041992</v>
      </c>
      <c r="S431" s="25" t="n">
        <v>1.62607145309448</v>
      </c>
      <c r="T431" s="25" t="n">
        <v>1.03964281082153</v>
      </c>
      <c r="U431" s="25" t="n">
        <v>0.217500001192093</v>
      </c>
      <c r="V431" s="25" t="n">
        <v>10.4435710906982</v>
      </c>
      <c r="W431" s="25" t="n">
        <v>0.940714299678803</v>
      </c>
      <c r="X431" s="25" t="n">
        <v>197.571426391602</v>
      </c>
      <c r="Y431" s="25" t="n">
        <v>461.557159423828</v>
      </c>
      <c r="Z431" s="25" t="n">
        <v>2.03999996185303</v>
      </c>
      <c r="AA431" s="25" t="n">
        <v>2.03928565979004</v>
      </c>
      <c r="AB431" s="25" t="n">
        <v>0</v>
      </c>
      <c r="AC431" s="25" t="n">
        <v>0.196071431040764</v>
      </c>
      <c r="AD431" s="25" t="n">
        <v>0.0657142847776413</v>
      </c>
      <c r="AE431" s="25" t="n">
        <v>1.57321429252625</v>
      </c>
      <c r="AF431" s="25" t="n">
        <v>0.448928564786911</v>
      </c>
      <c r="AG431" s="25" t="n">
        <v>0.141428574919701</v>
      </c>
      <c r="AH431" s="25" t="n">
        <v>1.7507141828537</v>
      </c>
      <c r="AI431" s="25" t="n">
        <v>46.1728553771973</v>
      </c>
      <c r="AJ431" s="6" t="n">
        <v>35</v>
      </c>
      <c r="AK431" s="6" t="n">
        <v>170.1</v>
      </c>
      <c r="AL431" s="26"/>
    </row>
    <row r="432" customFormat="false" ht="15" hidden="false" customHeight="false" outlineLevel="0" collapsed="false">
      <c r="A432" s="6" t="s">
        <v>3690</v>
      </c>
      <c r="B432" s="6" t="s">
        <v>3691</v>
      </c>
      <c r="C432" s="6" t="s">
        <v>3165</v>
      </c>
      <c r="D432" s="13" t="n">
        <v>149.255172729492</v>
      </c>
      <c r="E432" s="25" t="n">
        <v>7.16804170608521</v>
      </c>
      <c r="F432" s="25" t="n">
        <v>26.5940666198731</v>
      </c>
      <c r="G432" s="25" t="n">
        <v>1.50817048549652</v>
      </c>
      <c r="H432" s="25" t="n">
        <v>5.73573017120361</v>
      </c>
      <c r="I432" s="25" t="n">
        <v>2.02771949768066</v>
      </c>
      <c r="J432" s="25" t="n">
        <v>0.228827285766602</v>
      </c>
      <c r="K432" s="25" t="n">
        <v>0.216585632324219</v>
      </c>
      <c r="L432" s="25" t="n">
        <v>0.753398193359375</v>
      </c>
      <c r="M432" s="25" t="n">
        <v>0</v>
      </c>
      <c r="N432" s="25" t="n">
        <v>170.958038330078</v>
      </c>
      <c r="O432" s="25" t="n">
        <v>403.438873291016</v>
      </c>
      <c r="P432" s="25" t="n">
        <v>52.7430610656738</v>
      </c>
      <c r="Q432" s="25" t="n">
        <v>127.749984741211</v>
      </c>
      <c r="R432" s="25" t="n">
        <v>77.0299453735352</v>
      </c>
      <c r="S432" s="25" t="n">
        <v>2.62358140945435</v>
      </c>
      <c r="T432" s="25" t="n">
        <v>1.15034627914429</v>
      </c>
      <c r="U432" s="25" t="n">
        <v>0.245202973484993</v>
      </c>
      <c r="V432" s="25" t="n">
        <v>13.8698282241821</v>
      </c>
      <c r="W432" s="25" t="n">
        <v>1.43702864646912</v>
      </c>
      <c r="X432" s="25" t="n">
        <v>0</v>
      </c>
      <c r="Y432" s="25" t="n">
        <v>3830.80810546875</v>
      </c>
      <c r="Z432" s="25" t="n">
        <v>0.972204446792603</v>
      </c>
      <c r="AA432" s="25" t="n">
        <v>129.238296508789</v>
      </c>
      <c r="AB432" s="25" t="n">
        <v>15.4816665649414</v>
      </c>
      <c r="AC432" s="25" t="n">
        <v>0.239848643541336</v>
      </c>
      <c r="AD432" s="25" t="n">
        <v>0.104915782809258</v>
      </c>
      <c r="AE432" s="25" t="n">
        <v>1.06391131877899</v>
      </c>
      <c r="AF432" s="25" t="n">
        <v>0.544380962848663</v>
      </c>
      <c r="AG432" s="25" t="n">
        <v>0.212934881448746</v>
      </c>
      <c r="AH432" s="25" t="n">
        <v>3.61055564880371</v>
      </c>
      <c r="AI432" s="25" t="n">
        <v>98.0376815795898</v>
      </c>
      <c r="AJ432" s="6" t="n">
        <v>42.9</v>
      </c>
      <c r="AK432" s="6" t="n">
        <v>64.1</v>
      </c>
      <c r="AL432" s="26"/>
    </row>
    <row r="433" customFormat="false" ht="15" hidden="false" customHeight="false" outlineLevel="0" collapsed="false">
      <c r="A433" s="6" t="s">
        <v>3692</v>
      </c>
      <c r="B433" s="6" t="s">
        <v>3693</v>
      </c>
      <c r="C433" s="6" t="s">
        <v>3362</v>
      </c>
      <c r="D433" s="13" t="n">
        <v>699.52880859375</v>
      </c>
      <c r="E433" s="25" t="n">
        <v>1.55990779399872</v>
      </c>
      <c r="F433" s="25" t="n">
        <v>6.5207371711731</v>
      </c>
      <c r="G433" s="25" t="n">
        <v>74.0745010375977</v>
      </c>
      <c r="H433" s="25" t="n">
        <v>1.06758832931519</v>
      </c>
      <c r="I433" s="25" t="n">
        <v>1.21351766586304</v>
      </c>
      <c r="J433" s="25" t="n">
        <v>9.066865234375</v>
      </c>
      <c r="K433" s="25" t="n">
        <v>15.206939453125</v>
      </c>
      <c r="L433" s="25" t="n">
        <v>46.72895703125</v>
      </c>
      <c r="M433" s="25" t="n">
        <v>1.18279564380646</v>
      </c>
      <c r="N433" s="25" t="n">
        <v>73.1674346923828</v>
      </c>
      <c r="O433" s="25" t="n">
        <v>73.0245742797852</v>
      </c>
      <c r="P433" s="25" t="n">
        <v>26.4723510742188</v>
      </c>
      <c r="Q433" s="25" t="n">
        <v>30.7281112670898</v>
      </c>
      <c r="R433" s="25" t="n">
        <v>6.35483884811401</v>
      </c>
      <c r="S433" s="25" t="n">
        <v>0.35990783572197</v>
      </c>
      <c r="T433" s="25" t="n">
        <v>0.258218139410019</v>
      </c>
      <c r="U433" s="25" t="n">
        <v>0.048970814794302</v>
      </c>
      <c r="V433" s="25" t="n">
        <v>1.07142853736877</v>
      </c>
      <c r="W433" s="25" t="n">
        <v>0.169738858938217</v>
      </c>
      <c r="X433" s="25" t="n">
        <v>3.01075267791748</v>
      </c>
      <c r="Y433" s="25" t="n">
        <v>743.655883789063</v>
      </c>
      <c r="Z433" s="25" t="n">
        <v>36.3281097412109</v>
      </c>
      <c r="AA433" s="25" t="n">
        <v>6.14669752120972</v>
      </c>
      <c r="AB433" s="25" t="n">
        <v>0.585253417491913</v>
      </c>
      <c r="AC433" s="25" t="n">
        <v>0.0317972339689732</v>
      </c>
      <c r="AD433" s="25" t="n">
        <v>0.0344086028635502</v>
      </c>
      <c r="AE433" s="25" t="n">
        <v>0.125192016363144</v>
      </c>
      <c r="AF433" s="25" t="n">
        <v>0.134408608078957</v>
      </c>
      <c r="AG433" s="25" t="n">
        <v>0.0276497695595026</v>
      </c>
      <c r="AH433" s="25" t="n">
        <v>0.428571432828903</v>
      </c>
      <c r="AI433" s="25" t="n">
        <v>5.75422430038452</v>
      </c>
      <c r="AJ433" s="6" t="n">
        <v>162.8</v>
      </c>
      <c r="AK433" s="6" t="n">
        <v>1138.5</v>
      </c>
      <c r="AL433" s="26" t="s">
        <v>3100</v>
      </c>
    </row>
    <row r="434" customFormat="false" ht="15" hidden="false" customHeight="false" outlineLevel="0" collapsed="false">
      <c r="A434" s="6" t="s">
        <v>3694</v>
      </c>
      <c r="B434" s="6" t="s">
        <v>3695</v>
      </c>
      <c r="C434" s="6" t="s">
        <v>3299</v>
      </c>
      <c r="D434" s="13" t="n">
        <v>216.485458374023</v>
      </c>
      <c r="E434" s="25" t="n">
        <v>13.4477453231812</v>
      </c>
      <c r="F434" s="25" t="n">
        <v>30.6843338012695</v>
      </c>
      <c r="G434" s="25" t="n">
        <v>5.2833423614502</v>
      </c>
      <c r="H434" s="25" t="n">
        <v>4.94645214080811</v>
      </c>
      <c r="I434" s="25" t="n">
        <v>4.781325340271</v>
      </c>
      <c r="J434" s="25" t="n">
        <v>1.34331408691406</v>
      </c>
      <c r="K434" s="25" t="n">
        <v>1.13580554199219</v>
      </c>
      <c r="L434" s="25" t="n">
        <v>2.1806982421875</v>
      </c>
      <c r="M434" s="25" t="n">
        <v>5.16173458099365</v>
      </c>
      <c r="N434" s="25" t="n">
        <v>376.017639160156</v>
      </c>
      <c r="O434" s="25" t="n">
        <v>287.148345947266</v>
      </c>
      <c r="P434" s="25" t="n">
        <v>123.205749511719</v>
      </c>
      <c r="Q434" s="25" t="n">
        <v>185.941970825195</v>
      </c>
      <c r="R434" s="25" t="n">
        <v>40.507495880127</v>
      </c>
      <c r="S434" s="25" t="n">
        <v>1.38762438297272</v>
      </c>
      <c r="T434" s="25" t="n">
        <v>1.05375337600708</v>
      </c>
      <c r="U434" s="25" t="n">
        <v>0.133790284395218</v>
      </c>
      <c r="V434" s="25" t="n">
        <v>2.93009757995606</v>
      </c>
      <c r="W434" s="25" t="n">
        <v>0.861346125602722</v>
      </c>
      <c r="X434" s="25" t="n">
        <v>13.1389598846436</v>
      </c>
      <c r="Y434" s="25" t="n">
        <v>132.864852905273</v>
      </c>
      <c r="Z434" s="25" t="n">
        <v>1.8455536365509</v>
      </c>
      <c r="AA434" s="25" t="n">
        <v>6.69743156433106</v>
      </c>
      <c r="AB434" s="25" t="n">
        <v>1.70607829093933</v>
      </c>
      <c r="AC434" s="25" t="n">
        <v>0.242469817399979</v>
      </c>
      <c r="AD434" s="25" t="n">
        <v>0.209236368536949</v>
      </c>
      <c r="AE434" s="25" t="n">
        <v>1.01352155208588</v>
      </c>
      <c r="AF434" s="25" t="n">
        <v>0.828229367733002</v>
      </c>
      <c r="AG434" s="25" t="n">
        <v>0.266528189182282</v>
      </c>
      <c r="AH434" s="25" t="n">
        <v>5.21784400939941</v>
      </c>
      <c r="AI434" s="25" t="n">
        <v>99.9172439575195</v>
      </c>
      <c r="AJ434" s="6" t="n">
        <v>40</v>
      </c>
      <c r="AK434" s="6" t="n">
        <v>86.5</v>
      </c>
      <c r="AL434" s="26"/>
    </row>
    <row r="435" customFormat="false" ht="15" hidden="false" customHeight="false" outlineLevel="0" collapsed="false">
      <c r="A435" s="6" t="s">
        <v>167</v>
      </c>
      <c r="B435" s="6" t="s">
        <v>3696</v>
      </c>
      <c r="C435" s="6" t="s">
        <v>2926</v>
      </c>
      <c r="D435" s="13" t="n">
        <v>24.9036655426025</v>
      </c>
      <c r="E435" s="25" t="n">
        <v>0.174141019582748</v>
      </c>
      <c r="F435" s="25" t="n">
        <v>5.23205280303955</v>
      </c>
      <c r="G435" s="25" t="n">
        <v>0.506342053413391</v>
      </c>
      <c r="H435" s="25" t="n">
        <v>0.156922489404678</v>
      </c>
      <c r="I435" s="25" t="n">
        <v>5.14042091369629</v>
      </c>
      <c r="J435" s="25" t="n">
        <v>0.0385648612976074</v>
      </c>
      <c r="K435" s="25" t="n">
        <v>0.330287109375</v>
      </c>
      <c r="L435" s="25" t="n">
        <v>0.114392288208008</v>
      </c>
      <c r="M435" s="25" t="n">
        <v>0</v>
      </c>
      <c r="N435" s="25" t="n">
        <v>0.292384117841721</v>
      </c>
      <c r="O435" s="25" t="n">
        <v>8.80911540985107</v>
      </c>
      <c r="P435" s="25" t="n">
        <v>3.18893671035767</v>
      </c>
      <c r="Q435" s="25" t="n">
        <v>4.13400888442993</v>
      </c>
      <c r="R435" s="25" t="n">
        <v>3.46552395820618</v>
      </c>
      <c r="S435" s="25" t="n">
        <v>0.0658862516283989</v>
      </c>
      <c r="T435" s="25" t="n">
        <v>0.0420919358730316</v>
      </c>
      <c r="U435" s="25" t="n">
        <v>0.0168913137167692</v>
      </c>
      <c r="V435" s="25" t="n">
        <v>0.0537475645542145</v>
      </c>
      <c r="W435" s="25" t="n">
        <v>0.0957460030913353</v>
      </c>
      <c r="X435" s="25" t="n">
        <v>0</v>
      </c>
      <c r="Y435" s="25" t="n">
        <v>0.809824705123901</v>
      </c>
      <c r="Z435" s="25" t="n">
        <v>0.223128169775009</v>
      </c>
      <c r="AA435" s="25" t="n">
        <v>0.0852551609277725</v>
      </c>
      <c r="AB435" s="25" t="n">
        <v>0.0238722246140242</v>
      </c>
      <c r="AC435" s="25" t="n">
        <v>0.00151928316336125</v>
      </c>
      <c r="AD435" s="25" t="n">
        <v>0.0024814959615469</v>
      </c>
      <c r="AE435" s="25" t="n">
        <v>0.03458122164011</v>
      </c>
      <c r="AF435" s="25" t="n">
        <v>0.00678223604336381</v>
      </c>
      <c r="AG435" s="25" t="n">
        <v>0.00106349820271134</v>
      </c>
      <c r="AH435" s="25" t="n">
        <v>0.0301051829010248</v>
      </c>
      <c r="AI435" s="25" t="n">
        <v>0.318024933338165</v>
      </c>
      <c r="AJ435" s="6" t="n">
        <v>256.7</v>
      </c>
      <c r="AK435" s="6" t="n">
        <v>63.9</v>
      </c>
      <c r="AL435" s="26"/>
    </row>
    <row r="436" customFormat="false" ht="15" hidden="false" customHeight="false" outlineLevel="0" collapsed="false">
      <c r="A436" s="6" t="s">
        <v>3697</v>
      </c>
      <c r="B436" s="6" t="s">
        <v>3698</v>
      </c>
      <c r="C436" s="6" t="s">
        <v>2926</v>
      </c>
      <c r="D436" s="13" t="n">
        <v>15.9080448150635</v>
      </c>
      <c r="E436" s="25" t="n">
        <v>0.386633664369583</v>
      </c>
      <c r="F436" s="25" t="n">
        <v>3.01039600372315</v>
      </c>
      <c r="G436" s="25" t="n">
        <v>0.332673251628876</v>
      </c>
      <c r="H436" s="25" t="n">
        <v>0</v>
      </c>
      <c r="I436" s="25" t="n">
        <v>2.96212863922119</v>
      </c>
      <c r="J436" s="25" t="n">
        <v>0.201014846801758</v>
      </c>
      <c r="K436" s="25" t="n">
        <v>0.0901485214233398</v>
      </c>
      <c r="L436" s="25" t="n">
        <v>0.0102475252151489</v>
      </c>
      <c r="M436" s="25" t="n">
        <v>0</v>
      </c>
      <c r="N436" s="25" t="n">
        <v>2.8163366317749</v>
      </c>
      <c r="O436" s="25" t="n">
        <v>46.0891075134277</v>
      </c>
      <c r="P436" s="25" t="n">
        <v>10.3960399627686</v>
      </c>
      <c r="Q436" s="25" t="n">
        <v>10.2643566131592</v>
      </c>
      <c r="R436" s="25" t="n">
        <v>3.93168306350708</v>
      </c>
      <c r="S436" s="25" t="n">
        <v>0.0616336651146412</v>
      </c>
      <c r="T436" s="25" t="n">
        <v>0.0378712862730026</v>
      </c>
      <c r="U436" s="25" t="n">
        <v>0.0113366339355707</v>
      </c>
      <c r="V436" s="25" t="n">
        <v>0.159653469920158</v>
      </c>
      <c r="W436" s="25" t="n">
        <v>0.0215346533805132</v>
      </c>
      <c r="X436" s="25" t="n">
        <v>0</v>
      </c>
      <c r="Y436" s="25" t="n">
        <v>14.8514852523804</v>
      </c>
      <c r="Z436" s="25" t="n">
        <v>0.0163366328924894</v>
      </c>
      <c r="AA436" s="25" t="n">
        <v>0.0425742603838444</v>
      </c>
      <c r="AB436" s="25" t="n">
        <v>0.14925742149353</v>
      </c>
      <c r="AC436" s="25" t="n">
        <v>0.00262376223690808</v>
      </c>
      <c r="AD436" s="25" t="n">
        <v>0.0102475248277187</v>
      </c>
      <c r="AE436" s="25" t="n">
        <v>0.251485139131546</v>
      </c>
      <c r="AF436" s="25" t="n">
        <v>0.02524752356112</v>
      </c>
      <c r="AG436" s="25" t="n">
        <v>0.00316831679083407</v>
      </c>
      <c r="AH436" s="25" t="n">
        <v>0.810396075248718</v>
      </c>
      <c r="AI436" s="25" t="n">
        <v>0.630940556526184</v>
      </c>
      <c r="AJ436" s="6" t="n">
        <v>202</v>
      </c>
      <c r="AK436" s="6" t="n">
        <v>32.1</v>
      </c>
      <c r="AL436" s="26"/>
    </row>
    <row r="437" customFormat="false" ht="15" hidden="false" customHeight="false" outlineLevel="0" collapsed="false">
      <c r="A437" s="6" t="s">
        <v>148</v>
      </c>
      <c r="B437" s="6" t="s">
        <v>3699</v>
      </c>
      <c r="C437" s="6" t="s">
        <v>2926</v>
      </c>
      <c r="D437" s="13" t="n">
        <v>90.0057754516602</v>
      </c>
      <c r="E437" s="25" t="n">
        <v>3.42939639091492</v>
      </c>
      <c r="F437" s="25" t="n">
        <v>9.01811027526856</v>
      </c>
      <c r="G437" s="25" t="n">
        <v>4.61102390289307</v>
      </c>
      <c r="H437" s="25" t="n">
        <v>0</v>
      </c>
      <c r="I437" s="25" t="n">
        <v>8.86351680755615</v>
      </c>
      <c r="J437" s="25" t="n">
        <v>2.78089233398438</v>
      </c>
      <c r="K437" s="25" t="n">
        <v>1.26572180175781</v>
      </c>
      <c r="L437" s="25" t="n">
        <v>0.148241470336914</v>
      </c>
      <c r="M437" s="25" t="n">
        <v>0.015748031437397</v>
      </c>
      <c r="N437" s="25" t="n">
        <v>36.040943145752</v>
      </c>
      <c r="O437" s="25" t="n">
        <v>135.433074951172</v>
      </c>
      <c r="P437" s="25" t="n">
        <v>113.629920959473</v>
      </c>
      <c r="Q437" s="25" t="n">
        <v>101.736480712891</v>
      </c>
      <c r="R437" s="25" t="n">
        <v>14.9863519668579</v>
      </c>
      <c r="S437" s="25" t="n">
        <v>0.331496059894562</v>
      </c>
      <c r="T437" s="25" t="n">
        <v>0.609186351299286</v>
      </c>
      <c r="U437" s="25" t="n">
        <v>0.223910748958588</v>
      </c>
      <c r="V437" s="25" t="n">
        <v>0.908136487007141</v>
      </c>
      <c r="W437" s="25" t="n">
        <v>0.0635958015918732</v>
      </c>
      <c r="X437" s="25" t="n">
        <v>0.0393700785934925</v>
      </c>
      <c r="Y437" s="25" t="n">
        <v>189.015747070313</v>
      </c>
      <c r="Z437" s="25" t="n">
        <v>0.233175858855248</v>
      </c>
      <c r="AA437" s="25" t="n">
        <v>0.00603674538433552</v>
      </c>
      <c r="AB437" s="25" t="n">
        <v>1.89921259880066</v>
      </c>
      <c r="AC437" s="25" t="n">
        <v>0.0295013133436441</v>
      </c>
      <c r="AD437" s="25" t="n">
        <v>0.107244096696377</v>
      </c>
      <c r="AE437" s="25" t="n">
        <v>0.108136482536793</v>
      </c>
      <c r="AF437" s="25" t="n">
        <v>0.337795257568359</v>
      </c>
      <c r="AG437" s="25" t="n">
        <v>0.0383989475667477</v>
      </c>
      <c r="AH437" s="25" t="n">
        <v>2.35118103027344</v>
      </c>
      <c r="AI437" s="25" t="n">
        <v>7.04147005081177</v>
      </c>
      <c r="AJ437" s="6" t="n">
        <v>190.5</v>
      </c>
      <c r="AK437" s="6" t="n">
        <v>171.5</v>
      </c>
      <c r="AL437" s="26"/>
    </row>
    <row r="438" customFormat="false" ht="15" hidden="false" customHeight="false" outlineLevel="0" collapsed="false">
      <c r="A438" s="6" t="s">
        <v>248</v>
      </c>
      <c r="B438" s="6" t="s">
        <v>3700</v>
      </c>
      <c r="C438" s="6" t="s">
        <v>2932</v>
      </c>
      <c r="D438" s="13" t="n">
        <v>82.7640686035156</v>
      </c>
      <c r="E438" s="25" t="n">
        <v>1.93413174152374</v>
      </c>
      <c r="F438" s="25" t="n">
        <v>11.9832334518433</v>
      </c>
      <c r="G438" s="25" t="n">
        <v>3.28982043266296</v>
      </c>
      <c r="H438" s="25" t="n">
        <v>0</v>
      </c>
      <c r="I438" s="25" t="n">
        <v>11.9053888320923</v>
      </c>
      <c r="J438" s="25" t="n">
        <v>2.02431127929688</v>
      </c>
      <c r="K438" s="25" t="n">
        <v>0.885149719238281</v>
      </c>
      <c r="L438" s="25" t="n">
        <v>0.103832336425781</v>
      </c>
      <c r="M438" s="25" t="n">
        <v>3.29341316223145</v>
      </c>
      <c r="N438" s="25" t="n">
        <v>15.3520956039429</v>
      </c>
      <c r="O438" s="25" t="n">
        <v>107.035926818848</v>
      </c>
      <c r="P438" s="25" t="n">
        <v>64.4311370849609</v>
      </c>
      <c r="Q438" s="25" t="n">
        <v>54.7892227172852</v>
      </c>
      <c r="R438" s="25" t="n">
        <v>8.57724571228027</v>
      </c>
      <c r="S438" s="25" t="n">
        <v>0.14491018652916</v>
      </c>
      <c r="T438" s="25" t="n">
        <v>0.198203593492508</v>
      </c>
      <c r="U438" s="25" t="n">
        <v>0.0325748510658741</v>
      </c>
      <c r="V438" s="25" t="n">
        <v>0.562874257564545</v>
      </c>
      <c r="W438" s="25" t="n">
        <v>0.0299401208758354</v>
      </c>
      <c r="X438" s="25" t="n">
        <v>17.4251499176025</v>
      </c>
      <c r="Y438" s="25" t="n">
        <v>105.928146362305</v>
      </c>
      <c r="Z438" s="25" t="n">
        <v>0.1335329413414</v>
      </c>
      <c r="AA438" s="25" t="n">
        <v>0.0514970049262047</v>
      </c>
      <c r="AB438" s="25" t="n">
        <v>1.02275443077087</v>
      </c>
      <c r="AC438" s="25" t="n">
        <v>0.0166467055678368</v>
      </c>
      <c r="AD438" s="25" t="n">
        <v>0.0665868297219276</v>
      </c>
      <c r="AE438" s="25" t="n">
        <v>0.341317385435104</v>
      </c>
      <c r="AF438" s="25" t="n">
        <v>0.180838316679001</v>
      </c>
      <c r="AG438" s="25" t="n">
        <v>0.0211976040154696</v>
      </c>
      <c r="AH438" s="25" t="n">
        <v>1.91856288909912</v>
      </c>
      <c r="AI438" s="25" t="n">
        <v>3.79880237579346</v>
      </c>
      <c r="AJ438" s="6" t="n">
        <v>250.5</v>
      </c>
      <c r="AK438" s="6" t="n">
        <v>207.3</v>
      </c>
      <c r="AL438" s="26"/>
    </row>
    <row r="439" customFormat="false" ht="15" hidden="false" customHeight="false" outlineLevel="0" collapsed="false">
      <c r="A439" s="6" t="s">
        <v>3701</v>
      </c>
      <c r="B439" s="6" t="s">
        <v>3702</v>
      </c>
      <c r="C439" s="6" t="s">
        <v>2932</v>
      </c>
      <c r="D439" s="13" t="n">
        <v>76.4481735229492</v>
      </c>
      <c r="E439" s="25" t="n">
        <v>2.01411771774292</v>
      </c>
      <c r="F439" s="25" t="n">
        <v>11.1535291671753</v>
      </c>
      <c r="G439" s="25" t="n">
        <v>2.77117657661438</v>
      </c>
      <c r="H439" s="25" t="n">
        <v>0.268823534250259</v>
      </c>
      <c r="I439" s="25" t="n">
        <v>9.94470596313477</v>
      </c>
      <c r="J439" s="25" t="n">
        <v>1.67502941894531</v>
      </c>
      <c r="K439" s="25" t="n">
        <v>0.738368225097656</v>
      </c>
      <c r="L439" s="25" t="n">
        <v>0.102705879211426</v>
      </c>
      <c r="M439" s="25" t="n">
        <v>1.29705882072449</v>
      </c>
      <c r="N439" s="25" t="n">
        <v>16.6258811950684</v>
      </c>
      <c r="O439" s="25" t="n">
        <v>110.882354736328</v>
      </c>
      <c r="P439" s="25" t="n">
        <v>68.2964706420898</v>
      </c>
      <c r="Q439" s="25" t="n">
        <v>57.367057800293</v>
      </c>
      <c r="R439" s="25" t="n">
        <v>8.60058879852295</v>
      </c>
      <c r="S439" s="25" t="n">
        <v>0.137941181659699</v>
      </c>
      <c r="T439" s="25" t="n">
        <v>0.209999993443489</v>
      </c>
      <c r="U439" s="25" t="n">
        <v>0.0361764691770077</v>
      </c>
      <c r="V439" s="25" t="n">
        <v>0.547058820724487</v>
      </c>
      <c r="W439" s="25" t="n">
        <v>0.0476470552384853</v>
      </c>
      <c r="X439" s="25" t="n">
        <v>4.01470565795898</v>
      </c>
      <c r="Y439" s="25" t="n">
        <v>138.45588684082</v>
      </c>
      <c r="Z439" s="25" t="n">
        <v>0.148676469922066</v>
      </c>
      <c r="AA439" s="25" t="n">
        <v>0.25882351398468</v>
      </c>
      <c r="AB439" s="25" t="n">
        <v>2.0564706325531</v>
      </c>
      <c r="AC439" s="25" t="n">
        <v>0.0214705877006054</v>
      </c>
      <c r="AD439" s="25" t="n">
        <v>0.0752941146492958</v>
      </c>
      <c r="AE439" s="25" t="n">
        <v>0.107647053897381</v>
      </c>
      <c r="AF439" s="25" t="n">
        <v>0.2674999833107</v>
      </c>
      <c r="AG439" s="25" t="n">
        <v>0.0829411745071411</v>
      </c>
      <c r="AH439" s="25" t="n">
        <v>1.32647061347961</v>
      </c>
      <c r="AI439" s="25" t="n">
        <v>6.09588241577148</v>
      </c>
      <c r="AJ439" s="6" t="n">
        <v>340</v>
      </c>
      <c r="AK439" s="6" t="n">
        <v>259.9</v>
      </c>
      <c r="AL439" s="26"/>
    </row>
    <row r="440" customFormat="false" ht="15" hidden="false" customHeight="false" outlineLevel="0" collapsed="false">
      <c r="A440" s="6" t="s">
        <v>3703</v>
      </c>
      <c r="B440" s="6" t="s">
        <v>3704</v>
      </c>
      <c r="C440" s="6" t="s">
        <v>2932</v>
      </c>
      <c r="D440" s="13" t="n">
        <v>66.7757873535156</v>
      </c>
      <c r="E440" s="25" t="n">
        <v>2.05894732475281</v>
      </c>
      <c r="F440" s="25" t="n">
        <v>8.646315574646</v>
      </c>
      <c r="G440" s="25" t="n">
        <v>2.82947373390198</v>
      </c>
      <c r="H440" s="25" t="n">
        <v>0</v>
      </c>
      <c r="I440" s="25" t="n">
        <v>8.61473655700684</v>
      </c>
      <c r="J440" s="25" t="n">
        <v>1.70968420410156</v>
      </c>
      <c r="K440" s="25" t="n">
        <v>0.76673681640625</v>
      </c>
      <c r="L440" s="25" t="n">
        <v>0.0871578903198242</v>
      </c>
      <c r="M440" s="25" t="n">
        <v>0</v>
      </c>
      <c r="N440" s="25" t="n">
        <v>16.3431568145752</v>
      </c>
      <c r="O440" s="25" t="n">
        <v>72.8947372436523</v>
      </c>
      <c r="P440" s="25" t="n">
        <v>75.0526275634766</v>
      </c>
      <c r="Q440" s="25" t="n">
        <v>61.0378952026367</v>
      </c>
      <c r="R440" s="25" t="n">
        <v>5.33473682403565</v>
      </c>
      <c r="S440" s="25" t="n">
        <v>0.105263158679009</v>
      </c>
      <c r="T440" s="25" t="n">
        <v>0.21368420124054</v>
      </c>
      <c r="U440" s="25" t="n">
        <v>0.0252631586045027</v>
      </c>
      <c r="V440" s="25" t="n">
        <v>0.600000023841858</v>
      </c>
      <c r="W440" s="25" t="n">
        <v>0.00631578918546438</v>
      </c>
      <c r="X440" s="25" t="n">
        <v>0</v>
      </c>
      <c r="Y440" s="25" t="n">
        <v>126.315788269043</v>
      </c>
      <c r="Z440" s="25" t="n">
        <v>0.138947367668152</v>
      </c>
      <c r="AA440" s="25" t="n">
        <v>0</v>
      </c>
      <c r="AB440" s="25" t="n">
        <v>1.26947367191315</v>
      </c>
      <c r="AC440" s="25" t="n">
        <v>0.0189473684877157</v>
      </c>
      <c r="AD440" s="25" t="n">
        <v>0.0694736838340759</v>
      </c>
      <c r="AE440" s="25" t="n">
        <v>0.0505263134837151</v>
      </c>
      <c r="AF440" s="25" t="n">
        <v>0.214736834168434</v>
      </c>
      <c r="AG440" s="25" t="n">
        <v>0.0252631567418575</v>
      </c>
      <c r="AH440" s="25" t="n">
        <v>1.25052630901337</v>
      </c>
      <c r="AI440" s="25" t="n">
        <v>4.44000005722046</v>
      </c>
      <c r="AJ440" s="6" t="n">
        <v>285</v>
      </c>
      <c r="AK440" s="6" t="n">
        <v>190.3</v>
      </c>
      <c r="AL440" s="26"/>
    </row>
    <row r="441" customFormat="false" ht="15" hidden="false" customHeight="false" outlineLevel="0" collapsed="false">
      <c r="A441" s="6" t="s">
        <v>187</v>
      </c>
      <c r="B441" s="6" t="s">
        <v>186</v>
      </c>
      <c r="C441" s="6" t="s">
        <v>3705</v>
      </c>
      <c r="D441" s="13" t="n">
        <v>30.2408065795898</v>
      </c>
      <c r="E441" s="25" t="n">
        <v>0.437866538763046</v>
      </c>
      <c r="F441" s="25" t="n">
        <v>6.70024633407593</v>
      </c>
      <c r="G441" s="25" t="n">
        <v>0.259821236133575</v>
      </c>
      <c r="H441" s="25" t="n">
        <v>0.952431321144104</v>
      </c>
      <c r="I441" s="25" t="n">
        <v>5.71181726455689</v>
      </c>
      <c r="J441" s="25" t="n">
        <v>0.0229633159637451</v>
      </c>
      <c r="K441" s="25" t="n">
        <v>0.107015922546387</v>
      </c>
      <c r="L441" s="25" t="n">
        <v>0.0773265914916992</v>
      </c>
      <c r="M441" s="25" t="n">
        <v>0</v>
      </c>
      <c r="N441" s="25" t="n">
        <v>215.618392944336</v>
      </c>
      <c r="O441" s="25" t="n">
        <v>76.3069152832031</v>
      </c>
      <c r="P441" s="25" t="n">
        <v>24.7176494598389</v>
      </c>
      <c r="Q441" s="25" t="n">
        <v>11.2972288131714</v>
      </c>
      <c r="R441" s="25" t="n">
        <v>12.891300201416</v>
      </c>
      <c r="S441" s="25" t="n">
        <v>0.835182666778565</v>
      </c>
      <c r="T441" s="25" t="n">
        <v>0.111379310488701</v>
      </c>
      <c r="U441" s="25" t="n">
        <v>0.0489680171012878</v>
      </c>
      <c r="V441" s="25" t="n">
        <v>0.399897634983063</v>
      </c>
      <c r="W441" s="25" t="n">
        <v>0.338576644659042</v>
      </c>
      <c r="X441" s="25" t="n">
        <v>0</v>
      </c>
      <c r="Y441" s="25" t="n">
        <v>411.216003417969</v>
      </c>
      <c r="Z441" s="25" t="n">
        <v>0.0365218482911587</v>
      </c>
      <c r="AA441" s="25" t="n">
        <v>5.78599214553833</v>
      </c>
      <c r="AB441" s="25" t="n">
        <v>1.59216201305389</v>
      </c>
      <c r="AC441" s="25" t="n">
        <v>0.0212903954088688</v>
      </c>
      <c r="AD441" s="25" t="n">
        <v>0.00993215292692184</v>
      </c>
      <c r="AE441" s="25" t="n">
        <v>0.126375317573547</v>
      </c>
      <c r="AF441" s="25" t="n">
        <v>0.0224270056933165</v>
      </c>
      <c r="AG441" s="25" t="n">
        <v>0.0160289481282234</v>
      </c>
      <c r="AH441" s="25" t="n">
        <v>0.105433560907841</v>
      </c>
      <c r="AI441" s="25" t="n">
        <v>3.19587564468384</v>
      </c>
      <c r="AJ441" s="6" t="n">
        <v>140</v>
      </c>
      <c r="AK441" s="6" t="n">
        <v>42.3</v>
      </c>
      <c r="AL441" s="26"/>
    </row>
    <row r="442" customFormat="false" ht="15" hidden="false" customHeight="false" outlineLevel="0" collapsed="false">
      <c r="A442" s="6" t="s">
        <v>3706</v>
      </c>
      <c r="B442" s="6" t="s">
        <v>3707</v>
      </c>
      <c r="C442" s="6" t="s">
        <v>2932</v>
      </c>
      <c r="D442" s="13" t="n">
        <v>48.0178718566895</v>
      </c>
      <c r="E442" s="25" t="n">
        <v>0.136288657784462</v>
      </c>
      <c r="F442" s="25" t="n">
        <v>12.4186086654663</v>
      </c>
      <c r="G442" s="25" t="n">
        <v>0.0593642592430115</v>
      </c>
      <c r="H442" s="25" t="n">
        <v>0.167491406202316</v>
      </c>
      <c r="I442" s="25" t="n">
        <v>12.0793991088867</v>
      </c>
      <c r="J442" s="25" t="n">
        <v>0.0149742269515991</v>
      </c>
      <c r="K442" s="25" t="n">
        <v>0.00330001711845398</v>
      </c>
      <c r="L442" s="25" t="n">
        <v>0.0287268047332764</v>
      </c>
      <c r="M442" s="25" t="n">
        <v>0</v>
      </c>
      <c r="N442" s="25" t="n">
        <v>21.5015296936035</v>
      </c>
      <c r="O442" s="25" t="n">
        <v>20.8213062286377</v>
      </c>
      <c r="P442" s="25" t="n">
        <v>6.33127164840698</v>
      </c>
      <c r="Q442" s="25" t="n">
        <v>2.31202745437622</v>
      </c>
      <c r="R442" s="25" t="n">
        <v>3.3510308265686</v>
      </c>
      <c r="S442" s="25" t="n">
        <v>0.214467346668243</v>
      </c>
      <c r="T442" s="25" t="n">
        <v>0.0306701045483351</v>
      </c>
      <c r="U442" s="25" t="n">
        <v>0.0195704475045204</v>
      </c>
      <c r="V442" s="25" t="n">
        <v>0.222474232316017</v>
      </c>
      <c r="W442" s="25" t="n">
        <v>0.0559622012078762</v>
      </c>
      <c r="X442" s="25" t="n">
        <v>0</v>
      </c>
      <c r="Y442" s="25" t="n">
        <v>392.681610107422</v>
      </c>
      <c r="Z442" s="25" t="n">
        <v>0.0153264608234167</v>
      </c>
      <c r="AA442" s="25" t="n">
        <v>3.69372868537903</v>
      </c>
      <c r="AB442" s="25" t="n">
        <v>2.88293814659119</v>
      </c>
      <c r="AC442" s="25" t="n">
        <v>0.00281786941923201</v>
      </c>
      <c r="AD442" s="25" t="n">
        <v>0.00477663241326809</v>
      </c>
      <c r="AE442" s="25" t="n">
        <v>0.0240206178277731</v>
      </c>
      <c r="AF442" s="25" t="n">
        <v>0.0152577320113778</v>
      </c>
      <c r="AG442" s="25" t="n">
        <v>0.00676975958049297</v>
      </c>
      <c r="AH442" s="25" t="n">
        <v>0.153728514909744</v>
      </c>
      <c r="AI442" s="25" t="n">
        <v>2.91924405097961</v>
      </c>
      <c r="AJ442" s="6" t="n">
        <v>291</v>
      </c>
      <c r="AK442" s="6" t="n">
        <v>139.7</v>
      </c>
      <c r="AL442" s="26"/>
    </row>
    <row r="443" customFormat="false" ht="15" hidden="false" customHeight="false" outlineLevel="0" collapsed="false">
      <c r="A443" s="6" t="s">
        <v>3708</v>
      </c>
      <c r="B443" s="6" t="s">
        <v>3709</v>
      </c>
      <c r="C443" s="6" t="s">
        <v>2815</v>
      </c>
      <c r="D443" s="13" t="n">
        <v>40.322135925293</v>
      </c>
      <c r="E443" s="25" t="n">
        <v>0.0334210507571697</v>
      </c>
      <c r="F443" s="25" t="n">
        <v>10.594780921936</v>
      </c>
      <c r="G443" s="25" t="n">
        <v>0.0234649125486612</v>
      </c>
      <c r="H443" s="25" t="n">
        <v>0.0258333329111338</v>
      </c>
      <c r="I443" s="25" t="n">
        <v>10.469386100769</v>
      </c>
      <c r="J443" s="25" t="n">
        <v>0.00630263137817383</v>
      </c>
      <c r="K443" s="25" t="n">
        <v>0.00130539476871491</v>
      </c>
      <c r="L443" s="25" t="n">
        <v>0.0112719297409058</v>
      </c>
      <c r="M443" s="25" t="n">
        <v>0</v>
      </c>
      <c r="N443" s="25" t="n">
        <v>26.6935520172119</v>
      </c>
      <c r="O443" s="25" t="n">
        <v>5.99561405181885</v>
      </c>
      <c r="P443" s="25" t="n">
        <v>2.09684205055237</v>
      </c>
      <c r="Q443" s="25" t="n">
        <v>0.642149150371552</v>
      </c>
      <c r="R443" s="25" t="n">
        <v>0.848245620727539</v>
      </c>
      <c r="S443" s="25" t="n">
        <v>0.0525438599288464</v>
      </c>
      <c r="T443" s="25" t="n">
        <v>0.0110964914783835</v>
      </c>
      <c r="U443" s="25" t="n">
        <v>0.00872807018458843</v>
      </c>
      <c r="V443" s="25" t="n">
        <v>0.0517105273902416</v>
      </c>
      <c r="W443" s="25" t="n">
        <v>0.00517543870955706</v>
      </c>
      <c r="X443" s="25" t="n">
        <v>0</v>
      </c>
      <c r="Y443" s="25" t="n">
        <v>84.2672805786133</v>
      </c>
      <c r="Z443" s="25" t="n">
        <v>0.00359649118036032</v>
      </c>
      <c r="AA443" s="25" t="n">
        <v>0.766666650772095</v>
      </c>
      <c r="AB443" s="25" t="n">
        <v>1.49175441265106</v>
      </c>
      <c r="AC443" s="25" t="n">
        <v>0.00127192982472479</v>
      </c>
      <c r="AD443" s="25" t="n">
        <v>0.00114035082515329</v>
      </c>
      <c r="AE443" s="25" t="n">
        <v>0.00631578965112567</v>
      </c>
      <c r="AF443" s="25" t="n">
        <v>0.00517543870955706</v>
      </c>
      <c r="AG443" s="25" t="n">
        <v>0.00175438600126654</v>
      </c>
      <c r="AH443" s="25" t="n">
        <v>0.0602192953228951</v>
      </c>
      <c r="AI443" s="25" t="n">
        <v>0.82271933555603</v>
      </c>
      <c r="AJ443" s="6" t="n">
        <v>570</v>
      </c>
      <c r="AK443" s="6" t="n">
        <v>229.8</v>
      </c>
      <c r="AL443" s="26"/>
    </row>
    <row r="444" customFormat="false" ht="15" hidden="false" customHeight="false" outlineLevel="0" collapsed="false">
      <c r="A444" s="6" t="s">
        <v>3710</v>
      </c>
      <c r="B444" s="6" t="s">
        <v>3711</v>
      </c>
      <c r="C444" s="6" t="s">
        <v>2815</v>
      </c>
      <c r="D444" s="13" t="n">
        <v>6.61432218551636</v>
      </c>
      <c r="E444" s="25" t="n">
        <v>0.24410180747509</v>
      </c>
      <c r="F444" s="25" t="n">
        <v>0.436123341321945</v>
      </c>
      <c r="G444" s="25" t="n">
        <v>0.423445910215378</v>
      </c>
      <c r="H444" s="25" t="n">
        <v>0.359667152166367</v>
      </c>
      <c r="I444" s="25" t="n">
        <v>0.211257964372635</v>
      </c>
      <c r="J444" s="25" t="n">
        <v>0.0261727848052979</v>
      </c>
      <c r="K444" s="25" t="n">
        <v>0.208492904663086</v>
      </c>
      <c r="L444" s="25" t="n">
        <v>0.10416544342041</v>
      </c>
      <c r="M444" s="25" t="n">
        <v>0</v>
      </c>
      <c r="N444" s="25" t="n">
        <v>43.0310325622559</v>
      </c>
      <c r="O444" s="25" t="n">
        <v>21.1982383728027</v>
      </c>
      <c r="P444" s="25" t="n">
        <v>5.82427787780762</v>
      </c>
      <c r="Q444" s="25" t="n">
        <v>9.25501728057861</v>
      </c>
      <c r="R444" s="25" t="n">
        <v>3.57023978233337</v>
      </c>
      <c r="S444" s="25" t="n">
        <v>0.170190900564194</v>
      </c>
      <c r="T444" s="25" t="n">
        <v>0.053891334682703</v>
      </c>
      <c r="U444" s="25" t="n">
        <v>0.0112383747473359</v>
      </c>
      <c r="V444" s="25" t="n">
        <v>0.710425853729248</v>
      </c>
      <c r="W444" s="25" t="n">
        <v>0.0534997545182705</v>
      </c>
      <c r="X444" s="25" t="n">
        <v>0</v>
      </c>
      <c r="Y444" s="25" t="n">
        <v>474.297607421875</v>
      </c>
      <c r="Z444" s="25" t="n">
        <v>0.024473812431097</v>
      </c>
      <c r="AA444" s="25" t="n">
        <v>1.03020071983337</v>
      </c>
      <c r="AB444" s="25" t="n">
        <v>0.304943710565567</v>
      </c>
      <c r="AC444" s="25" t="n">
        <v>0.00746451271697879</v>
      </c>
      <c r="AD444" s="25" t="n">
        <v>0.00515907956287265</v>
      </c>
      <c r="AE444" s="25" t="n">
        <v>0.0536465980112553</v>
      </c>
      <c r="AF444" s="25" t="n">
        <v>0.0198188945651054</v>
      </c>
      <c r="AG444" s="25" t="n">
        <v>0.00876162480562925</v>
      </c>
      <c r="AH444" s="25" t="n">
        <v>0.0876162499189377</v>
      </c>
      <c r="AI444" s="25" t="n">
        <v>2.1192364692688</v>
      </c>
      <c r="AJ444" s="6" t="n">
        <v>170.2</v>
      </c>
      <c r="AK444" s="6" t="n">
        <v>11.3</v>
      </c>
      <c r="AL444" s="26"/>
    </row>
    <row r="445" customFormat="false" ht="15" hidden="false" customHeight="false" outlineLevel="0" collapsed="false">
      <c r="A445" s="6" t="s">
        <v>3712</v>
      </c>
      <c r="B445" s="6" t="s">
        <v>3713</v>
      </c>
      <c r="C445" s="6" t="s">
        <v>2815</v>
      </c>
      <c r="D445" s="13" t="n">
        <v>6.89676141738892</v>
      </c>
      <c r="E445" s="25" t="n">
        <v>0.389034062623978</v>
      </c>
      <c r="F445" s="25" t="n">
        <v>0.346243590116501</v>
      </c>
      <c r="G445" s="25" t="n">
        <v>0.42281848192215</v>
      </c>
      <c r="H445" s="25" t="n">
        <v>0.49407371878624</v>
      </c>
      <c r="I445" s="25" t="n">
        <v>0.0945403650403023</v>
      </c>
      <c r="J445" s="25" t="n">
        <v>0.0317778816223145</v>
      </c>
      <c r="K445" s="25" t="n">
        <v>0.200100784301758</v>
      </c>
      <c r="L445" s="25" t="n">
        <v>0.10705086517334</v>
      </c>
      <c r="M445" s="25" t="n">
        <v>0</v>
      </c>
      <c r="N445" s="25" t="n">
        <v>41.4481582641602</v>
      </c>
      <c r="O445" s="25" t="n">
        <v>38.1745223999023</v>
      </c>
      <c r="P445" s="25" t="n">
        <v>6.26318264007568</v>
      </c>
      <c r="Q445" s="25" t="n">
        <v>11.2309846878052</v>
      </c>
      <c r="R445" s="25" t="n">
        <v>4.77694845199585</v>
      </c>
      <c r="S445" s="25" t="n">
        <v>0.223845079541206</v>
      </c>
      <c r="T445" s="25" t="n">
        <v>0.0686420872807503</v>
      </c>
      <c r="U445" s="25" t="n">
        <v>0.011647223494947</v>
      </c>
      <c r="V445" s="25" t="n">
        <v>0.71087259054184</v>
      </c>
      <c r="W445" s="25" t="n">
        <v>0.061735887080431</v>
      </c>
      <c r="X445" s="25" t="n">
        <v>0</v>
      </c>
      <c r="Y445" s="25" t="n">
        <v>19.3121795654297</v>
      </c>
      <c r="Z445" s="25" t="n">
        <v>0.0153989726677537</v>
      </c>
      <c r="AA445" s="25" t="n">
        <v>1.46322906017304</v>
      </c>
      <c r="AB445" s="25" t="n">
        <v>4.39990663528442</v>
      </c>
      <c r="AC445" s="25" t="n">
        <v>0.00898273475468159</v>
      </c>
      <c r="AD445" s="25" t="n">
        <v>0.0100513296201825</v>
      </c>
      <c r="AE445" s="25" t="n">
        <v>0.0698086768388748</v>
      </c>
      <c r="AF445" s="25" t="n">
        <v>0.062757819890976</v>
      </c>
      <c r="AG445" s="25" t="n">
        <v>0.0153523096814752</v>
      </c>
      <c r="AH445" s="25" t="n">
        <v>0.244050398468971</v>
      </c>
      <c r="AI445" s="25" t="n">
        <v>5.18693447113037</v>
      </c>
      <c r="AJ445" s="6" t="n">
        <v>178.6</v>
      </c>
      <c r="AK445" s="6" t="n">
        <v>12.3</v>
      </c>
      <c r="AL445" s="26"/>
    </row>
    <row r="446" customFormat="false" ht="15" hidden="false" customHeight="false" outlineLevel="0" collapsed="false">
      <c r="A446" s="6" t="s">
        <v>3714</v>
      </c>
      <c r="B446" s="6" t="s">
        <v>3715</v>
      </c>
      <c r="C446" s="6" t="s">
        <v>2815</v>
      </c>
      <c r="D446" s="13" t="n">
        <v>16.2638320922852</v>
      </c>
      <c r="E446" s="25" t="n">
        <v>0.435211271047592</v>
      </c>
      <c r="F446" s="25" t="n">
        <v>2.68544602394104</v>
      </c>
      <c r="G446" s="25" t="n">
        <v>0.388433635234833</v>
      </c>
      <c r="H446" s="25" t="n">
        <v>0.427144676446915</v>
      </c>
      <c r="I446" s="25" t="n">
        <v>0.100981645286083</v>
      </c>
      <c r="J446" s="25" t="n">
        <v>0.0265147247314453</v>
      </c>
      <c r="K446" s="25" t="n">
        <v>0.183259918212891</v>
      </c>
      <c r="L446" s="25" t="n">
        <v>0.101498077392578</v>
      </c>
      <c r="M446" s="25" t="n">
        <v>0</v>
      </c>
      <c r="N446" s="25" t="n">
        <v>35.989501953125</v>
      </c>
      <c r="O446" s="25" t="n">
        <v>99.1924896240234</v>
      </c>
      <c r="P446" s="25" t="n">
        <v>5.20614624023438</v>
      </c>
      <c r="Q446" s="25" t="n">
        <v>13.6448993682861</v>
      </c>
      <c r="R446" s="25" t="n">
        <v>6.50832271575928</v>
      </c>
      <c r="S446" s="25" t="n">
        <v>0.220102429389954</v>
      </c>
      <c r="T446" s="25" t="n">
        <v>0.0841229185461998</v>
      </c>
      <c r="U446" s="25" t="n">
        <v>0.0217498932033777</v>
      </c>
      <c r="V446" s="25" t="n">
        <v>0.738113522529602</v>
      </c>
      <c r="W446" s="25" t="n">
        <v>0.0607341006398201</v>
      </c>
      <c r="X446" s="25" t="n">
        <v>0</v>
      </c>
      <c r="Y446" s="25" t="n">
        <v>48.8647041320801</v>
      </c>
      <c r="Z446" s="25" t="n">
        <v>0.0226205717772245</v>
      </c>
      <c r="AA446" s="25" t="n">
        <v>0.477037966251373</v>
      </c>
      <c r="AB446" s="25" t="n">
        <v>3.95262479782105</v>
      </c>
      <c r="AC446" s="25" t="n">
        <v>0.0150448139756918</v>
      </c>
      <c r="AD446" s="25" t="n">
        <v>0.00492530921474099</v>
      </c>
      <c r="AE446" s="25" t="n">
        <v>0.214938104152679</v>
      </c>
      <c r="AF446" s="25" t="n">
        <v>0.0693512558937073</v>
      </c>
      <c r="AG446" s="25" t="n">
        <v>0.020017072558403</v>
      </c>
      <c r="AH446" s="25" t="n">
        <v>0.242851048707962</v>
      </c>
      <c r="AI446" s="25" t="n">
        <v>3.46973967552185</v>
      </c>
      <c r="AJ446" s="6" t="n">
        <v>195.3</v>
      </c>
      <c r="AK446" s="6" t="n">
        <v>31.8</v>
      </c>
      <c r="AL446" s="26"/>
    </row>
    <row r="447" customFormat="false" ht="15" hidden="false" customHeight="false" outlineLevel="0" collapsed="false">
      <c r="A447" s="6" t="s">
        <v>3716</v>
      </c>
      <c r="B447" s="6" t="s">
        <v>3717</v>
      </c>
      <c r="C447" s="6" t="s">
        <v>3007</v>
      </c>
      <c r="D447" s="13" t="n">
        <v>78.3978271484375</v>
      </c>
      <c r="E447" s="25" t="n">
        <v>2.49659514427185</v>
      </c>
      <c r="F447" s="25" t="n">
        <v>10.5649433135986</v>
      </c>
      <c r="G447" s="25" t="n">
        <v>2.9825975894928</v>
      </c>
      <c r="H447" s="25" t="n">
        <v>0.481714993715286</v>
      </c>
      <c r="I447" s="25" t="n">
        <v>7.04010105133057</v>
      </c>
      <c r="J447" s="25" t="n">
        <v>1.78839587402344</v>
      </c>
      <c r="K447" s="25" t="n">
        <v>0.801101684570313</v>
      </c>
      <c r="L447" s="25" t="n">
        <v>0.103606559753418</v>
      </c>
      <c r="M447" s="25" t="n">
        <v>0.620428740978241</v>
      </c>
      <c r="N447" s="25" t="n">
        <v>65.3341751098633</v>
      </c>
      <c r="O447" s="25" t="n">
        <v>78.8385848999023</v>
      </c>
      <c r="P447" s="25" t="n">
        <v>72.9598999023438</v>
      </c>
      <c r="Q447" s="25" t="n">
        <v>63.883731842041</v>
      </c>
      <c r="R447" s="25" t="n">
        <v>7.15208053588867</v>
      </c>
      <c r="S447" s="25" t="n">
        <v>0.204161420464516</v>
      </c>
      <c r="T447" s="25" t="n">
        <v>0.248045399785042</v>
      </c>
      <c r="U447" s="25" t="n">
        <v>0.0338965952396393</v>
      </c>
      <c r="V447" s="25" t="n">
        <v>1.29583859443665</v>
      </c>
      <c r="W447" s="25" t="n">
        <v>0.0438839867711067</v>
      </c>
      <c r="X447" s="25" t="n">
        <v>2.32534694671631</v>
      </c>
      <c r="Y447" s="25" t="n">
        <v>126.833793640137</v>
      </c>
      <c r="Z447" s="25" t="n">
        <v>0.14819672703743</v>
      </c>
      <c r="AA447" s="25" t="n">
        <v>0.0504413619637489</v>
      </c>
      <c r="AB447" s="25" t="n">
        <v>1.21664559841156</v>
      </c>
      <c r="AC447" s="25" t="n">
        <v>0.0242118537425995</v>
      </c>
      <c r="AD447" s="25" t="n">
        <v>0.0670870095491409</v>
      </c>
      <c r="AE447" s="25" t="n">
        <v>0.0822194218635559</v>
      </c>
      <c r="AF447" s="25" t="n">
        <v>0.230517014861107</v>
      </c>
      <c r="AG447" s="25" t="n">
        <v>0.025725094601512</v>
      </c>
      <c r="AH447" s="25" t="n">
        <v>1.26607811450958</v>
      </c>
      <c r="AI447" s="25" t="n">
        <v>4.92156362533569</v>
      </c>
      <c r="AJ447" s="6" t="n">
        <v>396.5</v>
      </c>
      <c r="AK447" s="6" t="n">
        <v>310.8</v>
      </c>
      <c r="AL447" s="26"/>
    </row>
    <row r="448" customFormat="false" ht="15" hidden="false" customHeight="false" outlineLevel="0" collapsed="false">
      <c r="A448" s="6" t="s">
        <v>448</v>
      </c>
      <c r="B448" s="6" t="s">
        <v>3718</v>
      </c>
      <c r="C448" s="6" t="s">
        <v>3007</v>
      </c>
      <c r="D448" s="13" t="n">
        <v>147.892623901367</v>
      </c>
      <c r="E448" s="25" t="n">
        <v>3.30086731910706</v>
      </c>
      <c r="F448" s="25" t="n">
        <v>16.3126583099365</v>
      </c>
      <c r="G448" s="25" t="n">
        <v>7.49327087402344</v>
      </c>
      <c r="H448" s="25" t="n">
        <v>3.24242377281189</v>
      </c>
      <c r="I448" s="25" t="n">
        <v>1.30975961685181</v>
      </c>
      <c r="J448" s="25" t="n">
        <v>0.912747497558594</v>
      </c>
      <c r="K448" s="25" t="n">
        <v>1.53331127929688</v>
      </c>
      <c r="L448" s="25" t="n">
        <v>4.65179345703125</v>
      </c>
      <c r="M448" s="25" t="n">
        <v>0</v>
      </c>
      <c r="N448" s="25" t="n">
        <v>101.587013244629</v>
      </c>
      <c r="O448" s="25" t="n">
        <v>158.35090637207</v>
      </c>
      <c r="P448" s="25" t="n">
        <v>21.5708255767822</v>
      </c>
      <c r="Q448" s="25" t="n">
        <v>44.1845321655273</v>
      </c>
      <c r="R448" s="25" t="n">
        <v>21.3413009643555</v>
      </c>
      <c r="S448" s="25" t="n">
        <v>1.09600067138672</v>
      </c>
      <c r="T448" s="25" t="n">
        <v>0.588250935077667</v>
      </c>
      <c r="U448" s="25" t="n">
        <v>0.141818732023239</v>
      </c>
      <c r="V448" s="25" t="n">
        <v>3.20898365974426</v>
      </c>
      <c r="W448" s="25" t="n">
        <v>0.589734613895416</v>
      </c>
      <c r="X448" s="25" t="n">
        <v>0</v>
      </c>
      <c r="Y448" s="25" t="n">
        <v>1276.853515625</v>
      </c>
      <c r="Z448" s="25" t="n">
        <v>3.57115697860718</v>
      </c>
      <c r="AA448" s="25" t="n">
        <v>10.1715116500855</v>
      </c>
      <c r="AB448" s="25" t="n">
        <v>4.3685474395752</v>
      </c>
      <c r="AC448" s="25" t="n">
        <v>0.0776819884777069</v>
      </c>
      <c r="AD448" s="25" t="n">
        <v>0.0253432784229517</v>
      </c>
      <c r="AE448" s="25" t="n">
        <v>0.433197498321533</v>
      </c>
      <c r="AF448" s="25" t="n">
        <v>0.28466659784317</v>
      </c>
      <c r="AG448" s="25" t="n">
        <v>0.0668928548693657</v>
      </c>
      <c r="AH448" s="25" t="n">
        <v>0.58221447467804</v>
      </c>
      <c r="AI448" s="25" t="n">
        <v>14.2396831512451</v>
      </c>
      <c r="AJ448" s="6" t="n">
        <v>106.3</v>
      </c>
      <c r="AK448" s="6" t="n">
        <v>157.1</v>
      </c>
      <c r="AL448" s="26"/>
    </row>
    <row r="449" customFormat="false" ht="15" hidden="false" customHeight="false" outlineLevel="0" collapsed="false">
      <c r="A449" s="6" t="s">
        <v>3719</v>
      </c>
      <c r="B449" s="6" t="s">
        <v>3720</v>
      </c>
      <c r="C449" s="6" t="s">
        <v>3007</v>
      </c>
      <c r="D449" s="13" t="n">
        <v>149.10725402832</v>
      </c>
      <c r="E449" s="25" t="n">
        <v>3.11075854301453</v>
      </c>
      <c r="F449" s="25" t="n">
        <v>16.8754558563232</v>
      </c>
      <c r="G449" s="25" t="n">
        <v>7.44621419906616</v>
      </c>
      <c r="H449" s="25" t="n">
        <v>3.21042537689209</v>
      </c>
      <c r="I449" s="25" t="n">
        <v>1.40199053287506</v>
      </c>
      <c r="J449" s="25" t="n">
        <v>0.905421691894531</v>
      </c>
      <c r="K449" s="25" t="n">
        <v>1.52606457519531</v>
      </c>
      <c r="L449" s="25" t="n">
        <v>4.6226181640625</v>
      </c>
      <c r="M449" s="25" t="n">
        <v>0</v>
      </c>
      <c r="N449" s="25" t="n">
        <v>101.797828674316</v>
      </c>
      <c r="O449" s="25" t="n">
        <v>138.210678100586</v>
      </c>
      <c r="P449" s="25" t="n">
        <v>20.3002967834473</v>
      </c>
      <c r="Q449" s="25" t="n">
        <v>41.9258155822754</v>
      </c>
      <c r="R449" s="25" t="n">
        <v>21.5558795928955</v>
      </c>
      <c r="S449" s="25" t="n">
        <v>0.928479135036469</v>
      </c>
      <c r="T449" s="25" t="n">
        <v>0.352967858314514</v>
      </c>
      <c r="U449" s="25" t="n">
        <v>0.0966443940997124</v>
      </c>
      <c r="V449" s="25" t="n">
        <v>3.84142446517944</v>
      </c>
      <c r="W449" s="25" t="n">
        <v>0.35821607708931</v>
      </c>
      <c r="X449" s="25" t="n">
        <v>0</v>
      </c>
      <c r="Y449" s="25" t="n">
        <v>1228.91784667969</v>
      </c>
      <c r="Z449" s="25" t="n">
        <v>3.53539395332336</v>
      </c>
      <c r="AA449" s="25" t="n">
        <v>10.1338663101196</v>
      </c>
      <c r="AB449" s="25" t="n">
        <v>4.3685474395752</v>
      </c>
      <c r="AC449" s="25" t="n">
        <v>0.0456834957003593</v>
      </c>
      <c r="AD449" s="25" t="n">
        <v>0.0196964852511883</v>
      </c>
      <c r="AE449" s="25" t="n">
        <v>0.346613347530365</v>
      </c>
      <c r="AF449" s="25" t="n">
        <v>0.235727727413178</v>
      </c>
      <c r="AG449" s="25" t="n">
        <v>0.0518347360193729</v>
      </c>
      <c r="AH449" s="25" t="n">
        <v>0.751618266105652</v>
      </c>
      <c r="AI449" s="25" t="n">
        <v>11.8924989700317</v>
      </c>
      <c r="AJ449" s="6" t="n">
        <v>106.3</v>
      </c>
      <c r="AK449" s="6" t="n">
        <v>158.4</v>
      </c>
      <c r="AL449" s="26"/>
    </row>
    <row r="450" customFormat="false" ht="15" hidden="false" customHeight="false" outlineLevel="0" collapsed="false">
      <c r="A450" s="6" t="s">
        <v>3721</v>
      </c>
      <c r="B450" s="6" t="s">
        <v>3722</v>
      </c>
      <c r="C450" s="6" t="s">
        <v>3007</v>
      </c>
      <c r="D450" s="13" t="n">
        <v>151.266586303711</v>
      </c>
      <c r="E450" s="25" t="n">
        <v>2.62889885902405</v>
      </c>
      <c r="F450" s="25" t="n">
        <v>17.9558753967285</v>
      </c>
      <c r="G450" s="25" t="n">
        <v>7.45750761032105</v>
      </c>
      <c r="H450" s="25" t="n">
        <v>2.11682987213135</v>
      </c>
      <c r="I450" s="25" t="n">
        <v>1.12529766559601</v>
      </c>
      <c r="J450" s="25" t="n">
        <v>0.924253784179688</v>
      </c>
      <c r="K450" s="25" t="n">
        <v>1.53694775390625</v>
      </c>
      <c r="L450" s="25" t="n">
        <v>4.63127685546875</v>
      </c>
      <c r="M450" s="25" t="n">
        <v>0</v>
      </c>
      <c r="N450" s="25" t="n">
        <v>101.747009277344</v>
      </c>
      <c r="O450" s="25" t="n">
        <v>131.622741699219</v>
      </c>
      <c r="P450" s="25" t="n">
        <v>17.5672492980957</v>
      </c>
      <c r="Q450" s="25" t="n">
        <v>48.1372871398926</v>
      </c>
      <c r="R450" s="25" t="n">
        <v>19.2388114929199</v>
      </c>
      <c r="S450" s="25" t="n">
        <v>0.670608878135681</v>
      </c>
      <c r="T450" s="25" t="n">
        <v>0.390613168478012</v>
      </c>
      <c r="U450" s="25" t="n">
        <v>0.106055714190006</v>
      </c>
      <c r="V450" s="25" t="n">
        <v>1.37565803527832</v>
      </c>
      <c r="W450" s="25" t="n">
        <v>0.365745157003403</v>
      </c>
      <c r="X450" s="25" t="n">
        <v>0</v>
      </c>
      <c r="Y450" s="25" t="n">
        <v>1233.73083496094</v>
      </c>
      <c r="Z450" s="25" t="n">
        <v>3.55045223236084</v>
      </c>
      <c r="AA450" s="25" t="n">
        <v>10.2279796600342</v>
      </c>
      <c r="AB450" s="25" t="n">
        <v>4.3685474395752</v>
      </c>
      <c r="AC450" s="25" t="n">
        <v>0.0550948195159435</v>
      </c>
      <c r="AD450" s="25" t="n">
        <v>0.0291078072041273</v>
      </c>
      <c r="AE450" s="25" t="n">
        <v>0.692949950695038</v>
      </c>
      <c r="AF450" s="25" t="n">
        <v>0.247021317481995</v>
      </c>
      <c r="AG450" s="25" t="n">
        <v>0.0875977575778961</v>
      </c>
      <c r="AH450" s="25" t="n">
        <v>0.557745039463043</v>
      </c>
      <c r="AI450" s="25" t="n">
        <v>11.2412357330322</v>
      </c>
      <c r="AJ450" s="6" t="n">
        <v>106.3</v>
      </c>
      <c r="AK450" s="6" t="n">
        <v>160.7</v>
      </c>
      <c r="AL450" s="26"/>
    </row>
    <row r="451" customFormat="false" ht="15" hidden="false" customHeight="false" outlineLevel="0" collapsed="false">
      <c r="A451" s="6" t="s">
        <v>3723</v>
      </c>
      <c r="B451" s="6" t="s">
        <v>3724</v>
      </c>
      <c r="C451" s="6" t="s">
        <v>3007</v>
      </c>
      <c r="D451" s="13" t="n">
        <v>129.513442993164</v>
      </c>
      <c r="E451" s="25" t="n">
        <v>2.79642033576965</v>
      </c>
      <c r="F451" s="25" t="n">
        <v>12.5989513397217</v>
      </c>
      <c r="G451" s="25" t="n">
        <v>7.74925851821899</v>
      </c>
      <c r="H451" s="25" t="n">
        <v>1.95871961116791</v>
      </c>
      <c r="I451" s="25" t="n">
        <v>1.56386530399323</v>
      </c>
      <c r="J451" s="25" t="n">
        <v>0.896019836425781</v>
      </c>
      <c r="K451" s="25" t="n">
        <v>1.52063610839844</v>
      </c>
      <c r="L451" s="25" t="n">
        <v>4.59061962890625</v>
      </c>
      <c r="M451" s="25" t="n">
        <v>0</v>
      </c>
      <c r="N451" s="25" t="n">
        <v>176.442779541016</v>
      </c>
      <c r="O451" s="25" t="n">
        <v>130.116928100586</v>
      </c>
      <c r="P451" s="25" t="n">
        <v>45.2158317565918</v>
      </c>
      <c r="Q451" s="25" t="n">
        <v>39.8553237915039</v>
      </c>
      <c r="R451" s="25" t="n">
        <v>18.3503837585449</v>
      </c>
      <c r="S451" s="25" t="n">
        <v>0.817425549030304</v>
      </c>
      <c r="T451" s="25" t="n">
        <v>0.319087117910385</v>
      </c>
      <c r="U451" s="25" t="n">
        <v>0.0815862789750099</v>
      </c>
      <c r="V451" s="25" t="n">
        <v>2.46925354003906</v>
      </c>
      <c r="W451" s="25" t="n">
        <v>0.309277206659317</v>
      </c>
      <c r="X451" s="25" t="n">
        <v>0</v>
      </c>
      <c r="Y451" s="25" t="n">
        <v>1224.90295410156</v>
      </c>
      <c r="Z451" s="25" t="n">
        <v>3.54856991767883</v>
      </c>
      <c r="AA451" s="25" t="n">
        <v>9.94564056396484</v>
      </c>
      <c r="AB451" s="25" t="n">
        <v>4.3685474395752</v>
      </c>
      <c r="AC451" s="25" t="n">
        <v>0.0645061433315277</v>
      </c>
      <c r="AD451" s="25" t="n">
        <v>0.0309900715947151</v>
      </c>
      <c r="AE451" s="25" t="n">
        <v>0.521663904190064</v>
      </c>
      <c r="AF451" s="25" t="n">
        <v>0.143496781587601</v>
      </c>
      <c r="AG451" s="25" t="n">
        <v>0.0593637935817242</v>
      </c>
      <c r="AH451" s="25" t="n">
        <v>0.499394863843918</v>
      </c>
      <c r="AI451" s="25" t="n">
        <v>14.8645944595337</v>
      </c>
      <c r="AJ451" s="6" t="n">
        <v>106.3</v>
      </c>
      <c r="AK451" s="6" t="n">
        <v>137.6</v>
      </c>
      <c r="AL451" s="26"/>
    </row>
    <row r="452" customFormat="false" ht="15" hidden="false" customHeight="false" outlineLevel="0" collapsed="false">
      <c r="A452" s="6" t="s">
        <v>452</v>
      </c>
      <c r="B452" s="6" t="s">
        <v>451</v>
      </c>
      <c r="C452" s="6" t="s">
        <v>3112</v>
      </c>
      <c r="D452" s="13" t="n">
        <v>146.468170166016</v>
      </c>
      <c r="E452" s="25" t="n">
        <v>4.72730398178101</v>
      </c>
      <c r="F452" s="25" t="n">
        <v>16.4555740356445</v>
      </c>
      <c r="G452" s="25" t="n">
        <v>6.63154363632202</v>
      </c>
      <c r="H452" s="25" t="n">
        <v>4.18810415267944</v>
      </c>
      <c r="I452" s="25" t="n">
        <v>1.38554322719574</v>
      </c>
      <c r="J452" s="25" t="n">
        <v>0.934733947753906</v>
      </c>
      <c r="K452" s="25" t="n">
        <v>1.86773791503906</v>
      </c>
      <c r="L452" s="25" t="n">
        <v>3.43070043945313</v>
      </c>
      <c r="M452" s="25" t="n">
        <v>0</v>
      </c>
      <c r="N452" s="25" t="n">
        <v>347.024810791016</v>
      </c>
      <c r="O452" s="25" t="n">
        <v>208.303833007813</v>
      </c>
      <c r="P452" s="25" t="n">
        <v>26.684045791626</v>
      </c>
      <c r="Q452" s="25" t="n">
        <v>67.0437698364258</v>
      </c>
      <c r="R452" s="25" t="n">
        <v>33.5461196899414</v>
      </c>
      <c r="S452" s="25" t="n">
        <v>1.34601509571075</v>
      </c>
      <c r="T452" s="25" t="n">
        <v>0.783149003982544</v>
      </c>
      <c r="U452" s="25" t="n">
        <v>0.191617578268051</v>
      </c>
      <c r="V452" s="25" t="n">
        <v>3.75075912475586</v>
      </c>
      <c r="W452" s="25" t="n">
        <v>0.634646952152252</v>
      </c>
      <c r="X452" s="25" t="n">
        <v>0</v>
      </c>
      <c r="Y452" s="25" t="n">
        <v>2262.20166015625</v>
      </c>
      <c r="Z452" s="25" t="n">
        <v>2.38987302780151</v>
      </c>
      <c r="AA452" s="25" t="n">
        <v>12.86119556427</v>
      </c>
      <c r="AB452" s="25" t="n">
        <v>6.11950731277466</v>
      </c>
      <c r="AC452" s="25" t="n">
        <v>0.122195109724999</v>
      </c>
      <c r="AD452" s="25" t="n">
        <v>0.0383399799466133</v>
      </c>
      <c r="AE452" s="25" t="n">
        <v>1.04026520252228</v>
      </c>
      <c r="AF452" s="25" t="n">
        <v>0.355493932962418</v>
      </c>
      <c r="AG452" s="25" t="n">
        <v>0.0870364084839821</v>
      </c>
      <c r="AH452" s="25" t="n">
        <v>0.855879247188568</v>
      </c>
      <c r="AI452" s="25" t="n">
        <v>21.4185695648193</v>
      </c>
      <c r="AJ452" s="6" t="n">
        <v>235.7</v>
      </c>
      <c r="AK452" s="6" t="n">
        <v>345.2</v>
      </c>
      <c r="AL452" s="26"/>
    </row>
    <row r="453" customFormat="false" ht="15" hidden="false" customHeight="false" outlineLevel="0" collapsed="false">
      <c r="A453" s="6" t="s">
        <v>443</v>
      </c>
      <c r="B453" s="6" t="s">
        <v>3725</v>
      </c>
      <c r="C453" s="6" t="s">
        <v>3007</v>
      </c>
      <c r="D453" s="13" t="n">
        <v>294.525512695313</v>
      </c>
      <c r="E453" s="25" t="n">
        <v>6.08538579940796</v>
      </c>
      <c r="F453" s="25" t="n">
        <v>35.0479698181152</v>
      </c>
      <c r="G453" s="25" t="n">
        <v>14.1382284164429</v>
      </c>
      <c r="H453" s="25" t="n">
        <v>3.71587109565735</v>
      </c>
      <c r="I453" s="25" t="n">
        <v>0.873290002346039</v>
      </c>
      <c r="J453" s="25" t="n">
        <v>2.03586791992188</v>
      </c>
      <c r="K453" s="25" t="n">
        <v>4.11708935546875</v>
      </c>
      <c r="L453" s="25" t="n">
        <v>7.34079345703125</v>
      </c>
      <c r="M453" s="25" t="n">
        <v>0</v>
      </c>
      <c r="N453" s="25" t="n">
        <v>377.096862792969</v>
      </c>
      <c r="O453" s="25" t="n">
        <v>333.975463867188</v>
      </c>
      <c r="P453" s="25" t="n">
        <v>37.667366027832</v>
      </c>
      <c r="Q453" s="25" t="n">
        <v>139.761352539063</v>
      </c>
      <c r="R453" s="25" t="n">
        <v>66.8500061035156</v>
      </c>
      <c r="S453" s="25" t="n">
        <v>3.01465463638306</v>
      </c>
      <c r="T453" s="25" t="n">
        <v>1.06799602508545</v>
      </c>
      <c r="U453" s="25" t="n">
        <v>0.242086470127106</v>
      </c>
      <c r="V453" s="25" t="n">
        <v>2.31136655807495</v>
      </c>
      <c r="W453" s="25" t="n">
        <v>0.694982588291168</v>
      </c>
      <c r="X453" s="25" t="n">
        <v>0</v>
      </c>
      <c r="Y453" s="25" t="n">
        <v>842.438903808594</v>
      </c>
      <c r="Z453" s="25" t="n">
        <v>5.02845573425293</v>
      </c>
      <c r="AA453" s="25" t="n">
        <v>13.1496534347534</v>
      </c>
      <c r="AB453" s="25" t="n">
        <v>12.1254243850708</v>
      </c>
      <c r="AC453" s="25" t="n">
        <v>0.135286688804627</v>
      </c>
      <c r="AD453" s="25" t="n">
        <v>0.0448067411780357</v>
      </c>
      <c r="AE453" s="25" t="n">
        <v>2.08936262130737</v>
      </c>
      <c r="AF453" s="25" t="n">
        <v>0.421436160802841</v>
      </c>
      <c r="AG453" s="25" t="n">
        <v>0.0934163779020309</v>
      </c>
      <c r="AH453" s="25" t="n">
        <v>0.829814970493317</v>
      </c>
      <c r="AI453" s="25" t="n">
        <v>21.9095077514648</v>
      </c>
      <c r="AJ453" s="6" t="n">
        <v>54.6</v>
      </c>
      <c r="AK453" s="6" t="n">
        <v>160.8</v>
      </c>
      <c r="AL453" s="26"/>
    </row>
    <row r="454" customFormat="false" ht="15" hidden="false" customHeight="false" outlineLevel="0" collapsed="false">
      <c r="A454" s="6" t="s">
        <v>3726</v>
      </c>
      <c r="B454" s="6" t="s">
        <v>3727</v>
      </c>
      <c r="C454" s="6" t="s">
        <v>3007</v>
      </c>
      <c r="D454" s="13" t="n">
        <v>180.515853881836</v>
      </c>
      <c r="E454" s="25" t="n">
        <v>4.88825798034668</v>
      </c>
      <c r="F454" s="25" t="n">
        <v>21.520601272583</v>
      </c>
      <c r="G454" s="25" t="n">
        <v>8.06904602050781</v>
      </c>
      <c r="H454" s="25" t="n">
        <v>3.76453328132629</v>
      </c>
      <c r="I454" s="25" t="n">
        <v>1.40098690986633</v>
      </c>
      <c r="J454" s="25" t="n">
        <v>1.16571911621094</v>
      </c>
      <c r="K454" s="25" t="n">
        <v>2.32268994140625</v>
      </c>
      <c r="L454" s="25" t="n">
        <v>4.183578125</v>
      </c>
      <c r="M454" s="25" t="n">
        <v>0</v>
      </c>
      <c r="N454" s="25" t="n">
        <v>418.024444580078</v>
      </c>
      <c r="O454" s="25" t="n">
        <v>223.085357666016</v>
      </c>
      <c r="P454" s="25" t="n">
        <v>28.0116653442383</v>
      </c>
      <c r="Q454" s="25" t="n">
        <v>96.287109375</v>
      </c>
      <c r="R454" s="25" t="n">
        <v>48.5877456665039</v>
      </c>
      <c r="S454" s="25" t="n">
        <v>1.92375504970551</v>
      </c>
      <c r="T454" s="25" t="n">
        <v>0.8124138712883</v>
      </c>
      <c r="U454" s="25" t="n">
        <v>0.189903914928436</v>
      </c>
      <c r="V454" s="25" t="n">
        <v>2.28306198120117</v>
      </c>
      <c r="W454" s="25" t="n">
        <v>0.541556298732758</v>
      </c>
      <c r="X454" s="25" t="n">
        <v>0</v>
      </c>
      <c r="Y454" s="25" t="n">
        <v>2675.12451171875</v>
      </c>
      <c r="Z454" s="25" t="n">
        <v>2.84778428077698</v>
      </c>
      <c r="AA454" s="25" t="n">
        <v>15.4496030807495</v>
      </c>
      <c r="AB454" s="25" t="n">
        <v>7.37055635452271</v>
      </c>
      <c r="AC454" s="25" t="n">
        <v>0.112422056496143</v>
      </c>
      <c r="AD454" s="25" t="n">
        <v>0.0461780652403832</v>
      </c>
      <c r="AE454" s="25" t="n">
        <v>1.34901821613312</v>
      </c>
      <c r="AF454" s="25" t="n">
        <v>0.37297198176384</v>
      </c>
      <c r="AG454" s="25" t="n">
        <v>0.0864305421710014</v>
      </c>
      <c r="AH454" s="25" t="n">
        <v>1.02063024044037</v>
      </c>
      <c r="AI454" s="25" t="n">
        <v>22.2769088745117</v>
      </c>
      <c r="AJ454" s="6" t="n">
        <v>97.8</v>
      </c>
      <c r="AK454" s="6" t="n">
        <v>176.6</v>
      </c>
      <c r="AL454" s="26"/>
    </row>
    <row r="455" customFormat="false" ht="15" hidden="false" customHeight="false" outlineLevel="0" collapsed="false">
      <c r="A455" s="6" t="s">
        <v>485</v>
      </c>
      <c r="B455" s="6" t="s">
        <v>3728</v>
      </c>
      <c r="C455" s="6" t="s">
        <v>3670</v>
      </c>
      <c r="D455" s="13" t="n">
        <v>154.885025024414</v>
      </c>
      <c r="E455" s="25" t="n">
        <v>6.97377729415894</v>
      </c>
      <c r="F455" s="25" t="n">
        <v>19.4235210418701</v>
      </c>
      <c r="G455" s="25" t="n">
        <v>5.11475658416748</v>
      </c>
      <c r="H455" s="25" t="n">
        <v>4.25152444839478</v>
      </c>
      <c r="I455" s="25" t="n">
        <v>1.10916328430176</v>
      </c>
      <c r="J455" s="25" t="n">
        <v>0.654270080566406</v>
      </c>
      <c r="K455" s="25" t="n">
        <v>1.00381243896484</v>
      </c>
      <c r="L455" s="25" t="n">
        <v>3.07490991210938</v>
      </c>
      <c r="M455" s="25" t="n">
        <v>0</v>
      </c>
      <c r="N455" s="25" t="n">
        <v>267.231018066406</v>
      </c>
      <c r="O455" s="25" t="n">
        <v>574.123657226563</v>
      </c>
      <c r="P455" s="25" t="n">
        <v>39.3435897827148</v>
      </c>
      <c r="Q455" s="25" t="n">
        <v>129.164810180664</v>
      </c>
      <c r="R455" s="25" t="n">
        <v>61.1045532226563</v>
      </c>
      <c r="S455" s="25" t="n">
        <v>2.2201030254364</v>
      </c>
      <c r="T455" s="25" t="n">
        <v>0.860771119594574</v>
      </c>
      <c r="U455" s="25" t="n">
        <v>0.305720776319504</v>
      </c>
      <c r="V455" s="25" t="n">
        <v>12.1365413665772</v>
      </c>
      <c r="W455" s="25" t="n">
        <v>0.549080193042755</v>
      </c>
      <c r="X455" s="25" t="n">
        <v>0</v>
      </c>
      <c r="Y455" s="25" t="n">
        <v>1103.74792480469</v>
      </c>
      <c r="Z455" s="25" t="n">
        <v>2.33890867233276</v>
      </c>
      <c r="AA455" s="25" t="n">
        <v>20.8199501037598</v>
      </c>
      <c r="AB455" s="25" t="n">
        <v>15.3126430511475</v>
      </c>
      <c r="AC455" s="25" t="n">
        <v>0.121496059000492</v>
      </c>
      <c r="AD455" s="25" t="n">
        <v>0.0442585647106171</v>
      </c>
      <c r="AE455" s="25" t="n">
        <v>0.918834745883942</v>
      </c>
      <c r="AF455" s="25" t="n">
        <v>0.631912171840668</v>
      </c>
      <c r="AG455" s="25" t="n">
        <v>0.125027045607567</v>
      </c>
      <c r="AH455" s="25" t="n">
        <v>1.10611402988434</v>
      </c>
      <c r="AI455" s="25" t="n">
        <v>35.169116973877</v>
      </c>
      <c r="AJ455" s="6" t="n">
        <v>227.3</v>
      </c>
      <c r="AK455" s="6" t="n">
        <v>352.1</v>
      </c>
      <c r="AL455" s="26"/>
    </row>
    <row r="456" customFormat="false" ht="15" hidden="false" customHeight="false" outlineLevel="0" collapsed="false">
      <c r="A456" s="6" t="s">
        <v>489</v>
      </c>
      <c r="B456" s="6" t="s">
        <v>3729</v>
      </c>
      <c r="C456" s="6" t="s">
        <v>3670</v>
      </c>
      <c r="D456" s="13" t="n">
        <v>205.189300537109</v>
      </c>
      <c r="E456" s="25" t="n">
        <v>11.4362020492554</v>
      </c>
      <c r="F456" s="25" t="n">
        <v>19.1597919464111</v>
      </c>
      <c r="G456" s="25" t="n">
        <v>8.88610935211182</v>
      </c>
      <c r="H456" s="25" t="n">
        <v>4.02839469909668</v>
      </c>
      <c r="I456" s="25" t="n">
        <v>3.81409168243408</v>
      </c>
      <c r="J456" s="25" t="n">
        <v>2.77141162109375</v>
      </c>
      <c r="K456" s="25" t="n">
        <v>2.08307055664063</v>
      </c>
      <c r="L456" s="25" t="n">
        <v>3.35602270507813</v>
      </c>
      <c r="M456" s="25" t="n">
        <v>0</v>
      </c>
      <c r="N456" s="25" t="n">
        <v>289.099395751953</v>
      </c>
      <c r="O456" s="25" t="n">
        <v>464.02783203125</v>
      </c>
      <c r="P456" s="25" t="n">
        <v>151.298355102539</v>
      </c>
      <c r="Q456" s="25" t="n">
        <v>202.706802368164</v>
      </c>
      <c r="R456" s="25" t="n">
        <v>64.3213348388672</v>
      </c>
      <c r="S456" s="25" t="n">
        <v>2.41438317298889</v>
      </c>
      <c r="T456" s="25" t="n">
        <v>1.48108649253845</v>
      </c>
      <c r="U456" s="25" t="n">
        <v>0.323315143585205</v>
      </c>
      <c r="V456" s="25" t="n">
        <v>18.2133941650391</v>
      </c>
      <c r="W456" s="25" t="n">
        <v>0.575624763965607</v>
      </c>
      <c r="X456" s="25" t="n">
        <v>0</v>
      </c>
      <c r="Y456" s="25" t="n">
        <v>1163.73107910156</v>
      </c>
      <c r="Z456" s="25" t="n">
        <v>2.49048233032227</v>
      </c>
      <c r="AA456" s="25" t="n">
        <v>21.6417808532715</v>
      </c>
      <c r="AB456" s="25" t="n">
        <v>9.30755424499512</v>
      </c>
      <c r="AC456" s="25" t="n">
        <v>0.1164211332798</v>
      </c>
      <c r="AD456" s="25" t="n">
        <v>0.0678721815347672</v>
      </c>
      <c r="AE456" s="25" t="n">
        <v>0.695985972881317</v>
      </c>
      <c r="AF456" s="25" t="n">
        <v>0.675611555576325</v>
      </c>
      <c r="AG456" s="25" t="n">
        <v>0.112666130065918</v>
      </c>
      <c r="AH456" s="25" t="n">
        <v>5.72553539276123</v>
      </c>
      <c r="AI456" s="25" t="n">
        <v>54.8784675598145</v>
      </c>
      <c r="AJ456" s="6" t="n">
        <v>212.3</v>
      </c>
      <c r="AK456" s="6" t="n">
        <v>435.7</v>
      </c>
      <c r="AL456" s="26"/>
    </row>
    <row r="457" customFormat="false" ht="15" hidden="false" customHeight="false" outlineLevel="0" collapsed="false">
      <c r="A457" s="6" t="s">
        <v>3730</v>
      </c>
      <c r="B457" s="6" t="s">
        <v>3731</v>
      </c>
      <c r="C457" s="6" t="s">
        <v>3732</v>
      </c>
      <c r="D457" s="13" t="n">
        <v>102.834426879883</v>
      </c>
      <c r="E457" s="25" t="n">
        <v>6.09682655334473</v>
      </c>
      <c r="F457" s="25" t="n">
        <v>3.7618134021759</v>
      </c>
      <c r="G457" s="25" t="n">
        <v>7.01965522766113</v>
      </c>
      <c r="H457" s="25" t="n">
        <v>1.53493332862854</v>
      </c>
      <c r="I457" s="25" t="n">
        <v>1.94546127319336</v>
      </c>
      <c r="J457" s="25" t="n">
        <v>1.60363146972656</v>
      </c>
      <c r="K457" s="25" t="n">
        <v>2.06047778320313</v>
      </c>
      <c r="L457" s="25" t="n">
        <v>2.57074267578125</v>
      </c>
      <c r="M457" s="25" t="n">
        <v>145.284210205078</v>
      </c>
      <c r="N457" s="25" t="n">
        <v>218.052932739258</v>
      </c>
      <c r="O457" s="25" t="n">
        <v>178.561996459961</v>
      </c>
      <c r="P457" s="25" t="n">
        <v>31.8958034515381</v>
      </c>
      <c r="Q457" s="25" t="n">
        <v>90.4175186157227</v>
      </c>
      <c r="R457" s="25" t="n">
        <v>17.0889148712158</v>
      </c>
      <c r="S457" s="25" t="n">
        <v>1.1353040933609</v>
      </c>
      <c r="T457" s="25" t="n">
        <v>0.646668791770935</v>
      </c>
      <c r="U457" s="25" t="n">
        <v>0.0831120982766151</v>
      </c>
      <c r="V457" s="25" t="n">
        <v>16.1691455841065</v>
      </c>
      <c r="W457" s="25" t="n">
        <v>0.281867265701294</v>
      </c>
      <c r="X457" s="25" t="n">
        <v>78.5963821411133</v>
      </c>
      <c r="Y457" s="25" t="n">
        <v>1770.1728515625</v>
      </c>
      <c r="Z457" s="25" t="n">
        <v>2.2567036151886</v>
      </c>
      <c r="AA457" s="25" t="n">
        <v>13.4535598754883</v>
      </c>
      <c r="AB457" s="25" t="n">
        <v>10.7632751464844</v>
      </c>
      <c r="AC457" s="25" t="n">
        <v>0.0498825013637543</v>
      </c>
      <c r="AD457" s="25" t="n">
        <v>0.0910503342747688</v>
      </c>
      <c r="AE457" s="25" t="n">
        <v>0.324412494897842</v>
      </c>
      <c r="AF457" s="25" t="n">
        <v>0.733101010322571</v>
      </c>
      <c r="AG457" s="25" t="n">
        <v>0.13329628109932</v>
      </c>
      <c r="AH457" s="25" t="n">
        <v>8.26659679412842</v>
      </c>
      <c r="AI457" s="25" t="n">
        <v>32.4273109436035</v>
      </c>
      <c r="AJ457" s="6" t="n">
        <v>126</v>
      </c>
      <c r="AK457" s="6" t="n">
        <v>129.5</v>
      </c>
      <c r="AL457" s="26"/>
    </row>
    <row r="458" customFormat="false" ht="15" hidden="false" customHeight="false" outlineLevel="0" collapsed="false">
      <c r="A458" s="6" t="s">
        <v>3733</v>
      </c>
      <c r="B458" s="6" t="s">
        <v>3734</v>
      </c>
      <c r="C458" s="6" t="s">
        <v>3022</v>
      </c>
      <c r="D458" s="13" t="n">
        <v>211.039489746094</v>
      </c>
      <c r="E458" s="25" t="n">
        <v>10.0308818817139</v>
      </c>
      <c r="F458" s="25" t="n">
        <v>0.411323517560959</v>
      </c>
      <c r="G458" s="25" t="n">
        <v>18.856912612915</v>
      </c>
      <c r="H458" s="25" t="n">
        <v>0.380882352590561</v>
      </c>
      <c r="I458" s="25" t="n">
        <v>0.0955882370471954</v>
      </c>
      <c r="J458" s="25" t="n">
        <v>9.84680859375</v>
      </c>
      <c r="K458" s="25" t="n">
        <v>5.6382294921875</v>
      </c>
      <c r="L458" s="25" t="n">
        <v>1.28055883789063</v>
      </c>
      <c r="M458" s="25" t="n">
        <v>300.441162109375</v>
      </c>
      <c r="N458" s="25" t="n">
        <v>381.853515625</v>
      </c>
      <c r="O458" s="25" t="n">
        <v>133.088241577148</v>
      </c>
      <c r="P458" s="25" t="n">
        <v>46.345588684082</v>
      </c>
      <c r="Q458" s="25" t="n">
        <v>142.380584716797</v>
      </c>
      <c r="R458" s="25" t="n">
        <v>13.2626476287842</v>
      </c>
      <c r="S458" s="25" t="n">
        <v>1.58389711380005</v>
      </c>
      <c r="T458" s="25" t="n">
        <v>0.9489706158638</v>
      </c>
      <c r="U458" s="25" t="n">
        <v>0.073529414832592</v>
      </c>
      <c r="V458" s="25" t="n">
        <v>29.8377189636231</v>
      </c>
      <c r="W458" s="25" t="n">
        <v>0.0980882421135902</v>
      </c>
      <c r="X458" s="25" t="n">
        <v>286.470581054688</v>
      </c>
      <c r="Y458" s="25" t="n">
        <v>611.110290527344</v>
      </c>
      <c r="Z458" s="25" t="n">
        <v>1.40522062778473</v>
      </c>
      <c r="AA458" s="25" t="n">
        <v>10.4044122695923</v>
      </c>
      <c r="AB458" s="25" t="n">
        <v>0.702058851718903</v>
      </c>
      <c r="AC458" s="25" t="n">
        <v>0.0472058802843094</v>
      </c>
      <c r="AD458" s="25" t="n">
        <v>0.152132347226143</v>
      </c>
      <c r="AE458" s="25" t="n">
        <v>0.108602941036224</v>
      </c>
      <c r="AF458" s="25" t="n">
        <v>1.10897064208984</v>
      </c>
      <c r="AG458" s="25" t="n">
        <v>0.125220581889153</v>
      </c>
      <c r="AH458" s="25" t="n">
        <v>13.589485168457</v>
      </c>
      <c r="AI458" s="25" t="n">
        <v>37.9259567260742</v>
      </c>
      <c r="AJ458" s="6" t="n">
        <v>68</v>
      </c>
      <c r="AK458" s="6" t="n">
        <v>143.5</v>
      </c>
      <c r="AL458" s="26"/>
    </row>
    <row r="459" customFormat="false" ht="15" hidden="false" customHeight="false" outlineLevel="0" collapsed="false">
      <c r="A459" s="6" t="s">
        <v>3735</v>
      </c>
      <c r="B459" s="6" t="s">
        <v>3736</v>
      </c>
      <c r="C459" s="6" t="s">
        <v>3022</v>
      </c>
      <c r="D459" s="13" t="n">
        <v>188.148696899414</v>
      </c>
      <c r="E459" s="25" t="n">
        <v>8.81578922271729</v>
      </c>
      <c r="F459" s="25" t="n">
        <v>0.0789473652839661</v>
      </c>
      <c r="G459" s="25" t="n">
        <v>16.8355255126953</v>
      </c>
      <c r="H459" s="25" t="n">
        <v>0</v>
      </c>
      <c r="I459" s="25" t="n">
        <v>0.0789473652839661</v>
      </c>
      <c r="J459" s="25" t="n">
        <v>8.8</v>
      </c>
      <c r="K459" s="25" t="n">
        <v>5.041447265625</v>
      </c>
      <c r="L459" s="25" t="n">
        <v>1.13026318359375</v>
      </c>
      <c r="M459" s="25" t="n">
        <v>268.815795898438</v>
      </c>
      <c r="N459" s="25" t="n">
        <v>340.526306152344</v>
      </c>
      <c r="O459" s="25" t="n">
        <v>231.638153076172</v>
      </c>
      <c r="P459" s="25" t="n">
        <v>34.9605255126953</v>
      </c>
      <c r="Q459" s="25" t="n">
        <v>124.743423461914</v>
      </c>
      <c r="R459" s="25" t="n">
        <v>8.66447353363037</v>
      </c>
      <c r="S459" s="25" t="n">
        <v>1.19934213161469</v>
      </c>
      <c r="T459" s="25" t="n">
        <v>0.823026299476624</v>
      </c>
      <c r="U459" s="25" t="n">
        <v>0.0478947386145592</v>
      </c>
      <c r="V459" s="25" t="n">
        <v>26.6052627563477</v>
      </c>
      <c r="W459" s="25" t="n">
        <v>0.0131578948348761</v>
      </c>
      <c r="X459" s="25" t="n">
        <v>256.315795898438</v>
      </c>
      <c r="Y459" s="25" t="n">
        <v>168.815795898438</v>
      </c>
      <c r="Z459" s="25" t="n">
        <v>1.23684215545654</v>
      </c>
      <c r="AA459" s="25" t="n">
        <v>0.973684251308441</v>
      </c>
      <c r="AB459" s="25" t="n">
        <v>0</v>
      </c>
      <c r="AC459" s="25" t="n">
        <v>0.039473682641983</v>
      </c>
      <c r="AD459" s="25" t="n">
        <v>0.134210526943207</v>
      </c>
      <c r="AE459" s="25" t="n">
        <v>0.0723684206604958</v>
      </c>
      <c r="AF459" s="25" t="n">
        <v>0.973684251308441</v>
      </c>
      <c r="AG459" s="25" t="n">
        <v>0.105263158679009</v>
      </c>
      <c r="AH459" s="25" t="n">
        <v>12.0263156890869</v>
      </c>
      <c r="AI459" s="25" t="n">
        <v>32.4473686218262</v>
      </c>
      <c r="AJ459" s="6" t="n">
        <v>76</v>
      </c>
      <c r="AK459" s="6" t="n">
        <v>143</v>
      </c>
      <c r="AL459" s="26"/>
    </row>
    <row r="460" customFormat="false" ht="15" hidden="false" customHeight="false" outlineLevel="0" collapsed="false">
      <c r="A460" s="6" t="s">
        <v>3737</v>
      </c>
      <c r="B460" s="6" t="s">
        <v>3738</v>
      </c>
      <c r="C460" s="6" t="s">
        <v>3022</v>
      </c>
      <c r="D460" s="13" t="n">
        <v>194.661849975586</v>
      </c>
      <c r="E460" s="25" t="n">
        <v>8.93421077728272</v>
      </c>
      <c r="F460" s="25" t="n">
        <v>1.67763161659241</v>
      </c>
      <c r="G460" s="25" t="n">
        <v>16.8355255126953</v>
      </c>
      <c r="H460" s="25" t="n">
        <v>0</v>
      </c>
      <c r="I460" s="25" t="n">
        <v>1.67763161659241</v>
      </c>
      <c r="J460" s="25" t="n">
        <v>8.8</v>
      </c>
      <c r="K460" s="25" t="n">
        <v>5.041447265625</v>
      </c>
      <c r="L460" s="25" t="n">
        <v>1.13026318359375</v>
      </c>
      <c r="M460" s="25" t="n">
        <v>268.815795898438</v>
      </c>
      <c r="N460" s="25" t="n">
        <v>340.921051025391</v>
      </c>
      <c r="O460" s="25" t="n">
        <v>267.164489746094</v>
      </c>
      <c r="P460" s="25" t="n">
        <v>37.3289451599121</v>
      </c>
      <c r="Q460" s="25" t="n">
        <v>129.085525512695</v>
      </c>
      <c r="R460" s="25" t="n">
        <v>11.0328950881958</v>
      </c>
      <c r="S460" s="25" t="n">
        <v>1.25855267047882</v>
      </c>
      <c r="T460" s="25" t="n">
        <v>0.823026299476624</v>
      </c>
      <c r="U460" s="25" t="n">
        <v>0.0478947386145592</v>
      </c>
      <c r="V460" s="25" t="n">
        <v>26.6052627563477</v>
      </c>
      <c r="W460" s="25" t="n">
        <v>0.0328947342932224</v>
      </c>
      <c r="X460" s="25" t="n">
        <v>256.315795898438</v>
      </c>
      <c r="Y460" s="25" t="n">
        <v>179.671051025391</v>
      </c>
      <c r="Z460" s="25" t="n">
        <v>1.30592107772827</v>
      </c>
      <c r="AA460" s="25" t="n">
        <v>0.973684251308441</v>
      </c>
      <c r="AB460" s="25" t="n">
        <v>9.47368431091309</v>
      </c>
      <c r="AC460" s="25" t="n">
        <v>0.0552631579339504</v>
      </c>
      <c r="AD460" s="25" t="n">
        <v>0.138157889246941</v>
      </c>
      <c r="AE460" s="25" t="n">
        <v>0.111842103302479</v>
      </c>
      <c r="AF460" s="25" t="n">
        <v>1.02697372436523</v>
      </c>
      <c r="AG460" s="25" t="n">
        <v>0.115131579339504</v>
      </c>
      <c r="AH460" s="25" t="n">
        <v>12.2236843109131</v>
      </c>
      <c r="AI460" s="25" t="n">
        <v>37.9736824035645</v>
      </c>
      <c r="AJ460" s="6" t="n">
        <v>76</v>
      </c>
      <c r="AK460" s="6" t="n">
        <v>147.9</v>
      </c>
      <c r="AL460" s="26"/>
    </row>
    <row r="461" customFormat="false" ht="15" hidden="false" customHeight="false" outlineLevel="0" collapsed="false">
      <c r="A461" s="6" t="s">
        <v>3739</v>
      </c>
      <c r="B461" s="6" t="s">
        <v>3740</v>
      </c>
      <c r="C461" s="6" t="s">
        <v>3022</v>
      </c>
      <c r="D461" s="13" t="n">
        <v>205.626846313477</v>
      </c>
      <c r="E461" s="25" t="n">
        <v>9.69140625</v>
      </c>
      <c r="F461" s="25" t="n">
        <v>1.68257808685303</v>
      </c>
      <c r="G461" s="25" t="n">
        <v>17.8192977905273</v>
      </c>
      <c r="H461" s="25" t="n">
        <v>0.931250035762787</v>
      </c>
      <c r="I461" s="25" t="n">
        <v>1.07421875</v>
      </c>
      <c r="J461" s="25" t="n">
        <v>10.077498046875</v>
      </c>
      <c r="K461" s="25" t="n">
        <v>5.051986328125</v>
      </c>
      <c r="L461" s="25" t="n">
        <v>1.01459375</v>
      </c>
      <c r="M461" s="25" t="n">
        <v>184.53125</v>
      </c>
      <c r="N461" s="25" t="n">
        <v>400.294067382813</v>
      </c>
      <c r="O461" s="25" t="n">
        <v>181.0546875</v>
      </c>
      <c r="P461" s="25" t="n">
        <v>148.772659301758</v>
      </c>
      <c r="Q461" s="25" t="n">
        <v>246.954528808594</v>
      </c>
      <c r="R461" s="25" t="n">
        <v>16.6864070892334</v>
      </c>
      <c r="S461" s="25" t="n">
        <v>1.00707030296326</v>
      </c>
      <c r="T461" s="25" t="n">
        <v>1.05570316314697</v>
      </c>
      <c r="U461" s="25" t="n">
        <v>0.060546875</v>
      </c>
      <c r="V461" s="25" t="n">
        <v>16.8278503417969</v>
      </c>
      <c r="W461" s="25" t="n">
        <v>0.0950781255960465</v>
      </c>
      <c r="X461" s="25" t="n">
        <v>242.34375</v>
      </c>
      <c r="Y461" s="25" t="n">
        <v>366.95703125</v>
      </c>
      <c r="Z461" s="25" t="n">
        <v>0.928554713726044</v>
      </c>
      <c r="AA461" s="25" t="n">
        <v>9.05859375</v>
      </c>
      <c r="AB461" s="25" t="n">
        <v>0.372968763113022</v>
      </c>
      <c r="AC461" s="25" t="n">
        <v>0.039140623062849</v>
      </c>
      <c r="AD461" s="25" t="n">
        <v>0.139414057135582</v>
      </c>
      <c r="AE461" s="25" t="n">
        <v>0.236601561307907</v>
      </c>
      <c r="AF461" s="25" t="n">
        <v>0.809062480926514</v>
      </c>
      <c r="AG461" s="25" t="n">
        <v>0.108320310711861</v>
      </c>
      <c r="AH461" s="25" t="n">
        <v>10.4842576980591</v>
      </c>
      <c r="AI461" s="25" t="n">
        <v>25.0184764862061</v>
      </c>
      <c r="AJ461" s="6" t="n">
        <v>128</v>
      </c>
      <c r="AK461" s="6" t="n">
        <v>263.2</v>
      </c>
      <c r="AL461" s="26"/>
    </row>
    <row r="462" customFormat="false" ht="15" hidden="false" customHeight="false" outlineLevel="0" collapsed="false">
      <c r="A462" s="6" t="s">
        <v>3741</v>
      </c>
      <c r="B462" s="6" t="s">
        <v>3742</v>
      </c>
      <c r="C462" s="6" t="s">
        <v>3022</v>
      </c>
      <c r="D462" s="13" t="n">
        <v>157.447402954102</v>
      </c>
      <c r="E462" s="25" t="n">
        <v>8.25006580352783</v>
      </c>
      <c r="F462" s="25" t="n">
        <v>5.1000657081604</v>
      </c>
      <c r="G462" s="25" t="n">
        <v>11.4392757415772</v>
      </c>
      <c r="H462" s="25" t="n">
        <v>2.54197382926941</v>
      </c>
      <c r="I462" s="25" t="n">
        <v>1.02539479732513</v>
      </c>
      <c r="J462" s="25" t="n">
        <v>6.20392919921875</v>
      </c>
      <c r="K462" s="25" t="n">
        <v>3.31599438476563</v>
      </c>
      <c r="L462" s="25" t="n">
        <v>0.735</v>
      </c>
      <c r="M462" s="25" t="n">
        <v>145.230270385742</v>
      </c>
      <c r="N462" s="25" t="n">
        <v>233.867370605469</v>
      </c>
      <c r="O462" s="25" t="n">
        <v>185.743423461914</v>
      </c>
      <c r="P462" s="25" t="n">
        <v>31.720724105835</v>
      </c>
      <c r="Q462" s="25" t="n">
        <v>108.459869384766</v>
      </c>
      <c r="R462" s="25" t="n">
        <v>22.2657890319824</v>
      </c>
      <c r="S462" s="25" t="n">
        <v>1.28161191940308</v>
      </c>
      <c r="T462" s="25" t="n">
        <v>0.931710541248322</v>
      </c>
      <c r="U462" s="25" t="n">
        <v>0.122631579637528</v>
      </c>
      <c r="V462" s="25" t="n">
        <v>14.6313486099243</v>
      </c>
      <c r="W462" s="25" t="n">
        <v>0.209342107176781</v>
      </c>
      <c r="X462" s="25" t="n">
        <v>159.671051025391</v>
      </c>
      <c r="Y462" s="25" t="n">
        <v>1010.23352050781</v>
      </c>
      <c r="Z462" s="25" t="n">
        <v>0.78819078207016</v>
      </c>
      <c r="AA462" s="25" t="n">
        <v>18.5328960418701</v>
      </c>
      <c r="AB462" s="25" t="n">
        <v>18.8328952789307</v>
      </c>
      <c r="AC462" s="25" t="n">
        <v>0.168355271220207</v>
      </c>
      <c r="AD462" s="25" t="n">
        <v>0.0943092107772827</v>
      </c>
      <c r="AE462" s="25" t="n">
        <v>0.965953946113586</v>
      </c>
      <c r="AF462" s="25" t="n">
        <v>0.820855259895325</v>
      </c>
      <c r="AG462" s="25" t="n">
        <v>0.173585519194603</v>
      </c>
      <c r="AH462" s="25" t="n">
        <v>7.95851945877075</v>
      </c>
      <c r="AI462" s="25" t="n">
        <v>40.2473373413086</v>
      </c>
      <c r="AJ462" s="6" t="n">
        <v>152</v>
      </c>
      <c r="AK462" s="6" t="n">
        <v>239.3</v>
      </c>
      <c r="AL462" s="26"/>
    </row>
    <row r="463" customFormat="false" ht="15" hidden="false" customHeight="false" outlineLevel="0" collapsed="false">
      <c r="A463" s="6" t="s">
        <v>3743</v>
      </c>
      <c r="B463" s="6" t="s">
        <v>3744</v>
      </c>
      <c r="C463" s="6" t="s">
        <v>2949</v>
      </c>
      <c r="D463" s="13" t="n">
        <v>25.1925277709961</v>
      </c>
      <c r="E463" s="25" t="n">
        <v>2.06483507156372</v>
      </c>
      <c r="F463" s="25" t="n">
        <v>0.332087904214859</v>
      </c>
      <c r="G463" s="25" t="n">
        <v>1.71340656280518</v>
      </c>
      <c r="H463" s="25" t="n">
        <v>0.145714282989502</v>
      </c>
      <c r="I463" s="25" t="n">
        <v>0.20021978020668</v>
      </c>
      <c r="J463" s="25" t="n">
        <v>0.497769683837891</v>
      </c>
      <c r="K463" s="25" t="n">
        <v>0.743085083007813</v>
      </c>
      <c r="L463" s="25" t="n">
        <v>0.354351654052734</v>
      </c>
      <c r="M463" s="25" t="n">
        <v>10.5494508743286</v>
      </c>
      <c r="N463" s="25" t="n">
        <v>9.51274681091309</v>
      </c>
      <c r="O463" s="25" t="n">
        <v>39.4285697937012</v>
      </c>
      <c r="P463" s="25" t="n">
        <v>2.05758237838745</v>
      </c>
      <c r="Q463" s="25" t="n">
        <v>21.4373626708984</v>
      </c>
      <c r="R463" s="25" t="n">
        <v>3.07010984420776</v>
      </c>
      <c r="S463" s="25" t="n">
        <v>0.0720879137516022</v>
      </c>
      <c r="T463" s="25" t="n">
        <v>0.128571420907974</v>
      </c>
      <c r="U463" s="25" t="n">
        <v>0.0107692303135991</v>
      </c>
      <c r="V463" s="25" t="n">
        <v>1.33120882511139</v>
      </c>
      <c r="W463" s="25" t="n">
        <v>0.0119780218228698</v>
      </c>
      <c r="X463" s="25" t="n">
        <v>5.93406581878662</v>
      </c>
      <c r="Y463" s="25" t="n">
        <v>208.046157836914</v>
      </c>
      <c r="Z463" s="25" t="n">
        <v>0.0189010985195637</v>
      </c>
      <c r="AA463" s="25" t="n">
        <v>0.502197802066803</v>
      </c>
      <c r="AB463" s="25" t="n">
        <v>0.283736258745194</v>
      </c>
      <c r="AC463" s="25" t="n">
        <v>0.00835164822638035</v>
      </c>
      <c r="AD463" s="25" t="n">
        <v>0.0140659334138036</v>
      </c>
      <c r="AE463" s="25" t="n">
        <v>0.819999992847443</v>
      </c>
      <c r="AF463" s="25" t="n">
        <v>0.130219787359238</v>
      </c>
      <c r="AG463" s="25" t="n">
        <v>0.0540659315884113</v>
      </c>
      <c r="AH463" s="25" t="n">
        <v>0.255164831876755</v>
      </c>
      <c r="AI463" s="25" t="n">
        <v>1.82241761684418</v>
      </c>
      <c r="AJ463" s="6" t="n">
        <v>910</v>
      </c>
      <c r="AK463" s="6" t="n">
        <v>229.3</v>
      </c>
      <c r="AL463" s="26"/>
    </row>
    <row r="464" customFormat="false" ht="15" hidden="false" customHeight="false" outlineLevel="0" collapsed="false">
      <c r="A464" s="6" t="s">
        <v>3745</v>
      </c>
      <c r="B464" s="6" t="s">
        <v>3746</v>
      </c>
      <c r="C464" s="6" t="s">
        <v>2949</v>
      </c>
      <c r="D464" s="13" t="n">
        <v>24.482759475708</v>
      </c>
      <c r="E464" s="25" t="n">
        <v>2.10344815254211</v>
      </c>
      <c r="F464" s="25" t="n">
        <v>0</v>
      </c>
      <c r="G464" s="25" t="n">
        <v>1.77586209774017</v>
      </c>
      <c r="H464" s="25" t="n">
        <v>0</v>
      </c>
      <c r="I464" s="25" t="n">
        <v>0</v>
      </c>
      <c r="J464" s="25" t="n">
        <v>0.517241394042969</v>
      </c>
      <c r="K464" s="25" t="n">
        <v>0.775862060546875</v>
      </c>
      <c r="L464" s="25" t="n">
        <v>0.362068969726563</v>
      </c>
      <c r="M464" s="25" t="n">
        <v>11.0344829559326</v>
      </c>
      <c r="N464" s="25" t="n">
        <v>8.62068939208984</v>
      </c>
      <c r="O464" s="25" t="n">
        <v>31.0344829559326</v>
      </c>
      <c r="P464" s="25" t="n">
        <v>0.862068951129913</v>
      </c>
      <c r="Q464" s="25" t="n">
        <v>20.6896553039551</v>
      </c>
      <c r="R464" s="25" t="n">
        <v>2.41379308700562</v>
      </c>
      <c r="S464" s="25" t="n">
        <v>0.0517241358757019</v>
      </c>
      <c r="T464" s="25" t="n">
        <v>0.120689652860165</v>
      </c>
      <c r="U464" s="25" t="n">
        <v>0.00689655169844627</v>
      </c>
      <c r="V464" s="25" t="n">
        <v>1.37931036949158</v>
      </c>
      <c r="W464" s="25" t="n">
        <v>0.00172413792461157</v>
      </c>
      <c r="X464" s="25" t="n">
        <v>6.20689678192139</v>
      </c>
      <c r="Y464" s="25" t="n">
        <v>0</v>
      </c>
      <c r="Z464" s="25" t="n">
        <v>0.0137931033968926</v>
      </c>
      <c r="AA464" s="25" t="n">
        <v>0</v>
      </c>
      <c r="AB464" s="25" t="n">
        <v>0</v>
      </c>
      <c r="AC464" s="25" t="n">
        <v>0.00689655169844627</v>
      </c>
      <c r="AD464" s="25" t="n">
        <v>0.0137931033968926</v>
      </c>
      <c r="AE464" s="25" t="n">
        <v>0.844827592372894</v>
      </c>
      <c r="AF464" s="25" t="n">
        <v>0.122413799166679</v>
      </c>
      <c r="AG464" s="25" t="n">
        <v>0.0517241358757019</v>
      </c>
      <c r="AH464" s="25" t="n">
        <v>0.172413796186447</v>
      </c>
      <c r="AI464" s="25" t="n">
        <v>0.689655184745789</v>
      </c>
      <c r="AJ464" s="6" t="n">
        <v>870</v>
      </c>
      <c r="AK464" s="6" t="n">
        <v>213</v>
      </c>
      <c r="AL464" s="26"/>
    </row>
    <row r="465" customFormat="false" ht="15" hidden="false" customHeight="false" outlineLevel="0" collapsed="false">
      <c r="A465" s="6" t="s">
        <v>3747</v>
      </c>
      <c r="B465" s="6" t="s">
        <v>3748</v>
      </c>
      <c r="C465" s="6" t="s">
        <v>2949</v>
      </c>
      <c r="D465" s="13" t="n">
        <v>6.98718976974487</v>
      </c>
      <c r="E465" s="25" t="n">
        <v>0.0679738596081734</v>
      </c>
      <c r="F465" s="25" t="n">
        <v>0.39895424246788</v>
      </c>
      <c r="G465" s="25" t="n">
        <v>0.555817008018494</v>
      </c>
      <c r="H465" s="25" t="n">
        <v>0.173333331942558</v>
      </c>
      <c r="I465" s="25" t="n">
        <v>0.242091506719589</v>
      </c>
      <c r="J465" s="25" t="n">
        <v>0.344340393066406</v>
      </c>
      <c r="K465" s="25" t="n">
        <v>0.138244964599609</v>
      </c>
      <c r="L465" s="25" t="n">
        <v>0.0282483654022217</v>
      </c>
      <c r="M465" s="25" t="n">
        <v>1.39215683937073</v>
      </c>
      <c r="N465" s="25" t="n">
        <v>1.56418299674988</v>
      </c>
      <c r="O465" s="25" t="n">
        <v>11.7843132019043</v>
      </c>
      <c r="P465" s="25" t="n">
        <v>1.584836602211</v>
      </c>
      <c r="Q465" s="25" t="n">
        <v>2.12156867980957</v>
      </c>
      <c r="R465" s="25" t="n">
        <v>0.920000016689301</v>
      </c>
      <c r="S465" s="25" t="n">
        <v>0.0269281044602394</v>
      </c>
      <c r="T465" s="25" t="n">
        <v>0.0163398701697588</v>
      </c>
      <c r="U465" s="25" t="n">
        <v>0.00503267999738455</v>
      </c>
      <c r="V465" s="25" t="n">
        <v>0.0149019611999393</v>
      </c>
      <c r="W465" s="25" t="n">
        <v>0.0122875813394785</v>
      </c>
      <c r="X465" s="25" t="n">
        <v>6.26143789291382</v>
      </c>
      <c r="Y465" s="25" t="n">
        <v>251.453598022461</v>
      </c>
      <c r="Z465" s="25" t="n">
        <v>0.0188888888806105</v>
      </c>
      <c r="AA465" s="25" t="n">
        <v>0.645751655101776</v>
      </c>
      <c r="AB465" s="25" t="n">
        <v>0.337516337633133</v>
      </c>
      <c r="AC465" s="25" t="n">
        <v>0.00209150346927345</v>
      </c>
      <c r="AD465" s="25" t="n">
        <v>0.00150326802395284</v>
      </c>
      <c r="AE465" s="25" t="n">
        <v>0.0146405231207609</v>
      </c>
      <c r="AF465" s="25" t="n">
        <v>0.0160130709409714</v>
      </c>
      <c r="AG465" s="25" t="n">
        <v>0.0054901959374547</v>
      </c>
      <c r="AH465" s="25" t="n">
        <v>0.108758173882961</v>
      </c>
      <c r="AI465" s="25" t="n">
        <v>1.38352942466736</v>
      </c>
      <c r="AJ465" s="6" t="n">
        <v>765</v>
      </c>
      <c r="AK465" s="6" t="n">
        <v>53.5</v>
      </c>
      <c r="AL465" s="26"/>
    </row>
    <row r="466" customFormat="false" ht="15" hidden="false" customHeight="false" outlineLevel="0" collapsed="false">
      <c r="A466" s="6" t="s">
        <v>3749</v>
      </c>
      <c r="B466" s="6" t="s">
        <v>3750</v>
      </c>
      <c r="C466" s="6" t="s">
        <v>3007</v>
      </c>
      <c r="D466" s="13" t="n">
        <v>29.7641887664795</v>
      </c>
      <c r="E466" s="25" t="n">
        <v>14.8589286804199</v>
      </c>
      <c r="F466" s="25" t="n">
        <v>0.509090185165405</v>
      </c>
      <c r="G466" s="25" t="n">
        <v>13.6775846481323</v>
      </c>
      <c r="H466" s="25" t="n">
        <v>0.707436680793762</v>
      </c>
      <c r="I466" s="25" t="n">
        <v>0.244571700692177</v>
      </c>
      <c r="J466" s="25" t="n">
        <v>0.0088123893737793</v>
      </c>
      <c r="K466" s="25" t="n">
        <v>0.00390533971786499</v>
      </c>
      <c r="L466" s="25" t="n">
        <v>0.0147604455947876</v>
      </c>
      <c r="M466" s="25" t="n">
        <v>0</v>
      </c>
      <c r="N466" s="25" t="n">
        <v>12665.5185546875</v>
      </c>
      <c r="O466" s="25" t="n">
        <v>366.476043701172</v>
      </c>
      <c r="P466" s="25" t="n">
        <v>115.878074645996</v>
      </c>
      <c r="Q466" s="25" t="n">
        <v>177.189849853516</v>
      </c>
      <c r="R466" s="25" t="n">
        <v>38.6708679199219</v>
      </c>
      <c r="S466" s="25" t="n">
        <v>4.21511554718018</v>
      </c>
      <c r="T466" s="25" t="n">
        <v>0.953315079212189</v>
      </c>
      <c r="U466" s="25" t="n">
        <v>0.0878899842500687</v>
      </c>
      <c r="V466" s="25" t="n">
        <v>0.915421843528748</v>
      </c>
      <c r="W466" s="25" t="n">
        <v>0.290901750326157</v>
      </c>
      <c r="X466" s="25" t="n">
        <v>0</v>
      </c>
      <c r="Y466" s="25" t="n">
        <v>206.112274169922</v>
      </c>
      <c r="Z466" s="25" t="n">
        <v>0.00915470253676176</v>
      </c>
      <c r="AA466" s="25" t="n">
        <v>1.73092436790466</v>
      </c>
      <c r="AB466" s="25" t="n">
        <v>0.3931924700737</v>
      </c>
      <c r="AC466" s="25" t="n">
        <v>0.026809161528945</v>
      </c>
      <c r="AD466" s="25" t="n">
        <v>0.026210680603981</v>
      </c>
      <c r="AE466" s="25" t="n">
        <v>0.898435235023499</v>
      </c>
      <c r="AF466" s="25" t="n">
        <v>0.072858527302742</v>
      </c>
      <c r="AG466" s="25" t="n">
        <v>0.00607356010004878</v>
      </c>
      <c r="AH466" s="25" t="n">
        <v>0.308783680200577</v>
      </c>
      <c r="AI466" s="25" t="n">
        <v>2.49845933914185</v>
      </c>
      <c r="AJ466" s="6" t="n">
        <v>619.9</v>
      </c>
      <c r="AK466" s="6" t="n">
        <v>184.5</v>
      </c>
      <c r="AL466" s="26" t="s">
        <v>3053</v>
      </c>
    </row>
    <row r="467" customFormat="false" ht="15" hidden="false" customHeight="false" outlineLevel="0" collapsed="false">
      <c r="A467" s="6" t="s">
        <v>3751</v>
      </c>
      <c r="B467" s="6" t="s">
        <v>3752</v>
      </c>
      <c r="C467" s="6" t="s">
        <v>3007</v>
      </c>
      <c r="D467" s="13" t="n">
        <v>27.7626323699951</v>
      </c>
      <c r="E467" s="25" t="n">
        <v>12.4929857254028</v>
      </c>
      <c r="F467" s="25" t="n">
        <v>1.49121308326721</v>
      </c>
      <c r="G467" s="25" t="n">
        <v>10.6575336456299</v>
      </c>
      <c r="H467" s="25" t="n">
        <v>1.38399791717529</v>
      </c>
      <c r="I467" s="25" t="n">
        <v>0.826224148273468</v>
      </c>
      <c r="J467" s="25" t="n">
        <v>0.108974281311035</v>
      </c>
      <c r="K467" s="25" t="n">
        <v>0.110212257385254</v>
      </c>
      <c r="L467" s="25" t="n">
        <v>0.101844398498535</v>
      </c>
      <c r="M467" s="25" t="n">
        <v>6.39563608169556</v>
      </c>
      <c r="N467" s="25" t="n">
        <v>10208.4697265625</v>
      </c>
      <c r="O467" s="25" t="n">
        <v>350.861785888672</v>
      </c>
      <c r="P467" s="25" t="n">
        <v>85.8931274414063</v>
      </c>
      <c r="Q467" s="25" t="n">
        <v>153.966720581055</v>
      </c>
      <c r="R467" s="25" t="n">
        <v>36.4950904846191</v>
      </c>
      <c r="S467" s="25" t="n">
        <v>3.33725166320801</v>
      </c>
      <c r="T467" s="25" t="n">
        <v>0.897337377071381</v>
      </c>
      <c r="U467" s="25" t="n">
        <v>0.114408366382122</v>
      </c>
      <c r="V467" s="25" t="n">
        <v>2.70849466323853</v>
      </c>
      <c r="W467" s="25" t="n">
        <v>0.281114429235458</v>
      </c>
      <c r="X467" s="25" t="n">
        <v>0.72321081161499</v>
      </c>
      <c r="Y467" s="25" t="n">
        <v>1991.94567871094</v>
      </c>
      <c r="Z467" s="25" t="n">
        <v>0.0784192755818367</v>
      </c>
      <c r="AA467" s="25" t="n">
        <v>4.96882724761963</v>
      </c>
      <c r="AB467" s="25" t="n">
        <v>1.52843225002289</v>
      </c>
      <c r="AC467" s="25" t="n">
        <v>0.0210663713514805</v>
      </c>
      <c r="AD467" s="25" t="n">
        <v>0.0186361875385046</v>
      </c>
      <c r="AE467" s="25" t="n">
        <v>0.897181451320648</v>
      </c>
      <c r="AF467" s="25" t="n">
        <v>0.236608654260635</v>
      </c>
      <c r="AG467" s="25" t="n">
        <v>0.08139368891716</v>
      </c>
      <c r="AH467" s="25" t="n">
        <v>0.967937409877777</v>
      </c>
      <c r="AI467" s="25" t="n">
        <v>7.17754936218262</v>
      </c>
      <c r="AJ467" s="6" t="n">
        <v>769.9</v>
      </c>
      <c r="AK467" s="6" t="n">
        <v>213.7</v>
      </c>
      <c r="AL467" s="26" t="s">
        <v>3053</v>
      </c>
    </row>
    <row r="468" customFormat="false" ht="15" hidden="false" customHeight="false" outlineLevel="0" collapsed="false">
      <c r="A468" s="6" t="s">
        <v>3753</v>
      </c>
      <c r="B468" s="6" t="s">
        <v>3754</v>
      </c>
      <c r="C468" s="6" t="s">
        <v>3007</v>
      </c>
      <c r="D468" s="13" t="n">
        <v>29.9441375732422</v>
      </c>
      <c r="E468" s="25" t="n">
        <v>15.231201171875</v>
      </c>
      <c r="F468" s="25" t="n">
        <v>1.30088531970978</v>
      </c>
      <c r="G468" s="25" t="n">
        <v>12.9815998077393</v>
      </c>
      <c r="H468" s="25" t="n">
        <v>0.806173264980316</v>
      </c>
      <c r="I468" s="25" t="n">
        <v>0.265736162662506</v>
      </c>
      <c r="J468" s="25" t="n">
        <v>0.113403175354004</v>
      </c>
      <c r="K468" s="25" t="n">
        <v>0.130647308349609</v>
      </c>
      <c r="L468" s="25" t="n">
        <v>0.0633274841308594</v>
      </c>
      <c r="M468" s="25" t="n">
        <v>7.85452270507813</v>
      </c>
      <c r="N468" s="25" t="n">
        <v>12524.60546875</v>
      </c>
      <c r="O468" s="25" t="n">
        <v>367.550659179688</v>
      </c>
      <c r="P468" s="25" t="n">
        <v>97.342529296875</v>
      </c>
      <c r="Q468" s="25" t="n">
        <v>179.979232788086</v>
      </c>
      <c r="R468" s="25" t="n">
        <v>41.2526397705078</v>
      </c>
      <c r="S468" s="25" t="n">
        <v>3.97827410697937</v>
      </c>
      <c r="T468" s="25" t="n">
        <v>1.0520339012146</v>
      </c>
      <c r="U468" s="25" t="n">
        <v>0.123820386826992</v>
      </c>
      <c r="V468" s="25" t="n">
        <v>3.43324279785156</v>
      </c>
      <c r="W468" s="25" t="n">
        <v>0.298580318689346</v>
      </c>
      <c r="X468" s="25" t="n">
        <v>0.888179898262024</v>
      </c>
      <c r="Y468" s="25" t="n">
        <v>202.900482177734</v>
      </c>
      <c r="Z468" s="25" t="n">
        <v>0.046171635389328</v>
      </c>
      <c r="AA468" s="25" t="n">
        <v>1.72276282310486</v>
      </c>
      <c r="AB468" s="25" t="n">
        <v>0.38880205154419</v>
      </c>
      <c r="AC468" s="25" t="n">
        <v>0.0176407713443041</v>
      </c>
      <c r="AD468" s="25" t="n">
        <v>0.0158207062631846</v>
      </c>
      <c r="AE468" s="25" t="n">
        <v>1.05667567253113</v>
      </c>
      <c r="AF468" s="25" t="n">
        <v>0.224270224571228</v>
      </c>
      <c r="AG468" s="25" t="n">
        <v>0.0739751160144806</v>
      </c>
      <c r="AH468" s="25" t="n">
        <v>0.844783842563629</v>
      </c>
      <c r="AI468" s="25" t="n">
        <v>3.21018505096436</v>
      </c>
      <c r="AJ468" s="6" t="n">
        <v>626.9</v>
      </c>
      <c r="AK468" s="6" t="n">
        <v>187.7</v>
      </c>
      <c r="AL468" s="26" t="s">
        <v>3053</v>
      </c>
    </row>
    <row r="469" customFormat="false" ht="15" hidden="false" customHeight="false" outlineLevel="0" collapsed="false">
      <c r="A469" s="6" t="s">
        <v>3755</v>
      </c>
      <c r="B469" s="6" t="s">
        <v>3756</v>
      </c>
      <c r="C469" s="6" t="s">
        <v>3007</v>
      </c>
      <c r="D469" s="13" t="n">
        <v>39.8064308166504</v>
      </c>
      <c r="E469" s="25" t="n">
        <v>11.0645685195923</v>
      </c>
      <c r="F469" s="25" t="n">
        <v>3.63276982307434</v>
      </c>
      <c r="G469" s="25" t="n">
        <v>12.8956289291382</v>
      </c>
      <c r="H469" s="25" t="n">
        <v>2.49280571937561</v>
      </c>
      <c r="I469" s="25" t="n">
        <v>0.869514405727387</v>
      </c>
      <c r="J469" s="25" t="n">
        <v>0.89262939453125</v>
      </c>
      <c r="K469" s="25" t="n">
        <v>0.532862426757813</v>
      </c>
      <c r="L469" s="25" t="n">
        <v>0.13578596496582</v>
      </c>
      <c r="M469" s="25" t="n">
        <v>4.15647506713867</v>
      </c>
      <c r="N469" s="25" t="n">
        <v>10958.107421875</v>
      </c>
      <c r="O469" s="25" t="n">
        <v>329.908264160156</v>
      </c>
      <c r="P469" s="25" t="n">
        <v>46.6325531005859</v>
      </c>
      <c r="Q469" s="25" t="n">
        <v>103.290794372559</v>
      </c>
      <c r="R469" s="25" t="n">
        <v>38.3940811157227</v>
      </c>
      <c r="S469" s="25" t="n">
        <v>2.18445134162903</v>
      </c>
      <c r="T469" s="25" t="n">
        <v>0.546996414661408</v>
      </c>
      <c r="U469" s="25" t="n">
        <v>0.0834352523088455</v>
      </c>
      <c r="V469" s="25" t="n">
        <v>0.654973030090332</v>
      </c>
      <c r="W469" s="25" t="n">
        <v>0.276294976472855</v>
      </c>
      <c r="X469" s="25" t="n">
        <v>11.2967624664307</v>
      </c>
      <c r="Y469" s="25" t="n">
        <v>473.178955078125</v>
      </c>
      <c r="Z469" s="25" t="n">
        <v>0.0776169076561928</v>
      </c>
      <c r="AA469" s="25" t="n">
        <v>9.53920841217041</v>
      </c>
      <c r="AB469" s="25" t="n">
        <v>7.39593553543091</v>
      </c>
      <c r="AC469" s="25" t="n">
        <v>0.07681655138731</v>
      </c>
      <c r="AD469" s="25" t="n">
        <v>0.0221852511167526</v>
      </c>
      <c r="AE469" s="25" t="n">
        <v>0.459055751562119</v>
      </c>
      <c r="AF469" s="25" t="n">
        <v>0.204694241285324</v>
      </c>
      <c r="AG469" s="25" t="n">
        <v>0.0591097101569176</v>
      </c>
      <c r="AH469" s="25" t="n">
        <v>1.07892990112305</v>
      </c>
      <c r="AI469" s="25" t="n">
        <v>11.7739477157593</v>
      </c>
      <c r="AJ469" s="6" t="n">
        <v>556</v>
      </c>
      <c r="AK469" s="6" t="n">
        <v>221.3</v>
      </c>
      <c r="AL469" s="26" t="s">
        <v>3053</v>
      </c>
    </row>
    <row r="470" customFormat="false" ht="15" hidden="false" customHeight="false" outlineLevel="0" collapsed="false">
      <c r="A470" s="6" t="s">
        <v>1848</v>
      </c>
      <c r="B470" s="6" t="s">
        <v>3757</v>
      </c>
      <c r="C470" s="6" t="s">
        <v>3007</v>
      </c>
      <c r="D470" s="13" t="n">
        <v>32.5922241210938</v>
      </c>
      <c r="E470" s="25" t="n">
        <v>10.5367088317871</v>
      </c>
      <c r="F470" s="25" t="n">
        <v>3.0258355140686</v>
      </c>
      <c r="G470" s="25" t="n">
        <v>14.2641019821167</v>
      </c>
      <c r="H470" s="25" t="n">
        <v>1.97854197025299</v>
      </c>
      <c r="I470" s="25" t="n">
        <v>0.291840642690659</v>
      </c>
      <c r="J470" s="25" t="n">
        <v>1.07876928710938</v>
      </c>
      <c r="K470" s="25" t="n">
        <v>0.427864685058594</v>
      </c>
      <c r="L470" s="25" t="n">
        <v>0.122659980773926</v>
      </c>
      <c r="M470" s="25" t="n">
        <v>4.23619222640991</v>
      </c>
      <c r="N470" s="25" t="n">
        <v>12088.2080078125</v>
      </c>
      <c r="O470" s="25" t="n">
        <v>415.551452636719</v>
      </c>
      <c r="P470" s="25" t="n">
        <v>56.2313117980957</v>
      </c>
      <c r="Q470" s="25" t="n">
        <v>98.097412109375</v>
      </c>
      <c r="R470" s="25" t="n">
        <v>50.7164344787598</v>
      </c>
      <c r="S470" s="25" t="n">
        <v>2.68085908889771</v>
      </c>
      <c r="T470" s="25" t="n">
        <v>0.421483486890793</v>
      </c>
      <c r="U470" s="25" t="n">
        <v>0.0812913477420807</v>
      </c>
      <c r="V470" s="25" t="n">
        <v>0.651030600070953</v>
      </c>
      <c r="W470" s="25" t="n">
        <v>0.446867018938065</v>
      </c>
      <c r="X470" s="25" t="n">
        <v>19.0529232025147</v>
      </c>
      <c r="Y470" s="25" t="n">
        <v>1919.31420898438</v>
      </c>
      <c r="Z470" s="25" t="n">
        <v>0.299832135438919</v>
      </c>
      <c r="AA470" s="25" t="n">
        <v>65.1179428100586</v>
      </c>
      <c r="AB470" s="25" t="n">
        <v>6.16357421875</v>
      </c>
      <c r="AC470" s="25" t="n">
        <v>0.0411924980580807</v>
      </c>
      <c r="AD470" s="25" t="n">
        <v>0.0245645474642515</v>
      </c>
      <c r="AE470" s="25" t="n">
        <v>0.130887612700462</v>
      </c>
      <c r="AF470" s="25" t="n">
        <v>0.0608641430735588</v>
      </c>
      <c r="AG470" s="25" t="n">
        <v>0.0357067286968231</v>
      </c>
      <c r="AH470" s="25" t="n">
        <v>0.892797231674194</v>
      </c>
      <c r="AI470" s="25" t="n">
        <v>30.0194282531738</v>
      </c>
      <c r="AJ470" s="6" t="n">
        <v>502.8</v>
      </c>
      <c r="AK470" s="6" t="n">
        <v>163.9</v>
      </c>
      <c r="AL470" s="26" t="s">
        <v>3053</v>
      </c>
    </row>
    <row r="471" customFormat="false" ht="15" hidden="false" customHeight="false" outlineLevel="0" collapsed="false">
      <c r="A471" s="6" t="s">
        <v>3758</v>
      </c>
      <c r="B471" s="6" t="s">
        <v>3759</v>
      </c>
      <c r="C471" s="6" t="s">
        <v>3007</v>
      </c>
      <c r="D471" s="13" t="n">
        <v>35.7097434997559</v>
      </c>
      <c r="E471" s="25" t="n">
        <v>8.2156343460083</v>
      </c>
      <c r="F471" s="25" t="n">
        <v>2.94835495948792</v>
      </c>
      <c r="G471" s="25" t="n">
        <v>11.6619701385498</v>
      </c>
      <c r="H471" s="25" t="n">
        <v>1.63704335689545</v>
      </c>
      <c r="I471" s="25" t="n">
        <v>1.63968682289124</v>
      </c>
      <c r="J471" s="25" t="n">
        <v>1.33549389648438</v>
      </c>
      <c r="K471" s="25" t="n">
        <v>0.55505908203125</v>
      </c>
      <c r="L471" s="25" t="n">
        <v>0.120255271911621</v>
      </c>
      <c r="M471" s="25" t="n">
        <v>3.86657619476318</v>
      </c>
      <c r="N471" s="25" t="n">
        <v>9202.267578125</v>
      </c>
      <c r="O471" s="25" t="n">
        <v>295.836181640625</v>
      </c>
      <c r="P471" s="25" t="n">
        <v>50.6925582885742</v>
      </c>
      <c r="Q471" s="25" t="n">
        <v>89.5105056762695</v>
      </c>
      <c r="R471" s="25" t="n">
        <v>30.0894031524658</v>
      </c>
      <c r="S471" s="25" t="n">
        <v>1.7353527545929</v>
      </c>
      <c r="T471" s="25" t="n">
        <v>0.334048092365265</v>
      </c>
      <c r="U471" s="25" t="n">
        <v>0.0565100982785225</v>
      </c>
      <c r="V471" s="25" t="n">
        <v>0.369094610214233</v>
      </c>
      <c r="W471" s="25" t="n">
        <v>0.2135239392519</v>
      </c>
      <c r="X471" s="25" t="n">
        <v>17.3905143737793</v>
      </c>
      <c r="Y471" s="25" t="n">
        <v>1100.41284179688</v>
      </c>
      <c r="Z471" s="25" t="n">
        <v>0.100862264633179</v>
      </c>
      <c r="AA471" s="25" t="n">
        <v>4.73961877822876</v>
      </c>
      <c r="AB471" s="25" t="n">
        <v>4.55094146728516</v>
      </c>
      <c r="AC471" s="25" t="n">
        <v>0.0171590652316809</v>
      </c>
      <c r="AD471" s="25" t="n">
        <v>0.0229952353984118</v>
      </c>
      <c r="AE471" s="25" t="n">
        <v>0.136419340968132</v>
      </c>
      <c r="AF471" s="25" t="n">
        <v>0.130099833011627</v>
      </c>
      <c r="AG471" s="25" t="n">
        <v>0.0315974578261375</v>
      </c>
      <c r="AH471" s="25" t="n">
        <v>0.714068531990051</v>
      </c>
      <c r="AI471" s="25" t="n">
        <v>7.17244148254395</v>
      </c>
      <c r="AJ471" s="6" t="n">
        <v>440.7</v>
      </c>
      <c r="AK471" s="6" t="n">
        <v>157.4</v>
      </c>
      <c r="AL471" s="26" t="s">
        <v>3053</v>
      </c>
    </row>
    <row r="472" customFormat="false" ht="15" hidden="false" customHeight="false" outlineLevel="0" collapsed="false">
      <c r="A472" s="6" t="s">
        <v>3760</v>
      </c>
      <c r="B472" s="6" t="s">
        <v>3761</v>
      </c>
      <c r="C472" s="6" t="s">
        <v>3007</v>
      </c>
      <c r="D472" s="13" t="n">
        <v>41.1319732666016</v>
      </c>
      <c r="E472" s="25" t="n">
        <v>12.3884992599487</v>
      </c>
      <c r="F472" s="25" t="n">
        <v>1.86842453479767</v>
      </c>
      <c r="G472" s="25" t="n">
        <v>17.0717334747315</v>
      </c>
      <c r="H472" s="25" t="n">
        <v>1.79538714885712</v>
      </c>
      <c r="I472" s="25" t="n">
        <v>0.836705327033997</v>
      </c>
      <c r="J472" s="25" t="n">
        <v>1.91177197265625</v>
      </c>
      <c r="K472" s="25" t="n">
        <v>0.807865417480469</v>
      </c>
      <c r="L472" s="25" t="n">
        <v>0.126499412536621</v>
      </c>
      <c r="M472" s="25" t="n">
        <v>9.56298923492432</v>
      </c>
      <c r="N472" s="25" t="n">
        <v>13695.34765625</v>
      </c>
      <c r="O472" s="25" t="n">
        <v>350.943634033203</v>
      </c>
      <c r="P472" s="25" t="n">
        <v>83.6464767456055</v>
      </c>
      <c r="Q472" s="25" t="n">
        <v>153.975051879883</v>
      </c>
      <c r="R472" s="25" t="n">
        <v>39.827938079834</v>
      </c>
      <c r="S472" s="25" t="n">
        <v>2.39649534225464</v>
      </c>
      <c r="T472" s="25" t="n">
        <v>0.545261204242706</v>
      </c>
      <c r="U472" s="25" t="n">
        <v>0.0542828887701035</v>
      </c>
      <c r="V472" s="25" t="n">
        <v>0.425422608852387</v>
      </c>
      <c r="W472" s="25" t="n">
        <v>0.252652645111084</v>
      </c>
      <c r="X472" s="25" t="n">
        <v>35.4374618530273</v>
      </c>
      <c r="Y472" s="25" t="n">
        <v>268.551605224609</v>
      </c>
      <c r="Z472" s="25" t="n">
        <v>0.0819058567285538</v>
      </c>
      <c r="AA472" s="25" t="n">
        <v>2.60588073730469</v>
      </c>
      <c r="AB472" s="25" t="n">
        <v>1.18896687030792</v>
      </c>
      <c r="AC472" s="25" t="n">
        <v>0.00991367641836405</v>
      </c>
      <c r="AD472" s="25" t="n">
        <v>0.0205579549074173</v>
      </c>
      <c r="AE472" s="25" t="n">
        <v>0.044116985052824</v>
      </c>
      <c r="AF472" s="25" t="n">
        <v>0.0760498195886612</v>
      </c>
      <c r="AG472" s="25" t="n">
        <v>0.0158146750181913</v>
      </c>
      <c r="AH472" s="25" t="n">
        <v>0.660698235034943</v>
      </c>
      <c r="AI472" s="25" t="n">
        <v>4.55612134933472</v>
      </c>
      <c r="AJ472" s="6" t="n">
        <v>444.8</v>
      </c>
      <c r="AK472" s="6" t="n">
        <v>183</v>
      </c>
      <c r="AL472" s="26" t="s">
        <v>3053</v>
      </c>
    </row>
    <row r="473" customFormat="false" ht="15" hidden="false" customHeight="false" outlineLevel="0" collapsed="false">
      <c r="A473" s="6" t="s">
        <v>1840</v>
      </c>
      <c r="B473" s="6" t="s">
        <v>1839</v>
      </c>
      <c r="C473" s="6" t="s">
        <v>3007</v>
      </c>
      <c r="D473" s="13" t="n">
        <v>54.4229583740234</v>
      </c>
      <c r="E473" s="25" t="n">
        <v>11.2649354934692</v>
      </c>
      <c r="F473" s="25" t="n">
        <v>8.23678493499756</v>
      </c>
      <c r="G473" s="25" t="n">
        <v>13.2767171859741</v>
      </c>
      <c r="H473" s="25" t="n">
        <v>2.59551668167114</v>
      </c>
      <c r="I473" s="25" t="n">
        <v>1.25943124294281</v>
      </c>
      <c r="J473" s="25" t="n">
        <v>0.781440795898438</v>
      </c>
      <c r="K473" s="25" t="n">
        <v>0.317779724121094</v>
      </c>
      <c r="L473" s="25" t="n">
        <v>0.115998741149902</v>
      </c>
      <c r="M473" s="25" t="n">
        <v>3.05297541618347</v>
      </c>
      <c r="N473" s="25" t="n">
        <v>11602.4951171875</v>
      </c>
      <c r="O473" s="25" t="n">
        <v>363.736267089844</v>
      </c>
      <c r="P473" s="25" t="n">
        <v>43.8864517211914</v>
      </c>
      <c r="Q473" s="25" t="n">
        <v>113.176696777344</v>
      </c>
      <c r="R473" s="25" t="n">
        <v>39.7514610290527</v>
      </c>
      <c r="S473" s="25" t="n">
        <v>2.65387272834778</v>
      </c>
      <c r="T473" s="25" t="n">
        <v>0.591772735118866</v>
      </c>
      <c r="U473" s="25" t="n">
        <v>0.121480338275433</v>
      </c>
      <c r="V473" s="25" t="n">
        <v>3.02486801147461</v>
      </c>
      <c r="W473" s="25" t="n">
        <v>0.338894635438919</v>
      </c>
      <c r="X473" s="25" t="n">
        <v>13.7312240600586</v>
      </c>
      <c r="Y473" s="25" t="n">
        <v>655.43212890625</v>
      </c>
      <c r="Z473" s="25" t="n">
        <v>0.0677531287074089</v>
      </c>
      <c r="AA473" s="25" t="n">
        <v>4.02190113067627</v>
      </c>
      <c r="AB473" s="25" t="n">
        <v>2.4005274772644</v>
      </c>
      <c r="AC473" s="25" t="n">
        <v>0.0355750508606434</v>
      </c>
      <c r="AD473" s="25" t="n">
        <v>0.0172715280205011</v>
      </c>
      <c r="AE473" s="25" t="n">
        <v>0.272890150547028</v>
      </c>
      <c r="AF473" s="25" t="n">
        <v>0.142902195453644</v>
      </c>
      <c r="AG473" s="25" t="n">
        <v>0.0363060422241688</v>
      </c>
      <c r="AH473" s="25" t="n">
        <v>0.452743381261826</v>
      </c>
      <c r="AI473" s="25" t="n">
        <v>7.99319171905518</v>
      </c>
      <c r="AJ473" s="6" t="n">
        <v>348.8</v>
      </c>
      <c r="AK473" s="6" t="n">
        <v>189.8</v>
      </c>
      <c r="AL473" s="26" t="s">
        <v>3053</v>
      </c>
    </row>
    <row r="474" customFormat="false" ht="15" hidden="false" customHeight="false" outlineLevel="0" collapsed="false">
      <c r="A474" s="6" t="s">
        <v>3762</v>
      </c>
      <c r="B474" s="6" t="s">
        <v>3763</v>
      </c>
      <c r="C474" s="6" t="s">
        <v>3007</v>
      </c>
      <c r="D474" s="13" t="n">
        <v>59.7665824890137</v>
      </c>
      <c r="E474" s="25" t="n">
        <v>8.27436923980713</v>
      </c>
      <c r="F474" s="25" t="n">
        <v>5.68757629394531</v>
      </c>
      <c r="G474" s="25" t="n">
        <v>12.3519382476807</v>
      </c>
      <c r="H474" s="25" t="n">
        <v>1.97852468490601</v>
      </c>
      <c r="I474" s="25" t="n">
        <v>1.76677763462067</v>
      </c>
      <c r="J474" s="25" t="n">
        <v>2.0962578125</v>
      </c>
      <c r="K474" s="25" t="n">
        <v>0.867067260742188</v>
      </c>
      <c r="L474" s="25" t="n">
        <v>0.178799530029297</v>
      </c>
      <c r="M474" s="25" t="n">
        <v>6.67024564743042</v>
      </c>
      <c r="N474" s="25" t="n">
        <v>8694.7939453125</v>
      </c>
      <c r="O474" s="25" t="n">
        <v>289.868469238281</v>
      </c>
      <c r="P474" s="25" t="n">
        <v>57.2412757873535</v>
      </c>
      <c r="Q474" s="25" t="n">
        <v>95.6249771118164</v>
      </c>
      <c r="R474" s="25" t="n">
        <v>29.9784393310547</v>
      </c>
      <c r="S474" s="25" t="n">
        <v>1.73028016090393</v>
      </c>
      <c r="T474" s="25" t="n">
        <v>0.383388817310333</v>
      </c>
      <c r="U474" s="25" t="n">
        <v>0.0640996471047401</v>
      </c>
      <c r="V474" s="25" t="n">
        <v>0.31162890791893</v>
      </c>
      <c r="W474" s="25" t="n">
        <v>0.243101045489311</v>
      </c>
      <c r="X474" s="25" t="n">
        <v>30.9373989105225</v>
      </c>
      <c r="Y474" s="25" t="n">
        <v>1711.40563964844</v>
      </c>
      <c r="Z474" s="25" t="n">
        <v>0.141028672456741</v>
      </c>
      <c r="AA474" s="25" t="n">
        <v>5.340491771698</v>
      </c>
      <c r="AB474" s="25" t="n">
        <v>2.29399752616882</v>
      </c>
      <c r="AC474" s="25" t="n">
        <v>0.0222141090780497</v>
      </c>
      <c r="AD474" s="25" t="n">
        <v>0.0339267700910568</v>
      </c>
      <c r="AE474" s="25" t="n">
        <v>0.143820464611054</v>
      </c>
      <c r="AF474" s="25" t="n">
        <v>0.159347146749497</v>
      </c>
      <c r="AG474" s="25" t="n">
        <v>0.0385482646524906</v>
      </c>
      <c r="AH474" s="25" t="n">
        <v>0.859722971916199</v>
      </c>
      <c r="AI474" s="25" t="n">
        <v>8.13720607757568</v>
      </c>
      <c r="AJ474" s="6" t="n">
        <v>465.7</v>
      </c>
      <c r="AK474" s="6" t="n">
        <v>278.3</v>
      </c>
      <c r="AL474" s="26" t="s">
        <v>3053</v>
      </c>
    </row>
    <row r="475" customFormat="false" ht="15" hidden="false" customHeight="false" outlineLevel="0" collapsed="false">
      <c r="A475" s="6" t="s">
        <v>3764</v>
      </c>
      <c r="B475" s="6" t="s">
        <v>3765</v>
      </c>
      <c r="C475" s="6" t="s">
        <v>3007</v>
      </c>
      <c r="D475" s="13" t="n">
        <v>56.142276763916</v>
      </c>
      <c r="E475" s="25" t="n">
        <v>8.96963024139404</v>
      </c>
      <c r="F475" s="25" t="n">
        <v>3.7204384803772</v>
      </c>
      <c r="G475" s="25" t="n">
        <v>12.7462930679321</v>
      </c>
      <c r="H475" s="25" t="n">
        <v>1.88755023479462</v>
      </c>
      <c r="I475" s="25" t="n">
        <v>1.59470307826996</v>
      </c>
      <c r="J475" s="25" t="n">
        <v>2.28200512695313</v>
      </c>
      <c r="K475" s="25" t="n">
        <v>0.951921142578125</v>
      </c>
      <c r="L475" s="25" t="n">
        <v>0.182281555175781</v>
      </c>
      <c r="M475" s="25" t="n">
        <v>7.66525554656982</v>
      </c>
      <c r="N475" s="25" t="n">
        <v>8792.4296875</v>
      </c>
      <c r="O475" s="25" t="n">
        <v>313.399017333984</v>
      </c>
      <c r="P475" s="25" t="n">
        <v>66.5496597290039</v>
      </c>
      <c r="Q475" s="25" t="n">
        <v>108.548728942871</v>
      </c>
      <c r="R475" s="25" t="n">
        <v>30.9320735931397</v>
      </c>
      <c r="S475" s="25" t="n">
        <v>1.81874525547028</v>
      </c>
      <c r="T475" s="25" t="n">
        <v>0.470476508140564</v>
      </c>
      <c r="U475" s="25" t="n">
        <v>0.0589341148734093</v>
      </c>
      <c r="V475" s="25" t="n">
        <v>0.478910237550736</v>
      </c>
      <c r="W475" s="25" t="n">
        <v>0.23770759999752</v>
      </c>
      <c r="X475" s="25" t="n">
        <v>34.2038421630859</v>
      </c>
      <c r="Y475" s="25" t="n">
        <v>202.413970947266</v>
      </c>
      <c r="Z475" s="25" t="n">
        <v>0.408813655376434</v>
      </c>
      <c r="AA475" s="25" t="n">
        <v>34.3249740600586</v>
      </c>
      <c r="AB475" s="25" t="n">
        <v>14.9584283828735</v>
      </c>
      <c r="AC475" s="25" t="n">
        <v>0.0385194830596447</v>
      </c>
      <c r="AD475" s="25" t="n">
        <v>0.0513361543416977</v>
      </c>
      <c r="AE475" s="25" t="n">
        <v>0.19270595908165</v>
      </c>
      <c r="AF475" s="25" t="n">
        <v>0.209486603736877</v>
      </c>
      <c r="AG475" s="25" t="n">
        <v>0.0384239666163921</v>
      </c>
      <c r="AH475" s="25" t="n">
        <v>1.37464451789856</v>
      </c>
      <c r="AI475" s="25" t="n">
        <v>20.5001411437988</v>
      </c>
      <c r="AJ475" s="6" t="n">
        <v>460.7</v>
      </c>
      <c r="AK475" s="6" t="n">
        <v>258.6</v>
      </c>
      <c r="AL475" s="26" t="s">
        <v>3053</v>
      </c>
    </row>
    <row r="476" customFormat="false" ht="15" hidden="false" customHeight="false" outlineLevel="0" collapsed="false">
      <c r="A476" s="6" t="s">
        <v>3766</v>
      </c>
      <c r="B476" s="6" t="s">
        <v>3767</v>
      </c>
      <c r="C476" s="6" t="s">
        <v>3007</v>
      </c>
      <c r="D476" s="13" t="n">
        <v>60.2033843994141</v>
      </c>
      <c r="E476" s="25" t="n">
        <v>8.10019969940186</v>
      </c>
      <c r="F476" s="25" t="n">
        <v>6.14279413223267</v>
      </c>
      <c r="G476" s="25" t="n">
        <v>12.049994468689</v>
      </c>
      <c r="H476" s="25" t="n">
        <v>1.5147693157196</v>
      </c>
      <c r="I476" s="25" t="n">
        <v>1.23956692218781</v>
      </c>
      <c r="J476" s="25" t="n">
        <v>2.04343884277344</v>
      </c>
      <c r="K476" s="25" t="n">
        <v>0.846388061523438</v>
      </c>
      <c r="L476" s="25" t="n">
        <v>0.152881317138672</v>
      </c>
      <c r="M476" s="25" t="n">
        <v>6.53001165390015</v>
      </c>
      <c r="N476" s="25" t="n">
        <v>8503.9912109375</v>
      </c>
      <c r="O476" s="25" t="n">
        <v>348.611907958984</v>
      </c>
      <c r="P476" s="25" t="n">
        <v>51.9669952392578</v>
      </c>
      <c r="Q476" s="25" t="n">
        <v>92.557487487793</v>
      </c>
      <c r="R476" s="25" t="n">
        <v>31.0330276489258</v>
      </c>
      <c r="S476" s="25" t="n">
        <v>1.69768738746643</v>
      </c>
      <c r="T476" s="25" t="n">
        <v>0.36944180727005</v>
      </c>
      <c r="U476" s="25" t="n">
        <v>0.0625417828559876</v>
      </c>
      <c r="V476" s="25" t="n">
        <v>0.400735825300217</v>
      </c>
      <c r="W476" s="25" t="n">
        <v>0.212130770087242</v>
      </c>
      <c r="X476" s="25" t="n">
        <v>30.2869758605957</v>
      </c>
      <c r="Y476" s="25" t="n">
        <v>141.042785644531</v>
      </c>
      <c r="Z476" s="25" t="n">
        <v>0.113465785980225</v>
      </c>
      <c r="AA476" s="25" t="n">
        <v>2.55608105659485</v>
      </c>
      <c r="AB476" s="25" t="n">
        <v>6.06664562225342</v>
      </c>
      <c r="AC476" s="25" t="n">
        <v>0.0240597072988749</v>
      </c>
      <c r="AD476" s="25" t="n">
        <v>0.029008723795414</v>
      </c>
      <c r="AE476" s="25" t="n">
        <v>0.269673079252243</v>
      </c>
      <c r="AF476" s="25" t="n">
        <v>0.173867344856262</v>
      </c>
      <c r="AG476" s="25" t="n">
        <v>0.0356354452669621</v>
      </c>
      <c r="AH476" s="25" t="n">
        <v>0.866666674613953</v>
      </c>
      <c r="AI476" s="25" t="n">
        <v>6.97863960266113</v>
      </c>
      <c r="AJ476" s="6" t="n">
        <v>475.6</v>
      </c>
      <c r="AK476" s="6" t="n">
        <v>286.4</v>
      </c>
      <c r="AL476" s="26" t="s">
        <v>3053</v>
      </c>
    </row>
    <row r="477" customFormat="false" ht="15" hidden="false" customHeight="false" outlineLevel="0" collapsed="false">
      <c r="A477" s="6" t="s">
        <v>3768</v>
      </c>
      <c r="B477" s="6" t="s">
        <v>3769</v>
      </c>
      <c r="C477" s="6" t="s">
        <v>3007</v>
      </c>
      <c r="D477" s="13" t="n">
        <v>78.6508026123047</v>
      </c>
      <c r="E477" s="25" t="n">
        <v>10.1305236816406</v>
      </c>
      <c r="F477" s="25" t="n">
        <v>3.6829035282135</v>
      </c>
      <c r="G477" s="25" t="n">
        <v>13.7987422943115</v>
      </c>
      <c r="H477" s="25" t="n">
        <v>0.905649900436401</v>
      </c>
      <c r="I477" s="25" t="n">
        <v>1.94489514827728</v>
      </c>
      <c r="J477" s="25" t="n">
        <v>2.57813696289063</v>
      </c>
      <c r="K477" s="25" t="n">
        <v>2.3710732421875</v>
      </c>
      <c r="L477" s="25" t="n">
        <v>0.616892028808594</v>
      </c>
      <c r="M477" s="25" t="n">
        <v>28.1760997772217</v>
      </c>
      <c r="N477" s="25" t="n">
        <v>8376.935546875</v>
      </c>
      <c r="O477" s="25" t="n">
        <v>282.292449951172</v>
      </c>
      <c r="P477" s="25" t="n">
        <v>114.954452514648</v>
      </c>
      <c r="Q477" s="25" t="n">
        <v>164.864608764648</v>
      </c>
      <c r="R477" s="25" t="n">
        <v>38.9303169250488</v>
      </c>
      <c r="S477" s="25" t="n">
        <v>2.83087015151978</v>
      </c>
      <c r="T477" s="25" t="n">
        <v>0.903039872646332</v>
      </c>
      <c r="U477" s="25" t="n">
        <v>0.107379451394081</v>
      </c>
      <c r="V477" s="25" t="n">
        <v>1.63002097606659</v>
      </c>
      <c r="W477" s="25" t="n">
        <v>0.253396242856979</v>
      </c>
      <c r="X477" s="25" t="n">
        <v>37.4842796325684</v>
      </c>
      <c r="Y477" s="25" t="n">
        <v>164.483551025391</v>
      </c>
      <c r="Z477" s="25" t="n">
        <v>1.00327038764954</v>
      </c>
      <c r="AA477" s="25" t="n">
        <v>2.47070240974426</v>
      </c>
      <c r="AB477" s="25" t="n">
        <v>1.60974848270416</v>
      </c>
      <c r="AC477" s="25" t="n">
        <v>0.0230293497443199</v>
      </c>
      <c r="AD477" s="25" t="n">
        <v>0.0564884692430496</v>
      </c>
      <c r="AE477" s="25" t="n">
        <v>0.193280920386314</v>
      </c>
      <c r="AF477" s="25" t="n">
        <v>0.231761008501053</v>
      </c>
      <c r="AG477" s="25" t="n">
        <v>0.0287526212632656</v>
      </c>
      <c r="AH477" s="25" t="n">
        <v>2.32937097549439</v>
      </c>
      <c r="AI477" s="25" t="n">
        <v>8.10596466064453</v>
      </c>
      <c r="AJ477" s="6" t="n">
        <v>477</v>
      </c>
      <c r="AK477" s="6" t="n">
        <v>375.2</v>
      </c>
      <c r="AL477" s="26" t="s">
        <v>3053</v>
      </c>
    </row>
    <row r="478" customFormat="false" ht="15" hidden="false" customHeight="false" outlineLevel="0" collapsed="false">
      <c r="A478" s="6" t="s">
        <v>3770</v>
      </c>
      <c r="B478" s="6" t="s">
        <v>3771</v>
      </c>
      <c r="C478" s="6" t="s">
        <v>3007</v>
      </c>
      <c r="D478" s="13" t="n">
        <v>11.8766794204712</v>
      </c>
      <c r="E478" s="25" t="n">
        <v>0.336496740579605</v>
      </c>
      <c r="F478" s="25" t="n">
        <v>1.75911116600037</v>
      </c>
      <c r="G478" s="25" t="n">
        <v>0.337045758962631</v>
      </c>
      <c r="H478" s="25" t="n">
        <v>0.730928122997284</v>
      </c>
      <c r="I478" s="25" t="n">
        <v>0.508784294128418</v>
      </c>
      <c r="J478" s="25" t="n">
        <v>0.187556076049805</v>
      </c>
      <c r="K478" s="25" t="n">
        <v>0.0735599975585938</v>
      </c>
      <c r="L478" s="25" t="n">
        <v>0.0468392143249512</v>
      </c>
      <c r="M478" s="25" t="n">
        <v>0.718954265117645</v>
      </c>
      <c r="N478" s="25" t="n">
        <v>207.890686035156</v>
      </c>
      <c r="O478" s="25" t="n">
        <v>64.9843139648438</v>
      </c>
      <c r="P478" s="25" t="n">
        <v>8.01908493041992</v>
      </c>
      <c r="Q478" s="25" t="n">
        <v>10.7129411697388</v>
      </c>
      <c r="R478" s="25" t="n">
        <v>7.37437868118286</v>
      </c>
      <c r="S478" s="25" t="n">
        <v>0.164588242769241</v>
      </c>
      <c r="T478" s="25" t="n">
        <v>0.0719477161765099</v>
      </c>
      <c r="U478" s="25" t="n">
        <v>0.0201045740395784</v>
      </c>
      <c r="V478" s="25" t="n">
        <v>0.0786013081669807</v>
      </c>
      <c r="W478" s="25" t="n">
        <v>0.0440522879362106</v>
      </c>
      <c r="X478" s="25" t="n">
        <v>3.80392169952393</v>
      </c>
      <c r="Y478" s="25" t="n">
        <v>57.8466682434082</v>
      </c>
      <c r="Z478" s="25" t="n">
        <v>0.0179999992251396</v>
      </c>
      <c r="AA478" s="25" t="n">
        <v>2.67320251464844</v>
      </c>
      <c r="AB478" s="25" t="n">
        <v>3.84888887405396</v>
      </c>
      <c r="AC478" s="25" t="n">
        <v>0.00935947708785534</v>
      </c>
      <c r="AD478" s="25" t="n">
        <v>0.00613071862608194</v>
      </c>
      <c r="AE478" s="25" t="n">
        <v>0.115620911121368</v>
      </c>
      <c r="AF478" s="25" t="n">
        <v>0.142352938652039</v>
      </c>
      <c r="AG478" s="25" t="n">
        <v>0.0228366013616324</v>
      </c>
      <c r="AH478" s="25" t="n">
        <v>0.990182995796204</v>
      </c>
      <c r="AI478" s="25" t="n">
        <v>6.49410486221314</v>
      </c>
      <c r="AJ478" s="6" t="n">
        <v>382.5</v>
      </c>
      <c r="AK478" s="6" t="n">
        <v>45.4</v>
      </c>
      <c r="AL478" s="26"/>
    </row>
    <row r="479" customFormat="false" ht="15" hidden="false" customHeight="false" outlineLevel="0" collapsed="false">
      <c r="A479" s="6" t="s">
        <v>3772</v>
      </c>
      <c r="B479" s="6" t="s">
        <v>3773</v>
      </c>
      <c r="C479" s="6" t="s">
        <v>3007</v>
      </c>
      <c r="D479" s="13" t="n">
        <v>16.9040069580078</v>
      </c>
      <c r="E479" s="25" t="n">
        <v>0.11340618878603</v>
      </c>
      <c r="F479" s="25" t="n">
        <v>0.591766834259033</v>
      </c>
      <c r="G479" s="25" t="n">
        <v>1.55708563327789</v>
      </c>
      <c r="H479" s="25" t="n">
        <v>0.16087432205677</v>
      </c>
      <c r="I479" s="25" t="n">
        <v>0.21992714703083</v>
      </c>
      <c r="J479" s="25" t="n">
        <v>0.963692138671875</v>
      </c>
      <c r="K479" s="25" t="n">
        <v>0.385515350341797</v>
      </c>
      <c r="L479" s="25" t="n">
        <v>0.0796976318359375</v>
      </c>
      <c r="M479" s="25" t="n">
        <v>3.8797812461853</v>
      </c>
      <c r="N479" s="25" t="n">
        <v>287.149475097656</v>
      </c>
      <c r="O479" s="25" t="n">
        <v>20.0346088409424</v>
      </c>
      <c r="P479" s="25" t="n">
        <v>4.19562816619873</v>
      </c>
      <c r="Q479" s="25" t="n">
        <v>2.26557374000549</v>
      </c>
      <c r="R479" s="25" t="n">
        <v>2.66703104972839</v>
      </c>
      <c r="S479" s="25" t="n">
        <v>0.100819677114487</v>
      </c>
      <c r="T479" s="25" t="n">
        <v>0.018652094528079</v>
      </c>
      <c r="U479" s="25" t="n">
        <v>0.00976320542395115</v>
      </c>
      <c r="V479" s="25" t="n">
        <v>0.10071038454771</v>
      </c>
      <c r="W479" s="25" t="n">
        <v>0.0257559195160866</v>
      </c>
      <c r="X479" s="25" t="n">
        <v>17.4499092102051</v>
      </c>
      <c r="Y479" s="25" t="n">
        <v>368.252624511719</v>
      </c>
      <c r="Z479" s="25" t="n">
        <v>0.0506557375192642</v>
      </c>
      <c r="AA479" s="25" t="n">
        <v>2.61821484565735</v>
      </c>
      <c r="AB479" s="25" t="n">
        <v>3.6773042678833</v>
      </c>
      <c r="AC479" s="25" t="n">
        <v>0.00389799638651311</v>
      </c>
      <c r="AD479" s="25" t="n">
        <v>0.00409836089238524</v>
      </c>
      <c r="AE479" s="25" t="n">
        <v>0.0309836063534021</v>
      </c>
      <c r="AF479" s="25" t="n">
        <v>0.0170491803437471</v>
      </c>
      <c r="AG479" s="25" t="n">
        <v>0.00628415308892727</v>
      </c>
      <c r="AH479" s="25" t="n">
        <v>0.170728594064713</v>
      </c>
      <c r="AI479" s="25" t="n">
        <v>2.05280518531799</v>
      </c>
      <c r="AJ479" s="6" t="n">
        <v>274.5</v>
      </c>
      <c r="AK479" s="6" t="n">
        <v>46.4</v>
      </c>
      <c r="AL479" s="26"/>
    </row>
    <row r="480" customFormat="false" ht="15" hidden="false" customHeight="false" outlineLevel="0" collapsed="false">
      <c r="A480" s="6" t="s">
        <v>1349</v>
      </c>
      <c r="B480" s="6" t="s">
        <v>3774</v>
      </c>
      <c r="C480" s="6" t="s">
        <v>3007</v>
      </c>
      <c r="D480" s="13" t="n">
        <v>127.54557800293</v>
      </c>
      <c r="E480" s="25" t="n">
        <v>7.19283962249756</v>
      </c>
      <c r="F480" s="25" t="n">
        <v>4.44175291061401</v>
      </c>
      <c r="G480" s="25" t="n">
        <v>8.91223526000977</v>
      </c>
      <c r="H480" s="25" t="n">
        <v>1.81765580177307</v>
      </c>
      <c r="I480" s="25" t="n">
        <v>1.43407905101776</v>
      </c>
      <c r="J480" s="25" t="n">
        <v>1.98835339355469</v>
      </c>
      <c r="K480" s="25" t="n">
        <v>3.0263291015625</v>
      </c>
      <c r="L480" s="25" t="n">
        <v>3.32822412109375</v>
      </c>
      <c r="M480" s="25" t="n">
        <v>32.3384742736816</v>
      </c>
      <c r="N480" s="25" t="n">
        <v>79.6158447265625</v>
      </c>
      <c r="O480" s="25" t="n">
        <v>270.586944580078</v>
      </c>
      <c r="P480" s="25" t="n">
        <v>31.5309009552002</v>
      </c>
      <c r="Q480" s="25" t="n">
        <v>85.8842239379883</v>
      </c>
      <c r="R480" s="25" t="n">
        <v>24.3829097747803</v>
      </c>
      <c r="S480" s="25" t="n">
        <v>0.900129675865173</v>
      </c>
      <c r="T480" s="25" t="n">
        <v>0.566234588623047</v>
      </c>
      <c r="U480" s="25" t="n">
        <v>0.0857255980372429</v>
      </c>
      <c r="V480" s="25" t="n">
        <v>4.96757984161377</v>
      </c>
      <c r="W480" s="25" t="n">
        <v>0.628181636333466</v>
      </c>
      <c r="X480" s="25" t="n">
        <v>18.190393447876</v>
      </c>
      <c r="Y480" s="25" t="n">
        <v>1520.17346191406</v>
      </c>
      <c r="Z480" s="25" t="n">
        <v>1.81028592586517</v>
      </c>
      <c r="AA480" s="25" t="n">
        <v>9.8497428894043</v>
      </c>
      <c r="AB480" s="25" t="n">
        <v>7.03810834884644</v>
      </c>
      <c r="AC480" s="25" t="n">
        <v>0.0501249730587006</v>
      </c>
      <c r="AD480" s="25" t="n">
        <v>0.0707933008670807</v>
      </c>
      <c r="AE480" s="25" t="n">
        <v>2.83753180503845</v>
      </c>
      <c r="AF480" s="25" t="n">
        <v>0.479903668165207</v>
      </c>
      <c r="AG480" s="25" t="n">
        <v>0.226608827710152</v>
      </c>
      <c r="AH480" s="25" t="n">
        <v>1.13417267799377</v>
      </c>
      <c r="AI480" s="25" t="n">
        <v>12.22971534729</v>
      </c>
      <c r="AJ480" s="6" t="n">
        <v>296.9</v>
      </c>
      <c r="AK480" s="6" t="n">
        <v>378.6</v>
      </c>
      <c r="AL480" s="26"/>
    </row>
    <row r="481" customFormat="false" ht="15" hidden="false" customHeight="false" outlineLevel="0" collapsed="false">
      <c r="A481" s="6" t="s">
        <v>3775</v>
      </c>
      <c r="B481" s="6" t="s">
        <v>3776</v>
      </c>
      <c r="C481" s="6" t="s">
        <v>3007</v>
      </c>
      <c r="D481" s="13" t="n">
        <v>145.545211791992</v>
      </c>
      <c r="E481" s="25" t="n">
        <v>6.98457479476929</v>
      </c>
      <c r="F481" s="25" t="n">
        <v>10.2152271270752</v>
      </c>
      <c r="G481" s="25" t="n">
        <v>8.40744018554688</v>
      </c>
      <c r="H481" s="25" t="n">
        <v>3.07856678962708</v>
      </c>
      <c r="I481" s="25" t="n">
        <v>4.85105419158936</v>
      </c>
      <c r="J481" s="25" t="n">
        <v>2.83666674804688</v>
      </c>
      <c r="K481" s="25" t="n">
        <v>2.03604907226563</v>
      </c>
      <c r="L481" s="25" t="n">
        <v>2.95973901367188</v>
      </c>
      <c r="M481" s="25" t="n">
        <v>0</v>
      </c>
      <c r="N481" s="25" t="n">
        <v>73.1527481079102</v>
      </c>
      <c r="O481" s="25" t="n">
        <v>272.769744873047</v>
      </c>
      <c r="P481" s="25" t="n">
        <v>160.506057739258</v>
      </c>
      <c r="Q481" s="25" t="n">
        <v>122.325805664063</v>
      </c>
      <c r="R481" s="25" t="n">
        <v>33.5168876647949</v>
      </c>
      <c r="S481" s="25" t="n">
        <v>1.36626064777374</v>
      </c>
      <c r="T481" s="25" t="n">
        <v>1.09850716590881</v>
      </c>
      <c r="U481" s="25" t="n">
        <v>0.135305672883987</v>
      </c>
      <c r="V481" s="25" t="n">
        <v>7.22779607772827</v>
      </c>
      <c r="W481" s="25" t="n">
        <v>0.872169196605682</v>
      </c>
      <c r="X481" s="25" t="n">
        <v>0</v>
      </c>
      <c r="Y481" s="25" t="n">
        <v>2117.27905273438</v>
      </c>
      <c r="Z481" s="25" t="n">
        <v>2.24985861778259</v>
      </c>
      <c r="AA481" s="25" t="n">
        <v>17.9455986022949</v>
      </c>
      <c r="AB481" s="25" t="n">
        <v>13.6845941543579</v>
      </c>
      <c r="AC481" s="25" t="n">
        <v>0.0767546221613884</v>
      </c>
      <c r="AD481" s="25" t="n">
        <v>0.0671945437788963</v>
      </c>
      <c r="AE481" s="25" t="n">
        <v>0.648271977901459</v>
      </c>
      <c r="AF481" s="25" t="n">
        <v>0.362088143825531</v>
      </c>
      <c r="AG481" s="25" t="n">
        <v>0.128223851323128</v>
      </c>
      <c r="AH481" s="25" t="n">
        <v>6.62961435317993</v>
      </c>
      <c r="AI481" s="25" t="n">
        <v>43.3682899475098</v>
      </c>
      <c r="AJ481" s="6" t="n">
        <v>236.9</v>
      </c>
      <c r="AK481" s="6" t="n">
        <v>344.7</v>
      </c>
      <c r="AL481" s="26"/>
    </row>
    <row r="482" customFormat="false" ht="15" hidden="false" customHeight="false" outlineLevel="0" collapsed="false">
      <c r="A482" s="6" t="s">
        <v>519</v>
      </c>
      <c r="B482" s="6" t="s">
        <v>3777</v>
      </c>
      <c r="C482" s="6" t="s">
        <v>3083</v>
      </c>
      <c r="D482" s="13" t="n">
        <v>191.27082824707</v>
      </c>
      <c r="E482" s="25" t="n">
        <v>4.3714017868042</v>
      </c>
      <c r="F482" s="25" t="n">
        <v>26.3702449798584</v>
      </c>
      <c r="G482" s="25" t="n">
        <v>7.26897144317627</v>
      </c>
      <c r="H482" s="25" t="n">
        <v>5.16229677200317</v>
      </c>
      <c r="I482" s="25" t="n">
        <v>2.71027565002441</v>
      </c>
      <c r="J482" s="25" t="n">
        <v>0.888728698730469</v>
      </c>
      <c r="K482" s="25" t="n">
        <v>1.43233630371094</v>
      </c>
      <c r="L482" s="25" t="n">
        <v>4.47218603515625</v>
      </c>
      <c r="M482" s="25" t="n">
        <v>0</v>
      </c>
      <c r="N482" s="25" t="n">
        <v>241.190902709961</v>
      </c>
      <c r="O482" s="25" t="n">
        <v>190.313888549805</v>
      </c>
      <c r="P482" s="25" t="n">
        <v>24.9075527191162</v>
      </c>
      <c r="Q482" s="25" t="n">
        <v>124.852424621582</v>
      </c>
      <c r="R482" s="25" t="n">
        <v>53.4157409667969</v>
      </c>
      <c r="S482" s="25" t="n">
        <v>1.80775237083435</v>
      </c>
      <c r="T482" s="25" t="n">
        <v>1.15405058860779</v>
      </c>
      <c r="U482" s="25" t="n">
        <v>0.219507738947868</v>
      </c>
      <c r="V482" s="25" t="n">
        <v>18.6636352539063</v>
      </c>
      <c r="W482" s="25" t="n">
        <v>1.165940284729</v>
      </c>
      <c r="X482" s="25" t="n">
        <v>0</v>
      </c>
      <c r="Y482" s="25" t="n">
        <v>311.212341308594</v>
      </c>
      <c r="Z482" s="25" t="n">
        <v>3.33877182006836</v>
      </c>
      <c r="AA482" s="25" t="n">
        <v>5.75043535232544</v>
      </c>
      <c r="AB482" s="25" t="n">
        <v>3.98563289642334</v>
      </c>
      <c r="AC482" s="25" t="n">
        <v>0.165032044053078</v>
      </c>
      <c r="AD482" s="25" t="n">
        <v>0.0609404817223549</v>
      </c>
      <c r="AE482" s="25" t="n">
        <v>1.00204014778137</v>
      </c>
      <c r="AF482" s="25" t="n">
        <v>0.419489860534668</v>
      </c>
      <c r="AG482" s="25" t="n">
        <v>0.133461520075798</v>
      </c>
      <c r="AH482" s="25" t="n">
        <v>1.22483587265015</v>
      </c>
      <c r="AI482" s="25" t="n">
        <v>21.1568489074707</v>
      </c>
      <c r="AJ482" s="6" t="n">
        <v>76.4</v>
      </c>
      <c r="AK482" s="6" t="n">
        <v>146.2</v>
      </c>
      <c r="AL482" s="26"/>
    </row>
    <row r="483" customFormat="false" ht="15" hidden="false" customHeight="false" outlineLevel="0" collapsed="false">
      <c r="A483" s="6" t="s">
        <v>514</v>
      </c>
      <c r="B483" s="6" t="s">
        <v>3778</v>
      </c>
      <c r="C483" s="6" t="s">
        <v>3083</v>
      </c>
      <c r="D483" s="13" t="n">
        <v>148.362289428711</v>
      </c>
      <c r="E483" s="25" t="n">
        <v>4.27120447158814</v>
      </c>
      <c r="F483" s="25" t="n">
        <v>22.1911029815674</v>
      </c>
      <c r="G483" s="25" t="n">
        <v>4.34499645233154</v>
      </c>
      <c r="H483" s="25" t="n">
        <v>5.089674949646</v>
      </c>
      <c r="I483" s="25" t="n">
        <v>2.43861651420593</v>
      </c>
      <c r="J483" s="25" t="n">
        <v>0.5587900390625</v>
      </c>
      <c r="K483" s="25" t="n">
        <v>0.809691040039063</v>
      </c>
      <c r="L483" s="25" t="n">
        <v>2.65525170898438</v>
      </c>
      <c r="M483" s="25" t="n">
        <v>0</v>
      </c>
      <c r="N483" s="25" t="n">
        <v>48.357666015625</v>
      </c>
      <c r="O483" s="25" t="n">
        <v>193.916702270508</v>
      </c>
      <c r="P483" s="25" t="n">
        <v>65.8505020141602</v>
      </c>
      <c r="Q483" s="25" t="n">
        <v>112.691581726074</v>
      </c>
      <c r="R483" s="25" t="n">
        <v>54.869068145752</v>
      </c>
      <c r="S483" s="25" t="n">
        <v>2.4177565574646</v>
      </c>
      <c r="T483" s="25" t="n">
        <v>1.04490327835083</v>
      </c>
      <c r="U483" s="25" t="n">
        <v>0.210059940814972</v>
      </c>
      <c r="V483" s="25" t="n">
        <v>15.8708276748657</v>
      </c>
      <c r="W483" s="25" t="n">
        <v>1.1688380241394</v>
      </c>
      <c r="X483" s="25" t="n">
        <v>0</v>
      </c>
      <c r="Y483" s="25" t="n">
        <v>2462.54809570313</v>
      </c>
      <c r="Z483" s="25" t="n">
        <v>1.96461522579193</v>
      </c>
      <c r="AA483" s="25" t="n">
        <v>80.9043426513672</v>
      </c>
      <c r="AB483" s="25" t="n">
        <v>13.8459119796753</v>
      </c>
      <c r="AC483" s="25" t="n">
        <v>0.156437367200851</v>
      </c>
      <c r="AD483" s="25" t="n">
        <v>0.089061364531517</v>
      </c>
      <c r="AE483" s="25" t="n">
        <v>0.938863635063171</v>
      </c>
      <c r="AF483" s="25" t="n">
        <v>0.438731670379639</v>
      </c>
      <c r="AG483" s="25" t="n">
        <v>0.178853034973145</v>
      </c>
      <c r="AH483" s="25" t="n">
        <v>1.89351916313171</v>
      </c>
      <c r="AI483" s="25" t="n">
        <v>31.2025108337402</v>
      </c>
      <c r="AJ483" s="6" t="n">
        <v>91.2</v>
      </c>
      <c r="AK483" s="6" t="n">
        <v>135.3</v>
      </c>
      <c r="AL483" s="26"/>
    </row>
    <row r="484" customFormat="false" ht="15" hidden="false" customHeight="false" outlineLevel="0" collapsed="false">
      <c r="A484" s="6" t="s">
        <v>3779</v>
      </c>
      <c r="B484" s="6" t="s">
        <v>3780</v>
      </c>
      <c r="C484" s="6" t="s">
        <v>3099</v>
      </c>
      <c r="D484" s="13" t="n">
        <v>598.79443359375</v>
      </c>
      <c r="E484" s="25" t="n">
        <v>2.35281181335449</v>
      </c>
      <c r="F484" s="25" t="n">
        <v>13.8523225784302</v>
      </c>
      <c r="G484" s="25" t="n">
        <v>59.1374053955078</v>
      </c>
      <c r="H484" s="25" t="n">
        <v>1.87114918231964</v>
      </c>
      <c r="I484" s="25" t="n">
        <v>0.414669930934906</v>
      </c>
      <c r="J484" s="25" t="n">
        <v>7.22885595703125</v>
      </c>
      <c r="K484" s="25" t="n">
        <v>12.1127529296875</v>
      </c>
      <c r="L484" s="25" t="n">
        <v>37.2882890625</v>
      </c>
      <c r="M484" s="25" t="n">
        <v>0.60146701335907</v>
      </c>
      <c r="N484" s="25" t="n">
        <v>49.7107582092285</v>
      </c>
      <c r="O484" s="25" t="n">
        <v>98.5440139770508</v>
      </c>
      <c r="P484" s="25" t="n">
        <v>30.8303184509277</v>
      </c>
      <c r="Q484" s="25" t="n">
        <v>46.1564788818359</v>
      </c>
      <c r="R484" s="25" t="n">
        <v>21.2374076843262</v>
      </c>
      <c r="S484" s="25" t="n">
        <v>0.95831298828125</v>
      </c>
      <c r="T484" s="25" t="n">
        <v>0.484718829393387</v>
      </c>
      <c r="U484" s="25" t="n">
        <v>0.0817603915929794</v>
      </c>
      <c r="V484" s="25" t="n">
        <v>5.36625909805298</v>
      </c>
      <c r="W484" s="25" t="n">
        <v>0.546210289001465</v>
      </c>
      <c r="X484" s="25" t="n">
        <v>2.25427889823914</v>
      </c>
      <c r="Y484" s="25" t="n">
        <v>482.819061279297</v>
      </c>
      <c r="Z484" s="25" t="n">
        <v>28.9571151733398</v>
      </c>
      <c r="AA484" s="25" t="n">
        <v>31.3251838684082</v>
      </c>
      <c r="AB484" s="25" t="n">
        <v>5.01589250564575</v>
      </c>
      <c r="AC484" s="25" t="n">
        <v>0.0630806833505631</v>
      </c>
      <c r="AD484" s="25" t="n">
        <v>0.0828850865364075</v>
      </c>
      <c r="AE484" s="25" t="n">
        <v>0.373105138540268</v>
      </c>
      <c r="AF484" s="25" t="n">
        <v>0.205623462796211</v>
      </c>
      <c r="AG484" s="25" t="n">
        <v>0.0530562363564968</v>
      </c>
      <c r="AH484" s="25" t="n">
        <v>0.283863067626953</v>
      </c>
      <c r="AI484" s="25" t="n">
        <v>9.64865493774414</v>
      </c>
      <c r="AJ484" s="6" t="n">
        <v>90.9</v>
      </c>
      <c r="AK484" s="6" t="n">
        <v>544.2</v>
      </c>
      <c r="AL484" s="26" t="s">
        <v>3100</v>
      </c>
    </row>
    <row r="485" customFormat="false" ht="15" hidden="false" customHeight="false" outlineLevel="0" collapsed="false">
      <c r="A485" s="6" t="s">
        <v>3781</v>
      </c>
      <c r="B485" s="6" t="s">
        <v>3782</v>
      </c>
      <c r="C485" s="6" t="s">
        <v>3099</v>
      </c>
      <c r="D485" s="13" t="n">
        <v>697.664916992188</v>
      </c>
      <c r="E485" s="25" t="n">
        <v>2.58672571182251</v>
      </c>
      <c r="F485" s="25" t="n">
        <v>10.934513092041</v>
      </c>
      <c r="G485" s="25" t="n">
        <v>71.5126800537109</v>
      </c>
      <c r="H485" s="25" t="n">
        <v>1.93628323078156</v>
      </c>
      <c r="I485" s="25" t="n">
        <v>0.348082602024078</v>
      </c>
      <c r="J485" s="25" t="n">
        <v>8.7282001953125</v>
      </c>
      <c r="K485" s="25" t="n">
        <v>14.66625390625</v>
      </c>
      <c r="L485" s="25" t="n">
        <v>45.08035546875</v>
      </c>
      <c r="M485" s="25" t="n">
        <v>0.725663721561432</v>
      </c>
      <c r="N485" s="25" t="n">
        <v>58.3262519836426</v>
      </c>
      <c r="O485" s="25" t="n">
        <v>54.3495597839356</v>
      </c>
      <c r="P485" s="25" t="n">
        <v>7.09026575088501</v>
      </c>
      <c r="Q485" s="25" t="n">
        <v>50.1489677429199</v>
      </c>
      <c r="R485" s="25" t="n">
        <v>18.5191745758057</v>
      </c>
      <c r="S485" s="25" t="n">
        <v>0.710177004337311</v>
      </c>
      <c r="T485" s="25" t="n">
        <v>0.424926251173019</v>
      </c>
      <c r="U485" s="25" t="n">
        <v>0.0797640159726143</v>
      </c>
      <c r="V485" s="25" t="n">
        <v>6.50383472442627</v>
      </c>
      <c r="W485" s="25" t="n">
        <v>0.448377579450607</v>
      </c>
      <c r="X485" s="25" t="n">
        <v>2.71976399421692</v>
      </c>
      <c r="Y485" s="25" t="n">
        <v>40.8938064575195</v>
      </c>
      <c r="Z485" s="25" t="n">
        <v>35.0435409545898</v>
      </c>
      <c r="AA485" s="25" t="n">
        <v>5.16342163085938</v>
      </c>
      <c r="AB485" s="25" t="n">
        <v>0</v>
      </c>
      <c r="AC485" s="25" t="n">
        <v>0.0761061981320381</v>
      </c>
      <c r="AD485" s="25" t="n">
        <v>0.0277286134660244</v>
      </c>
      <c r="AE485" s="25" t="n">
        <v>0.391740411520004</v>
      </c>
      <c r="AF485" s="25" t="n">
        <v>0.175811201334</v>
      </c>
      <c r="AG485" s="25" t="n">
        <v>0.0560471974313259</v>
      </c>
      <c r="AH485" s="25" t="n">
        <v>0.585250735282898</v>
      </c>
      <c r="AI485" s="25" t="n">
        <v>14.8342180252075</v>
      </c>
      <c r="AJ485" s="6" t="n">
        <v>75.3</v>
      </c>
      <c r="AK485" s="6" t="n">
        <v>525.6</v>
      </c>
      <c r="AL485" s="26" t="s">
        <v>3100</v>
      </c>
    </row>
    <row r="486" customFormat="false" ht="15" hidden="false" customHeight="false" outlineLevel="0" collapsed="false">
      <c r="A486" s="6" t="s">
        <v>3783</v>
      </c>
      <c r="B486" s="6" t="s">
        <v>3784</v>
      </c>
      <c r="C486" s="6" t="s">
        <v>3099</v>
      </c>
      <c r="D486" s="13" t="n">
        <v>527.657592773438</v>
      </c>
      <c r="E486" s="25" t="n">
        <v>1.91288864612579</v>
      </c>
      <c r="F486" s="25" t="n">
        <v>12.2886438369751</v>
      </c>
      <c r="G486" s="25" t="n">
        <v>52.177677154541</v>
      </c>
      <c r="H486" s="25" t="n">
        <v>1.39799225330353</v>
      </c>
      <c r="I486" s="25" t="n">
        <v>0.54479706287384</v>
      </c>
      <c r="J486" s="25" t="n">
        <v>6.37172119140625</v>
      </c>
      <c r="K486" s="25" t="n">
        <v>10.6956708984375</v>
      </c>
      <c r="L486" s="25" t="n">
        <v>32.90493359375</v>
      </c>
      <c r="M486" s="25" t="n">
        <v>0.53108811378479</v>
      </c>
      <c r="N486" s="25" t="n">
        <v>46.4814338684082</v>
      </c>
      <c r="O486" s="25" t="n">
        <v>56.2489204406738</v>
      </c>
      <c r="P486" s="25" t="n">
        <v>5.37910223007202</v>
      </c>
      <c r="Q486" s="25" t="n">
        <v>38.6631050109863</v>
      </c>
      <c r="R486" s="25" t="n">
        <v>15.3191928863525</v>
      </c>
      <c r="S486" s="25" t="n">
        <v>0.600064754486084</v>
      </c>
      <c r="T486" s="25" t="n">
        <v>0.33840674161911</v>
      </c>
      <c r="U486" s="25" t="n">
        <v>0.0678756460547447</v>
      </c>
      <c r="V486" s="25" t="n">
        <v>4.60071229934692</v>
      </c>
      <c r="W486" s="25" t="n">
        <v>0.342508643865585</v>
      </c>
      <c r="X486" s="25" t="n">
        <v>1.99050092697144</v>
      </c>
      <c r="Y486" s="25" t="n">
        <v>52.5582885742188</v>
      </c>
      <c r="Z486" s="25" t="n">
        <v>25.5466537475586</v>
      </c>
      <c r="AA486" s="25" t="n">
        <v>3.64097571372986</v>
      </c>
      <c r="AB486" s="25" t="n">
        <v>0.283894658088684</v>
      </c>
      <c r="AC486" s="25" t="n">
        <v>0.0497625209391117</v>
      </c>
      <c r="AD486" s="25" t="n">
        <v>0.0186744388192892</v>
      </c>
      <c r="AE486" s="25" t="n">
        <v>0.282491356134415</v>
      </c>
      <c r="AF486" s="25" t="n">
        <v>0.151338517665863</v>
      </c>
      <c r="AG486" s="25" t="n">
        <v>0.0322754755616188</v>
      </c>
      <c r="AH486" s="25" t="n">
        <v>0.253886014223099</v>
      </c>
      <c r="AI486" s="25" t="n">
        <v>9.18188667297363</v>
      </c>
      <c r="AJ486" s="6" t="n">
        <v>102.9</v>
      </c>
      <c r="AK486" s="6" t="n">
        <v>543.1</v>
      </c>
      <c r="AL486" s="26" t="s">
        <v>3100</v>
      </c>
    </row>
    <row r="487" customFormat="false" ht="15" hidden="false" customHeight="false" outlineLevel="0" collapsed="false">
      <c r="A487" s="6" t="s">
        <v>3785</v>
      </c>
      <c r="B487" s="6" t="s">
        <v>3786</v>
      </c>
      <c r="C487" s="6" t="s">
        <v>3099</v>
      </c>
      <c r="D487" s="13" t="n">
        <v>592.831359863281</v>
      </c>
      <c r="E487" s="25" t="n">
        <v>3.03651547431946</v>
      </c>
      <c r="F487" s="25" t="n">
        <v>14.9174222946167</v>
      </c>
      <c r="G487" s="25" t="n">
        <v>57.6921234130859</v>
      </c>
      <c r="H487" s="25" t="n">
        <v>2.2529833316803</v>
      </c>
      <c r="I487" s="25" t="n">
        <v>0.481622934341431</v>
      </c>
      <c r="J487" s="25" t="n">
        <v>7.04473193359375</v>
      </c>
      <c r="K487" s="25" t="n">
        <v>11.826755859375</v>
      </c>
      <c r="L487" s="25" t="n">
        <v>36.3802734375</v>
      </c>
      <c r="M487" s="25" t="n">
        <v>0.587112188339233</v>
      </c>
      <c r="N487" s="25" t="n">
        <v>47.7656326293945</v>
      </c>
      <c r="O487" s="25" t="n">
        <v>79.5811462402344</v>
      </c>
      <c r="P487" s="25" t="n">
        <v>8.95942687988281</v>
      </c>
      <c r="Q487" s="25" t="n">
        <v>48.5859184265137</v>
      </c>
      <c r="R487" s="25" t="n">
        <v>20.6973743438721</v>
      </c>
      <c r="S487" s="25" t="n">
        <v>0.844272077083588</v>
      </c>
      <c r="T487" s="25" t="n">
        <v>0.512291133403778</v>
      </c>
      <c r="U487" s="25" t="n">
        <v>0.0993794724345207</v>
      </c>
      <c r="V487" s="25" t="n">
        <v>5.30453443527222</v>
      </c>
      <c r="W487" s="25" t="n">
        <v>0.410501211881638</v>
      </c>
      <c r="X487" s="25" t="n">
        <v>2.20047736167908</v>
      </c>
      <c r="Y487" s="25" t="n">
        <v>241.486862182617</v>
      </c>
      <c r="Z487" s="25" t="n">
        <v>28.2662525177002</v>
      </c>
      <c r="AA487" s="25" t="n">
        <v>10.1794748306274</v>
      </c>
      <c r="AB487" s="25" t="n">
        <v>5.49880695343018</v>
      </c>
      <c r="AC487" s="25" t="n">
        <v>0.0930787548422813</v>
      </c>
      <c r="AD487" s="25" t="n">
        <v>0.0243436750024557</v>
      </c>
      <c r="AE487" s="25" t="n">
        <v>0.483054906129837</v>
      </c>
      <c r="AF487" s="25" t="n">
        <v>0.249164670705795</v>
      </c>
      <c r="AG487" s="25" t="n">
        <v>0.0587112195789814</v>
      </c>
      <c r="AH487" s="25" t="n">
        <v>0.706443905830383</v>
      </c>
      <c r="AI487" s="25" t="n">
        <v>12.1837711334229</v>
      </c>
      <c r="AJ487" s="6" t="n">
        <v>83.8</v>
      </c>
      <c r="AK487" s="6" t="n">
        <v>496.8</v>
      </c>
      <c r="AL487" s="26" t="s">
        <v>3100</v>
      </c>
    </row>
    <row r="488" customFormat="false" ht="15" hidden="false" customHeight="false" outlineLevel="0" collapsed="false">
      <c r="A488" s="6" t="s">
        <v>611</v>
      </c>
      <c r="B488" s="6" t="s">
        <v>3787</v>
      </c>
      <c r="C488" s="6" t="s">
        <v>3508</v>
      </c>
      <c r="D488" s="13" t="n">
        <v>584.683349609375</v>
      </c>
      <c r="E488" s="25" t="n">
        <v>3.21304321289063</v>
      </c>
      <c r="F488" s="25" t="n">
        <v>13.2476720809937</v>
      </c>
      <c r="G488" s="25" t="n">
        <v>57.5055084228516</v>
      </c>
      <c r="H488" s="25" t="n">
        <v>2.03105187416077</v>
      </c>
      <c r="I488" s="25" t="n">
        <v>0.49635711312294</v>
      </c>
      <c r="J488" s="25" t="n">
        <v>6.90543408203125</v>
      </c>
      <c r="K488" s="25" t="n">
        <v>11.8170478515625</v>
      </c>
      <c r="L488" s="25" t="n">
        <v>36.3717109375</v>
      </c>
      <c r="M488" s="25" t="n">
        <v>0</v>
      </c>
      <c r="N488" s="25" t="n">
        <v>55.4510231018066</v>
      </c>
      <c r="O488" s="25" t="n">
        <v>91.6307601928711</v>
      </c>
      <c r="P488" s="25" t="n">
        <v>14.2507562637329</v>
      </c>
      <c r="Q488" s="25" t="n">
        <v>30.8029022216797</v>
      </c>
      <c r="R488" s="25" t="n">
        <v>16.1317920684815</v>
      </c>
      <c r="S488" s="25" t="n">
        <v>0.773482978343964</v>
      </c>
      <c r="T488" s="25" t="n">
        <v>0.397941589355469</v>
      </c>
      <c r="U488" s="25" t="n">
        <v>0.0883509442210197</v>
      </c>
      <c r="V488" s="25" t="n">
        <v>0.399281859397888</v>
      </c>
      <c r="W488" s="25" t="n">
        <v>0.262575536966324</v>
      </c>
      <c r="X488" s="25" t="n">
        <v>0</v>
      </c>
      <c r="Y488" s="25" t="n">
        <v>346.378356933594</v>
      </c>
      <c r="Z488" s="25" t="n">
        <v>28.2853584289551</v>
      </c>
      <c r="AA488" s="25" t="n">
        <v>14.4539155960083</v>
      </c>
      <c r="AB488" s="25" t="n">
        <v>9.35286998748779</v>
      </c>
      <c r="AC488" s="25" t="n">
        <v>0.0859054327011108</v>
      </c>
      <c r="AD488" s="25" t="n">
        <v>0.017493536695838</v>
      </c>
      <c r="AE488" s="25" t="n">
        <v>0.437890559434891</v>
      </c>
      <c r="AF488" s="25" t="n">
        <v>0.261453747749329</v>
      </c>
      <c r="AG488" s="25" t="n">
        <v>0.0585243478417397</v>
      </c>
      <c r="AH488" s="25" t="n">
        <v>1.0340234041214</v>
      </c>
      <c r="AI488" s="25" t="n">
        <v>15.1917514801025</v>
      </c>
      <c r="AJ488" s="6" t="n">
        <v>108.1</v>
      </c>
      <c r="AK488" s="6" t="n">
        <v>632.2</v>
      </c>
      <c r="AL488" s="26" t="s">
        <v>3100</v>
      </c>
    </row>
    <row r="489" customFormat="false" ht="15" hidden="false" customHeight="false" outlineLevel="0" collapsed="false">
      <c r="A489" s="6" t="s">
        <v>3788</v>
      </c>
      <c r="B489" s="6" t="s">
        <v>3789</v>
      </c>
      <c r="C489" s="6" t="s">
        <v>3482</v>
      </c>
      <c r="D489" s="13" t="n">
        <v>146.772705078125</v>
      </c>
      <c r="E489" s="25" t="n">
        <v>6.84874868392944</v>
      </c>
      <c r="F489" s="25" t="n">
        <v>9.94283485412598</v>
      </c>
      <c r="G489" s="25" t="n">
        <v>8.72381782531738</v>
      </c>
      <c r="H489" s="25" t="n">
        <v>1.70658349990845</v>
      </c>
      <c r="I489" s="25" t="n">
        <v>1.37962293624878</v>
      </c>
      <c r="J489" s="25" t="n">
        <v>3.24566918945313</v>
      </c>
      <c r="K489" s="25" t="n">
        <v>2.71049462890625</v>
      </c>
      <c r="L489" s="25" t="n">
        <v>2.330947265625</v>
      </c>
      <c r="M489" s="25" t="n">
        <v>18.6515083312988</v>
      </c>
      <c r="N489" s="25" t="n">
        <v>225.017471313477</v>
      </c>
      <c r="O489" s="25" t="n">
        <v>193.905899047852</v>
      </c>
      <c r="P489" s="25" t="n">
        <v>77.2310943603516</v>
      </c>
      <c r="Q489" s="25" t="n">
        <v>95.6923065185547</v>
      </c>
      <c r="R489" s="25" t="n">
        <v>18.2387275695801</v>
      </c>
      <c r="S489" s="25" t="n">
        <v>0.66467148065567</v>
      </c>
      <c r="T489" s="25" t="n">
        <v>0.708499133586884</v>
      </c>
      <c r="U489" s="25" t="n">
        <v>0.0688452571630478</v>
      </c>
      <c r="V489" s="25" t="n">
        <v>0.750647485256195</v>
      </c>
      <c r="W489" s="25" t="n">
        <v>0.1782236546278</v>
      </c>
      <c r="X489" s="25" t="n">
        <v>21.6956214904785</v>
      </c>
      <c r="Y489" s="25" t="n">
        <v>1498.74633789063</v>
      </c>
      <c r="Z489" s="25" t="n">
        <v>1.39015114307404</v>
      </c>
      <c r="AA489" s="25" t="n">
        <v>13.9615535736084</v>
      </c>
      <c r="AB489" s="25" t="n">
        <v>14.4286184310913</v>
      </c>
      <c r="AC489" s="25" t="n">
        <v>0.0665668770670891</v>
      </c>
      <c r="AD489" s="25" t="n">
        <v>0.138301178812981</v>
      </c>
      <c r="AE489" s="25" t="n">
        <v>1.33440697193146</v>
      </c>
      <c r="AF489" s="25" t="n">
        <v>0.423884510993958</v>
      </c>
      <c r="AG489" s="25" t="n">
        <v>0.119910359382629</v>
      </c>
      <c r="AH489" s="25" t="n">
        <v>3.2435290813446</v>
      </c>
      <c r="AI489" s="25" t="n">
        <v>29.4598293304443</v>
      </c>
      <c r="AJ489" s="6" t="n">
        <v>297.3</v>
      </c>
      <c r="AK489" s="6" t="n">
        <v>436.3</v>
      </c>
      <c r="AL489" s="26"/>
    </row>
    <row r="490" customFormat="false" ht="15" hidden="false" customHeight="false" outlineLevel="0" collapsed="false">
      <c r="A490" s="6" t="s">
        <v>3790</v>
      </c>
      <c r="B490" s="6" t="s">
        <v>3791</v>
      </c>
      <c r="C490" s="6" t="s">
        <v>3035</v>
      </c>
      <c r="D490" s="13" t="n">
        <v>157.669143676758</v>
      </c>
      <c r="E490" s="25" t="n">
        <v>6.8204197883606</v>
      </c>
      <c r="F490" s="25" t="n">
        <v>8.46884155273438</v>
      </c>
      <c r="G490" s="25" t="n">
        <v>10.6020889282227</v>
      </c>
      <c r="H490" s="25" t="n">
        <v>1.58651781082153</v>
      </c>
      <c r="I490" s="25" t="n">
        <v>1.22905600070953</v>
      </c>
      <c r="J490" s="25" t="n">
        <v>5.524994140625</v>
      </c>
      <c r="K490" s="25" t="n">
        <v>3.332134765625</v>
      </c>
      <c r="L490" s="25" t="n">
        <v>0.871865661621094</v>
      </c>
      <c r="M490" s="25" t="n">
        <v>39.2280044555664</v>
      </c>
      <c r="N490" s="25" t="n">
        <v>344.234954833984</v>
      </c>
      <c r="O490" s="25" t="n">
        <v>210.33268737793</v>
      </c>
      <c r="P490" s="25" t="n">
        <v>44.7362213134766</v>
      </c>
      <c r="Q490" s="25" t="n">
        <v>91.4232559204102</v>
      </c>
      <c r="R490" s="25" t="n">
        <v>15.7279777526856</v>
      </c>
      <c r="S490" s="25" t="n">
        <v>0.542732954025269</v>
      </c>
      <c r="T490" s="25" t="n">
        <v>0.619495749473572</v>
      </c>
      <c r="U490" s="25" t="n">
        <v>0.0684003159403801</v>
      </c>
      <c r="V490" s="25" t="n">
        <v>3.33174347877502</v>
      </c>
      <c r="W490" s="25" t="n">
        <v>0.11204082518816</v>
      </c>
      <c r="X490" s="25" t="n">
        <v>78.0472412109375</v>
      </c>
      <c r="Y490" s="25" t="n">
        <v>111.805000305176</v>
      </c>
      <c r="Z490" s="25" t="n">
        <v>0.243628978729248</v>
      </c>
      <c r="AA490" s="25" t="n">
        <v>11.5433320999146</v>
      </c>
      <c r="AB490" s="25" t="n">
        <v>1.57526540756226</v>
      </c>
      <c r="AC490" s="25" t="n">
        <v>0.177952870726585</v>
      </c>
      <c r="AD490" s="25" t="n">
        <v>0.0867970734834671</v>
      </c>
      <c r="AE490" s="25" t="n">
        <v>1.52137386798859</v>
      </c>
      <c r="AF490" s="25" t="n">
        <v>0.606054723262787</v>
      </c>
      <c r="AG490" s="25" t="n">
        <v>0.165729880332947</v>
      </c>
      <c r="AH490" s="25" t="n">
        <v>3.79014945030212</v>
      </c>
      <c r="AI490" s="25" t="n">
        <v>11.9958066940308</v>
      </c>
      <c r="AJ490" s="6" t="n">
        <v>121.5</v>
      </c>
      <c r="AK490" s="6" t="n">
        <v>191.6</v>
      </c>
      <c r="AL490" s="26"/>
    </row>
    <row r="491" customFormat="false" ht="15" hidden="false" customHeight="false" outlineLevel="0" collapsed="false">
      <c r="A491" s="6" t="s">
        <v>3792</v>
      </c>
      <c r="B491" s="6" t="s">
        <v>3793</v>
      </c>
      <c r="C491" s="6" t="s">
        <v>3035</v>
      </c>
      <c r="D491" s="13" t="n">
        <v>147.385269165039</v>
      </c>
      <c r="E491" s="25" t="n">
        <v>5.14569902420044</v>
      </c>
      <c r="F491" s="25" t="n">
        <v>10.6638555526733</v>
      </c>
      <c r="G491" s="25" t="n">
        <v>9.2838249206543</v>
      </c>
      <c r="H491" s="25" t="n">
        <v>1.05777776241303</v>
      </c>
      <c r="I491" s="25" t="n">
        <v>3.47900223731995</v>
      </c>
      <c r="J491" s="25" t="n">
        <v>5.633556640625</v>
      </c>
      <c r="K491" s="25" t="n">
        <v>2.46713940429688</v>
      </c>
      <c r="L491" s="25" t="n">
        <v>0.427640197753906</v>
      </c>
      <c r="M491" s="25" t="n">
        <v>38.2736206054688</v>
      </c>
      <c r="N491" s="25" t="n">
        <v>281.618316650391</v>
      </c>
      <c r="O491" s="25" t="n">
        <v>151.489791870117</v>
      </c>
      <c r="P491" s="25" t="n">
        <v>127.511413574219</v>
      </c>
      <c r="Q491" s="25" t="n">
        <v>160.536514282227</v>
      </c>
      <c r="R491" s="25" t="n">
        <v>16.295223236084</v>
      </c>
      <c r="S491" s="25" t="n">
        <v>0.641844272613525</v>
      </c>
      <c r="T491" s="25" t="n">
        <v>0.664278149604797</v>
      </c>
      <c r="U491" s="25" t="n">
        <v>0.0550718046724796</v>
      </c>
      <c r="V491" s="25" t="n">
        <v>2.53534388542175</v>
      </c>
      <c r="W491" s="25" t="n">
        <v>0.147301584482193</v>
      </c>
      <c r="X491" s="25" t="n">
        <v>100.435371398926</v>
      </c>
      <c r="Y491" s="25" t="n">
        <v>1887.41650390625</v>
      </c>
      <c r="Z491" s="25" t="n">
        <v>0.359516263008118</v>
      </c>
      <c r="AA491" s="25" t="n">
        <v>8.82448959350586</v>
      </c>
      <c r="AB491" s="25" t="n">
        <v>8.81390762329102</v>
      </c>
      <c r="AC491" s="25" t="n">
        <v>0.0465003773570061</v>
      </c>
      <c r="AD491" s="25" t="n">
        <v>0.0813907757401466</v>
      </c>
      <c r="AE491" s="25" t="n">
        <v>0.302826911211014</v>
      </c>
      <c r="AF491" s="25" t="n">
        <v>0.362766444683075</v>
      </c>
      <c r="AG491" s="25" t="n">
        <v>0.0673469379544258</v>
      </c>
      <c r="AH491" s="25" t="n">
        <v>2.60554790496826</v>
      </c>
      <c r="AI491" s="25" t="n">
        <v>14.9854726791382</v>
      </c>
      <c r="AJ491" s="6" t="n">
        <v>110.3</v>
      </c>
      <c r="AK491" s="6" t="n">
        <v>162.5</v>
      </c>
      <c r="AL491" s="26"/>
    </row>
    <row r="492" customFormat="false" ht="15" hidden="false" customHeight="false" outlineLevel="0" collapsed="false">
      <c r="A492" s="6" t="s">
        <v>3794</v>
      </c>
      <c r="B492" s="6" t="s">
        <v>3795</v>
      </c>
      <c r="C492" s="6" t="s">
        <v>3035</v>
      </c>
      <c r="D492" s="13" t="n">
        <v>116.041320800781</v>
      </c>
      <c r="E492" s="25" t="n">
        <v>12.0127258300781</v>
      </c>
      <c r="F492" s="25" t="n">
        <v>8.17706871032715</v>
      </c>
      <c r="G492" s="25" t="n">
        <v>10.4783563613892</v>
      </c>
      <c r="H492" s="25" t="n">
        <v>0.70172655582428</v>
      </c>
      <c r="I492" s="25" t="n">
        <v>1.294478058815</v>
      </c>
      <c r="J492" s="25" t="n">
        <v>2.31733374023438</v>
      </c>
      <c r="K492" s="25" t="n">
        <v>1.22941479492188</v>
      </c>
      <c r="L492" s="25" t="n">
        <v>0.311167877197266</v>
      </c>
      <c r="M492" s="25" t="n">
        <v>33.2556076049805</v>
      </c>
      <c r="N492" s="25" t="n">
        <v>4942.177734375</v>
      </c>
      <c r="O492" s="25" t="n">
        <v>254.695083618164</v>
      </c>
      <c r="P492" s="25" t="n">
        <v>64.7170791625977</v>
      </c>
      <c r="Q492" s="25" t="n">
        <v>138.442993164063</v>
      </c>
      <c r="R492" s="25" t="n">
        <v>25.3765506744385</v>
      </c>
      <c r="S492" s="25" t="n">
        <v>1.99476838111877</v>
      </c>
      <c r="T492" s="25" t="n">
        <v>0.754532158374786</v>
      </c>
      <c r="U492" s="25" t="n">
        <v>0.128707587718964</v>
      </c>
      <c r="V492" s="25" t="n">
        <v>6.11193943023682</v>
      </c>
      <c r="W492" s="25" t="n">
        <v>0.175009921193123</v>
      </c>
      <c r="X492" s="25" t="n">
        <v>37.1576690673828</v>
      </c>
      <c r="Y492" s="25" t="n">
        <v>494.430938720703</v>
      </c>
      <c r="Z492" s="25" t="n">
        <v>0.26716610789299</v>
      </c>
      <c r="AA492" s="25" t="n">
        <v>2.91364860534668</v>
      </c>
      <c r="AB492" s="25" t="n">
        <v>1.59456241130829</v>
      </c>
      <c r="AC492" s="25" t="n">
        <v>0.0512998625636101</v>
      </c>
      <c r="AD492" s="25" t="n">
        <v>0.047157172113657</v>
      </c>
      <c r="AE492" s="25" t="n">
        <v>2.13866853713989</v>
      </c>
      <c r="AF492" s="25" t="n">
        <v>0.473767101764679</v>
      </c>
      <c r="AG492" s="25" t="n">
        <v>0.161552384495735</v>
      </c>
      <c r="AH492" s="25" t="n">
        <v>2.16502523422241</v>
      </c>
      <c r="AI492" s="25" t="n">
        <v>9.50001239776611</v>
      </c>
      <c r="AJ492" s="6" t="n">
        <v>134.4</v>
      </c>
      <c r="AK492" s="6" t="n">
        <v>155.9</v>
      </c>
      <c r="AL492" s="26" t="s">
        <v>3053</v>
      </c>
    </row>
    <row r="493" customFormat="false" ht="15" hidden="false" customHeight="false" outlineLevel="0" collapsed="false">
      <c r="A493" s="6" t="s">
        <v>906</v>
      </c>
      <c r="B493" s="6" t="s">
        <v>3796</v>
      </c>
      <c r="C493" s="6" t="s">
        <v>3112</v>
      </c>
      <c r="D493" s="13" t="n">
        <v>184.795806884766</v>
      </c>
      <c r="E493" s="25" t="n">
        <v>5.27886724472046</v>
      </c>
      <c r="F493" s="25" t="n">
        <v>31.7395191192627</v>
      </c>
      <c r="G493" s="25" t="n">
        <v>3.67387318611145</v>
      </c>
      <c r="H493" s="25" t="n">
        <v>4.43596458435059</v>
      </c>
      <c r="I493" s="25" t="n">
        <v>4.36275243759155</v>
      </c>
      <c r="J493" s="25" t="n">
        <v>0.546790588378906</v>
      </c>
      <c r="K493" s="25" t="n">
        <v>1.42041259765625</v>
      </c>
      <c r="L493" s="25" t="n">
        <v>1.41189562988281</v>
      </c>
      <c r="M493" s="25" t="n">
        <v>0</v>
      </c>
      <c r="N493" s="25" t="n">
        <v>59.0554046630859</v>
      </c>
      <c r="O493" s="25" t="n">
        <v>305.331970214844</v>
      </c>
      <c r="P493" s="25" t="n">
        <v>36.0173759460449</v>
      </c>
      <c r="Q493" s="25" t="n">
        <v>104.302871704102</v>
      </c>
      <c r="R493" s="25" t="n">
        <v>46.7522354125977</v>
      </c>
      <c r="S493" s="25" t="n">
        <v>1.91132009029388</v>
      </c>
      <c r="T493" s="25" t="n">
        <v>0.881077706813812</v>
      </c>
      <c r="U493" s="25" t="n">
        <v>0.29530531167984</v>
      </c>
      <c r="V493" s="25" t="n">
        <v>3.8363995552063</v>
      </c>
      <c r="W493" s="25" t="n">
        <v>0.565960586071014</v>
      </c>
      <c r="X493" s="25" t="n">
        <v>0</v>
      </c>
      <c r="Y493" s="25" t="n">
        <v>372.781494140625</v>
      </c>
      <c r="Z493" s="25" t="n">
        <v>0.832944571971893</v>
      </c>
      <c r="AA493" s="25" t="n">
        <v>9.03145980834961</v>
      </c>
      <c r="AB493" s="25" t="n">
        <v>1.109210729599</v>
      </c>
      <c r="AC493" s="25" t="n">
        <v>0.136406347155571</v>
      </c>
      <c r="AD493" s="25" t="n">
        <v>0.0729905888438225</v>
      </c>
      <c r="AE493" s="25" t="n">
        <v>1.19115734100342</v>
      </c>
      <c r="AF493" s="25" t="n">
        <v>0.482579857110977</v>
      </c>
      <c r="AG493" s="25" t="n">
        <v>0.120138056576252</v>
      </c>
      <c r="AH493" s="25" t="n">
        <v>0.918905138969421</v>
      </c>
      <c r="AI493" s="25" t="n">
        <v>26.4831218719482</v>
      </c>
      <c r="AJ493" s="6" t="n">
        <v>291.2</v>
      </c>
      <c r="AK493" s="6" t="n">
        <v>538.1</v>
      </c>
      <c r="AL493" s="26"/>
    </row>
    <row r="494" customFormat="false" ht="15" hidden="false" customHeight="false" outlineLevel="0" collapsed="false">
      <c r="A494" s="6" t="s">
        <v>3797</v>
      </c>
      <c r="B494" s="6" t="s">
        <v>3798</v>
      </c>
      <c r="C494" s="6" t="s">
        <v>3112</v>
      </c>
      <c r="D494" s="13" t="n">
        <v>98.2072677612305</v>
      </c>
      <c r="E494" s="25" t="n">
        <v>1.95199477672577</v>
      </c>
      <c r="F494" s="25" t="n">
        <v>19.108060836792</v>
      </c>
      <c r="G494" s="25" t="n">
        <v>1.36523187160492</v>
      </c>
      <c r="H494" s="25" t="n">
        <v>0.975806057453156</v>
      </c>
      <c r="I494" s="25" t="n">
        <v>0.16757906973362</v>
      </c>
      <c r="J494" s="25" t="n">
        <v>0.760234436035156</v>
      </c>
      <c r="K494" s="25" t="n">
        <v>0.346297790527344</v>
      </c>
      <c r="L494" s="25" t="n">
        <v>0.118317817687988</v>
      </c>
      <c r="M494" s="25" t="n">
        <v>3.02155637741089</v>
      </c>
      <c r="N494" s="25" t="n">
        <v>61.293083190918</v>
      </c>
      <c r="O494" s="25" t="n">
        <v>40.8212852478027</v>
      </c>
      <c r="P494" s="25" t="n">
        <v>3.927654504776</v>
      </c>
      <c r="Q494" s="25" t="n">
        <v>35.2570762634277</v>
      </c>
      <c r="R494" s="25" t="n">
        <v>7.58005285263062</v>
      </c>
      <c r="S494" s="25" t="n">
        <v>0.317327260971069</v>
      </c>
      <c r="T494" s="25" t="n">
        <v>0.277483880519867</v>
      </c>
      <c r="U494" s="25" t="n">
        <v>0.0685512498021126</v>
      </c>
      <c r="V494" s="25" t="n">
        <v>0.305372476577759</v>
      </c>
      <c r="W494" s="25" t="n">
        <v>0.21992139518261</v>
      </c>
      <c r="X494" s="25" t="n">
        <v>11.3246946334839</v>
      </c>
      <c r="Y494" s="25" t="n">
        <v>40.0579719543457</v>
      </c>
      <c r="Z494" s="25" t="n">
        <v>0.0985303670167923</v>
      </c>
      <c r="AA494" s="25" t="n">
        <v>0.504698157310486</v>
      </c>
      <c r="AB494" s="25" t="n">
        <v>0.00638702930882573</v>
      </c>
      <c r="AC494" s="25" t="n">
        <v>0.0422809086740017</v>
      </c>
      <c r="AD494" s="25" t="n">
        <v>0.0153743168339133</v>
      </c>
      <c r="AE494" s="25" t="n">
        <v>0.623721659183502</v>
      </c>
      <c r="AF494" s="25" t="n">
        <v>0.135485470294952</v>
      </c>
      <c r="AG494" s="25" t="n">
        <v>0.0545550584793091</v>
      </c>
      <c r="AH494" s="25" t="n">
        <v>0.0782779604196549</v>
      </c>
      <c r="AI494" s="25" t="n">
        <v>2.43860292434692</v>
      </c>
      <c r="AJ494" s="6" t="n">
        <v>325.7</v>
      </c>
      <c r="AK494" s="6" t="n">
        <v>319.8</v>
      </c>
      <c r="AL494" s="26"/>
    </row>
    <row r="495" customFormat="false" ht="15" hidden="false" customHeight="false" outlineLevel="0" collapsed="false">
      <c r="A495" s="6" t="s">
        <v>864</v>
      </c>
      <c r="B495" s="6" t="s">
        <v>3799</v>
      </c>
      <c r="C495" s="6" t="s">
        <v>3112</v>
      </c>
      <c r="D495" s="13" t="n">
        <v>135.241348266602</v>
      </c>
      <c r="E495" s="25" t="n">
        <v>2.4721257686615</v>
      </c>
      <c r="F495" s="25" t="n">
        <v>23.6104259490967</v>
      </c>
      <c r="G495" s="25" t="n">
        <v>3.19645094871521</v>
      </c>
      <c r="H495" s="25" t="n">
        <v>1.39944553375244</v>
      </c>
      <c r="I495" s="25" t="n">
        <v>0.638003706932068</v>
      </c>
      <c r="J495" s="25" t="n">
        <v>0.406045104980469</v>
      </c>
      <c r="K495" s="25" t="n">
        <v>0.665800354003906</v>
      </c>
      <c r="L495" s="25" t="n">
        <v>1.95982629394531</v>
      </c>
      <c r="M495" s="25" t="n">
        <v>0</v>
      </c>
      <c r="N495" s="25" t="n">
        <v>219.733093261719</v>
      </c>
      <c r="O495" s="25" t="n">
        <v>62.1053619384766</v>
      </c>
      <c r="P495" s="25" t="n">
        <v>7.25471353530884</v>
      </c>
      <c r="Q495" s="25" t="n">
        <v>45.2136764526367</v>
      </c>
      <c r="R495" s="25" t="n">
        <v>11.2857666015625</v>
      </c>
      <c r="S495" s="25" t="n">
        <v>0.325434356927872</v>
      </c>
      <c r="T495" s="25" t="n">
        <v>0.361700564622879</v>
      </c>
      <c r="U495" s="25" t="n">
        <v>0.0929390043020248</v>
      </c>
      <c r="V495" s="25" t="n">
        <v>0.39264327287674</v>
      </c>
      <c r="W495" s="25" t="n">
        <v>0.266950100660324</v>
      </c>
      <c r="X495" s="25" t="n">
        <v>0</v>
      </c>
      <c r="Y495" s="25" t="n">
        <v>22.5027732849121</v>
      </c>
      <c r="Z495" s="25" t="n">
        <v>1.49149715900421</v>
      </c>
      <c r="AA495" s="25" t="n">
        <v>1.50240302085877</v>
      </c>
      <c r="AB495" s="25" t="n">
        <v>0.524214446544647</v>
      </c>
      <c r="AC495" s="25" t="n">
        <v>0.0551571175456047</v>
      </c>
      <c r="AD495" s="25" t="n">
        <v>0.0189648792147636</v>
      </c>
      <c r="AE495" s="25" t="n">
        <v>0.778077602386475</v>
      </c>
      <c r="AF495" s="25" t="n">
        <v>0.185656189918518</v>
      </c>
      <c r="AG495" s="25" t="n">
        <v>0.0739001855254173</v>
      </c>
      <c r="AH495" s="25" t="n">
        <v>0.289094269275665</v>
      </c>
      <c r="AI495" s="25" t="n">
        <v>5.12158966064453</v>
      </c>
      <c r="AJ495" s="6" t="n">
        <v>270.5</v>
      </c>
      <c r="AK495" s="6" t="n">
        <v>365.8</v>
      </c>
      <c r="AL495" s="26"/>
    </row>
    <row r="496" customFormat="false" ht="15" hidden="false" customHeight="false" outlineLevel="0" collapsed="false">
      <c r="A496" s="6" t="s">
        <v>877</v>
      </c>
      <c r="B496" s="6" t="s">
        <v>3800</v>
      </c>
      <c r="C496" s="6" t="s">
        <v>3112</v>
      </c>
      <c r="D496" s="13" t="n">
        <v>108.869026184082</v>
      </c>
      <c r="E496" s="25" t="n">
        <v>3.89398169517517</v>
      </c>
      <c r="F496" s="25" t="n">
        <v>18.4157238006592</v>
      </c>
      <c r="G496" s="25" t="n">
        <v>1.90291380882263</v>
      </c>
      <c r="H496" s="25" t="n">
        <v>3.2124707698822</v>
      </c>
      <c r="I496" s="25" t="n">
        <v>1.30491626262665</v>
      </c>
      <c r="J496" s="25" t="n">
        <v>0.25063298034668</v>
      </c>
      <c r="K496" s="25" t="n">
        <v>0.389752075195313</v>
      </c>
      <c r="L496" s="25" t="n">
        <v>1.15432299804688</v>
      </c>
      <c r="M496" s="25" t="n">
        <v>0</v>
      </c>
      <c r="N496" s="25" t="n">
        <v>86.1795425415039</v>
      </c>
      <c r="O496" s="25" t="n">
        <v>135.065689086914</v>
      </c>
      <c r="P496" s="25" t="n">
        <v>18.1805477142334</v>
      </c>
      <c r="Q496" s="25" t="n">
        <v>47.1632766723633</v>
      </c>
      <c r="R496" s="25" t="n">
        <v>21.4585723876953</v>
      </c>
      <c r="S496" s="25" t="n">
        <v>0.784668326377869</v>
      </c>
      <c r="T496" s="25" t="n">
        <v>0.599417269229889</v>
      </c>
      <c r="U496" s="25" t="n">
        <v>0.136009752750397</v>
      </c>
      <c r="V496" s="25" t="n">
        <v>0.794818818569183</v>
      </c>
      <c r="W496" s="25" t="n">
        <v>0.461771577596664</v>
      </c>
      <c r="X496" s="25" t="n">
        <v>0</v>
      </c>
      <c r="Y496" s="25" t="n">
        <v>435.628295898438</v>
      </c>
      <c r="Z496" s="25" t="n">
        <v>0.927399873733521</v>
      </c>
      <c r="AA496" s="25" t="n">
        <v>15.4820308685303</v>
      </c>
      <c r="AB496" s="25" t="n">
        <v>13.2152996063232</v>
      </c>
      <c r="AC496" s="25" t="n">
        <v>0.121792756021023</v>
      </c>
      <c r="AD496" s="25" t="n">
        <v>0.022140285000205</v>
      </c>
      <c r="AE496" s="25" t="n">
        <v>0.892074584960938</v>
      </c>
      <c r="AF496" s="25" t="n">
        <v>0.355552017688751</v>
      </c>
      <c r="AG496" s="25" t="n">
        <v>0.113519810140133</v>
      </c>
      <c r="AH496" s="25" t="n">
        <v>1.73275053501129</v>
      </c>
      <c r="AI496" s="25" t="n">
        <v>23.4284381866455</v>
      </c>
      <c r="AJ496" s="6" t="n">
        <v>471.9</v>
      </c>
      <c r="AK496" s="6" t="n">
        <v>513.8</v>
      </c>
      <c r="AL496" s="26"/>
    </row>
    <row r="497" customFormat="false" ht="15" hidden="false" customHeight="false" outlineLevel="0" collapsed="false">
      <c r="A497" s="6" t="s">
        <v>3801</v>
      </c>
      <c r="B497" s="6" t="s">
        <v>3802</v>
      </c>
      <c r="C497" s="6" t="s">
        <v>3112</v>
      </c>
      <c r="D497" s="13" t="n">
        <v>116.525016784668</v>
      </c>
      <c r="E497" s="25" t="n">
        <v>3.60052061080933</v>
      </c>
      <c r="F497" s="25" t="n">
        <v>19.720027923584</v>
      </c>
      <c r="G497" s="25" t="n">
        <v>2.29618692398071</v>
      </c>
      <c r="H497" s="25" t="n">
        <v>3.15900659561157</v>
      </c>
      <c r="I497" s="25" t="n">
        <v>1.58608281612396</v>
      </c>
      <c r="J497" s="25" t="n">
        <v>0.294496948242188</v>
      </c>
      <c r="K497" s="25" t="n">
        <v>0.451730041503906</v>
      </c>
      <c r="L497" s="25" t="n">
        <v>1.36212036132813</v>
      </c>
      <c r="M497" s="25" t="n">
        <v>0</v>
      </c>
      <c r="N497" s="25" t="n">
        <v>98.0656814575195</v>
      </c>
      <c r="O497" s="25" t="n">
        <v>162.08984375</v>
      </c>
      <c r="P497" s="25" t="n">
        <v>19.090970993042</v>
      </c>
      <c r="Q497" s="25" t="n">
        <v>57.2852439880371</v>
      </c>
      <c r="R497" s="25" t="n">
        <v>21.0721874237061</v>
      </c>
      <c r="S497" s="25" t="n">
        <v>0.823455512523651</v>
      </c>
      <c r="T497" s="25" t="n">
        <v>0.586931467056274</v>
      </c>
      <c r="U497" s="25" t="n">
        <v>0.141622543334961</v>
      </c>
      <c r="V497" s="25" t="n">
        <v>2.81166553497315</v>
      </c>
      <c r="W497" s="25" t="n">
        <v>0.491083979606628</v>
      </c>
      <c r="X497" s="25" t="n">
        <v>0</v>
      </c>
      <c r="Y497" s="25" t="n">
        <v>1281.24694824219</v>
      </c>
      <c r="Z497" s="25" t="n">
        <v>0.975197970867157</v>
      </c>
      <c r="AA497" s="25" t="n">
        <v>8.67044639587402</v>
      </c>
      <c r="AB497" s="25" t="n">
        <v>6.12649917602539</v>
      </c>
      <c r="AC497" s="25" t="n">
        <v>0.0893279016017914</v>
      </c>
      <c r="AD497" s="25" t="n">
        <v>0.0270377919077873</v>
      </c>
      <c r="AE497" s="25" t="n">
        <v>0.772505044937134</v>
      </c>
      <c r="AF497" s="25" t="n">
        <v>0.33216792345047</v>
      </c>
      <c r="AG497" s="25" t="n">
        <v>0.0992758572101593</v>
      </c>
      <c r="AH497" s="25" t="n">
        <v>1.14253222942352</v>
      </c>
      <c r="AI497" s="25" t="n">
        <v>23.5819873809815</v>
      </c>
      <c r="AJ497" s="6" t="n">
        <v>441.9</v>
      </c>
      <c r="AK497" s="6" t="n">
        <v>514.9</v>
      </c>
      <c r="AL497" s="26"/>
    </row>
    <row r="498" customFormat="false" ht="15" hidden="false" customHeight="false" outlineLevel="0" collapsed="false">
      <c r="A498" s="6" t="s">
        <v>3803</v>
      </c>
      <c r="B498" s="6" t="s">
        <v>3804</v>
      </c>
      <c r="C498" s="6" t="s">
        <v>3112</v>
      </c>
      <c r="D498" s="13" t="n">
        <v>125.512268066406</v>
      </c>
      <c r="E498" s="25" t="n">
        <v>3.43618035316467</v>
      </c>
      <c r="F498" s="25" t="n">
        <v>21.5529861450195</v>
      </c>
      <c r="G498" s="25" t="n">
        <v>2.57806754112244</v>
      </c>
      <c r="H498" s="25" t="n">
        <v>2.69391536712647</v>
      </c>
      <c r="I498" s="25" t="n">
        <v>1.99052655696869</v>
      </c>
      <c r="J498" s="25" t="n">
        <v>0.328011352539063</v>
      </c>
      <c r="K498" s="25" t="n">
        <v>0.512671936035156</v>
      </c>
      <c r="L498" s="25" t="n">
        <v>1.52063244628906</v>
      </c>
      <c r="M498" s="25" t="n">
        <v>0</v>
      </c>
      <c r="N498" s="25" t="n">
        <v>103.08610534668</v>
      </c>
      <c r="O498" s="25" t="n">
        <v>148.305618286133</v>
      </c>
      <c r="P498" s="25" t="n">
        <v>16.5102043151856</v>
      </c>
      <c r="Q498" s="25" t="n">
        <v>59.4755592346191</v>
      </c>
      <c r="R498" s="25" t="n">
        <v>20.0498867034912</v>
      </c>
      <c r="S498" s="25" t="n">
        <v>0.772952854633331</v>
      </c>
      <c r="T498" s="25" t="n">
        <v>0.574741780757904</v>
      </c>
      <c r="U498" s="25" t="n">
        <v>0.144074067473412</v>
      </c>
      <c r="V498" s="25" t="n">
        <v>3.58358526229858</v>
      </c>
      <c r="W498" s="25" t="n">
        <v>0.51123708486557</v>
      </c>
      <c r="X498" s="25" t="n">
        <v>0</v>
      </c>
      <c r="Y498" s="25" t="n">
        <v>107.276390075684</v>
      </c>
      <c r="Z498" s="25" t="n">
        <v>1.04154694080353</v>
      </c>
      <c r="AA498" s="25" t="n">
        <v>2.35694122314453</v>
      </c>
      <c r="AB498" s="25" t="n">
        <v>2.0428318977356</v>
      </c>
      <c r="AC498" s="25" t="n">
        <v>0.0698513463139534</v>
      </c>
      <c r="AD498" s="25" t="n">
        <v>0.0256941299885511</v>
      </c>
      <c r="AE498" s="25" t="n">
        <v>0.73751574754715</v>
      </c>
      <c r="AF498" s="25" t="n">
        <v>0.304320991039276</v>
      </c>
      <c r="AG498" s="25" t="n">
        <v>0.0877299085259438</v>
      </c>
      <c r="AH498" s="25" t="n">
        <v>0.913164496421814</v>
      </c>
      <c r="AI498" s="25" t="n">
        <v>22.2584533691406</v>
      </c>
      <c r="AJ498" s="6" t="n">
        <v>396.9</v>
      </c>
      <c r="AK498" s="6" t="n">
        <v>498.2</v>
      </c>
      <c r="AL498" s="26"/>
    </row>
    <row r="499" customFormat="false" ht="15" hidden="false" customHeight="false" outlineLevel="0" collapsed="false">
      <c r="A499" s="6" t="s">
        <v>925</v>
      </c>
      <c r="B499" s="6" t="s">
        <v>3805</v>
      </c>
      <c r="C499" s="6" t="s">
        <v>3112</v>
      </c>
      <c r="D499" s="13" t="n">
        <v>130.772033691406</v>
      </c>
      <c r="E499" s="25" t="n">
        <v>6.51785612106323</v>
      </c>
      <c r="F499" s="25" t="n">
        <v>11.2602205276489</v>
      </c>
      <c r="G499" s="25" t="n">
        <v>10.7802782058716</v>
      </c>
      <c r="H499" s="25" t="n">
        <v>1.65081369876862</v>
      </c>
      <c r="I499" s="25" t="n">
        <v>0.996286749839783</v>
      </c>
      <c r="J499" s="25" t="n">
        <v>1.21274438476563</v>
      </c>
      <c r="K499" s="25" t="n">
        <v>1.66592724609375</v>
      </c>
      <c r="L499" s="25" t="n">
        <v>2.83988818359375</v>
      </c>
      <c r="M499" s="25" t="n">
        <v>2.35427284240723</v>
      </c>
      <c r="N499" s="25" t="n">
        <v>3115.58715820313</v>
      </c>
      <c r="O499" s="25" t="n">
        <v>177.662384033203</v>
      </c>
      <c r="P499" s="25" t="n">
        <v>49.8697052001953</v>
      </c>
      <c r="Q499" s="25" t="n">
        <v>80.0146865844727</v>
      </c>
      <c r="R499" s="25" t="n">
        <v>22.889139175415</v>
      </c>
      <c r="S499" s="25" t="n">
        <v>1.24747240543366</v>
      </c>
      <c r="T499" s="25" t="n">
        <v>0.412847369909287</v>
      </c>
      <c r="U499" s="25" t="n">
        <v>0.108073726296425</v>
      </c>
      <c r="V499" s="25" t="n">
        <v>0.591415941715241</v>
      </c>
      <c r="W499" s="25" t="n">
        <v>0.493334084749222</v>
      </c>
      <c r="X499" s="25" t="n">
        <v>8.22486305236816</v>
      </c>
      <c r="Y499" s="25" t="n">
        <v>61.8328437805176</v>
      </c>
      <c r="Z499" s="25" t="n">
        <v>2.10859203338623</v>
      </c>
      <c r="AA499" s="25" t="n">
        <v>2.03247976303101</v>
      </c>
      <c r="AB499" s="25" t="n">
        <v>0.675225973129273</v>
      </c>
      <c r="AC499" s="25" t="n">
        <v>0.063695602118969</v>
      </c>
      <c r="AD499" s="25" t="n">
        <v>0.0412521399557591</v>
      </c>
      <c r="AE499" s="25" t="n">
        <v>1.21296012401581</v>
      </c>
      <c r="AF499" s="25" t="n">
        <v>0.151016339659691</v>
      </c>
      <c r="AG499" s="25" t="n">
        <v>0.0502567812800407</v>
      </c>
      <c r="AH499" s="25" t="n">
        <v>0.439813762903214</v>
      </c>
      <c r="AI499" s="25" t="n">
        <v>5.93689107894898</v>
      </c>
      <c r="AJ499" s="6" t="n">
        <v>662.6</v>
      </c>
      <c r="AK499" s="6" t="n">
        <v>866.5</v>
      </c>
      <c r="AL499" s="26" t="s">
        <v>3053</v>
      </c>
    </row>
    <row r="500" customFormat="false" ht="15" hidden="false" customHeight="false" outlineLevel="0" collapsed="false">
      <c r="A500" s="6" t="s">
        <v>921</v>
      </c>
      <c r="B500" s="6" t="s">
        <v>919</v>
      </c>
      <c r="C500" s="6" t="s">
        <v>3112</v>
      </c>
      <c r="D500" s="13" t="n">
        <v>108.240707397461</v>
      </c>
      <c r="E500" s="25" t="n">
        <v>6.07490301132202</v>
      </c>
      <c r="F500" s="25" t="n">
        <v>11.1675262451172</v>
      </c>
      <c r="G500" s="25" t="n">
        <v>8.47600650787354</v>
      </c>
      <c r="H500" s="25" t="n">
        <v>1.6372241973877</v>
      </c>
      <c r="I500" s="25" t="n">
        <v>0.988085329532623</v>
      </c>
      <c r="J500" s="25" t="n">
        <v>1.32187048339844</v>
      </c>
      <c r="K500" s="25" t="n">
        <v>1.87305517578125</v>
      </c>
      <c r="L500" s="25" t="n">
        <v>1.84497045898438</v>
      </c>
      <c r="M500" s="25" t="n">
        <v>11.5457439422607</v>
      </c>
      <c r="N500" s="25" t="n">
        <v>3093.47045898438</v>
      </c>
      <c r="O500" s="25" t="n">
        <v>170.811660766602</v>
      </c>
      <c r="P500" s="25" t="n">
        <v>32.2453346252441</v>
      </c>
      <c r="Q500" s="25" t="n">
        <v>79.3560028076172</v>
      </c>
      <c r="R500" s="25" t="n">
        <v>24.7961330413818</v>
      </c>
      <c r="S500" s="25" t="n">
        <v>0.980739235877991</v>
      </c>
      <c r="T500" s="25" t="n">
        <v>0.514219641685486</v>
      </c>
      <c r="U500" s="25" t="n">
        <v>0.112968906760216</v>
      </c>
      <c r="V500" s="25" t="n">
        <v>1.78392815589905</v>
      </c>
      <c r="W500" s="25" t="n">
        <v>0.490769684314728</v>
      </c>
      <c r="X500" s="25" t="n">
        <v>12.1653881072998</v>
      </c>
      <c r="Y500" s="25" t="n">
        <v>57.4577903747559</v>
      </c>
      <c r="Z500" s="25" t="n">
        <v>1.10005736351013</v>
      </c>
      <c r="AA500" s="25" t="n">
        <v>1.88845193386078</v>
      </c>
      <c r="AB500" s="25" t="n">
        <v>0.669667482376099</v>
      </c>
      <c r="AC500" s="25" t="n">
        <v>0.0476053133606911</v>
      </c>
      <c r="AD500" s="25" t="n">
        <v>0.0361230298876762</v>
      </c>
      <c r="AE500" s="25" t="n">
        <v>1.12215185165405</v>
      </c>
      <c r="AF500" s="25" t="n">
        <v>0.256040722131729</v>
      </c>
      <c r="AG500" s="25" t="n">
        <v>0.0947448462247849</v>
      </c>
      <c r="AH500" s="25" t="n">
        <v>0.585865795612335</v>
      </c>
      <c r="AI500" s="25" t="n">
        <v>5.79222822189331</v>
      </c>
      <c r="AJ500" s="6" t="n">
        <v>668.1</v>
      </c>
      <c r="AK500" s="6" t="n">
        <v>723.2</v>
      </c>
      <c r="AL500" s="26" t="s">
        <v>3053</v>
      </c>
    </row>
    <row r="501" customFormat="false" ht="15" hidden="false" customHeight="false" outlineLevel="0" collapsed="false">
      <c r="A501" s="6" t="s">
        <v>3806</v>
      </c>
      <c r="B501" s="6" t="s">
        <v>3807</v>
      </c>
      <c r="C501" s="6" t="s">
        <v>3112</v>
      </c>
      <c r="D501" s="13" t="n">
        <v>120.566314697266</v>
      </c>
      <c r="E501" s="25" t="n">
        <v>4.62301063537598</v>
      </c>
      <c r="F501" s="25" t="n">
        <v>14.2142601013184</v>
      </c>
      <c r="G501" s="25" t="n">
        <v>4.88023042678833</v>
      </c>
      <c r="H501" s="25" t="n">
        <v>1.64140331745148</v>
      </c>
      <c r="I501" s="25" t="n">
        <v>1.44142460823059</v>
      </c>
      <c r="J501" s="25" t="n">
        <v>1.31972302246094</v>
      </c>
      <c r="K501" s="25" t="n">
        <v>1.39268884277344</v>
      </c>
      <c r="L501" s="25" t="n">
        <v>1.83445532226563</v>
      </c>
      <c r="M501" s="25" t="n">
        <v>11.897403717041</v>
      </c>
      <c r="N501" s="25" t="n">
        <v>93.4166870117188</v>
      </c>
      <c r="O501" s="25" t="n">
        <v>147.262237548828</v>
      </c>
      <c r="P501" s="25" t="n">
        <v>14.506142616272</v>
      </c>
      <c r="Q501" s="25" t="n">
        <v>60.718864440918</v>
      </c>
      <c r="R501" s="25" t="n">
        <v>14.3938112258911</v>
      </c>
      <c r="S501" s="25" t="n">
        <v>0.551892757415772</v>
      </c>
      <c r="T501" s="25" t="n">
        <v>0.804886400699616</v>
      </c>
      <c r="U501" s="25" t="n">
        <v>0.0845951810479164</v>
      </c>
      <c r="V501" s="25" t="n">
        <v>0.559525668621063</v>
      </c>
      <c r="W501" s="25" t="n">
        <v>0.283745378255844</v>
      </c>
      <c r="X501" s="25" t="n">
        <v>0.772558689117432</v>
      </c>
      <c r="Y501" s="25" t="n">
        <v>1718.3896484375</v>
      </c>
      <c r="Z501" s="25" t="n">
        <v>1.39807057380676</v>
      </c>
      <c r="AA501" s="25" t="n">
        <v>8.31234931945801</v>
      </c>
      <c r="AB501" s="25" t="n">
        <v>8.24911117553711</v>
      </c>
      <c r="AC501" s="25" t="n">
        <v>0.0625579431653023</v>
      </c>
      <c r="AD501" s="25" t="n">
        <v>0.0451066121459007</v>
      </c>
      <c r="AE501" s="25" t="n">
        <v>1.33732032775879</v>
      </c>
      <c r="AF501" s="25" t="n">
        <v>0.319059789180756</v>
      </c>
      <c r="AG501" s="25" t="n">
        <v>0.103833824396133</v>
      </c>
      <c r="AH501" s="25" t="n">
        <v>1.03132724761963</v>
      </c>
      <c r="AI501" s="25" t="n">
        <v>10.2533121109009</v>
      </c>
      <c r="AJ501" s="6" t="n">
        <v>517.8</v>
      </c>
      <c r="AK501" s="6" t="n">
        <v>624.2</v>
      </c>
      <c r="AL501" s="26"/>
    </row>
    <row r="502" customFormat="false" ht="15" hidden="false" customHeight="false" outlineLevel="0" collapsed="false">
      <c r="A502" s="6" t="s">
        <v>911</v>
      </c>
      <c r="B502" s="6" t="s">
        <v>3808</v>
      </c>
      <c r="C502" s="6" t="s">
        <v>3732</v>
      </c>
      <c r="D502" s="13" t="n">
        <v>57.0304985046387</v>
      </c>
      <c r="E502" s="25" t="n">
        <v>1.71781361103058</v>
      </c>
      <c r="F502" s="25" t="n">
        <v>10.0418643951416</v>
      </c>
      <c r="G502" s="25" t="n">
        <v>1.00634145736694</v>
      </c>
      <c r="H502" s="25" t="n">
        <v>0.848379790782929</v>
      </c>
      <c r="I502" s="25" t="n">
        <v>0.120679445564747</v>
      </c>
      <c r="J502" s="25" t="n">
        <v>0.538127197265625</v>
      </c>
      <c r="K502" s="25" t="n">
        <v>0.250794540405273</v>
      </c>
      <c r="L502" s="25" t="n">
        <v>0.0963423385620117</v>
      </c>
      <c r="M502" s="25" t="n">
        <v>2.14285707473755</v>
      </c>
      <c r="N502" s="25" t="n">
        <v>37.1442527770996</v>
      </c>
      <c r="O502" s="25" t="n">
        <v>69.3162002563477</v>
      </c>
      <c r="P502" s="25" t="n">
        <v>5.04547023773193</v>
      </c>
      <c r="Q502" s="25" t="n">
        <v>30.7076301574707</v>
      </c>
      <c r="R502" s="25" t="n">
        <v>9.96796131134033</v>
      </c>
      <c r="S502" s="25" t="n">
        <v>0.305060982704163</v>
      </c>
      <c r="T502" s="25" t="n">
        <v>0.216506972908974</v>
      </c>
      <c r="U502" s="25" t="n">
        <v>0.0671864151954651</v>
      </c>
      <c r="V502" s="25" t="n">
        <v>1.87998259067535</v>
      </c>
      <c r="W502" s="25" t="n">
        <v>0.164294421672821</v>
      </c>
      <c r="X502" s="25" t="n">
        <v>8.03135871887207</v>
      </c>
      <c r="Y502" s="25" t="n">
        <v>102.535713195801</v>
      </c>
      <c r="Z502" s="25" t="n">
        <v>0.0745818763971329</v>
      </c>
      <c r="AA502" s="25" t="n">
        <v>1.92364978790283</v>
      </c>
      <c r="AB502" s="25" t="n">
        <v>0.144843205809593</v>
      </c>
      <c r="AC502" s="25" t="n">
        <v>0.0317944251000881</v>
      </c>
      <c r="AD502" s="25" t="n">
        <v>0.0117552261799574</v>
      </c>
      <c r="AE502" s="25" t="n">
        <v>0.343824058771133</v>
      </c>
      <c r="AF502" s="25" t="n">
        <v>0.121084496378899</v>
      </c>
      <c r="AG502" s="25" t="n">
        <v>0.0336149819195271</v>
      </c>
      <c r="AH502" s="25" t="n">
        <v>0.0809930339455605</v>
      </c>
      <c r="AI502" s="25" t="n">
        <v>4.56116724014282</v>
      </c>
      <c r="AJ502" s="6" t="n">
        <v>574</v>
      </c>
      <c r="AK502" s="6" t="n">
        <v>327.4</v>
      </c>
      <c r="AL502" s="26"/>
    </row>
    <row r="503" customFormat="false" ht="15" hidden="false" customHeight="false" outlineLevel="0" collapsed="false">
      <c r="A503" s="6" t="s">
        <v>3809</v>
      </c>
      <c r="B503" s="6" t="s">
        <v>3810</v>
      </c>
      <c r="C503" s="6" t="s">
        <v>3157</v>
      </c>
      <c r="D503" s="13" t="n">
        <v>247.287048339844</v>
      </c>
      <c r="E503" s="25" t="n">
        <v>9.16491222381592</v>
      </c>
      <c r="F503" s="25" t="n">
        <v>43.4025955200195</v>
      </c>
      <c r="G503" s="25" t="n">
        <v>3.6070773601532</v>
      </c>
      <c r="H503" s="25" t="n">
        <v>7.12524318695068</v>
      </c>
      <c r="I503" s="25" t="n">
        <v>3.35000467300415</v>
      </c>
      <c r="J503" s="25" t="n">
        <v>0.87588330078125</v>
      </c>
      <c r="K503" s="25" t="n">
        <v>0.777033752441406</v>
      </c>
      <c r="L503" s="25" t="n">
        <v>1.58083520507813</v>
      </c>
      <c r="M503" s="25" t="n">
        <v>3.11820840835571</v>
      </c>
      <c r="N503" s="25" t="n">
        <v>1504.66271972656</v>
      </c>
      <c r="O503" s="25" t="n">
        <v>348.784362792969</v>
      </c>
      <c r="P503" s="25" t="n">
        <v>93.2020568847656</v>
      </c>
      <c r="Q503" s="25" t="n">
        <v>136.837615966797</v>
      </c>
      <c r="R503" s="25" t="n">
        <v>42.9162788391113</v>
      </c>
      <c r="S503" s="25" t="n">
        <v>2.30710482597351</v>
      </c>
      <c r="T503" s="25" t="n">
        <v>1.56139850616455</v>
      </c>
      <c r="U503" s="25" t="n">
        <v>0.313824981451035</v>
      </c>
      <c r="V503" s="25" t="n">
        <v>8.53660488128662</v>
      </c>
      <c r="W503" s="25" t="n">
        <v>1.25298583507538</v>
      </c>
      <c r="X503" s="25" t="n">
        <v>7.93725728988648</v>
      </c>
      <c r="Y503" s="25" t="n">
        <v>3788.41040039063</v>
      </c>
      <c r="Z503" s="25" t="n">
        <v>1.1366662979126</v>
      </c>
      <c r="AA503" s="25" t="n">
        <v>15.0335445404053</v>
      </c>
      <c r="AB503" s="25" t="n">
        <v>0.39761883020401</v>
      </c>
      <c r="AC503" s="25" t="n">
        <v>0.207661330699921</v>
      </c>
      <c r="AD503" s="25" t="n">
        <v>0.131096094846726</v>
      </c>
      <c r="AE503" s="25" t="n">
        <v>0.985024988651276</v>
      </c>
      <c r="AF503" s="25" t="n">
        <v>0.65319949388504</v>
      </c>
      <c r="AG503" s="25" t="n">
        <v>0.120085038244724</v>
      </c>
      <c r="AH503" s="25" t="n">
        <v>1.0817688703537</v>
      </c>
      <c r="AI503" s="25" t="n">
        <v>25.7429370880127</v>
      </c>
      <c r="AJ503" s="6" t="n">
        <v>35.3</v>
      </c>
      <c r="AK503" s="6" t="n">
        <v>87.2</v>
      </c>
      <c r="AL503" s="26"/>
    </row>
    <row r="504" customFormat="false" ht="15" hidden="false" customHeight="false" outlineLevel="0" collapsed="false">
      <c r="A504" s="6" t="s">
        <v>657</v>
      </c>
      <c r="B504" s="6" t="s">
        <v>655</v>
      </c>
      <c r="C504" s="6" t="s">
        <v>3158</v>
      </c>
      <c r="D504" s="13" t="n">
        <v>380.905792236328</v>
      </c>
      <c r="E504" s="25" t="n">
        <v>10.3363666534424</v>
      </c>
      <c r="F504" s="25" t="n">
        <v>64.0787887573242</v>
      </c>
      <c r="G504" s="25" t="n">
        <v>8.43086528778076</v>
      </c>
      <c r="H504" s="25" t="n">
        <v>5.22958469390869</v>
      </c>
      <c r="I504" s="25" t="n">
        <v>0.696020781993866</v>
      </c>
      <c r="J504" s="25" t="n">
        <v>5.0303115234375</v>
      </c>
      <c r="K504" s="25" t="n">
        <v>2.05445336914063</v>
      </c>
      <c r="L504" s="25" t="n">
        <v>0.578764709472656</v>
      </c>
      <c r="M504" s="25" t="n">
        <v>19.8996524810791</v>
      </c>
      <c r="N504" s="25" t="n">
        <v>142.979232788086</v>
      </c>
      <c r="O504" s="25" t="n">
        <v>344.391021728516</v>
      </c>
      <c r="P504" s="25" t="n">
        <v>19.3536338806152</v>
      </c>
      <c r="Q504" s="25" t="n">
        <v>178.397918701172</v>
      </c>
      <c r="R504" s="25" t="n">
        <v>55.4359855651856</v>
      </c>
      <c r="S504" s="25" t="n">
        <v>1.49816608428955</v>
      </c>
      <c r="T504" s="25" t="n">
        <v>1.39307963848114</v>
      </c>
      <c r="U504" s="25" t="n">
        <v>0.324948102235794</v>
      </c>
      <c r="V504" s="25" t="n">
        <v>5.83868503570557</v>
      </c>
      <c r="W504" s="25" t="n">
        <v>0.855363309383392</v>
      </c>
      <c r="X504" s="25" t="n">
        <v>89.5017318725586</v>
      </c>
      <c r="Y504" s="25" t="n">
        <v>151.370239257813</v>
      </c>
      <c r="Z504" s="25" t="n">
        <v>0.270484447479248</v>
      </c>
      <c r="AA504" s="25" t="n">
        <v>3.4577853679657</v>
      </c>
      <c r="AB504" s="25" t="n">
        <v>0</v>
      </c>
      <c r="AC504" s="25" t="n">
        <v>0.162214532494545</v>
      </c>
      <c r="AD504" s="25" t="n">
        <v>0.0672318339347839</v>
      </c>
      <c r="AE504" s="25" t="n">
        <v>2.10653972625732</v>
      </c>
      <c r="AF504" s="25" t="n">
        <v>0.998685121536255</v>
      </c>
      <c r="AG504" s="25" t="n">
        <v>0.200588241219521</v>
      </c>
      <c r="AH504" s="25" t="n">
        <v>0.406712800264359</v>
      </c>
      <c r="AI504" s="25" t="n">
        <v>25.3498611450195</v>
      </c>
      <c r="AJ504" s="6" t="n">
        <v>36.1</v>
      </c>
      <c r="AK504" s="6" t="n">
        <v>137.6</v>
      </c>
      <c r="AL504" s="26"/>
    </row>
    <row r="505" customFormat="false" ht="15" hidden="false" customHeight="false" outlineLevel="0" collapsed="false">
      <c r="A505" s="6" t="s">
        <v>3811</v>
      </c>
      <c r="B505" s="6" t="s">
        <v>3812</v>
      </c>
      <c r="C505" s="6" t="s">
        <v>3158</v>
      </c>
      <c r="D505" s="13" t="n">
        <v>144.532897949219</v>
      </c>
      <c r="E505" s="25" t="n">
        <v>4.83501195907593</v>
      </c>
      <c r="F505" s="25" t="n">
        <v>23.0163917541504</v>
      </c>
      <c r="G505" s="25" t="n">
        <v>3.25751781463623</v>
      </c>
      <c r="H505" s="25" t="n">
        <v>4.31207895278931</v>
      </c>
      <c r="I505" s="25" t="n">
        <v>1.53004288673401</v>
      </c>
      <c r="J505" s="25" t="n">
        <v>1.45666149902344</v>
      </c>
      <c r="K505" s="25" t="n">
        <v>0.743998107910156</v>
      </c>
      <c r="L505" s="25" t="n">
        <v>0.759590759277344</v>
      </c>
      <c r="M505" s="25" t="n">
        <v>5.18416357040405</v>
      </c>
      <c r="N505" s="25" t="n">
        <v>122.080696105957</v>
      </c>
      <c r="O505" s="25" t="n">
        <v>329.752777099609</v>
      </c>
      <c r="P505" s="25" t="n">
        <v>31.7887954711914</v>
      </c>
      <c r="Q505" s="25" t="n">
        <v>82.1618041992188</v>
      </c>
      <c r="R505" s="25" t="n">
        <v>36.1362266540527</v>
      </c>
      <c r="S505" s="25" t="n">
        <v>1.20509314537048</v>
      </c>
      <c r="T505" s="25" t="n">
        <v>0.718969643115997</v>
      </c>
      <c r="U505" s="25" t="n">
        <v>0.172959595918655</v>
      </c>
      <c r="V505" s="25" t="n">
        <v>2.62144160270691</v>
      </c>
      <c r="W505" s="25" t="n">
        <v>0.474719375371933</v>
      </c>
      <c r="X505" s="25" t="n">
        <v>23.3165664672852</v>
      </c>
      <c r="Y505" s="25" t="n">
        <v>2180.08374023438</v>
      </c>
      <c r="Z505" s="25" t="n">
        <v>0.548354685306549</v>
      </c>
      <c r="AA505" s="25" t="n">
        <v>17.8301162719727</v>
      </c>
      <c r="AB505" s="25" t="n">
        <v>18.7747077941895</v>
      </c>
      <c r="AC505" s="25" t="n">
        <v>0.108984261751175</v>
      </c>
      <c r="AD505" s="25" t="n">
        <v>0.0434559285640717</v>
      </c>
      <c r="AE505" s="25" t="n">
        <v>1.04046785831451</v>
      </c>
      <c r="AF505" s="25" t="n">
        <v>0.59423154592514</v>
      </c>
      <c r="AG505" s="25" t="n">
        <v>0.152681052684784</v>
      </c>
      <c r="AH505" s="25" t="n">
        <v>1.71769177913666</v>
      </c>
      <c r="AI505" s="25" t="n">
        <v>32.2108993530273</v>
      </c>
      <c r="AJ505" s="6" t="n">
        <v>277.3</v>
      </c>
      <c r="AK505" s="6" t="n">
        <v>400.8</v>
      </c>
      <c r="AL505" s="26"/>
    </row>
    <row r="506" customFormat="false" ht="15" hidden="false" customHeight="false" outlineLevel="0" collapsed="false">
      <c r="A506" s="6" t="s">
        <v>691</v>
      </c>
      <c r="B506" s="6" t="s">
        <v>3813</v>
      </c>
      <c r="C506" s="6" t="s">
        <v>3158</v>
      </c>
      <c r="D506" s="13" t="n">
        <v>243.115585327148</v>
      </c>
      <c r="E506" s="25" t="n">
        <v>10.3085775375366</v>
      </c>
      <c r="F506" s="25" t="n">
        <v>29.7551155090332</v>
      </c>
      <c r="G506" s="25" t="n">
        <v>8.8433313369751</v>
      </c>
      <c r="H506" s="25" t="n">
        <v>3.11495900154114</v>
      </c>
      <c r="I506" s="25" t="n">
        <v>4.81216955184937</v>
      </c>
      <c r="J506" s="25" t="n">
        <v>4.6899775390625</v>
      </c>
      <c r="K506" s="25" t="n">
        <v>2.33778271484375</v>
      </c>
      <c r="L506" s="25" t="n">
        <v>1.0802421875</v>
      </c>
      <c r="M506" s="25" t="n">
        <v>7.28583335876465</v>
      </c>
      <c r="N506" s="25" t="n">
        <v>160.399826049805</v>
      </c>
      <c r="O506" s="25" t="n">
        <v>226.689559936523</v>
      </c>
      <c r="P506" s="25" t="n">
        <v>171.230499267578</v>
      </c>
      <c r="Q506" s="25" t="n">
        <v>180.52978515625</v>
      </c>
      <c r="R506" s="25" t="n">
        <v>39.7193412780762</v>
      </c>
      <c r="S506" s="25" t="n">
        <v>1.2734158039093</v>
      </c>
      <c r="T506" s="25" t="n">
        <v>1.48235464096069</v>
      </c>
      <c r="U506" s="25" t="n">
        <v>0.191895768046379</v>
      </c>
      <c r="V506" s="25" t="n">
        <v>10.136531829834</v>
      </c>
      <c r="W506" s="25" t="n">
        <v>0.509824931621552</v>
      </c>
      <c r="X506" s="25" t="n">
        <v>32.7691497802734</v>
      </c>
      <c r="Y506" s="25" t="n">
        <v>1342.68115234375</v>
      </c>
      <c r="Z506" s="25" t="n">
        <v>0.692872285842896</v>
      </c>
      <c r="AA506" s="25" t="n">
        <v>11.26442527771</v>
      </c>
      <c r="AB506" s="25" t="n">
        <v>5.8299765586853</v>
      </c>
      <c r="AC506" s="25" t="n">
        <v>0.0833615437150002</v>
      </c>
      <c r="AD506" s="25" t="n">
        <v>0.0658871978521347</v>
      </c>
      <c r="AE506" s="25" t="n">
        <v>0.986054956912994</v>
      </c>
      <c r="AF506" s="25" t="n">
        <v>0.616977214813232</v>
      </c>
      <c r="AG506" s="25" t="n">
        <v>0.13007727265358</v>
      </c>
      <c r="AH506" s="25" t="n">
        <v>7.08782529830933</v>
      </c>
      <c r="AI506" s="25" t="n">
        <v>47.7653999328613</v>
      </c>
      <c r="AJ506" s="6" t="n">
        <v>197.3</v>
      </c>
      <c r="AK506" s="6" t="n">
        <v>479.8</v>
      </c>
      <c r="AL506" s="26"/>
    </row>
    <row r="507" customFormat="false" ht="15" hidden="false" customHeight="false" outlineLevel="0" collapsed="false">
      <c r="A507" s="6" t="s">
        <v>3814</v>
      </c>
      <c r="B507" s="6" t="s">
        <v>3815</v>
      </c>
      <c r="C507" s="6" t="s">
        <v>3161</v>
      </c>
      <c r="D507" s="13" t="n">
        <v>255.946350097656</v>
      </c>
      <c r="E507" s="25" t="n">
        <v>6.18318033218384</v>
      </c>
      <c r="F507" s="25" t="n">
        <v>36.2771492004395</v>
      </c>
      <c r="G507" s="25" t="n">
        <v>9.0287036895752</v>
      </c>
      <c r="H507" s="25" t="n">
        <v>4.39571189880371</v>
      </c>
      <c r="I507" s="25" t="n">
        <v>1.49940812587738</v>
      </c>
      <c r="J507" s="25" t="n">
        <v>3.23306811523438</v>
      </c>
      <c r="K507" s="25" t="n">
        <v>2.00779968261719</v>
      </c>
      <c r="L507" s="25" t="n">
        <v>3.17861328125</v>
      </c>
      <c r="M507" s="25" t="n">
        <v>10.5650873184204</v>
      </c>
      <c r="N507" s="25" t="n">
        <v>228.6923828125</v>
      </c>
      <c r="O507" s="25" t="n">
        <v>286.218078613281</v>
      </c>
      <c r="P507" s="25" t="n">
        <v>40.861083984375</v>
      </c>
      <c r="Q507" s="25" t="n">
        <v>109.528564453125</v>
      </c>
      <c r="R507" s="25" t="n">
        <v>41.7122802734375</v>
      </c>
      <c r="S507" s="25" t="n">
        <v>1.23213064670563</v>
      </c>
      <c r="T507" s="25" t="n">
        <v>0.861193001270294</v>
      </c>
      <c r="U507" s="25" t="n">
        <v>0.214334800839424</v>
      </c>
      <c r="V507" s="25" t="n">
        <v>3.75845980644226</v>
      </c>
      <c r="W507" s="25" t="n">
        <v>0.566953003406525</v>
      </c>
      <c r="X507" s="25" t="n">
        <v>47.5180969238281</v>
      </c>
      <c r="Y507" s="25" t="n">
        <v>2185.6962890625</v>
      </c>
      <c r="Z507" s="25" t="n">
        <v>2.42251515388489</v>
      </c>
      <c r="AA507" s="25" t="n">
        <v>25.3607330322266</v>
      </c>
      <c r="AB507" s="25" t="n">
        <v>9.04404163360596</v>
      </c>
      <c r="AC507" s="25" t="n">
        <v>0.104163944721222</v>
      </c>
      <c r="AD507" s="25" t="n">
        <v>0.052315466105938</v>
      </c>
      <c r="AE507" s="25" t="n">
        <v>1.28552484512329</v>
      </c>
      <c r="AF507" s="25" t="n">
        <v>0.644293665885925</v>
      </c>
      <c r="AG507" s="25" t="n">
        <v>0.168690890073776</v>
      </c>
      <c r="AH507" s="25" t="n">
        <v>0.890554070472717</v>
      </c>
      <c r="AI507" s="25" t="n">
        <v>27.959400177002</v>
      </c>
      <c r="AJ507" s="6" t="n">
        <v>68</v>
      </c>
      <c r="AK507" s="6" t="n">
        <v>174.2</v>
      </c>
      <c r="AL507" s="26"/>
    </row>
    <row r="508" customFormat="false" ht="15" hidden="false" customHeight="false" outlineLevel="0" collapsed="false">
      <c r="A508" s="6" t="s">
        <v>714</v>
      </c>
      <c r="B508" s="6" t="s">
        <v>712</v>
      </c>
      <c r="C508" s="6" t="s">
        <v>3816</v>
      </c>
      <c r="D508" s="13" t="n">
        <v>267.697723388672</v>
      </c>
      <c r="E508" s="25" t="n">
        <v>3.11967206001282</v>
      </c>
      <c r="F508" s="25" t="n">
        <v>13.2793731689453</v>
      </c>
      <c r="G508" s="25" t="n">
        <v>22.6296672821045</v>
      </c>
      <c r="H508" s="25" t="n">
        <v>6.19312334060669</v>
      </c>
      <c r="I508" s="25" t="n">
        <v>4.15658330917358</v>
      </c>
      <c r="J508" s="25" t="n">
        <v>15.309578125</v>
      </c>
      <c r="K508" s="25" t="n">
        <v>1.34501867675781</v>
      </c>
      <c r="L508" s="25" t="n">
        <v>0.375378814697266</v>
      </c>
      <c r="M508" s="25" t="n">
        <v>0</v>
      </c>
      <c r="N508" s="25" t="n">
        <v>26.5943927764893</v>
      </c>
      <c r="O508" s="25" t="n">
        <v>161.418075561523</v>
      </c>
      <c r="P508" s="25" t="n">
        <v>6.36318063735962</v>
      </c>
      <c r="Q508" s="25" t="n">
        <v>55.2034568786621</v>
      </c>
      <c r="R508" s="25" t="n">
        <v>23.3029632568359</v>
      </c>
      <c r="S508" s="25" t="n">
        <v>0.826195299625397</v>
      </c>
      <c r="T508" s="25" t="n">
        <v>0.462897092103958</v>
      </c>
      <c r="U508" s="25" t="n">
        <v>0.232484355568886</v>
      </c>
      <c r="V508" s="25" t="n">
        <v>0.248871743679047</v>
      </c>
      <c r="W508" s="25" t="n">
        <v>0.511249899864197</v>
      </c>
      <c r="X508" s="25" t="n">
        <v>0</v>
      </c>
      <c r="Y508" s="25" t="n">
        <v>119.312362670898</v>
      </c>
      <c r="Z508" s="25" t="n">
        <v>1.49453854560852</v>
      </c>
      <c r="AA508" s="25" t="n">
        <v>12.8327550888062</v>
      </c>
      <c r="AB508" s="25" t="n">
        <v>1.68094706535339</v>
      </c>
      <c r="AC508" s="25" t="n">
        <v>0.043200995773077</v>
      </c>
      <c r="AD508" s="25" t="n">
        <v>0.0649268552660942</v>
      </c>
      <c r="AE508" s="25" t="n">
        <v>0.521507859230042</v>
      </c>
      <c r="AF508" s="25" t="n">
        <v>0.183508843183518</v>
      </c>
      <c r="AG508" s="25" t="n">
        <v>0.0821178629994392</v>
      </c>
      <c r="AH508" s="25" t="n">
        <v>0.3819739818573</v>
      </c>
      <c r="AI508" s="25" t="n">
        <v>18.0487060546875</v>
      </c>
      <c r="AJ508" s="6" t="n">
        <v>152.9</v>
      </c>
      <c r="AK508" s="6" t="n">
        <v>409.3</v>
      </c>
      <c r="AL508" s="26"/>
    </row>
    <row r="509" customFormat="false" ht="15" hidden="false" customHeight="false" outlineLevel="0" collapsed="false">
      <c r="A509" s="6" t="s">
        <v>3817</v>
      </c>
      <c r="B509" s="6" t="s">
        <v>3818</v>
      </c>
      <c r="C509" s="6" t="s">
        <v>3112</v>
      </c>
      <c r="D509" s="13" t="n">
        <v>136.082336425781</v>
      </c>
      <c r="E509" s="25" t="n">
        <v>4.58300876617432</v>
      </c>
      <c r="F509" s="25" t="n">
        <v>14.2424974441528</v>
      </c>
      <c r="G509" s="25" t="n">
        <v>7.0142970085144</v>
      </c>
      <c r="H509" s="25" t="n">
        <v>2.04951810836792</v>
      </c>
      <c r="I509" s="25" t="n">
        <v>1.67701077461243</v>
      </c>
      <c r="J509" s="25" t="n">
        <v>4.24824951171875</v>
      </c>
      <c r="K509" s="25" t="n">
        <v>1.77429992675781</v>
      </c>
      <c r="L509" s="25" t="n">
        <v>0.416377563476563</v>
      </c>
      <c r="M509" s="25" t="n">
        <v>19.6676502227783</v>
      </c>
      <c r="N509" s="25" t="n">
        <v>182.787094116211</v>
      </c>
      <c r="O509" s="25" t="n">
        <v>221.163223266602</v>
      </c>
      <c r="P509" s="25" t="n">
        <v>86.8564376831055</v>
      </c>
      <c r="Q509" s="25" t="n">
        <v>126.741394042969</v>
      </c>
      <c r="R509" s="25" t="n">
        <v>27.0544738769531</v>
      </c>
      <c r="S509" s="25" t="n">
        <v>0.748977363109589</v>
      </c>
      <c r="T509" s="25" t="n">
        <v>0.622654855251312</v>
      </c>
      <c r="U509" s="25" t="n">
        <v>0.0865880027413368</v>
      </c>
      <c r="V509" s="25" t="n">
        <v>3.96472978591919</v>
      </c>
      <c r="W509" s="25" t="n">
        <v>0.259882003068924</v>
      </c>
      <c r="X509" s="25" t="n">
        <v>77.4159317016602</v>
      </c>
      <c r="Y509" s="25" t="n">
        <v>1988.58508300781</v>
      </c>
      <c r="Z509" s="25" t="n">
        <v>0.288072764873505</v>
      </c>
      <c r="AA509" s="25" t="n">
        <v>12.3982305526733</v>
      </c>
      <c r="AB509" s="25" t="n">
        <v>6.50619459152222</v>
      </c>
      <c r="AC509" s="25" t="n">
        <v>0.0618092454969883</v>
      </c>
      <c r="AD509" s="25" t="n">
        <v>0.0574926249682903</v>
      </c>
      <c r="AE509" s="25" t="n">
        <v>0.953048169612885</v>
      </c>
      <c r="AF509" s="25" t="n">
        <v>0.336479842662811</v>
      </c>
      <c r="AG509" s="25" t="n">
        <v>0.221111103892326</v>
      </c>
      <c r="AH509" s="25" t="n">
        <v>3.31159281730652</v>
      </c>
      <c r="AI509" s="25" t="n">
        <v>32.4997940063477</v>
      </c>
      <c r="AJ509" s="6" t="n">
        <v>254.2</v>
      </c>
      <c r="AK509" s="6" t="n">
        <v>346</v>
      </c>
      <c r="AL509" s="26"/>
    </row>
    <row r="510" customFormat="false" ht="15" hidden="false" customHeight="false" outlineLevel="0" collapsed="false">
      <c r="A510" s="6" t="s">
        <v>3819</v>
      </c>
      <c r="B510" s="6" t="s">
        <v>3820</v>
      </c>
      <c r="C510" s="6" t="s">
        <v>3821</v>
      </c>
      <c r="D510" s="13" t="n">
        <v>97.4262084960938</v>
      </c>
      <c r="E510" s="25" t="n">
        <v>9.35006427764893</v>
      </c>
      <c r="F510" s="25" t="n">
        <v>10.043080329895</v>
      </c>
      <c r="G510" s="25" t="n">
        <v>9.51491641998291</v>
      </c>
      <c r="H510" s="25" t="n">
        <v>1.07847964763641</v>
      </c>
      <c r="I510" s="25" t="n">
        <v>1.41107749938965</v>
      </c>
      <c r="J510" s="25" t="n">
        <v>1.96868347167969</v>
      </c>
      <c r="K510" s="25" t="n">
        <v>1.29407592773438</v>
      </c>
      <c r="L510" s="25" t="n">
        <v>0.933045227050781</v>
      </c>
      <c r="M510" s="25" t="n">
        <v>13.9109296798706</v>
      </c>
      <c r="N510" s="25" t="n">
        <v>5358.59619140625</v>
      </c>
      <c r="O510" s="25" t="n">
        <v>271.958892822266</v>
      </c>
      <c r="P510" s="25" t="n">
        <v>73.661979675293</v>
      </c>
      <c r="Q510" s="25" t="n">
        <v>145.250747680664</v>
      </c>
      <c r="R510" s="25" t="n">
        <v>29.2532711029053</v>
      </c>
      <c r="S510" s="25" t="n">
        <v>2.06373143196106</v>
      </c>
      <c r="T510" s="25" t="n">
        <v>1.05991315841675</v>
      </c>
      <c r="U510" s="25" t="n">
        <v>0.0975504219532013</v>
      </c>
      <c r="V510" s="25" t="n">
        <v>2.80395174026489</v>
      </c>
      <c r="W510" s="25" t="n">
        <v>0.229954317212105</v>
      </c>
      <c r="X510" s="25" t="n">
        <v>21.5917282104492</v>
      </c>
      <c r="Y510" s="25" t="n">
        <v>2074.06469726563</v>
      </c>
      <c r="Z510" s="25" t="n">
        <v>0.692917883396149</v>
      </c>
      <c r="AA510" s="25" t="n">
        <v>8.34854030609131</v>
      </c>
      <c r="AB510" s="25" t="n">
        <v>7.45212984085083</v>
      </c>
      <c r="AC510" s="25" t="n">
        <v>0.048828512430191</v>
      </c>
      <c r="AD510" s="25" t="n">
        <v>0.0417402684688568</v>
      </c>
      <c r="AE510" s="25" t="n">
        <v>1.05480515956879</v>
      </c>
      <c r="AF510" s="25" t="n">
        <v>0.2993323802948</v>
      </c>
      <c r="AG510" s="25" t="n">
        <v>0.0757559239864349</v>
      </c>
      <c r="AH510" s="25" t="n">
        <v>1.30896818637848</v>
      </c>
      <c r="AI510" s="25" t="n">
        <v>10.0908517837524</v>
      </c>
      <c r="AJ510" s="6" t="n">
        <v>374.3</v>
      </c>
      <c r="AK510" s="6" t="n">
        <v>364.7</v>
      </c>
      <c r="AL510" s="26" t="s">
        <v>3053</v>
      </c>
    </row>
    <row r="511" customFormat="false" ht="15" hidden="false" customHeight="false" outlineLevel="0" collapsed="false">
      <c r="A511" s="6" t="s">
        <v>3822</v>
      </c>
      <c r="B511" s="6" t="s">
        <v>3823</v>
      </c>
      <c r="C511" s="6" t="s">
        <v>3824</v>
      </c>
      <c r="D511" s="13" t="n">
        <v>161.549514770508</v>
      </c>
      <c r="E511" s="25" t="n">
        <v>9.14674186706543</v>
      </c>
      <c r="F511" s="25" t="n">
        <v>16.1236839294434</v>
      </c>
      <c r="G511" s="25" t="n">
        <v>10.1679153442383</v>
      </c>
      <c r="H511" s="25" t="n">
        <v>1.18709111213684</v>
      </c>
      <c r="I511" s="25" t="n">
        <v>0.995106101036072</v>
      </c>
      <c r="J511" s="25" t="n">
        <v>0.977769592285156</v>
      </c>
      <c r="K511" s="25" t="n">
        <v>0.92862939453125</v>
      </c>
      <c r="L511" s="25" t="n">
        <v>2.30713110351563</v>
      </c>
      <c r="M511" s="25" t="n">
        <v>2.1273410320282</v>
      </c>
      <c r="N511" s="25" t="n">
        <v>2511.98608398438</v>
      </c>
      <c r="O511" s="25" t="n">
        <v>329.907623291016</v>
      </c>
      <c r="P511" s="25" t="n">
        <v>68.2757797241211</v>
      </c>
      <c r="Q511" s="25" t="n">
        <v>107.549186706543</v>
      </c>
      <c r="R511" s="25" t="n">
        <v>22.3896636962891</v>
      </c>
      <c r="S511" s="25" t="n">
        <v>1.85064291954041</v>
      </c>
      <c r="T511" s="25" t="n">
        <v>0.458064913749695</v>
      </c>
      <c r="U511" s="25" t="n">
        <v>0.0909238457679749</v>
      </c>
      <c r="V511" s="25" t="n">
        <v>2.54839587211609</v>
      </c>
      <c r="W511" s="25" t="n">
        <v>0.265106111764908</v>
      </c>
      <c r="X511" s="25" t="n">
        <v>9.568039894104</v>
      </c>
      <c r="Y511" s="25" t="n">
        <v>783.105407714844</v>
      </c>
      <c r="Z511" s="25" t="n">
        <v>1.74943196773529</v>
      </c>
      <c r="AA511" s="25" t="n">
        <v>2.91897630691528</v>
      </c>
      <c r="AB511" s="25" t="n">
        <v>7.24931335449219</v>
      </c>
      <c r="AC511" s="25" t="n">
        <v>0.0920848995447159</v>
      </c>
      <c r="AD511" s="25" t="n">
        <v>0.0478963777422905</v>
      </c>
      <c r="AE511" s="25" t="n">
        <v>2.38250327110291</v>
      </c>
      <c r="AF511" s="25" t="n">
        <v>0.242584273219109</v>
      </c>
      <c r="AG511" s="25" t="n">
        <v>0.0592446960508823</v>
      </c>
      <c r="AH511" s="25" t="n">
        <v>0.741429448127747</v>
      </c>
      <c r="AI511" s="25" t="n">
        <v>11.8464984893799</v>
      </c>
      <c r="AJ511" s="6" t="n">
        <v>400.5</v>
      </c>
      <c r="AK511" s="6" t="n">
        <v>647</v>
      </c>
      <c r="AL511" s="26" t="s">
        <v>3053</v>
      </c>
    </row>
    <row r="512" customFormat="false" ht="15" hidden="false" customHeight="false" outlineLevel="0" collapsed="false">
      <c r="A512" s="6" t="s">
        <v>3825</v>
      </c>
      <c r="B512" s="6" t="s">
        <v>3826</v>
      </c>
      <c r="C512" s="6" t="s">
        <v>3821</v>
      </c>
      <c r="D512" s="13" t="n">
        <v>158.126815795898</v>
      </c>
      <c r="E512" s="25" t="n">
        <v>5.60626077651978</v>
      </c>
      <c r="F512" s="25" t="n">
        <v>10.4577646255493</v>
      </c>
      <c r="G512" s="25" t="n">
        <v>10.6401014328003</v>
      </c>
      <c r="H512" s="25" t="n">
        <v>1.11488556861877</v>
      </c>
      <c r="I512" s="25" t="n">
        <v>1.86605167388916</v>
      </c>
      <c r="J512" s="25" t="n">
        <v>2.41991845703125</v>
      </c>
      <c r="K512" s="25" t="n">
        <v>2.646830078125</v>
      </c>
      <c r="L512" s="25" t="n">
        <v>4.84090380859375</v>
      </c>
      <c r="M512" s="25" t="n">
        <v>16.1484756469727</v>
      </c>
      <c r="N512" s="25" t="n">
        <v>189.12663269043</v>
      </c>
      <c r="O512" s="25" t="n">
        <v>152.855255126953</v>
      </c>
      <c r="P512" s="25" t="n">
        <v>40.8171539306641</v>
      </c>
      <c r="Q512" s="25" t="n">
        <v>81.0586471557617</v>
      </c>
      <c r="R512" s="25" t="n">
        <v>15.3030004501343</v>
      </c>
      <c r="S512" s="25" t="n">
        <v>0.712659537792206</v>
      </c>
      <c r="T512" s="25" t="n">
        <v>0.904067814350128</v>
      </c>
      <c r="U512" s="25" t="n">
        <v>0.07044567912817</v>
      </c>
      <c r="V512" s="25" t="n">
        <v>2.55827951431274</v>
      </c>
      <c r="W512" s="25" t="n">
        <v>0.301115721464157</v>
      </c>
      <c r="X512" s="25" t="n">
        <v>8.186692237854</v>
      </c>
      <c r="Y512" s="25" t="n">
        <v>1612.46166992188</v>
      </c>
      <c r="Z512" s="25" t="n">
        <v>3.72721266746521</v>
      </c>
      <c r="AA512" s="25" t="n">
        <v>9.0917558670044</v>
      </c>
      <c r="AB512" s="25" t="n">
        <v>7.93218374252319</v>
      </c>
      <c r="AC512" s="25" t="n">
        <v>0.0634828507900238</v>
      </c>
      <c r="AD512" s="25" t="n">
        <v>0.0528318770229816</v>
      </c>
      <c r="AE512" s="25" t="n">
        <v>1.36917364597321</v>
      </c>
      <c r="AF512" s="25" t="n">
        <v>0.31591871380806</v>
      </c>
      <c r="AG512" s="25" t="n">
        <v>0.0848044157028198</v>
      </c>
      <c r="AH512" s="25" t="n">
        <v>1.16969430446625</v>
      </c>
      <c r="AI512" s="25" t="n">
        <v>11.341194152832</v>
      </c>
      <c r="AJ512" s="6" t="n">
        <v>555.8</v>
      </c>
      <c r="AK512" s="6" t="n">
        <v>878.8</v>
      </c>
      <c r="AL512" s="26"/>
    </row>
    <row r="513" customFormat="false" ht="15" hidden="false" customHeight="false" outlineLevel="0" collapsed="false">
      <c r="A513" s="6" t="s">
        <v>3827</v>
      </c>
      <c r="B513" s="6" t="s">
        <v>3828</v>
      </c>
      <c r="C513" s="6" t="s">
        <v>3821</v>
      </c>
      <c r="D513" s="13" t="n">
        <v>158.53596496582</v>
      </c>
      <c r="E513" s="25" t="n">
        <v>3.95386552810669</v>
      </c>
      <c r="F513" s="25" t="n">
        <v>12.7246294021606</v>
      </c>
      <c r="G513" s="25" t="n">
        <v>10.4376049041748</v>
      </c>
      <c r="H513" s="25" t="n">
        <v>1.2498105764389</v>
      </c>
      <c r="I513" s="25" t="n">
        <v>3.02536249160767</v>
      </c>
      <c r="J513" s="25" t="n">
        <v>2.17633276367188</v>
      </c>
      <c r="K513" s="25" t="n">
        <v>2.24505859375</v>
      </c>
      <c r="L513" s="25" t="n">
        <v>5.341154296875</v>
      </c>
      <c r="M513" s="25" t="n">
        <v>2.57170510292053</v>
      </c>
      <c r="N513" s="25" t="n">
        <v>199.553039550781</v>
      </c>
      <c r="O513" s="25" t="n">
        <v>113.951934814453</v>
      </c>
      <c r="P513" s="25" t="n">
        <v>80.7320938110352</v>
      </c>
      <c r="Q513" s="25" t="n">
        <v>79.1697387695313</v>
      </c>
      <c r="R513" s="25" t="n">
        <v>15.0669679641724</v>
      </c>
      <c r="S513" s="25" t="n">
        <v>0.548795640468597</v>
      </c>
      <c r="T513" s="25" t="n">
        <v>0.528586864471436</v>
      </c>
      <c r="U513" s="25" t="n">
        <v>0.070903018116951</v>
      </c>
      <c r="V513" s="25" t="n">
        <v>4.33143854141235</v>
      </c>
      <c r="W513" s="25" t="n">
        <v>0.346028685569763</v>
      </c>
      <c r="X513" s="25" t="n">
        <v>8.16894626617432</v>
      </c>
      <c r="Y513" s="25" t="n">
        <v>1823.25622558594</v>
      </c>
      <c r="Z513" s="25" t="n">
        <v>4.1435923576355</v>
      </c>
      <c r="AA513" s="25" t="n">
        <v>10.1920528411865</v>
      </c>
      <c r="AB513" s="25" t="n">
        <v>8.8921480178833</v>
      </c>
      <c r="AC513" s="25" t="n">
        <v>0.048574972897768</v>
      </c>
      <c r="AD513" s="25" t="n">
        <v>0.0309873335063458</v>
      </c>
      <c r="AE513" s="25" t="n">
        <v>0.577190101146698</v>
      </c>
      <c r="AF513" s="25" t="n">
        <v>0.212153181433678</v>
      </c>
      <c r="AG513" s="25" t="n">
        <v>0.0579543337225914</v>
      </c>
      <c r="AH513" s="25" t="n">
        <v>2.60537481307983</v>
      </c>
      <c r="AI513" s="25" t="n">
        <v>19.8386573791504</v>
      </c>
      <c r="AJ513" s="6" t="n">
        <v>495.8</v>
      </c>
      <c r="AK513" s="6" t="n">
        <v>786</v>
      </c>
      <c r="AL513" s="26"/>
    </row>
    <row r="514" customFormat="false" ht="15" hidden="false" customHeight="false" outlineLevel="0" collapsed="false">
      <c r="A514" s="6" t="s">
        <v>3829</v>
      </c>
      <c r="B514" s="6" t="s">
        <v>3830</v>
      </c>
      <c r="C514" s="6" t="s">
        <v>3302</v>
      </c>
      <c r="D514" s="13" t="n">
        <v>63.3764801025391</v>
      </c>
      <c r="E514" s="25" t="n">
        <v>2.90158653259277</v>
      </c>
      <c r="F514" s="25" t="n">
        <v>5.38251209259033</v>
      </c>
      <c r="G514" s="25" t="n">
        <v>3.4347562789917</v>
      </c>
      <c r="H514" s="25" t="n">
        <v>0.473114639520645</v>
      </c>
      <c r="I514" s="25" t="n">
        <v>1.03946912288666</v>
      </c>
      <c r="J514" s="25" t="n">
        <v>1.50280517578125</v>
      </c>
      <c r="K514" s="25" t="n">
        <v>1.42305065917969</v>
      </c>
      <c r="L514" s="25" t="n">
        <v>0.225536315917969</v>
      </c>
      <c r="M514" s="25" t="n">
        <v>8.79951286315918</v>
      </c>
      <c r="N514" s="25" t="n">
        <v>37.0819396972656</v>
      </c>
      <c r="O514" s="25" t="n">
        <v>88.8933334350586</v>
      </c>
      <c r="P514" s="25" t="n">
        <v>24.6135349273682</v>
      </c>
      <c r="Q514" s="25" t="n">
        <v>41.9821701049805</v>
      </c>
      <c r="R514" s="25" t="n">
        <v>8.28073406219482</v>
      </c>
      <c r="S514" s="25" t="n">
        <v>0.494045972824097</v>
      </c>
      <c r="T514" s="25" t="n">
        <v>0.455653220415115</v>
      </c>
      <c r="U514" s="25" t="n">
        <v>0.0379014723002911</v>
      </c>
      <c r="V514" s="25" t="n">
        <v>1.40324938297272</v>
      </c>
      <c r="W514" s="25" t="n">
        <v>0.0838822647929192</v>
      </c>
      <c r="X514" s="25" t="n">
        <v>10.7014245986939</v>
      </c>
      <c r="Y514" s="25" t="n">
        <v>1063.56823730469</v>
      </c>
      <c r="Z514" s="25" t="n">
        <v>0.149827167391777</v>
      </c>
      <c r="AA514" s="25" t="n">
        <v>5.49050521850586</v>
      </c>
      <c r="AB514" s="25" t="n">
        <v>4.51761817932129</v>
      </c>
      <c r="AC514" s="25" t="n">
        <v>0.0309772174805403</v>
      </c>
      <c r="AD514" s="25" t="n">
        <v>0.0374397151172161</v>
      </c>
      <c r="AE514" s="25" t="n">
        <v>0.667806029319763</v>
      </c>
      <c r="AF514" s="25" t="n">
        <v>0.198261678218842</v>
      </c>
      <c r="AG514" s="25" t="n">
        <v>0.0464461594820023</v>
      </c>
      <c r="AH514" s="25" t="n">
        <v>0.724910378456116</v>
      </c>
      <c r="AI514" s="25" t="n">
        <v>6.34807634353638</v>
      </c>
      <c r="AJ514" s="6" t="n">
        <v>1774.5</v>
      </c>
      <c r="AK514" s="6" t="n">
        <v>1124.6</v>
      </c>
      <c r="AL514" s="26"/>
    </row>
    <row r="515" customFormat="false" ht="15" hidden="false" customHeight="false" outlineLevel="0" collapsed="false">
      <c r="A515" s="6" t="s">
        <v>3831</v>
      </c>
      <c r="B515" s="6" t="s">
        <v>3832</v>
      </c>
      <c r="C515" s="6" t="s">
        <v>3302</v>
      </c>
      <c r="D515" s="13" t="n">
        <v>49.2275657653809</v>
      </c>
      <c r="E515" s="25" t="n">
        <v>1.70511019229889</v>
      </c>
      <c r="F515" s="25" t="n">
        <v>5.90444946289063</v>
      </c>
      <c r="G515" s="25" t="n">
        <v>2.16018652915955</v>
      </c>
      <c r="H515" s="25" t="n">
        <v>0.663366556167603</v>
      </c>
      <c r="I515" s="25" t="n">
        <v>1.36756932735443</v>
      </c>
      <c r="J515" s="25" t="n">
        <v>1.05987768554688</v>
      </c>
      <c r="K515" s="25" t="n">
        <v>0.740187133789063</v>
      </c>
      <c r="L515" s="25" t="n">
        <v>0.166210510253906</v>
      </c>
      <c r="M515" s="25" t="n">
        <v>2.80846118927002</v>
      </c>
      <c r="N515" s="25" t="n">
        <v>40.784610748291</v>
      </c>
      <c r="O515" s="25" t="n">
        <v>126.445137023926</v>
      </c>
      <c r="P515" s="25" t="n">
        <v>32.8873405456543</v>
      </c>
      <c r="Q515" s="25" t="n">
        <v>32.5521774291992</v>
      </c>
      <c r="R515" s="25" t="n">
        <v>13.2566261291504</v>
      </c>
      <c r="S515" s="25" t="n">
        <v>0.569086074829102</v>
      </c>
      <c r="T515" s="25" t="n">
        <v>0.232661977410317</v>
      </c>
      <c r="U515" s="25" t="n">
        <v>0.0516336299479008</v>
      </c>
      <c r="V515" s="25" t="n">
        <v>1.3868979215622</v>
      </c>
      <c r="W515" s="25" t="n">
        <v>0.156244680285454</v>
      </c>
      <c r="X515" s="25" t="n">
        <v>12.5825891494751</v>
      </c>
      <c r="Y515" s="25" t="n">
        <v>1393.17041015625</v>
      </c>
      <c r="Z515" s="25" t="n">
        <v>0.305475115776062</v>
      </c>
      <c r="AA515" s="25" t="n">
        <v>23.0772857666016</v>
      </c>
      <c r="AB515" s="25" t="n">
        <v>10.2377939224243</v>
      </c>
      <c r="AC515" s="25" t="n">
        <v>0.0535684823989868</v>
      </c>
      <c r="AD515" s="25" t="n">
        <v>0.0337885469198227</v>
      </c>
      <c r="AE515" s="25" t="n">
        <v>0.372741043567658</v>
      </c>
      <c r="AF515" s="25" t="n">
        <v>0.136647880077362</v>
      </c>
      <c r="AG515" s="25" t="n">
        <v>0.0481735616922379</v>
      </c>
      <c r="AH515" s="25" t="n">
        <v>1.07420384883881</v>
      </c>
      <c r="AI515" s="25" t="n">
        <v>16.3190326690674</v>
      </c>
      <c r="AJ515" s="6" t="n">
        <v>1757.2</v>
      </c>
      <c r="AK515" s="6" t="n">
        <v>865</v>
      </c>
      <c r="AL515" s="26"/>
    </row>
    <row r="516" customFormat="false" ht="15" hidden="false" customHeight="false" outlineLevel="0" collapsed="false">
      <c r="A516" s="6" t="s">
        <v>3833</v>
      </c>
      <c r="B516" s="6" t="s">
        <v>3834</v>
      </c>
      <c r="C516" s="6" t="s">
        <v>3835</v>
      </c>
      <c r="D516" s="13" t="n">
        <v>240.844604492188</v>
      </c>
      <c r="E516" s="25" t="n">
        <v>6.54687738418579</v>
      </c>
      <c r="F516" s="25" t="n">
        <v>42.9210968017578</v>
      </c>
      <c r="G516" s="25" t="n">
        <v>4.3736162185669</v>
      </c>
      <c r="H516" s="25" t="n">
        <v>1.59502112865448</v>
      </c>
      <c r="I516" s="25" t="n">
        <v>1.03445208072662</v>
      </c>
      <c r="J516" s="25" t="n">
        <v>0.791182495117188</v>
      </c>
      <c r="K516" s="25" t="n">
        <v>2.57780493164063</v>
      </c>
      <c r="L516" s="25" t="n">
        <v>0.559430969238281</v>
      </c>
      <c r="M516" s="25" t="n">
        <v>38.2662811279297</v>
      </c>
      <c r="N516" s="25" t="n">
        <v>177.243118286133</v>
      </c>
      <c r="O516" s="25" t="n">
        <v>90.1222457885742</v>
      </c>
      <c r="P516" s="25" t="n">
        <v>15.9591026306152</v>
      </c>
      <c r="Q516" s="25" t="n">
        <v>83.0984649658203</v>
      </c>
      <c r="R516" s="25" t="n">
        <v>18.5421657562256</v>
      </c>
      <c r="S516" s="25" t="n">
        <v>1.14896655082703</v>
      </c>
      <c r="T516" s="25" t="n">
        <v>0.567326128482819</v>
      </c>
      <c r="U516" s="25" t="n">
        <v>0.102456100285053</v>
      </c>
      <c r="V516" s="25" t="n">
        <v>1.82938432693481</v>
      </c>
      <c r="W516" s="25" t="n">
        <v>0.365147829055786</v>
      </c>
      <c r="X516" s="25" t="n">
        <v>19.1687030792236</v>
      </c>
      <c r="Y516" s="25" t="n">
        <v>164.60546875</v>
      </c>
      <c r="Z516" s="25" t="n">
        <v>0.287552803754807</v>
      </c>
      <c r="AA516" s="25" t="n">
        <v>2.30328965187073</v>
      </c>
      <c r="AB516" s="25" t="n">
        <v>0</v>
      </c>
      <c r="AC516" s="25" t="n">
        <v>0.0905979052186012</v>
      </c>
      <c r="AD516" s="25" t="n">
        <v>0.0403645262122154</v>
      </c>
      <c r="AE516" s="25" t="n">
        <v>0.469526588916779</v>
      </c>
      <c r="AF516" s="25" t="n">
        <v>0.51495885848999</v>
      </c>
      <c r="AG516" s="25" t="n">
        <v>0.056545902043581</v>
      </c>
      <c r="AH516" s="25" t="n">
        <v>2.65463423728943</v>
      </c>
      <c r="AI516" s="25" t="n">
        <v>13.3740835189819</v>
      </c>
      <c r="AJ516" s="6" t="n">
        <v>225</v>
      </c>
      <c r="AK516" s="6" t="n">
        <v>541.8</v>
      </c>
      <c r="AL516" s="26"/>
    </row>
    <row r="517" customFormat="false" ht="15" hidden="false" customHeight="false" outlineLevel="0" collapsed="false">
      <c r="A517" s="6" t="s">
        <v>3836</v>
      </c>
      <c r="B517" s="6" t="s">
        <v>3837</v>
      </c>
      <c r="C517" s="6" t="s">
        <v>3835</v>
      </c>
      <c r="D517" s="13" t="n">
        <v>34.7867965698242</v>
      </c>
      <c r="E517" s="25" t="n">
        <v>2.21577763557434</v>
      </c>
      <c r="F517" s="25" t="n">
        <v>6.03907680511475</v>
      </c>
      <c r="G517" s="25" t="n">
        <v>0.124127149581909</v>
      </c>
      <c r="H517" s="25" t="n">
        <v>1.22233486175537</v>
      </c>
      <c r="I517" s="25" t="n">
        <v>1.25197780132294</v>
      </c>
      <c r="J517" s="25" t="n">
        <v>0.0194205360412598</v>
      </c>
      <c r="K517" s="25" t="n">
        <v>0.0177198848724365</v>
      </c>
      <c r="L517" s="25" t="n">
        <v>0.0521553726196289</v>
      </c>
      <c r="M517" s="25" t="n">
        <v>0</v>
      </c>
      <c r="N517" s="25" t="n">
        <v>115.604469299316</v>
      </c>
      <c r="O517" s="25" t="n">
        <v>98.5168991088867</v>
      </c>
      <c r="P517" s="25" t="n">
        <v>8.29065608978272</v>
      </c>
      <c r="Q517" s="25" t="n">
        <v>30.7372627258301</v>
      </c>
      <c r="R517" s="25" t="n">
        <v>9.99253273010254</v>
      </c>
      <c r="S517" s="25" t="n">
        <v>0.851956367492676</v>
      </c>
      <c r="T517" s="25" t="n">
        <v>0.34395095705986</v>
      </c>
      <c r="U517" s="25" t="n">
        <v>0.0974688455462456</v>
      </c>
      <c r="V517" s="25" t="n">
        <v>4.14827585220337</v>
      </c>
      <c r="W517" s="25" t="n">
        <v>0.184032306075096</v>
      </c>
      <c r="X517" s="25" t="n">
        <v>0</v>
      </c>
      <c r="Y517" s="25" t="n">
        <v>104.409416198731</v>
      </c>
      <c r="Z517" s="25" t="n">
        <v>0.0246211960911751</v>
      </c>
      <c r="AA517" s="25" t="n">
        <v>1.09676337242127</v>
      </c>
      <c r="AB517" s="25" t="n">
        <v>0.518579363822937</v>
      </c>
      <c r="AC517" s="25" t="n">
        <v>0.0365540906786919</v>
      </c>
      <c r="AD517" s="25" t="n">
        <v>0.0172331277281046</v>
      </c>
      <c r="AE517" s="25" t="n">
        <v>0.21553485095501</v>
      </c>
      <c r="AF517" s="25" t="n">
        <v>0.135339930653572</v>
      </c>
      <c r="AG517" s="25" t="n">
        <v>0.0286151859909296</v>
      </c>
      <c r="AH517" s="25" t="n">
        <v>0.276269853115082</v>
      </c>
      <c r="AI517" s="25" t="n">
        <v>6.19960021972656</v>
      </c>
      <c r="AJ517" s="6" t="n">
        <v>362.7</v>
      </c>
      <c r="AK517" s="6" t="n">
        <v>126.2</v>
      </c>
      <c r="AL517" s="26"/>
    </row>
    <row r="518" customFormat="false" ht="15" hidden="false" customHeight="false" outlineLevel="0" collapsed="false">
      <c r="A518" s="6" t="s">
        <v>3838</v>
      </c>
      <c r="B518" s="6" t="s">
        <v>3839</v>
      </c>
      <c r="C518" s="6" t="s">
        <v>3835</v>
      </c>
      <c r="D518" s="13" t="n">
        <v>69.434928894043</v>
      </c>
      <c r="E518" s="25" t="n">
        <v>3.14022278785706</v>
      </c>
      <c r="F518" s="25" t="n">
        <v>8.86236572265625</v>
      </c>
      <c r="G518" s="25" t="n">
        <v>2.16867542266846</v>
      </c>
      <c r="H518" s="25" t="n">
        <v>2.50152897834778</v>
      </c>
      <c r="I518" s="25" t="n">
        <v>1.32151532173157</v>
      </c>
      <c r="J518" s="25" t="n">
        <v>1.1606640625</v>
      </c>
      <c r="K518" s="25" t="n">
        <v>0.519378173828125</v>
      </c>
      <c r="L518" s="25" t="n">
        <v>0.228232055664063</v>
      </c>
      <c r="M518" s="25" t="n">
        <v>4.62041234970093</v>
      </c>
      <c r="N518" s="25" t="n">
        <v>109.558547973633</v>
      </c>
      <c r="O518" s="25" t="n">
        <v>233.338714599609</v>
      </c>
      <c r="P518" s="25" t="n">
        <v>16.4047870635986</v>
      </c>
      <c r="Q518" s="25" t="n">
        <v>55.6899070739746</v>
      </c>
      <c r="R518" s="25" t="n">
        <v>28.5310783386231</v>
      </c>
      <c r="S518" s="25" t="n">
        <v>0.82998913526535</v>
      </c>
      <c r="T518" s="25" t="n">
        <v>0.458518445491791</v>
      </c>
      <c r="U518" s="25" t="n">
        <v>0.10503963381052</v>
      </c>
      <c r="V518" s="25" t="n">
        <v>2.77707672119141</v>
      </c>
      <c r="W518" s="25" t="n">
        <v>0.383406698703766</v>
      </c>
      <c r="X518" s="25" t="n">
        <v>17.3171558380127</v>
      </c>
      <c r="Y518" s="25" t="n">
        <v>557.321044921875</v>
      </c>
      <c r="Z518" s="25" t="n">
        <v>0.169391453266144</v>
      </c>
      <c r="AA518" s="25" t="n">
        <v>4.97472524642944</v>
      </c>
      <c r="AB518" s="25" t="n">
        <v>6.53552103042603</v>
      </c>
      <c r="AC518" s="25" t="n">
        <v>0.0386585779488087</v>
      </c>
      <c r="AD518" s="25" t="n">
        <v>0.0199038349092007</v>
      </c>
      <c r="AE518" s="25" t="n">
        <v>0.366911828517914</v>
      </c>
      <c r="AF518" s="25" t="n">
        <v>0.427101522684097</v>
      </c>
      <c r="AG518" s="25" t="n">
        <v>0.0688749477267265</v>
      </c>
      <c r="AH518" s="25" t="n">
        <v>0.965562164783478</v>
      </c>
      <c r="AI518" s="25" t="n">
        <v>20.456600189209</v>
      </c>
      <c r="AJ518" s="6" t="n">
        <v>266.2</v>
      </c>
      <c r="AK518" s="6" t="n">
        <v>184.8</v>
      </c>
      <c r="AL518" s="26"/>
    </row>
    <row r="519" customFormat="false" ht="15" hidden="false" customHeight="false" outlineLevel="0" collapsed="false">
      <c r="A519" s="6" t="s">
        <v>3840</v>
      </c>
      <c r="B519" s="6" t="s">
        <v>3841</v>
      </c>
      <c r="C519" s="6" t="s">
        <v>3835</v>
      </c>
      <c r="D519" s="13" t="n">
        <v>52.8370056152344</v>
      </c>
      <c r="E519" s="25" t="n">
        <v>2.05104327201843</v>
      </c>
      <c r="F519" s="25" t="n">
        <v>4.76592588424683</v>
      </c>
      <c r="G519" s="25" t="n">
        <v>2.75533366203308</v>
      </c>
      <c r="H519" s="25" t="n">
        <v>1.29506421089172</v>
      </c>
      <c r="I519" s="25" t="n">
        <v>0.230618640780449</v>
      </c>
      <c r="J519" s="25" t="n">
        <v>1.50183166503906</v>
      </c>
      <c r="K519" s="25" t="n">
        <v>0.6962822265625</v>
      </c>
      <c r="L519" s="25" t="n">
        <v>0.239250778198242</v>
      </c>
      <c r="M519" s="25" t="n">
        <v>6.09967756271362</v>
      </c>
      <c r="N519" s="25" t="n">
        <v>109.967086791992</v>
      </c>
      <c r="O519" s="25" t="n">
        <v>205.613891601563</v>
      </c>
      <c r="P519" s="25" t="n">
        <v>21.8096332550049</v>
      </c>
      <c r="Q519" s="25" t="n">
        <v>32.575626373291</v>
      </c>
      <c r="R519" s="25" t="n">
        <v>23.7892627716065</v>
      </c>
      <c r="S519" s="25" t="n">
        <v>0.894191920757294</v>
      </c>
      <c r="T519" s="25" t="n">
        <v>0.294785499572754</v>
      </c>
      <c r="U519" s="25" t="n">
        <v>0.118369452655315</v>
      </c>
      <c r="V519" s="25" t="n">
        <v>1.3531676530838</v>
      </c>
      <c r="W519" s="25" t="n">
        <v>0.30995437502861</v>
      </c>
      <c r="X519" s="25" t="n">
        <v>22.8613929748535</v>
      </c>
      <c r="Y519" s="25" t="n">
        <v>1307.37890625</v>
      </c>
      <c r="Z519" s="25" t="n">
        <v>0.333026766777039</v>
      </c>
      <c r="AA519" s="25" t="n">
        <v>44.7813987731934</v>
      </c>
      <c r="AB519" s="25" t="n">
        <v>4.66018390655518</v>
      </c>
      <c r="AC519" s="25" t="n">
        <v>0.0582348145544529</v>
      </c>
      <c r="AD519" s="25" t="n">
        <v>0.0245712865144014</v>
      </c>
      <c r="AE519" s="25" t="n">
        <v>0.242517977952957</v>
      </c>
      <c r="AF519" s="25" t="n">
        <v>0.131200343370438</v>
      </c>
      <c r="AG519" s="25" t="n">
        <v>0.0470907501876354</v>
      </c>
      <c r="AH519" s="25" t="n">
        <v>0.565352082252502</v>
      </c>
      <c r="AI519" s="25" t="n">
        <v>26.2574863433838</v>
      </c>
      <c r="AJ519" s="6" t="n">
        <v>403.3</v>
      </c>
      <c r="AK519" s="6" t="n">
        <v>213.1</v>
      </c>
      <c r="AL519" s="26"/>
    </row>
    <row r="520" customFormat="false" ht="15" hidden="false" customHeight="false" outlineLevel="0" collapsed="false">
      <c r="A520" s="6" t="s">
        <v>3842</v>
      </c>
      <c r="B520" s="6" t="s">
        <v>3843</v>
      </c>
      <c r="C520" s="6" t="s">
        <v>3835</v>
      </c>
      <c r="D520" s="13" t="n">
        <v>24.0789642333984</v>
      </c>
      <c r="E520" s="25" t="n">
        <v>0.397086381912231</v>
      </c>
      <c r="F520" s="25" t="n">
        <v>0.995238184928894</v>
      </c>
      <c r="G520" s="25" t="n">
        <v>2.0480272769928</v>
      </c>
      <c r="H520" s="25" t="n">
        <v>0.393867909908295</v>
      </c>
      <c r="I520" s="25" t="n">
        <v>0.448223024606705</v>
      </c>
      <c r="J520" s="25" t="n">
        <v>1.152818359375</v>
      </c>
      <c r="K520" s="25" t="n">
        <v>0.521447021484375</v>
      </c>
      <c r="L520" s="25" t="n">
        <v>0.161436935424805</v>
      </c>
      <c r="M520" s="25" t="n">
        <v>4.7507381439209</v>
      </c>
      <c r="N520" s="25" t="n">
        <v>112.364479064941</v>
      </c>
      <c r="O520" s="25" t="n">
        <v>33.6594734191895</v>
      </c>
      <c r="P520" s="25" t="n">
        <v>2.9873833656311</v>
      </c>
      <c r="Q520" s="25" t="n">
        <v>6.77385711669922</v>
      </c>
      <c r="R520" s="25" t="n">
        <v>3.97920227050781</v>
      </c>
      <c r="S520" s="25" t="n">
        <v>0.182074651122093</v>
      </c>
      <c r="T520" s="25" t="n">
        <v>0.0581645369529724</v>
      </c>
      <c r="U520" s="25" t="n">
        <v>0.0186329912394285</v>
      </c>
      <c r="V520" s="25" t="n">
        <v>0.0259676668792963</v>
      </c>
      <c r="W520" s="25" t="n">
        <v>0.096220925450325</v>
      </c>
      <c r="X520" s="25" t="n">
        <v>17.8056106567383</v>
      </c>
      <c r="Y520" s="25" t="n">
        <v>318.111511230469</v>
      </c>
      <c r="Z520" s="25" t="n">
        <v>0.155048966407776</v>
      </c>
      <c r="AA520" s="25" t="n">
        <v>1.95393550395966</v>
      </c>
      <c r="AB520" s="25" t="n">
        <v>2.81167840957642</v>
      </c>
      <c r="AC520" s="25" t="n">
        <v>0.00779761094599962</v>
      </c>
      <c r="AD520" s="25" t="n">
        <v>0.00517504895105958</v>
      </c>
      <c r="AE520" s="25" t="n">
        <v>0.0719474703073502</v>
      </c>
      <c r="AF520" s="25" t="n">
        <v>0.034811157733202</v>
      </c>
      <c r="AG520" s="25" t="n">
        <v>0.019903164356947</v>
      </c>
      <c r="AH520" s="25" t="n">
        <v>0.21769692003727</v>
      </c>
      <c r="AI520" s="25" t="n">
        <v>3.17741894721985</v>
      </c>
      <c r="AJ520" s="6" t="n">
        <v>362.5</v>
      </c>
      <c r="AK520" s="6" t="n">
        <v>87.3</v>
      </c>
      <c r="AL520" s="26"/>
    </row>
    <row r="521" customFormat="false" ht="15" hidden="false" customHeight="false" outlineLevel="0" collapsed="false">
      <c r="A521" s="6" t="s">
        <v>1059</v>
      </c>
      <c r="B521" s="6" t="s">
        <v>3844</v>
      </c>
      <c r="C521" s="6" t="s">
        <v>3835</v>
      </c>
      <c r="D521" s="13" t="n">
        <v>26.7405376434326</v>
      </c>
      <c r="E521" s="25" t="n">
        <v>1.13163161277771</v>
      </c>
      <c r="F521" s="25" t="n">
        <v>3.3697555065155</v>
      </c>
      <c r="G521" s="25" t="n">
        <v>0.881819069385529</v>
      </c>
      <c r="H521" s="25" t="n">
        <v>1.59561312198639</v>
      </c>
      <c r="I521" s="25" t="n">
        <v>0.829859435558319</v>
      </c>
      <c r="J521" s="25" t="n">
        <v>0.110596397399902</v>
      </c>
      <c r="K521" s="25" t="n">
        <v>0.214457565307617</v>
      </c>
      <c r="L521" s="25" t="n">
        <v>0.454773681640625</v>
      </c>
      <c r="M521" s="25" t="n">
        <v>0</v>
      </c>
      <c r="N521" s="25" t="n">
        <v>104.106498718262</v>
      </c>
      <c r="O521" s="25" t="n">
        <v>130.655395507813</v>
      </c>
      <c r="P521" s="25" t="n">
        <v>16.5583744049072</v>
      </c>
      <c r="Q521" s="25" t="n">
        <v>21.1229763031006</v>
      </c>
      <c r="R521" s="25" t="n">
        <v>14.6626300811768</v>
      </c>
      <c r="S521" s="25" t="n">
        <v>0.585790634155273</v>
      </c>
      <c r="T521" s="25" t="n">
        <v>0.165215328335762</v>
      </c>
      <c r="U521" s="25" t="n">
        <v>0.0739554241299629</v>
      </c>
      <c r="V521" s="25" t="n">
        <v>0.972243070602417</v>
      </c>
      <c r="W521" s="25" t="n">
        <v>0.178132459521294</v>
      </c>
      <c r="X521" s="25" t="n">
        <v>0</v>
      </c>
      <c r="Y521" s="25" t="n">
        <v>2711.2431640625</v>
      </c>
      <c r="Z521" s="25" t="n">
        <v>0.333537340164185</v>
      </c>
      <c r="AA521" s="25" t="n">
        <v>13.0014247894287</v>
      </c>
      <c r="AB521" s="25" t="n">
        <v>4.43002080917358</v>
      </c>
      <c r="AC521" s="25" t="n">
        <v>0.0327911861240864</v>
      </c>
      <c r="AD521" s="25" t="n">
        <v>0.0247813370078802</v>
      </c>
      <c r="AE521" s="25" t="n">
        <v>0.286847919225693</v>
      </c>
      <c r="AF521" s="25" t="n">
        <v>0.0830920562148094</v>
      </c>
      <c r="AG521" s="25" t="n">
        <v>0.0357868000864983</v>
      </c>
      <c r="AH521" s="25" t="n">
        <v>0.244197562336922</v>
      </c>
      <c r="AI521" s="25" t="n">
        <v>7.35575723648071</v>
      </c>
      <c r="AJ521" s="6" t="n">
        <v>389.9</v>
      </c>
      <c r="AK521" s="6" t="n">
        <v>104.3</v>
      </c>
      <c r="AL521" s="26"/>
    </row>
    <row r="522" customFormat="false" ht="15" hidden="false" customHeight="false" outlineLevel="0" collapsed="false">
      <c r="A522" s="6" t="s">
        <v>3845</v>
      </c>
      <c r="B522" s="6" t="s">
        <v>3846</v>
      </c>
      <c r="C522" s="6" t="s">
        <v>3835</v>
      </c>
      <c r="D522" s="13" t="n">
        <v>24.4121360778809</v>
      </c>
      <c r="E522" s="25" t="n">
        <v>1.1060152053833</v>
      </c>
      <c r="F522" s="25" t="n">
        <v>2.84559321403503</v>
      </c>
      <c r="G522" s="25" t="n">
        <v>0.874419450759888</v>
      </c>
      <c r="H522" s="25" t="n">
        <v>1.53701269626617</v>
      </c>
      <c r="I522" s="25" t="n">
        <v>0.444753170013428</v>
      </c>
      <c r="J522" s="25" t="n">
        <v>0.111028823852539</v>
      </c>
      <c r="K522" s="25" t="n">
        <v>0.211745071411133</v>
      </c>
      <c r="L522" s="25" t="n">
        <v>0.451350433349609</v>
      </c>
      <c r="M522" s="25" t="n">
        <v>0</v>
      </c>
      <c r="N522" s="25" t="n">
        <v>102.767044067383</v>
      </c>
      <c r="O522" s="25" t="n">
        <v>124.516624450684</v>
      </c>
      <c r="P522" s="25" t="n">
        <v>15.5592794418335</v>
      </c>
      <c r="Q522" s="25" t="n">
        <v>20.2125282287598</v>
      </c>
      <c r="R522" s="25" t="n">
        <v>13.9800939559937</v>
      </c>
      <c r="S522" s="25" t="n">
        <v>0.515130937099457</v>
      </c>
      <c r="T522" s="25" t="n">
        <v>0.160819783806801</v>
      </c>
      <c r="U522" s="25" t="n">
        <v>0.0693080127239227</v>
      </c>
      <c r="V522" s="25" t="n">
        <v>0.964572370052338</v>
      </c>
      <c r="W522" s="25" t="n">
        <v>0.172144174575806</v>
      </c>
      <c r="X522" s="25" t="n">
        <v>0</v>
      </c>
      <c r="Y522" s="25" t="n">
        <v>2678.9521484375</v>
      </c>
      <c r="Z522" s="25" t="n">
        <v>0.32897076010704</v>
      </c>
      <c r="AA522" s="25" t="n">
        <v>12.8403663635254</v>
      </c>
      <c r="AB522" s="25" t="n">
        <v>4.99853467941284</v>
      </c>
      <c r="AC522" s="25" t="n">
        <v>0.0304011460393667</v>
      </c>
      <c r="AD522" s="25" t="n">
        <v>0.0241562481969595</v>
      </c>
      <c r="AE522" s="25" t="n">
        <v>0.273609548807144</v>
      </c>
      <c r="AF522" s="25" t="n">
        <v>0.0831328481435776</v>
      </c>
      <c r="AG522" s="25" t="n">
        <v>0.035720769315958</v>
      </c>
      <c r="AH522" s="25" t="n">
        <v>0.236390456557274</v>
      </c>
      <c r="AI522" s="25" t="n">
        <v>7.33047437667847</v>
      </c>
      <c r="AJ522" s="6" t="n">
        <v>394.4</v>
      </c>
      <c r="AK522" s="6" t="n">
        <v>96.3</v>
      </c>
      <c r="AL522" s="26"/>
    </row>
    <row r="523" customFormat="false" ht="15" hidden="false" customHeight="false" outlineLevel="0" collapsed="false">
      <c r="A523" s="6" t="s">
        <v>995</v>
      </c>
      <c r="B523" s="6" t="s">
        <v>3847</v>
      </c>
      <c r="C523" s="6" t="s">
        <v>3007</v>
      </c>
      <c r="D523" s="13" t="n">
        <v>63.4348754882813</v>
      </c>
      <c r="E523" s="25" t="n">
        <v>3.23057055473328</v>
      </c>
      <c r="F523" s="25" t="n">
        <v>6.79501819610596</v>
      </c>
      <c r="G523" s="25" t="n">
        <v>2.47968029975891</v>
      </c>
      <c r="H523" s="25" t="n">
        <v>3.01510858535767</v>
      </c>
      <c r="I523" s="25" t="n">
        <v>0.147892966866493</v>
      </c>
      <c r="J523" s="25" t="n">
        <v>1.35311389160156</v>
      </c>
      <c r="K523" s="25" t="n">
        <v>0.620474731445313</v>
      </c>
      <c r="L523" s="25" t="n">
        <v>0.232590362548828</v>
      </c>
      <c r="M523" s="25" t="n">
        <v>5.44922924041748</v>
      </c>
      <c r="N523" s="25" t="n">
        <v>181.691268920898</v>
      </c>
      <c r="O523" s="25" t="n">
        <v>192.658157348633</v>
      </c>
      <c r="P523" s="25" t="n">
        <v>25.0371570587158</v>
      </c>
      <c r="Q523" s="25" t="n">
        <v>52.0158615112305</v>
      </c>
      <c r="R523" s="25" t="n">
        <v>32.5721740722656</v>
      </c>
      <c r="S523" s="25" t="n">
        <v>1.00452601909638</v>
      </c>
      <c r="T523" s="25" t="n">
        <v>0.416646301746368</v>
      </c>
      <c r="U523" s="25" t="n">
        <v>0.15249602496624</v>
      </c>
      <c r="V523" s="25" t="n">
        <v>3.18961548805237</v>
      </c>
      <c r="W523" s="25" t="n">
        <v>0.529637157917023</v>
      </c>
      <c r="X523" s="25" t="n">
        <v>20.4235324859619</v>
      </c>
      <c r="Y523" s="25" t="n">
        <v>197.716796875</v>
      </c>
      <c r="Z523" s="25" t="n">
        <v>0.195443913340569</v>
      </c>
      <c r="AA523" s="25" t="n">
        <v>3.91670227050781</v>
      </c>
      <c r="AB523" s="25" t="n">
        <v>0.212427332997322</v>
      </c>
      <c r="AC523" s="25" t="n">
        <v>0.0657624527812004</v>
      </c>
      <c r="AD523" s="25" t="n">
        <v>0.0404186621308327</v>
      </c>
      <c r="AE523" s="25" t="n">
        <v>0.338821560144424</v>
      </c>
      <c r="AF523" s="25" t="n">
        <v>0.283517181873322</v>
      </c>
      <c r="AG523" s="25" t="n">
        <v>0.0589416064321995</v>
      </c>
      <c r="AH523" s="25" t="n">
        <v>0.235019490122795</v>
      </c>
      <c r="AI523" s="25" t="n">
        <v>20.0595817565918</v>
      </c>
      <c r="AJ523" s="6" t="n">
        <v>225.7</v>
      </c>
      <c r="AK523" s="6" t="n">
        <v>143.2</v>
      </c>
      <c r="AL523" s="26"/>
    </row>
    <row r="524" customFormat="false" ht="15" hidden="false" customHeight="false" outlineLevel="0" collapsed="false">
      <c r="A524" s="6" t="s">
        <v>3848</v>
      </c>
      <c r="B524" s="6" t="s">
        <v>3849</v>
      </c>
      <c r="C524" s="6" t="s">
        <v>3007</v>
      </c>
      <c r="D524" s="13" t="n">
        <v>79.3927307128906</v>
      </c>
      <c r="E524" s="25" t="n">
        <v>2.3288562297821</v>
      </c>
      <c r="F524" s="25" t="n">
        <v>5.03235721588135</v>
      </c>
      <c r="G524" s="25" t="n">
        <v>5.46153402328491</v>
      </c>
      <c r="H524" s="25" t="n">
        <v>2.14921236038208</v>
      </c>
      <c r="I524" s="25" t="n">
        <v>0.864108443260193</v>
      </c>
      <c r="J524" s="25" t="n">
        <v>3.1691171875</v>
      </c>
      <c r="K524" s="25" t="n">
        <v>1.39798852539063</v>
      </c>
      <c r="L524" s="25" t="n">
        <v>0.365510772705078</v>
      </c>
      <c r="M524" s="25" t="n">
        <v>13.3770942687988</v>
      </c>
      <c r="N524" s="25" t="n">
        <v>60.0876808166504</v>
      </c>
      <c r="O524" s="25" t="n">
        <v>160.467086791992</v>
      </c>
      <c r="P524" s="25" t="n">
        <v>21.4493408203125</v>
      </c>
      <c r="Q524" s="25" t="n">
        <v>42.6280670166016</v>
      </c>
      <c r="R524" s="25" t="n">
        <v>20.5539455413818</v>
      </c>
      <c r="S524" s="25" t="n">
        <v>0.711721122264862</v>
      </c>
      <c r="T524" s="25" t="n">
        <v>0.334022641181946</v>
      </c>
      <c r="U524" s="25" t="n">
        <v>0.0791643261909485</v>
      </c>
      <c r="V524" s="25" t="n">
        <v>2.50519037246704</v>
      </c>
      <c r="W524" s="25" t="n">
        <v>0.308395653963089</v>
      </c>
      <c r="X524" s="25" t="n">
        <v>52.569034576416</v>
      </c>
      <c r="Y524" s="25" t="n">
        <v>1554.75036621094</v>
      </c>
      <c r="Z524" s="25" t="n">
        <v>0.360578745603561</v>
      </c>
      <c r="AA524" s="25" t="n">
        <v>8.24044036865234</v>
      </c>
      <c r="AB524" s="25" t="n">
        <v>6.44055223464966</v>
      </c>
      <c r="AC524" s="25" t="n">
        <v>0.040337935090065</v>
      </c>
      <c r="AD524" s="25" t="n">
        <v>0.0339658223092556</v>
      </c>
      <c r="AE524" s="25" t="n">
        <v>0.319687873125076</v>
      </c>
      <c r="AF524" s="25" t="n">
        <v>0.345057040452957</v>
      </c>
      <c r="AG524" s="25" t="n">
        <v>0.0684646889567375</v>
      </c>
      <c r="AH524" s="25" t="n">
        <v>0.575921893119812</v>
      </c>
      <c r="AI524" s="25" t="n">
        <v>18.2234878540039</v>
      </c>
      <c r="AJ524" s="6" t="n">
        <v>441.8</v>
      </c>
      <c r="AK524" s="6" t="n">
        <v>350.8</v>
      </c>
      <c r="AL524" s="26"/>
    </row>
    <row r="525" customFormat="false" ht="15" hidden="false" customHeight="false" outlineLevel="0" collapsed="false">
      <c r="A525" s="6" t="s">
        <v>3850</v>
      </c>
      <c r="B525" s="6" t="s">
        <v>3851</v>
      </c>
      <c r="C525" s="6" t="s">
        <v>3007</v>
      </c>
      <c r="D525" s="13" t="n">
        <v>68.5740280151367</v>
      </c>
      <c r="E525" s="25" t="n">
        <v>2.92187809944153</v>
      </c>
      <c r="F525" s="25" t="n">
        <v>7.62763023376465</v>
      </c>
      <c r="G525" s="25" t="n">
        <v>3.05725264549255</v>
      </c>
      <c r="H525" s="25" t="n">
        <v>1.11735820770264</v>
      </c>
      <c r="I525" s="25" t="n">
        <v>1.24133706092835</v>
      </c>
      <c r="J525" s="25" t="n">
        <v>0.387447235107422</v>
      </c>
      <c r="K525" s="25" t="n">
        <v>0.628625305175781</v>
      </c>
      <c r="L525" s="25" t="n">
        <v>1.79170324707031</v>
      </c>
      <c r="M525" s="25" t="n">
        <v>0.154655128717423</v>
      </c>
      <c r="N525" s="25" t="n">
        <v>122.054145812988</v>
      </c>
      <c r="O525" s="25" t="n">
        <v>189.999130249023</v>
      </c>
      <c r="P525" s="25" t="n">
        <v>32.029655456543</v>
      </c>
      <c r="Q525" s="25" t="n">
        <v>46.284366607666</v>
      </c>
      <c r="R525" s="25" t="n">
        <v>23.406494140625</v>
      </c>
      <c r="S525" s="25" t="n">
        <v>0.95246297121048</v>
      </c>
      <c r="T525" s="25" t="n">
        <v>0.44144281744957</v>
      </c>
      <c r="U525" s="25" t="n">
        <v>0.140017151832581</v>
      </c>
      <c r="V525" s="25" t="n">
        <v>0.358253240585327</v>
      </c>
      <c r="W525" s="25" t="n">
        <v>0.68174535036087</v>
      </c>
      <c r="X525" s="25" t="n">
        <v>0.393667578697205</v>
      </c>
      <c r="Y525" s="25" t="n">
        <v>948.297241210938</v>
      </c>
      <c r="Z525" s="25" t="n">
        <v>1.49286556243897</v>
      </c>
      <c r="AA525" s="25" t="n">
        <v>8.47653770446777</v>
      </c>
      <c r="AB525" s="25" t="n">
        <v>4.56004571914673</v>
      </c>
      <c r="AC525" s="25" t="n">
        <v>0.0577805601060391</v>
      </c>
      <c r="AD525" s="25" t="n">
        <v>0.0386705286800861</v>
      </c>
      <c r="AE525" s="25" t="n">
        <v>0.358685433864594</v>
      </c>
      <c r="AF525" s="25" t="n">
        <v>0.256674915552139</v>
      </c>
      <c r="AG525" s="25" t="n">
        <v>0.0947265401482582</v>
      </c>
      <c r="AH525" s="25" t="n">
        <v>0.505540013313294</v>
      </c>
      <c r="AI525" s="25" t="n">
        <v>26.1765079498291</v>
      </c>
      <c r="AJ525" s="6" t="n">
        <v>355.6</v>
      </c>
      <c r="AK525" s="6" t="n">
        <v>243.9</v>
      </c>
      <c r="AL525" s="26"/>
    </row>
    <row r="526" customFormat="false" ht="15" hidden="false" customHeight="false" outlineLevel="0" collapsed="false">
      <c r="A526" s="6" t="s">
        <v>1090</v>
      </c>
      <c r="B526" s="6" t="s">
        <v>1089</v>
      </c>
      <c r="C526" s="6" t="s">
        <v>3007</v>
      </c>
      <c r="D526" s="13" t="n">
        <v>189.379867553711</v>
      </c>
      <c r="E526" s="25" t="n">
        <v>7.75494194030762</v>
      </c>
      <c r="F526" s="25" t="n">
        <v>16.2563133239746</v>
      </c>
      <c r="G526" s="25" t="n">
        <v>10.7205667495728</v>
      </c>
      <c r="H526" s="25" t="n">
        <v>3.24718260765076</v>
      </c>
      <c r="I526" s="25" t="n">
        <v>4.4991307258606</v>
      </c>
      <c r="J526" s="25" t="n">
        <v>2.23971020507813</v>
      </c>
      <c r="K526" s="25" t="n">
        <v>2.35319604492188</v>
      </c>
      <c r="L526" s="25" t="n">
        <v>5.362626953125</v>
      </c>
      <c r="M526" s="25" t="n">
        <v>2.79668307304382</v>
      </c>
      <c r="N526" s="25" t="n">
        <v>356.274658203125</v>
      </c>
      <c r="O526" s="25" t="n">
        <v>274.593292236328</v>
      </c>
      <c r="P526" s="25" t="n">
        <v>151.084625244141</v>
      </c>
      <c r="Q526" s="25" t="n">
        <v>128.594451904297</v>
      </c>
      <c r="R526" s="25" t="n">
        <v>37.0904655456543</v>
      </c>
      <c r="S526" s="25" t="n">
        <v>1.89137887954712</v>
      </c>
      <c r="T526" s="25" t="n">
        <v>0.890544831752777</v>
      </c>
      <c r="U526" s="25" t="n">
        <v>0.12765508890152</v>
      </c>
      <c r="V526" s="25" t="n">
        <v>3.22056794166565</v>
      </c>
      <c r="W526" s="25" t="n">
        <v>0.810316026210785</v>
      </c>
      <c r="X526" s="25" t="n">
        <v>7.11882972717285</v>
      </c>
      <c r="Y526" s="25" t="n">
        <v>1097.59924316406</v>
      </c>
      <c r="Z526" s="25" t="n">
        <v>4.19437408447266</v>
      </c>
      <c r="AA526" s="25" t="n">
        <v>11.9357204437256</v>
      </c>
      <c r="AB526" s="25" t="n">
        <v>5.23684358596802</v>
      </c>
      <c r="AC526" s="25" t="n">
        <v>0.117980517446995</v>
      </c>
      <c r="AD526" s="25" t="n">
        <v>0.121936559677124</v>
      </c>
      <c r="AE526" s="25" t="n">
        <v>0.682228326797485</v>
      </c>
      <c r="AF526" s="25" t="n">
        <v>0.464305341243744</v>
      </c>
      <c r="AG526" s="25" t="n">
        <v>0.145833924412727</v>
      </c>
      <c r="AH526" s="25" t="n">
        <v>4.3467173576355</v>
      </c>
      <c r="AI526" s="25" t="n">
        <v>52.8127861022949</v>
      </c>
      <c r="AJ526" s="6" t="n">
        <v>255.7</v>
      </c>
      <c r="AK526" s="6" t="n">
        <v>484.2</v>
      </c>
      <c r="AL526" s="26"/>
    </row>
    <row r="527" customFormat="false" ht="15" hidden="false" customHeight="false" outlineLevel="0" collapsed="false">
      <c r="A527" s="6" t="s">
        <v>3852</v>
      </c>
      <c r="B527" s="6" t="s">
        <v>3853</v>
      </c>
      <c r="C527" s="6" t="s">
        <v>3854</v>
      </c>
      <c r="D527" s="13" t="n">
        <v>135.072219848633</v>
      </c>
      <c r="E527" s="25" t="n">
        <v>9.07980823516846</v>
      </c>
      <c r="F527" s="25" t="n">
        <v>3.29942512512207</v>
      </c>
      <c r="G527" s="25" t="n">
        <v>9.53688621520996</v>
      </c>
      <c r="H527" s="25" t="n">
        <v>0.856098711490631</v>
      </c>
      <c r="I527" s="25" t="n">
        <v>2.26981902122498</v>
      </c>
      <c r="J527" s="25" t="n">
        <v>0.822518127441406</v>
      </c>
      <c r="K527" s="25" t="n">
        <v>0.871277404785156</v>
      </c>
      <c r="L527" s="25" t="n">
        <v>2.2140673828125</v>
      </c>
      <c r="M527" s="25" t="n">
        <v>2.23569655418396</v>
      </c>
      <c r="N527" s="25" t="n">
        <v>83.4736022949219</v>
      </c>
      <c r="O527" s="25" t="n">
        <v>219.970932006836</v>
      </c>
      <c r="P527" s="25" t="n">
        <v>112.248664855957</v>
      </c>
      <c r="Q527" s="25" t="n">
        <v>103.520072937012</v>
      </c>
      <c r="R527" s="25" t="n">
        <v>10.6630144119263</v>
      </c>
      <c r="S527" s="25" t="n">
        <v>1.39132344722748</v>
      </c>
      <c r="T527" s="25" t="n">
        <v>0.22818061709404</v>
      </c>
      <c r="U527" s="25" t="n">
        <v>0.0328931957483292</v>
      </c>
      <c r="V527" s="25" t="n">
        <v>0.536099374294281</v>
      </c>
      <c r="W527" s="25" t="n">
        <v>0.34219166636467</v>
      </c>
      <c r="X527" s="25" t="n">
        <v>5.69086408615112</v>
      </c>
      <c r="Y527" s="25" t="n">
        <v>162.73161315918</v>
      </c>
      <c r="Z527" s="25" t="n">
        <v>1.70477688312531</v>
      </c>
      <c r="AA527" s="25" t="n">
        <v>4.54225492477417</v>
      </c>
      <c r="AB527" s="25" t="n">
        <v>1.26799869537354</v>
      </c>
      <c r="AC527" s="25" t="n">
        <v>0.094598762691021</v>
      </c>
      <c r="AD527" s="25" t="n">
        <v>0.118712440133095</v>
      </c>
      <c r="AE527" s="25" t="n">
        <v>2.89062261581421</v>
      </c>
      <c r="AF527" s="25" t="n">
        <v>0.156223371624947</v>
      </c>
      <c r="AG527" s="25" t="n">
        <v>0.0469238832592964</v>
      </c>
      <c r="AH527" s="25" t="n">
        <v>0.889874279499054</v>
      </c>
      <c r="AI527" s="25" t="n">
        <v>10.292667388916</v>
      </c>
      <c r="AJ527" s="6" t="n">
        <v>147.6</v>
      </c>
      <c r="AK527" s="6" t="n">
        <v>199.4</v>
      </c>
      <c r="AL527" s="26"/>
    </row>
    <row r="528" customFormat="false" ht="15" hidden="false" customHeight="false" outlineLevel="0" collapsed="false">
      <c r="A528" s="6" t="s">
        <v>1381</v>
      </c>
      <c r="B528" s="6" t="s">
        <v>1380</v>
      </c>
      <c r="C528" s="6" t="s">
        <v>3007</v>
      </c>
      <c r="D528" s="13" t="n">
        <v>115.638771057129</v>
      </c>
      <c r="E528" s="25" t="n">
        <v>7.09246349334717</v>
      </c>
      <c r="F528" s="25" t="n">
        <v>2.53221535682678</v>
      </c>
      <c r="G528" s="25" t="n">
        <v>8.5353479385376</v>
      </c>
      <c r="H528" s="25" t="n">
        <v>0.778434216976166</v>
      </c>
      <c r="I528" s="25" t="n">
        <v>1.63579821586609</v>
      </c>
      <c r="J528" s="25" t="n">
        <v>1.16811022949219</v>
      </c>
      <c r="K528" s="25" t="n">
        <v>0.966884033203125</v>
      </c>
      <c r="L528" s="25" t="n">
        <v>1.809203125</v>
      </c>
      <c r="M528" s="25" t="n">
        <v>3.90214610099793</v>
      </c>
      <c r="N528" s="25" t="n">
        <v>56.9354972839356</v>
      </c>
      <c r="O528" s="25" t="n">
        <v>165.872512817383</v>
      </c>
      <c r="P528" s="25" t="n">
        <v>79.0668106079102</v>
      </c>
      <c r="Q528" s="25" t="n">
        <v>75.7834701538086</v>
      </c>
      <c r="R528" s="25" t="n">
        <v>8.62977027893066</v>
      </c>
      <c r="S528" s="25" t="n">
        <v>1.09241843223572</v>
      </c>
      <c r="T528" s="25" t="n">
        <v>0.163941159844399</v>
      </c>
      <c r="U528" s="25" t="n">
        <v>0.0298515558242798</v>
      </c>
      <c r="V528" s="25" t="n">
        <v>0.250424742698669</v>
      </c>
      <c r="W528" s="25" t="n">
        <v>0.164491564035416</v>
      </c>
      <c r="X528" s="25" t="n">
        <v>18.1736316680908</v>
      </c>
      <c r="Y528" s="25" t="n">
        <v>116.204818725586</v>
      </c>
      <c r="Z528" s="25" t="n">
        <v>1.39672875404358</v>
      </c>
      <c r="AA528" s="25" t="n">
        <v>3.18961977958679</v>
      </c>
      <c r="AB528" s="25" t="n">
        <v>1.5115110874176</v>
      </c>
      <c r="AC528" s="25" t="n">
        <v>0.074827067553997</v>
      </c>
      <c r="AD528" s="25" t="n">
        <v>0.0836985781788826</v>
      </c>
      <c r="AE528" s="25" t="n">
        <v>2.32043480873108</v>
      </c>
      <c r="AF528" s="25" t="n">
        <v>0.117456510663033</v>
      </c>
      <c r="AG528" s="25" t="n">
        <v>0.0341093949973583</v>
      </c>
      <c r="AH528" s="25" t="n">
        <v>0.794645607471466</v>
      </c>
      <c r="AI528" s="25" t="n">
        <v>8.68228435516357</v>
      </c>
      <c r="AJ528" s="6" t="n">
        <v>366.5</v>
      </c>
      <c r="AK528" s="6" t="n">
        <v>423.8</v>
      </c>
      <c r="AL528" s="26"/>
    </row>
    <row r="529" customFormat="false" ht="15" hidden="false" customHeight="false" outlineLevel="0" collapsed="false">
      <c r="A529" s="6" t="s">
        <v>3855</v>
      </c>
      <c r="B529" s="6" t="s">
        <v>3856</v>
      </c>
      <c r="C529" s="6" t="s">
        <v>3007</v>
      </c>
      <c r="D529" s="13" t="n">
        <v>418.134796142578</v>
      </c>
      <c r="E529" s="25" t="n">
        <v>4.14087915420532</v>
      </c>
      <c r="F529" s="25" t="n">
        <v>1.73228371143341</v>
      </c>
      <c r="G529" s="25" t="n">
        <v>43.8257026672363</v>
      </c>
      <c r="H529" s="25" t="n">
        <v>0.906180620193481</v>
      </c>
      <c r="I529" s="25" t="n">
        <v>0.779801189899445</v>
      </c>
      <c r="J529" s="25" t="n">
        <v>6.1721923828125</v>
      </c>
      <c r="K529" s="25" t="n">
        <v>9.503203125</v>
      </c>
      <c r="L529" s="25" t="n">
        <v>26.149466796875</v>
      </c>
      <c r="M529" s="25" t="n">
        <v>14.9735050201416</v>
      </c>
      <c r="N529" s="25" t="n">
        <v>104.530464172363</v>
      </c>
      <c r="O529" s="25" t="n">
        <v>119.632888793945</v>
      </c>
      <c r="P529" s="25" t="n">
        <v>14.5103712081909</v>
      </c>
      <c r="Q529" s="25" t="n">
        <v>46.6475410461426</v>
      </c>
      <c r="R529" s="25" t="n">
        <v>12.0600070953369</v>
      </c>
      <c r="S529" s="25" t="n">
        <v>0.674653589725494</v>
      </c>
      <c r="T529" s="25" t="n">
        <v>0.778239786624908</v>
      </c>
      <c r="U529" s="25" t="n">
        <v>0.0538449808955193</v>
      </c>
      <c r="V529" s="25" t="n">
        <v>0.488279670476914</v>
      </c>
      <c r="W529" s="25" t="n">
        <v>0.261505603790283</v>
      </c>
      <c r="X529" s="25" t="n">
        <v>0.972305476665497</v>
      </c>
      <c r="Y529" s="25" t="n">
        <v>662.291320800781</v>
      </c>
      <c r="Z529" s="25" t="n">
        <v>20.2669296264648</v>
      </c>
      <c r="AA529" s="25" t="n">
        <v>7.57733869552612</v>
      </c>
      <c r="AB529" s="25" t="n">
        <v>3.39852356910706</v>
      </c>
      <c r="AC529" s="25" t="n">
        <v>0.0361940711736679</v>
      </c>
      <c r="AD529" s="25" t="n">
        <v>0.0424775965511799</v>
      </c>
      <c r="AE529" s="25" t="n">
        <v>1.04951870441437</v>
      </c>
      <c r="AF529" s="25" t="n">
        <v>0.237473472952843</v>
      </c>
      <c r="AG529" s="25" t="n">
        <v>0.067951999604702</v>
      </c>
      <c r="AH529" s="25" t="n">
        <v>0.799397170543671</v>
      </c>
      <c r="AI529" s="25" t="n">
        <v>5.60282945632935</v>
      </c>
      <c r="AJ529" s="6" t="n">
        <v>617.1</v>
      </c>
      <c r="AK529" s="6" t="n">
        <v>2580.3</v>
      </c>
      <c r="AL529" s="26" t="s">
        <v>3146</v>
      </c>
    </row>
    <row r="530" customFormat="false" ht="15" hidden="false" customHeight="false" outlineLevel="0" collapsed="false">
      <c r="A530" s="6" t="s">
        <v>3857</v>
      </c>
      <c r="B530" s="6" t="s">
        <v>3858</v>
      </c>
      <c r="C530" s="6" t="s">
        <v>3007</v>
      </c>
      <c r="D530" s="13" t="n">
        <v>109.786361694336</v>
      </c>
      <c r="E530" s="25" t="n">
        <v>6.81609010696411</v>
      </c>
      <c r="F530" s="25" t="n">
        <v>2.85842561721802</v>
      </c>
      <c r="G530" s="25" t="n">
        <v>7.84693384170532</v>
      </c>
      <c r="H530" s="25" t="n">
        <v>1.48771071434021</v>
      </c>
      <c r="I530" s="25" t="n">
        <v>1.27349305152893</v>
      </c>
      <c r="J530" s="25" t="n">
        <v>2.44963452148438</v>
      </c>
      <c r="K530" s="25" t="n">
        <v>2.44543505859375</v>
      </c>
      <c r="L530" s="25" t="n">
        <v>2.3508056640625</v>
      </c>
      <c r="M530" s="25" t="n">
        <v>24.7661418914795</v>
      </c>
      <c r="N530" s="25" t="n">
        <v>170.05549621582</v>
      </c>
      <c r="O530" s="25" t="n">
        <v>194.085235595703</v>
      </c>
      <c r="P530" s="25" t="n">
        <v>23.8416061401367</v>
      </c>
      <c r="Q530" s="25" t="n">
        <v>75.9016571044922</v>
      </c>
      <c r="R530" s="25" t="n">
        <v>18.9723129272461</v>
      </c>
      <c r="S530" s="25" t="n">
        <v>1.00587522983551</v>
      </c>
      <c r="T530" s="25" t="n">
        <v>1.2783215045929</v>
      </c>
      <c r="U530" s="25" t="n">
        <v>0.0804556533694267</v>
      </c>
      <c r="V530" s="25" t="n">
        <v>0.822676837444305</v>
      </c>
      <c r="W530" s="25" t="n">
        <v>0.468352138996124</v>
      </c>
      <c r="X530" s="25" t="n">
        <v>1.60819101333618</v>
      </c>
      <c r="Y530" s="25" t="n">
        <v>1085.56494140625</v>
      </c>
      <c r="Z530" s="25" t="n">
        <v>1.72544157505035</v>
      </c>
      <c r="AA530" s="25" t="n">
        <v>8.51760959625244</v>
      </c>
      <c r="AB530" s="25" t="n">
        <v>5.52589178085327</v>
      </c>
      <c r="AC530" s="25" t="n">
        <v>0.0588329881429672</v>
      </c>
      <c r="AD530" s="25" t="n">
        <v>0.0688707828521729</v>
      </c>
      <c r="AE530" s="25" t="n">
        <v>1.72389376163483</v>
      </c>
      <c r="AF530" s="25" t="n">
        <v>0.390710026025772</v>
      </c>
      <c r="AG530" s="25" t="n">
        <v>0.110342003405094</v>
      </c>
      <c r="AH530" s="25" t="n">
        <v>1.323286652565</v>
      </c>
      <c r="AI530" s="25" t="n">
        <v>9.07528972625732</v>
      </c>
      <c r="AJ530" s="6" t="n">
        <v>373.1</v>
      </c>
      <c r="AK530" s="6" t="n">
        <v>409.6</v>
      </c>
      <c r="AL530" s="26"/>
    </row>
    <row r="531" customFormat="false" ht="15" hidden="false" customHeight="false" outlineLevel="0" collapsed="false">
      <c r="A531" s="6" t="s">
        <v>1559</v>
      </c>
      <c r="B531" s="6" t="s">
        <v>3859</v>
      </c>
      <c r="C531" s="6" t="s">
        <v>3860</v>
      </c>
      <c r="D531" s="13" t="n">
        <v>132.857955932617</v>
      </c>
      <c r="E531" s="25" t="n">
        <v>9.22347927093506</v>
      </c>
      <c r="F531" s="25" t="n">
        <v>3.06242513656616</v>
      </c>
      <c r="G531" s="25" t="n">
        <v>9.26719379425049</v>
      </c>
      <c r="H531" s="25" t="n">
        <v>0.756249189376831</v>
      </c>
      <c r="I531" s="25" t="n">
        <v>2.09113144874573</v>
      </c>
      <c r="J531" s="25" t="n">
        <v>0.600829467773438</v>
      </c>
      <c r="K531" s="25" t="n">
        <v>0.714797180175781</v>
      </c>
      <c r="L531" s="25" t="n">
        <v>1.92608569335938</v>
      </c>
      <c r="M531" s="25" t="n">
        <v>1.20675778388977</v>
      </c>
      <c r="N531" s="25" t="n">
        <v>78.1432266235352</v>
      </c>
      <c r="O531" s="25" t="n">
        <v>221.644378662109</v>
      </c>
      <c r="P531" s="25" t="n">
        <v>98.6724472045898</v>
      </c>
      <c r="Q531" s="25" t="n">
        <v>95.6054229736328</v>
      </c>
      <c r="R531" s="25" t="n">
        <v>9.98792743682861</v>
      </c>
      <c r="S531" s="25" t="n">
        <v>1.41176986694336</v>
      </c>
      <c r="T531" s="25" t="n">
        <v>0.176876693964005</v>
      </c>
      <c r="U531" s="25" t="n">
        <v>0.0276563297957182</v>
      </c>
      <c r="V531" s="25" t="n">
        <v>0.533887624740601</v>
      </c>
      <c r="W531" s="25" t="n">
        <v>0.191795498132706</v>
      </c>
      <c r="X531" s="25" t="n">
        <v>3.07174706459045</v>
      </c>
      <c r="Y531" s="25" t="n">
        <v>86.9011840820313</v>
      </c>
      <c r="Z531" s="25" t="n">
        <v>1.47084474563599</v>
      </c>
      <c r="AA531" s="25" t="n">
        <v>2.17695093154907</v>
      </c>
      <c r="AB531" s="25" t="n">
        <v>8.26163196563721</v>
      </c>
      <c r="AC531" s="25" t="n">
        <v>0.101007461547852</v>
      </c>
      <c r="AD531" s="25" t="n">
        <v>0.100728079676628</v>
      </c>
      <c r="AE531" s="25" t="n">
        <v>3.10669994354248</v>
      </c>
      <c r="AF531" s="25" t="n">
        <v>0.145382136106491</v>
      </c>
      <c r="AG531" s="25" t="n">
        <v>0.0475751459598541</v>
      </c>
      <c r="AH531" s="25" t="n">
        <v>0.720945656299591</v>
      </c>
      <c r="AI531" s="25" t="n">
        <v>12.0298700332642</v>
      </c>
      <c r="AJ531" s="6" t="n">
        <v>54.7</v>
      </c>
      <c r="AK531" s="6" t="n">
        <v>72.7</v>
      </c>
      <c r="AL531" s="26"/>
    </row>
    <row r="532" customFormat="false" ht="15" hidden="false" customHeight="false" outlineLevel="0" collapsed="false">
      <c r="A532" s="6" t="s">
        <v>1549</v>
      </c>
      <c r="B532" s="6" t="s">
        <v>1548</v>
      </c>
      <c r="C532" s="6" t="s">
        <v>3860</v>
      </c>
      <c r="D532" s="13" t="n">
        <v>133.937881469727</v>
      </c>
      <c r="E532" s="25" t="n">
        <v>11.2502002716065</v>
      </c>
      <c r="F532" s="25" t="n">
        <v>3.10816931724548</v>
      </c>
      <c r="G532" s="25" t="n">
        <v>8.43411159515381</v>
      </c>
      <c r="H532" s="25" t="n">
        <v>1.88391125202179</v>
      </c>
      <c r="I532" s="25" t="n">
        <v>1.39839947223663</v>
      </c>
      <c r="J532" s="25" t="n">
        <v>0.113449485778809</v>
      </c>
      <c r="K532" s="25" t="n">
        <v>0.431570922851563</v>
      </c>
      <c r="L532" s="25" t="n">
        <v>0.257346893310547</v>
      </c>
      <c r="M532" s="25" t="n">
        <v>0</v>
      </c>
      <c r="N532" s="25" t="n">
        <v>102.169441223145</v>
      </c>
      <c r="O532" s="25" t="n">
        <v>269.593536376953</v>
      </c>
      <c r="P532" s="25" t="n">
        <v>117.441368103027</v>
      </c>
      <c r="Q532" s="25" t="n">
        <v>105.952926635742</v>
      </c>
      <c r="R532" s="25" t="n">
        <v>19.8335552215576</v>
      </c>
      <c r="S532" s="25" t="n">
        <v>2.19454264640808</v>
      </c>
      <c r="T532" s="25" t="n">
        <v>0.231015890836716</v>
      </c>
      <c r="U532" s="25" t="n">
        <v>0.0836123153567314</v>
      </c>
      <c r="V532" s="25" t="n">
        <v>0.509258627891541</v>
      </c>
      <c r="W532" s="25" t="n">
        <v>0.502828717231751</v>
      </c>
      <c r="X532" s="25" t="n">
        <v>0</v>
      </c>
      <c r="Y532" s="25" t="n">
        <v>244.737533569336</v>
      </c>
      <c r="Z532" s="25" t="n">
        <v>0.222329676151276</v>
      </c>
      <c r="AA532" s="25" t="n">
        <v>8.26867294311523</v>
      </c>
      <c r="AB532" s="25" t="n">
        <v>8.82212924957275</v>
      </c>
      <c r="AC532" s="25" t="n">
        <v>0.126180946826935</v>
      </c>
      <c r="AD532" s="25" t="n">
        <v>0.0914943888783455</v>
      </c>
      <c r="AE532" s="25" t="n">
        <v>3.96035361289978</v>
      </c>
      <c r="AF532" s="25" t="n">
        <v>0.102370232343674</v>
      </c>
      <c r="AG532" s="25" t="n">
        <v>0.0433700121939182</v>
      </c>
      <c r="AH532" s="25" t="n">
        <v>0.651322662830353</v>
      </c>
      <c r="AI532" s="25" t="n">
        <v>11.7800436019898</v>
      </c>
      <c r="AJ532" s="6" t="n">
        <v>45</v>
      </c>
      <c r="AK532" s="6" t="n">
        <v>60.3</v>
      </c>
      <c r="AL532" s="26"/>
    </row>
    <row r="533" customFormat="false" ht="15" hidden="false" customHeight="false" outlineLevel="0" collapsed="false">
      <c r="A533" s="6" t="s">
        <v>3861</v>
      </c>
      <c r="B533" s="6" t="s">
        <v>3862</v>
      </c>
      <c r="C533" s="6" t="s">
        <v>3284</v>
      </c>
      <c r="D533" s="13" t="n">
        <v>335.751281738281</v>
      </c>
      <c r="E533" s="25" t="n">
        <v>3.83974385261536</v>
      </c>
      <c r="F533" s="25" t="n">
        <v>2.06963133811951</v>
      </c>
      <c r="G533" s="25" t="n">
        <v>34.6967277526856</v>
      </c>
      <c r="H533" s="25" t="n">
        <v>0.595348715782166</v>
      </c>
      <c r="I533" s="25" t="n">
        <v>0.746522903442383</v>
      </c>
      <c r="J533" s="25" t="n">
        <v>5.01052001953125</v>
      </c>
      <c r="K533" s="25" t="n">
        <v>7.559208984375</v>
      </c>
      <c r="L533" s="25" t="n">
        <v>20.490216796875</v>
      </c>
      <c r="M533" s="25" t="n">
        <v>44.0429763793945</v>
      </c>
      <c r="N533" s="25" t="n">
        <v>57.4382362365723</v>
      </c>
      <c r="O533" s="25" t="n">
        <v>85.7964935302734</v>
      </c>
      <c r="P533" s="25" t="n">
        <v>12.9081497192383</v>
      </c>
      <c r="Q533" s="25" t="n">
        <v>47.0624809265137</v>
      </c>
      <c r="R533" s="25" t="n">
        <v>8.06364631652832</v>
      </c>
      <c r="S533" s="25" t="n">
        <v>0.552360415458679</v>
      </c>
      <c r="T533" s="25" t="n">
        <v>0.556617498397827</v>
      </c>
      <c r="U533" s="25" t="n">
        <v>0.038779690861702</v>
      </c>
      <c r="V533" s="25" t="n">
        <v>4.1792573928833</v>
      </c>
      <c r="W533" s="25" t="n">
        <v>0.112579263746738</v>
      </c>
      <c r="X533" s="25" t="n">
        <v>25.0879325866699</v>
      </c>
      <c r="Y533" s="25" t="n">
        <v>268.450408935547</v>
      </c>
      <c r="Z533" s="25" t="n">
        <v>15.9641723632813</v>
      </c>
      <c r="AA533" s="25" t="n">
        <v>4.0089921951294</v>
      </c>
      <c r="AB533" s="25" t="n">
        <v>1.96095395088196</v>
      </c>
      <c r="AC533" s="25" t="n">
        <v>0.031678456813097</v>
      </c>
      <c r="AD533" s="25" t="n">
        <v>0.0465737655758858</v>
      </c>
      <c r="AE533" s="25" t="n">
        <v>0.599416494369507</v>
      </c>
      <c r="AF533" s="25" t="n">
        <v>0.299670547246933</v>
      </c>
      <c r="AG533" s="25" t="n">
        <v>0.0620005093514919</v>
      </c>
      <c r="AH533" s="25" t="n">
        <v>2.43264317512512</v>
      </c>
      <c r="AI533" s="25" t="n">
        <v>11.3479146957398</v>
      </c>
      <c r="AJ533" s="6" t="n">
        <v>390.9</v>
      </c>
      <c r="AK533" s="6" t="n">
        <v>1312.5</v>
      </c>
      <c r="AL533" s="26" t="s">
        <v>3070</v>
      </c>
    </row>
    <row r="534" customFormat="false" ht="15" hidden="false" customHeight="false" outlineLevel="0" collapsed="false">
      <c r="A534" s="6" t="s">
        <v>3863</v>
      </c>
      <c r="B534" s="6" t="s">
        <v>3864</v>
      </c>
      <c r="C534" s="6" t="s">
        <v>3007</v>
      </c>
      <c r="D534" s="13" t="n">
        <v>500.941497802734</v>
      </c>
      <c r="E534" s="25" t="n">
        <v>2.85354971885681</v>
      </c>
      <c r="F534" s="25" t="n">
        <v>3.27394437789917</v>
      </c>
      <c r="G534" s="25" t="n">
        <v>55.9910850524902</v>
      </c>
      <c r="H534" s="25" t="n">
        <v>0.857709228992462</v>
      </c>
      <c r="I534" s="25" t="n">
        <v>1.09601593017578</v>
      </c>
      <c r="J534" s="25" t="n">
        <v>6.602275390625</v>
      </c>
      <c r="K534" s="25" t="n">
        <v>11.1382529296875</v>
      </c>
      <c r="L534" s="25" t="n">
        <v>33.6756953125</v>
      </c>
      <c r="M534" s="25" t="n">
        <v>23.505708694458</v>
      </c>
      <c r="N534" s="25" t="n">
        <v>2257.6689453125</v>
      </c>
      <c r="O534" s="25" t="n">
        <v>111.44849395752</v>
      </c>
      <c r="P534" s="25" t="n">
        <v>13.8913536071777</v>
      </c>
      <c r="Q534" s="25" t="n">
        <v>41.6838989257813</v>
      </c>
      <c r="R534" s="25" t="n">
        <v>11.2291860580444</v>
      </c>
      <c r="S534" s="25" t="n">
        <v>0.698784649372101</v>
      </c>
      <c r="T534" s="25" t="n">
        <v>0.173506796360016</v>
      </c>
      <c r="U534" s="25" t="n">
        <v>0.0435282401740551</v>
      </c>
      <c r="V534" s="25" t="n">
        <v>1.31024289131165</v>
      </c>
      <c r="W534" s="25" t="n">
        <v>0.15902641415596</v>
      </c>
      <c r="X534" s="25" t="n">
        <v>12.1839733123779</v>
      </c>
      <c r="Y534" s="25" t="n">
        <v>237.507858276367</v>
      </c>
      <c r="Z534" s="25" t="n">
        <v>26.1840705871582</v>
      </c>
      <c r="AA534" s="25" t="n">
        <v>6.48343753814697</v>
      </c>
      <c r="AB534" s="25" t="n">
        <v>8.18551063537598</v>
      </c>
      <c r="AC534" s="25" t="n">
        <v>0.0155874257907271</v>
      </c>
      <c r="AD534" s="25" t="n">
        <v>0.0117961829528213</v>
      </c>
      <c r="AE534" s="25" t="n">
        <v>0.158549800515175</v>
      </c>
      <c r="AF534" s="25" t="n">
        <v>0.133495092391968</v>
      </c>
      <c r="AG534" s="25" t="n">
        <v>0.0367533937096596</v>
      </c>
      <c r="AH534" s="25" t="n">
        <v>2.29039835929871</v>
      </c>
      <c r="AI534" s="25" t="n">
        <v>8.79277038574219</v>
      </c>
      <c r="AJ534" s="6" t="n">
        <v>461.6</v>
      </c>
      <c r="AK534" s="6" t="n">
        <v>2312.3</v>
      </c>
      <c r="AL534" s="26" t="s">
        <v>3146</v>
      </c>
    </row>
    <row r="535" customFormat="false" ht="15" hidden="false" customHeight="false" outlineLevel="0" collapsed="false">
      <c r="A535" s="6" t="s">
        <v>3865</v>
      </c>
      <c r="B535" s="6" t="s">
        <v>3866</v>
      </c>
      <c r="C535" s="6" t="s">
        <v>3007</v>
      </c>
      <c r="D535" s="13" t="n">
        <v>131.427108764648</v>
      </c>
      <c r="E535" s="25" t="n">
        <v>3.86160278320313</v>
      </c>
      <c r="F535" s="25" t="n">
        <v>7.67197513580322</v>
      </c>
      <c r="G535" s="25" t="n">
        <v>9.49907875061035</v>
      </c>
      <c r="H535" s="25" t="n">
        <v>2.56994938850403</v>
      </c>
      <c r="I535" s="25" t="n">
        <v>4.664626121521</v>
      </c>
      <c r="J535" s="25" t="n">
        <v>2.24883984375</v>
      </c>
      <c r="K535" s="25" t="n">
        <v>2.13818896484375</v>
      </c>
      <c r="L535" s="25" t="n">
        <v>4.32055078125</v>
      </c>
      <c r="M535" s="25" t="n">
        <v>3.31724977493286</v>
      </c>
      <c r="N535" s="25" t="n">
        <v>148.976119995117</v>
      </c>
      <c r="O535" s="25" t="n">
        <v>252.268478393555</v>
      </c>
      <c r="P535" s="25" t="n">
        <v>89.7045745849609</v>
      </c>
      <c r="Q535" s="25" t="n">
        <v>94.0273818969727</v>
      </c>
      <c r="R535" s="25" t="n">
        <v>33.5662117004395</v>
      </c>
      <c r="S535" s="25" t="n">
        <v>1.18354284763336</v>
      </c>
      <c r="T535" s="25" t="n">
        <v>0.62415361404419</v>
      </c>
      <c r="U535" s="25" t="n">
        <v>0.148385599255562</v>
      </c>
      <c r="V535" s="25" t="n">
        <v>1.46103978157044</v>
      </c>
      <c r="W535" s="25" t="n">
        <v>0.813717722892761</v>
      </c>
      <c r="X535" s="25" t="n">
        <v>8.44390869140625</v>
      </c>
      <c r="Y535" s="25" t="n">
        <v>295.502868652344</v>
      </c>
      <c r="Z535" s="25" t="n">
        <v>3.27068424224854</v>
      </c>
      <c r="AA535" s="25" t="n">
        <v>8.582106590271</v>
      </c>
      <c r="AB535" s="25" t="n">
        <v>4.66209173202515</v>
      </c>
      <c r="AC535" s="25" t="n">
        <v>0.0613236837089062</v>
      </c>
      <c r="AD535" s="25" t="n">
        <v>0.101924002170563</v>
      </c>
      <c r="AE535" s="25" t="n">
        <v>0.33409771323204</v>
      </c>
      <c r="AF535" s="25" t="n">
        <v>0.329218745231628</v>
      </c>
      <c r="AG535" s="25" t="n">
        <v>0.115144349634647</v>
      </c>
      <c r="AH535" s="25" t="n">
        <v>1.87891435623169</v>
      </c>
      <c r="AI535" s="25" t="n">
        <v>19.9789047241211</v>
      </c>
      <c r="AJ535" s="6" t="n">
        <v>248.7</v>
      </c>
      <c r="AK535" s="6" t="n">
        <v>326.9</v>
      </c>
      <c r="AL535" s="26"/>
    </row>
    <row r="536" customFormat="false" ht="15" hidden="false" customHeight="false" outlineLevel="0" collapsed="false">
      <c r="A536" s="6" t="s">
        <v>3867</v>
      </c>
      <c r="B536" s="6" t="s">
        <v>3868</v>
      </c>
      <c r="C536" s="6" t="s">
        <v>3007</v>
      </c>
      <c r="D536" s="13" t="n">
        <v>70.7704925537109</v>
      </c>
      <c r="E536" s="25" t="n">
        <v>2.79197716712952</v>
      </c>
      <c r="F536" s="25" t="n">
        <v>5.33234262466431</v>
      </c>
      <c r="G536" s="25" t="n">
        <v>4.10723209381104</v>
      </c>
      <c r="H536" s="25" t="n">
        <v>3.13245368003845</v>
      </c>
      <c r="I536" s="25" t="n">
        <v>1.39372372627258</v>
      </c>
      <c r="J536" s="25" t="n">
        <v>0.519350402832031</v>
      </c>
      <c r="K536" s="25" t="n">
        <v>0.811157958984375</v>
      </c>
      <c r="L536" s="25" t="n">
        <v>2.56003564453125</v>
      </c>
      <c r="M536" s="25" t="n">
        <v>0</v>
      </c>
      <c r="N536" s="25" t="n">
        <v>61.627571105957</v>
      </c>
      <c r="O536" s="25" t="n">
        <v>214.873840332031</v>
      </c>
      <c r="P536" s="25" t="n">
        <v>21.4246292114258</v>
      </c>
      <c r="Q536" s="25" t="n">
        <v>42.2718391418457</v>
      </c>
      <c r="R536" s="25" t="n">
        <v>21.712589263916</v>
      </c>
      <c r="S536" s="25" t="n">
        <v>0.812848508358002</v>
      </c>
      <c r="T536" s="25" t="n">
        <v>0.366180062294006</v>
      </c>
      <c r="U536" s="25" t="n">
        <v>0.0983157753944397</v>
      </c>
      <c r="V536" s="25" t="n">
        <v>0.395334899425507</v>
      </c>
      <c r="W536" s="25" t="n">
        <v>0.56455671787262</v>
      </c>
      <c r="X536" s="25" t="n">
        <v>0</v>
      </c>
      <c r="Y536" s="25" t="n">
        <v>1737.12145996094</v>
      </c>
      <c r="Z536" s="25" t="n">
        <v>1.99703657627106</v>
      </c>
      <c r="AA536" s="25" t="n">
        <v>21.2145824432373</v>
      </c>
      <c r="AB536" s="25" t="n">
        <v>14.8919763565064</v>
      </c>
      <c r="AC536" s="25" t="n">
        <v>0.07256019115448</v>
      </c>
      <c r="AD536" s="25" t="n">
        <v>0.0242447983473539</v>
      </c>
      <c r="AE536" s="25" t="n">
        <v>0.605364203453064</v>
      </c>
      <c r="AF536" s="25" t="n">
        <v>0.328239321708679</v>
      </c>
      <c r="AG536" s="25" t="n">
        <v>0.110665626823902</v>
      </c>
      <c r="AH536" s="25" t="n">
        <v>3.52490258216858</v>
      </c>
      <c r="AI536" s="25" t="n">
        <v>20.5650787353516</v>
      </c>
      <c r="AJ536" s="6" t="n">
        <v>262.9</v>
      </c>
      <c r="AK536" s="6" t="n">
        <v>186.1</v>
      </c>
      <c r="AL536" s="26"/>
    </row>
    <row r="537" customFormat="false" ht="15" hidden="false" customHeight="false" outlineLevel="0" collapsed="false">
      <c r="A537" s="6" t="s">
        <v>1085</v>
      </c>
      <c r="B537" s="6" t="s">
        <v>3869</v>
      </c>
      <c r="C537" s="6" t="s">
        <v>3007</v>
      </c>
      <c r="D537" s="13" t="n">
        <v>82.6215515136719</v>
      </c>
      <c r="E537" s="25" t="n">
        <v>3.02919888496399</v>
      </c>
      <c r="F537" s="25" t="n">
        <v>5.81905794143677</v>
      </c>
      <c r="G537" s="25" t="n">
        <v>5.10803651809692</v>
      </c>
      <c r="H537" s="25" t="n">
        <v>2.85744667053223</v>
      </c>
      <c r="I537" s="25" t="n">
        <v>1.64381992816925</v>
      </c>
      <c r="J537" s="25" t="n">
        <v>0.640478271484375</v>
      </c>
      <c r="K537" s="25" t="n">
        <v>1.02665795898438</v>
      </c>
      <c r="L537" s="25" t="n">
        <v>3.12807397460938</v>
      </c>
      <c r="M537" s="25" t="n">
        <v>0</v>
      </c>
      <c r="N537" s="25" t="n">
        <v>70.9672241210938</v>
      </c>
      <c r="O537" s="25" t="n">
        <v>173.489212036133</v>
      </c>
      <c r="P537" s="25" t="n">
        <v>20.3218746185303</v>
      </c>
      <c r="Q537" s="25" t="n">
        <v>34.9337844848633</v>
      </c>
      <c r="R537" s="25" t="n">
        <v>22.7466545104981</v>
      </c>
      <c r="S537" s="25" t="n">
        <v>0.988318145275116</v>
      </c>
      <c r="T537" s="25" t="n">
        <v>0.448936343193054</v>
      </c>
      <c r="U537" s="25" t="n">
        <v>0.109677448868752</v>
      </c>
      <c r="V537" s="25" t="n">
        <v>0.466275632381439</v>
      </c>
      <c r="W537" s="25" t="n">
        <v>0.661377251148224</v>
      </c>
      <c r="X537" s="25" t="n">
        <v>0</v>
      </c>
      <c r="Y537" s="25" t="n">
        <v>2049.01806640625</v>
      </c>
      <c r="Z537" s="25" t="n">
        <v>2.43793869018555</v>
      </c>
      <c r="AA537" s="25" t="n">
        <v>21.6568374633789</v>
      </c>
      <c r="AB537" s="25" t="n">
        <v>17.5642604827881</v>
      </c>
      <c r="AC537" s="25" t="n">
        <v>0.088272400200367</v>
      </c>
      <c r="AD537" s="25" t="n">
        <v>0.0223148353397846</v>
      </c>
      <c r="AE537" s="25" t="n">
        <v>0.539932250976563</v>
      </c>
      <c r="AF537" s="25" t="n">
        <v>0.275884449481964</v>
      </c>
      <c r="AG537" s="25" t="n">
        <v>0.104504510760307</v>
      </c>
      <c r="AH537" s="25" t="n">
        <v>1.67301642894745</v>
      </c>
      <c r="AI537" s="25" t="n">
        <v>23.3725051879883</v>
      </c>
      <c r="AJ537" s="6" t="n">
        <v>222.9</v>
      </c>
      <c r="AK537" s="6" t="n">
        <v>184.2</v>
      </c>
      <c r="AL537" s="26"/>
    </row>
    <row r="538" customFormat="false" ht="15" hidden="false" customHeight="false" outlineLevel="0" collapsed="false">
      <c r="A538" s="6" t="s">
        <v>3870</v>
      </c>
      <c r="B538" s="6" t="s">
        <v>3871</v>
      </c>
      <c r="C538" s="6" t="s">
        <v>3007</v>
      </c>
      <c r="D538" s="13" t="n">
        <v>406.058380126953</v>
      </c>
      <c r="E538" s="25" t="n">
        <v>1.17546272277832</v>
      </c>
      <c r="F538" s="25" t="n">
        <v>1.93961119651794</v>
      </c>
      <c r="G538" s="25" t="n">
        <v>43.7963104248047</v>
      </c>
      <c r="H538" s="25" t="n">
        <v>0.613818943500519</v>
      </c>
      <c r="I538" s="25" t="n">
        <v>1.43523633480072</v>
      </c>
      <c r="J538" s="25" t="n">
        <v>5.52982861328125</v>
      </c>
      <c r="K538" s="25" t="n">
        <v>9.5670146484375</v>
      </c>
      <c r="L538" s="25" t="n">
        <v>26.820423828125</v>
      </c>
      <c r="M538" s="25" t="n">
        <v>1.91724479198456</v>
      </c>
      <c r="N538" s="25" t="n">
        <v>38.053279876709</v>
      </c>
      <c r="O538" s="25" t="n">
        <v>82.8027648925781</v>
      </c>
      <c r="P538" s="25" t="n">
        <v>43.6742248535156</v>
      </c>
      <c r="Q538" s="25" t="n">
        <v>34.297176361084</v>
      </c>
      <c r="R538" s="25" t="n">
        <v>7.8048243522644</v>
      </c>
      <c r="S538" s="25" t="n">
        <v>0.24373322725296</v>
      </c>
      <c r="T538" s="25" t="n">
        <v>0.174545958638191</v>
      </c>
      <c r="U538" s="25" t="n">
        <v>0.0223101060837507</v>
      </c>
      <c r="V538" s="25" t="n">
        <v>0.719406843185425</v>
      </c>
      <c r="W538" s="25" t="n">
        <v>0.187602400779724</v>
      </c>
      <c r="X538" s="25" t="n">
        <v>4.88025951385498</v>
      </c>
      <c r="Y538" s="25" t="n">
        <v>30.5421447753906</v>
      </c>
      <c r="Z538" s="25" t="n">
        <v>20.609317779541</v>
      </c>
      <c r="AA538" s="25" t="n">
        <v>3.82710814476013</v>
      </c>
      <c r="AB538" s="25" t="n">
        <v>0.946421682834625</v>
      </c>
      <c r="AC538" s="25" t="n">
        <v>0.0180726461112499</v>
      </c>
      <c r="AD538" s="25" t="n">
        <v>0.0502283275127411</v>
      </c>
      <c r="AE538" s="25" t="n">
        <v>0.0802454054355621</v>
      </c>
      <c r="AF538" s="25" t="n">
        <v>0.186948791146278</v>
      </c>
      <c r="AG538" s="25" t="n">
        <v>0.0226627048105001</v>
      </c>
      <c r="AH538" s="25" t="n">
        <v>0.918856978416443</v>
      </c>
      <c r="AI538" s="25" t="n">
        <v>10.6041631698608</v>
      </c>
      <c r="AJ538" s="6" t="n">
        <v>573.7</v>
      </c>
      <c r="AK538" s="6" t="n">
        <v>2329.7</v>
      </c>
      <c r="AL538" s="26" t="s">
        <v>3146</v>
      </c>
    </row>
    <row r="539" customFormat="false" ht="15" hidden="false" customHeight="false" outlineLevel="0" collapsed="false">
      <c r="A539" s="6" t="s">
        <v>3872</v>
      </c>
      <c r="B539" s="6" t="s">
        <v>3873</v>
      </c>
      <c r="C539" s="6" t="s">
        <v>3007</v>
      </c>
      <c r="D539" s="13" t="n">
        <v>47.6253890991211</v>
      </c>
      <c r="E539" s="25" t="n">
        <v>1.94039952754974</v>
      </c>
      <c r="F539" s="25" t="n">
        <v>2.95353960990906</v>
      </c>
      <c r="G539" s="25" t="n">
        <v>2.95653867721558</v>
      </c>
      <c r="H539" s="25" t="n">
        <v>2.27206110954285</v>
      </c>
      <c r="I539" s="25" t="n">
        <v>0.995255708694458</v>
      </c>
      <c r="J539" s="25" t="n">
        <v>0.9886259765625</v>
      </c>
      <c r="K539" s="25" t="n">
        <v>0.607924987792969</v>
      </c>
      <c r="L539" s="25" t="n">
        <v>1.1252626953125</v>
      </c>
      <c r="M539" s="25" t="n">
        <v>2.8872549533844</v>
      </c>
      <c r="N539" s="25" t="n">
        <v>70.9669952392578</v>
      </c>
      <c r="O539" s="25" t="n">
        <v>416.068023681641</v>
      </c>
      <c r="P539" s="25" t="n">
        <v>49.7485084533691</v>
      </c>
      <c r="Q539" s="25" t="n">
        <v>35.9349365234375</v>
      </c>
      <c r="R539" s="25" t="n">
        <v>52.1192359924316</v>
      </c>
      <c r="S539" s="25" t="n">
        <v>1.68505203723908</v>
      </c>
      <c r="T539" s="25" t="n">
        <v>0.32394015789032</v>
      </c>
      <c r="U539" s="25" t="n">
        <v>0.119674332439899</v>
      </c>
      <c r="V539" s="25" t="n">
        <v>1.10040152072907</v>
      </c>
      <c r="W539" s="25" t="n">
        <v>0.698956251144409</v>
      </c>
      <c r="X539" s="25" t="n">
        <v>12.9858684539795</v>
      </c>
      <c r="Y539" s="25" t="n">
        <v>5865.5634765625</v>
      </c>
      <c r="Z539" s="25" t="n">
        <v>1.39906466007233</v>
      </c>
      <c r="AA539" s="25" t="n">
        <v>172.24592590332</v>
      </c>
      <c r="AB539" s="25" t="n">
        <v>20.4034786224365</v>
      </c>
      <c r="AC539" s="25" t="n">
        <v>0.0952590703964233</v>
      </c>
      <c r="AD539" s="25" t="n">
        <v>0.0619556754827499</v>
      </c>
      <c r="AE539" s="25" t="n">
        <v>0.388644158840179</v>
      </c>
      <c r="AF539" s="25" t="n">
        <v>0.237546175718308</v>
      </c>
      <c r="AG539" s="25" t="n">
        <v>0.121852651238442</v>
      </c>
      <c r="AH539" s="25" t="n">
        <v>3.79502868652344</v>
      </c>
      <c r="AI539" s="25" t="n">
        <v>78.9258193969727</v>
      </c>
      <c r="AJ539" s="6" t="n">
        <v>295.1</v>
      </c>
      <c r="AK539" s="6" t="n">
        <v>140.5</v>
      </c>
      <c r="AL539" s="26"/>
    </row>
    <row r="540" customFormat="false" ht="15" hidden="false" customHeight="false" outlineLevel="0" collapsed="false">
      <c r="A540" s="6" t="s">
        <v>3874</v>
      </c>
      <c r="B540" s="6" t="s">
        <v>3875</v>
      </c>
      <c r="C540" s="6" t="s">
        <v>3284</v>
      </c>
      <c r="D540" s="13" t="n">
        <v>332.153778076172</v>
      </c>
      <c r="E540" s="25" t="n">
        <v>2.28803825378418</v>
      </c>
      <c r="F540" s="25" t="n">
        <v>6.57835149765015</v>
      </c>
      <c r="G540" s="25" t="n">
        <v>32.9395332336426</v>
      </c>
      <c r="H540" s="25" t="n">
        <v>0.861057937145233</v>
      </c>
      <c r="I540" s="25" t="n">
        <v>1.6477644443512</v>
      </c>
      <c r="J540" s="25" t="n">
        <v>4.67581103515625</v>
      </c>
      <c r="K540" s="25" t="n">
        <v>6.86049365234375</v>
      </c>
      <c r="L540" s="25" t="n">
        <v>19.930767578125</v>
      </c>
      <c r="M540" s="25" t="n">
        <v>1.03386044502258</v>
      </c>
      <c r="N540" s="25" t="n">
        <v>73.55712890625</v>
      </c>
      <c r="O540" s="25" t="n">
        <v>147.702545166016</v>
      </c>
      <c r="P540" s="25" t="n">
        <v>47.0889091491699</v>
      </c>
      <c r="Q540" s="25" t="n">
        <v>42.5482597351074</v>
      </c>
      <c r="R540" s="25" t="n">
        <v>11.1490459442139</v>
      </c>
      <c r="S540" s="25" t="n">
        <v>0.383602857589722</v>
      </c>
      <c r="T540" s="25" t="n">
        <v>0.335853278636932</v>
      </c>
      <c r="U540" s="25" t="n">
        <v>0.048064112663269</v>
      </c>
      <c r="V540" s="25" t="n">
        <v>2.09567046165466</v>
      </c>
      <c r="W540" s="25" t="n">
        <v>0.136296272277832</v>
      </c>
      <c r="X540" s="25" t="n">
        <v>5.47006225585938</v>
      </c>
      <c r="Y540" s="25" t="n">
        <v>479.036499023438</v>
      </c>
      <c r="Z540" s="25" t="n">
        <v>15.469931602478</v>
      </c>
      <c r="AA540" s="25" t="n">
        <v>5.44126605987549</v>
      </c>
      <c r="AB540" s="25" t="n">
        <v>6.82949256896973</v>
      </c>
      <c r="AC540" s="25" t="n">
        <v>0.0270511787384749</v>
      </c>
      <c r="AD540" s="25" t="n">
        <v>0.0189962144941092</v>
      </c>
      <c r="AE540" s="25" t="n">
        <v>0.325193732976914</v>
      </c>
      <c r="AF540" s="25" t="n">
        <v>0.161296278238297</v>
      </c>
      <c r="AG540" s="25" t="n">
        <v>0.0434443205595017</v>
      </c>
      <c r="AH540" s="25" t="n">
        <v>2.19017362594605</v>
      </c>
      <c r="AI540" s="25" t="n">
        <v>14.522686958313</v>
      </c>
      <c r="AJ540" s="6" t="n">
        <v>399</v>
      </c>
      <c r="AK540" s="6" t="n">
        <v>1325.3</v>
      </c>
      <c r="AL540" s="26" t="s">
        <v>3070</v>
      </c>
    </row>
    <row r="541" customFormat="false" ht="15" hidden="false" customHeight="false" outlineLevel="0" collapsed="false">
      <c r="A541" s="6" t="s">
        <v>3876</v>
      </c>
      <c r="B541" s="6" t="s">
        <v>3877</v>
      </c>
      <c r="C541" s="6" t="s">
        <v>3878</v>
      </c>
      <c r="D541" s="13" t="n">
        <v>199.902847290039</v>
      </c>
      <c r="E541" s="25" t="n">
        <v>20.4856338500977</v>
      </c>
      <c r="F541" s="25" t="n">
        <v>0.100346766412258</v>
      </c>
      <c r="G541" s="25" t="n">
        <v>13.0632524490356</v>
      </c>
      <c r="H541" s="25" t="n">
        <v>0.0310777891427279</v>
      </c>
      <c r="I541" s="25" t="n">
        <v>0.0461761951446533</v>
      </c>
      <c r="J541" s="25" t="n">
        <v>3.6954677734375</v>
      </c>
      <c r="K541" s="25" t="n">
        <v>2.10524829101563</v>
      </c>
      <c r="L541" s="25" t="n">
        <v>0.505755401611328</v>
      </c>
      <c r="M541" s="25" t="n">
        <v>69.6626052856445</v>
      </c>
      <c r="N541" s="25" t="n">
        <v>71.7058410644531</v>
      </c>
      <c r="O541" s="25" t="n">
        <v>280.000946044922</v>
      </c>
      <c r="P541" s="25" t="n">
        <v>13.6067485809326</v>
      </c>
      <c r="Q541" s="25" t="n">
        <v>168.298309326172</v>
      </c>
      <c r="R541" s="25" t="n">
        <v>19.3406753540039</v>
      </c>
      <c r="S541" s="25" t="n">
        <v>0.789887547492981</v>
      </c>
      <c r="T541" s="25" t="n">
        <v>0.738275527954102</v>
      </c>
      <c r="U541" s="25" t="n">
        <v>0.255473285913467</v>
      </c>
      <c r="V541" s="25" t="n">
        <v>17.405933380127</v>
      </c>
      <c r="W541" s="25" t="n">
        <v>0.0258669164031744</v>
      </c>
      <c r="X541" s="25" t="n">
        <v>60.3936271667481</v>
      </c>
      <c r="Y541" s="25" t="n">
        <v>36.6719284057617</v>
      </c>
      <c r="Z541" s="25" t="n">
        <v>0.377291470766068</v>
      </c>
      <c r="AA541" s="25" t="n">
        <v>0.584817230701447</v>
      </c>
      <c r="AB541" s="25" t="n">
        <v>0.225679472088814</v>
      </c>
      <c r="AC541" s="25" t="n">
        <v>0.0939643830060959</v>
      </c>
      <c r="AD541" s="25" t="n">
        <v>0.0602999068796635</v>
      </c>
      <c r="AE541" s="25" t="n">
        <v>7.55515432357788</v>
      </c>
      <c r="AF541" s="25" t="n">
        <v>1.08144330978394</v>
      </c>
      <c r="AG541" s="25" t="n">
        <v>0.497113406658173</v>
      </c>
      <c r="AH541" s="25" t="n">
        <v>3.87543559074402</v>
      </c>
      <c r="AI541" s="25" t="n">
        <v>9.86320495605469</v>
      </c>
      <c r="AJ541" s="6" t="n">
        <v>133.4</v>
      </c>
      <c r="AK541" s="6" t="n">
        <v>266.6</v>
      </c>
      <c r="AL541" s="26"/>
    </row>
    <row r="542" customFormat="false" ht="15" hidden="false" customHeight="false" outlineLevel="0" collapsed="false">
      <c r="A542" s="6" t="s">
        <v>3879</v>
      </c>
      <c r="B542" s="6" t="s">
        <v>3880</v>
      </c>
      <c r="C542" s="6" t="s">
        <v>3007</v>
      </c>
      <c r="D542" s="13" t="n">
        <v>163.695083618164</v>
      </c>
      <c r="E542" s="25" t="n">
        <v>9.82418060302734</v>
      </c>
      <c r="F542" s="25" t="n">
        <v>4.06544494628906</v>
      </c>
      <c r="G542" s="25" t="n">
        <v>12.0168552398682</v>
      </c>
      <c r="H542" s="25" t="n">
        <v>0.961570978164673</v>
      </c>
      <c r="I542" s="25" t="n">
        <v>2.85788345336914</v>
      </c>
      <c r="J542" s="25" t="n">
        <v>2.8870107421875</v>
      </c>
      <c r="K542" s="25" t="n">
        <v>2.38690063476563</v>
      </c>
      <c r="L542" s="25" t="n">
        <v>3.922171875</v>
      </c>
      <c r="M542" s="25" t="n">
        <v>24.7773170471191</v>
      </c>
      <c r="N542" s="25" t="n">
        <v>142.560607910156</v>
      </c>
      <c r="O542" s="25" t="n">
        <v>230.908630371094</v>
      </c>
      <c r="P542" s="25" t="n">
        <v>82.6797561645508</v>
      </c>
      <c r="Q542" s="25" t="n">
        <v>124.153457641602</v>
      </c>
      <c r="R542" s="25" t="n">
        <v>21.7599449157715</v>
      </c>
      <c r="S542" s="25" t="n">
        <v>0.894200205802918</v>
      </c>
      <c r="T542" s="25" t="n">
        <v>0.62930691242218</v>
      </c>
      <c r="U542" s="25" t="n">
        <v>0.140213370323181</v>
      </c>
      <c r="V542" s="25" t="n">
        <v>10.4756050109863</v>
      </c>
      <c r="W542" s="25" t="n">
        <v>0.236159235239029</v>
      </c>
      <c r="X542" s="25" t="n">
        <v>20.2640705108643</v>
      </c>
      <c r="Y542" s="25" t="n">
        <v>501.223236083984</v>
      </c>
      <c r="Z542" s="25" t="n">
        <v>2.98951745033264</v>
      </c>
      <c r="AA542" s="25" t="n">
        <v>5.5408992767334</v>
      </c>
      <c r="AB542" s="25" t="n">
        <v>2.84190893173218</v>
      </c>
      <c r="AC542" s="25" t="n">
        <v>0.0605298578739166</v>
      </c>
      <c r="AD542" s="25" t="n">
        <v>0.0604482293128967</v>
      </c>
      <c r="AE542" s="25" t="n">
        <v>2.94611191749573</v>
      </c>
      <c r="AF542" s="25" t="n">
        <v>0.532056450843811</v>
      </c>
      <c r="AG542" s="25" t="n">
        <v>0.223993971943855</v>
      </c>
      <c r="AH542" s="25" t="n">
        <v>3.94910502433777</v>
      </c>
      <c r="AI542" s="25" t="n">
        <v>18.73512840271</v>
      </c>
      <c r="AJ542" s="6" t="n">
        <v>349.1</v>
      </c>
      <c r="AK542" s="6" t="n">
        <v>571.5</v>
      </c>
      <c r="AL542" s="26"/>
    </row>
    <row r="543" customFormat="false" ht="15" hidden="false" customHeight="false" outlineLevel="0" collapsed="false">
      <c r="A543" s="6" t="s">
        <v>3881</v>
      </c>
      <c r="B543" s="6" t="s">
        <v>3882</v>
      </c>
      <c r="C543" s="6" t="s">
        <v>3007</v>
      </c>
      <c r="D543" s="13" t="n">
        <v>111.68009185791</v>
      </c>
      <c r="E543" s="25" t="n">
        <v>10.570333480835</v>
      </c>
      <c r="F543" s="25" t="n">
        <v>2.1323549747467</v>
      </c>
      <c r="G543" s="25" t="n">
        <v>6.71483421325684</v>
      </c>
      <c r="H543" s="25" t="n">
        <v>1.42323970794678</v>
      </c>
      <c r="I543" s="25" t="n">
        <v>0.928177356719971</v>
      </c>
      <c r="J543" s="25" t="n">
        <v>0.685207641601563</v>
      </c>
      <c r="K543" s="25" t="n">
        <v>1.02705688476563</v>
      </c>
      <c r="L543" s="25" t="n">
        <v>1.70620056152344</v>
      </c>
      <c r="M543" s="25" t="n">
        <v>27.9367961883545</v>
      </c>
      <c r="N543" s="25" t="n">
        <v>104.82837677002</v>
      </c>
      <c r="O543" s="25" t="n">
        <v>252.170150756836</v>
      </c>
      <c r="P543" s="25" t="n">
        <v>21.2368793487549</v>
      </c>
      <c r="Q543" s="25" t="n">
        <v>95.1311416625977</v>
      </c>
      <c r="R543" s="25" t="n">
        <v>21.290943145752</v>
      </c>
      <c r="S543" s="25" t="n">
        <v>0.870708048343658</v>
      </c>
      <c r="T543" s="25" t="n">
        <v>0.479767948389053</v>
      </c>
      <c r="U543" s="25" t="n">
        <v>0.168162614107132</v>
      </c>
      <c r="V543" s="25" t="n">
        <v>8.48646640777588</v>
      </c>
      <c r="W543" s="25" t="n">
        <v>0.177661910653114</v>
      </c>
      <c r="X543" s="25" t="n">
        <v>3.15905928611755</v>
      </c>
      <c r="Y543" s="25" t="n">
        <v>2873.12280273438</v>
      </c>
      <c r="Z543" s="25" t="n">
        <v>1.37346279621124</v>
      </c>
      <c r="AA543" s="25" t="n">
        <v>15.6799774169922</v>
      </c>
      <c r="AB543" s="25" t="n">
        <v>13.9147644042969</v>
      </c>
      <c r="AC543" s="25" t="n">
        <v>0.0713826566934586</v>
      </c>
      <c r="AD543" s="25" t="n">
        <v>0.0456015430390835</v>
      </c>
      <c r="AE543" s="25" t="n">
        <v>3.95871424674988</v>
      </c>
      <c r="AF543" s="25" t="n">
        <v>0.633651554584503</v>
      </c>
      <c r="AG543" s="25" t="n">
        <v>0.296684920787811</v>
      </c>
      <c r="AH543" s="25" t="n">
        <v>2.47041273117065</v>
      </c>
      <c r="AI543" s="25" t="n">
        <v>13.7250127792358</v>
      </c>
      <c r="AJ543" s="6" t="n">
        <v>176.3</v>
      </c>
      <c r="AK543" s="6" t="n">
        <v>196.8</v>
      </c>
      <c r="AL543" s="26"/>
    </row>
    <row r="544" customFormat="false" ht="15" hidden="false" customHeight="false" outlineLevel="0" collapsed="false">
      <c r="A544" s="6" t="s">
        <v>3883</v>
      </c>
      <c r="B544" s="6" t="s">
        <v>3884</v>
      </c>
      <c r="C544" s="6" t="s">
        <v>3007</v>
      </c>
      <c r="D544" s="13" t="n">
        <v>152.865814208984</v>
      </c>
      <c r="E544" s="25" t="n">
        <v>13.5176906585693</v>
      </c>
      <c r="F544" s="25" t="n">
        <v>3.12594890594482</v>
      </c>
      <c r="G544" s="25" t="n">
        <v>9.57443046569824</v>
      </c>
      <c r="H544" s="25" t="n">
        <v>0.694423675537109</v>
      </c>
      <c r="I544" s="25" t="n">
        <v>2.11227631568909</v>
      </c>
      <c r="J544" s="25" t="n">
        <v>1.9054716796875</v>
      </c>
      <c r="K544" s="25" t="n">
        <v>1.57928967285156</v>
      </c>
      <c r="L544" s="25" t="n">
        <v>2.04570678710938</v>
      </c>
      <c r="M544" s="25" t="n">
        <v>39.2834167480469</v>
      </c>
      <c r="N544" s="25" t="n">
        <v>97.0847854614258</v>
      </c>
      <c r="O544" s="25" t="n">
        <v>267.951599121094</v>
      </c>
      <c r="P544" s="25" t="n">
        <v>50.3742790222168</v>
      </c>
      <c r="Q544" s="25" t="n">
        <v>136.763000488281</v>
      </c>
      <c r="R544" s="25" t="n">
        <v>21.541316986084</v>
      </c>
      <c r="S544" s="25" t="n">
        <v>0.822822153568268</v>
      </c>
      <c r="T544" s="25" t="n">
        <v>0.641503095626831</v>
      </c>
      <c r="U544" s="25" t="n">
        <v>0.180867448449135</v>
      </c>
      <c r="V544" s="25" t="n">
        <v>10.5825700759888</v>
      </c>
      <c r="W544" s="25" t="n">
        <v>0.179111391305924</v>
      </c>
      <c r="X544" s="25" t="n">
        <v>27.7812538146973</v>
      </c>
      <c r="Y544" s="25" t="n">
        <v>437.055511474609</v>
      </c>
      <c r="Z544" s="25" t="n">
        <v>1.58910918235779</v>
      </c>
      <c r="AA544" s="25" t="n">
        <v>9.25590801239014</v>
      </c>
      <c r="AB544" s="25" t="n">
        <v>3.43246054649353</v>
      </c>
      <c r="AC544" s="25" t="n">
        <v>0.0777973458170891</v>
      </c>
      <c r="AD544" s="25" t="n">
        <v>0.0909244790673256</v>
      </c>
      <c r="AE544" s="25" t="n">
        <v>4.58119630813599</v>
      </c>
      <c r="AF544" s="25" t="n">
        <v>0.80075478553772</v>
      </c>
      <c r="AG544" s="25" t="n">
        <v>0.340745538473129</v>
      </c>
      <c r="AH544" s="25" t="n">
        <v>3.34441590309143</v>
      </c>
      <c r="AI544" s="25" t="n">
        <v>15.0146255493164</v>
      </c>
      <c r="AJ544" s="6" t="n">
        <v>217.4</v>
      </c>
      <c r="AK544" s="6" t="n">
        <v>332.4</v>
      </c>
      <c r="AL544" s="26"/>
    </row>
    <row r="545" customFormat="false" ht="15" hidden="false" customHeight="false" outlineLevel="0" collapsed="false">
      <c r="A545" s="6" t="s">
        <v>3885</v>
      </c>
      <c r="B545" s="6" t="s">
        <v>3886</v>
      </c>
      <c r="C545" s="6" t="s">
        <v>3007</v>
      </c>
      <c r="D545" s="13" t="n">
        <v>119.561065673828</v>
      </c>
      <c r="E545" s="25" t="n">
        <v>7.9737811088562</v>
      </c>
      <c r="F545" s="25" t="n">
        <v>5.33718061447144</v>
      </c>
      <c r="G545" s="25" t="n">
        <v>7.5726842880249</v>
      </c>
      <c r="H545" s="25" t="n">
        <v>1.92104709148407</v>
      </c>
      <c r="I545" s="25" t="n">
        <v>2.4868905544281</v>
      </c>
      <c r="J545" s="25" t="n">
        <v>3.64771264648438</v>
      </c>
      <c r="K545" s="25" t="n">
        <v>1.62639562988281</v>
      </c>
      <c r="L545" s="25" t="n">
        <v>0.366190856933594</v>
      </c>
      <c r="M545" s="25" t="n">
        <v>27.8474311828613</v>
      </c>
      <c r="N545" s="25" t="n">
        <v>104.009147644043</v>
      </c>
      <c r="O545" s="25" t="n">
        <v>297.246856689453</v>
      </c>
      <c r="P545" s="25" t="n">
        <v>73.3561401367188</v>
      </c>
      <c r="Q545" s="25" t="n">
        <v>111.251388549805</v>
      </c>
      <c r="R545" s="25" t="n">
        <v>19.2716331481934</v>
      </c>
      <c r="S545" s="25" t="n">
        <v>0.776735544204712</v>
      </c>
      <c r="T545" s="25" t="n">
        <v>0.674293696880341</v>
      </c>
      <c r="U545" s="25" t="n">
        <v>0.0979804322123528</v>
      </c>
      <c r="V545" s="25" t="n">
        <v>4.71655941009522</v>
      </c>
      <c r="W545" s="25" t="n">
        <v>0.16167563199997</v>
      </c>
      <c r="X545" s="25" t="n">
        <v>61.7476387023926</v>
      </c>
      <c r="Y545" s="25" t="n">
        <v>285.506591796875</v>
      </c>
      <c r="Z545" s="25" t="n">
        <v>0.915191233158112</v>
      </c>
      <c r="AA545" s="25" t="n">
        <v>78.6977386474609</v>
      </c>
      <c r="AB545" s="25" t="n">
        <v>33.8049049377441</v>
      </c>
      <c r="AC545" s="25" t="n">
        <v>0.0987123623490334</v>
      </c>
      <c r="AD545" s="25" t="n">
        <v>0.144171714782715</v>
      </c>
      <c r="AE545" s="25" t="n">
        <v>2.12424302101135</v>
      </c>
      <c r="AF545" s="25" t="n">
        <v>0.681456208229065</v>
      </c>
      <c r="AG545" s="25" t="n">
        <v>0.19012875854969</v>
      </c>
      <c r="AH545" s="25" t="n">
        <v>3.56377863883972</v>
      </c>
      <c r="AI545" s="25" t="n">
        <v>44.6692886352539</v>
      </c>
      <c r="AJ545" s="6" t="n">
        <v>236.1</v>
      </c>
      <c r="AK545" s="6" t="n">
        <v>282.3</v>
      </c>
      <c r="AL545" s="26"/>
    </row>
    <row r="546" customFormat="false" ht="15" hidden="false" customHeight="false" outlineLevel="0" collapsed="false">
      <c r="A546" s="6" t="s">
        <v>3887</v>
      </c>
      <c r="B546" s="6" t="s">
        <v>3888</v>
      </c>
      <c r="C546" s="6" t="s">
        <v>3007</v>
      </c>
      <c r="D546" s="13" t="n">
        <v>129.16764831543</v>
      </c>
      <c r="E546" s="25" t="n">
        <v>8.24489498138428</v>
      </c>
      <c r="F546" s="25" t="n">
        <v>5.59924983978272</v>
      </c>
      <c r="G546" s="25" t="n">
        <v>8.24078559875488</v>
      </c>
      <c r="H546" s="25" t="n">
        <v>1.21369135379791</v>
      </c>
      <c r="I546" s="25" t="n">
        <v>1.94793319702148</v>
      </c>
      <c r="J546" s="25" t="n">
        <v>0.931028991699219</v>
      </c>
      <c r="K546" s="25" t="n">
        <v>1.4019794921875</v>
      </c>
      <c r="L546" s="25" t="n">
        <v>3.51506787109375</v>
      </c>
      <c r="M546" s="25" t="n">
        <v>19.2378826141357</v>
      </c>
      <c r="N546" s="25" t="n">
        <v>365.856750488281</v>
      </c>
      <c r="O546" s="25" t="n">
        <v>228.866638183594</v>
      </c>
      <c r="P546" s="25" t="n">
        <v>18.4093265533447</v>
      </c>
      <c r="Q546" s="25" t="n">
        <v>76.2820053100586</v>
      </c>
      <c r="R546" s="25" t="n">
        <v>19.9822750091553</v>
      </c>
      <c r="S546" s="25" t="n">
        <v>0.964378893375397</v>
      </c>
      <c r="T546" s="25" t="n">
        <v>0.395398914813995</v>
      </c>
      <c r="U546" s="25" t="n">
        <v>0.129064932465553</v>
      </c>
      <c r="V546" s="25" t="n">
        <v>6.84194374084473</v>
      </c>
      <c r="W546" s="25" t="n">
        <v>0.39789804816246</v>
      </c>
      <c r="X546" s="25" t="n">
        <v>2.17539668083191</v>
      </c>
      <c r="Y546" s="25" t="n">
        <v>319.868988037109</v>
      </c>
      <c r="Z546" s="25" t="n">
        <v>2.69292569160461</v>
      </c>
      <c r="AA546" s="25" t="n">
        <v>6.48855257034302</v>
      </c>
      <c r="AB546" s="25" t="n">
        <v>13.0117149353027</v>
      </c>
      <c r="AC546" s="25" t="n">
        <v>0.0509077161550522</v>
      </c>
      <c r="AD546" s="25" t="n">
        <v>0.0437644869089127</v>
      </c>
      <c r="AE546" s="25" t="n">
        <v>2.83168816566467</v>
      </c>
      <c r="AF546" s="25" t="n">
        <v>0.553636074066162</v>
      </c>
      <c r="AG546" s="25" t="n">
        <v>0.229227975010872</v>
      </c>
      <c r="AH546" s="25" t="n">
        <v>2.79643416404724</v>
      </c>
      <c r="AI546" s="25" t="n">
        <v>16.7470245361328</v>
      </c>
      <c r="AJ546" s="6" t="n">
        <v>383.9</v>
      </c>
      <c r="AK546" s="6" t="n">
        <v>495.9</v>
      </c>
      <c r="AL546" s="26"/>
    </row>
    <row r="547" customFormat="false" ht="15" hidden="false" customHeight="false" outlineLevel="0" collapsed="false">
      <c r="A547" s="6" t="s">
        <v>3889</v>
      </c>
      <c r="B547" s="6" t="s">
        <v>3890</v>
      </c>
      <c r="C547" s="6" t="s">
        <v>3007</v>
      </c>
      <c r="D547" s="13" t="n">
        <v>445.093963623047</v>
      </c>
      <c r="E547" s="25" t="n">
        <v>6.92029762268066</v>
      </c>
      <c r="F547" s="25" t="n">
        <v>2.66603755950928</v>
      </c>
      <c r="G547" s="25" t="n">
        <v>47.5915260314941</v>
      </c>
      <c r="H547" s="25" t="n">
        <v>0.576773107051849</v>
      </c>
      <c r="I547" s="25" t="n">
        <v>0.890169024467468</v>
      </c>
      <c r="J547" s="25" t="n">
        <v>5.58319140625</v>
      </c>
      <c r="K547" s="25" t="n">
        <v>9.33817578125</v>
      </c>
      <c r="L547" s="25" t="n">
        <v>27.686396484375</v>
      </c>
      <c r="M547" s="25" t="n">
        <v>32.4720878601074</v>
      </c>
      <c r="N547" s="25" t="n">
        <v>1809.93505859375</v>
      </c>
      <c r="O547" s="25" t="n">
        <v>153.463394165039</v>
      </c>
      <c r="P547" s="25" t="n">
        <v>21.9756584167481</v>
      </c>
      <c r="Q547" s="25" t="n">
        <v>77.4601974487305</v>
      </c>
      <c r="R547" s="25" t="n">
        <v>13.0473833084106</v>
      </c>
      <c r="S547" s="25" t="n">
        <v>0.933335721492767</v>
      </c>
      <c r="T547" s="25" t="n">
        <v>0.369823187589645</v>
      </c>
      <c r="U547" s="25" t="n">
        <v>0.0916900262236595</v>
      </c>
      <c r="V547" s="25" t="n">
        <v>5.04281568527222</v>
      </c>
      <c r="W547" s="25" t="n">
        <v>0.121805943548679</v>
      </c>
      <c r="X547" s="25" t="n">
        <v>11.5016298294067</v>
      </c>
      <c r="Y547" s="25" t="n">
        <v>195.144592285156</v>
      </c>
      <c r="Z547" s="25" t="n">
        <v>21.5497150421143</v>
      </c>
      <c r="AA547" s="25" t="n">
        <v>5.3289589881897</v>
      </c>
      <c r="AB547" s="25" t="n">
        <v>6.72795104980469</v>
      </c>
      <c r="AC547" s="25" t="n">
        <v>0.0320429503917694</v>
      </c>
      <c r="AD547" s="25" t="n">
        <v>0.0218041632324457</v>
      </c>
      <c r="AE547" s="25" t="n">
        <v>1.84900903701782</v>
      </c>
      <c r="AF547" s="25" t="n">
        <v>0.353674381971359</v>
      </c>
      <c r="AG547" s="25" t="n">
        <v>0.140965819358826</v>
      </c>
      <c r="AH547" s="25" t="n">
        <v>2.76077747344971</v>
      </c>
      <c r="AI547" s="25" t="n">
        <v>8.92368984222412</v>
      </c>
      <c r="AJ547" s="6" t="n">
        <v>561.6</v>
      </c>
      <c r="AK547" s="6" t="n">
        <v>2499.6</v>
      </c>
      <c r="AL547" s="26" t="s">
        <v>3146</v>
      </c>
    </row>
    <row r="548" customFormat="false" ht="15" hidden="false" customHeight="false" outlineLevel="0" collapsed="false">
      <c r="A548" s="6" t="s">
        <v>1329</v>
      </c>
      <c r="B548" s="6" t="s">
        <v>1328</v>
      </c>
      <c r="C548" s="6" t="s">
        <v>3007</v>
      </c>
      <c r="D548" s="13" t="n">
        <v>147.958374023438</v>
      </c>
      <c r="E548" s="25" t="n">
        <v>9.83096408843994</v>
      </c>
      <c r="F548" s="25" t="n">
        <v>5.42959976196289</v>
      </c>
      <c r="G548" s="25" t="n">
        <v>9.67414474487305</v>
      </c>
      <c r="H548" s="25" t="n">
        <v>1.81880676746368</v>
      </c>
      <c r="I548" s="25" t="n">
        <v>3.32240319252014</v>
      </c>
      <c r="J548" s="25" t="n">
        <v>1.8643662109375</v>
      </c>
      <c r="K548" s="25" t="n">
        <v>1.8287578125</v>
      </c>
      <c r="L548" s="25" t="n">
        <v>3.10598876953125</v>
      </c>
      <c r="M548" s="25" t="n">
        <v>23.6607780456543</v>
      </c>
      <c r="N548" s="25" t="n">
        <v>119.212135314941</v>
      </c>
      <c r="O548" s="25" t="n">
        <v>277.525573730469</v>
      </c>
      <c r="P548" s="25" t="n">
        <v>68.6624145507813</v>
      </c>
      <c r="Q548" s="25" t="n">
        <v>123.215835571289</v>
      </c>
      <c r="R548" s="25" t="n">
        <v>29.5727615356445</v>
      </c>
      <c r="S548" s="25" t="n">
        <v>1.06026303768158</v>
      </c>
      <c r="T548" s="25" t="n">
        <v>0.675377070903778</v>
      </c>
      <c r="U548" s="25" t="n">
        <v>0.187456414103508</v>
      </c>
      <c r="V548" s="25" t="n">
        <v>7.46494674682617</v>
      </c>
      <c r="W548" s="25" t="n">
        <v>0.565668642520905</v>
      </c>
      <c r="X548" s="25" t="n">
        <v>8.45805835723877</v>
      </c>
      <c r="Y548" s="25" t="n">
        <v>205.175567626953</v>
      </c>
      <c r="Z548" s="25" t="n">
        <v>2.38817477226257</v>
      </c>
      <c r="AA548" s="25" t="n">
        <v>6.05809116363525</v>
      </c>
      <c r="AB548" s="25" t="n">
        <v>2.88841104507446</v>
      </c>
      <c r="AC548" s="25" t="n">
        <v>0.0746359080076218</v>
      </c>
      <c r="AD548" s="25" t="n">
        <v>0.0921096131205559</v>
      </c>
      <c r="AE548" s="25" t="n">
        <v>3.01646494865418</v>
      </c>
      <c r="AF548" s="25" t="n">
        <v>0.629655361175537</v>
      </c>
      <c r="AG548" s="25" t="n">
        <v>0.260406285524368</v>
      </c>
      <c r="AH548" s="25" t="n">
        <v>2.76470017433167</v>
      </c>
      <c r="AI548" s="25" t="n">
        <v>16.9600582122803</v>
      </c>
      <c r="AJ548" s="6" t="n">
        <v>347</v>
      </c>
      <c r="AK548" s="6" t="n">
        <v>513.5</v>
      </c>
      <c r="AL548" s="26"/>
    </row>
    <row r="549" customFormat="false" ht="15" hidden="false" customHeight="false" outlineLevel="0" collapsed="false">
      <c r="A549" s="6" t="s">
        <v>1423</v>
      </c>
      <c r="B549" s="6" t="s">
        <v>3891</v>
      </c>
      <c r="C549" s="6" t="s">
        <v>3007</v>
      </c>
      <c r="D549" s="13" t="n">
        <v>109.433265686035</v>
      </c>
      <c r="E549" s="25" t="n">
        <v>7.26313352584839</v>
      </c>
      <c r="F549" s="25" t="n">
        <v>4.41990947723389</v>
      </c>
      <c r="G549" s="25" t="n">
        <v>7.02684879302979</v>
      </c>
      <c r="H549" s="25" t="n">
        <v>1.92663097381592</v>
      </c>
      <c r="I549" s="25" t="n">
        <v>2.38693499565125</v>
      </c>
      <c r="J549" s="25" t="n">
        <v>1.5726923828125</v>
      </c>
      <c r="K549" s="25" t="n">
        <v>3.34140747070313</v>
      </c>
      <c r="L549" s="25" t="n">
        <v>1.44901257324219</v>
      </c>
      <c r="M549" s="25" t="n">
        <v>13.9176092147827</v>
      </c>
      <c r="N549" s="25" t="n">
        <v>76.3798446655273</v>
      </c>
      <c r="O549" s="25" t="n">
        <v>207.980316162109</v>
      </c>
      <c r="P549" s="25" t="n">
        <v>44.4390983581543</v>
      </c>
      <c r="Q549" s="25" t="n">
        <v>95.0732116699219</v>
      </c>
      <c r="R549" s="25" t="n">
        <v>27.620548248291</v>
      </c>
      <c r="S549" s="25" t="n">
        <v>0.846922099590302</v>
      </c>
      <c r="T549" s="25" t="n">
        <v>0.436779052019119</v>
      </c>
      <c r="U549" s="25" t="n">
        <v>0.0823235735297203</v>
      </c>
      <c r="V549" s="25" t="n">
        <v>9.85153388977051</v>
      </c>
      <c r="W549" s="25" t="n">
        <v>0.871095776557922</v>
      </c>
      <c r="X549" s="25" t="n">
        <v>11.1154050827026</v>
      </c>
      <c r="Y549" s="25" t="n">
        <v>361.120086669922</v>
      </c>
      <c r="Z549" s="25" t="n">
        <v>0.461462616920471</v>
      </c>
      <c r="AA549" s="25" t="n">
        <v>7.87264776229858</v>
      </c>
      <c r="AB549" s="25" t="n">
        <v>3.02486252784729</v>
      </c>
      <c r="AC549" s="25" t="n">
        <v>0.043582309037447</v>
      </c>
      <c r="AD549" s="25" t="n">
        <v>0.0343266651034355</v>
      </c>
      <c r="AE549" s="25" t="n">
        <v>0.661261320114136</v>
      </c>
      <c r="AF549" s="25" t="n">
        <v>0.502927184104919</v>
      </c>
      <c r="AG549" s="25" t="n">
        <v>0.0947115644812584</v>
      </c>
      <c r="AH549" s="25" t="n">
        <v>1.09901988506317</v>
      </c>
      <c r="AI549" s="25" t="n">
        <v>14.9596309661865</v>
      </c>
      <c r="AJ549" s="6" t="n">
        <v>310.5</v>
      </c>
      <c r="AK549" s="6" t="n">
        <v>339.8</v>
      </c>
      <c r="AL549" s="26"/>
    </row>
    <row r="550" customFormat="false" ht="15" hidden="false" customHeight="false" outlineLevel="0" collapsed="false">
      <c r="A550" s="6" t="s">
        <v>3892</v>
      </c>
      <c r="B550" s="6" t="s">
        <v>3893</v>
      </c>
      <c r="C550" s="6" t="s">
        <v>3314</v>
      </c>
      <c r="D550" s="13" t="n">
        <v>542.901306152344</v>
      </c>
      <c r="E550" s="25" t="n">
        <v>5.65550422668457</v>
      </c>
      <c r="F550" s="25" t="n">
        <v>4.47417640686035</v>
      </c>
      <c r="G550" s="25" t="n">
        <v>55.821647644043</v>
      </c>
      <c r="H550" s="25" t="n">
        <v>0.339953571557999</v>
      </c>
      <c r="I550" s="25" t="n">
        <v>0.171780243515968</v>
      </c>
      <c r="J550" s="25" t="n">
        <v>7.271080078125</v>
      </c>
      <c r="K550" s="25" t="n">
        <v>11.528494140625</v>
      </c>
      <c r="L550" s="25" t="n">
        <v>34.54841796875</v>
      </c>
      <c r="M550" s="25" t="n">
        <v>29.9961681365967</v>
      </c>
      <c r="N550" s="25" t="n">
        <v>103.545837402344</v>
      </c>
      <c r="O550" s="25" t="n">
        <v>135.389114379883</v>
      </c>
      <c r="P550" s="25" t="n">
        <v>11.3807792663574</v>
      </c>
      <c r="Q550" s="25" t="n">
        <v>67.8708724975586</v>
      </c>
      <c r="R550" s="25" t="n">
        <v>12.166054725647</v>
      </c>
      <c r="S550" s="25" t="n">
        <v>0.379916131496429</v>
      </c>
      <c r="T550" s="25" t="n">
        <v>0.260283142328262</v>
      </c>
      <c r="U550" s="25" t="n">
        <v>0.0384751707315445</v>
      </c>
      <c r="V550" s="25" t="n">
        <v>9.15034103393555</v>
      </c>
      <c r="W550" s="25" t="n">
        <v>0.0476228035986424</v>
      </c>
      <c r="X550" s="25" t="n">
        <v>17.9918384552002</v>
      </c>
      <c r="Y550" s="25" t="n">
        <v>47.2339324951172</v>
      </c>
      <c r="Z550" s="25" t="n">
        <v>27.0088367462158</v>
      </c>
      <c r="AA550" s="25" t="n">
        <v>3.72962641716003</v>
      </c>
      <c r="AB550" s="25" t="n">
        <v>3.18481016159058</v>
      </c>
      <c r="AC550" s="25" t="n">
        <v>0.0304053295403719</v>
      </c>
      <c r="AD550" s="25" t="n">
        <v>0.0222277324646711</v>
      </c>
      <c r="AE550" s="25" t="n">
        <v>0.496178895235062</v>
      </c>
      <c r="AF550" s="25" t="n">
        <v>0.394671887159348</v>
      </c>
      <c r="AG550" s="25" t="n">
        <v>0.0550057478249073</v>
      </c>
      <c r="AH550" s="25" t="n">
        <v>1.19321894645691</v>
      </c>
      <c r="AI550" s="25" t="n">
        <v>7.84846353530884</v>
      </c>
      <c r="AJ550" s="6" t="n">
        <v>443.6</v>
      </c>
      <c r="AK550" s="6" t="n">
        <v>2408.3</v>
      </c>
      <c r="AL550" s="26" t="s">
        <v>3146</v>
      </c>
    </row>
    <row r="551" customFormat="false" ht="15" hidden="false" customHeight="false" outlineLevel="0" collapsed="false">
      <c r="A551" s="6" t="s">
        <v>1430</v>
      </c>
      <c r="B551" s="6" t="s">
        <v>3894</v>
      </c>
      <c r="C551" s="6" t="s">
        <v>3302</v>
      </c>
      <c r="D551" s="13" t="n">
        <v>86.205451965332</v>
      </c>
      <c r="E551" s="25" t="n">
        <v>8.65945911407471</v>
      </c>
      <c r="F551" s="25" t="n">
        <v>2.73093414306641</v>
      </c>
      <c r="G551" s="25" t="n">
        <v>4.43185997009277</v>
      </c>
      <c r="H551" s="25" t="n">
        <v>1.51536822319031</v>
      </c>
      <c r="I551" s="25" t="n">
        <v>1.54894495010376</v>
      </c>
      <c r="J551" s="25" t="n">
        <v>2.11841552734375</v>
      </c>
      <c r="K551" s="25" t="n">
        <v>0.492665405273438</v>
      </c>
      <c r="L551" s="25" t="n">
        <v>1.03587219238281</v>
      </c>
      <c r="M551" s="25" t="n">
        <v>17.1328525543213</v>
      </c>
      <c r="N551" s="25" t="n">
        <v>73.9295501708984</v>
      </c>
      <c r="O551" s="25" t="n">
        <v>190.384048461914</v>
      </c>
      <c r="P551" s="25" t="n">
        <v>21.9416313171387</v>
      </c>
      <c r="Q551" s="25" t="n">
        <v>99.2787933349609</v>
      </c>
      <c r="R551" s="25" t="n">
        <v>23.4641647338867</v>
      </c>
      <c r="S551" s="25" t="n">
        <v>0.914620757102966</v>
      </c>
      <c r="T551" s="25" t="n">
        <v>0.382172644138336</v>
      </c>
      <c r="U551" s="25" t="n">
        <v>0.0985178872942925</v>
      </c>
      <c r="V551" s="25" t="n">
        <v>23.8024005889893</v>
      </c>
      <c r="W551" s="25" t="n">
        <v>0.243369683623314</v>
      </c>
      <c r="X551" s="25" t="n">
        <v>6.02303791046143</v>
      </c>
      <c r="Y551" s="25" t="n">
        <v>279.505981445313</v>
      </c>
      <c r="Z551" s="25" t="n">
        <v>1.07416677474976</v>
      </c>
      <c r="AA551" s="25" t="n">
        <v>6.81718921661377</v>
      </c>
      <c r="AB551" s="25" t="n">
        <v>3.29057240486145</v>
      </c>
      <c r="AC551" s="25" t="n">
        <v>0.0398230701684952</v>
      </c>
      <c r="AD551" s="25" t="n">
        <v>0.0489740446209908</v>
      </c>
      <c r="AE551" s="25" t="n">
        <v>1.10523796081543</v>
      </c>
      <c r="AF551" s="25" t="n">
        <v>0.592375695705414</v>
      </c>
      <c r="AG551" s="25" t="n">
        <v>0.0811061263084412</v>
      </c>
      <c r="AH551" s="25" t="n">
        <v>2.75207567214966</v>
      </c>
      <c r="AI551" s="25" t="n">
        <v>11.6738615036011</v>
      </c>
      <c r="AJ551" s="6" t="n">
        <v>325.5</v>
      </c>
      <c r="AK551" s="6" t="n">
        <v>280.6</v>
      </c>
      <c r="AL551" s="26"/>
    </row>
    <row r="552" customFormat="false" ht="15" hidden="false" customHeight="false" outlineLevel="0" collapsed="false">
      <c r="A552" s="6" t="s">
        <v>1438</v>
      </c>
      <c r="B552" s="6" t="s">
        <v>3895</v>
      </c>
      <c r="C552" s="6" t="s">
        <v>3007</v>
      </c>
      <c r="D552" s="13" t="n">
        <v>109.548690795898</v>
      </c>
      <c r="E552" s="25" t="n">
        <v>8.54345226287842</v>
      </c>
      <c r="F552" s="25" t="n">
        <v>3.1034734249115</v>
      </c>
      <c r="G552" s="25" t="n">
        <v>6.9292140007019</v>
      </c>
      <c r="H552" s="25" t="n">
        <v>1.56423497200012</v>
      </c>
      <c r="I552" s="25" t="n">
        <v>2.03495311737061</v>
      </c>
      <c r="J552" s="25" t="n">
        <v>2.46634326171875</v>
      </c>
      <c r="K552" s="25" t="n">
        <v>1.03780615234375</v>
      </c>
      <c r="L552" s="25" t="n">
        <v>2.37903979492188</v>
      </c>
      <c r="M552" s="25" t="n">
        <v>37.1172904968262</v>
      </c>
      <c r="N552" s="25" t="n">
        <v>375.863739013672</v>
      </c>
      <c r="O552" s="25" t="n">
        <v>150.64958190918</v>
      </c>
      <c r="P552" s="25" t="n">
        <v>37.2452735900879</v>
      </c>
      <c r="Q552" s="25" t="n">
        <v>115.44694519043</v>
      </c>
      <c r="R552" s="25" t="n">
        <v>35.665168762207</v>
      </c>
      <c r="S552" s="25" t="n">
        <v>0.958839297294617</v>
      </c>
      <c r="T552" s="25" t="n">
        <v>0.717547535896301</v>
      </c>
      <c r="U552" s="25" t="n">
        <v>0.233802944421768</v>
      </c>
      <c r="V552" s="25" t="n">
        <v>25.1292629241943</v>
      </c>
      <c r="W552" s="25" t="n">
        <v>0.181369349360466</v>
      </c>
      <c r="X552" s="25" t="n">
        <v>0.650076866149902</v>
      </c>
      <c r="Y552" s="25" t="n">
        <v>290.408721923828</v>
      </c>
      <c r="Z552" s="25" t="n">
        <v>3.54326748847961</v>
      </c>
      <c r="AA552" s="25" t="n">
        <v>7.48875999450684</v>
      </c>
      <c r="AB552" s="25" t="n">
        <v>1.30013942718506</v>
      </c>
      <c r="AC552" s="25" t="n">
        <v>0.0239025577902794</v>
      </c>
      <c r="AD552" s="25" t="n">
        <v>0.028353838250041</v>
      </c>
      <c r="AE552" s="25" t="n">
        <v>0.664286673069</v>
      </c>
      <c r="AF552" s="25" t="n">
        <v>0.951449394226074</v>
      </c>
      <c r="AG552" s="25" t="n">
        <v>0.0850251689553261</v>
      </c>
      <c r="AH552" s="25" t="n">
        <v>0.411863207817078</v>
      </c>
      <c r="AI552" s="25" t="n">
        <v>15.2470846176148</v>
      </c>
      <c r="AJ552" s="6" t="n">
        <v>286.1</v>
      </c>
      <c r="AK552" s="6" t="n">
        <v>313.4</v>
      </c>
      <c r="AL552" s="26"/>
    </row>
    <row r="553" customFormat="false" ht="15" hidden="false" customHeight="false" outlineLevel="0" collapsed="false">
      <c r="A553" s="6" t="s">
        <v>3896</v>
      </c>
      <c r="B553" s="6" t="s">
        <v>3897</v>
      </c>
      <c r="C553" s="6" t="s">
        <v>3898</v>
      </c>
      <c r="D553" s="13" t="n">
        <v>121.960380554199</v>
      </c>
      <c r="E553" s="25" t="n">
        <v>16.1381988525391</v>
      </c>
      <c r="F553" s="25" t="n">
        <v>2.12129497528076</v>
      </c>
      <c r="G553" s="25" t="n">
        <v>5.42735815048218</v>
      </c>
      <c r="H553" s="25" t="n">
        <v>0.376371264457703</v>
      </c>
      <c r="I553" s="25" t="n">
        <v>0.346365451812744</v>
      </c>
      <c r="J553" s="25" t="n">
        <v>2.88867700195313</v>
      </c>
      <c r="K553" s="25" t="n">
        <v>1.14141772460938</v>
      </c>
      <c r="L553" s="25" t="n">
        <v>0.813980285644531</v>
      </c>
      <c r="M553" s="25" t="n">
        <v>36.9520034790039</v>
      </c>
      <c r="N553" s="25" t="n">
        <v>74.3615036010742</v>
      </c>
      <c r="O553" s="25" t="n">
        <v>242.972091674805</v>
      </c>
      <c r="P553" s="25" t="n">
        <v>18.7999477386475</v>
      </c>
      <c r="Q553" s="25" t="n">
        <v>181.998626708984</v>
      </c>
      <c r="R553" s="25" t="n">
        <v>29.3461036682129</v>
      </c>
      <c r="S553" s="25" t="n">
        <v>0.354458749294281</v>
      </c>
      <c r="T553" s="25" t="n">
        <v>0.482328921556473</v>
      </c>
      <c r="U553" s="25" t="n">
        <v>0.0557894855737686</v>
      </c>
      <c r="V553" s="25" t="n">
        <v>24.3868980407715</v>
      </c>
      <c r="W553" s="25" t="n">
        <v>0.0531727373600006</v>
      </c>
      <c r="X553" s="25" t="n">
        <v>37.5025672912598</v>
      </c>
      <c r="Y553" s="25" t="n">
        <v>422.280944824219</v>
      </c>
      <c r="Z553" s="25" t="n">
        <v>1.07961630821228</v>
      </c>
      <c r="AA553" s="25" t="n">
        <v>2.58897376060486</v>
      </c>
      <c r="AB553" s="25" t="n">
        <v>2.13787961006165</v>
      </c>
      <c r="AC553" s="25" t="n">
        <v>0.0525153465569019</v>
      </c>
      <c r="AD553" s="25" t="n">
        <v>0.0309015326201916</v>
      </c>
      <c r="AE553" s="25" t="n">
        <v>1.2544846534729</v>
      </c>
      <c r="AF553" s="25" t="n">
        <v>0.949323356151581</v>
      </c>
      <c r="AG553" s="25" t="n">
        <v>0.120908759534359</v>
      </c>
      <c r="AH553" s="25" t="n">
        <v>0.456573098897934</v>
      </c>
      <c r="AI553" s="25" t="n">
        <v>11.0215873718262</v>
      </c>
      <c r="AJ553" s="6" t="n">
        <v>608.5</v>
      </c>
      <c r="AK553" s="6" t="n">
        <v>742.1</v>
      </c>
      <c r="AL553" s="26"/>
    </row>
    <row r="554" customFormat="false" ht="15" hidden="false" customHeight="false" outlineLevel="0" collapsed="false">
      <c r="A554" s="6" t="s">
        <v>3899</v>
      </c>
      <c r="B554" s="6" t="s">
        <v>3900</v>
      </c>
      <c r="C554" s="6" t="s">
        <v>3555</v>
      </c>
      <c r="D554" s="13" t="n">
        <v>120.895027160645</v>
      </c>
      <c r="E554" s="25" t="n">
        <v>9.25043296813965</v>
      </c>
      <c r="F554" s="25" t="n">
        <v>7.74361085891724</v>
      </c>
      <c r="G554" s="25" t="n">
        <v>5.77289867401123</v>
      </c>
      <c r="H554" s="25" t="n">
        <v>0.756634712219238</v>
      </c>
      <c r="I554" s="25" t="n">
        <v>1.13102519512177</v>
      </c>
      <c r="J554" s="25" t="n">
        <v>3.34871826171875</v>
      </c>
      <c r="K554" s="25" t="n">
        <v>1.35910974121094</v>
      </c>
      <c r="L554" s="25" t="n">
        <v>0.552321716308594</v>
      </c>
      <c r="M554" s="25" t="n">
        <v>23.9700260162354</v>
      </c>
      <c r="N554" s="25" t="n">
        <v>101.796096801758</v>
      </c>
      <c r="O554" s="25" t="n">
        <v>316.281646728516</v>
      </c>
      <c r="P554" s="25" t="n">
        <v>36.1487617492676</v>
      </c>
      <c r="Q554" s="25" t="n">
        <v>123.735427856445</v>
      </c>
      <c r="R554" s="25" t="n">
        <v>24.5519485473633</v>
      </c>
      <c r="S554" s="25" t="n">
        <v>0.458938449621201</v>
      </c>
      <c r="T554" s="25" t="n">
        <v>0.409336060285568</v>
      </c>
      <c r="U554" s="25" t="n">
        <v>0.0671723559498787</v>
      </c>
      <c r="V554" s="25" t="n">
        <v>12.535945892334</v>
      </c>
      <c r="W554" s="25" t="n">
        <v>0.100886814296246</v>
      </c>
      <c r="X554" s="25" t="n">
        <v>43.7473411560059</v>
      </c>
      <c r="Y554" s="25" t="n">
        <v>183.595672607422</v>
      </c>
      <c r="Z554" s="25" t="n">
        <v>0.646356225013733</v>
      </c>
      <c r="AA554" s="25" t="n">
        <v>3.62577319145203</v>
      </c>
      <c r="AB554" s="25" t="n">
        <v>8.84060287475586</v>
      </c>
      <c r="AC554" s="25" t="n">
        <v>0.0508524477481842</v>
      </c>
      <c r="AD554" s="25" t="n">
        <v>0.0417552925646305</v>
      </c>
      <c r="AE554" s="25" t="n">
        <v>0.943289995193481</v>
      </c>
      <c r="AF554" s="25" t="n">
        <v>0.665565013885498</v>
      </c>
      <c r="AG554" s="25" t="n">
        <v>0.0977126210927963</v>
      </c>
      <c r="AH554" s="25" t="n">
        <v>0.949932932853699</v>
      </c>
      <c r="AI554" s="25" t="n">
        <v>12.1198015213013</v>
      </c>
      <c r="AJ554" s="6" t="n">
        <v>305.6</v>
      </c>
      <c r="AK554" s="6" t="n">
        <v>369.4</v>
      </c>
      <c r="AL554" s="26"/>
    </row>
    <row r="555" customFormat="false" ht="15" hidden="false" customHeight="false" outlineLevel="0" collapsed="false">
      <c r="A555" s="6" t="s">
        <v>3901</v>
      </c>
      <c r="B555" s="6" t="s">
        <v>3902</v>
      </c>
      <c r="C555" s="6" t="s">
        <v>3140</v>
      </c>
      <c r="D555" s="13" t="n">
        <v>138.401794433594</v>
      </c>
      <c r="E555" s="25" t="n">
        <v>10.9535684585571</v>
      </c>
      <c r="F555" s="25" t="n">
        <v>9.58717346191406</v>
      </c>
      <c r="G555" s="25" t="n">
        <v>6.41325092315674</v>
      </c>
      <c r="H555" s="25" t="n">
        <v>1.20749115943909</v>
      </c>
      <c r="I555" s="25" t="n">
        <v>1.52664315700531</v>
      </c>
      <c r="J555" s="25" t="n">
        <v>3.54624780273438</v>
      </c>
      <c r="K555" s="25" t="n">
        <v>1.43651477050781</v>
      </c>
      <c r="L555" s="25" t="n">
        <v>0.584929321289063</v>
      </c>
      <c r="M555" s="25" t="n">
        <v>28.886926651001</v>
      </c>
      <c r="N555" s="25" t="n">
        <v>192.423141479492</v>
      </c>
      <c r="O555" s="25" t="n">
        <v>208.727920532227</v>
      </c>
      <c r="P555" s="25" t="n">
        <v>60.0351600646973</v>
      </c>
      <c r="Q555" s="25" t="n">
        <v>147.428512573242</v>
      </c>
      <c r="R555" s="25" t="n">
        <v>24.2256526947022</v>
      </c>
      <c r="S555" s="25" t="n">
        <v>0.545848071575165</v>
      </c>
      <c r="T555" s="25" t="n">
        <v>0.511660754680634</v>
      </c>
      <c r="U555" s="25" t="n">
        <v>0.0708480551838875</v>
      </c>
      <c r="V555" s="25" t="n">
        <v>14.3694162368774</v>
      </c>
      <c r="W555" s="25" t="n">
        <v>0.152897536754608</v>
      </c>
      <c r="X555" s="25" t="n">
        <v>56.7800369262695</v>
      </c>
      <c r="Y555" s="25" t="n">
        <v>1112.30737304688</v>
      </c>
      <c r="Z555" s="25" t="n">
        <v>0.702597200870514</v>
      </c>
      <c r="AA555" s="25" t="n">
        <v>8.21731472015381</v>
      </c>
      <c r="AB555" s="25" t="n">
        <v>5.99558305740356</v>
      </c>
      <c r="AC555" s="25" t="n">
        <v>0.0717667862772942</v>
      </c>
      <c r="AD555" s="25" t="n">
        <v>0.042561836540699</v>
      </c>
      <c r="AE555" s="25" t="n">
        <v>1.02772080898285</v>
      </c>
      <c r="AF555" s="25" t="n">
        <v>0.596289753913879</v>
      </c>
      <c r="AG555" s="25" t="n">
        <v>0.102173142135143</v>
      </c>
      <c r="AH555" s="25" t="n">
        <v>1.21867489814758</v>
      </c>
      <c r="AI555" s="25" t="n">
        <v>16.5296649932861</v>
      </c>
      <c r="AJ555" s="6" t="n">
        <v>283</v>
      </c>
      <c r="AK555" s="6" t="n">
        <v>391.7</v>
      </c>
      <c r="AL555" s="26"/>
    </row>
    <row r="556" customFormat="false" ht="15" hidden="false" customHeight="false" outlineLevel="0" collapsed="false">
      <c r="A556" s="6" t="s">
        <v>3903</v>
      </c>
      <c r="B556" s="6" t="s">
        <v>3904</v>
      </c>
      <c r="C556" s="6" t="s">
        <v>3302</v>
      </c>
      <c r="D556" s="13" t="n">
        <v>139.707168579102</v>
      </c>
      <c r="E556" s="25" t="n">
        <v>10.5083465576172</v>
      </c>
      <c r="F556" s="25" t="n">
        <v>5.13899230957031</v>
      </c>
      <c r="G556" s="25" t="n">
        <v>8.54637050628662</v>
      </c>
      <c r="H556" s="25" t="n">
        <v>0.192151427268982</v>
      </c>
      <c r="I556" s="25" t="n">
        <v>2.09309601783752</v>
      </c>
      <c r="J556" s="25" t="n">
        <v>4.62953076171875</v>
      </c>
      <c r="K556" s="25" t="n">
        <v>2.3258115234375</v>
      </c>
      <c r="L556" s="25" t="n">
        <v>0.708095764160156</v>
      </c>
      <c r="M556" s="25" t="n">
        <v>84.688835144043</v>
      </c>
      <c r="N556" s="25" t="n">
        <v>92.4517669677734</v>
      </c>
      <c r="O556" s="25" t="n">
        <v>167.335144042969</v>
      </c>
      <c r="P556" s="25" t="n">
        <v>63.8711318969727</v>
      </c>
      <c r="Q556" s="25" t="n">
        <v>148.855697631836</v>
      </c>
      <c r="R556" s="25" t="n">
        <v>18.4980697631836</v>
      </c>
      <c r="S556" s="25" t="n">
        <v>0.589293718338013</v>
      </c>
      <c r="T556" s="25" t="n">
        <v>0.570627093315125</v>
      </c>
      <c r="U556" s="25" t="n">
        <v>0.0525231920182705</v>
      </c>
      <c r="V556" s="25" t="n">
        <v>17.3048000335693</v>
      </c>
      <c r="W556" s="25" t="n">
        <v>0.0596769824624062</v>
      </c>
      <c r="X556" s="25" t="n">
        <v>82.7080612182617</v>
      </c>
      <c r="Y556" s="25" t="n">
        <v>144.690872192383</v>
      </c>
      <c r="Z556" s="25" t="n">
        <v>0.853457033634186</v>
      </c>
      <c r="AA556" s="25" t="n">
        <v>0.644680738449097</v>
      </c>
      <c r="AB556" s="25" t="n">
        <v>0.816685855388641</v>
      </c>
      <c r="AC556" s="25" t="n">
        <v>0.0464041419327259</v>
      </c>
      <c r="AD556" s="25" t="n">
        <v>0.0930114462971687</v>
      </c>
      <c r="AE556" s="25" t="n">
        <v>0.557543873786926</v>
      </c>
      <c r="AF556" s="25" t="n">
        <v>0.795456111431122</v>
      </c>
      <c r="AG556" s="25" t="n">
        <v>0.0914708450436592</v>
      </c>
      <c r="AH556" s="25" t="n">
        <v>3.93251848220825</v>
      </c>
      <c r="AI556" s="25" t="n">
        <v>15.3178873062134</v>
      </c>
      <c r="AJ556" s="6" t="n">
        <v>295.3</v>
      </c>
      <c r="AK556" s="6" t="n">
        <v>412.6</v>
      </c>
      <c r="AL556" s="26"/>
    </row>
    <row r="557" customFormat="false" ht="15" hidden="false" customHeight="false" outlineLevel="0" collapsed="false">
      <c r="A557" s="6" t="s">
        <v>1149</v>
      </c>
      <c r="B557" s="6" t="s">
        <v>3905</v>
      </c>
      <c r="C557" s="6" t="s">
        <v>3007</v>
      </c>
      <c r="D557" s="13" t="n">
        <v>89.555046081543</v>
      </c>
      <c r="E557" s="25" t="n">
        <v>1.51777946949005</v>
      </c>
      <c r="F557" s="25" t="n">
        <v>10.4199476242065</v>
      </c>
      <c r="G557" s="25" t="n">
        <v>4.46865892410278</v>
      </c>
      <c r="H557" s="25" t="n">
        <v>2.42208218574524</v>
      </c>
      <c r="I557" s="25" t="n">
        <v>1.58491396903992</v>
      </c>
      <c r="J557" s="25" t="n">
        <v>0.548657592773438</v>
      </c>
      <c r="K557" s="25" t="n">
        <v>0.961121398925781</v>
      </c>
      <c r="L557" s="25" t="n">
        <v>2.6847265625</v>
      </c>
      <c r="M557" s="25" t="n">
        <v>0</v>
      </c>
      <c r="N557" s="25" t="n">
        <v>78.3962860107422</v>
      </c>
      <c r="O557" s="25" t="n">
        <v>383.447631835938</v>
      </c>
      <c r="P557" s="25" t="n">
        <v>23.7357540130615</v>
      </c>
      <c r="Q557" s="25" t="n">
        <v>38.190357208252</v>
      </c>
      <c r="R557" s="25" t="n">
        <v>25.2950496673584</v>
      </c>
      <c r="S557" s="25" t="n">
        <v>0.974043726921082</v>
      </c>
      <c r="T557" s="25" t="n">
        <v>0.30854344367981</v>
      </c>
      <c r="U557" s="25" t="n">
        <v>0.100025802850723</v>
      </c>
      <c r="V557" s="25" t="n">
        <v>0.514709532260895</v>
      </c>
      <c r="W557" s="25" t="n">
        <v>0.27992707490921</v>
      </c>
      <c r="X557" s="25" t="n">
        <v>0</v>
      </c>
      <c r="Y557" s="25" t="n">
        <v>1767.42504882813</v>
      </c>
      <c r="Z557" s="25" t="n">
        <v>2.07851648330689</v>
      </c>
      <c r="AA557" s="25" t="n">
        <v>12.0883283615112</v>
      </c>
      <c r="AB557" s="25" t="n">
        <v>20.924222946167</v>
      </c>
      <c r="AC557" s="25" t="n">
        <v>0.0533000938594341</v>
      </c>
      <c r="AD557" s="25" t="n">
        <v>0.0206221155822277</v>
      </c>
      <c r="AE557" s="25" t="n">
        <v>0.764256536960602</v>
      </c>
      <c r="AF557" s="25" t="n">
        <v>0.305117815732956</v>
      </c>
      <c r="AG557" s="25" t="n">
        <v>0.102408096194267</v>
      </c>
      <c r="AH557" s="25" t="n">
        <v>1.42988991737366</v>
      </c>
      <c r="AI557" s="25" t="n">
        <v>17.6490421295166</v>
      </c>
      <c r="AJ557" s="6" t="n">
        <v>201.6</v>
      </c>
      <c r="AK557" s="6" t="n">
        <v>180.5</v>
      </c>
      <c r="AL557" s="26"/>
    </row>
    <row r="558" customFormat="false" ht="15" hidden="false" customHeight="false" outlineLevel="0" collapsed="false">
      <c r="A558" s="6" t="s">
        <v>1471</v>
      </c>
      <c r="B558" s="6" t="s">
        <v>3906</v>
      </c>
      <c r="C558" s="6" t="s">
        <v>3007</v>
      </c>
      <c r="D558" s="13" t="n">
        <v>117.520690917969</v>
      </c>
      <c r="E558" s="25" t="n">
        <v>5.38324737548828</v>
      </c>
      <c r="F558" s="25" t="n">
        <v>4.03344202041626</v>
      </c>
      <c r="G558" s="25" t="n">
        <v>8.80944538116455</v>
      </c>
      <c r="H558" s="25" t="n">
        <v>2.09288835525513</v>
      </c>
      <c r="I558" s="25" t="n">
        <v>1.89662277698517</v>
      </c>
      <c r="J558" s="25" t="n">
        <v>1.67669665527344</v>
      </c>
      <c r="K558" s="25" t="n">
        <v>2.417373046875</v>
      </c>
      <c r="L558" s="25" t="n">
        <v>3.86527880859375</v>
      </c>
      <c r="M558" s="25" t="n">
        <v>120.736289978027</v>
      </c>
      <c r="N558" s="25" t="n">
        <v>142.121398925781</v>
      </c>
      <c r="O558" s="25" t="n">
        <v>198.532287597656</v>
      </c>
      <c r="P558" s="25" t="n">
        <v>41.5940895080566</v>
      </c>
      <c r="Q558" s="25" t="n">
        <v>83.1696929931641</v>
      </c>
      <c r="R558" s="25" t="n">
        <v>21.7208118438721</v>
      </c>
      <c r="S558" s="25" t="n">
        <v>1.5196807384491</v>
      </c>
      <c r="T558" s="25" t="n">
        <v>0.631345927715302</v>
      </c>
      <c r="U558" s="25" t="n">
        <v>0.0967354997992516</v>
      </c>
      <c r="V558" s="25" t="n">
        <v>13.5300512313843</v>
      </c>
      <c r="W558" s="25" t="n">
        <v>0.286500632762909</v>
      </c>
      <c r="X558" s="25" t="n">
        <v>65.3163528442383</v>
      </c>
      <c r="Y558" s="25" t="n">
        <v>2257.76782226563</v>
      </c>
      <c r="Z558" s="25" t="n">
        <v>3.22271275520325</v>
      </c>
      <c r="AA558" s="25" t="n">
        <v>14.6773405075073</v>
      </c>
      <c r="AB558" s="25" t="n">
        <v>12.5532464981079</v>
      </c>
      <c r="AC558" s="25" t="n">
        <v>0.0510899238288403</v>
      </c>
      <c r="AD558" s="25" t="n">
        <v>0.0835046470165253</v>
      </c>
      <c r="AE558" s="25" t="n">
        <v>0.366505235433579</v>
      </c>
      <c r="AF558" s="25" t="n">
        <v>0.639985501766205</v>
      </c>
      <c r="AG558" s="25" t="n">
        <v>0.122995316982269</v>
      </c>
      <c r="AH558" s="25" t="n">
        <v>7.02792692184448</v>
      </c>
      <c r="AI558" s="25" t="n">
        <v>29.5079326629639</v>
      </c>
      <c r="AJ558" s="6" t="n">
        <v>151.6</v>
      </c>
      <c r="AK558" s="6" t="n">
        <v>178.1</v>
      </c>
      <c r="AL558" s="26"/>
    </row>
    <row r="559" customFormat="false" ht="15" hidden="false" customHeight="false" outlineLevel="0" collapsed="false">
      <c r="A559" s="6" t="s">
        <v>3907</v>
      </c>
      <c r="B559" s="6" t="s">
        <v>3908</v>
      </c>
      <c r="C559" s="6" t="s">
        <v>3007</v>
      </c>
      <c r="D559" s="13" t="n">
        <v>83.0712661743164</v>
      </c>
      <c r="E559" s="25" t="n">
        <v>2.77400970458984</v>
      </c>
      <c r="F559" s="25" t="n">
        <v>7.18531847000122</v>
      </c>
      <c r="G559" s="25" t="n">
        <v>4.65550947189331</v>
      </c>
      <c r="H559" s="25" t="n">
        <v>3.34558534622192</v>
      </c>
      <c r="I559" s="25" t="n">
        <v>1.41150009632111</v>
      </c>
      <c r="J559" s="25" t="n">
        <v>1.80659338378906</v>
      </c>
      <c r="K559" s="25" t="n">
        <v>0.659087768554688</v>
      </c>
      <c r="L559" s="25" t="n">
        <v>1.48858715820313</v>
      </c>
      <c r="M559" s="25" t="n">
        <v>0</v>
      </c>
      <c r="N559" s="25" t="n">
        <v>43.3975830078125</v>
      </c>
      <c r="O559" s="25" t="n">
        <v>215.46826171875</v>
      </c>
      <c r="P559" s="25" t="n">
        <v>19.6259536743164</v>
      </c>
      <c r="Q559" s="25" t="n">
        <v>33.5781402587891</v>
      </c>
      <c r="R559" s="25" t="n">
        <v>23.1617813110352</v>
      </c>
      <c r="S559" s="25" t="n">
        <v>0.946895599365234</v>
      </c>
      <c r="T559" s="25" t="n">
        <v>0.454270005226135</v>
      </c>
      <c r="U559" s="25" t="n">
        <v>0.120736874639988</v>
      </c>
      <c r="V559" s="25" t="n">
        <v>0.616976618766785</v>
      </c>
      <c r="W559" s="25" t="n">
        <v>0.296646386384964</v>
      </c>
      <c r="X559" s="25" t="n">
        <v>0</v>
      </c>
      <c r="Y559" s="25" t="n">
        <v>1287.88610839844</v>
      </c>
      <c r="Z559" s="25" t="n">
        <v>1.32240653038025</v>
      </c>
      <c r="AA559" s="25" t="n">
        <v>19.4231090545654</v>
      </c>
      <c r="AB559" s="25" t="n">
        <v>18.7318553924561</v>
      </c>
      <c r="AC559" s="25" t="n">
        <v>0.0951199010014534</v>
      </c>
      <c r="AD559" s="25" t="n">
        <v>0.0222213845700026</v>
      </c>
      <c r="AE559" s="25" t="n">
        <v>0.635280549526215</v>
      </c>
      <c r="AF559" s="25" t="n">
        <v>0.308697164058685</v>
      </c>
      <c r="AG559" s="25" t="n">
        <v>0.0986150652170181</v>
      </c>
      <c r="AH559" s="25" t="n">
        <v>1.71521627902985</v>
      </c>
      <c r="AI559" s="25" t="n">
        <v>23.5950622558594</v>
      </c>
      <c r="AJ559" s="6" t="n">
        <v>371.6</v>
      </c>
      <c r="AK559" s="6" t="n">
        <v>308.7</v>
      </c>
      <c r="AL559" s="26"/>
    </row>
    <row r="560" customFormat="false" ht="15" hidden="false" customHeight="false" outlineLevel="0" collapsed="false">
      <c r="A560" s="6" t="s">
        <v>1222</v>
      </c>
      <c r="B560" s="6" t="s">
        <v>3909</v>
      </c>
      <c r="C560" s="6" t="s">
        <v>3007</v>
      </c>
      <c r="D560" s="13" t="n">
        <v>59.9042167663574</v>
      </c>
      <c r="E560" s="25" t="n">
        <v>1.56342923641205</v>
      </c>
      <c r="F560" s="25" t="n">
        <v>7.14624834060669</v>
      </c>
      <c r="G560" s="25" t="n">
        <v>2.72098922729492</v>
      </c>
      <c r="H560" s="25" t="n">
        <v>1.18701136112213</v>
      </c>
      <c r="I560" s="25" t="n">
        <v>1.82039737701416</v>
      </c>
      <c r="J560" s="25" t="n">
        <v>0.539650695800781</v>
      </c>
      <c r="K560" s="25" t="n">
        <v>0.579461181640625</v>
      </c>
      <c r="L560" s="25" t="n">
        <v>1.43253759765625</v>
      </c>
      <c r="M560" s="25" t="n">
        <v>1.45019245147705</v>
      </c>
      <c r="N560" s="25" t="n">
        <v>51.9908218383789</v>
      </c>
      <c r="O560" s="25" t="n">
        <v>259.266021728516</v>
      </c>
      <c r="P560" s="25" t="n">
        <v>36.3640022277832</v>
      </c>
      <c r="Q560" s="25" t="n">
        <v>43.3373947143555</v>
      </c>
      <c r="R560" s="25" t="n">
        <v>15.8746814727783</v>
      </c>
      <c r="S560" s="25" t="n">
        <v>0.473055422306061</v>
      </c>
      <c r="T560" s="25" t="n">
        <v>0.251805871725082</v>
      </c>
      <c r="U560" s="25" t="n">
        <v>0.0525436401367188</v>
      </c>
      <c r="V560" s="25" t="n">
        <v>0.55620151758194</v>
      </c>
      <c r="W560" s="25" t="n">
        <v>0.156930863857269</v>
      </c>
      <c r="X560" s="25" t="n">
        <v>3.69139909744263</v>
      </c>
      <c r="Y560" s="25" t="n">
        <v>788.536865234375</v>
      </c>
      <c r="Z560" s="25" t="n">
        <v>1.10531270503998</v>
      </c>
      <c r="AA560" s="25" t="n">
        <v>5.75042343139648</v>
      </c>
      <c r="AB560" s="25" t="n">
        <v>11.318717956543</v>
      </c>
      <c r="AC560" s="25" t="n">
        <v>0.0368818230926991</v>
      </c>
      <c r="AD560" s="25" t="n">
        <v>0.0446097664535046</v>
      </c>
      <c r="AE560" s="25" t="n">
        <v>0.465567946434021</v>
      </c>
      <c r="AF560" s="25" t="n">
        <v>0.237818121910095</v>
      </c>
      <c r="AG560" s="25" t="n">
        <v>0.067704476416111</v>
      </c>
      <c r="AH560" s="25" t="n">
        <v>1.13505804538727</v>
      </c>
      <c r="AI560" s="25" t="n">
        <v>11.7914485931397</v>
      </c>
      <c r="AJ560" s="6" t="n">
        <v>379.3</v>
      </c>
      <c r="AK560" s="6" t="n">
        <v>227.2</v>
      </c>
      <c r="AL560" s="26"/>
    </row>
    <row r="561" customFormat="false" ht="15" hidden="false" customHeight="false" outlineLevel="0" collapsed="false">
      <c r="A561" s="6" t="s">
        <v>3910</v>
      </c>
      <c r="B561" s="6" t="s">
        <v>3911</v>
      </c>
      <c r="C561" s="6" t="s">
        <v>3007</v>
      </c>
      <c r="D561" s="13" t="n">
        <v>455.3974609375</v>
      </c>
      <c r="E561" s="25" t="n">
        <v>0.560030281543732</v>
      </c>
      <c r="F561" s="25" t="n">
        <v>2.78380751609802</v>
      </c>
      <c r="G561" s="25" t="n">
        <v>49.0848655700684</v>
      </c>
      <c r="H561" s="25" t="n">
        <v>0.560033321380615</v>
      </c>
      <c r="I561" s="25" t="n">
        <v>0.629935324192047</v>
      </c>
      <c r="J561" s="25" t="n">
        <v>6.06945361328125</v>
      </c>
      <c r="K561" s="25" t="n">
        <v>10.1590615234375</v>
      </c>
      <c r="L561" s="25" t="n">
        <v>30.803685546875</v>
      </c>
      <c r="M561" s="25" t="n">
        <v>2.60273694992065</v>
      </c>
      <c r="N561" s="25" t="n">
        <v>30.1219921112061</v>
      </c>
      <c r="O561" s="25" t="n">
        <v>97.5738906860352</v>
      </c>
      <c r="P561" s="25" t="n">
        <v>7.77298498153687</v>
      </c>
      <c r="Q561" s="25" t="n">
        <v>13.2381429672241</v>
      </c>
      <c r="R561" s="25" t="n">
        <v>6.9048228263855</v>
      </c>
      <c r="S561" s="25" t="n">
        <v>0.259695321321487</v>
      </c>
      <c r="T561" s="25" t="n">
        <v>0.0944314152002335</v>
      </c>
      <c r="U561" s="25" t="n">
        <v>0.0313478372991085</v>
      </c>
      <c r="V561" s="25" t="n">
        <v>0.334595918655396</v>
      </c>
      <c r="W561" s="25" t="n">
        <v>0.115837775170803</v>
      </c>
      <c r="X561" s="25" t="n">
        <v>5.24958848953247</v>
      </c>
      <c r="Y561" s="25" t="n">
        <v>364.686462402344</v>
      </c>
      <c r="Z561" s="25" t="n">
        <v>24.003999710083</v>
      </c>
      <c r="AA561" s="25" t="n">
        <v>5.74275493621826</v>
      </c>
      <c r="AB561" s="25" t="n">
        <v>4.57177400588989</v>
      </c>
      <c r="AC561" s="25" t="n">
        <v>0.0144414156675339</v>
      </c>
      <c r="AD561" s="25" t="n">
        <v>0.00996892433613539</v>
      </c>
      <c r="AE561" s="25" t="n">
        <v>0.188177302479744</v>
      </c>
      <c r="AF561" s="25" t="n">
        <v>0.0909909009933472</v>
      </c>
      <c r="AG561" s="25" t="n">
        <v>0.0281185787171125</v>
      </c>
      <c r="AH561" s="25" t="n">
        <v>0.520488858222961</v>
      </c>
      <c r="AI561" s="25" t="n">
        <v>4.76176691055298</v>
      </c>
      <c r="AJ561" s="6" t="n">
        <v>1020.1</v>
      </c>
      <c r="AK561" s="6" t="n">
        <v>4645.4</v>
      </c>
      <c r="AL561" s="26" t="s">
        <v>3146</v>
      </c>
    </row>
    <row r="562" customFormat="false" ht="15" hidden="false" customHeight="false" outlineLevel="0" collapsed="false">
      <c r="A562" s="6" t="s">
        <v>3912</v>
      </c>
      <c r="B562" s="6" t="s">
        <v>3913</v>
      </c>
      <c r="C562" s="6" t="s">
        <v>3007</v>
      </c>
      <c r="D562" s="13" t="n">
        <v>322.879486083984</v>
      </c>
      <c r="E562" s="25" t="n">
        <v>0.714913904666901</v>
      </c>
      <c r="F562" s="25" t="n">
        <v>3.74873232841492</v>
      </c>
      <c r="G562" s="25" t="n">
        <v>33.8353042602539</v>
      </c>
      <c r="H562" s="25" t="n">
        <v>1.03779566287994</v>
      </c>
      <c r="I562" s="25" t="n">
        <v>0.626201033592224</v>
      </c>
      <c r="J562" s="25" t="n">
        <v>4.2802412109375</v>
      </c>
      <c r="K562" s="25" t="n">
        <v>6.97352685546875</v>
      </c>
      <c r="L562" s="25" t="n">
        <v>21.1509609375</v>
      </c>
      <c r="M562" s="25" t="n">
        <v>3.53877305984497</v>
      </c>
      <c r="N562" s="25" t="n">
        <v>42.2222709655762</v>
      </c>
      <c r="O562" s="25" t="n">
        <v>109.021598815918</v>
      </c>
      <c r="P562" s="25" t="n">
        <v>8.35112285614014</v>
      </c>
      <c r="Q562" s="25" t="n">
        <v>15.1975183486939</v>
      </c>
      <c r="R562" s="25" t="n">
        <v>8.55097961425781</v>
      </c>
      <c r="S562" s="25" t="n">
        <v>0.309905886650085</v>
      </c>
      <c r="T562" s="25" t="n">
        <v>0.108181960880756</v>
      </c>
      <c r="U562" s="25" t="n">
        <v>0.0540397986769676</v>
      </c>
      <c r="V562" s="25" t="n">
        <v>0.384799957275391</v>
      </c>
      <c r="W562" s="25" t="n">
        <v>0.104840189218521</v>
      </c>
      <c r="X562" s="25" t="n">
        <v>7.13752603530884</v>
      </c>
      <c r="Y562" s="25" t="n">
        <v>458.688995361328</v>
      </c>
      <c r="Z562" s="25" t="n">
        <v>16.5085124969482</v>
      </c>
      <c r="AA562" s="25" t="n">
        <v>6.04503011703491</v>
      </c>
      <c r="AB562" s="25" t="n">
        <v>4.80735778808594</v>
      </c>
      <c r="AC562" s="25" t="n">
        <v>0.0141380317509174</v>
      </c>
      <c r="AD562" s="25" t="n">
        <v>0.0126506807282567</v>
      </c>
      <c r="AE562" s="25" t="n">
        <v>0.160382658243179</v>
      </c>
      <c r="AF562" s="25" t="n">
        <v>0.102454617619515</v>
      </c>
      <c r="AG562" s="25" t="n">
        <v>0.0460672304034233</v>
      </c>
      <c r="AH562" s="25" t="n">
        <v>1.06297540664673</v>
      </c>
      <c r="AI562" s="25" t="n">
        <v>5.79454135894775</v>
      </c>
      <c r="AJ562" s="6" t="n">
        <v>750.3</v>
      </c>
      <c r="AK562" s="6" t="n">
        <v>2422.4</v>
      </c>
      <c r="AL562" s="26" t="s">
        <v>3070</v>
      </c>
    </row>
    <row r="563" customFormat="false" ht="15" hidden="false" customHeight="false" outlineLevel="0" collapsed="false">
      <c r="A563" s="6" t="s">
        <v>3914</v>
      </c>
      <c r="B563" s="6" t="s">
        <v>3915</v>
      </c>
      <c r="C563" s="6" t="s">
        <v>3007</v>
      </c>
      <c r="D563" s="13" t="n">
        <v>321.082824707031</v>
      </c>
      <c r="E563" s="25" t="n">
        <v>0.804482877254486</v>
      </c>
      <c r="F563" s="25" t="n">
        <v>3.16653394699097</v>
      </c>
      <c r="G563" s="25" t="n">
        <v>33.8321037292481</v>
      </c>
      <c r="H563" s="25" t="n">
        <v>0.964221179485321</v>
      </c>
      <c r="I563" s="25" t="n">
        <v>2.39518785476685</v>
      </c>
      <c r="J563" s="25" t="n">
        <v>4.2794462890625</v>
      </c>
      <c r="K563" s="25" t="n">
        <v>6.97852197265625</v>
      </c>
      <c r="L563" s="25" t="n">
        <v>21.14548046875</v>
      </c>
      <c r="M563" s="25" t="n">
        <v>3.53877305984497</v>
      </c>
      <c r="N563" s="25" t="n">
        <v>40.0374298095703</v>
      </c>
      <c r="O563" s="25" t="n">
        <v>79.5918045043945</v>
      </c>
      <c r="P563" s="25" t="n">
        <v>11.3644781112671</v>
      </c>
      <c r="Q563" s="25" t="n">
        <v>10.9685850143433</v>
      </c>
      <c r="R563" s="25" t="n">
        <v>8.78130054473877</v>
      </c>
      <c r="S563" s="25" t="n">
        <v>0.244328632950783</v>
      </c>
      <c r="T563" s="25" t="n">
        <v>0.0825908333063126</v>
      </c>
      <c r="U563" s="25" t="n">
        <v>0.0476420186460018</v>
      </c>
      <c r="V563" s="25" t="n">
        <v>0.293631553649902</v>
      </c>
      <c r="W563" s="25" t="n">
        <v>0.138428539037705</v>
      </c>
      <c r="X563" s="25" t="n">
        <v>7.13752603530884</v>
      </c>
      <c r="Y563" s="25" t="n">
        <v>460.059722900391</v>
      </c>
      <c r="Z563" s="25" t="n">
        <v>16.4573307037354</v>
      </c>
      <c r="AA563" s="25" t="n">
        <v>11.0832843780518</v>
      </c>
      <c r="AB563" s="25" t="n">
        <v>3.66375398635864</v>
      </c>
      <c r="AC563" s="25" t="n">
        <v>0.0157374776899815</v>
      </c>
      <c r="AD563" s="25" t="n">
        <v>0.0110512357205153</v>
      </c>
      <c r="AE563" s="25" t="n">
        <v>0.137990429997444</v>
      </c>
      <c r="AF563" s="25" t="n">
        <v>0.0768634900450707</v>
      </c>
      <c r="AG563" s="25" t="n">
        <v>0.0540644563734531</v>
      </c>
      <c r="AH563" s="25" t="n">
        <v>1.032585978508</v>
      </c>
      <c r="AI563" s="25" t="n">
        <v>8.42882823944092</v>
      </c>
      <c r="AJ563" s="6" t="n">
        <v>750.3</v>
      </c>
      <c r="AK563" s="6" t="n">
        <v>2409</v>
      </c>
      <c r="AL563" s="26" t="s">
        <v>3070</v>
      </c>
    </row>
    <row r="564" customFormat="false" ht="15" hidden="false" customHeight="false" outlineLevel="0" collapsed="false">
      <c r="A564" s="6" t="s">
        <v>1277</v>
      </c>
      <c r="B564" s="6" t="s">
        <v>3916</v>
      </c>
      <c r="C564" s="6" t="s">
        <v>3007</v>
      </c>
      <c r="D564" s="13" t="n">
        <v>57.170955657959</v>
      </c>
      <c r="E564" s="25" t="n">
        <v>1.62998747825623</v>
      </c>
      <c r="F564" s="25" t="n">
        <v>5.91232204437256</v>
      </c>
      <c r="G564" s="25" t="n">
        <v>2.81967544555664</v>
      </c>
      <c r="H564" s="25" t="n">
        <v>2.03784799575806</v>
      </c>
      <c r="I564" s="25" t="n">
        <v>0.933749139308929</v>
      </c>
      <c r="J564" s="25" t="n">
        <v>0.394947143554688</v>
      </c>
      <c r="K564" s="25" t="n">
        <v>0.532947509765625</v>
      </c>
      <c r="L564" s="25" t="n">
        <v>1.71217810058594</v>
      </c>
      <c r="M564" s="25" t="n">
        <v>0</v>
      </c>
      <c r="N564" s="25" t="n">
        <v>62.4597854614258</v>
      </c>
      <c r="O564" s="25" t="n">
        <v>457.278656005859</v>
      </c>
      <c r="P564" s="25" t="n">
        <v>43.6739006042481</v>
      </c>
      <c r="Q564" s="25" t="n">
        <v>31.338565826416</v>
      </c>
      <c r="R564" s="25" t="n">
        <v>49.4358673095703</v>
      </c>
      <c r="S564" s="25" t="n">
        <v>1.58656489849091</v>
      </c>
      <c r="T564" s="25" t="n">
        <v>0.33063206076622</v>
      </c>
      <c r="U564" s="25" t="n">
        <v>0.116132080554962</v>
      </c>
      <c r="V564" s="25" t="n">
        <v>1.1481020450592</v>
      </c>
      <c r="W564" s="25" t="n">
        <v>0.631039381027222</v>
      </c>
      <c r="X564" s="25" t="n">
        <v>0</v>
      </c>
      <c r="Y564" s="25" t="n">
        <v>5207.7861328125</v>
      </c>
      <c r="Z564" s="25" t="n">
        <v>1.81064784526825</v>
      </c>
      <c r="AA564" s="25" t="n">
        <v>150.685638427734</v>
      </c>
      <c r="AB564" s="25" t="n">
        <v>23.4947700500488</v>
      </c>
      <c r="AC564" s="25" t="n">
        <v>0.0970187112689018</v>
      </c>
      <c r="AD564" s="25" t="n">
        <v>0.0525306649506092</v>
      </c>
      <c r="AE564" s="25" t="n">
        <v>0.509370625019074</v>
      </c>
      <c r="AF564" s="25" t="n">
        <v>0.247985616326332</v>
      </c>
      <c r="AG564" s="25" t="n">
        <v>0.116856664419174</v>
      </c>
      <c r="AH564" s="25" t="n">
        <v>2.56013321876526</v>
      </c>
      <c r="AI564" s="25" t="n">
        <v>72.218864440918</v>
      </c>
      <c r="AJ564" s="6" t="n">
        <v>335.1</v>
      </c>
      <c r="AK564" s="6" t="n">
        <v>191.6</v>
      </c>
      <c r="AL564" s="26"/>
    </row>
    <row r="565" customFormat="false" ht="15" hidden="false" customHeight="false" outlineLevel="0" collapsed="false">
      <c r="A565" s="6" t="s">
        <v>3917</v>
      </c>
      <c r="B565" s="6" t="s">
        <v>3918</v>
      </c>
      <c r="C565" s="6" t="s">
        <v>3007</v>
      </c>
      <c r="D565" s="13" t="n">
        <v>91.2016677856445</v>
      </c>
      <c r="E565" s="25" t="n">
        <v>1.68692064285278</v>
      </c>
      <c r="F565" s="25" t="n">
        <v>4.74414777755737</v>
      </c>
      <c r="G565" s="25" t="n">
        <v>7.25031566619873</v>
      </c>
      <c r="H565" s="25" t="n">
        <v>2.356360912323</v>
      </c>
      <c r="I565" s="25" t="n">
        <v>1.07114255428314</v>
      </c>
      <c r="J565" s="25" t="n">
        <v>0.903090759277344</v>
      </c>
      <c r="K565" s="25" t="n">
        <v>4.07791625976563</v>
      </c>
      <c r="L565" s="25" t="n">
        <v>1.64366638183594</v>
      </c>
      <c r="M565" s="25" t="n">
        <v>0</v>
      </c>
      <c r="N565" s="25" t="n">
        <v>89.7305221557617</v>
      </c>
      <c r="O565" s="25" t="n">
        <v>282.598968505859</v>
      </c>
      <c r="P565" s="25" t="n">
        <v>131.875503540039</v>
      </c>
      <c r="Q565" s="25" t="n">
        <v>41.2119255065918</v>
      </c>
      <c r="R565" s="25" t="n">
        <v>40.4075088500977</v>
      </c>
      <c r="S565" s="25" t="n">
        <v>2.36545205116272</v>
      </c>
      <c r="T565" s="25" t="n">
        <v>0.384906262159348</v>
      </c>
      <c r="U565" s="25" t="n">
        <v>0.179249569773674</v>
      </c>
      <c r="V565" s="25" t="n">
        <v>16.7433223724365</v>
      </c>
      <c r="W565" s="25" t="n">
        <v>0.734842240810394</v>
      </c>
      <c r="X565" s="25" t="n">
        <v>0</v>
      </c>
      <c r="Y565" s="25" t="n">
        <v>4782.40625</v>
      </c>
      <c r="Z565" s="25" t="n">
        <v>0.0796497315168381</v>
      </c>
      <c r="AA565" s="25" t="n">
        <v>96.4630279541016</v>
      </c>
      <c r="AB565" s="25" t="n">
        <v>40.7071037292481</v>
      </c>
      <c r="AC565" s="25" t="n">
        <v>0.0446134470403194</v>
      </c>
      <c r="AD565" s="25" t="n">
        <v>0.0769645199179649</v>
      </c>
      <c r="AE565" s="25" t="n">
        <v>0.40859642624855</v>
      </c>
      <c r="AF565" s="25" t="n">
        <v>0.156385943293572</v>
      </c>
      <c r="AG565" s="25" t="n">
        <v>0.127091020345688</v>
      </c>
      <c r="AH565" s="25" t="n">
        <v>3.16993188858032</v>
      </c>
      <c r="AI565" s="25" t="n">
        <v>38.2356605529785</v>
      </c>
      <c r="AJ565" s="6" t="n">
        <v>198.4</v>
      </c>
      <c r="AK565" s="6" t="n">
        <v>181</v>
      </c>
      <c r="AL565" s="26"/>
    </row>
    <row r="566" customFormat="false" ht="15" hidden="false" customHeight="false" outlineLevel="0" collapsed="false">
      <c r="A566" s="6" t="s">
        <v>3919</v>
      </c>
      <c r="B566" s="6" t="s">
        <v>3920</v>
      </c>
      <c r="C566" s="6" t="s">
        <v>3007</v>
      </c>
      <c r="D566" s="13" t="n">
        <v>90.9005355834961</v>
      </c>
      <c r="E566" s="25" t="n">
        <v>2.26397943496704</v>
      </c>
      <c r="F566" s="25" t="n">
        <v>3.63034868240356</v>
      </c>
      <c r="G566" s="25" t="n">
        <v>7.28811407089233</v>
      </c>
      <c r="H566" s="25" t="n">
        <v>3.80278754234314</v>
      </c>
      <c r="I566" s="25" t="n">
        <v>1.07870221138001</v>
      </c>
      <c r="J566" s="25" t="n">
        <v>0.908664794921875</v>
      </c>
      <c r="K566" s="25" t="n">
        <v>4.06854956054688</v>
      </c>
      <c r="L566" s="25" t="n">
        <v>1.67072009277344</v>
      </c>
      <c r="M566" s="25" t="n">
        <v>0</v>
      </c>
      <c r="N566" s="25" t="n">
        <v>81.9868469238281</v>
      </c>
      <c r="O566" s="25" t="n">
        <v>387.931121826172</v>
      </c>
      <c r="P566" s="25" t="n">
        <v>165.843856811523</v>
      </c>
      <c r="Q566" s="25" t="n">
        <v>36.7743682861328</v>
      </c>
      <c r="R566" s="25" t="n">
        <v>43.7438659667969</v>
      </c>
      <c r="S566" s="25" t="n">
        <v>2.36041235923767</v>
      </c>
      <c r="T566" s="25" t="n">
        <v>0.823370158672333</v>
      </c>
      <c r="U566" s="25" t="n">
        <v>0.101132452487946</v>
      </c>
      <c r="V566" s="25" t="n">
        <v>1.11989712715149</v>
      </c>
      <c r="W566" s="25" t="n">
        <v>1.45049583911896</v>
      </c>
      <c r="X566" s="25" t="n">
        <v>0</v>
      </c>
      <c r="Y566" s="25" t="n">
        <v>2695.51977539063</v>
      </c>
      <c r="Z566" s="25" t="n">
        <v>0.225804358720779</v>
      </c>
      <c r="AA566" s="25" t="n">
        <v>171.93424987793</v>
      </c>
      <c r="AB566" s="25" t="n">
        <v>33.5656852722168</v>
      </c>
      <c r="AC566" s="25" t="n">
        <v>0.0546930767595768</v>
      </c>
      <c r="AD566" s="25" t="n">
        <v>0.391952931880951</v>
      </c>
      <c r="AE566" s="25" t="n">
        <v>0.504352867603302</v>
      </c>
      <c r="AF566" s="25" t="n">
        <v>0.357978522777557</v>
      </c>
      <c r="AG566" s="25" t="n">
        <v>0.157329902052879</v>
      </c>
      <c r="AH566" s="25" t="n">
        <v>1.27748155593872</v>
      </c>
      <c r="AI566" s="25" t="n">
        <v>36.1239814758301</v>
      </c>
      <c r="AJ566" s="6" t="n">
        <v>198.4</v>
      </c>
      <c r="AK566" s="6" t="n">
        <v>180.4</v>
      </c>
      <c r="AL566" s="26"/>
    </row>
    <row r="567" customFormat="false" ht="15" hidden="false" customHeight="false" outlineLevel="0" collapsed="false">
      <c r="A567" s="6" t="s">
        <v>3921</v>
      </c>
      <c r="B567" s="6" t="s">
        <v>3922</v>
      </c>
      <c r="C567" s="6" t="s">
        <v>3923</v>
      </c>
      <c r="D567" s="13" t="n">
        <v>142.475051879883</v>
      </c>
      <c r="E567" s="25" t="n">
        <v>8.20612621307373</v>
      </c>
      <c r="F567" s="25" t="n">
        <v>6.09401988983154</v>
      </c>
      <c r="G567" s="25" t="n">
        <v>9.35861873626709</v>
      </c>
      <c r="H567" s="25" t="n">
        <v>1.83602046966553</v>
      </c>
      <c r="I567" s="25" t="n">
        <v>1.26011908054352</v>
      </c>
      <c r="J567" s="25" t="n">
        <v>3.82356030273438</v>
      </c>
      <c r="K567" s="25" t="n">
        <v>2.9352587890625</v>
      </c>
      <c r="L567" s="25" t="n">
        <v>1.90526745605469</v>
      </c>
      <c r="M567" s="25" t="n">
        <v>32.9043922424316</v>
      </c>
      <c r="N567" s="25" t="n">
        <v>118.053276062012</v>
      </c>
      <c r="O567" s="25" t="n">
        <v>252.570236206055</v>
      </c>
      <c r="P567" s="25" t="n">
        <v>31.5375537872315</v>
      </c>
      <c r="Q567" s="25" t="n">
        <v>92.2542114257813</v>
      </c>
      <c r="R567" s="25" t="n">
        <v>20.9347839355469</v>
      </c>
      <c r="S567" s="25" t="n">
        <v>0.979990363121033</v>
      </c>
      <c r="T567" s="25" t="n">
        <v>1.4332435131073</v>
      </c>
      <c r="U567" s="25" t="n">
        <v>0.0750661417841911</v>
      </c>
      <c r="V567" s="25" t="n">
        <v>1.19120931625366</v>
      </c>
      <c r="W567" s="25" t="n">
        <v>0.278977751731873</v>
      </c>
      <c r="X567" s="25" t="n">
        <v>24.8466625213623</v>
      </c>
      <c r="Y567" s="25" t="n">
        <v>206.242935180664</v>
      </c>
      <c r="Z567" s="25" t="n">
        <v>1.33900713920593</v>
      </c>
      <c r="AA567" s="25" t="n">
        <v>43.5334396362305</v>
      </c>
      <c r="AB567" s="25" t="n">
        <v>15.262791633606</v>
      </c>
      <c r="AC567" s="25" t="n">
        <v>0.0698628947138786</v>
      </c>
      <c r="AD567" s="25" t="n">
        <v>0.0944299474358559</v>
      </c>
      <c r="AE567" s="25" t="n">
        <v>1.94426047801971</v>
      </c>
      <c r="AF567" s="25" t="n">
        <v>0.49937704205513</v>
      </c>
      <c r="AG567" s="25" t="n">
        <v>0.15318700671196</v>
      </c>
      <c r="AH567" s="25" t="n">
        <v>1.65275466442108</v>
      </c>
      <c r="AI567" s="25" t="n">
        <v>22.8609981536865</v>
      </c>
      <c r="AJ567" s="6" t="n">
        <v>83.2</v>
      </c>
      <c r="AK567" s="6" t="n">
        <v>118.5</v>
      </c>
      <c r="AL567" s="26"/>
    </row>
    <row r="568" customFormat="false" ht="15" hidden="false" customHeight="false" outlineLevel="0" collapsed="false">
      <c r="A568" s="6" t="s">
        <v>3924</v>
      </c>
      <c r="B568" s="6" t="s">
        <v>3925</v>
      </c>
      <c r="C568" s="6" t="s">
        <v>3923</v>
      </c>
      <c r="D568" s="13" t="n">
        <v>124.627487182617</v>
      </c>
      <c r="E568" s="25" t="n">
        <v>5.75963068008423</v>
      </c>
      <c r="F568" s="25" t="n">
        <v>7.03214359283447</v>
      </c>
      <c r="G568" s="25" t="n">
        <v>8.16766357421875</v>
      </c>
      <c r="H568" s="25" t="n">
        <v>2.35186505317688</v>
      </c>
      <c r="I568" s="25" t="n">
        <v>3.80649900436401</v>
      </c>
      <c r="J568" s="25" t="n">
        <v>2.53089624023438</v>
      </c>
      <c r="K568" s="25" t="n">
        <v>2.24806860351563</v>
      </c>
      <c r="L568" s="25" t="n">
        <v>2.85840991210938</v>
      </c>
      <c r="M568" s="25" t="n">
        <v>18.7886276245117</v>
      </c>
      <c r="N568" s="25" t="n">
        <v>123.984344482422</v>
      </c>
      <c r="O568" s="25" t="n">
        <v>425.85595703125</v>
      </c>
      <c r="P568" s="25" t="n">
        <v>29.823823928833</v>
      </c>
      <c r="Q568" s="25" t="n">
        <v>75.4663391113281</v>
      </c>
      <c r="R568" s="25" t="n">
        <v>26.4052181243897</v>
      </c>
      <c r="S568" s="25" t="n">
        <v>0.948528349399567</v>
      </c>
      <c r="T568" s="25" t="n">
        <v>0.975997090339661</v>
      </c>
      <c r="U568" s="25" t="n">
        <v>0.141071632504463</v>
      </c>
      <c r="V568" s="25" t="n">
        <v>0.931064069271088</v>
      </c>
      <c r="W568" s="25" t="n">
        <v>0.325854957103729</v>
      </c>
      <c r="X568" s="25" t="n">
        <v>14.187611579895</v>
      </c>
      <c r="Y568" s="25" t="n">
        <v>499.781646728516</v>
      </c>
      <c r="Z568" s="25" t="n">
        <v>3.2041232585907</v>
      </c>
      <c r="AA568" s="25" t="n">
        <v>26.1446189880371</v>
      </c>
      <c r="AB568" s="25" t="n">
        <v>18.4817657470703</v>
      </c>
      <c r="AC568" s="25" t="n">
        <v>0.245664060115814</v>
      </c>
      <c r="AD568" s="25" t="n">
        <v>0.080585427582264</v>
      </c>
      <c r="AE568" s="25" t="n">
        <v>1.88722193241119</v>
      </c>
      <c r="AF568" s="25" t="n">
        <v>0.333877205848694</v>
      </c>
      <c r="AG568" s="25" t="n">
        <v>0.15697705745697</v>
      </c>
      <c r="AH568" s="25" t="n">
        <v>2.44760704040527</v>
      </c>
      <c r="AI568" s="25" t="n">
        <v>23.3761806488037</v>
      </c>
      <c r="AJ568" s="6" t="n">
        <v>145.6</v>
      </c>
      <c r="AK568" s="6" t="n">
        <v>181.5</v>
      </c>
      <c r="AL568" s="26"/>
    </row>
    <row r="569" customFormat="false" ht="15" hidden="false" customHeight="false" outlineLevel="0" collapsed="false">
      <c r="A569" s="6" t="s">
        <v>3926</v>
      </c>
      <c r="B569" s="6" t="s">
        <v>3927</v>
      </c>
      <c r="C569" s="6" t="s">
        <v>3007</v>
      </c>
      <c r="D569" s="13" t="n">
        <v>134.945053100586</v>
      </c>
      <c r="E569" s="25" t="n">
        <v>2.11611986160278</v>
      </c>
      <c r="F569" s="25" t="n">
        <v>11.1065855026245</v>
      </c>
      <c r="G569" s="25" t="n">
        <v>8.96659851074219</v>
      </c>
      <c r="H569" s="25" t="n">
        <v>2.47321653366089</v>
      </c>
      <c r="I569" s="25" t="n">
        <v>1.55144822597504</v>
      </c>
      <c r="J569" s="25" t="n">
        <v>1.09813720703125</v>
      </c>
      <c r="K569" s="25" t="n">
        <v>1.83985034179688</v>
      </c>
      <c r="L569" s="25" t="n">
        <v>5.63138623046875</v>
      </c>
      <c r="M569" s="25" t="n">
        <v>0</v>
      </c>
      <c r="N569" s="25" t="n">
        <v>81.2451019287109</v>
      </c>
      <c r="O569" s="25" t="n">
        <v>322.904968261719</v>
      </c>
      <c r="P569" s="25" t="n">
        <v>22.7690181732178</v>
      </c>
      <c r="Q569" s="25" t="n">
        <v>50.6709709167481</v>
      </c>
      <c r="R569" s="25" t="n">
        <v>25.7568416595459</v>
      </c>
      <c r="S569" s="25" t="n">
        <v>0.681150615215302</v>
      </c>
      <c r="T569" s="25" t="n">
        <v>0.307899206876755</v>
      </c>
      <c r="U569" s="25" t="n">
        <v>0.180366426706314</v>
      </c>
      <c r="V569" s="25" t="n">
        <v>0.230183467268944</v>
      </c>
      <c r="W569" s="25" t="n">
        <v>0.409791111946106</v>
      </c>
      <c r="X569" s="25" t="n">
        <v>0</v>
      </c>
      <c r="Y569" s="25" t="n">
        <v>514.996276855469</v>
      </c>
      <c r="Z569" s="25" t="n">
        <v>4.50186967849731</v>
      </c>
      <c r="AA569" s="25" t="n">
        <v>5.91280746459961</v>
      </c>
      <c r="AB569" s="25" t="n">
        <v>4.04487991333008</v>
      </c>
      <c r="AC569" s="25" t="n">
        <v>0.0431975647807121</v>
      </c>
      <c r="AD569" s="25" t="n">
        <v>0.0230694450438023</v>
      </c>
      <c r="AE569" s="25" t="n">
        <v>0.39588212966919</v>
      </c>
      <c r="AF569" s="25" t="n">
        <v>0.136634424328804</v>
      </c>
      <c r="AG569" s="25" t="n">
        <v>0.122002594172955</v>
      </c>
      <c r="AH569" s="25" t="n">
        <v>2.35881662368774</v>
      </c>
      <c r="AI569" s="25" t="n">
        <v>16.3318214416504</v>
      </c>
      <c r="AJ569" s="6" t="n">
        <v>200.6</v>
      </c>
      <c r="AK569" s="6" t="n">
        <v>270.7</v>
      </c>
      <c r="AL569" s="26"/>
    </row>
    <row r="570" customFormat="false" ht="15" hidden="false" customHeight="false" outlineLevel="0" collapsed="false">
      <c r="A570" s="6" t="s">
        <v>1272</v>
      </c>
      <c r="B570" s="6" t="s">
        <v>3928</v>
      </c>
      <c r="C570" s="6" t="s">
        <v>3007</v>
      </c>
      <c r="D570" s="13" t="n">
        <v>185.376937866211</v>
      </c>
      <c r="E570" s="25" t="n">
        <v>3.00723004341126</v>
      </c>
      <c r="F570" s="25" t="n">
        <v>16.157772064209</v>
      </c>
      <c r="G570" s="25" t="n">
        <v>11.9027795791626</v>
      </c>
      <c r="H570" s="25" t="n">
        <v>3.09941482543945</v>
      </c>
      <c r="I570" s="25" t="n">
        <v>0.810939908027649</v>
      </c>
      <c r="J570" s="25" t="n">
        <v>1.44802026367188</v>
      </c>
      <c r="K570" s="25" t="n">
        <v>2.41755029296875</v>
      </c>
      <c r="L570" s="25" t="n">
        <v>7.46484765625</v>
      </c>
      <c r="M570" s="25" t="n">
        <v>0</v>
      </c>
      <c r="N570" s="25" t="n">
        <v>261.306457519531</v>
      </c>
      <c r="O570" s="25" t="n">
        <v>467.526763916016</v>
      </c>
      <c r="P570" s="25" t="n">
        <v>32.0829734802246</v>
      </c>
      <c r="Q570" s="25" t="n">
        <v>74.0173873901367</v>
      </c>
      <c r="R570" s="25" t="n">
        <v>35.1897048950195</v>
      </c>
      <c r="S570" s="25" t="n">
        <v>0.993647813796997</v>
      </c>
      <c r="T570" s="25" t="n">
        <v>0.39941468834877</v>
      </c>
      <c r="U570" s="25" t="n">
        <v>0.27278533577919</v>
      </c>
      <c r="V570" s="25" t="n">
        <v>0.285806506872177</v>
      </c>
      <c r="W570" s="25" t="n">
        <v>0.472499579191208</v>
      </c>
      <c r="X570" s="25" t="n">
        <v>0</v>
      </c>
      <c r="Y570" s="25" t="n">
        <v>98.5582656860352</v>
      </c>
      <c r="Z570" s="25" t="n">
        <v>6.01592350006104</v>
      </c>
      <c r="AA570" s="25" t="n">
        <v>3.95334839820862</v>
      </c>
      <c r="AB570" s="25" t="n">
        <v>1.63108968734741</v>
      </c>
      <c r="AC570" s="25" t="n">
        <v>0.0544844195246697</v>
      </c>
      <c r="AD570" s="25" t="n">
        <v>0.031330693513155</v>
      </c>
      <c r="AE570" s="25" t="n">
        <v>0.506326377391815</v>
      </c>
      <c r="AF570" s="25" t="n">
        <v>0.107677735388279</v>
      </c>
      <c r="AG570" s="25" t="n">
        <v>0.155921846628189</v>
      </c>
      <c r="AH570" s="25" t="n">
        <v>3.17937684059143</v>
      </c>
      <c r="AI570" s="25" t="n">
        <v>17.3173522949219</v>
      </c>
      <c r="AJ570" s="6" t="n">
        <v>116.2</v>
      </c>
      <c r="AK570" s="6" t="n">
        <v>215.4</v>
      </c>
      <c r="AL570" s="26"/>
    </row>
    <row r="571" customFormat="false" ht="15" hidden="false" customHeight="false" outlineLevel="0" collapsed="false">
      <c r="A571" s="6" t="s">
        <v>3929</v>
      </c>
      <c r="B571" s="6" t="s">
        <v>3930</v>
      </c>
      <c r="C571" s="6" t="s">
        <v>3732</v>
      </c>
      <c r="D571" s="13" t="n">
        <v>84.5454559326172</v>
      </c>
      <c r="E571" s="25" t="n">
        <v>2.05124306678772</v>
      </c>
      <c r="F571" s="25" t="n">
        <v>5.01843452453613</v>
      </c>
      <c r="G571" s="25" t="n">
        <v>6.05188798904419</v>
      </c>
      <c r="H571" s="25" t="n">
        <v>3.63092470169067</v>
      </c>
      <c r="I571" s="25" t="n">
        <v>1.57362747192383</v>
      </c>
      <c r="J571" s="25" t="n">
        <v>0.75137451171875</v>
      </c>
      <c r="K571" s="25" t="n">
        <v>1.2053583984375</v>
      </c>
      <c r="L571" s="25" t="n">
        <v>3.76939453125</v>
      </c>
      <c r="M571" s="25" t="n">
        <v>0</v>
      </c>
      <c r="N571" s="25" t="n">
        <v>63.6524047851563</v>
      </c>
      <c r="O571" s="25" t="n">
        <v>224.014175415039</v>
      </c>
      <c r="P571" s="25" t="n">
        <v>19.6256294250488</v>
      </c>
      <c r="Q571" s="25" t="n">
        <v>33.0204086303711</v>
      </c>
      <c r="R571" s="25" t="n">
        <v>22.0004901885986</v>
      </c>
      <c r="S571" s="25" t="n">
        <v>0.625016272068024</v>
      </c>
      <c r="T571" s="25" t="n">
        <v>0.322326213121414</v>
      </c>
      <c r="U571" s="25" t="n">
        <v>0.114903122186661</v>
      </c>
      <c r="V571" s="25" t="n">
        <v>0.230442926287651</v>
      </c>
      <c r="W571" s="25" t="n">
        <v>0.2136370241642</v>
      </c>
      <c r="X571" s="25" t="n">
        <v>0</v>
      </c>
      <c r="Y571" s="25" t="n">
        <v>1160.04699707031</v>
      </c>
      <c r="Z571" s="25" t="n">
        <v>2.92360258102417</v>
      </c>
      <c r="AA571" s="25" t="n">
        <v>19.0083675384522</v>
      </c>
      <c r="AB571" s="25" t="n">
        <v>10.6462078094482</v>
      </c>
      <c r="AC571" s="25" t="n">
        <v>0.0775010511279106</v>
      </c>
      <c r="AD571" s="25" t="n">
        <v>0.0741441547870636</v>
      </c>
      <c r="AE571" s="25" t="n">
        <v>0.591866493225098</v>
      </c>
      <c r="AF571" s="25" t="n">
        <v>0.320012241601944</v>
      </c>
      <c r="AG571" s="25" t="n">
        <v>0.0915748849511147</v>
      </c>
      <c r="AH571" s="25" t="n">
        <v>1.93617117404938</v>
      </c>
      <c r="AI571" s="25" t="n">
        <v>31.5241146087647</v>
      </c>
      <c r="AJ571" s="6" t="n">
        <v>261.7</v>
      </c>
      <c r="AK571" s="6" t="n">
        <v>221.2</v>
      </c>
      <c r="AL571" s="26"/>
    </row>
    <row r="572" customFormat="false" ht="15" hidden="false" customHeight="false" outlineLevel="0" collapsed="false">
      <c r="A572" s="6" t="s">
        <v>1241</v>
      </c>
      <c r="B572" s="6" t="s">
        <v>3931</v>
      </c>
      <c r="C572" s="6" t="s">
        <v>3007</v>
      </c>
      <c r="D572" s="13" t="n">
        <v>110.808479309082</v>
      </c>
      <c r="E572" s="25" t="n">
        <v>1.83040761947632</v>
      </c>
      <c r="F572" s="25" t="n">
        <v>4.50315618515015</v>
      </c>
      <c r="G572" s="25" t="n">
        <v>9.27352046966553</v>
      </c>
      <c r="H572" s="25" t="n">
        <v>3.56915044784546</v>
      </c>
      <c r="I572" s="25" t="n">
        <v>1.42485272884369</v>
      </c>
      <c r="J572" s="25" t="n">
        <v>1.15317236328125</v>
      </c>
      <c r="K572" s="25" t="n">
        <v>1.88392175292969</v>
      </c>
      <c r="L572" s="25" t="n">
        <v>5.8273671875</v>
      </c>
      <c r="M572" s="25" t="n">
        <v>0</v>
      </c>
      <c r="N572" s="25" t="n">
        <v>92.7750778198242</v>
      </c>
      <c r="O572" s="25" t="n">
        <v>233.034805297852</v>
      </c>
      <c r="P572" s="25" t="n">
        <v>67.8832550048828</v>
      </c>
      <c r="Q572" s="25" t="n">
        <v>49.0224227905273</v>
      </c>
      <c r="R572" s="25" t="n">
        <v>52.6009368896484</v>
      </c>
      <c r="S572" s="25" t="n">
        <v>0.884195029735565</v>
      </c>
      <c r="T572" s="25" t="n">
        <v>0.408239156007767</v>
      </c>
      <c r="U572" s="25" t="n">
        <v>0.119707830250263</v>
      </c>
      <c r="V572" s="25" t="n">
        <v>0.813334167003632</v>
      </c>
      <c r="W572" s="25" t="n">
        <v>0.290804982185364</v>
      </c>
      <c r="X572" s="25" t="n">
        <v>0</v>
      </c>
      <c r="Y572" s="25" t="n">
        <v>927.876647949219</v>
      </c>
      <c r="Z572" s="25" t="n">
        <v>4.818519115448</v>
      </c>
      <c r="AA572" s="25" t="n">
        <v>17.1555252075195</v>
      </c>
      <c r="AB572" s="25" t="n">
        <v>17.4786567687988</v>
      </c>
      <c r="AC572" s="25" t="n">
        <v>0.0369123481214047</v>
      </c>
      <c r="AD572" s="25" t="n">
        <v>0.0540910176932812</v>
      </c>
      <c r="AE572" s="25" t="n">
        <v>0.525279521942139</v>
      </c>
      <c r="AF572" s="25" t="n">
        <v>0.258251160383225</v>
      </c>
      <c r="AG572" s="25" t="n">
        <v>0.216424196958542</v>
      </c>
      <c r="AH572" s="25" t="n">
        <v>1.61503553390503</v>
      </c>
      <c r="AI572" s="25" t="n">
        <v>51.2651634216309</v>
      </c>
      <c r="AJ572" s="6" t="n">
        <v>166.3</v>
      </c>
      <c r="AK572" s="6" t="n">
        <v>184.3</v>
      </c>
      <c r="AL572" s="26"/>
    </row>
    <row r="573" customFormat="false" ht="15" hidden="false" customHeight="false" outlineLevel="0" collapsed="false">
      <c r="A573" s="6" t="s">
        <v>1246</v>
      </c>
      <c r="B573" s="6" t="s">
        <v>3932</v>
      </c>
      <c r="C573" s="6" t="s">
        <v>3732</v>
      </c>
      <c r="D573" s="13" t="n">
        <v>657.760070800781</v>
      </c>
      <c r="E573" s="25" t="n">
        <v>1.911816239357</v>
      </c>
      <c r="F573" s="25" t="n">
        <v>4.348548412323</v>
      </c>
      <c r="G573" s="25" t="n">
        <v>70.3955841064453</v>
      </c>
      <c r="H573" s="25" t="n">
        <v>1.75339901447296</v>
      </c>
      <c r="I573" s="25" t="n">
        <v>0.260495990514755</v>
      </c>
      <c r="J573" s="25" t="n">
        <v>8.460501953125</v>
      </c>
      <c r="K573" s="25" t="n">
        <v>14.440072265625</v>
      </c>
      <c r="L573" s="25" t="n">
        <v>44.53229296875</v>
      </c>
      <c r="M573" s="25" t="n">
        <v>0</v>
      </c>
      <c r="N573" s="25" t="n">
        <v>40.4163475036621</v>
      </c>
      <c r="O573" s="25" t="n">
        <v>90.1356658935547</v>
      </c>
      <c r="P573" s="25" t="n">
        <v>27.6122550964356</v>
      </c>
      <c r="Q573" s="25" t="n">
        <v>27.9282283782959</v>
      </c>
      <c r="R573" s="25" t="n">
        <v>20.5550689697266</v>
      </c>
      <c r="S573" s="25" t="n">
        <v>0.558672487735748</v>
      </c>
      <c r="T573" s="25" t="n">
        <v>0.213997095823288</v>
      </c>
      <c r="U573" s="25" t="n">
        <v>0.0589350834488869</v>
      </c>
      <c r="V573" s="25" t="n">
        <v>0.477286666631699</v>
      </c>
      <c r="W573" s="25" t="n">
        <v>0.181495264172554</v>
      </c>
      <c r="X573" s="25" t="n">
        <v>0</v>
      </c>
      <c r="Y573" s="25" t="n">
        <v>332.23486328125</v>
      </c>
      <c r="Z573" s="25" t="n">
        <v>34.7325973510742</v>
      </c>
      <c r="AA573" s="25" t="n">
        <v>10.347993850708</v>
      </c>
      <c r="AB573" s="25" t="n">
        <v>5.29263305664063</v>
      </c>
      <c r="AC573" s="25" t="n">
        <v>0.0372939482331276</v>
      </c>
      <c r="AD573" s="25" t="n">
        <v>0.0289934370666742</v>
      </c>
      <c r="AE573" s="25" t="n">
        <v>0.285295397043228</v>
      </c>
      <c r="AF573" s="25" t="n">
        <v>0.139533191919327</v>
      </c>
      <c r="AG573" s="25" t="n">
        <v>0.0929394662380219</v>
      </c>
      <c r="AH573" s="25" t="n">
        <v>0.861750543117523</v>
      </c>
      <c r="AI573" s="25" t="n">
        <v>26.270788192749</v>
      </c>
      <c r="AJ573" s="6" t="n">
        <v>342.8</v>
      </c>
      <c r="AK573" s="6" t="n">
        <v>2254.5</v>
      </c>
      <c r="AL573" s="26" t="s">
        <v>3146</v>
      </c>
    </row>
    <row r="574" customFormat="false" ht="15" hidden="false" customHeight="false" outlineLevel="0" collapsed="false">
      <c r="A574" s="6" t="s">
        <v>3933</v>
      </c>
      <c r="B574" s="6" t="s">
        <v>3934</v>
      </c>
      <c r="C574" s="6" t="s">
        <v>3732</v>
      </c>
      <c r="D574" s="13" t="n">
        <v>105.064590454102</v>
      </c>
      <c r="E574" s="25" t="n">
        <v>2.02535629272461</v>
      </c>
      <c r="F574" s="25" t="n">
        <v>3.25900411605835</v>
      </c>
      <c r="G574" s="25" t="n">
        <v>9.22179508209229</v>
      </c>
      <c r="H574" s="25" t="n">
        <v>4.14662504196167</v>
      </c>
      <c r="I574" s="25" t="n">
        <v>1.69545793533325</v>
      </c>
      <c r="J574" s="25" t="n">
        <v>3.04502807617188</v>
      </c>
      <c r="K574" s="25" t="n">
        <v>1.40453588867188</v>
      </c>
      <c r="L574" s="25" t="n">
        <v>3.6836025390625</v>
      </c>
      <c r="M574" s="25" t="n">
        <v>0</v>
      </c>
      <c r="N574" s="25" t="n">
        <v>81.2249755859375</v>
      </c>
      <c r="O574" s="25" t="n">
        <v>259.291229248047</v>
      </c>
      <c r="P574" s="25" t="n">
        <v>44.1976509094238</v>
      </c>
      <c r="Q574" s="25" t="n">
        <v>42.5180778503418</v>
      </c>
      <c r="R574" s="25" t="n">
        <v>30.9825496673584</v>
      </c>
      <c r="S574" s="25" t="n">
        <v>0.953430473804474</v>
      </c>
      <c r="T574" s="25" t="n">
        <v>0.351372182369232</v>
      </c>
      <c r="U574" s="25" t="n">
        <v>0.0957205966114998</v>
      </c>
      <c r="V574" s="25" t="n">
        <v>0.416652858257294</v>
      </c>
      <c r="W574" s="25" t="n">
        <v>0.290375888347626</v>
      </c>
      <c r="X574" s="25" t="n">
        <v>0</v>
      </c>
      <c r="Y574" s="25" t="n">
        <v>1251.99267578125</v>
      </c>
      <c r="Z574" s="25" t="n">
        <v>3.03479647636414</v>
      </c>
      <c r="AA574" s="25" t="n">
        <v>16.0819625854492</v>
      </c>
      <c r="AB574" s="25" t="n">
        <v>3.51207756996155</v>
      </c>
      <c r="AC574" s="25" t="n">
        <v>0.0428586415946484</v>
      </c>
      <c r="AD574" s="25" t="n">
        <v>0.0449373498558998</v>
      </c>
      <c r="AE574" s="25" t="n">
        <v>0.59923666715622</v>
      </c>
      <c r="AF574" s="25" t="n">
        <v>0.232061594724655</v>
      </c>
      <c r="AG574" s="25" t="n">
        <v>0.320099353790283</v>
      </c>
      <c r="AH574" s="25" t="n">
        <v>4.23118019104004</v>
      </c>
      <c r="AI574" s="25" t="n">
        <v>47.4967422485352</v>
      </c>
      <c r="AJ574" s="6" t="n">
        <v>181.2</v>
      </c>
      <c r="AK574" s="6" t="n">
        <v>190.3</v>
      </c>
      <c r="AL574" s="26"/>
    </row>
    <row r="575" customFormat="false" ht="15" hidden="false" customHeight="false" outlineLevel="0" collapsed="false">
      <c r="A575" s="6" t="s">
        <v>1267</v>
      </c>
      <c r="B575" s="6" t="s">
        <v>3935</v>
      </c>
      <c r="C575" s="6" t="s">
        <v>3007</v>
      </c>
      <c r="D575" s="13" t="n">
        <v>162.361541748047</v>
      </c>
      <c r="E575" s="25" t="n">
        <v>1.36347222328186</v>
      </c>
      <c r="F575" s="25" t="n">
        <v>4.67990159988403</v>
      </c>
      <c r="G575" s="25" t="n">
        <v>15.2449073791504</v>
      </c>
      <c r="H575" s="25" t="n">
        <v>2.86055541038513</v>
      </c>
      <c r="I575" s="25" t="n">
        <v>1.95281338691711</v>
      </c>
      <c r="J575" s="25" t="n">
        <v>1.90096862792969</v>
      </c>
      <c r="K575" s="25" t="n">
        <v>3.1007314453125</v>
      </c>
      <c r="L575" s="25" t="n">
        <v>9.58756640625</v>
      </c>
      <c r="M575" s="25" t="n">
        <v>0</v>
      </c>
      <c r="N575" s="25" t="n">
        <v>360.085357666016</v>
      </c>
      <c r="O575" s="25" t="n">
        <v>246.153564453125</v>
      </c>
      <c r="P575" s="25" t="n">
        <v>17.2468013763428</v>
      </c>
      <c r="Q575" s="25" t="n">
        <v>34.6099548339844</v>
      </c>
      <c r="R575" s="25" t="n">
        <v>24.1933364868164</v>
      </c>
      <c r="S575" s="25" t="n">
        <v>0.91424173116684</v>
      </c>
      <c r="T575" s="25" t="n">
        <v>0.346899092197418</v>
      </c>
      <c r="U575" s="25" t="n">
        <v>0.0912091732025147</v>
      </c>
      <c r="V575" s="25" t="n">
        <v>2.79245615005493</v>
      </c>
      <c r="W575" s="25" t="n">
        <v>0.349262475967407</v>
      </c>
      <c r="X575" s="25" t="n">
        <v>0</v>
      </c>
      <c r="Y575" s="25" t="n">
        <v>303.626586914063</v>
      </c>
      <c r="Z575" s="25" t="n">
        <v>7.42850255966187</v>
      </c>
      <c r="AA575" s="25" t="n">
        <v>4.98939752578735</v>
      </c>
      <c r="AB575" s="25" t="n">
        <v>29.9948806762695</v>
      </c>
      <c r="AC575" s="25" t="n">
        <v>0.0447593778371811</v>
      </c>
      <c r="AD575" s="25" t="n">
        <v>0.0260906256735325</v>
      </c>
      <c r="AE575" s="25" t="n">
        <v>0.284490942955017</v>
      </c>
      <c r="AF575" s="25" t="n">
        <v>0.24673293530941</v>
      </c>
      <c r="AG575" s="25" t="n">
        <v>0.06418227404356</v>
      </c>
      <c r="AH575" s="25" t="n">
        <v>4.34773588180542</v>
      </c>
      <c r="AI575" s="25" t="n">
        <v>40.304988861084</v>
      </c>
      <c r="AJ575" s="6" t="n">
        <v>156.5</v>
      </c>
      <c r="AK575" s="6" t="n">
        <v>254</v>
      </c>
      <c r="AL575" s="26"/>
    </row>
    <row r="576" customFormat="false" ht="15" hidden="false" customHeight="false" outlineLevel="0" collapsed="false">
      <c r="A576" s="6" t="s">
        <v>3936</v>
      </c>
      <c r="B576" s="6" t="s">
        <v>3937</v>
      </c>
      <c r="C576" s="6" t="s">
        <v>3007</v>
      </c>
      <c r="D576" s="13" t="n">
        <v>488.974761962891</v>
      </c>
      <c r="E576" s="25" t="n">
        <v>0.929660141468048</v>
      </c>
      <c r="F576" s="25" t="n">
        <v>4.56483745574951</v>
      </c>
      <c r="G576" s="25" t="n">
        <v>51.7834129333496</v>
      </c>
      <c r="H576" s="25" t="n">
        <v>1.32851684093475</v>
      </c>
      <c r="I576" s="25" t="n">
        <v>3.54885220527649</v>
      </c>
      <c r="J576" s="25" t="n">
        <v>6.23040283203125</v>
      </c>
      <c r="K576" s="25" t="n">
        <v>10.62165234375</v>
      </c>
      <c r="L576" s="25" t="n">
        <v>32.777546875</v>
      </c>
      <c r="M576" s="25" t="n">
        <v>0</v>
      </c>
      <c r="N576" s="25" t="n">
        <v>33.6841239929199</v>
      </c>
      <c r="O576" s="25" t="n">
        <v>106.255508422852</v>
      </c>
      <c r="P576" s="25" t="n">
        <v>12.7855195999146</v>
      </c>
      <c r="Q576" s="25" t="n">
        <v>11.0569486618042</v>
      </c>
      <c r="R576" s="25" t="n">
        <v>11.7080249786377</v>
      </c>
      <c r="S576" s="25" t="n">
        <v>0.333018898963928</v>
      </c>
      <c r="T576" s="25" t="n">
        <v>0.0927259922027588</v>
      </c>
      <c r="U576" s="25" t="n">
        <v>0.0685205385088921</v>
      </c>
      <c r="V576" s="25" t="n">
        <v>0.0311685483902693</v>
      </c>
      <c r="W576" s="25" t="n">
        <v>0.170239955186844</v>
      </c>
      <c r="X576" s="25" t="n">
        <v>0</v>
      </c>
      <c r="Y576" s="25" t="n">
        <v>470.955505371094</v>
      </c>
      <c r="Z576" s="25" t="n">
        <v>25.4984359741211</v>
      </c>
      <c r="AA576" s="25" t="n">
        <v>15.8795032501221</v>
      </c>
      <c r="AB576" s="25" t="n">
        <v>4.49299907684326</v>
      </c>
      <c r="AC576" s="25" t="n">
        <v>0.0199820026755333</v>
      </c>
      <c r="AD576" s="25" t="n">
        <v>0.00764097459614277</v>
      </c>
      <c r="AE576" s="25" t="n">
        <v>0.187618836760521</v>
      </c>
      <c r="AF576" s="25" t="n">
        <v>0.0810684338212013</v>
      </c>
      <c r="AG576" s="25" t="n">
        <v>0.0748622342944145</v>
      </c>
      <c r="AH576" s="25" t="n">
        <v>1.26255202293396</v>
      </c>
      <c r="AI576" s="25" t="n">
        <v>11.4473342895508</v>
      </c>
      <c r="AJ576" s="6" t="n">
        <v>483.4</v>
      </c>
      <c r="AK576" s="6" t="n">
        <v>2363.8</v>
      </c>
      <c r="AL576" s="26" t="s">
        <v>3146</v>
      </c>
    </row>
    <row r="577" customFormat="false" ht="15" hidden="false" customHeight="false" outlineLevel="0" collapsed="false">
      <c r="A577" s="6" t="s">
        <v>3938</v>
      </c>
      <c r="B577" s="6" t="s">
        <v>3939</v>
      </c>
      <c r="C577" s="6" t="s">
        <v>3007</v>
      </c>
      <c r="D577" s="13" t="n">
        <v>491.763153076172</v>
      </c>
      <c r="E577" s="25" t="n">
        <v>0.790650546550751</v>
      </c>
      <c r="F577" s="25" t="n">
        <v>5.46840000152588</v>
      </c>
      <c r="G577" s="25" t="n">
        <v>51.7883758544922</v>
      </c>
      <c r="H577" s="25" t="n">
        <v>1.44270324707031</v>
      </c>
      <c r="I577" s="25" t="n">
        <v>0.803413391113281</v>
      </c>
      <c r="J577" s="25" t="n">
        <v>6.23163671875</v>
      </c>
      <c r="K577" s="25" t="n">
        <v>10.613900390625</v>
      </c>
      <c r="L577" s="25" t="n">
        <v>32.78605078125</v>
      </c>
      <c r="M577" s="25" t="n">
        <v>0</v>
      </c>
      <c r="N577" s="25" t="n">
        <v>37.0749664306641</v>
      </c>
      <c r="O577" s="25" t="n">
        <v>151.930068969727</v>
      </c>
      <c r="P577" s="25" t="n">
        <v>8.10884094238281</v>
      </c>
      <c r="Q577" s="25" t="n">
        <v>17.6201858520508</v>
      </c>
      <c r="R577" s="25" t="n">
        <v>11.3505716323853</v>
      </c>
      <c r="S577" s="25" t="n">
        <v>0.434793770313263</v>
      </c>
      <c r="T577" s="25" t="n">
        <v>0.132443010807037</v>
      </c>
      <c r="U577" s="25" t="n">
        <v>0.0784497931599617</v>
      </c>
      <c r="V577" s="25" t="n">
        <v>0.172660425305367</v>
      </c>
      <c r="W577" s="25" t="n">
        <v>0.118111371994019</v>
      </c>
      <c r="X577" s="25" t="n">
        <v>0</v>
      </c>
      <c r="Y577" s="25" t="n">
        <v>468.828186035156</v>
      </c>
      <c r="Z577" s="25" t="n">
        <v>25.5778694152832</v>
      </c>
      <c r="AA577" s="25" t="n">
        <v>8.06021595001221</v>
      </c>
      <c r="AB577" s="25" t="n">
        <v>6.26785326004028</v>
      </c>
      <c r="AC577" s="25" t="n">
        <v>0.0174996890127659</v>
      </c>
      <c r="AD577" s="25" t="n">
        <v>0.0101232882589102</v>
      </c>
      <c r="AE577" s="25" t="n">
        <v>0.222371220588684</v>
      </c>
      <c r="AF577" s="25" t="n">
        <v>0.120785444974899</v>
      </c>
      <c r="AG577" s="25" t="n">
        <v>0.0624506622552872</v>
      </c>
      <c r="AH577" s="25" t="n">
        <v>1.30971598625183</v>
      </c>
      <c r="AI577" s="25" t="n">
        <v>7.35896301269531</v>
      </c>
      <c r="AJ577" s="6" t="n">
        <v>483.4</v>
      </c>
      <c r="AK577" s="6" t="n">
        <v>2377.3</v>
      </c>
      <c r="AL577" s="26" t="s">
        <v>3146</v>
      </c>
    </row>
    <row r="578" customFormat="false" ht="15" hidden="false" customHeight="false" outlineLevel="0" collapsed="false">
      <c r="A578" s="6" t="s">
        <v>3940</v>
      </c>
      <c r="B578" s="6" t="s">
        <v>3941</v>
      </c>
      <c r="C578" s="6" t="s">
        <v>3007</v>
      </c>
      <c r="D578" s="13" t="n">
        <v>95.6666488647461</v>
      </c>
      <c r="E578" s="25" t="n">
        <v>2.75445818901062</v>
      </c>
      <c r="F578" s="25" t="n">
        <v>8.23396682739258</v>
      </c>
      <c r="G578" s="25" t="n">
        <v>5.54058504104614</v>
      </c>
      <c r="H578" s="25" t="n">
        <v>3.26305365562439</v>
      </c>
      <c r="I578" s="25" t="n">
        <v>1.47171688079834</v>
      </c>
      <c r="J578" s="25" t="n">
        <v>0.695818176269531</v>
      </c>
      <c r="K578" s="25" t="n">
        <v>1.10261486816406</v>
      </c>
      <c r="L578" s="25" t="n">
        <v>3.45493969726563</v>
      </c>
      <c r="M578" s="25" t="n">
        <v>0</v>
      </c>
      <c r="N578" s="25" t="n">
        <v>86.2868957519531</v>
      </c>
      <c r="O578" s="25" t="n">
        <v>305.295745849609</v>
      </c>
      <c r="P578" s="25" t="n">
        <v>21.0524883270264</v>
      </c>
      <c r="Q578" s="25" t="n">
        <v>40.547534942627</v>
      </c>
      <c r="R578" s="25" t="n">
        <v>25.6439781188965</v>
      </c>
      <c r="S578" s="25" t="n">
        <v>0.976369619369507</v>
      </c>
      <c r="T578" s="25" t="n">
        <v>0.446811527013779</v>
      </c>
      <c r="U578" s="25" t="n">
        <v>0.10624673217535</v>
      </c>
      <c r="V578" s="25" t="n">
        <v>0.656236827373505</v>
      </c>
      <c r="W578" s="25" t="n">
        <v>0.349435716867447</v>
      </c>
      <c r="X578" s="25" t="n">
        <v>0</v>
      </c>
      <c r="Y578" s="25" t="n">
        <v>1274.9248046875</v>
      </c>
      <c r="Z578" s="25" t="n">
        <v>2.68793940544128</v>
      </c>
      <c r="AA578" s="25" t="n">
        <v>20.485258102417</v>
      </c>
      <c r="AB578" s="25" t="n">
        <v>27.9818496704102</v>
      </c>
      <c r="AC578" s="25" t="n">
        <v>0.091888926923275</v>
      </c>
      <c r="AD578" s="25" t="n">
        <v>0.0310631729662418</v>
      </c>
      <c r="AE578" s="25" t="n">
        <v>0.702851712703705</v>
      </c>
      <c r="AF578" s="25" t="n">
        <v>0.434924691915512</v>
      </c>
      <c r="AG578" s="25" t="n">
        <v>0.124451413750649</v>
      </c>
      <c r="AH578" s="25" t="n">
        <v>2.2339723110199</v>
      </c>
      <c r="AI578" s="25" t="n">
        <v>31.3971691131592</v>
      </c>
      <c r="AJ578" s="6" t="n">
        <v>191.2</v>
      </c>
      <c r="AK578" s="6" t="n">
        <v>182.9</v>
      </c>
      <c r="AL578" s="26"/>
    </row>
    <row r="579" customFormat="false" ht="15" hidden="false" customHeight="false" outlineLevel="0" collapsed="false">
      <c r="A579" s="6" t="s">
        <v>3942</v>
      </c>
      <c r="B579" s="6" t="s">
        <v>3943</v>
      </c>
      <c r="C579" s="6" t="s">
        <v>3007</v>
      </c>
      <c r="D579" s="13" t="n">
        <v>68.4777984619141</v>
      </c>
      <c r="E579" s="25" t="n">
        <v>1.40484511852264</v>
      </c>
      <c r="F579" s="25" t="n">
        <v>5.42591714859009</v>
      </c>
      <c r="G579" s="25" t="n">
        <v>4.3751654624939</v>
      </c>
      <c r="H579" s="25" t="n">
        <v>2.96965003013611</v>
      </c>
      <c r="I579" s="25" t="n">
        <v>1.79495453834534</v>
      </c>
      <c r="J579" s="25" t="n">
        <v>0.557133422851563</v>
      </c>
      <c r="K579" s="25" t="n">
        <v>0.871257690429688</v>
      </c>
      <c r="L579" s="25" t="n">
        <v>2.71642529296875</v>
      </c>
      <c r="M579" s="25" t="n">
        <v>0</v>
      </c>
      <c r="N579" s="25" t="n">
        <v>79.4589538574219</v>
      </c>
      <c r="O579" s="25" t="n">
        <v>270.918182373047</v>
      </c>
      <c r="P579" s="25" t="n">
        <v>27.1125602722168</v>
      </c>
      <c r="Q579" s="25" t="n">
        <v>33.2645034790039</v>
      </c>
      <c r="R579" s="25" t="n">
        <v>22.8817920684815</v>
      </c>
      <c r="S579" s="25" t="n">
        <v>0.682720601558685</v>
      </c>
      <c r="T579" s="25" t="n">
        <v>0.241024017333984</v>
      </c>
      <c r="U579" s="25" t="n">
        <v>0.0815196111798286</v>
      </c>
      <c r="V579" s="25" t="n">
        <v>0.620241105556488</v>
      </c>
      <c r="W579" s="25" t="n">
        <v>0.298098623752594</v>
      </c>
      <c r="X579" s="25" t="n">
        <v>0</v>
      </c>
      <c r="Y579" s="25" t="n">
        <v>4668.30517578125</v>
      </c>
      <c r="Z579" s="25" t="n">
        <v>2.10033011436462</v>
      </c>
      <c r="AA579" s="25" t="n">
        <v>32.6016311645508</v>
      </c>
      <c r="AB579" s="25" t="n">
        <v>25.9292640686035</v>
      </c>
      <c r="AC579" s="25" t="n">
        <v>0.047729779034853</v>
      </c>
      <c r="AD579" s="25" t="n">
        <v>0.0386434346437454</v>
      </c>
      <c r="AE579" s="25" t="n">
        <v>0.583736121654511</v>
      </c>
      <c r="AF579" s="25" t="n">
        <v>0.236705765128136</v>
      </c>
      <c r="AG579" s="25" t="n">
        <v>0.137737229466438</v>
      </c>
      <c r="AH579" s="25" t="n">
        <v>2.09473872184753</v>
      </c>
      <c r="AI579" s="25" t="n">
        <v>28.3111553192139</v>
      </c>
      <c r="AJ579" s="6" t="n">
        <v>100.6</v>
      </c>
      <c r="AK579" s="6" t="n">
        <v>68.9</v>
      </c>
      <c r="AL579" s="26"/>
    </row>
    <row r="580" customFormat="false" ht="15" hidden="false" customHeight="false" outlineLevel="0" collapsed="false">
      <c r="A580" s="6" t="s">
        <v>3944</v>
      </c>
      <c r="B580" s="6" t="s">
        <v>3945</v>
      </c>
      <c r="C580" s="6" t="s">
        <v>3732</v>
      </c>
      <c r="D580" s="13" t="n">
        <v>30.781307220459</v>
      </c>
      <c r="E580" s="25" t="n">
        <v>1.03522527217865</v>
      </c>
      <c r="F580" s="25" t="n">
        <v>3.19450449943543</v>
      </c>
      <c r="G580" s="25" t="n">
        <v>1.4730372428894</v>
      </c>
      <c r="H580" s="25" t="n">
        <v>1.37491643428803</v>
      </c>
      <c r="I580" s="25" t="n">
        <v>0.855225265026093</v>
      </c>
      <c r="J580" s="25" t="n">
        <v>0.191154739379883</v>
      </c>
      <c r="K580" s="25" t="n">
        <v>0.298340911865234</v>
      </c>
      <c r="L580" s="25" t="n">
        <v>0.893225769042969</v>
      </c>
      <c r="M580" s="25" t="n">
        <v>0</v>
      </c>
      <c r="N580" s="25" t="n">
        <v>54.9973106384277</v>
      </c>
      <c r="O580" s="25" t="n">
        <v>115.074645996094</v>
      </c>
      <c r="P580" s="25" t="n">
        <v>13.300012588501</v>
      </c>
      <c r="Q580" s="25" t="n">
        <v>15.8223943710327</v>
      </c>
      <c r="R580" s="25" t="n">
        <v>8.60586929321289</v>
      </c>
      <c r="S580" s="25" t="n">
        <v>0.34404119849205</v>
      </c>
      <c r="T580" s="25" t="n">
        <v>0.214234232902527</v>
      </c>
      <c r="U580" s="25" t="n">
        <v>0.0401287004351616</v>
      </c>
      <c r="V580" s="25" t="n">
        <v>0.267863571643829</v>
      </c>
      <c r="W580" s="25" t="n">
        <v>0.0955083668231964</v>
      </c>
      <c r="X580" s="25" t="n">
        <v>0</v>
      </c>
      <c r="Y580" s="25" t="n">
        <v>656.771057128906</v>
      </c>
      <c r="Z580" s="25" t="n">
        <v>0.804092645645142</v>
      </c>
      <c r="AA580" s="25" t="n">
        <v>18.7250328063965</v>
      </c>
      <c r="AB580" s="25" t="n">
        <v>9.82368087768555</v>
      </c>
      <c r="AC580" s="25" t="n">
        <v>0.0404118411242962</v>
      </c>
      <c r="AD580" s="25" t="n">
        <v>0.0157915055751801</v>
      </c>
      <c r="AE580" s="25" t="n">
        <v>0.240180179476738</v>
      </c>
      <c r="AF580" s="25" t="n">
        <v>0.178314030170441</v>
      </c>
      <c r="AG580" s="25" t="n">
        <v>0.0459845550358295</v>
      </c>
      <c r="AH580" s="25" t="n">
        <v>0.907451748847961</v>
      </c>
      <c r="AI580" s="25" t="n">
        <v>15.9418792724609</v>
      </c>
      <c r="AJ580" s="6" t="n">
        <v>388.5</v>
      </c>
      <c r="AK580" s="6" t="n">
        <v>119.6</v>
      </c>
      <c r="AL580" s="26"/>
    </row>
    <row r="581" customFormat="false" ht="15" hidden="false" customHeight="false" outlineLevel="0" collapsed="false">
      <c r="A581" s="6" t="s">
        <v>3946</v>
      </c>
      <c r="B581" s="6" t="s">
        <v>3947</v>
      </c>
      <c r="C581" s="6" t="s">
        <v>3007</v>
      </c>
      <c r="D581" s="13" t="n">
        <v>40.6969909667969</v>
      </c>
      <c r="E581" s="25" t="n">
        <v>2.49035096168518</v>
      </c>
      <c r="F581" s="25" t="n">
        <v>2.34235596656799</v>
      </c>
      <c r="G581" s="25" t="n">
        <v>2.48408532142639</v>
      </c>
      <c r="H581" s="25" t="n">
        <v>2.82932329177856</v>
      </c>
      <c r="I581" s="25" t="n">
        <v>1.07919800281525</v>
      </c>
      <c r="J581" s="25" t="n">
        <v>0.339448608398438</v>
      </c>
      <c r="K581" s="25" t="n">
        <v>1.24407263183594</v>
      </c>
      <c r="L581" s="25" t="n">
        <v>0.642192993164063</v>
      </c>
      <c r="M581" s="25" t="n">
        <v>0</v>
      </c>
      <c r="N581" s="25" t="n">
        <v>59.2593994140625</v>
      </c>
      <c r="O581" s="25" t="n">
        <v>257.818298339844</v>
      </c>
      <c r="P581" s="25" t="n">
        <v>26.9882202148438</v>
      </c>
      <c r="Q581" s="25" t="n">
        <v>47.9962387084961</v>
      </c>
      <c r="R581" s="25" t="n">
        <v>17.0989971160889</v>
      </c>
      <c r="S581" s="25" t="n">
        <v>0.709523797035217</v>
      </c>
      <c r="T581" s="25" t="n">
        <v>0.397994965314865</v>
      </c>
      <c r="U581" s="25" t="n">
        <v>0.0632581412792206</v>
      </c>
      <c r="V581" s="25" t="n">
        <v>0.97318297624588</v>
      </c>
      <c r="W581" s="25" t="n">
        <v>0.178822055459023</v>
      </c>
      <c r="X581" s="25" t="n">
        <v>0</v>
      </c>
      <c r="Y581" s="25" t="n">
        <v>2865.20043945313</v>
      </c>
      <c r="Z581" s="25" t="n">
        <v>0.886716783046722</v>
      </c>
      <c r="AA581" s="25" t="n">
        <v>99.7314529418945</v>
      </c>
      <c r="AB581" s="25" t="n">
        <v>39.6002502441406</v>
      </c>
      <c r="AC581" s="25" t="n">
        <v>0.0870300754904747</v>
      </c>
      <c r="AD581" s="25" t="n">
        <v>0.0821303203701973</v>
      </c>
      <c r="AE581" s="25" t="n">
        <v>0.58947366476059</v>
      </c>
      <c r="AF581" s="25" t="n">
        <v>0.321165412664414</v>
      </c>
      <c r="AG581" s="25" t="n">
        <v>0.0783208012580872</v>
      </c>
      <c r="AH581" s="25" t="n">
        <v>2.07819533348084</v>
      </c>
      <c r="AI581" s="25" t="n">
        <v>48.9448623657227</v>
      </c>
      <c r="AJ581" s="6" t="n">
        <v>199.5</v>
      </c>
      <c r="AK581" s="6" t="n">
        <v>81.2</v>
      </c>
      <c r="AL581" s="26" t="s">
        <v>3053</v>
      </c>
    </row>
    <row r="582" customFormat="false" ht="15" hidden="false" customHeight="false" outlineLevel="0" collapsed="false">
      <c r="A582" s="6" t="s">
        <v>3948</v>
      </c>
      <c r="B582" s="6" t="s">
        <v>3949</v>
      </c>
      <c r="C582" s="6" t="s">
        <v>3007</v>
      </c>
      <c r="D582" s="13" t="n">
        <v>82.8019332885742</v>
      </c>
      <c r="E582" s="25" t="n">
        <v>3.32208061218262</v>
      </c>
      <c r="F582" s="25" t="n">
        <v>7.27829933166504</v>
      </c>
      <c r="G582" s="25" t="n">
        <v>4.17966842651367</v>
      </c>
      <c r="H582" s="25" t="n">
        <v>4.16810512542725</v>
      </c>
      <c r="I582" s="25" t="n">
        <v>0.905998170375824</v>
      </c>
      <c r="J582" s="25" t="n">
        <v>0.938349548339844</v>
      </c>
      <c r="K582" s="25" t="n">
        <v>0.75943212890625</v>
      </c>
      <c r="L582" s="25" t="n">
        <v>2.04803881835938</v>
      </c>
      <c r="M582" s="25" t="n">
        <v>0</v>
      </c>
      <c r="N582" s="25" t="n">
        <v>34.1792182922363</v>
      </c>
      <c r="O582" s="25" t="n">
        <v>264.504089355469</v>
      </c>
      <c r="P582" s="25" t="n">
        <v>26.4036712646484</v>
      </c>
      <c r="Q582" s="25" t="n">
        <v>57.8628158569336</v>
      </c>
      <c r="R582" s="25" t="n">
        <v>28.2980613708496</v>
      </c>
      <c r="S582" s="25" t="n">
        <v>1.26419055461884</v>
      </c>
      <c r="T582" s="25" t="n">
        <v>0.50028932094574</v>
      </c>
      <c r="U582" s="25" t="n">
        <v>0.181827068328857</v>
      </c>
      <c r="V582" s="25" t="n">
        <v>3.61611819267273</v>
      </c>
      <c r="W582" s="25" t="n">
        <v>0.334219843149185</v>
      </c>
      <c r="X582" s="25" t="n">
        <v>0</v>
      </c>
      <c r="Y582" s="25" t="n">
        <v>1923.65673828125</v>
      </c>
      <c r="Z582" s="25" t="n">
        <v>1.55698466300964</v>
      </c>
      <c r="AA582" s="25" t="n">
        <v>19.6448650360107</v>
      </c>
      <c r="AB582" s="25" t="n">
        <v>5.4960732460022</v>
      </c>
      <c r="AC582" s="25" t="n">
        <v>0.0618358813226223</v>
      </c>
      <c r="AD582" s="25" t="n">
        <v>0.0387457199394703</v>
      </c>
      <c r="AE582" s="25" t="n">
        <v>0.467110872268677</v>
      </c>
      <c r="AF582" s="25" t="n">
        <v>0.228070348501205</v>
      </c>
      <c r="AG582" s="25" t="n">
        <v>0.0813130885362625</v>
      </c>
      <c r="AH582" s="25" t="n">
        <v>0.757187724113464</v>
      </c>
      <c r="AI582" s="25" t="n">
        <v>18.7200508117676</v>
      </c>
      <c r="AJ582" s="6" t="n">
        <v>241</v>
      </c>
      <c r="AK582" s="6" t="n">
        <v>199.6</v>
      </c>
      <c r="AL582" s="26"/>
    </row>
    <row r="583" customFormat="false" ht="15" hidden="false" customHeight="false" outlineLevel="0" collapsed="false">
      <c r="A583" s="6" t="s">
        <v>3950</v>
      </c>
      <c r="B583" s="6" t="s">
        <v>3951</v>
      </c>
      <c r="C583" s="6" t="s">
        <v>3952</v>
      </c>
      <c r="D583" s="13" t="n">
        <v>90.9475326538086</v>
      </c>
      <c r="E583" s="25" t="n">
        <v>5.205246925354</v>
      </c>
      <c r="F583" s="25" t="n">
        <v>3.96955037117004</v>
      </c>
      <c r="G583" s="25" t="n">
        <v>5.88073825836182</v>
      </c>
      <c r="H583" s="25" t="n">
        <v>2.39829802513123</v>
      </c>
      <c r="I583" s="25" t="n">
        <v>1.46754193305969</v>
      </c>
      <c r="J583" s="25" t="n">
        <v>3.2798232421875</v>
      </c>
      <c r="K583" s="25" t="n">
        <v>1.61737573242188</v>
      </c>
      <c r="L583" s="25" t="n">
        <v>0.424117370605469</v>
      </c>
      <c r="M583" s="25" t="n">
        <v>51.1047134399414</v>
      </c>
      <c r="N583" s="25" t="n">
        <v>194.216598510742</v>
      </c>
      <c r="O583" s="25" t="n">
        <v>258.162200927734</v>
      </c>
      <c r="P583" s="25" t="n">
        <v>100.188537597656</v>
      </c>
      <c r="Q583" s="25" t="n">
        <v>143.164978027344</v>
      </c>
      <c r="R583" s="25" t="n">
        <v>20.5914726257324</v>
      </c>
      <c r="S583" s="25" t="n">
        <v>0.92038494348526</v>
      </c>
      <c r="T583" s="25" t="n">
        <v>0.65400367975235</v>
      </c>
      <c r="U583" s="25" t="n">
        <v>0.0477800108492374</v>
      </c>
      <c r="V583" s="25" t="n">
        <v>5.12275552749634</v>
      </c>
      <c r="W583" s="25" t="n">
        <v>0.171235993504524</v>
      </c>
      <c r="X583" s="25" t="n">
        <v>68.2914733886719</v>
      </c>
      <c r="Y583" s="25" t="n">
        <v>156.533554077148</v>
      </c>
      <c r="Z583" s="25" t="n">
        <v>0.294944405555725</v>
      </c>
      <c r="AA583" s="25" t="n">
        <v>10.4647674560547</v>
      </c>
      <c r="AB583" s="25" t="n">
        <v>29.6323280334473</v>
      </c>
      <c r="AC583" s="25" t="n">
        <v>0.0445095561444759</v>
      </c>
      <c r="AD583" s="25" t="n">
        <v>0.105651959776878</v>
      </c>
      <c r="AE583" s="25" t="n">
        <v>0.243663683533669</v>
      </c>
      <c r="AF583" s="25" t="n">
        <v>0.660416603088379</v>
      </c>
      <c r="AG583" s="25" t="n">
        <v>0.112122870981693</v>
      </c>
      <c r="AH583" s="25" t="n">
        <v>4.28387641906738</v>
      </c>
      <c r="AI583" s="25" t="n">
        <v>36.6363525390625</v>
      </c>
      <c r="AJ583" s="6" t="n">
        <v>241.5</v>
      </c>
      <c r="AK583" s="6" t="n">
        <v>219.6</v>
      </c>
      <c r="AL583" s="26"/>
    </row>
    <row r="584" customFormat="false" ht="15" hidden="false" customHeight="false" outlineLevel="0" collapsed="false">
      <c r="A584" s="6" t="s">
        <v>3953</v>
      </c>
      <c r="B584" s="6" t="s">
        <v>3954</v>
      </c>
      <c r="C584" s="6" t="s">
        <v>3952</v>
      </c>
      <c r="D584" s="13" t="n">
        <v>93.187141418457</v>
      </c>
      <c r="E584" s="25" t="n">
        <v>5.83794355392456</v>
      </c>
      <c r="F584" s="25" t="n">
        <v>4.36107063293457</v>
      </c>
      <c r="G584" s="25" t="n">
        <v>5.8029580116272</v>
      </c>
      <c r="H584" s="25" t="n">
        <v>1.18157744407654</v>
      </c>
      <c r="I584" s="25" t="n">
        <v>1.51991546154022</v>
      </c>
      <c r="J584" s="25" t="n">
        <v>3.0762451171875</v>
      </c>
      <c r="K584" s="25" t="n">
        <v>1.84020361328125</v>
      </c>
      <c r="L584" s="25" t="n">
        <v>0.316312683105469</v>
      </c>
      <c r="M584" s="25" t="n">
        <v>45.6056327819824</v>
      </c>
      <c r="N584" s="25" t="n">
        <v>106.985916137695</v>
      </c>
      <c r="O584" s="25" t="n">
        <v>149.439437866211</v>
      </c>
      <c r="P584" s="25" t="n">
        <v>71.8316879272461</v>
      </c>
      <c r="Q584" s="25" t="n">
        <v>115.290115356445</v>
      </c>
      <c r="R584" s="25" t="n">
        <v>13.7261409759522</v>
      </c>
      <c r="S584" s="25" t="n">
        <v>0.655774652957916</v>
      </c>
      <c r="T584" s="25" t="n">
        <v>0.910788714885712</v>
      </c>
      <c r="U584" s="25" t="n">
        <v>0.0546619705855846</v>
      </c>
      <c r="V584" s="25" t="n">
        <v>4.48788738250732</v>
      </c>
      <c r="W584" s="25" t="n">
        <v>0.104380279779434</v>
      </c>
      <c r="X584" s="25" t="n">
        <v>47.1549301147461</v>
      </c>
      <c r="Y584" s="25" t="n">
        <v>130.860565185547</v>
      </c>
      <c r="Z584" s="25" t="n">
        <v>0.230732396245003</v>
      </c>
      <c r="AA584" s="25" t="n">
        <v>2.20704221725464</v>
      </c>
      <c r="AB584" s="25" t="n">
        <v>2.53780269622803</v>
      </c>
      <c r="AC584" s="25" t="n">
        <v>0.0503943674266338</v>
      </c>
      <c r="AD584" s="25" t="n">
        <v>0.0740563422441483</v>
      </c>
      <c r="AE584" s="25" t="n">
        <v>0.829098641872406</v>
      </c>
      <c r="AF584" s="25" t="n">
        <v>0.571633815765381</v>
      </c>
      <c r="AG584" s="25" t="n">
        <v>0.0663802847266197</v>
      </c>
      <c r="AH584" s="25" t="n">
        <v>3.41188740730286</v>
      </c>
      <c r="AI584" s="25" t="n">
        <v>26.1708736419678</v>
      </c>
      <c r="AJ584" s="6" t="n">
        <v>355</v>
      </c>
      <c r="AK584" s="6" t="n">
        <v>330.8</v>
      </c>
      <c r="AL584" s="26"/>
    </row>
    <row r="585" customFormat="false" ht="15" hidden="false" customHeight="false" outlineLevel="0" collapsed="false">
      <c r="A585" s="6" t="s">
        <v>3955</v>
      </c>
      <c r="B585" s="6" t="s">
        <v>3956</v>
      </c>
      <c r="C585" s="6" t="s">
        <v>3957</v>
      </c>
      <c r="D585" s="13" t="n">
        <v>140.539154052734</v>
      </c>
      <c r="E585" s="25" t="n">
        <v>3.60236263275147</v>
      </c>
      <c r="F585" s="25" t="n">
        <v>10.9363651275635</v>
      </c>
      <c r="G585" s="25" t="n">
        <v>9.01054763793945</v>
      </c>
      <c r="H585" s="25" t="n">
        <v>1.29213225841522</v>
      </c>
      <c r="I585" s="25" t="n">
        <v>0.285614520311356</v>
      </c>
      <c r="J585" s="25" t="n">
        <v>5.11752783203125</v>
      </c>
      <c r="K585" s="25" t="n">
        <v>2.46900903320313</v>
      </c>
      <c r="L585" s="25" t="n">
        <v>0.551932006835938</v>
      </c>
      <c r="M585" s="25" t="n">
        <v>85.1518859863281</v>
      </c>
      <c r="N585" s="25" t="n">
        <v>103.849624633789</v>
      </c>
      <c r="O585" s="25" t="n">
        <v>423.326995849609</v>
      </c>
      <c r="P585" s="25" t="n">
        <v>18.0961933135986</v>
      </c>
      <c r="Q585" s="25" t="n">
        <v>67.4469833374023</v>
      </c>
      <c r="R585" s="25" t="n">
        <v>20.3032035827637</v>
      </c>
      <c r="S585" s="25" t="n">
        <v>0.763527095317841</v>
      </c>
      <c r="T585" s="25" t="n">
        <v>0.438090652227402</v>
      </c>
      <c r="U585" s="25" t="n">
        <v>0.081789456307888</v>
      </c>
      <c r="V585" s="25" t="n">
        <v>7.91743755340576</v>
      </c>
      <c r="W585" s="25" t="n">
        <v>0.116387337446213</v>
      </c>
      <c r="X585" s="25" t="n">
        <v>119.631629943848</v>
      </c>
      <c r="Y585" s="25" t="n">
        <v>232.154907226563</v>
      </c>
      <c r="Z585" s="25" t="n">
        <v>0.481581717729569</v>
      </c>
      <c r="AA585" s="25" t="n">
        <v>2.43685984611511</v>
      </c>
      <c r="AB585" s="25" t="n">
        <v>16.8397922515869</v>
      </c>
      <c r="AC585" s="25" t="n">
        <v>0.0546438582241535</v>
      </c>
      <c r="AD585" s="25" t="n">
        <v>0.048067968338728</v>
      </c>
      <c r="AE585" s="25" t="n">
        <v>0.777758359909058</v>
      </c>
      <c r="AF585" s="25" t="n">
        <v>0.5485480427742</v>
      </c>
      <c r="AG585" s="25" t="n">
        <v>0.102231726050377</v>
      </c>
      <c r="AH585" s="25" t="n">
        <v>4.32159280776978</v>
      </c>
      <c r="AI585" s="25" t="n">
        <v>20.2832431793213</v>
      </c>
      <c r="AJ585" s="6" t="n">
        <v>43</v>
      </c>
      <c r="AK585" s="6" t="n">
        <v>60.4</v>
      </c>
      <c r="AL585" s="26"/>
    </row>
    <row r="586" customFormat="false" ht="15" hidden="false" customHeight="false" outlineLevel="0" collapsed="false">
      <c r="A586" s="6" t="s">
        <v>3958</v>
      </c>
      <c r="B586" s="6" t="s">
        <v>3959</v>
      </c>
      <c r="C586" s="6" t="s">
        <v>3957</v>
      </c>
      <c r="D586" s="13" t="n">
        <v>87.3185348510742</v>
      </c>
      <c r="E586" s="25" t="n">
        <v>1.52616596221924</v>
      </c>
      <c r="F586" s="25" t="n">
        <v>14.5219926834106</v>
      </c>
      <c r="G586" s="25" t="n">
        <v>2.3545184135437</v>
      </c>
      <c r="H586" s="25" t="n">
        <v>1.71285343170166</v>
      </c>
      <c r="I586" s="25" t="n">
        <v>0.326541155576706</v>
      </c>
      <c r="J586" s="25" t="n">
        <v>1.39114758300781</v>
      </c>
      <c r="K586" s="25" t="n">
        <v>0.555202514648438</v>
      </c>
      <c r="L586" s="25" t="n">
        <v>0.200135833740234</v>
      </c>
      <c r="M586" s="25" t="n">
        <v>5.51135301589966</v>
      </c>
      <c r="N586" s="25" t="n">
        <v>90.6689910888672</v>
      </c>
      <c r="O586" s="25" t="n">
        <v>528.236022949219</v>
      </c>
      <c r="P586" s="25" t="n">
        <v>10.3800373077393</v>
      </c>
      <c r="Q586" s="25" t="n">
        <v>42.9609909057617</v>
      </c>
      <c r="R586" s="25" t="n">
        <v>23.8911952972412</v>
      </c>
      <c r="S586" s="25" t="n">
        <v>0.572996318340302</v>
      </c>
      <c r="T586" s="25" t="n">
        <v>0.27649912238121</v>
      </c>
      <c r="U586" s="25" t="n">
        <v>0.0906087085604668</v>
      </c>
      <c r="V586" s="25" t="n">
        <v>0.747347831726074</v>
      </c>
      <c r="W586" s="25" t="n">
        <v>0.147972047328949</v>
      </c>
      <c r="X586" s="25" t="n">
        <v>24.7881488800049</v>
      </c>
      <c r="Y586" s="25" t="n">
        <v>221.144638061523</v>
      </c>
      <c r="Z586" s="25" t="n">
        <v>0.108140893280506</v>
      </c>
      <c r="AA586" s="25" t="n">
        <v>2.52506637573242</v>
      </c>
      <c r="AB586" s="25" t="n">
        <v>22.4626426696777</v>
      </c>
      <c r="AC586" s="25" t="n">
        <v>0.0583155453205109</v>
      </c>
      <c r="AD586" s="25" t="n">
        <v>0.0116598745808005</v>
      </c>
      <c r="AE586" s="25" t="n">
        <v>1.01049542427063</v>
      </c>
      <c r="AF586" s="25" t="n">
        <v>0.370496153831482</v>
      </c>
      <c r="AG586" s="25" t="n">
        <v>0.0974674969911575</v>
      </c>
      <c r="AH586" s="25" t="n">
        <v>1.32073557376862</v>
      </c>
      <c r="AI586" s="25" t="n">
        <v>15.084885597229</v>
      </c>
      <c r="AJ586" s="6" t="n">
        <v>77.3</v>
      </c>
      <c r="AK586" s="6" t="n">
        <v>67.5</v>
      </c>
      <c r="AL586" s="26"/>
    </row>
    <row r="587" customFormat="false" ht="15" hidden="false" customHeight="false" outlineLevel="0" collapsed="false">
      <c r="A587" s="6" t="s">
        <v>3960</v>
      </c>
      <c r="B587" s="6" t="s">
        <v>3961</v>
      </c>
      <c r="C587" s="6" t="s">
        <v>3957</v>
      </c>
      <c r="D587" s="13" t="n">
        <v>100.198051452637</v>
      </c>
      <c r="E587" s="25" t="n">
        <v>3.81532025337219</v>
      </c>
      <c r="F587" s="25" t="n">
        <v>11.0347204208374</v>
      </c>
      <c r="G587" s="25" t="n">
        <v>4.39084053039551</v>
      </c>
      <c r="H587" s="25" t="n">
        <v>1.30967378616333</v>
      </c>
      <c r="I587" s="25" t="n">
        <v>0.404920935630798</v>
      </c>
      <c r="J587" s="25" t="n">
        <v>2.19536010742188</v>
      </c>
      <c r="K587" s="25" t="n">
        <v>1.30507055664063</v>
      </c>
      <c r="L587" s="25" t="n">
        <v>0.392671447753906</v>
      </c>
      <c r="M587" s="25" t="n">
        <v>72.9924545288086</v>
      </c>
      <c r="N587" s="25" t="n">
        <v>92.0860214233398</v>
      </c>
      <c r="O587" s="25" t="n">
        <v>429.141296386719</v>
      </c>
      <c r="P587" s="25" t="n">
        <v>25.7179584503174</v>
      </c>
      <c r="Q587" s="25" t="n">
        <v>71.5938262939453</v>
      </c>
      <c r="R587" s="25" t="n">
        <v>20.9528331756592</v>
      </c>
      <c r="S587" s="25" t="n">
        <v>0.806619763374329</v>
      </c>
      <c r="T587" s="25" t="n">
        <v>0.460613191127777</v>
      </c>
      <c r="U587" s="25" t="n">
        <v>0.0817059949040413</v>
      </c>
      <c r="V587" s="25" t="n">
        <v>7.94133567810059</v>
      </c>
      <c r="W587" s="25" t="n">
        <v>0.122278816998005</v>
      </c>
      <c r="X587" s="25" t="n">
        <v>70.4695053100586</v>
      </c>
      <c r="Y587" s="25" t="n">
        <v>260.907531738281</v>
      </c>
      <c r="Z587" s="25" t="n">
        <v>0.380808800458908</v>
      </c>
      <c r="AA587" s="25" t="n">
        <v>4.93512439727783</v>
      </c>
      <c r="AB587" s="25" t="n">
        <v>18.0378665924072</v>
      </c>
      <c r="AC587" s="25" t="n">
        <v>0.0581238903105259</v>
      </c>
      <c r="AD587" s="25" t="n">
        <v>0.0572228357195854</v>
      </c>
      <c r="AE587" s="25" t="n">
        <v>0.781188428401947</v>
      </c>
      <c r="AF587" s="25" t="n">
        <v>0.56345808506012</v>
      </c>
      <c r="AG587" s="25" t="n">
        <v>0.105230912566185</v>
      </c>
      <c r="AH587" s="25" t="n">
        <v>4.59855127334595</v>
      </c>
      <c r="AI587" s="25" t="n">
        <v>22.3483715057373</v>
      </c>
      <c r="AJ587" s="6" t="n">
        <v>104</v>
      </c>
      <c r="AK587" s="6" t="n">
        <v>104.3</v>
      </c>
      <c r="AL587" s="26"/>
    </row>
    <row r="588" customFormat="false" ht="15" hidden="false" customHeight="false" outlineLevel="0" collapsed="false">
      <c r="A588" s="6" t="s">
        <v>3962</v>
      </c>
      <c r="B588" s="6" t="s">
        <v>3963</v>
      </c>
      <c r="C588" s="6" t="s">
        <v>3964</v>
      </c>
      <c r="D588" s="13" t="n">
        <v>111.616722106934</v>
      </c>
      <c r="E588" s="25" t="n">
        <v>5.70634317398071</v>
      </c>
      <c r="F588" s="25" t="n">
        <v>11.0486898422241</v>
      </c>
      <c r="G588" s="25" t="n">
        <v>4.76517915725708</v>
      </c>
      <c r="H588" s="25" t="n">
        <v>2.48541522026062</v>
      </c>
      <c r="I588" s="25" t="n">
        <v>1.41182458400726</v>
      </c>
      <c r="J588" s="25" t="n">
        <v>2.75607373046875</v>
      </c>
      <c r="K588" s="25" t="n">
        <v>1.29970458984375</v>
      </c>
      <c r="L588" s="25" t="n">
        <v>0.292432037353516</v>
      </c>
      <c r="M588" s="25" t="n">
        <v>26.4957046508789</v>
      </c>
      <c r="N588" s="25" t="n">
        <v>182.122741699219</v>
      </c>
      <c r="O588" s="25" t="n">
        <v>341.006896972656</v>
      </c>
      <c r="P588" s="25" t="n">
        <v>55.2469100952148</v>
      </c>
      <c r="Q588" s="25" t="n">
        <v>110.187919616699</v>
      </c>
      <c r="R588" s="25" t="n">
        <v>25.9105186462402</v>
      </c>
      <c r="S588" s="25" t="n">
        <v>0.869575381278992</v>
      </c>
      <c r="T588" s="25" t="n">
        <v>0.745783805847168</v>
      </c>
      <c r="U588" s="25" t="n">
        <v>0.117121666669846</v>
      </c>
      <c r="V588" s="25" t="n">
        <v>3.25189328193665</v>
      </c>
      <c r="W588" s="25" t="n">
        <v>0.210338711738586</v>
      </c>
      <c r="X588" s="25" t="n">
        <v>47.0608215332031</v>
      </c>
      <c r="Y588" s="25" t="n">
        <v>551.7568359375</v>
      </c>
      <c r="Z588" s="25" t="n">
        <v>0.245207995176315</v>
      </c>
      <c r="AA588" s="25" t="n">
        <v>14.5106163024902</v>
      </c>
      <c r="AB588" s="25" t="n">
        <v>19.5706520080566</v>
      </c>
      <c r="AC588" s="25" t="n">
        <v>0.167981088161469</v>
      </c>
      <c r="AD588" s="25" t="n">
        <v>0.0589729174971581</v>
      </c>
      <c r="AE588" s="25" t="n">
        <v>1.28880608081818</v>
      </c>
      <c r="AF588" s="25" t="n">
        <v>0.541770040988922</v>
      </c>
      <c r="AG588" s="25" t="n">
        <v>0.153637737035751</v>
      </c>
      <c r="AH588" s="25" t="n">
        <v>2.96870827674866</v>
      </c>
      <c r="AI588" s="25" t="n">
        <v>25.880937576294</v>
      </c>
      <c r="AJ588" s="6" t="n">
        <v>191.5</v>
      </c>
      <c r="AK588" s="6" t="n">
        <v>213.7</v>
      </c>
      <c r="AL588" s="26"/>
    </row>
    <row r="589" customFormat="false" ht="15" hidden="false" customHeight="false" outlineLevel="0" collapsed="false">
      <c r="A589" s="6" t="s">
        <v>3965</v>
      </c>
      <c r="B589" s="6" t="s">
        <v>3966</v>
      </c>
      <c r="C589" s="6" t="s">
        <v>3007</v>
      </c>
      <c r="D589" s="13" t="n">
        <v>119.513801574707</v>
      </c>
      <c r="E589" s="25" t="n">
        <v>1.48917043209076</v>
      </c>
      <c r="F589" s="25" t="n">
        <v>13.8111982345581</v>
      </c>
      <c r="G589" s="25" t="n">
        <v>6.2780647277832</v>
      </c>
      <c r="H589" s="25" t="n">
        <v>1.59387099742889</v>
      </c>
      <c r="I589" s="25" t="n">
        <v>0.342350214719772</v>
      </c>
      <c r="J589" s="25" t="n">
        <v>3.88247485351563</v>
      </c>
      <c r="K589" s="25" t="n">
        <v>1.55464038085938</v>
      </c>
      <c r="L589" s="25" t="n">
        <v>0.329751159667969</v>
      </c>
      <c r="M589" s="25" t="n">
        <v>15.7050695419312</v>
      </c>
      <c r="N589" s="25" t="n">
        <v>4.62248849868774</v>
      </c>
      <c r="O589" s="25" t="n">
        <v>502.755767822266</v>
      </c>
      <c r="P589" s="25" t="n">
        <v>11.4285717010498</v>
      </c>
      <c r="Q589" s="25" t="n">
        <v>42.0763130187988</v>
      </c>
      <c r="R589" s="25" t="n">
        <v>22.5584335327148</v>
      </c>
      <c r="S589" s="25" t="n">
        <v>0.550737321376801</v>
      </c>
      <c r="T589" s="25" t="n">
        <v>0.271382480859757</v>
      </c>
      <c r="U589" s="25" t="n">
        <v>0.084562212228775</v>
      </c>
      <c r="V589" s="25" t="n">
        <v>0.738433182239533</v>
      </c>
      <c r="W589" s="25" t="n">
        <v>0.133225813508034</v>
      </c>
      <c r="X589" s="25" t="n">
        <v>70.6359405517578</v>
      </c>
      <c r="Y589" s="25" t="n">
        <v>266.755767822266</v>
      </c>
      <c r="Z589" s="25" t="n">
        <v>0.193317979574204</v>
      </c>
      <c r="AA589" s="25" t="n">
        <v>3.98341012001038</v>
      </c>
      <c r="AB589" s="25" t="n">
        <v>21.9493083953857</v>
      </c>
      <c r="AC589" s="25" t="n">
        <v>0.0561751127243042</v>
      </c>
      <c r="AD589" s="25" t="n">
        <v>0.0148387094959617</v>
      </c>
      <c r="AE589" s="25" t="n">
        <v>0.960184276103973</v>
      </c>
      <c r="AF589" s="25" t="n">
        <v>0.354838699102402</v>
      </c>
      <c r="AG589" s="25" t="n">
        <v>0.0930414795875549</v>
      </c>
      <c r="AH589" s="25" t="n">
        <v>1.32105994224548</v>
      </c>
      <c r="AI589" s="25" t="n">
        <v>15.2027654647827</v>
      </c>
      <c r="AJ589" s="6" t="n">
        <v>108.5</v>
      </c>
      <c r="AK589" s="6" t="n">
        <v>129.7</v>
      </c>
      <c r="AL589" s="26"/>
    </row>
    <row r="590" customFormat="false" ht="15" hidden="false" customHeight="false" outlineLevel="0" collapsed="false">
      <c r="A590" s="6" t="s">
        <v>3967</v>
      </c>
      <c r="B590" s="6" t="s">
        <v>3968</v>
      </c>
      <c r="C590" s="6" t="s">
        <v>3007</v>
      </c>
      <c r="D590" s="13" t="n">
        <v>419.615417480469</v>
      </c>
      <c r="E590" s="25" t="n">
        <v>2.27808403968811</v>
      </c>
      <c r="F590" s="25" t="n">
        <v>3.16757988929749</v>
      </c>
      <c r="G590" s="25" t="n">
        <v>44.1374282836914</v>
      </c>
      <c r="H590" s="25" t="n">
        <v>1.01794958114624</v>
      </c>
      <c r="I590" s="25" t="n">
        <v>1.17455458641052</v>
      </c>
      <c r="J590" s="25" t="n">
        <v>6.817787109375</v>
      </c>
      <c r="K590" s="25" t="n">
        <v>9.2016982421875</v>
      </c>
      <c r="L590" s="25" t="n">
        <v>26.166046875</v>
      </c>
      <c r="M590" s="25" t="n">
        <v>7.15126037597656</v>
      </c>
      <c r="N590" s="25" t="n">
        <v>90.2062835693359</v>
      </c>
      <c r="O590" s="25" t="n">
        <v>217.240341186523</v>
      </c>
      <c r="P590" s="25" t="n">
        <v>65.4867248535156</v>
      </c>
      <c r="Q590" s="25" t="n">
        <v>64.2321014404297</v>
      </c>
      <c r="R590" s="25" t="n">
        <v>27.0924377441406</v>
      </c>
      <c r="S590" s="25" t="n">
        <v>0.904714345932007</v>
      </c>
      <c r="T590" s="25" t="n">
        <v>0.313226878643036</v>
      </c>
      <c r="U590" s="25" t="n">
        <v>0.0668235272169113</v>
      </c>
      <c r="V590" s="25" t="n">
        <v>0.886663854122162</v>
      </c>
      <c r="W590" s="25" t="n">
        <v>0.322941154241562</v>
      </c>
      <c r="X590" s="25" t="n">
        <v>27.4453792572022</v>
      </c>
      <c r="Y590" s="25" t="n">
        <v>2458.81762695313</v>
      </c>
      <c r="Z590" s="25" t="n">
        <v>20.5977554321289</v>
      </c>
      <c r="AA590" s="25" t="n">
        <v>86.0700836181641</v>
      </c>
      <c r="AB590" s="25" t="n">
        <v>8.12873935699463</v>
      </c>
      <c r="AC590" s="25" t="n">
        <v>0.0516470596194267</v>
      </c>
      <c r="AD590" s="25" t="n">
        <v>0.0556218512356281</v>
      </c>
      <c r="AE590" s="25" t="n">
        <v>0.180378153920174</v>
      </c>
      <c r="AF590" s="25" t="n">
        <v>0.185798332095146</v>
      </c>
      <c r="AG590" s="25" t="n">
        <v>0.0611512586474419</v>
      </c>
      <c r="AH590" s="25" t="n">
        <v>2.42461347579956</v>
      </c>
      <c r="AI590" s="25" t="n">
        <v>39.3318405151367</v>
      </c>
      <c r="AJ590" s="6" t="n">
        <v>595</v>
      </c>
      <c r="AK590" s="6" t="n">
        <v>2496.7</v>
      </c>
      <c r="AL590" s="26" t="s">
        <v>3146</v>
      </c>
    </row>
    <row r="591" customFormat="false" ht="15" hidden="false" customHeight="false" outlineLevel="0" collapsed="false">
      <c r="A591" s="6" t="s">
        <v>3969</v>
      </c>
      <c r="B591" s="6" t="s">
        <v>3970</v>
      </c>
      <c r="C591" s="6" t="s">
        <v>3302</v>
      </c>
      <c r="D591" s="13" t="n">
        <v>106.663383483887</v>
      </c>
      <c r="E591" s="25" t="n">
        <v>3.65140295028687</v>
      </c>
      <c r="F591" s="25" t="n">
        <v>8.13278007507324</v>
      </c>
      <c r="G591" s="25" t="n">
        <v>6.63320779800415</v>
      </c>
      <c r="H591" s="25" t="n">
        <v>1.23479557037354</v>
      </c>
      <c r="I591" s="25" t="n">
        <v>2.50733518600464</v>
      </c>
      <c r="J591" s="25" t="n">
        <v>4.00475366210938</v>
      </c>
      <c r="K591" s="25" t="n">
        <v>1.6793203125</v>
      </c>
      <c r="L591" s="25" t="n">
        <v>0.301908569335938</v>
      </c>
      <c r="M591" s="25" t="n">
        <v>13.5486392974854</v>
      </c>
      <c r="N591" s="25" t="n">
        <v>118.982124328613</v>
      </c>
      <c r="O591" s="25" t="n">
        <v>151.772399902344</v>
      </c>
      <c r="P591" s="25" t="n">
        <v>84.9675979614258</v>
      </c>
      <c r="Q591" s="25" t="n">
        <v>95.5684356689453</v>
      </c>
      <c r="R591" s="25" t="n">
        <v>12.2355785369873</v>
      </c>
      <c r="S591" s="25" t="n">
        <v>0.36019441485405</v>
      </c>
      <c r="T591" s="25" t="n">
        <v>0.355910837650299</v>
      </c>
      <c r="U591" s="25" t="n">
        <v>0.0530807599425316</v>
      </c>
      <c r="V591" s="25" t="n">
        <v>0.93884414434433</v>
      </c>
      <c r="W591" s="25" t="n">
        <v>0.112519584596157</v>
      </c>
      <c r="X591" s="25" t="n">
        <v>59.2686233520508</v>
      </c>
      <c r="Y591" s="25" t="n">
        <v>720.960327148438</v>
      </c>
      <c r="Z591" s="25" t="n">
        <v>0.21394744515419</v>
      </c>
      <c r="AA591" s="25" t="n">
        <v>6.17362213134766</v>
      </c>
      <c r="AB591" s="25" t="n">
        <v>14.1297540664673</v>
      </c>
      <c r="AC591" s="25" t="n">
        <v>0.0401652194559574</v>
      </c>
      <c r="AD591" s="25" t="n">
        <v>0.0763602033257484</v>
      </c>
      <c r="AE591" s="25" t="n">
        <v>0.340496361255646</v>
      </c>
      <c r="AF591" s="25" t="n">
        <v>0.296076059341431</v>
      </c>
      <c r="AG591" s="25" t="n">
        <v>0.0667105838656426</v>
      </c>
      <c r="AH591" s="25" t="n">
        <v>3.27497863769531</v>
      </c>
      <c r="AI591" s="25" t="n">
        <v>13.3397846221924</v>
      </c>
      <c r="AJ591" s="6" t="n">
        <v>280.8</v>
      </c>
      <c r="AK591" s="6" t="n">
        <v>299.6</v>
      </c>
      <c r="AL591" s="26"/>
    </row>
    <row r="592" customFormat="false" ht="15" hidden="false" customHeight="false" outlineLevel="0" collapsed="false">
      <c r="A592" s="6" t="s">
        <v>3971</v>
      </c>
      <c r="B592" s="6" t="s">
        <v>3972</v>
      </c>
      <c r="C592" s="6" t="s">
        <v>3007</v>
      </c>
      <c r="D592" s="13" t="n">
        <v>145.89680480957</v>
      </c>
      <c r="E592" s="25" t="n">
        <v>4.45384120941162</v>
      </c>
      <c r="F592" s="25" t="n">
        <v>9.1343584060669</v>
      </c>
      <c r="G592" s="25" t="n">
        <v>10.2046146392822</v>
      </c>
      <c r="H592" s="25" t="n">
        <v>1.44313788414002</v>
      </c>
      <c r="I592" s="25" t="n">
        <v>3.01486587524414</v>
      </c>
      <c r="J592" s="25" t="n">
        <v>6.18779638671875</v>
      </c>
      <c r="K592" s="25" t="n">
        <v>2.59327954101563</v>
      </c>
      <c r="L592" s="25" t="n">
        <v>0.413386749267578</v>
      </c>
      <c r="M592" s="25" t="n">
        <v>22.1502056121826</v>
      </c>
      <c r="N592" s="25" t="n">
        <v>164.960525512695</v>
      </c>
      <c r="O592" s="25" t="n">
        <v>181.301681518555</v>
      </c>
      <c r="P592" s="25" t="n">
        <v>119.688858032227</v>
      </c>
      <c r="Q592" s="25" t="n">
        <v>126.886009216309</v>
      </c>
      <c r="R592" s="25" t="n">
        <v>15.9889993667603</v>
      </c>
      <c r="S592" s="25" t="n">
        <v>0.573287427425385</v>
      </c>
      <c r="T592" s="25" t="n">
        <v>0.526235342025757</v>
      </c>
      <c r="U592" s="25" t="n">
        <v>0.0477707087993622</v>
      </c>
      <c r="V592" s="25" t="n">
        <v>1.47528541088104</v>
      </c>
      <c r="W592" s="25" t="n">
        <v>0.142891123890877</v>
      </c>
      <c r="X592" s="25" t="n">
        <v>91.2766876220703</v>
      </c>
      <c r="Y592" s="25" t="n">
        <v>166.254989624023</v>
      </c>
      <c r="Z592" s="25" t="n">
        <v>0.292627990245819</v>
      </c>
      <c r="AA592" s="25" t="n">
        <v>5.17693424224854</v>
      </c>
      <c r="AB592" s="25" t="n">
        <v>14.9119939804077</v>
      </c>
      <c r="AC592" s="25" t="n">
        <v>0.0506481528282166</v>
      </c>
      <c r="AD592" s="25" t="n">
        <v>0.100783437490463</v>
      </c>
      <c r="AE592" s="25" t="n">
        <v>0.278490513563156</v>
      </c>
      <c r="AF592" s="25" t="n">
        <v>0.406404227018356</v>
      </c>
      <c r="AG592" s="25" t="n">
        <v>0.0696244835853577</v>
      </c>
      <c r="AH592" s="25" t="n">
        <v>2.07072448730469</v>
      </c>
      <c r="AI592" s="25" t="n">
        <v>20.678071975708</v>
      </c>
      <c r="AJ592" s="6" t="n">
        <v>336.3</v>
      </c>
      <c r="AK592" s="6" t="n">
        <v>490.7</v>
      </c>
      <c r="AL592" s="26"/>
    </row>
    <row r="593" customFormat="false" ht="15" hidden="false" customHeight="false" outlineLevel="0" collapsed="false">
      <c r="A593" s="6" t="s">
        <v>3973</v>
      </c>
      <c r="B593" s="6" t="s">
        <v>3974</v>
      </c>
      <c r="C593" s="6" t="s">
        <v>3302</v>
      </c>
      <c r="D593" s="13" t="n">
        <v>126.877029418945</v>
      </c>
      <c r="E593" s="25" t="n">
        <v>4.02907133102417</v>
      </c>
      <c r="F593" s="25" t="n">
        <v>8.7570743560791</v>
      </c>
      <c r="G593" s="25" t="n">
        <v>8.28141212463379</v>
      </c>
      <c r="H593" s="25" t="n">
        <v>1.91153788566589</v>
      </c>
      <c r="I593" s="25" t="n">
        <v>2.69404339790344</v>
      </c>
      <c r="J593" s="25" t="n">
        <v>5.10538427734375</v>
      </c>
      <c r="K593" s="25" t="n">
        <v>2.14287255859375</v>
      </c>
      <c r="L593" s="25" t="n">
        <v>0.3679638671875</v>
      </c>
      <c r="M593" s="25" t="n">
        <v>18.8763313293457</v>
      </c>
      <c r="N593" s="25" t="n">
        <v>117.988967895508</v>
      </c>
      <c r="O593" s="25" t="n">
        <v>243.967102050781</v>
      </c>
      <c r="P593" s="25" t="n">
        <v>99.4795227050781</v>
      </c>
      <c r="Q593" s="25" t="n">
        <v>116.185218811035</v>
      </c>
      <c r="R593" s="25" t="n">
        <v>19.4445381164551</v>
      </c>
      <c r="S593" s="25" t="n">
        <v>0.579685032367706</v>
      </c>
      <c r="T593" s="25" t="n">
        <v>0.548880040645599</v>
      </c>
      <c r="U593" s="25" t="n">
        <v>0.0672535300254822</v>
      </c>
      <c r="V593" s="25" t="n">
        <v>1.00050020217896</v>
      </c>
      <c r="W593" s="25" t="n">
        <v>0.151802659034729</v>
      </c>
      <c r="X593" s="25" t="n">
        <v>76.7923431396484</v>
      </c>
      <c r="Y593" s="25" t="n">
        <v>1350.89135742188</v>
      </c>
      <c r="Z593" s="25" t="n">
        <v>0.284975469112396</v>
      </c>
      <c r="AA593" s="25" t="n">
        <v>8.7033863067627</v>
      </c>
      <c r="AB593" s="25" t="n">
        <v>11.344051361084</v>
      </c>
      <c r="AC593" s="25" t="n">
        <v>0.0621132738888264</v>
      </c>
      <c r="AD593" s="25" t="n">
        <v>0.0772471353411675</v>
      </c>
      <c r="AE593" s="25" t="n">
        <v>0.44130539894104</v>
      </c>
      <c r="AF593" s="25" t="n">
        <v>0.394820988178253</v>
      </c>
      <c r="AG593" s="25" t="n">
        <v>0.109144255518913</v>
      </c>
      <c r="AH593" s="25" t="n">
        <v>2.46261143684387</v>
      </c>
      <c r="AI593" s="25" t="n">
        <v>21.5029144287109</v>
      </c>
      <c r="AJ593" s="6" t="n">
        <v>484.8</v>
      </c>
      <c r="AK593" s="6" t="n">
        <v>615.2</v>
      </c>
      <c r="AL593" s="26"/>
    </row>
    <row r="594" customFormat="false" ht="15" hidden="false" customHeight="false" outlineLevel="0" collapsed="false">
      <c r="A594" s="6" t="s">
        <v>3975</v>
      </c>
      <c r="B594" s="6" t="s">
        <v>3976</v>
      </c>
      <c r="C594" s="6" t="s">
        <v>3732</v>
      </c>
      <c r="D594" s="13" t="n">
        <v>150.179901123047</v>
      </c>
      <c r="E594" s="25" t="n">
        <v>7.35764169692993</v>
      </c>
      <c r="F594" s="25" t="n">
        <v>6.27383470535278</v>
      </c>
      <c r="G594" s="25" t="n">
        <v>10.5208148956299</v>
      </c>
      <c r="H594" s="25" t="n">
        <v>1.43605875968933</v>
      </c>
      <c r="I594" s="25" t="n">
        <v>0.887690901756287</v>
      </c>
      <c r="J594" s="25" t="n">
        <v>5.74792626953125</v>
      </c>
      <c r="K594" s="25" t="n">
        <v>2.98738232421875</v>
      </c>
      <c r="L594" s="25" t="n">
        <v>0.744554260253906</v>
      </c>
      <c r="M594" s="25" t="n">
        <v>114.709991455078</v>
      </c>
      <c r="N594" s="25" t="n">
        <v>244.065185546875</v>
      </c>
      <c r="O594" s="25" t="n">
        <v>385.313781738281</v>
      </c>
      <c r="P594" s="25" t="n">
        <v>133.686233520508</v>
      </c>
      <c r="Q594" s="25" t="n">
        <v>167.052703857422</v>
      </c>
      <c r="R594" s="25" t="n">
        <v>53.0029945373535</v>
      </c>
      <c r="S594" s="25" t="n">
        <v>2.14908170700073</v>
      </c>
      <c r="T594" s="25" t="n">
        <v>0.939223289489746</v>
      </c>
      <c r="U594" s="25" t="n">
        <v>0.118135169148445</v>
      </c>
      <c r="V594" s="25" t="n">
        <v>11.7902812957764</v>
      </c>
      <c r="W594" s="25" t="n">
        <v>0.629729449748993</v>
      </c>
      <c r="X594" s="25" t="n">
        <v>140.491165161133</v>
      </c>
      <c r="Y594" s="25" t="n">
        <v>4872.06982421875</v>
      </c>
      <c r="Z594" s="25" t="n">
        <v>1.206374168396</v>
      </c>
      <c r="AA594" s="25" t="n">
        <v>163.353805541992</v>
      </c>
      <c r="AB594" s="25" t="n">
        <v>15.1143064498901</v>
      </c>
      <c r="AC594" s="25" t="n">
        <v>0.111460514366627</v>
      </c>
      <c r="AD594" s="25" t="n">
        <v>0.136542871594429</v>
      </c>
      <c r="AE594" s="25" t="n">
        <v>0.252895087003708</v>
      </c>
      <c r="AF594" s="25" t="n">
        <v>0.598432660102844</v>
      </c>
      <c r="AG594" s="25" t="n">
        <v>0.129005685448647</v>
      </c>
      <c r="AH594" s="25" t="n">
        <v>7.37299060821533</v>
      </c>
      <c r="AI594" s="25" t="n">
        <v>86.0883712768555</v>
      </c>
      <c r="AJ594" s="6" t="n">
        <v>200.3</v>
      </c>
      <c r="AK594" s="6" t="n">
        <v>300.9</v>
      </c>
      <c r="AL594" s="26"/>
    </row>
    <row r="595" customFormat="false" ht="15" hidden="false" customHeight="false" outlineLevel="0" collapsed="false">
      <c r="A595" s="6" t="s">
        <v>3977</v>
      </c>
      <c r="B595" s="6" t="s">
        <v>3978</v>
      </c>
      <c r="C595" s="6" t="s">
        <v>3732</v>
      </c>
      <c r="D595" s="13" t="n">
        <v>84.9150466918945</v>
      </c>
      <c r="E595" s="25" t="n">
        <v>3.35674142837524</v>
      </c>
      <c r="F595" s="25" t="n">
        <v>3.40213489532471</v>
      </c>
      <c r="G595" s="25" t="n">
        <v>6.45370769500732</v>
      </c>
      <c r="H595" s="25" t="n">
        <v>0.551348328590393</v>
      </c>
      <c r="I595" s="25" t="n">
        <v>1.96820223331451</v>
      </c>
      <c r="J595" s="25" t="n">
        <v>0.679527648925781</v>
      </c>
      <c r="K595" s="25" t="n">
        <v>0.789693237304688</v>
      </c>
      <c r="L595" s="25" t="n">
        <v>0.283460662841797</v>
      </c>
      <c r="M595" s="25" t="n">
        <v>82.2471923828125</v>
      </c>
      <c r="N595" s="25" t="n">
        <v>110.124496459961</v>
      </c>
      <c r="O595" s="25" t="n">
        <v>66.9887619018555</v>
      </c>
      <c r="P595" s="25" t="n">
        <v>18.1267414093018</v>
      </c>
      <c r="Q595" s="25" t="n">
        <v>48.269660949707</v>
      </c>
      <c r="R595" s="25" t="n">
        <v>6.480224609375</v>
      </c>
      <c r="S595" s="25" t="n">
        <v>0.548202276229858</v>
      </c>
      <c r="T595" s="25" t="n">
        <v>0.353820234537125</v>
      </c>
      <c r="U595" s="25" t="n">
        <v>0.0376404486596584</v>
      </c>
      <c r="V595" s="25" t="n">
        <v>9.26561737060547</v>
      </c>
      <c r="W595" s="25" t="n">
        <v>0.0578651688992977</v>
      </c>
      <c r="X595" s="25" t="n">
        <v>44.4943809509277</v>
      </c>
      <c r="Y595" s="25" t="n">
        <v>120.040451049805</v>
      </c>
      <c r="Z595" s="25" t="n">
        <v>0.352247178554535</v>
      </c>
      <c r="AA595" s="25" t="n">
        <v>4.42696619033814</v>
      </c>
      <c r="AB595" s="25" t="n">
        <v>2.69707870483398</v>
      </c>
      <c r="AC595" s="25" t="n">
        <v>0.0228089895099402</v>
      </c>
      <c r="AD595" s="25" t="n">
        <v>0.04561797529459</v>
      </c>
      <c r="AE595" s="25" t="n">
        <v>0.0898876413702965</v>
      </c>
      <c r="AF595" s="25" t="n">
        <v>0.386516869068146</v>
      </c>
      <c r="AG595" s="25" t="n">
        <v>0.0560674145817757</v>
      </c>
      <c r="AH595" s="25" t="n">
        <v>4.71943807601929</v>
      </c>
      <c r="AI595" s="25" t="n">
        <v>18.4885387420654</v>
      </c>
      <c r="AJ595" s="6" t="n">
        <v>222.5</v>
      </c>
      <c r="AK595" s="6" t="n">
        <v>188.9</v>
      </c>
      <c r="AL595" s="26"/>
    </row>
    <row r="596" customFormat="false" ht="15" hidden="false" customHeight="false" outlineLevel="0" collapsed="false">
      <c r="A596" s="6" t="s">
        <v>3979</v>
      </c>
      <c r="B596" s="6" t="s">
        <v>3980</v>
      </c>
      <c r="C596" s="6" t="s">
        <v>3732</v>
      </c>
      <c r="D596" s="13" t="n">
        <v>121.897834777832</v>
      </c>
      <c r="E596" s="25" t="n">
        <v>2.88837957382202</v>
      </c>
      <c r="F596" s="25" t="n">
        <v>9.05294513702393</v>
      </c>
      <c r="G596" s="25" t="n">
        <v>8.12608051300049</v>
      </c>
      <c r="H596" s="25" t="n">
        <v>1.20745897293091</v>
      </c>
      <c r="I596" s="25" t="n">
        <v>0.835390567779541</v>
      </c>
      <c r="J596" s="25" t="n">
        <v>0.744990295410156</v>
      </c>
      <c r="K596" s="25" t="n">
        <v>3.41824389648438</v>
      </c>
      <c r="L596" s="25" t="n">
        <v>1.5507255859375</v>
      </c>
      <c r="M596" s="25" t="n">
        <v>47.2932472229004</v>
      </c>
      <c r="N596" s="25" t="n">
        <v>102.661964416504</v>
      </c>
      <c r="O596" s="25" t="n">
        <v>367.588439941406</v>
      </c>
      <c r="P596" s="25" t="n">
        <v>23.2503089904785</v>
      </c>
      <c r="Q596" s="25" t="n">
        <v>55.1795082092285</v>
      </c>
      <c r="R596" s="25" t="n">
        <v>19.1917209625244</v>
      </c>
      <c r="S596" s="25" t="n">
        <v>0.9000044465065</v>
      </c>
      <c r="T596" s="25" t="n">
        <v>0.415552824735642</v>
      </c>
      <c r="U596" s="25" t="n">
        <v>0.12483336776495</v>
      </c>
      <c r="V596" s="25" t="n">
        <v>4.90815114974976</v>
      </c>
      <c r="W596" s="25" t="n">
        <v>0.14014282822609</v>
      </c>
      <c r="X596" s="25" t="n">
        <v>26.9793682098389</v>
      </c>
      <c r="Y596" s="25" t="n">
        <v>348.617980957031</v>
      </c>
      <c r="Z596" s="25" t="n">
        <v>1.6681581735611</v>
      </c>
      <c r="AA596" s="25" t="n">
        <v>4.63718938827515</v>
      </c>
      <c r="AB596" s="25" t="n">
        <v>16.4342269897461</v>
      </c>
      <c r="AC596" s="25" t="n">
        <v>0.0476547330617905</v>
      </c>
      <c r="AD596" s="25" t="n">
        <v>0.0383309833705425</v>
      </c>
      <c r="AE596" s="25" t="n">
        <v>0.667585074901581</v>
      </c>
      <c r="AF596" s="25" t="n">
        <v>0.428099095821381</v>
      </c>
      <c r="AG596" s="25" t="n">
        <v>0.101238757371903</v>
      </c>
      <c r="AH596" s="25" t="n">
        <v>3.0637674331665</v>
      </c>
      <c r="AI596" s="25" t="n">
        <v>23.3599243164063</v>
      </c>
      <c r="AJ596" s="6" t="n">
        <v>226.8</v>
      </c>
      <c r="AK596" s="6" t="n">
        <v>276.5</v>
      </c>
      <c r="AL596" s="26"/>
    </row>
    <row r="597" customFormat="false" ht="15" hidden="false" customHeight="false" outlineLevel="0" collapsed="false">
      <c r="A597" s="6" t="s">
        <v>3981</v>
      </c>
      <c r="B597" s="6" t="s">
        <v>3982</v>
      </c>
      <c r="C597" s="6" t="s">
        <v>3732</v>
      </c>
      <c r="D597" s="13" t="n">
        <v>49.8781280517578</v>
      </c>
      <c r="E597" s="25" t="n">
        <v>1.33403670787811</v>
      </c>
      <c r="F597" s="25" t="n">
        <v>3.81550455093384</v>
      </c>
      <c r="G597" s="25" t="n">
        <v>3.23651385307312</v>
      </c>
      <c r="H597" s="25" t="n">
        <v>1.32623851299286</v>
      </c>
      <c r="I597" s="25" t="n">
        <v>1.89958715438843</v>
      </c>
      <c r="J597" s="25" t="n">
        <v>0.0757417449951172</v>
      </c>
      <c r="K597" s="25" t="n">
        <v>0.0423498153686523</v>
      </c>
      <c r="L597" s="25" t="n">
        <v>0.146307113647461</v>
      </c>
      <c r="M597" s="25" t="n">
        <v>0</v>
      </c>
      <c r="N597" s="25" t="n">
        <v>65.0880279541016</v>
      </c>
      <c r="O597" s="25" t="n">
        <v>211.22477722168</v>
      </c>
      <c r="P597" s="25" t="n">
        <v>33.7109184265137</v>
      </c>
      <c r="Q597" s="25" t="n">
        <v>27.4995403289795</v>
      </c>
      <c r="R597" s="25" t="n">
        <v>19.1438522338867</v>
      </c>
      <c r="S597" s="25" t="n">
        <v>1.2671560049057</v>
      </c>
      <c r="T597" s="25" t="n">
        <v>0.281559646129608</v>
      </c>
      <c r="U597" s="25" t="n">
        <v>0.0638532117009163</v>
      </c>
      <c r="V597" s="25" t="n">
        <v>1.39692664146423</v>
      </c>
      <c r="W597" s="25" t="n">
        <v>0.191009178757668</v>
      </c>
      <c r="X597" s="25" t="n">
        <v>0</v>
      </c>
      <c r="Y597" s="25" t="n">
        <v>2852.91748046875</v>
      </c>
      <c r="Z597" s="25" t="n">
        <v>0.0455504581332207</v>
      </c>
      <c r="AA597" s="25" t="n">
        <v>41.1850471496582</v>
      </c>
      <c r="AB597" s="25" t="n">
        <v>26.7152767181397</v>
      </c>
      <c r="AC597" s="25" t="n">
        <v>0.0392201840877533</v>
      </c>
      <c r="AD597" s="25" t="n">
        <v>0.0404587164521217</v>
      </c>
      <c r="AE597" s="25" t="n">
        <v>0.340871572494507</v>
      </c>
      <c r="AF597" s="25" t="n">
        <v>0.146697252988815</v>
      </c>
      <c r="AG597" s="25" t="n">
        <v>0.0967431217432022</v>
      </c>
      <c r="AH597" s="25" t="n">
        <v>1.32729351520538</v>
      </c>
      <c r="AI597" s="25" t="n">
        <v>34.8466529846191</v>
      </c>
      <c r="AJ597" s="6" t="n">
        <v>218</v>
      </c>
      <c r="AK597" s="6" t="n">
        <v>108.7</v>
      </c>
      <c r="AL597" s="26"/>
    </row>
    <row r="598" customFormat="false" ht="15" hidden="false" customHeight="false" outlineLevel="0" collapsed="false">
      <c r="A598" s="6" t="s">
        <v>3983</v>
      </c>
      <c r="B598" s="6" t="s">
        <v>3984</v>
      </c>
      <c r="C598" s="6" t="s">
        <v>3985</v>
      </c>
      <c r="D598" s="13" t="n">
        <v>160.456954956055</v>
      </c>
      <c r="E598" s="25" t="n">
        <v>3.36285710334778</v>
      </c>
      <c r="F598" s="25" t="n">
        <v>11.6066665649414</v>
      </c>
      <c r="G598" s="25" t="n">
        <v>11.2971429824829</v>
      </c>
      <c r="H598" s="25" t="n">
        <v>3.09142875671387</v>
      </c>
      <c r="I598" s="25" t="n">
        <v>1.46476197242737</v>
      </c>
      <c r="J598" s="25" t="n">
        <v>0.925392395019531</v>
      </c>
      <c r="K598" s="25" t="n">
        <v>6.6275380859375</v>
      </c>
      <c r="L598" s="25" t="n">
        <v>3.09401904296875</v>
      </c>
      <c r="M598" s="25" t="n">
        <v>8.17142868041992</v>
      </c>
      <c r="N598" s="25" t="n">
        <v>26.0228576660156</v>
      </c>
      <c r="O598" s="25" t="n">
        <v>252.190475463867</v>
      </c>
      <c r="P598" s="25" t="n">
        <v>45.6476173400879</v>
      </c>
      <c r="Q598" s="25" t="n">
        <v>51.1742858886719</v>
      </c>
      <c r="R598" s="25" t="n">
        <v>20.7533321380615</v>
      </c>
      <c r="S598" s="25" t="n">
        <v>0.853333294391632</v>
      </c>
      <c r="T598" s="25" t="n">
        <v>0.589523792266846</v>
      </c>
      <c r="U598" s="25" t="n">
        <v>0.0828571394085884</v>
      </c>
      <c r="V598" s="25" t="n">
        <v>2.73142862319946</v>
      </c>
      <c r="W598" s="25" t="n">
        <v>0.246666669845581</v>
      </c>
      <c r="X598" s="25" t="n">
        <v>11.1428565979004</v>
      </c>
      <c r="Y598" s="25" t="n">
        <v>257.883819580078</v>
      </c>
      <c r="Z598" s="25" t="n">
        <v>3.71619057655335</v>
      </c>
      <c r="AA598" s="25" t="n">
        <v>99.4580993652344</v>
      </c>
      <c r="AB598" s="25" t="n">
        <v>33.7076187133789</v>
      </c>
      <c r="AC598" s="25" t="n">
        <v>0.0961904749274254</v>
      </c>
      <c r="AD598" s="25" t="n">
        <v>0.0790476202964783</v>
      </c>
      <c r="AE598" s="25" t="n">
        <v>0.712380945682526</v>
      </c>
      <c r="AF598" s="25" t="n">
        <v>0.519523799419403</v>
      </c>
      <c r="AG598" s="25" t="n">
        <v>0.130952388048172</v>
      </c>
      <c r="AH598" s="25" t="n">
        <v>1.92000007629395</v>
      </c>
      <c r="AI598" s="25" t="n">
        <v>52.1561889648438</v>
      </c>
      <c r="AJ598" s="6" t="n">
        <v>210</v>
      </c>
      <c r="AK598" s="6" t="n">
        <v>337</v>
      </c>
      <c r="AL598" s="26"/>
    </row>
    <row r="599" customFormat="false" ht="15" hidden="false" customHeight="false" outlineLevel="0" collapsed="false">
      <c r="A599" s="6" t="s">
        <v>3986</v>
      </c>
      <c r="B599" s="6" t="s">
        <v>3987</v>
      </c>
      <c r="C599" s="6" t="s">
        <v>3988</v>
      </c>
      <c r="D599" s="13" t="n">
        <v>36.1258163452148</v>
      </c>
      <c r="E599" s="25" t="n">
        <v>2.09118962287903</v>
      </c>
      <c r="F599" s="25" t="n">
        <v>4.7237811088562</v>
      </c>
      <c r="G599" s="25" t="n">
        <v>0.926752984523773</v>
      </c>
      <c r="H599" s="25" t="n">
        <v>1.66191673278809</v>
      </c>
      <c r="I599" s="25" t="n">
        <v>2.27921628952026</v>
      </c>
      <c r="J599" s="25" t="n">
        <v>0.55045703125</v>
      </c>
      <c r="K599" s="25" t="n">
        <v>0.215538360595703</v>
      </c>
      <c r="L599" s="25" t="n">
        <v>0.0894074249267578</v>
      </c>
      <c r="M599" s="25" t="n">
        <v>2.86732125282288</v>
      </c>
      <c r="N599" s="25" t="n">
        <v>141.725479125977</v>
      </c>
      <c r="O599" s="25" t="n">
        <v>215.505340576172</v>
      </c>
      <c r="P599" s="25" t="n">
        <v>68.4903106689453</v>
      </c>
      <c r="Q599" s="25" t="n">
        <v>65.6763381958008</v>
      </c>
      <c r="R599" s="25" t="n">
        <v>21.8740997314453</v>
      </c>
      <c r="S599" s="25" t="n">
        <v>0.523933470249176</v>
      </c>
      <c r="T599" s="25" t="n">
        <v>0.318394303321838</v>
      </c>
      <c r="U599" s="25" t="n">
        <v>0.0389451757073402</v>
      </c>
      <c r="V599" s="25" t="n">
        <v>0.853353917598724</v>
      </c>
      <c r="W599" s="25" t="n">
        <v>0.0907550603151321</v>
      </c>
      <c r="X599" s="25" t="n">
        <v>7.29863548278809</v>
      </c>
      <c r="Y599" s="25" t="n">
        <v>455.866912841797</v>
      </c>
      <c r="Z599" s="25" t="n">
        <v>0.0389912240207195</v>
      </c>
      <c r="AA599" s="25" t="n">
        <v>8.96037864685059</v>
      </c>
      <c r="AB599" s="25" t="n">
        <v>5.85211563110352</v>
      </c>
      <c r="AC599" s="25" t="n">
        <v>0.0308888703584671</v>
      </c>
      <c r="AD599" s="25" t="n">
        <v>0.0810452699661255</v>
      </c>
      <c r="AE599" s="25" t="n">
        <v>0.312299072742462</v>
      </c>
      <c r="AF599" s="25" t="n">
        <v>0.452298223972321</v>
      </c>
      <c r="AG599" s="25" t="n">
        <v>0.0719654187560082</v>
      </c>
      <c r="AH599" s="25" t="n">
        <v>2.72562789916992</v>
      </c>
      <c r="AI599" s="25" t="n">
        <v>18.5571937561035</v>
      </c>
      <c r="AJ599" s="6" t="n">
        <v>115.1</v>
      </c>
      <c r="AK599" s="6" t="n">
        <v>41.6</v>
      </c>
      <c r="AL599" s="26"/>
    </row>
    <row r="600" customFormat="false" ht="15" hidden="false" customHeight="false" outlineLevel="0" collapsed="false">
      <c r="A600" s="6" t="s">
        <v>3989</v>
      </c>
      <c r="B600" s="6" t="s">
        <v>3990</v>
      </c>
      <c r="C600" s="6" t="s">
        <v>3991</v>
      </c>
      <c r="D600" s="13" t="n">
        <v>100.551788330078</v>
      </c>
      <c r="E600" s="25" t="n">
        <v>6.9009428024292</v>
      </c>
      <c r="F600" s="25" t="n">
        <v>2.3635880947113</v>
      </c>
      <c r="G600" s="25" t="n">
        <v>6.99131011962891</v>
      </c>
      <c r="H600" s="25" t="n">
        <v>1.14426898956299</v>
      </c>
      <c r="I600" s="25" t="n">
        <v>1.20604717731476</v>
      </c>
      <c r="J600" s="25" t="n">
        <v>0.595325927734375</v>
      </c>
      <c r="K600" s="25" t="n">
        <v>2.88547680664063</v>
      </c>
      <c r="L600" s="25" t="n">
        <v>1.32904125976563</v>
      </c>
      <c r="M600" s="25" t="n">
        <v>20.7287273406982</v>
      </c>
      <c r="N600" s="25" t="n">
        <v>76.0161437988281</v>
      </c>
      <c r="O600" s="25" t="n">
        <v>212.833724975586</v>
      </c>
      <c r="P600" s="25" t="n">
        <v>17.5436401367188</v>
      </c>
      <c r="Q600" s="25" t="n">
        <v>66.8960189819336</v>
      </c>
      <c r="R600" s="25" t="n">
        <v>17.2812671661377</v>
      </c>
      <c r="S600" s="25" t="n">
        <v>0.773096323013306</v>
      </c>
      <c r="T600" s="25" t="n">
        <v>0.356162667274475</v>
      </c>
      <c r="U600" s="25" t="n">
        <v>0.122352987527847</v>
      </c>
      <c r="V600" s="25" t="n">
        <v>6.03419303894043</v>
      </c>
      <c r="W600" s="25" t="n">
        <v>0.111041694879532</v>
      </c>
      <c r="X600" s="25" t="n">
        <v>6.40690660476685</v>
      </c>
      <c r="Y600" s="25" t="n">
        <v>3242.00830078125</v>
      </c>
      <c r="Z600" s="25" t="n">
        <v>1.43151962757111</v>
      </c>
      <c r="AA600" s="25" t="n">
        <v>21.1307125091553</v>
      </c>
      <c r="AB600" s="25" t="n">
        <v>21.4680233001709</v>
      </c>
      <c r="AC600" s="25" t="n">
        <v>0.055937372148037</v>
      </c>
      <c r="AD600" s="25" t="n">
        <v>0.0440569519996643</v>
      </c>
      <c r="AE600" s="25" t="n">
        <v>2.58800029754639</v>
      </c>
      <c r="AF600" s="25" t="n">
        <v>0.468703866004944</v>
      </c>
      <c r="AG600" s="25" t="n">
        <v>0.212579041719437</v>
      </c>
      <c r="AH600" s="25" t="n">
        <v>2.41425275802612</v>
      </c>
      <c r="AI600" s="25" t="n">
        <v>18.7382907867432</v>
      </c>
      <c r="AJ600" s="6" t="n">
        <v>264.1</v>
      </c>
      <c r="AK600" s="6" t="n">
        <v>265.5</v>
      </c>
      <c r="AL600" s="26"/>
    </row>
    <row r="601" customFormat="false" ht="15" hidden="false" customHeight="false" outlineLevel="0" collapsed="false">
      <c r="A601" s="6" t="s">
        <v>3992</v>
      </c>
      <c r="B601" s="6" t="s">
        <v>3993</v>
      </c>
      <c r="C601" s="6" t="s">
        <v>3994</v>
      </c>
      <c r="D601" s="13" t="n">
        <v>48.864917755127</v>
      </c>
      <c r="E601" s="25" t="n">
        <v>5.85148906707764</v>
      </c>
      <c r="F601" s="25" t="n">
        <v>4.20706224441528</v>
      </c>
      <c r="G601" s="25" t="n">
        <v>0.848128795623779</v>
      </c>
      <c r="H601" s="25" t="n">
        <v>1.79796779155731</v>
      </c>
      <c r="I601" s="25" t="n">
        <v>2.86110663414002</v>
      </c>
      <c r="J601" s="25" t="n">
        <v>0.106769012451172</v>
      </c>
      <c r="K601" s="25" t="n">
        <v>0.128807083129883</v>
      </c>
      <c r="L601" s="25" t="n">
        <v>0.563901000976563</v>
      </c>
      <c r="M601" s="25" t="n">
        <v>0</v>
      </c>
      <c r="N601" s="25" t="n">
        <v>74.2023773193359</v>
      </c>
      <c r="O601" s="25" t="n">
        <v>144.01106262207</v>
      </c>
      <c r="P601" s="25" t="n">
        <v>37.1433792114258</v>
      </c>
      <c r="Q601" s="25" t="n">
        <v>25.7541255950928</v>
      </c>
      <c r="R601" s="25" t="n">
        <v>17.2314281463623</v>
      </c>
      <c r="S601" s="25" t="n">
        <v>0.86967808008194</v>
      </c>
      <c r="T601" s="25" t="n">
        <v>0.216217309236527</v>
      </c>
      <c r="U601" s="25" t="n">
        <v>0.0750603601336479</v>
      </c>
      <c r="V601" s="25" t="n">
        <v>2.35072445869446</v>
      </c>
      <c r="W601" s="25" t="n">
        <v>0.414215296506882</v>
      </c>
      <c r="X601" s="25" t="n">
        <v>0</v>
      </c>
      <c r="Y601" s="25" t="n">
        <v>3359.82421875</v>
      </c>
      <c r="Z601" s="25" t="n">
        <v>0.161810860037804</v>
      </c>
      <c r="AA601" s="25" t="n">
        <v>22.5800399780273</v>
      </c>
      <c r="AB601" s="25" t="n">
        <v>11.5681285858154</v>
      </c>
      <c r="AC601" s="25" t="n">
        <v>0.0348490960896015</v>
      </c>
      <c r="AD601" s="25" t="n">
        <v>0.0304024145007134</v>
      </c>
      <c r="AE601" s="25" t="n">
        <v>0.11452716588974</v>
      </c>
      <c r="AF601" s="25" t="n">
        <v>0.119114689528942</v>
      </c>
      <c r="AG601" s="25" t="n">
        <v>0.0706841051578522</v>
      </c>
      <c r="AH601" s="25" t="n">
        <v>1.07535207271576</v>
      </c>
      <c r="AI601" s="25" t="n">
        <v>15.1694974899292</v>
      </c>
      <c r="AJ601" s="6" t="n">
        <v>248.5</v>
      </c>
      <c r="AK601" s="6" t="n">
        <v>121.4</v>
      </c>
      <c r="AL601" s="26"/>
    </row>
    <row r="602" customFormat="false" ht="15" hidden="false" customHeight="false" outlineLevel="0" collapsed="false">
      <c r="A602" s="6" t="s">
        <v>3995</v>
      </c>
      <c r="B602" s="6" t="s">
        <v>3996</v>
      </c>
      <c r="C602" s="6" t="s">
        <v>3994</v>
      </c>
      <c r="D602" s="13" t="n">
        <v>50.3733139038086</v>
      </c>
      <c r="E602" s="25" t="n">
        <v>6.87376594543457</v>
      </c>
      <c r="F602" s="25" t="n">
        <v>5.02300930023193</v>
      </c>
      <c r="G602" s="25" t="n">
        <v>0.261727929115295</v>
      </c>
      <c r="H602" s="25" t="n">
        <v>1.58355271816254</v>
      </c>
      <c r="I602" s="25" t="n">
        <v>3.20795345306397</v>
      </c>
      <c r="J602" s="25" t="n">
        <v>0.0716518783569336</v>
      </c>
      <c r="K602" s="25" t="n">
        <v>0.0268717212677002</v>
      </c>
      <c r="L602" s="25" t="n">
        <v>0.13951301574707</v>
      </c>
      <c r="M602" s="25" t="n">
        <v>0</v>
      </c>
      <c r="N602" s="25" t="n">
        <v>98.1659545898438</v>
      </c>
      <c r="O602" s="25" t="n">
        <v>192.769393920898</v>
      </c>
      <c r="P602" s="25" t="n">
        <v>44.2834663391113</v>
      </c>
      <c r="Q602" s="25" t="n">
        <v>26.747766494751</v>
      </c>
      <c r="R602" s="25" t="n">
        <v>20.756275177002</v>
      </c>
      <c r="S602" s="25" t="n">
        <v>1.18109905719757</v>
      </c>
      <c r="T602" s="25" t="n">
        <v>0.230652436614037</v>
      </c>
      <c r="U602" s="25" t="n">
        <v>0.0765732824802399</v>
      </c>
      <c r="V602" s="25" t="n">
        <v>3.04225826263428</v>
      </c>
      <c r="W602" s="25" t="n">
        <v>0.337172150611877</v>
      </c>
      <c r="X602" s="25" t="n">
        <v>0</v>
      </c>
      <c r="Y602" s="25" t="n">
        <v>4731.876953125</v>
      </c>
      <c r="Z602" s="25" t="n">
        <v>0.113988906145096</v>
      </c>
      <c r="AA602" s="25" t="n">
        <v>35.4783058166504</v>
      </c>
      <c r="AB602" s="25" t="n">
        <v>16.8625087738037</v>
      </c>
      <c r="AC602" s="25" t="n">
        <v>0.0371533334255219</v>
      </c>
      <c r="AD602" s="25" t="n">
        <v>0.0362085178494453</v>
      </c>
      <c r="AE602" s="25" t="n">
        <v>0.356985062360764</v>
      </c>
      <c r="AF602" s="25" t="n">
        <v>0.174156248569489</v>
      </c>
      <c r="AG602" s="25" t="n">
        <v>0.0676882565021515</v>
      </c>
      <c r="AH602" s="25" t="n">
        <v>1.38906645774841</v>
      </c>
      <c r="AI602" s="25" t="n">
        <v>18.3376884460449</v>
      </c>
      <c r="AJ602" s="6" t="n">
        <v>212.7</v>
      </c>
      <c r="AK602" s="6" t="n">
        <v>107.2</v>
      </c>
      <c r="AL602" s="26"/>
    </row>
    <row r="603" customFormat="false" ht="15" hidden="false" customHeight="false" outlineLevel="0" collapsed="false">
      <c r="A603" s="6" t="s">
        <v>3997</v>
      </c>
      <c r="B603" s="6" t="s">
        <v>3998</v>
      </c>
      <c r="C603" s="6" t="s">
        <v>3482</v>
      </c>
      <c r="D603" s="13" t="n">
        <v>103.507415771484</v>
      </c>
      <c r="E603" s="25" t="n">
        <v>1.67768239974976</v>
      </c>
      <c r="F603" s="25" t="n">
        <v>15.6080904006958</v>
      </c>
      <c r="G603" s="25" t="n">
        <v>4.17195272445679</v>
      </c>
      <c r="H603" s="25" t="n">
        <v>0.261781096458435</v>
      </c>
      <c r="I603" s="25" t="n">
        <v>14.3830680847168</v>
      </c>
      <c r="J603" s="25" t="n">
        <v>2.49700732421875</v>
      </c>
      <c r="K603" s="25" t="n">
        <v>1.13840014648438</v>
      </c>
      <c r="L603" s="25" t="n">
        <v>0.21075993347168</v>
      </c>
      <c r="M603" s="25" t="n">
        <v>26.3304710388184</v>
      </c>
      <c r="N603" s="25" t="n">
        <v>13.2312660217285</v>
      </c>
      <c r="O603" s="25" t="n">
        <v>103.472099304199</v>
      </c>
      <c r="P603" s="25" t="n">
        <v>28.6144199371338</v>
      </c>
      <c r="Q603" s="25" t="n">
        <v>34.4289703369141</v>
      </c>
      <c r="R603" s="25" t="n">
        <v>7.96480703353882</v>
      </c>
      <c r="S603" s="25" t="n">
        <v>0.408068656921387</v>
      </c>
      <c r="T603" s="25" t="n">
        <v>0.227553650736809</v>
      </c>
      <c r="U603" s="25" t="n">
        <v>0.0369098708033562</v>
      </c>
      <c r="V603" s="25" t="n">
        <v>1.80791854858398</v>
      </c>
      <c r="W603" s="25" t="n">
        <v>0.0759012848138809</v>
      </c>
      <c r="X603" s="25" t="n">
        <v>64.6995697021484</v>
      </c>
      <c r="Y603" s="25" t="n">
        <v>155.031539916992</v>
      </c>
      <c r="Z603" s="25" t="n">
        <v>0.166931331157684</v>
      </c>
      <c r="AA603" s="25" t="n">
        <v>0.638841211795807</v>
      </c>
      <c r="AB603" s="25" t="n">
        <v>14.3560514450073</v>
      </c>
      <c r="AC603" s="25" t="n">
        <v>0.0275107305496931</v>
      </c>
      <c r="AD603" s="25" t="n">
        <v>0.0560515038669109</v>
      </c>
      <c r="AE603" s="25" t="n">
        <v>0.216587990522385</v>
      </c>
      <c r="AF603" s="25" t="n">
        <v>0.189699575304985</v>
      </c>
      <c r="AG603" s="25" t="n">
        <v>0.0387124456465244</v>
      </c>
      <c r="AH603" s="25" t="n">
        <v>1.9626179933548</v>
      </c>
      <c r="AI603" s="25" t="n">
        <v>8.97298240661621</v>
      </c>
      <c r="AJ603" s="6" t="n">
        <v>233</v>
      </c>
      <c r="AK603" s="6" t="n">
        <v>241.2</v>
      </c>
      <c r="AL603" s="26"/>
    </row>
    <row r="604" customFormat="false" ht="15" hidden="false" customHeight="false" outlineLevel="0" collapsed="false">
      <c r="A604" s="6" t="s">
        <v>3999</v>
      </c>
      <c r="B604" s="6" t="s">
        <v>4000</v>
      </c>
      <c r="C604" s="6" t="s">
        <v>2949</v>
      </c>
      <c r="D604" s="13" t="n">
        <v>733.769287109375</v>
      </c>
      <c r="E604" s="25" t="n">
        <v>0.322649002075195</v>
      </c>
      <c r="F604" s="25" t="n">
        <v>3.67562913894653</v>
      </c>
      <c r="G604" s="25" t="n">
        <v>79.6486053466797</v>
      </c>
      <c r="H604" s="25" t="n">
        <v>0.219602659344673</v>
      </c>
      <c r="I604" s="25" t="n">
        <v>3.01072835922241</v>
      </c>
      <c r="J604" s="25" t="n">
        <v>11.391880859375</v>
      </c>
      <c r="K604" s="25" t="n">
        <v>58.15057421875</v>
      </c>
      <c r="L604" s="25" t="n">
        <v>6.5828212890625</v>
      </c>
      <c r="M604" s="25" t="n">
        <v>0</v>
      </c>
      <c r="N604" s="25" t="n">
        <v>261.133636474609</v>
      </c>
      <c r="O604" s="25" t="n">
        <v>27.4304637908936</v>
      </c>
      <c r="P604" s="25" t="n">
        <v>6.97880792617798</v>
      </c>
      <c r="Q604" s="25" t="n">
        <v>3.75894045829773</v>
      </c>
      <c r="R604" s="25" t="n">
        <v>4.5364236831665</v>
      </c>
      <c r="S604" s="25" t="n">
        <v>0.484172165393829</v>
      </c>
      <c r="T604" s="25" t="n">
        <v>0.0691390708088875</v>
      </c>
      <c r="U604" s="25" t="n">
        <v>0.0275496691465378</v>
      </c>
      <c r="V604" s="25" t="n">
        <v>0.173046350479126</v>
      </c>
      <c r="W604" s="25" t="n">
        <v>0.0631788074970245</v>
      </c>
      <c r="X604" s="25" t="n">
        <v>0</v>
      </c>
      <c r="Y604" s="25" t="n">
        <v>20.3900661468506</v>
      </c>
      <c r="Z604" s="25" t="n">
        <v>4.06536436080933</v>
      </c>
      <c r="AA604" s="25" t="n">
        <v>46.947021484375</v>
      </c>
      <c r="AB604" s="25" t="n">
        <v>3.18940401077271</v>
      </c>
      <c r="AC604" s="25" t="n">
        <v>0.00304635777138174</v>
      </c>
      <c r="AD604" s="25" t="n">
        <v>0.00125827814918011</v>
      </c>
      <c r="AE604" s="25" t="n">
        <v>0.0122516555711627</v>
      </c>
      <c r="AF604" s="25" t="n">
        <v>0.00993377529084683</v>
      </c>
      <c r="AG604" s="25" t="n">
        <v>0.00377483456395567</v>
      </c>
      <c r="AH604" s="25" t="n">
        <v>0.150264903903008</v>
      </c>
      <c r="AI604" s="25" t="n">
        <v>0.968145728111267</v>
      </c>
      <c r="AJ604" s="6" t="n">
        <v>201.3</v>
      </c>
      <c r="AK604" s="6" t="n">
        <v>1477.3</v>
      </c>
      <c r="AL604" s="26" t="s">
        <v>3070</v>
      </c>
    </row>
    <row r="605" customFormat="false" ht="15" hidden="false" customHeight="false" outlineLevel="0" collapsed="false">
      <c r="A605" s="6" t="s">
        <v>4001</v>
      </c>
      <c r="B605" s="6" t="s">
        <v>4002</v>
      </c>
      <c r="C605" s="6" t="s">
        <v>2949</v>
      </c>
      <c r="D605" s="13" t="n">
        <v>329.0537109375</v>
      </c>
      <c r="E605" s="25" t="n">
        <v>2.13120722770691</v>
      </c>
      <c r="F605" s="25" t="n">
        <v>3.98491930961609</v>
      </c>
      <c r="G605" s="25" t="n">
        <v>33.8399467468262</v>
      </c>
      <c r="H605" s="25" t="n">
        <v>0.0428147204220295</v>
      </c>
      <c r="I605" s="25" t="n">
        <v>3.68446731567383</v>
      </c>
      <c r="J605" s="25" t="n">
        <v>6.12146435546875</v>
      </c>
      <c r="K605" s="25" t="n">
        <v>23.4269921875</v>
      </c>
      <c r="L605" s="25" t="n">
        <v>2.65552734375</v>
      </c>
      <c r="M605" s="25" t="n">
        <v>0</v>
      </c>
      <c r="N605" s="25" t="n">
        <v>193.584487915039</v>
      </c>
      <c r="O605" s="25" t="n">
        <v>81.0387344360352</v>
      </c>
      <c r="P605" s="25" t="n">
        <v>75.5357055664063</v>
      </c>
      <c r="Q605" s="25" t="n">
        <v>61.0666236877441</v>
      </c>
      <c r="R605" s="25" t="n">
        <v>6.82685613632202</v>
      </c>
      <c r="S605" s="25" t="n">
        <v>0.26566818356514</v>
      </c>
      <c r="T605" s="25" t="n">
        <v>0.228779852390289</v>
      </c>
      <c r="U605" s="25" t="n">
        <v>0.0268043894320726</v>
      </c>
      <c r="V605" s="25" t="n">
        <v>0.622504830360413</v>
      </c>
      <c r="W605" s="25" t="n">
        <v>0.0212265979498625</v>
      </c>
      <c r="X605" s="25" t="n">
        <v>0</v>
      </c>
      <c r="Y605" s="25" t="n">
        <v>130.14680480957</v>
      </c>
      <c r="Z605" s="25" t="n">
        <v>1.72068428993225</v>
      </c>
      <c r="AA605" s="25" t="n">
        <v>18.1084575653076</v>
      </c>
      <c r="AB605" s="25" t="n">
        <v>3.111168384552</v>
      </c>
      <c r="AC605" s="25" t="n">
        <v>0.0202194955199957</v>
      </c>
      <c r="AD605" s="25" t="n">
        <v>0.0686765685677528</v>
      </c>
      <c r="AE605" s="25" t="n">
        <v>0.0545513220131397</v>
      </c>
      <c r="AF605" s="25" t="n">
        <v>0.215752094984055</v>
      </c>
      <c r="AG605" s="25" t="n">
        <v>0.0263008400797844</v>
      </c>
      <c r="AH605" s="25" t="n">
        <v>1.30599093437195</v>
      </c>
      <c r="AI605" s="25" t="n">
        <v>4.86661052703857</v>
      </c>
      <c r="AJ605" s="6" t="n">
        <v>387.3</v>
      </c>
      <c r="AK605" s="6" t="n">
        <v>1274.3</v>
      </c>
      <c r="AL605" s="26" t="s">
        <v>3070</v>
      </c>
    </row>
    <row r="606" customFormat="false" ht="15" hidden="false" customHeight="false" outlineLevel="0" collapsed="false">
      <c r="A606" s="6" t="s">
        <v>4003</v>
      </c>
      <c r="B606" s="6" t="s">
        <v>4004</v>
      </c>
      <c r="C606" s="6" t="s">
        <v>2949</v>
      </c>
      <c r="D606" s="13" t="n">
        <v>78.7956008911133</v>
      </c>
      <c r="E606" s="25" t="n">
        <v>5.58583498001099</v>
      </c>
      <c r="F606" s="25" t="n">
        <v>8.0288028717041</v>
      </c>
      <c r="G606" s="25" t="n">
        <v>2.90343236923218</v>
      </c>
      <c r="H606" s="25" t="n">
        <v>0.220073625445366</v>
      </c>
      <c r="I606" s="25" t="n">
        <v>7.56905555725098</v>
      </c>
      <c r="J606" s="25" t="n">
        <v>1.83526989746094</v>
      </c>
      <c r="K606" s="25" t="n">
        <v>0.758885009765625</v>
      </c>
      <c r="L606" s="25" t="n">
        <v>0.110921882629395</v>
      </c>
      <c r="M606" s="25" t="n">
        <v>10.5172576904297</v>
      </c>
      <c r="N606" s="25" t="n">
        <v>204.61701965332</v>
      </c>
      <c r="O606" s="25" t="n">
        <v>283.256134033203</v>
      </c>
      <c r="P606" s="25" t="n">
        <v>194.590591430664</v>
      </c>
      <c r="Q606" s="25" t="n">
        <v>164.763641357422</v>
      </c>
      <c r="R606" s="25" t="n">
        <v>19.9270000457764</v>
      </c>
      <c r="S606" s="25" t="n">
        <v>0.177975907921791</v>
      </c>
      <c r="T606" s="25" t="n">
        <v>0.688273251056671</v>
      </c>
      <c r="U606" s="25" t="n">
        <v>0.0108968354761601</v>
      </c>
      <c r="V606" s="25" t="n">
        <v>1.99823117256165</v>
      </c>
      <c r="W606" s="25" t="n">
        <v>0.0415670722723007</v>
      </c>
      <c r="X606" s="25" t="n">
        <v>26.7712020874023</v>
      </c>
      <c r="Y606" s="25" t="n">
        <v>48.7088165283203</v>
      </c>
      <c r="Z606" s="25" t="n">
        <v>0.0567214861512184</v>
      </c>
      <c r="AA606" s="25" t="n">
        <v>1.66077065467835</v>
      </c>
      <c r="AB606" s="25" t="n">
        <v>2.55492877960205</v>
      </c>
      <c r="AC606" s="25" t="n">
        <v>0.0609761923551559</v>
      </c>
      <c r="AD606" s="25" t="n">
        <v>0.261258244514465</v>
      </c>
      <c r="AE606" s="25" t="n">
        <v>0.201979160308838</v>
      </c>
      <c r="AF606" s="25" t="n">
        <v>0.497275084257126</v>
      </c>
      <c r="AG606" s="25" t="n">
        <v>0.105435512959957</v>
      </c>
      <c r="AH606" s="25" t="n">
        <v>2.60495734214783</v>
      </c>
      <c r="AI606" s="25" t="n">
        <v>18.8363132476807</v>
      </c>
      <c r="AJ606" s="6" t="n">
        <v>209.2</v>
      </c>
      <c r="AK606" s="6" t="n">
        <v>164.8</v>
      </c>
      <c r="AL606" s="26"/>
    </row>
    <row r="607" customFormat="false" ht="15" hidden="false" customHeight="false" outlineLevel="0" collapsed="false">
      <c r="A607" s="6" t="s">
        <v>4005</v>
      </c>
      <c r="B607" s="6" t="s">
        <v>4006</v>
      </c>
      <c r="C607" s="6" t="s">
        <v>3007</v>
      </c>
      <c r="D607" s="13" t="n">
        <v>64.7843399047852</v>
      </c>
      <c r="E607" s="25" t="n">
        <v>4.13657522201538</v>
      </c>
      <c r="F607" s="25" t="n">
        <v>7.18522119522095</v>
      </c>
      <c r="G607" s="25" t="n">
        <v>2.18518161773682</v>
      </c>
      <c r="H607" s="25" t="n">
        <v>1.68680846691132</v>
      </c>
      <c r="I607" s="25" t="n">
        <v>5.9930305480957</v>
      </c>
      <c r="J607" s="25" t="n">
        <v>1.24885876464844</v>
      </c>
      <c r="K607" s="25" t="n">
        <v>0.536543701171875</v>
      </c>
      <c r="L607" s="25" t="n">
        <v>0.177648193359375</v>
      </c>
      <c r="M607" s="25" t="n">
        <v>6.97659683227539</v>
      </c>
      <c r="N607" s="25" t="n">
        <v>274.464813232422</v>
      </c>
      <c r="O607" s="25" t="n">
        <v>293.773651123047</v>
      </c>
      <c r="P607" s="25" t="n">
        <v>146.716796875</v>
      </c>
      <c r="Q607" s="25" t="n">
        <v>126.277984619141</v>
      </c>
      <c r="R607" s="25" t="n">
        <v>22.1346378326416</v>
      </c>
      <c r="S607" s="25" t="n">
        <v>0.553326547145844</v>
      </c>
      <c r="T607" s="25" t="n">
        <v>0.567375540733337</v>
      </c>
      <c r="U607" s="25" t="n">
        <v>0.0460880324244499</v>
      </c>
      <c r="V607" s="25" t="n">
        <v>1.3951290845871</v>
      </c>
      <c r="W607" s="25" t="n">
        <v>0.14718970656395</v>
      </c>
      <c r="X607" s="25" t="n">
        <v>17.7586097717285</v>
      </c>
      <c r="Y607" s="25" t="n">
        <v>3200.40283203125</v>
      </c>
      <c r="Z607" s="25" t="n">
        <v>0.118596434593201</v>
      </c>
      <c r="AA607" s="25" t="n">
        <v>10.7050762176514</v>
      </c>
      <c r="AB607" s="25" t="n">
        <v>4.92162799835205</v>
      </c>
      <c r="AC607" s="25" t="n">
        <v>0.0567305125296116</v>
      </c>
      <c r="AD607" s="25" t="n">
        <v>0.18545888364315</v>
      </c>
      <c r="AE607" s="25" t="n">
        <v>0.24439463019371</v>
      </c>
      <c r="AF607" s="25" t="n">
        <v>0.42654025554657</v>
      </c>
      <c r="AG607" s="25" t="n">
        <v>0.108723282814026</v>
      </c>
      <c r="AH607" s="25" t="n">
        <v>2.20576453208923</v>
      </c>
      <c r="AI607" s="25" t="n">
        <v>20.2984409332275</v>
      </c>
      <c r="AJ607" s="6" t="n">
        <v>157.7</v>
      </c>
      <c r="AK607" s="6" t="n">
        <v>102.1</v>
      </c>
      <c r="AL607" s="26"/>
    </row>
    <row r="608" customFormat="false" ht="15" hidden="false" customHeight="false" outlineLevel="0" collapsed="false">
      <c r="A608" s="6" t="s">
        <v>4007</v>
      </c>
      <c r="B608" s="6" t="s">
        <v>4008</v>
      </c>
      <c r="C608" s="6" t="s">
        <v>3007</v>
      </c>
      <c r="D608" s="13" t="n">
        <v>55.602165222168</v>
      </c>
      <c r="E608" s="25" t="n">
        <v>3.73505187034607</v>
      </c>
      <c r="F608" s="25" t="n">
        <v>6.01768255233765</v>
      </c>
      <c r="G608" s="25" t="n">
        <v>1.88396215438843</v>
      </c>
      <c r="H608" s="25" t="n">
        <v>1.04135572910309</v>
      </c>
      <c r="I608" s="25" t="n">
        <v>5.4750247001648</v>
      </c>
      <c r="J608" s="25" t="n">
        <v>1.144267578125</v>
      </c>
      <c r="K608" s="25" t="n">
        <v>0.497581878662109</v>
      </c>
      <c r="L608" s="25" t="n">
        <v>0.100939414978027</v>
      </c>
      <c r="M608" s="25" t="n">
        <v>6.47020769119263</v>
      </c>
      <c r="N608" s="25" t="n">
        <v>129.140731811523</v>
      </c>
      <c r="O608" s="25" t="n">
        <v>258.974365234375</v>
      </c>
      <c r="P608" s="25" t="n">
        <v>130.114181518555</v>
      </c>
      <c r="Q608" s="25" t="n">
        <v>109.327331542969</v>
      </c>
      <c r="R608" s="25" t="n">
        <v>17.4165153503418</v>
      </c>
      <c r="S608" s="25" t="n">
        <v>0.334986180067062</v>
      </c>
      <c r="T608" s="25" t="n">
        <v>0.471206992864609</v>
      </c>
      <c r="U608" s="25" t="n">
        <v>0.0306317266076803</v>
      </c>
      <c r="V608" s="25" t="n">
        <v>1.33798015117645</v>
      </c>
      <c r="W608" s="25" t="n">
        <v>0.0690700560808182</v>
      </c>
      <c r="X608" s="25" t="n">
        <v>16.4696197509766</v>
      </c>
      <c r="Y608" s="25" t="n">
        <v>622.325073242188</v>
      </c>
      <c r="Z608" s="25" t="n">
        <v>0.222051069140434</v>
      </c>
      <c r="AA608" s="25" t="n">
        <v>28.9602394104004</v>
      </c>
      <c r="AB608" s="25" t="n">
        <v>4.18114757537842</v>
      </c>
      <c r="AC608" s="25" t="n">
        <v>0.0477636605501175</v>
      </c>
      <c r="AD608" s="25" t="n">
        <v>0.169952943921089</v>
      </c>
      <c r="AE608" s="25" t="n">
        <v>0.26649197936058</v>
      </c>
      <c r="AF608" s="25" t="n">
        <v>0.358140110969544</v>
      </c>
      <c r="AG608" s="25" t="n">
        <v>0.0892747491598129</v>
      </c>
      <c r="AH608" s="25" t="n">
        <v>2.07774305343628</v>
      </c>
      <c r="AI608" s="25" t="n">
        <v>18.6445789337158</v>
      </c>
      <c r="AJ608" s="6" t="n">
        <v>170</v>
      </c>
      <c r="AK608" s="6" t="n">
        <v>94.5</v>
      </c>
      <c r="AL608" s="26"/>
    </row>
    <row r="609" customFormat="false" ht="15" hidden="false" customHeight="false" outlineLevel="0" collapsed="false">
      <c r="A609" s="6" t="s">
        <v>4009</v>
      </c>
      <c r="B609" s="6" t="s">
        <v>4010</v>
      </c>
      <c r="C609" s="6" t="s">
        <v>3007</v>
      </c>
      <c r="D609" s="13" t="n">
        <v>112.046646118164</v>
      </c>
      <c r="E609" s="25" t="n">
        <v>7.04649543762207</v>
      </c>
      <c r="F609" s="25" t="n">
        <v>7.31114673614502</v>
      </c>
      <c r="G609" s="25" t="n">
        <v>6.19174575805664</v>
      </c>
      <c r="H609" s="25" t="n">
        <v>1.79001951217651</v>
      </c>
      <c r="I609" s="25" t="n">
        <v>6.17098236083984</v>
      </c>
      <c r="J609" s="25" t="n">
        <v>2.12848974609375</v>
      </c>
      <c r="K609" s="25" t="n">
        <v>2.35097998046875</v>
      </c>
      <c r="L609" s="25" t="n">
        <v>1.32247717285156</v>
      </c>
      <c r="M609" s="25" t="n">
        <v>8.26011848449707</v>
      </c>
      <c r="N609" s="25" t="n">
        <v>223.009048461914</v>
      </c>
      <c r="O609" s="25" t="n">
        <v>365.457611083984</v>
      </c>
      <c r="P609" s="25" t="n">
        <v>191.005416870117</v>
      </c>
      <c r="Q609" s="25" t="n">
        <v>172.069381713867</v>
      </c>
      <c r="R609" s="25" t="n">
        <v>48.5457801818848</v>
      </c>
      <c r="S609" s="25" t="n">
        <v>1.68088757991791</v>
      </c>
      <c r="T609" s="25" t="n">
        <v>0.915643930435181</v>
      </c>
      <c r="U609" s="25" t="n">
        <v>0.117970265448093</v>
      </c>
      <c r="V609" s="25" t="n">
        <v>3.41301798820496</v>
      </c>
      <c r="W609" s="25" t="n">
        <v>0.376933246850967</v>
      </c>
      <c r="X609" s="25" t="n">
        <v>21.0257568359375</v>
      </c>
      <c r="Y609" s="25" t="n">
        <v>2851.12255859375</v>
      </c>
      <c r="Z609" s="25" t="n">
        <v>0.205521509051323</v>
      </c>
      <c r="AA609" s="25" t="n">
        <v>26.2595977783203</v>
      </c>
      <c r="AB609" s="25" t="n">
        <v>4.54739713668823</v>
      </c>
      <c r="AC609" s="25" t="n">
        <v>0.0655064955353737</v>
      </c>
      <c r="AD609" s="25" t="n">
        <v>0.243406936526299</v>
      </c>
      <c r="AE609" s="25" t="n">
        <v>1.27360141277313</v>
      </c>
      <c r="AF609" s="25" t="n">
        <v>0.550894320011139</v>
      </c>
      <c r="AG609" s="25" t="n">
        <v>0.147630855441093</v>
      </c>
      <c r="AH609" s="25" t="n">
        <v>12.0732078552246</v>
      </c>
      <c r="AI609" s="25" t="n">
        <v>33.2296409606934</v>
      </c>
      <c r="AJ609" s="6" t="n">
        <v>133.2</v>
      </c>
      <c r="AK609" s="6" t="n">
        <v>149.2</v>
      </c>
      <c r="AL609" s="26"/>
    </row>
    <row r="610" customFormat="false" ht="15" hidden="false" customHeight="false" outlineLevel="0" collapsed="false">
      <c r="A610" s="6" t="s">
        <v>4011</v>
      </c>
      <c r="B610" s="6" t="s">
        <v>4012</v>
      </c>
      <c r="C610" s="6" t="s">
        <v>3007</v>
      </c>
      <c r="D610" s="13" t="n">
        <v>52.7546005249023</v>
      </c>
      <c r="E610" s="25" t="n">
        <v>3.94832801818848</v>
      </c>
      <c r="F610" s="25" t="n">
        <v>5.05894279479981</v>
      </c>
      <c r="G610" s="25" t="n">
        <v>1.85831964015961</v>
      </c>
      <c r="H610" s="25" t="n">
        <v>1.39083969593048</v>
      </c>
      <c r="I610" s="25" t="n">
        <v>3.96805500984192</v>
      </c>
      <c r="J610" s="25" t="n">
        <v>1.03485241699219</v>
      </c>
      <c r="K610" s="25" t="n">
        <v>0.438541198730469</v>
      </c>
      <c r="L610" s="25" t="n">
        <v>0.214472061157227</v>
      </c>
      <c r="M610" s="25" t="n">
        <v>5.41418504714966</v>
      </c>
      <c r="N610" s="25" t="n">
        <v>126.572402954102</v>
      </c>
      <c r="O610" s="25" t="n">
        <v>458.177825927734</v>
      </c>
      <c r="P610" s="25" t="n">
        <v>142.960037231445</v>
      </c>
      <c r="Q610" s="25" t="n">
        <v>101.72998046875</v>
      </c>
      <c r="R610" s="25" t="n">
        <v>54.4462356567383</v>
      </c>
      <c r="S610" s="25" t="n">
        <v>1.60773634910584</v>
      </c>
      <c r="T610" s="25" t="n">
        <v>0.590324878692627</v>
      </c>
      <c r="U610" s="25" t="n">
        <v>0.0930752605199814</v>
      </c>
      <c r="V610" s="25" t="n">
        <v>2.0559709072113</v>
      </c>
      <c r="W610" s="25" t="n">
        <v>0.585697710514069</v>
      </c>
      <c r="X610" s="25" t="n">
        <v>13.7815618515015</v>
      </c>
      <c r="Y610" s="25" t="n">
        <v>4730.63916015625</v>
      </c>
      <c r="Z610" s="25" t="n">
        <v>0.669731259346008</v>
      </c>
      <c r="AA610" s="25" t="n">
        <v>161.017333984375</v>
      </c>
      <c r="AB610" s="25" t="n">
        <v>16.1951904296875</v>
      </c>
      <c r="AC610" s="25" t="n">
        <v>0.110860362648964</v>
      </c>
      <c r="AD610" s="25" t="n">
        <v>0.183661475777626</v>
      </c>
      <c r="AE610" s="25" t="n">
        <v>0.279595911502838</v>
      </c>
      <c r="AF610" s="25" t="n">
        <v>0.357644349336624</v>
      </c>
      <c r="AG610" s="25" t="n">
        <v>0.127282574772835</v>
      </c>
      <c r="AH610" s="25" t="n">
        <v>3.3350841999054</v>
      </c>
      <c r="AI610" s="25" t="n">
        <v>79.0726547241211</v>
      </c>
      <c r="AJ610" s="6" t="n">
        <v>203.2</v>
      </c>
      <c r="AK610" s="6" t="n">
        <v>107.2</v>
      </c>
      <c r="AL610" s="26"/>
    </row>
    <row r="611" customFormat="false" ht="15" hidden="false" customHeight="false" outlineLevel="0" collapsed="false">
      <c r="A611" s="6" t="s">
        <v>4013</v>
      </c>
      <c r="B611" s="6" t="s">
        <v>4014</v>
      </c>
      <c r="C611" s="6" t="s">
        <v>3007</v>
      </c>
      <c r="D611" s="13" t="n">
        <v>54.401496887207</v>
      </c>
      <c r="E611" s="25" t="n">
        <v>4.12551927566528</v>
      </c>
      <c r="F611" s="25" t="n">
        <v>5.30996417999268</v>
      </c>
      <c r="G611" s="25" t="n">
        <v>1.75987994670868</v>
      </c>
      <c r="H611" s="25" t="n">
        <v>2.19312357902527</v>
      </c>
      <c r="I611" s="25" t="n">
        <v>4.10587072372437</v>
      </c>
      <c r="J611" s="25" t="n">
        <v>1.00384393310547</v>
      </c>
      <c r="K611" s="25" t="n">
        <v>0.421698150634766</v>
      </c>
      <c r="L611" s="25" t="n">
        <v>0.177064971923828</v>
      </c>
      <c r="M611" s="25" t="n">
        <v>5.41418504714966</v>
      </c>
      <c r="N611" s="25" t="n">
        <v>110.920486450195</v>
      </c>
      <c r="O611" s="25" t="n">
        <v>366.136688232422</v>
      </c>
      <c r="P611" s="25" t="n">
        <v>206.310928344727</v>
      </c>
      <c r="Q611" s="25" t="n">
        <v>104.171279907227</v>
      </c>
      <c r="R611" s="25" t="n">
        <v>35.4670562744141</v>
      </c>
      <c r="S611" s="25" t="n">
        <v>1.46499884128571</v>
      </c>
      <c r="T611" s="25" t="n">
        <v>0.846268177032471</v>
      </c>
      <c r="U611" s="25" t="n">
        <v>0.0586213506758213</v>
      </c>
      <c r="V611" s="25" t="n">
        <v>1.71635377407074</v>
      </c>
      <c r="W611" s="25" t="n">
        <v>0.812109112739563</v>
      </c>
      <c r="X611" s="25" t="n">
        <v>13.7815618515015</v>
      </c>
      <c r="Y611" s="25" t="n">
        <v>1736.10266113281</v>
      </c>
      <c r="Z611" s="25" t="n">
        <v>0.157844662666321</v>
      </c>
      <c r="AA611" s="25" t="n">
        <v>111.305267333984</v>
      </c>
      <c r="AB611" s="25" t="n">
        <v>21.4863262176514</v>
      </c>
      <c r="AC611" s="25" t="n">
        <v>0.0616404972970486</v>
      </c>
      <c r="AD611" s="25" t="n">
        <v>0.385462909936905</v>
      </c>
      <c r="AE611" s="25" t="n">
        <v>0.382957637310028</v>
      </c>
      <c r="AF611" s="25" t="n">
        <v>0.451162070035934</v>
      </c>
      <c r="AG611" s="25" t="n">
        <v>0.137126550078392</v>
      </c>
      <c r="AH611" s="25" t="n">
        <v>1.91263031959534</v>
      </c>
      <c r="AI611" s="25" t="n">
        <v>30.123498916626</v>
      </c>
      <c r="AJ611" s="6" t="n">
        <v>203.2</v>
      </c>
      <c r="AK611" s="6" t="n">
        <v>110.5</v>
      </c>
      <c r="AL611" s="26"/>
    </row>
    <row r="612" customFormat="false" ht="15" hidden="false" customHeight="false" outlineLevel="0" collapsed="false">
      <c r="A612" s="6" t="s">
        <v>1873</v>
      </c>
      <c r="B612" s="6" t="s">
        <v>4015</v>
      </c>
      <c r="C612" s="6" t="s">
        <v>3007</v>
      </c>
      <c r="D612" s="13" t="n">
        <v>67.7418365478516</v>
      </c>
      <c r="E612" s="25" t="n">
        <v>3.89819931983948</v>
      </c>
      <c r="F612" s="25" t="n">
        <v>8.62153720855713</v>
      </c>
      <c r="G612" s="25" t="n">
        <v>2.02178287506104</v>
      </c>
      <c r="H612" s="25" t="n">
        <v>1.38916516304016</v>
      </c>
      <c r="I612" s="25" t="n">
        <v>8.1166582107544</v>
      </c>
      <c r="J612" s="25" t="n">
        <v>1.22845947265625</v>
      </c>
      <c r="K612" s="25" t="n">
        <v>0.539520141601563</v>
      </c>
      <c r="L612" s="25" t="n">
        <v>0.103783683776856</v>
      </c>
      <c r="M612" s="25" t="n">
        <v>6.92520761489868</v>
      </c>
      <c r="N612" s="25" t="n">
        <v>135.484390258789</v>
      </c>
      <c r="O612" s="25" t="n">
        <v>239.890838623047</v>
      </c>
      <c r="P612" s="25" t="n">
        <v>134.525314331055</v>
      </c>
      <c r="Q612" s="25" t="n">
        <v>114.147346496582</v>
      </c>
      <c r="R612" s="25" t="n">
        <v>18.8026638031006</v>
      </c>
      <c r="S612" s="25" t="n">
        <v>0.271008551120758</v>
      </c>
      <c r="T612" s="25" t="n">
        <v>0.495460838079453</v>
      </c>
      <c r="U612" s="25" t="n">
        <v>0.0346398875117302</v>
      </c>
      <c r="V612" s="25" t="n">
        <v>1.33511710166931</v>
      </c>
      <c r="W612" s="25" t="n">
        <v>0.446864753961563</v>
      </c>
      <c r="X612" s="25" t="n">
        <v>17.6278018951416</v>
      </c>
      <c r="Y612" s="25" t="n">
        <v>61.3447494506836</v>
      </c>
      <c r="Z612" s="25" t="n">
        <v>0.184651210904121</v>
      </c>
      <c r="AA612" s="25" t="n">
        <v>2.01586508750916</v>
      </c>
      <c r="AB612" s="25" t="n">
        <v>12.5198307037354</v>
      </c>
      <c r="AC612" s="25" t="n">
        <v>0.0586439184844494</v>
      </c>
      <c r="AD612" s="25" t="n">
        <v>0.181062713265419</v>
      </c>
      <c r="AE612" s="25" t="n">
        <v>0.184367924928665</v>
      </c>
      <c r="AF612" s="25" t="n">
        <v>0.368200689554215</v>
      </c>
      <c r="AG612" s="25" t="n">
        <v>0.107844367623329</v>
      </c>
      <c r="AH612" s="25" t="n">
        <v>2.05392217636108</v>
      </c>
      <c r="AI612" s="25" t="n">
        <v>17.4530334472656</v>
      </c>
      <c r="AJ612" s="6" t="n">
        <v>158.8</v>
      </c>
      <c r="AK612" s="6" t="n">
        <v>107.6</v>
      </c>
      <c r="AL612" s="26"/>
    </row>
    <row r="613" customFormat="false" ht="15" hidden="false" customHeight="false" outlineLevel="0" collapsed="false">
      <c r="A613" s="6" t="s">
        <v>4016</v>
      </c>
      <c r="B613" s="6" t="s">
        <v>4017</v>
      </c>
      <c r="C613" s="6" t="s">
        <v>3007</v>
      </c>
      <c r="D613" s="13" t="n">
        <v>89.0327529907227</v>
      </c>
      <c r="E613" s="25" t="n">
        <v>4.12799024581909</v>
      </c>
      <c r="F613" s="25" t="n">
        <v>13.5101051330566</v>
      </c>
      <c r="G613" s="25" t="n">
        <v>2.0721480846405</v>
      </c>
      <c r="H613" s="25" t="n">
        <v>0.995687484741211</v>
      </c>
      <c r="I613" s="25" t="n">
        <v>10.1123771667481</v>
      </c>
      <c r="J613" s="25" t="n">
        <v>1.24700329589844</v>
      </c>
      <c r="K613" s="25" t="n">
        <v>0.5342412109375</v>
      </c>
      <c r="L613" s="25" t="n">
        <v>0.130300933837891</v>
      </c>
      <c r="M613" s="25" t="n">
        <v>6.92520761489868</v>
      </c>
      <c r="N613" s="25" t="n">
        <v>135.427719116211</v>
      </c>
      <c r="O613" s="25" t="n">
        <v>308.828125</v>
      </c>
      <c r="P613" s="25" t="n">
        <v>133.231552124023</v>
      </c>
      <c r="Q613" s="25" t="n">
        <v>116.442108154297</v>
      </c>
      <c r="R613" s="25" t="n">
        <v>24.3239421844482</v>
      </c>
      <c r="S613" s="25" t="n">
        <v>0.308782428503037</v>
      </c>
      <c r="T613" s="25" t="n">
        <v>0.511199951171875</v>
      </c>
      <c r="U613" s="25" t="n">
        <v>0.0503789968788624</v>
      </c>
      <c r="V613" s="25" t="n">
        <v>1.30993449687958</v>
      </c>
      <c r="W613" s="25" t="n">
        <v>0.157265171408653</v>
      </c>
      <c r="X613" s="25" t="n">
        <v>17.6278018951416</v>
      </c>
      <c r="Y613" s="25" t="n">
        <v>116.019264221191</v>
      </c>
      <c r="Z613" s="25" t="n">
        <v>0.0713296383619309</v>
      </c>
      <c r="AA613" s="25" t="n">
        <v>1.95290863513947</v>
      </c>
      <c r="AB613" s="25" t="n">
        <v>3.60834813117981</v>
      </c>
      <c r="AC613" s="25" t="n">
        <v>0.0460526309907436</v>
      </c>
      <c r="AD613" s="25" t="n">
        <v>0.184210538864136</v>
      </c>
      <c r="AE613" s="25" t="n">
        <v>0.297689497470856</v>
      </c>
      <c r="AF613" s="25" t="n">
        <v>0.437452793121338</v>
      </c>
      <c r="AG613" s="25" t="n">
        <v>0.227461591362953</v>
      </c>
      <c r="AH613" s="25" t="n">
        <v>2.20816540718079</v>
      </c>
      <c r="AI613" s="25" t="n">
        <v>17.3648948669434</v>
      </c>
      <c r="AJ613" s="6" t="n">
        <v>158.8</v>
      </c>
      <c r="AK613" s="6" t="n">
        <v>141.4</v>
      </c>
      <c r="AL613" s="26"/>
    </row>
    <row r="614" customFormat="false" ht="15" hidden="false" customHeight="false" outlineLevel="0" collapsed="false">
      <c r="A614" s="6" t="s">
        <v>4018</v>
      </c>
      <c r="B614" s="6" t="s">
        <v>4019</v>
      </c>
      <c r="C614" s="6" t="s">
        <v>3007</v>
      </c>
      <c r="D614" s="13" t="n">
        <v>67.3656692504883</v>
      </c>
      <c r="E614" s="25" t="n">
        <v>3.90449500083923</v>
      </c>
      <c r="F614" s="25" t="n">
        <v>8.23120784759522</v>
      </c>
      <c r="G614" s="25" t="n">
        <v>2.14454793930054</v>
      </c>
      <c r="H614" s="25" t="n">
        <v>0.891809344291687</v>
      </c>
      <c r="I614" s="25" t="n">
        <v>7.86798048019409</v>
      </c>
      <c r="J614" s="25" t="n">
        <v>1.26589025878906</v>
      </c>
      <c r="K614" s="25" t="n">
        <v>0.571895446777344</v>
      </c>
      <c r="L614" s="25" t="n">
        <v>0.130300933837891</v>
      </c>
      <c r="M614" s="25" t="n">
        <v>6.92520761489868</v>
      </c>
      <c r="N614" s="25" t="n">
        <v>135.4560546875</v>
      </c>
      <c r="O614" s="25" t="n">
        <v>240.205612182617</v>
      </c>
      <c r="P614" s="25" t="n">
        <v>136.064590454102</v>
      </c>
      <c r="Q614" s="25" t="n">
        <v>113.363540649414</v>
      </c>
      <c r="R614" s="25" t="n">
        <v>19.0135669708252</v>
      </c>
      <c r="S614" s="25" t="n">
        <v>0.343408465385437</v>
      </c>
      <c r="T614" s="25" t="n">
        <v>0.501756489276886</v>
      </c>
      <c r="U614" s="25" t="n">
        <v>0.0440833531320095</v>
      </c>
      <c r="V614" s="25" t="n">
        <v>1.91116845607758</v>
      </c>
      <c r="W614" s="25" t="n">
        <v>0.113195672631264</v>
      </c>
      <c r="X614" s="25" t="n">
        <v>17.6278018951416</v>
      </c>
      <c r="Y614" s="25" t="n">
        <v>482.425720214844</v>
      </c>
      <c r="Z614" s="25" t="n">
        <v>0.131138250231743</v>
      </c>
      <c r="AA614" s="25" t="n">
        <v>2.76189875602722</v>
      </c>
      <c r="AB614" s="25" t="n">
        <v>11.4495725631714</v>
      </c>
      <c r="AC614" s="25" t="n">
        <v>0.0523482747375965</v>
      </c>
      <c r="AD614" s="25" t="n">
        <v>0.184210538864136</v>
      </c>
      <c r="AE614" s="25" t="n">
        <v>0.228437423706055</v>
      </c>
      <c r="AF614" s="25" t="n">
        <v>0.365052878856659</v>
      </c>
      <c r="AG614" s="25" t="n">
        <v>0.104696549475193</v>
      </c>
      <c r="AH614" s="25" t="n">
        <v>2.22705221176148</v>
      </c>
      <c r="AI614" s="25" t="n">
        <v>37.5487289428711</v>
      </c>
      <c r="AJ614" s="6" t="n">
        <v>158.8</v>
      </c>
      <c r="AK614" s="6" t="n">
        <v>107</v>
      </c>
      <c r="AL614" s="26"/>
    </row>
    <row r="615" customFormat="false" ht="15" hidden="false" customHeight="false" outlineLevel="0" collapsed="false">
      <c r="A615" s="6" t="s">
        <v>4020</v>
      </c>
      <c r="B615" s="6" t="s">
        <v>4021</v>
      </c>
      <c r="C615" s="6" t="s">
        <v>3007</v>
      </c>
      <c r="D615" s="13" t="n">
        <v>64.3563537597656</v>
      </c>
      <c r="E615" s="25" t="n">
        <v>4.18779897689819</v>
      </c>
      <c r="F615" s="25" t="n">
        <v>7.27112197875977</v>
      </c>
      <c r="G615" s="25" t="n">
        <v>2.0721480846405</v>
      </c>
      <c r="H615" s="25" t="n">
        <v>3.00399780273438</v>
      </c>
      <c r="I615" s="25" t="n">
        <v>6.71272993087769</v>
      </c>
      <c r="J615" s="25" t="n">
        <v>1.22789599609375</v>
      </c>
      <c r="K615" s="25" t="n">
        <v>0.540958679199219</v>
      </c>
      <c r="L615" s="25" t="n">
        <v>0.144151351928711</v>
      </c>
      <c r="M615" s="25" t="n">
        <v>6.92520761489868</v>
      </c>
      <c r="N615" s="25" t="n">
        <v>135.93766784668</v>
      </c>
      <c r="O615" s="25" t="n">
        <v>283.960327148438</v>
      </c>
      <c r="P615" s="25" t="n">
        <v>136.930236816406</v>
      </c>
      <c r="Q615" s="25" t="n">
        <v>117.288879394531</v>
      </c>
      <c r="R615" s="25" t="n">
        <v>19.6148014068604</v>
      </c>
      <c r="S615" s="25" t="n">
        <v>0.283599853515625</v>
      </c>
      <c r="T615" s="25" t="n">
        <v>0.536382496356964</v>
      </c>
      <c r="U615" s="25" t="n">
        <v>0.0629702806472778</v>
      </c>
      <c r="V615" s="25" t="n">
        <v>1.88913369178772</v>
      </c>
      <c r="W615" s="25" t="n">
        <v>0.113195672631264</v>
      </c>
      <c r="X615" s="25" t="n">
        <v>17.6278018951416</v>
      </c>
      <c r="Y615" s="25" t="n">
        <v>347.698944091797</v>
      </c>
      <c r="Z615" s="25" t="n">
        <v>0.0713296383619309</v>
      </c>
      <c r="AA615" s="25" t="n">
        <v>2.41878628730774</v>
      </c>
      <c r="AB615" s="25" t="n">
        <v>68.4345855712891</v>
      </c>
      <c r="AC615" s="25" t="n">
        <v>0.0586439184844494</v>
      </c>
      <c r="AD615" s="25" t="n">
        <v>0.184210538864136</v>
      </c>
      <c r="AE615" s="25" t="n">
        <v>0.335463374853134</v>
      </c>
      <c r="AF615" s="25" t="n">
        <v>0.405974566936493</v>
      </c>
      <c r="AG615" s="25" t="n">
        <v>0.101548731327057</v>
      </c>
      <c r="AH615" s="25" t="n">
        <v>1.95633959770203</v>
      </c>
      <c r="AI615" s="25" t="n">
        <v>21.0887680053711</v>
      </c>
      <c r="AJ615" s="6" t="n">
        <v>158.8</v>
      </c>
      <c r="AK615" s="6" t="n">
        <v>102.2</v>
      </c>
      <c r="AL615" s="26"/>
    </row>
    <row r="616" customFormat="false" ht="15" hidden="false" customHeight="false" outlineLevel="0" collapsed="false">
      <c r="A616" s="6" t="s">
        <v>4022</v>
      </c>
      <c r="B616" s="6" t="s">
        <v>4023</v>
      </c>
      <c r="C616" s="6" t="s">
        <v>3007</v>
      </c>
      <c r="D616" s="13" t="n">
        <v>72.5943603515625</v>
      </c>
      <c r="E616" s="25" t="n">
        <v>3.97532105445862</v>
      </c>
      <c r="F616" s="25" t="n">
        <v>9.65717029571533</v>
      </c>
      <c r="G616" s="25" t="n">
        <v>2.06742644309998</v>
      </c>
      <c r="H616" s="25" t="n">
        <v>0.709235727787018</v>
      </c>
      <c r="I616" s="25" t="n">
        <v>8.5085620880127</v>
      </c>
      <c r="J616" s="25" t="n">
        <v>1.24360681152344</v>
      </c>
      <c r="K616" s="25" t="n">
        <v>0.533465270996094</v>
      </c>
      <c r="L616" s="25" t="n">
        <v>0.129356582641602</v>
      </c>
      <c r="M616" s="25" t="n">
        <v>6.92520761489868</v>
      </c>
      <c r="N616" s="25" t="n">
        <v>135.635482788086</v>
      </c>
      <c r="O616" s="25" t="n">
        <v>247.917785644531</v>
      </c>
      <c r="P616" s="25" t="n">
        <v>134.520584106445</v>
      </c>
      <c r="Q616" s="25" t="n">
        <v>116.259536743164</v>
      </c>
      <c r="R616" s="25" t="n">
        <v>17.0682125091553</v>
      </c>
      <c r="S616" s="25" t="n">
        <v>0.255269438028336</v>
      </c>
      <c r="T616" s="25" t="n">
        <v>0.47972172498703</v>
      </c>
      <c r="U616" s="25" t="n">
        <v>0.0330659784376621</v>
      </c>
      <c r="V616" s="25" t="n">
        <v>1.30993449687958</v>
      </c>
      <c r="W616" s="25" t="n">
        <v>0.0675522536039352</v>
      </c>
      <c r="X616" s="25" t="n">
        <v>17.6278018951416</v>
      </c>
      <c r="Y616" s="25" t="n">
        <v>100.437545776367</v>
      </c>
      <c r="Z616" s="25" t="n">
        <v>0.0618861764669418</v>
      </c>
      <c r="AA616" s="25" t="n">
        <v>2.97752451896668</v>
      </c>
      <c r="AB616" s="25" t="n">
        <v>6.64284801483154</v>
      </c>
      <c r="AC616" s="25" t="n">
        <v>0.0523482747375965</v>
      </c>
      <c r="AD616" s="25" t="n">
        <v>0.17948879301548</v>
      </c>
      <c r="AE616" s="25" t="n">
        <v>0.18908965587616</v>
      </c>
      <c r="AF616" s="25" t="n">
        <v>0.349313765764237</v>
      </c>
      <c r="AG616" s="25" t="n">
        <v>0.0984009057283402</v>
      </c>
      <c r="AH616" s="25" t="n">
        <v>2.07280898094177</v>
      </c>
      <c r="AI616" s="25" t="n">
        <v>14.4027948379517</v>
      </c>
      <c r="AJ616" s="6" t="n">
        <v>158.8</v>
      </c>
      <c r="AK616" s="6" t="n">
        <v>115.3</v>
      </c>
      <c r="AL616" s="26"/>
    </row>
    <row r="617" customFormat="false" ht="15" hidden="false" customHeight="false" outlineLevel="0" collapsed="false">
      <c r="A617" s="6" t="s">
        <v>4024</v>
      </c>
      <c r="B617" s="6" t="s">
        <v>4025</v>
      </c>
      <c r="C617" s="6" t="s">
        <v>3007</v>
      </c>
      <c r="D617" s="13" t="n">
        <v>84.0734786987305</v>
      </c>
      <c r="E617" s="25" t="n">
        <v>2.70097875595093</v>
      </c>
      <c r="F617" s="25" t="n">
        <v>10.002121925354</v>
      </c>
      <c r="G617" s="25" t="n">
        <v>3.85684728622437</v>
      </c>
      <c r="H617" s="25" t="n">
        <v>0.546440005302429</v>
      </c>
      <c r="I617" s="25" t="n">
        <v>9.63035488128662</v>
      </c>
      <c r="J617" s="25" t="n">
        <v>2.06713330078125</v>
      </c>
      <c r="K617" s="25" t="n">
        <v>1.22436193847656</v>
      </c>
      <c r="L617" s="25" t="n">
        <v>0.22492155456543</v>
      </c>
      <c r="M617" s="25" t="n">
        <v>0</v>
      </c>
      <c r="N617" s="25" t="n">
        <v>19.6154460906982</v>
      </c>
      <c r="O617" s="25" t="n">
        <v>117.459098815918</v>
      </c>
      <c r="P617" s="25" t="n">
        <v>94.1785583496094</v>
      </c>
      <c r="Q617" s="25" t="n">
        <v>79.0986175537109</v>
      </c>
      <c r="R617" s="25" t="n">
        <v>11.5692939758301</v>
      </c>
      <c r="S617" s="25" t="n">
        <v>0.225113928318024</v>
      </c>
      <c r="T617" s="25" t="n">
        <v>0.315857321023941</v>
      </c>
      <c r="U617" s="25" t="n">
        <v>0.0490698553621769</v>
      </c>
      <c r="V617" s="25" t="n">
        <v>1.09188270568848</v>
      </c>
      <c r="W617" s="25" t="n">
        <v>0.123563691973686</v>
      </c>
      <c r="X617" s="25" t="n">
        <v>0</v>
      </c>
      <c r="Y617" s="25" t="n">
        <v>167.96369934082</v>
      </c>
      <c r="Z617" s="25" t="n">
        <v>0.382058292627335</v>
      </c>
      <c r="AA617" s="25" t="n">
        <v>0.473982036113739</v>
      </c>
      <c r="AB617" s="25" t="n">
        <v>2.31650352478027</v>
      </c>
      <c r="AC617" s="25" t="n">
        <v>0.029473289847374</v>
      </c>
      <c r="AD617" s="25" t="n">
        <v>0.0863167718052864</v>
      </c>
      <c r="AE617" s="25" t="n">
        <v>0.118516996502876</v>
      </c>
      <c r="AF617" s="25" t="n">
        <v>0.365113943815231</v>
      </c>
      <c r="AG617" s="25" t="n">
        <v>0.0346395224332809</v>
      </c>
      <c r="AH617" s="25" t="n">
        <v>1.98441541194916</v>
      </c>
      <c r="AI617" s="25" t="n">
        <v>13.3998394012451</v>
      </c>
      <c r="AJ617" s="6" t="n">
        <v>267.7</v>
      </c>
      <c r="AK617" s="6" t="n">
        <v>225.1</v>
      </c>
      <c r="AL617" s="26"/>
    </row>
    <row r="618" customFormat="false" ht="15" hidden="false" customHeight="false" outlineLevel="0" collapsed="false">
      <c r="A618" s="6" t="s">
        <v>4026</v>
      </c>
      <c r="B618" s="6" t="s">
        <v>4027</v>
      </c>
      <c r="C618" s="6" t="s">
        <v>3007</v>
      </c>
      <c r="D618" s="13" t="n">
        <v>86.3500900268555</v>
      </c>
      <c r="E618" s="25" t="n">
        <v>2.75887942314148</v>
      </c>
      <c r="F618" s="25" t="n">
        <v>10.4354429244995</v>
      </c>
      <c r="G618" s="25" t="n">
        <v>3.86245059967041</v>
      </c>
      <c r="H618" s="25" t="n">
        <v>0.628621578216553</v>
      </c>
      <c r="I618" s="25" t="n">
        <v>10.1178407669067</v>
      </c>
      <c r="J618" s="25" t="n">
        <v>2.0677197265625</v>
      </c>
      <c r="K618" s="25" t="n">
        <v>1.22781359863281</v>
      </c>
      <c r="L618" s="25" t="n">
        <v>0.2245087890625</v>
      </c>
      <c r="M618" s="25" t="n">
        <v>0</v>
      </c>
      <c r="N618" s="25" t="n">
        <v>20.9882507324219</v>
      </c>
      <c r="O618" s="25" t="n">
        <v>141.553237915039</v>
      </c>
      <c r="P618" s="25" t="n">
        <v>95.6055297851563</v>
      </c>
      <c r="Q618" s="25" t="n">
        <v>80.2510223388672</v>
      </c>
      <c r="R618" s="25" t="n">
        <v>11.475905418396</v>
      </c>
      <c r="S618" s="25" t="n">
        <v>0.243791565299034</v>
      </c>
      <c r="T618" s="25" t="n">
        <v>0.308386266231537</v>
      </c>
      <c r="U618" s="25" t="n">
        <v>0.0509376153349876</v>
      </c>
      <c r="V618" s="25" t="n">
        <v>0.830395936965942</v>
      </c>
      <c r="W618" s="25" t="n">
        <v>0.112357117235661</v>
      </c>
      <c r="X618" s="25" t="n">
        <v>0</v>
      </c>
      <c r="Y618" s="25" t="n">
        <v>420.836303710938</v>
      </c>
      <c r="Z618" s="25" t="n">
        <v>0.490388512611389</v>
      </c>
      <c r="AA618" s="25" t="n">
        <v>15.7149229049683</v>
      </c>
      <c r="AB618" s="25" t="n">
        <v>3.00944328308106</v>
      </c>
      <c r="AC618" s="25" t="n">
        <v>0.029473289847374</v>
      </c>
      <c r="AD618" s="25" t="n">
        <v>0.0900522992014885</v>
      </c>
      <c r="AE618" s="25" t="n">
        <v>0.168946579098702</v>
      </c>
      <c r="AF618" s="25" t="n">
        <v>0.294138967990875</v>
      </c>
      <c r="AG618" s="25" t="n">
        <v>0.0458460971713066</v>
      </c>
      <c r="AH618" s="25" t="n">
        <v>1.81258130073547</v>
      </c>
      <c r="AI618" s="25" t="n">
        <v>10.0658836364746</v>
      </c>
      <c r="AJ618" s="6" t="n">
        <v>267.7</v>
      </c>
      <c r="AK618" s="6" t="n">
        <v>231.2</v>
      </c>
      <c r="AL618" s="26"/>
    </row>
    <row r="619" customFormat="false" ht="15" hidden="false" customHeight="false" outlineLevel="0" collapsed="false">
      <c r="A619" s="6" t="s">
        <v>4028</v>
      </c>
      <c r="B619" s="6" t="s">
        <v>4029</v>
      </c>
      <c r="C619" s="6" t="s">
        <v>3007</v>
      </c>
      <c r="D619" s="13" t="n">
        <v>81.295051574707</v>
      </c>
      <c r="E619" s="25" t="n">
        <v>2.13735580444336</v>
      </c>
      <c r="F619" s="25" t="n">
        <v>11.3445110321045</v>
      </c>
      <c r="G619" s="25" t="n">
        <v>3.18001675605774</v>
      </c>
      <c r="H619" s="25" t="n">
        <v>0.510307908058167</v>
      </c>
      <c r="I619" s="25" t="n">
        <v>10.7054538726807</v>
      </c>
      <c r="J619" s="25" t="n">
        <v>1.68016589355469</v>
      </c>
      <c r="K619" s="25" t="n">
        <v>0.992294067382813</v>
      </c>
      <c r="L619" s="25" t="n">
        <v>0.213596130371094</v>
      </c>
      <c r="M619" s="25" t="n">
        <v>0</v>
      </c>
      <c r="N619" s="25" t="n">
        <v>15.8558025360107</v>
      </c>
      <c r="O619" s="25" t="n">
        <v>93.4082717895508</v>
      </c>
      <c r="P619" s="25" t="n">
        <v>75.668083190918</v>
      </c>
      <c r="Q619" s="25" t="n">
        <v>62.8257751464844</v>
      </c>
      <c r="R619" s="25" t="n">
        <v>8.91209888458252</v>
      </c>
      <c r="S619" s="25" t="n">
        <v>0.184302911162376</v>
      </c>
      <c r="T619" s="25" t="n">
        <v>0.246629908680916</v>
      </c>
      <c r="U619" s="25" t="n">
        <v>0.0397879481315613</v>
      </c>
      <c r="V619" s="25" t="n">
        <v>0.683178782463074</v>
      </c>
      <c r="W619" s="25" t="n">
        <v>0.0878255516290665</v>
      </c>
      <c r="X619" s="25" t="n">
        <v>0</v>
      </c>
      <c r="Y619" s="25" t="n">
        <v>155.266326904297</v>
      </c>
      <c r="Z619" s="25" t="n">
        <v>0.326947301626205</v>
      </c>
      <c r="AA619" s="25" t="n">
        <v>0.614313006401062</v>
      </c>
      <c r="AB619" s="25" t="n">
        <v>1.74968218803406</v>
      </c>
      <c r="AC619" s="25" t="n">
        <v>0.0237147025763989</v>
      </c>
      <c r="AD619" s="25" t="n">
        <v>0.0694519132375717</v>
      </c>
      <c r="AE619" s="25" t="n">
        <v>0.11189191788435</v>
      </c>
      <c r="AF619" s="25" t="n">
        <v>0.223143622279167</v>
      </c>
      <c r="AG619" s="25" t="n">
        <v>0.0308772027492523</v>
      </c>
      <c r="AH619" s="25" t="n">
        <v>1.26456773281097</v>
      </c>
      <c r="AI619" s="25" t="n">
        <v>4.92820072174072</v>
      </c>
      <c r="AJ619" s="6" t="n">
        <v>332.7</v>
      </c>
      <c r="AK619" s="6" t="n">
        <v>270.5</v>
      </c>
      <c r="AL619" s="26"/>
    </row>
    <row r="620" customFormat="false" ht="15" hidden="false" customHeight="false" outlineLevel="0" collapsed="false">
      <c r="A620" s="6" t="s">
        <v>4030</v>
      </c>
      <c r="B620" s="6" t="s">
        <v>4031</v>
      </c>
      <c r="C620" s="6" t="s">
        <v>3732</v>
      </c>
      <c r="D620" s="13" t="n">
        <v>122.696449279785</v>
      </c>
      <c r="E620" s="25" t="n">
        <v>5.11321496963501</v>
      </c>
      <c r="F620" s="25" t="n">
        <v>14.9547672271729</v>
      </c>
      <c r="G620" s="25" t="n">
        <v>5.00900220870972</v>
      </c>
      <c r="H620" s="25" t="n">
        <v>0</v>
      </c>
      <c r="I620" s="25" t="n">
        <v>14.9215078353882</v>
      </c>
      <c r="J620" s="25" t="n">
        <v>2.45656323242188</v>
      </c>
      <c r="K620" s="25" t="n">
        <v>1.5794013671875</v>
      </c>
      <c r="L620" s="25" t="n">
        <v>0.347237243652344</v>
      </c>
      <c r="M620" s="25" t="n">
        <v>81.1529922485352</v>
      </c>
      <c r="N620" s="25" t="n">
        <v>44.7827033996582</v>
      </c>
      <c r="O620" s="25" t="n">
        <v>107.977828979492</v>
      </c>
      <c r="P620" s="25" t="n">
        <v>90.5875854492188</v>
      </c>
      <c r="Q620" s="25" t="n">
        <v>105.374717712402</v>
      </c>
      <c r="R620" s="25" t="n">
        <v>8.41906929016113</v>
      </c>
      <c r="S620" s="25" t="n">
        <v>0.525765001773834</v>
      </c>
      <c r="T620" s="25" t="n">
        <v>0.503569841384888</v>
      </c>
      <c r="U620" s="25" t="n">
        <v>0.0489401333034039</v>
      </c>
      <c r="V620" s="25" t="n">
        <v>9.59866905212402</v>
      </c>
      <c r="W620" s="25" t="n">
        <v>0.0115964524447918</v>
      </c>
      <c r="X620" s="25" t="n">
        <v>43.9024391174316</v>
      </c>
      <c r="Y620" s="25" t="n">
        <v>162.971176147461</v>
      </c>
      <c r="Z620" s="25" t="n">
        <v>0.481153011322022</v>
      </c>
      <c r="AA620" s="25" t="n">
        <v>0</v>
      </c>
      <c r="AB620" s="25" t="n">
        <v>1.33702886104584</v>
      </c>
      <c r="AC620" s="25" t="n">
        <v>0.0332838147878647</v>
      </c>
      <c r="AD620" s="25" t="n">
        <v>0.115509979426861</v>
      </c>
      <c r="AE620" s="25" t="n">
        <v>0.0785476714372635</v>
      </c>
      <c r="AF620" s="25" t="n">
        <v>0.552184045314789</v>
      </c>
      <c r="AG620" s="25" t="n">
        <v>0.0621419064700604</v>
      </c>
      <c r="AH620" s="25" t="n">
        <v>5.36141920089722</v>
      </c>
      <c r="AI620" s="25" t="n">
        <v>15.6119737625122</v>
      </c>
      <c r="AJ620" s="6" t="n">
        <v>225.5</v>
      </c>
      <c r="AK620" s="6" t="n">
        <v>276.7</v>
      </c>
      <c r="AL620" s="26"/>
    </row>
    <row r="621" customFormat="false" ht="15" hidden="false" customHeight="false" outlineLevel="0" collapsed="false">
      <c r="A621" s="6" t="s">
        <v>2197</v>
      </c>
      <c r="B621" s="6" t="s">
        <v>4032</v>
      </c>
      <c r="C621" s="6" t="s">
        <v>4033</v>
      </c>
      <c r="D621" s="13" t="n">
        <v>228.672760009766</v>
      </c>
      <c r="E621" s="25" t="n">
        <v>2.68803811073303</v>
      </c>
      <c r="F621" s="25" t="n">
        <v>14.2052421569824</v>
      </c>
      <c r="G621" s="25" t="n">
        <v>18.145544052124</v>
      </c>
      <c r="H621" s="25" t="n">
        <v>0</v>
      </c>
      <c r="I621" s="25" t="n">
        <v>13.4506750106812</v>
      </c>
      <c r="J621" s="25" t="n">
        <v>11.3107548828125</v>
      </c>
      <c r="K621" s="25" t="n">
        <v>5.2219541015625</v>
      </c>
      <c r="L621" s="25" t="n">
        <v>0.516930908203125</v>
      </c>
      <c r="M621" s="25" t="n">
        <v>41.6997604370117</v>
      </c>
      <c r="N621" s="25" t="n">
        <v>23.965051651001</v>
      </c>
      <c r="O621" s="25" t="n">
        <v>89.9579010009766</v>
      </c>
      <c r="P621" s="25" t="n">
        <v>81.2660827636719</v>
      </c>
      <c r="Q621" s="25" t="n">
        <v>69.8252563476563</v>
      </c>
      <c r="R621" s="25" t="n">
        <v>6.63304233551025</v>
      </c>
      <c r="S621" s="25" t="n">
        <v>0.100063540041447</v>
      </c>
      <c r="T621" s="25" t="n">
        <v>0.251342326402664</v>
      </c>
      <c r="U621" s="25" t="n">
        <v>0.0261620339006186</v>
      </c>
      <c r="V621" s="25" t="n">
        <v>0.52819699048996</v>
      </c>
      <c r="W621" s="25" t="n">
        <v>0.00601270841434598</v>
      </c>
      <c r="X621" s="25" t="n">
        <v>158.459091186523</v>
      </c>
      <c r="Y621" s="25" t="n">
        <v>193.407470703125</v>
      </c>
      <c r="Z621" s="25" t="n">
        <v>0.629070699214935</v>
      </c>
      <c r="AA621" s="25" t="n">
        <v>0</v>
      </c>
      <c r="AB621" s="25" t="n">
        <v>1.35504376888275</v>
      </c>
      <c r="AC621" s="25" t="n">
        <v>0.022433677688241</v>
      </c>
      <c r="AD621" s="25" t="n">
        <v>0.120238289237022</v>
      </c>
      <c r="AE621" s="25" t="n">
        <v>0.0394757725298405</v>
      </c>
      <c r="AF621" s="25" t="n">
        <v>0.249515488743782</v>
      </c>
      <c r="AG621" s="25" t="n">
        <v>0.0350309759378433</v>
      </c>
      <c r="AH621" s="25" t="n">
        <v>1.49960291385651</v>
      </c>
      <c r="AI621" s="25" t="n">
        <v>6.14614772796631</v>
      </c>
      <c r="AJ621" s="6" t="n">
        <v>157.4</v>
      </c>
      <c r="AK621" s="6" t="n">
        <v>359.9</v>
      </c>
      <c r="AL621" s="26"/>
    </row>
    <row r="622" customFormat="false" ht="15" hidden="false" customHeight="false" outlineLevel="0" collapsed="false">
      <c r="A622" s="6" t="s">
        <v>4034</v>
      </c>
      <c r="B622" s="6" t="s">
        <v>4035</v>
      </c>
      <c r="C622" s="6" t="s">
        <v>4033</v>
      </c>
      <c r="D622" s="13" t="n">
        <v>214.850372314453</v>
      </c>
      <c r="E622" s="25" t="n">
        <v>4.16441679000855</v>
      </c>
      <c r="F622" s="25" t="n">
        <v>11.7076606750488</v>
      </c>
      <c r="G622" s="25" t="n">
        <v>17.024320602417</v>
      </c>
      <c r="H622" s="25" t="n">
        <v>0</v>
      </c>
      <c r="I622" s="25" t="n">
        <v>11.6869564056397</v>
      </c>
      <c r="J622" s="25" t="n">
        <v>10.235224609375</v>
      </c>
      <c r="K622" s="25" t="n">
        <v>5.0170048828125</v>
      </c>
      <c r="L622" s="25" t="n">
        <v>0.606084167480469</v>
      </c>
      <c r="M622" s="25" t="n">
        <v>86.7494812011719</v>
      </c>
      <c r="N622" s="25" t="n">
        <v>37.7239456176758</v>
      </c>
      <c r="O622" s="25" t="n">
        <v>97.189094543457</v>
      </c>
      <c r="P622" s="25" t="n">
        <v>77.4202880859375</v>
      </c>
      <c r="Q622" s="25" t="n">
        <v>86.0869522094727</v>
      </c>
      <c r="R622" s="25" t="n">
        <v>7.40717744827271</v>
      </c>
      <c r="S622" s="25" t="n">
        <v>0.337460309267044</v>
      </c>
      <c r="T622" s="25" t="n">
        <v>0.38470670580864</v>
      </c>
      <c r="U622" s="25" t="n">
        <v>0.0323933735489845</v>
      </c>
      <c r="V622" s="25" t="n">
        <v>6.04071760177612</v>
      </c>
      <c r="W622" s="25" t="n">
        <v>0.00798481702804565</v>
      </c>
      <c r="X622" s="25" t="n">
        <v>165.010345458984</v>
      </c>
      <c r="Y622" s="25" t="n">
        <v>186.680465698242</v>
      </c>
      <c r="Z622" s="25" t="n">
        <v>0.755003452301025</v>
      </c>
      <c r="AA622" s="25" t="n">
        <v>0</v>
      </c>
      <c r="AB622" s="25" t="n">
        <v>1.17736375331879</v>
      </c>
      <c r="AC622" s="25" t="n">
        <v>0.0276356115937233</v>
      </c>
      <c r="AD622" s="25" t="n">
        <v>0.130697041749954</v>
      </c>
      <c r="AE622" s="25" t="n">
        <v>0.0494824014604092</v>
      </c>
      <c r="AF622" s="25" t="n">
        <v>0.41969633102417</v>
      </c>
      <c r="AG622" s="25" t="n">
        <v>0.0525217391550541</v>
      </c>
      <c r="AH622" s="25" t="n">
        <v>3.82056593894959</v>
      </c>
      <c r="AI622" s="25" t="n">
        <v>12.133885383606</v>
      </c>
      <c r="AJ622" s="6" t="n">
        <v>181.1</v>
      </c>
      <c r="AK622" s="6" t="n">
        <v>389.1</v>
      </c>
      <c r="AL622" s="26"/>
    </row>
    <row r="623" customFormat="false" ht="15" hidden="false" customHeight="false" outlineLevel="0" collapsed="false">
      <c r="A623" s="6" t="s">
        <v>4036</v>
      </c>
      <c r="B623" s="6" t="s">
        <v>4037</v>
      </c>
      <c r="C623" s="6" t="s">
        <v>4033</v>
      </c>
      <c r="D623" s="13" t="n">
        <v>215.60563659668</v>
      </c>
      <c r="E623" s="25" t="n">
        <v>4.15120267868042</v>
      </c>
      <c r="F623" s="25" t="n">
        <v>12.2570447921753</v>
      </c>
      <c r="G623" s="25" t="n">
        <v>16.9587631225586</v>
      </c>
      <c r="H623" s="25" t="n">
        <v>0</v>
      </c>
      <c r="I623" s="25" t="n">
        <v>11.6041240692139</v>
      </c>
      <c r="J623" s="25" t="n">
        <v>10.1936767578125</v>
      </c>
      <c r="K623" s="25" t="n">
        <v>4.99697607421875</v>
      </c>
      <c r="L623" s="25" t="n">
        <v>0.6056357421875</v>
      </c>
      <c r="M623" s="25" t="n">
        <v>86.3917541503906</v>
      </c>
      <c r="N623" s="25" t="n">
        <v>37.6192436218262</v>
      </c>
      <c r="O623" s="25" t="n">
        <v>96.4020614624023</v>
      </c>
      <c r="P623" s="25" t="n">
        <v>77.0845336914063</v>
      </c>
      <c r="Q623" s="25" t="n">
        <v>85.8322982788086</v>
      </c>
      <c r="R623" s="25" t="n">
        <v>7.35738849639893</v>
      </c>
      <c r="S623" s="25" t="n">
        <v>0.336426109075546</v>
      </c>
      <c r="T623" s="25" t="n">
        <v>0.38625431060791</v>
      </c>
      <c r="U623" s="25" t="n">
        <v>0.0320618562400341</v>
      </c>
      <c r="V623" s="25" t="n">
        <v>6.01580715179443</v>
      </c>
      <c r="W623" s="25" t="n">
        <v>0.00731958728283644</v>
      </c>
      <c r="X623" s="25" t="n">
        <v>164.329895019531</v>
      </c>
      <c r="Y623" s="25" t="n">
        <v>185.910659790039</v>
      </c>
      <c r="Z623" s="25" t="n">
        <v>0.751890003681183</v>
      </c>
      <c r="AA623" s="25" t="n">
        <v>0</v>
      </c>
      <c r="AB623" s="25" t="n">
        <v>1.17250859737396</v>
      </c>
      <c r="AC623" s="25" t="n">
        <v>0.0276288669556379</v>
      </c>
      <c r="AD623" s="25" t="n">
        <v>0.129896908998489</v>
      </c>
      <c r="AE623" s="25" t="n">
        <v>0.0481099635362625</v>
      </c>
      <c r="AF623" s="25" t="n">
        <v>0.417869418859482</v>
      </c>
      <c r="AG623" s="25" t="n">
        <v>0.0522336773574352</v>
      </c>
      <c r="AH623" s="25" t="n">
        <v>3.80481100082398</v>
      </c>
      <c r="AI623" s="25" t="n">
        <v>12.0975942611694</v>
      </c>
      <c r="AJ623" s="6" t="n">
        <v>181.9</v>
      </c>
      <c r="AK623" s="6" t="n">
        <v>392.1</v>
      </c>
      <c r="AL623" s="26"/>
    </row>
    <row r="624" customFormat="false" ht="15" hidden="false" customHeight="false" outlineLevel="0" collapsed="false">
      <c r="A624" s="6" t="s">
        <v>4038</v>
      </c>
      <c r="B624" s="6" t="s">
        <v>4039</v>
      </c>
      <c r="C624" s="6" t="s">
        <v>4033</v>
      </c>
      <c r="D624" s="13" t="n">
        <v>241.445892333984</v>
      </c>
      <c r="E624" s="25" t="n">
        <v>4.22570514678955</v>
      </c>
      <c r="F624" s="25" t="n">
        <v>16.7548580169678</v>
      </c>
      <c r="G624" s="25" t="n">
        <v>17.9279003143311</v>
      </c>
      <c r="H624" s="25" t="n">
        <v>0</v>
      </c>
      <c r="I624" s="25" t="n">
        <v>16.0802516937256</v>
      </c>
      <c r="J624" s="25" t="n">
        <v>10.7735419921875</v>
      </c>
      <c r="K624" s="25" t="n">
        <v>5.34833837890625</v>
      </c>
      <c r="L624" s="25" t="n">
        <v>0.640250793457031</v>
      </c>
      <c r="M624" s="25" t="n">
        <v>79.3354263305664</v>
      </c>
      <c r="N624" s="25" t="n">
        <v>34.8438873291016</v>
      </c>
      <c r="O624" s="25" t="n">
        <v>114.272727966309</v>
      </c>
      <c r="P624" s="25" t="n">
        <v>73.2150497436523</v>
      </c>
      <c r="Q624" s="25" t="n">
        <v>90.5868301391602</v>
      </c>
      <c r="R624" s="25" t="n">
        <v>14.5235109329224</v>
      </c>
      <c r="S624" s="25" t="n">
        <v>0.508777439594269</v>
      </c>
      <c r="T624" s="25" t="n">
        <v>0.466457664966583</v>
      </c>
      <c r="U624" s="25" t="n">
        <v>0.0915673971176148</v>
      </c>
      <c r="V624" s="25" t="n">
        <v>5.83887147903442</v>
      </c>
      <c r="W624" s="25" t="n">
        <v>0.0619749203324318</v>
      </c>
      <c r="X624" s="25" t="n">
        <v>151.222564697266</v>
      </c>
      <c r="Y624" s="25" t="n">
        <v>170.909088134766</v>
      </c>
      <c r="Z624" s="25" t="n">
        <v>0.812288403511047</v>
      </c>
      <c r="AA624" s="25" t="n">
        <v>0.201880872249603</v>
      </c>
      <c r="AB624" s="25" t="n">
        <v>1.06959247589111</v>
      </c>
      <c r="AC624" s="25" t="n">
        <v>0.0287147331982851</v>
      </c>
      <c r="AD624" s="25" t="n">
        <v>0.123761758208275</v>
      </c>
      <c r="AE624" s="25" t="n">
        <v>0.078996866941452</v>
      </c>
      <c r="AF624" s="25" t="n">
        <v>0.407523512840271</v>
      </c>
      <c r="AG624" s="25" t="n">
        <v>0.0502821318805218</v>
      </c>
      <c r="AH624" s="25" t="n">
        <v>3.73416924476624</v>
      </c>
      <c r="AI624" s="25" t="n">
        <v>12.0890283584595</v>
      </c>
      <c r="AJ624" s="6" t="n">
        <v>199.4</v>
      </c>
      <c r="AK624" s="6" t="n">
        <v>481.4</v>
      </c>
      <c r="AL624" s="26"/>
    </row>
    <row r="625" customFormat="false" ht="15" hidden="false" customHeight="false" outlineLevel="0" collapsed="false">
      <c r="A625" s="6" t="s">
        <v>4040</v>
      </c>
      <c r="B625" s="6" t="s">
        <v>4041</v>
      </c>
      <c r="C625" s="6" t="s">
        <v>4042</v>
      </c>
      <c r="D625" s="13" t="n">
        <v>273.956115722656</v>
      </c>
      <c r="E625" s="25" t="n">
        <v>5.04056549072266</v>
      </c>
      <c r="F625" s="25" t="n">
        <v>23.1273860931397</v>
      </c>
      <c r="G625" s="25" t="n">
        <v>18.4907836914063</v>
      </c>
      <c r="H625" s="25" t="n">
        <v>0.507021546363831</v>
      </c>
      <c r="I625" s="25" t="n">
        <v>21.0198516845703</v>
      </c>
      <c r="J625" s="25" t="n">
        <v>9.2054365234375</v>
      </c>
      <c r="K625" s="25" t="n">
        <v>6.886580078125</v>
      </c>
      <c r="L625" s="25" t="n">
        <v>1.2714228515625</v>
      </c>
      <c r="M625" s="25" t="n">
        <v>65.6513137817383</v>
      </c>
      <c r="N625" s="25" t="n">
        <v>29.8322067260742</v>
      </c>
      <c r="O625" s="25" t="n">
        <v>145.808197021484</v>
      </c>
      <c r="P625" s="25" t="n">
        <v>67.3801879882813</v>
      </c>
      <c r="Q625" s="25" t="n">
        <v>115.160202026367</v>
      </c>
      <c r="R625" s="25" t="n">
        <v>37.4954795837402</v>
      </c>
      <c r="S625" s="25" t="n">
        <v>0.887819945812225</v>
      </c>
      <c r="T625" s="25" t="n">
        <v>0.802902579307556</v>
      </c>
      <c r="U625" s="25" t="n">
        <v>0.2457604855299</v>
      </c>
      <c r="V625" s="25" t="n">
        <v>5.73217582702637</v>
      </c>
      <c r="W625" s="25" t="n">
        <v>0.208371981978416</v>
      </c>
      <c r="X625" s="25" t="n">
        <v>125.064971923828</v>
      </c>
      <c r="Y625" s="25" t="n">
        <v>142.77018737793</v>
      </c>
      <c r="Z625" s="25" t="n">
        <v>1.22779500484467</v>
      </c>
      <c r="AA625" s="25" t="n">
        <v>0.40033683180809</v>
      </c>
      <c r="AB625" s="25" t="n">
        <v>0.900326430797577</v>
      </c>
      <c r="AC625" s="25" t="n">
        <v>0.0680819228291512</v>
      </c>
      <c r="AD625" s="25" t="n">
        <v>0.108202517032623</v>
      </c>
      <c r="AE625" s="25" t="n">
        <v>0.196590080857277</v>
      </c>
      <c r="AF625" s="25" t="n">
        <v>0.442216455936432</v>
      </c>
      <c r="AG625" s="25" t="n">
        <v>0.0538226403295994</v>
      </c>
      <c r="AH625" s="25" t="n">
        <v>3.2564799785614</v>
      </c>
      <c r="AI625" s="25" t="n">
        <v>12.1905145645142</v>
      </c>
      <c r="AJ625" s="6" t="n">
        <v>240.5</v>
      </c>
      <c r="AK625" s="6" t="n">
        <v>658.8</v>
      </c>
      <c r="AL625" s="26"/>
    </row>
    <row r="626" customFormat="false" ht="15" hidden="false" customHeight="false" outlineLevel="0" collapsed="false">
      <c r="A626" s="6" t="s">
        <v>4043</v>
      </c>
      <c r="B626" s="6" t="s">
        <v>4044</v>
      </c>
      <c r="C626" s="6" t="s">
        <v>4042</v>
      </c>
      <c r="D626" s="13" t="n">
        <v>183.487350463867</v>
      </c>
      <c r="E626" s="25" t="n">
        <v>2.08448719978333</v>
      </c>
      <c r="F626" s="25" t="n">
        <v>15.0153026580811</v>
      </c>
      <c r="G626" s="25" t="n">
        <v>13.1110925674439</v>
      </c>
      <c r="H626" s="25" t="n">
        <v>0.0736717954277992</v>
      </c>
      <c r="I626" s="25" t="n">
        <v>14.4056053161621</v>
      </c>
      <c r="J626" s="25" t="n">
        <v>7.99280908203125</v>
      </c>
      <c r="K626" s="25" t="n">
        <v>3.87606982421875</v>
      </c>
      <c r="L626" s="25" t="n">
        <v>0.443477447509766</v>
      </c>
      <c r="M626" s="25" t="n">
        <v>29.1076927185059</v>
      </c>
      <c r="N626" s="25" t="n">
        <v>16.2607688903809</v>
      </c>
      <c r="O626" s="25" t="n">
        <v>91.1825637817383</v>
      </c>
      <c r="P626" s="25" t="n">
        <v>56.6676940917969</v>
      </c>
      <c r="Q626" s="25" t="n">
        <v>56.2851257324219</v>
      </c>
      <c r="R626" s="25" t="n">
        <v>12.332820892334</v>
      </c>
      <c r="S626" s="25" t="n">
        <v>0.23921537399292</v>
      </c>
      <c r="T626" s="25" t="n">
        <v>0.274328202009201</v>
      </c>
      <c r="U626" s="25" t="n">
        <v>0.068009227514267</v>
      </c>
      <c r="V626" s="25" t="n">
        <v>0.361389726400375</v>
      </c>
      <c r="W626" s="25" t="n">
        <v>0.01821025647223</v>
      </c>
      <c r="X626" s="25" t="n">
        <v>112.133331298828</v>
      </c>
      <c r="Y626" s="25" t="n">
        <v>131.581741333008</v>
      </c>
      <c r="Z626" s="25" t="n">
        <v>0.577979505062103</v>
      </c>
      <c r="AA626" s="25" t="n">
        <v>0.138666674494743</v>
      </c>
      <c r="AB626" s="25" t="n">
        <v>1.3713538646698</v>
      </c>
      <c r="AC626" s="25" t="n">
        <v>0.0186123084276915</v>
      </c>
      <c r="AD626" s="25" t="n">
        <v>0.0820717960596085</v>
      </c>
      <c r="AE626" s="25" t="n">
        <v>0.0966717973351479</v>
      </c>
      <c r="AF626" s="25" t="n">
        <v>0.172292307019234</v>
      </c>
      <c r="AG626" s="25" t="n">
        <v>0.0287661533802748</v>
      </c>
      <c r="AH626" s="25" t="n">
        <v>1.01655900478363</v>
      </c>
      <c r="AI626" s="25" t="n">
        <v>5.22003078460693</v>
      </c>
      <c r="AJ626" s="6" t="n">
        <v>243.7</v>
      </c>
      <c r="AK626" s="6" t="n">
        <v>447.3</v>
      </c>
      <c r="AL626" s="26"/>
    </row>
    <row r="627" customFormat="false" ht="15" hidden="false" customHeight="false" outlineLevel="0" collapsed="false">
      <c r="A627" s="6" t="s">
        <v>4045</v>
      </c>
      <c r="B627" s="6" t="s">
        <v>4046</v>
      </c>
      <c r="C627" s="6" t="s">
        <v>3536</v>
      </c>
      <c r="D627" s="13" t="n">
        <v>263.200012207031</v>
      </c>
      <c r="E627" s="25" t="n">
        <v>1.9099999666214</v>
      </c>
      <c r="F627" s="25" t="n">
        <v>43.2099990844727</v>
      </c>
      <c r="G627" s="25" t="n">
        <v>10.3900003433228</v>
      </c>
      <c r="H627" s="25" t="n">
        <v>0</v>
      </c>
      <c r="I627" s="25" t="n">
        <v>42.060001373291</v>
      </c>
      <c r="J627" s="25" t="n">
        <v>6.489</v>
      </c>
      <c r="K627" s="25" t="n">
        <v>2.811</v>
      </c>
      <c r="L627" s="25" t="n">
        <v>0.343</v>
      </c>
      <c r="M627" s="25" t="n">
        <v>21.2999992370606</v>
      </c>
      <c r="N627" s="25" t="n">
        <v>2.79999995231628</v>
      </c>
      <c r="O627" s="25" t="n">
        <v>154.699996948242</v>
      </c>
      <c r="P627" s="25" t="n">
        <v>18.7999992370606</v>
      </c>
      <c r="Q627" s="25" t="n">
        <v>68.6999969482422</v>
      </c>
      <c r="R627" s="25" t="n">
        <v>53</v>
      </c>
      <c r="S627" s="25" t="n">
        <v>1.12999999523163</v>
      </c>
      <c r="T627" s="25" t="n">
        <v>0.740000009536743</v>
      </c>
      <c r="U627" s="25" t="n">
        <v>0.438999980688095</v>
      </c>
      <c r="V627" s="25" t="n">
        <v>0</v>
      </c>
      <c r="W627" s="25" t="n">
        <v>0</v>
      </c>
      <c r="X627" s="25" t="n">
        <v>95.8000030517578</v>
      </c>
      <c r="Y627" s="25" t="n">
        <v>64.8000030517578</v>
      </c>
      <c r="Z627" s="25" t="n">
        <v>0.253000020980835</v>
      </c>
      <c r="AA627" s="25" t="n">
        <v>0.889999985694885</v>
      </c>
      <c r="AB627" s="25" t="n">
        <v>0</v>
      </c>
      <c r="AC627" s="25" t="n">
        <v>0.0160000007599592</v>
      </c>
      <c r="AD627" s="25" t="n">
        <v>0.0130000002682209</v>
      </c>
      <c r="AE627" s="25" t="n">
        <v>0.170000001788139</v>
      </c>
      <c r="AF627" s="25" t="n">
        <v>0.00499999988824129</v>
      </c>
      <c r="AG627" s="25" t="n">
        <v>0.00700000021606684</v>
      </c>
      <c r="AH627" s="25" t="n">
        <v>0.0199999995529652</v>
      </c>
      <c r="AI627" s="25" t="n">
        <v>3.79999995231628</v>
      </c>
      <c r="AJ627" s="6" t="n">
        <v>16.7</v>
      </c>
      <c r="AK627" s="6" t="n">
        <v>43.9</v>
      </c>
      <c r="AL627" s="26"/>
    </row>
    <row r="628" customFormat="false" ht="15" hidden="false" customHeight="false" outlineLevel="0" collapsed="false">
      <c r="A628" s="6" t="s">
        <v>4047</v>
      </c>
      <c r="B628" s="6" t="s">
        <v>4048</v>
      </c>
      <c r="C628" s="6" t="s">
        <v>4033</v>
      </c>
      <c r="D628" s="13" t="n">
        <v>150.619964599609</v>
      </c>
      <c r="E628" s="25" t="n">
        <v>3.1474301815033</v>
      </c>
      <c r="F628" s="25" t="n">
        <v>14.0895252227783</v>
      </c>
      <c r="G628" s="25" t="n">
        <v>9.43032360076904</v>
      </c>
      <c r="H628" s="25" t="n">
        <v>0</v>
      </c>
      <c r="I628" s="25" t="n">
        <v>13.3480033874512</v>
      </c>
      <c r="J628" s="25" t="n">
        <v>5.1903994140625</v>
      </c>
      <c r="K628" s="25" t="n">
        <v>2.30767138671875</v>
      </c>
      <c r="L628" s="25" t="n">
        <v>0.368195922851563</v>
      </c>
      <c r="M628" s="25" t="n">
        <v>22.2305946350098</v>
      </c>
      <c r="N628" s="25" t="n">
        <v>42.0856056213379</v>
      </c>
      <c r="O628" s="25" t="n">
        <v>132.175582885742</v>
      </c>
      <c r="P628" s="25" t="n">
        <v>95.7151489257813</v>
      </c>
      <c r="Q628" s="25" t="n">
        <v>84.9160537719727</v>
      </c>
      <c r="R628" s="25" t="n">
        <v>9.78734016418457</v>
      </c>
      <c r="S628" s="25" t="n">
        <v>0.148289367556572</v>
      </c>
      <c r="T628" s="25" t="n">
        <v>0.305229842662811</v>
      </c>
      <c r="U628" s="25" t="n">
        <v>0.0344370752573013</v>
      </c>
      <c r="V628" s="25" t="n">
        <v>2.3315749168396</v>
      </c>
      <c r="W628" s="25" t="n">
        <v>0.0207008291035891</v>
      </c>
      <c r="X628" s="25" t="n">
        <v>44.084400177002</v>
      </c>
      <c r="Y628" s="25" t="n">
        <v>113.413711547852</v>
      </c>
      <c r="Z628" s="25" t="n">
        <v>0.154634520411491</v>
      </c>
      <c r="AA628" s="25" t="n">
        <v>0.666465699672699</v>
      </c>
      <c r="AB628" s="25" t="n">
        <v>1.30113041400909</v>
      </c>
      <c r="AC628" s="25" t="n">
        <v>0.0240120571106672</v>
      </c>
      <c r="AD628" s="25" t="n">
        <v>0.12785230576992</v>
      </c>
      <c r="AE628" s="25" t="n">
        <v>0.224491328001022</v>
      </c>
      <c r="AF628" s="25" t="n">
        <v>0.334996223449707</v>
      </c>
      <c r="AG628" s="25" t="n">
        <v>0.036672193557024</v>
      </c>
      <c r="AH628" s="25" t="n">
        <v>1.38869631290436</v>
      </c>
      <c r="AI628" s="25" t="n">
        <v>4.33142423629761</v>
      </c>
      <c r="AJ628" s="6" t="n">
        <v>165.9</v>
      </c>
      <c r="AK628" s="6" t="n">
        <v>249.8</v>
      </c>
      <c r="AL628" s="26"/>
    </row>
    <row r="629" customFormat="false" ht="15" hidden="false" customHeight="false" outlineLevel="0" collapsed="false">
      <c r="A629" s="6" t="s">
        <v>4049</v>
      </c>
      <c r="B629" s="6" t="s">
        <v>4050</v>
      </c>
      <c r="C629" s="6" t="s">
        <v>3302</v>
      </c>
      <c r="D629" s="13" t="n">
        <v>203.989486694336</v>
      </c>
      <c r="E629" s="25" t="n">
        <v>2.88311529159546</v>
      </c>
      <c r="F629" s="25" t="n">
        <v>19.3633556365967</v>
      </c>
      <c r="G629" s="25" t="n">
        <v>13.2152767181397</v>
      </c>
      <c r="H629" s="25" t="n">
        <v>0.1517723351717</v>
      </c>
      <c r="I629" s="25" t="n">
        <v>16.8825759887695</v>
      </c>
      <c r="J629" s="25" t="n">
        <v>8.01860205078125</v>
      </c>
      <c r="K629" s="25" t="n">
        <v>3.93443823242188</v>
      </c>
      <c r="L629" s="25" t="n">
        <v>0.448375427246094</v>
      </c>
      <c r="M629" s="25" t="n">
        <v>28.433349609375</v>
      </c>
      <c r="N629" s="25" t="n">
        <v>51.1051406860352</v>
      </c>
      <c r="O629" s="25" t="n">
        <v>107.86270904541</v>
      </c>
      <c r="P629" s="25" t="n">
        <v>60.6096038818359</v>
      </c>
      <c r="Q629" s="25" t="n">
        <v>55.7332801818848</v>
      </c>
      <c r="R629" s="25" t="n">
        <v>8.56760883331299</v>
      </c>
      <c r="S629" s="25" t="n">
        <v>0.224313527345657</v>
      </c>
      <c r="T629" s="25" t="n">
        <v>0.233210191130638</v>
      </c>
      <c r="U629" s="25" t="n">
        <v>0.0333389900624752</v>
      </c>
      <c r="V629" s="25" t="n">
        <v>1.99764358997345</v>
      </c>
      <c r="W629" s="25" t="n">
        <v>0.0488117821514607</v>
      </c>
      <c r="X629" s="25" t="n">
        <v>109.166252136231</v>
      </c>
      <c r="Y629" s="25" t="n">
        <v>133.62956237793</v>
      </c>
      <c r="Z629" s="25" t="n">
        <v>0.632950603961945</v>
      </c>
      <c r="AA629" s="25" t="n">
        <v>0.151372939348221</v>
      </c>
      <c r="AB629" s="25" t="n">
        <v>1.39121317863464</v>
      </c>
      <c r="AC629" s="25" t="n">
        <v>0.0229076389223337</v>
      </c>
      <c r="AD629" s="25" t="n">
        <v>0.0936694964766502</v>
      </c>
      <c r="AE629" s="25" t="n">
        <v>0.234777823090553</v>
      </c>
      <c r="AF629" s="25" t="n">
        <v>0.284742891788483</v>
      </c>
      <c r="AG629" s="25" t="n">
        <v>0.0308856721967459</v>
      </c>
      <c r="AH629" s="25" t="n">
        <v>1.73927104473114</v>
      </c>
      <c r="AI629" s="25" t="n">
        <v>5.53288078308106</v>
      </c>
      <c r="AJ629" s="6" t="n">
        <v>250.4</v>
      </c>
      <c r="AK629" s="6" t="n">
        <v>510.7</v>
      </c>
      <c r="AL629" s="26"/>
    </row>
    <row r="630" customFormat="false" ht="15" hidden="false" customHeight="false" outlineLevel="0" collapsed="false">
      <c r="A630" s="6" t="s">
        <v>4051</v>
      </c>
      <c r="B630" s="6" t="s">
        <v>4052</v>
      </c>
      <c r="C630" s="6" t="s">
        <v>2949</v>
      </c>
      <c r="D630" s="13" t="n">
        <v>277.319244384766</v>
      </c>
      <c r="E630" s="25" t="n">
        <v>3.11290192604065</v>
      </c>
      <c r="F630" s="25" t="n">
        <v>19.9220809936523</v>
      </c>
      <c r="G630" s="25" t="n">
        <v>20.9942893981934</v>
      </c>
      <c r="H630" s="25" t="n">
        <v>0.469112753868103</v>
      </c>
      <c r="I630" s="25" t="n">
        <v>17.7259502410889</v>
      </c>
      <c r="J630" s="25" t="n">
        <v>12.6078720703125</v>
      </c>
      <c r="K630" s="25" t="n">
        <v>6.11042041015625</v>
      </c>
      <c r="L630" s="25" t="n">
        <v>0.956488342285156</v>
      </c>
      <c r="M630" s="25" t="n">
        <v>46.390926361084</v>
      </c>
      <c r="N630" s="25" t="n">
        <v>22.2417602539063</v>
      </c>
      <c r="O630" s="25" t="n">
        <v>103.653770446777</v>
      </c>
      <c r="P630" s="25" t="n">
        <v>72.2575073242188</v>
      </c>
      <c r="Q630" s="25" t="n">
        <v>76.5510330200195</v>
      </c>
      <c r="R630" s="25" t="n">
        <v>12.9626417160034</v>
      </c>
      <c r="S630" s="25" t="n">
        <v>0.258025348186493</v>
      </c>
      <c r="T630" s="25" t="n">
        <v>0.349326223134995</v>
      </c>
      <c r="U630" s="25" t="n">
        <v>0.0614663101732731</v>
      </c>
      <c r="V630" s="25" t="n">
        <v>0.694729804992676</v>
      </c>
      <c r="W630" s="25" t="n">
        <v>0.10458305478096</v>
      </c>
      <c r="X630" s="25" t="n">
        <v>184.21614074707</v>
      </c>
      <c r="Y630" s="25" t="n">
        <v>197.099395751953</v>
      </c>
      <c r="Z630" s="25" t="n">
        <v>0.77811872959137</v>
      </c>
      <c r="AA630" s="25" t="n">
        <v>0.461641103029251</v>
      </c>
      <c r="AB630" s="25" t="n">
        <v>1.13809204101563</v>
      </c>
      <c r="AC630" s="25" t="n">
        <v>0.0612701810896397</v>
      </c>
      <c r="AD630" s="25" t="n">
        <v>0.136210814118385</v>
      </c>
      <c r="AE630" s="25" t="n">
        <v>0.442761838436127</v>
      </c>
      <c r="AF630" s="25" t="n">
        <v>0.247725144028664</v>
      </c>
      <c r="AG630" s="25" t="n">
        <v>0.0400960631668568</v>
      </c>
      <c r="AH630" s="25" t="n">
        <v>1.55063378810883</v>
      </c>
      <c r="AI630" s="25" t="n">
        <v>9.988525390625</v>
      </c>
      <c r="AJ630" s="6" t="n">
        <v>187.4</v>
      </c>
      <c r="AK630" s="6" t="n">
        <v>519.6</v>
      </c>
      <c r="AL630" s="26"/>
    </row>
    <row r="631" customFormat="false" ht="15" hidden="false" customHeight="false" outlineLevel="0" collapsed="false">
      <c r="A631" s="6" t="s">
        <v>4053</v>
      </c>
      <c r="B631" s="6" t="s">
        <v>4054</v>
      </c>
      <c r="C631" s="6" t="s">
        <v>4042</v>
      </c>
      <c r="D631" s="13" t="n">
        <v>200.845733642578</v>
      </c>
      <c r="E631" s="25" t="n">
        <v>2.05655169487</v>
      </c>
      <c r="F631" s="25" t="n">
        <v>16.306827545166</v>
      </c>
      <c r="G631" s="25" t="n">
        <v>14.5064668655396</v>
      </c>
      <c r="H631" s="25" t="n">
        <v>0.0627062469720841</v>
      </c>
      <c r="I631" s="25" t="n">
        <v>13.3511695861816</v>
      </c>
      <c r="J631" s="25" t="n">
        <v>8.892126953125</v>
      </c>
      <c r="K631" s="25" t="n">
        <v>4.2816982421875</v>
      </c>
      <c r="L631" s="25" t="n">
        <v>0.468686157226563</v>
      </c>
      <c r="M631" s="25" t="n">
        <v>33.2278480529785</v>
      </c>
      <c r="N631" s="25" t="n">
        <v>17.9180488586426</v>
      </c>
      <c r="O631" s="25" t="n">
        <v>81.2435607910156</v>
      </c>
      <c r="P631" s="25" t="n">
        <v>60.5469245910645</v>
      </c>
      <c r="Q631" s="25" t="n">
        <v>53.8191833496094</v>
      </c>
      <c r="R631" s="25" t="n">
        <v>6.89622449874878</v>
      </c>
      <c r="S631" s="25" t="n">
        <v>0.112872108817101</v>
      </c>
      <c r="T631" s="25" t="n">
        <v>0.210464864969254</v>
      </c>
      <c r="U631" s="25" t="n">
        <v>0.0231569185853005</v>
      </c>
      <c r="V631" s="25" t="n">
        <v>0.380165845155716</v>
      </c>
      <c r="W631" s="25" t="n">
        <v>0.0163258407264948</v>
      </c>
      <c r="X631" s="25" t="n">
        <v>126.265823364258</v>
      </c>
      <c r="Y631" s="25" t="n">
        <v>143.692459106445</v>
      </c>
      <c r="Z631" s="25" t="n">
        <v>0.613906562328339</v>
      </c>
      <c r="AA631" s="25" t="n">
        <v>0.0403317324817181</v>
      </c>
      <c r="AB631" s="25" t="n">
        <v>1.30538630485535</v>
      </c>
      <c r="AC631" s="25" t="n">
        <v>0.0181492809206247</v>
      </c>
      <c r="AD631" s="25" t="n">
        <v>0.0923548713326454</v>
      </c>
      <c r="AE631" s="25" t="n">
        <v>0.0667546913027763</v>
      </c>
      <c r="AF631" s="25" t="n">
        <v>0.188871666789055</v>
      </c>
      <c r="AG631" s="25" t="n">
        <v>0.0295154955238104</v>
      </c>
      <c r="AH631" s="25" t="n">
        <v>1.12452638149262</v>
      </c>
      <c r="AI631" s="25" t="n">
        <v>5.14450454711914</v>
      </c>
      <c r="AJ631" s="6" t="n">
        <v>229.1</v>
      </c>
      <c r="AK631" s="6" t="n">
        <v>460.1</v>
      </c>
      <c r="AL631" s="26"/>
    </row>
    <row r="632" customFormat="false" ht="15" hidden="false" customHeight="false" outlineLevel="0" collapsed="false">
      <c r="A632" s="6" t="s">
        <v>4055</v>
      </c>
      <c r="B632" s="6" t="s">
        <v>4056</v>
      </c>
      <c r="C632" s="6" t="s">
        <v>3302</v>
      </c>
      <c r="D632" s="13" t="n">
        <v>196.319259643555</v>
      </c>
      <c r="E632" s="25" t="n">
        <v>1.73494720458984</v>
      </c>
      <c r="F632" s="25" t="n">
        <v>22.7507762908936</v>
      </c>
      <c r="G632" s="25" t="n">
        <v>11.4540939331055</v>
      </c>
      <c r="H632" s="25" t="n">
        <v>0.258019506931305</v>
      </c>
      <c r="I632" s="25" t="n">
        <v>14.1897792816162</v>
      </c>
      <c r="J632" s="25" t="n">
        <v>7.11101806640625</v>
      </c>
      <c r="K632" s="25" t="n">
        <v>3.28083984375</v>
      </c>
      <c r="L632" s="25" t="n">
        <v>0.357280334472656</v>
      </c>
      <c r="M632" s="25" t="n">
        <v>26.1506271362305</v>
      </c>
      <c r="N632" s="25" t="n">
        <v>31.5353660583496</v>
      </c>
      <c r="O632" s="25" t="n">
        <v>74.2146835327148</v>
      </c>
      <c r="P632" s="25" t="n">
        <v>56.3405075073242</v>
      </c>
      <c r="Q632" s="25" t="n">
        <v>46.3820457458496</v>
      </c>
      <c r="R632" s="25" t="n">
        <v>6.03506660461426</v>
      </c>
      <c r="S632" s="25" t="n">
        <v>0.162442713975906</v>
      </c>
      <c r="T632" s="25" t="n">
        <v>0.175184294581413</v>
      </c>
      <c r="U632" s="25" t="n">
        <v>0.0257352069020271</v>
      </c>
      <c r="V632" s="25" t="n">
        <v>0.378063350915909</v>
      </c>
      <c r="W632" s="25" t="n">
        <v>0.00895098596811295</v>
      </c>
      <c r="X632" s="25" t="n">
        <v>99.3723831176758</v>
      </c>
      <c r="Y632" s="25" t="n">
        <v>145.191268920898</v>
      </c>
      <c r="Z632" s="25" t="n">
        <v>0.410041838884354</v>
      </c>
      <c r="AA632" s="25" t="n">
        <v>0.381550133228302</v>
      </c>
      <c r="AB632" s="25" t="n">
        <v>1.68519628047943</v>
      </c>
      <c r="AC632" s="25" t="n">
        <v>0.0185116566717625</v>
      </c>
      <c r="AD632" s="25" t="n">
        <v>0.0774556696414948</v>
      </c>
      <c r="AE632" s="25" t="n">
        <v>0.0506574995815754</v>
      </c>
      <c r="AF632" s="25" t="n">
        <v>0.168549507856369</v>
      </c>
      <c r="AG632" s="25" t="n">
        <v>0.0272086076438427</v>
      </c>
      <c r="AH632" s="25" t="n">
        <v>0.993425011634827</v>
      </c>
      <c r="AI632" s="25" t="n">
        <v>4.29099416732788</v>
      </c>
      <c r="AJ632" s="6" t="n">
        <v>250.9</v>
      </c>
      <c r="AK632" s="6" t="n">
        <v>492.7</v>
      </c>
      <c r="AL632" s="26"/>
    </row>
    <row r="633" customFormat="false" ht="15" hidden="false" customHeight="false" outlineLevel="0" collapsed="false">
      <c r="A633" s="6" t="s">
        <v>4057</v>
      </c>
      <c r="B633" s="6" t="s">
        <v>4058</v>
      </c>
      <c r="C633" s="6" t="s">
        <v>4059</v>
      </c>
      <c r="D633" s="13" t="n">
        <v>57.3907470703125</v>
      </c>
      <c r="E633" s="25" t="n">
        <v>1.4135537147522</v>
      </c>
      <c r="F633" s="25" t="n">
        <v>6.71652889251709</v>
      </c>
      <c r="G633" s="25" t="n">
        <v>2.62239670753479</v>
      </c>
      <c r="H633" s="25" t="n">
        <v>0.966942131519318</v>
      </c>
      <c r="I633" s="25" t="n">
        <v>5.66157007217407</v>
      </c>
      <c r="J633" s="25" t="n">
        <v>1.59998559570313</v>
      </c>
      <c r="K633" s="25" t="n">
        <v>0.738102905273438</v>
      </c>
      <c r="L633" s="25" t="n">
        <v>0.116795455932617</v>
      </c>
      <c r="M633" s="25" t="n">
        <v>6.50826454162598</v>
      </c>
      <c r="N633" s="25" t="n">
        <v>14.3611564636231</v>
      </c>
      <c r="O633" s="25" t="n">
        <v>138.859497070313</v>
      </c>
      <c r="P633" s="25" t="n">
        <v>17.4007434844971</v>
      </c>
      <c r="Q633" s="25" t="n">
        <v>15.3717775344849</v>
      </c>
      <c r="R633" s="25" t="n">
        <v>8.94933891296387</v>
      </c>
      <c r="S633" s="25" t="n">
        <v>0.534256219863892</v>
      </c>
      <c r="T633" s="25" t="n">
        <v>0.045495867729187</v>
      </c>
      <c r="U633" s="25" t="n">
        <v>0.0281404964625835</v>
      </c>
      <c r="V633" s="25" t="n">
        <v>1.60913228988648</v>
      </c>
      <c r="W633" s="25" t="n">
        <v>0.0223140493035317</v>
      </c>
      <c r="X633" s="25" t="n">
        <v>24.7314052581787</v>
      </c>
      <c r="Y633" s="25" t="n">
        <v>460.103302001953</v>
      </c>
      <c r="Z633" s="25" t="n">
        <v>0.112809918820858</v>
      </c>
      <c r="AA633" s="25" t="n">
        <v>2.00206613540649</v>
      </c>
      <c r="AB633" s="25" t="n">
        <v>28.8099174499512</v>
      </c>
      <c r="AC633" s="25" t="n">
        <v>0.0497520640492439</v>
      </c>
      <c r="AD633" s="25" t="n">
        <v>0.0378925614058971</v>
      </c>
      <c r="AE633" s="25" t="n">
        <v>0.191611558198929</v>
      </c>
      <c r="AF633" s="25" t="n">
        <v>0.24111570417881</v>
      </c>
      <c r="AG633" s="25" t="n">
        <v>0.0409090891480446</v>
      </c>
      <c r="AH633" s="25" t="n">
        <v>2.31950426101685</v>
      </c>
      <c r="AI633" s="25" t="n">
        <v>13.9215707778931</v>
      </c>
      <c r="AJ633" s="6" t="n">
        <v>121</v>
      </c>
      <c r="AK633" s="6" t="n">
        <v>69.4</v>
      </c>
      <c r="AL633" s="26"/>
    </row>
    <row r="634" customFormat="false" ht="15" hidden="false" customHeight="false" outlineLevel="0" collapsed="false">
      <c r="A634" s="6" t="s">
        <v>4060</v>
      </c>
      <c r="B634" s="6" t="s">
        <v>4061</v>
      </c>
      <c r="C634" s="6" t="s">
        <v>4062</v>
      </c>
      <c r="D634" s="13" t="n">
        <v>125.489273071289</v>
      </c>
      <c r="E634" s="25" t="n">
        <v>2.77516603469849</v>
      </c>
      <c r="F634" s="25" t="n">
        <v>13.6366767883301</v>
      </c>
      <c r="G634" s="25" t="n">
        <v>6.67510604858398</v>
      </c>
      <c r="H634" s="25" t="n">
        <v>0.700302124023438</v>
      </c>
      <c r="I634" s="25" t="n">
        <v>10.5107555389404</v>
      </c>
      <c r="J634" s="25" t="n">
        <v>4.124646484375</v>
      </c>
      <c r="K634" s="25" t="n">
        <v>1.88734094238281</v>
      </c>
      <c r="L634" s="25" t="n">
        <v>0.234749252319336</v>
      </c>
      <c r="M634" s="25" t="n">
        <v>14.2749242782593</v>
      </c>
      <c r="N634" s="25" t="n">
        <v>15.6502723693848</v>
      </c>
      <c r="O634" s="25" t="n">
        <v>159.942596435547</v>
      </c>
      <c r="P634" s="25" t="n">
        <v>43.5243492126465</v>
      </c>
      <c r="Q634" s="25" t="n">
        <v>40.0275535583496</v>
      </c>
      <c r="R634" s="25" t="n">
        <v>12.734622001648</v>
      </c>
      <c r="S634" s="25" t="n">
        <v>0.229486405849457</v>
      </c>
      <c r="T634" s="25" t="n">
        <v>0.209969788789749</v>
      </c>
      <c r="U634" s="25" t="n">
        <v>0.0484290011227131</v>
      </c>
      <c r="V634" s="25" t="n">
        <v>0.616314172744751</v>
      </c>
      <c r="W634" s="25" t="n">
        <v>0.131389737129211</v>
      </c>
      <c r="X634" s="25" t="n">
        <v>54.2447128295898</v>
      </c>
      <c r="Y634" s="25" t="n">
        <v>165.797576904297</v>
      </c>
      <c r="Z634" s="25" t="n">
        <v>0.261027187108994</v>
      </c>
      <c r="AA634" s="25" t="n">
        <v>0.752870082855225</v>
      </c>
      <c r="AB634" s="25" t="n">
        <v>5.039879322052</v>
      </c>
      <c r="AC634" s="25" t="n">
        <v>0.0150755289942026</v>
      </c>
      <c r="AD634" s="25" t="n">
        <v>0.0656797587871552</v>
      </c>
      <c r="AE634" s="25" t="n">
        <v>0.183141991496086</v>
      </c>
      <c r="AF634" s="25" t="n">
        <v>0.224954679608345</v>
      </c>
      <c r="AG634" s="25" t="n">
        <v>0.174108758568764</v>
      </c>
      <c r="AH634" s="25" t="n">
        <v>1.1616917848587</v>
      </c>
      <c r="AI634" s="25" t="n">
        <v>8.59492492675781</v>
      </c>
      <c r="AJ634" s="6" t="n">
        <v>331</v>
      </c>
      <c r="AK634" s="6" t="n">
        <v>415.4</v>
      </c>
      <c r="AL634" s="26"/>
    </row>
    <row r="635" customFormat="false" ht="15" hidden="false" customHeight="false" outlineLevel="0" collapsed="false">
      <c r="A635" s="6" t="s">
        <v>4063</v>
      </c>
      <c r="B635" s="6" t="s">
        <v>4064</v>
      </c>
      <c r="C635" s="6" t="s">
        <v>3994</v>
      </c>
      <c r="D635" s="13" t="n">
        <v>150.104553222656</v>
      </c>
      <c r="E635" s="25" t="n">
        <v>3.34295344352722</v>
      </c>
      <c r="F635" s="25" t="n">
        <v>17.8206748962402</v>
      </c>
      <c r="G635" s="25" t="n">
        <v>7.87561178207398</v>
      </c>
      <c r="H635" s="25" t="n">
        <v>2.19409275054932</v>
      </c>
      <c r="I635" s="25" t="n">
        <v>15.2957801818848</v>
      </c>
      <c r="J635" s="25" t="n">
        <v>4.796919921875</v>
      </c>
      <c r="K635" s="25" t="n">
        <v>2.2412236328125</v>
      </c>
      <c r="L635" s="25" t="n">
        <v>0.341139251708984</v>
      </c>
      <c r="M635" s="25" t="n">
        <v>19.9367084503174</v>
      </c>
      <c r="N635" s="25" t="n">
        <v>24.5864982604981</v>
      </c>
      <c r="O635" s="25" t="n">
        <v>78.9831237792969</v>
      </c>
      <c r="P635" s="25" t="n">
        <v>26.3961181640625</v>
      </c>
      <c r="Q635" s="25" t="n">
        <v>22.9272994995117</v>
      </c>
      <c r="R635" s="25" t="n">
        <v>9.95417785644531</v>
      </c>
      <c r="S635" s="25" t="n">
        <v>0.307552725076675</v>
      </c>
      <c r="T635" s="25" t="n">
        <v>0.198776364326477</v>
      </c>
      <c r="U635" s="25" t="n">
        <v>0.0487763695418835</v>
      </c>
      <c r="V635" s="25" t="n">
        <v>1.99118149280548</v>
      </c>
      <c r="W635" s="25" t="n">
        <v>0.228902965784073</v>
      </c>
      <c r="X635" s="25" t="n">
        <v>75.7601699829102</v>
      </c>
      <c r="Y635" s="25" t="n">
        <v>102.257385253906</v>
      </c>
      <c r="Z635" s="25" t="n">
        <v>0.544303774833679</v>
      </c>
      <c r="AA635" s="25" t="n">
        <v>2.63291120529175</v>
      </c>
      <c r="AB635" s="25" t="n">
        <v>9.0337553024292</v>
      </c>
      <c r="AC635" s="25" t="n">
        <v>0.0160337556153536</v>
      </c>
      <c r="AD635" s="25" t="n">
        <v>0.0565822795033455</v>
      </c>
      <c r="AE635" s="25" t="n">
        <v>0.202573835849762</v>
      </c>
      <c r="AF635" s="25" t="n">
        <v>0.249662458896637</v>
      </c>
      <c r="AG635" s="25" t="n">
        <v>0.0261603370308876</v>
      </c>
      <c r="AH635" s="25" t="n">
        <v>0.578565359115601</v>
      </c>
      <c r="AI635" s="25" t="n">
        <v>8.7735013961792</v>
      </c>
      <c r="AJ635" s="6" t="n">
        <v>237</v>
      </c>
      <c r="AK635" s="6" t="n">
        <v>355.7</v>
      </c>
      <c r="AL635" s="26"/>
    </row>
    <row r="636" customFormat="false" ht="15" hidden="false" customHeight="false" outlineLevel="0" collapsed="false">
      <c r="A636" s="6" t="s">
        <v>4065</v>
      </c>
      <c r="B636" s="6" t="s">
        <v>4066</v>
      </c>
      <c r="C636" s="6" t="s">
        <v>3994</v>
      </c>
      <c r="D636" s="13" t="n">
        <v>107.091667175293</v>
      </c>
      <c r="E636" s="25" t="n">
        <v>2.08523392677307</v>
      </c>
      <c r="F636" s="25" t="n">
        <v>9.10891819000244</v>
      </c>
      <c r="G636" s="25" t="n">
        <v>7.0915207862854</v>
      </c>
      <c r="H636" s="25" t="n">
        <v>0.0929824560880661</v>
      </c>
      <c r="I636" s="25" t="n">
        <v>9.03216361999512</v>
      </c>
      <c r="J636" s="25" t="n">
        <v>4.3810966796875</v>
      </c>
      <c r="K636" s="25" t="n">
        <v>2.01040270996094</v>
      </c>
      <c r="L636" s="25" t="n">
        <v>0.2129970703125</v>
      </c>
      <c r="M636" s="25" t="n">
        <v>12.2807016372681</v>
      </c>
      <c r="N636" s="25" t="n">
        <v>17.273099899292</v>
      </c>
      <c r="O636" s="25" t="n">
        <v>96.9444427490234</v>
      </c>
      <c r="P636" s="25" t="n">
        <v>71.6906433105469</v>
      </c>
      <c r="Q636" s="25" t="n">
        <v>61.2059936523438</v>
      </c>
      <c r="R636" s="25" t="n">
        <v>6.92967844009399</v>
      </c>
      <c r="S636" s="25" t="n">
        <v>0.148538008332253</v>
      </c>
      <c r="T636" s="25" t="n">
        <v>0.229239761829376</v>
      </c>
      <c r="U636" s="25" t="n">
        <v>0.0230701752007008</v>
      </c>
      <c r="V636" s="25" t="n">
        <v>0.5</v>
      </c>
      <c r="W636" s="25" t="n">
        <v>0.011842105537653</v>
      </c>
      <c r="X636" s="25" t="n">
        <v>46.6666679382324</v>
      </c>
      <c r="Y636" s="25" t="n">
        <v>145.511703491211</v>
      </c>
      <c r="Z636" s="25" t="n">
        <v>0.272807002067566</v>
      </c>
      <c r="AA636" s="25" t="n">
        <v>0.243859648704529</v>
      </c>
      <c r="AB636" s="25" t="n">
        <v>2.26345038414002</v>
      </c>
      <c r="AC636" s="25" t="n">
        <v>0.0235380120575428</v>
      </c>
      <c r="AD636" s="25" t="n">
        <v>0.08099415153265</v>
      </c>
      <c r="AE636" s="25" t="n">
        <v>0.0972222164273262</v>
      </c>
      <c r="AF636" s="25" t="n">
        <v>0.224122807383537</v>
      </c>
      <c r="AG636" s="25" t="n">
        <v>0.0345029234886169</v>
      </c>
      <c r="AH636" s="25" t="n">
        <v>1.3192982673645</v>
      </c>
      <c r="AI636" s="25" t="n">
        <v>5.67017555236816</v>
      </c>
      <c r="AJ636" s="6" t="n">
        <v>342</v>
      </c>
      <c r="AK636" s="6" t="n">
        <v>366.3</v>
      </c>
      <c r="AL636" s="26"/>
    </row>
    <row r="637" customFormat="false" ht="15" hidden="false" customHeight="false" outlineLevel="0" collapsed="false">
      <c r="A637" s="6" t="s">
        <v>4067</v>
      </c>
      <c r="B637" s="6" t="s">
        <v>4068</v>
      </c>
      <c r="C637" s="6" t="s">
        <v>3302</v>
      </c>
      <c r="D637" s="13" t="n">
        <v>230.521820068359</v>
      </c>
      <c r="E637" s="25" t="n">
        <v>6.85080146789551</v>
      </c>
      <c r="F637" s="25" t="n">
        <v>9.52651023864746</v>
      </c>
      <c r="G637" s="25" t="n">
        <v>18.1583232879639</v>
      </c>
      <c r="H637" s="25" t="n">
        <v>0</v>
      </c>
      <c r="I637" s="25" t="n">
        <v>8.98692989349365</v>
      </c>
      <c r="J637" s="25" t="n">
        <v>10.65030859375</v>
      </c>
      <c r="K637" s="25" t="n">
        <v>5.511220703125</v>
      </c>
      <c r="L637" s="25" t="n">
        <v>0.730702819824219</v>
      </c>
      <c r="M637" s="25" t="n">
        <v>129.129470825195</v>
      </c>
      <c r="N637" s="25" t="n">
        <v>48.6362533569336</v>
      </c>
      <c r="O637" s="25" t="n">
        <v>127.496917724609</v>
      </c>
      <c r="P637" s="25" t="n">
        <v>45.2527732849121</v>
      </c>
      <c r="Q637" s="25" t="n">
        <v>95.0431594848633</v>
      </c>
      <c r="R637" s="25" t="n">
        <v>26.5080146789551</v>
      </c>
      <c r="S637" s="25" t="n">
        <v>0.963255226612091</v>
      </c>
      <c r="T637" s="25" t="n">
        <v>0.668310701847076</v>
      </c>
      <c r="U637" s="25" t="n">
        <v>0.179580762982369</v>
      </c>
      <c r="V637" s="25" t="n">
        <v>10.4611587524414</v>
      </c>
      <c r="W637" s="25" t="n">
        <v>0.0112453764304519</v>
      </c>
      <c r="X637" s="25" t="n">
        <v>196.498153686523</v>
      </c>
      <c r="Y637" s="25" t="n">
        <v>126.313194274902</v>
      </c>
      <c r="Z637" s="25" t="n">
        <v>0.894599258899689</v>
      </c>
      <c r="AA637" s="25" t="n">
        <v>0.0705302059650421</v>
      </c>
      <c r="AB637" s="25" t="n">
        <v>0.369913697242737</v>
      </c>
      <c r="AC637" s="25" t="n">
        <v>0.0287053007632494</v>
      </c>
      <c r="AD637" s="25" t="n">
        <v>0.112404435873032</v>
      </c>
      <c r="AE637" s="25" t="n">
        <v>0.0961775630712509</v>
      </c>
      <c r="AF637" s="25" t="n">
        <v>0.445376098155975</v>
      </c>
      <c r="AG637" s="25" t="n">
        <v>0.0571639947593212</v>
      </c>
      <c r="AH637" s="25" t="n">
        <v>5.03082609176636</v>
      </c>
      <c r="AI637" s="25" t="n">
        <v>16.3107280731201</v>
      </c>
      <c r="AJ637" s="6" t="n">
        <v>202.8</v>
      </c>
      <c r="AK637" s="6" t="n">
        <v>467.4</v>
      </c>
      <c r="AL637" s="26"/>
    </row>
    <row r="638" customFormat="false" ht="15" hidden="false" customHeight="false" outlineLevel="0" collapsed="false">
      <c r="A638" s="6" t="s">
        <v>4069</v>
      </c>
      <c r="B638" s="6" t="s">
        <v>4070</v>
      </c>
      <c r="C638" s="6" t="s">
        <v>4071</v>
      </c>
      <c r="D638" s="13" t="n">
        <v>169.865158081055</v>
      </c>
      <c r="E638" s="25" t="n">
        <v>5.89381408691406</v>
      </c>
      <c r="F638" s="25" t="n">
        <v>15.6247415542603</v>
      </c>
      <c r="G638" s="25" t="n">
        <v>9.78144359588623</v>
      </c>
      <c r="H638" s="25" t="n">
        <v>0</v>
      </c>
      <c r="I638" s="25" t="n">
        <v>13.8783502578735</v>
      </c>
      <c r="J638" s="25" t="n">
        <v>5.629484375</v>
      </c>
      <c r="K638" s="25" t="n">
        <v>2.80845361328125</v>
      </c>
      <c r="L638" s="25" t="n">
        <v>0.506597930908203</v>
      </c>
      <c r="M638" s="25" t="n">
        <v>98.1443328857422</v>
      </c>
      <c r="N638" s="25" t="n">
        <v>46.3505172729492</v>
      </c>
      <c r="O638" s="25" t="n">
        <v>81.6907196044922</v>
      </c>
      <c r="P638" s="25" t="n">
        <v>55.028865814209</v>
      </c>
      <c r="Q638" s="25" t="n">
        <v>72.6185531616211</v>
      </c>
      <c r="R638" s="25" t="n">
        <v>6.74432992935181</v>
      </c>
      <c r="S638" s="25" t="n">
        <v>0.526804149150848</v>
      </c>
      <c r="T638" s="25" t="n">
        <v>0.405154645442963</v>
      </c>
      <c r="U638" s="25" t="n">
        <v>0.0232989694923163</v>
      </c>
      <c r="V638" s="25" t="n">
        <v>8.82268047332764</v>
      </c>
      <c r="W638" s="25" t="n">
        <v>0.00680412352085114</v>
      </c>
      <c r="X638" s="25" t="n">
        <v>160.824737548828</v>
      </c>
      <c r="Y638" s="25" t="n">
        <v>98.0412368774414</v>
      </c>
      <c r="Z638" s="25" t="n">
        <v>0.505154609680176</v>
      </c>
      <c r="AA638" s="25" t="n">
        <v>0</v>
      </c>
      <c r="AB638" s="25" t="n">
        <v>3.56701040267944</v>
      </c>
      <c r="AC638" s="25" t="n">
        <v>0.0275257732719183</v>
      </c>
      <c r="AD638" s="25" t="n">
        <v>0.118453606963158</v>
      </c>
      <c r="AE638" s="25" t="n">
        <v>0.0731958746910095</v>
      </c>
      <c r="AF638" s="25" t="n">
        <v>0.437938153743744</v>
      </c>
      <c r="AG638" s="25" t="n">
        <v>0.0500000007450581</v>
      </c>
      <c r="AH638" s="25" t="n">
        <v>4.91546392440796</v>
      </c>
      <c r="AI638" s="25" t="n">
        <v>12.8804121017456</v>
      </c>
      <c r="AJ638" s="6" t="n">
        <v>242.5</v>
      </c>
      <c r="AK638" s="6" t="n">
        <v>411.9</v>
      </c>
      <c r="AL638" s="26"/>
    </row>
    <row r="639" customFormat="false" ht="15" hidden="false" customHeight="false" outlineLevel="0" collapsed="false">
      <c r="A639" s="6" t="s">
        <v>4072</v>
      </c>
      <c r="B639" s="6" t="s">
        <v>4073</v>
      </c>
      <c r="C639" s="6" t="s">
        <v>4071</v>
      </c>
      <c r="D639" s="13" t="n">
        <v>173.189987182617</v>
      </c>
      <c r="E639" s="25" t="n">
        <v>5.93937826156616</v>
      </c>
      <c r="F639" s="25" t="n">
        <v>16.2727451324463</v>
      </c>
      <c r="G639" s="25" t="n">
        <v>9.82492256164551</v>
      </c>
      <c r="H639" s="25" t="n">
        <v>0.113626949489117</v>
      </c>
      <c r="I639" s="25" t="n">
        <v>14.4239377975464</v>
      </c>
      <c r="J639" s="25" t="n">
        <v>5.65259521484375</v>
      </c>
      <c r="K639" s="25" t="n">
        <v>2.82470166015625</v>
      </c>
      <c r="L639" s="25" t="n">
        <v>0.504091766357422</v>
      </c>
      <c r="M639" s="25" t="n">
        <v>98.6528472900391</v>
      </c>
      <c r="N639" s="25" t="n">
        <v>46.5336265563965</v>
      </c>
      <c r="O639" s="25" t="n">
        <v>88.1658020019531</v>
      </c>
      <c r="P639" s="25" t="n">
        <v>55.4478759765625</v>
      </c>
      <c r="Q639" s="25" t="n">
        <v>73.1984481811523</v>
      </c>
      <c r="R639" s="25" t="n">
        <v>7.19300508499146</v>
      </c>
      <c r="S639" s="25" t="n">
        <v>0.572901546955109</v>
      </c>
      <c r="T639" s="25" t="n">
        <v>0.401450783014298</v>
      </c>
      <c r="U639" s="25" t="n">
        <v>0.0260621756315231</v>
      </c>
      <c r="V639" s="25" t="n">
        <v>8.79186534881592</v>
      </c>
      <c r="W639" s="25" t="n">
        <v>0.00860103592276573</v>
      </c>
      <c r="X639" s="25" t="n">
        <v>161.65803527832</v>
      </c>
      <c r="Y639" s="25" t="n">
        <v>157.632125854492</v>
      </c>
      <c r="Z639" s="25" t="n">
        <v>0.511295318603516</v>
      </c>
      <c r="AA639" s="25" t="n">
        <v>0.220207259058952</v>
      </c>
      <c r="AB639" s="25" t="n">
        <v>4.17740917205811</v>
      </c>
      <c r="AC639" s="25" t="n">
        <v>0.0310362689197063</v>
      </c>
      <c r="AD639" s="25" t="n">
        <v>0.119896374642849</v>
      </c>
      <c r="AE639" s="25" t="n">
        <v>0.0889119207859039</v>
      </c>
      <c r="AF639" s="25" t="n">
        <v>0.446632146835327</v>
      </c>
      <c r="AG639" s="25" t="n">
        <v>0.0491191707551479</v>
      </c>
      <c r="AH639" s="25" t="n">
        <v>5.19461154937744</v>
      </c>
      <c r="AI639" s="25" t="n">
        <v>14.0083932876587</v>
      </c>
      <c r="AJ639" s="6" t="n">
        <v>241.3</v>
      </c>
      <c r="AK639" s="6" t="n">
        <v>417.8</v>
      </c>
      <c r="AL639" s="26"/>
    </row>
    <row r="640" customFormat="false" ht="15" hidden="false" customHeight="false" outlineLevel="0" collapsed="false">
      <c r="A640" s="6" t="s">
        <v>4074</v>
      </c>
      <c r="B640" s="6" t="s">
        <v>4075</v>
      </c>
      <c r="C640" s="6" t="s">
        <v>4071</v>
      </c>
      <c r="D640" s="13" t="n">
        <v>181.21842956543</v>
      </c>
      <c r="E640" s="25" t="n">
        <v>6.22982454299927</v>
      </c>
      <c r="F640" s="25" t="n">
        <v>16.8486843109131</v>
      </c>
      <c r="G640" s="25" t="n">
        <v>10.3872804641724</v>
      </c>
      <c r="H640" s="25" t="n">
        <v>0</v>
      </c>
      <c r="I640" s="25" t="n">
        <v>14.9912281036377</v>
      </c>
      <c r="J640" s="25" t="n">
        <v>5.97763134765625</v>
      </c>
      <c r="K640" s="25" t="n">
        <v>2.9870615234375</v>
      </c>
      <c r="L640" s="25" t="n">
        <v>0.528947387695313</v>
      </c>
      <c r="M640" s="25" t="n">
        <v>104.385963439941</v>
      </c>
      <c r="N640" s="25" t="n">
        <v>49.3815803527832</v>
      </c>
      <c r="O640" s="25" t="n">
        <v>79.8640365600586</v>
      </c>
      <c r="P640" s="25" t="n">
        <v>57.1315803527832</v>
      </c>
      <c r="Q640" s="25" t="n">
        <v>76.2850875854492</v>
      </c>
      <c r="R640" s="25" t="n">
        <v>6.79166650772095</v>
      </c>
      <c r="S640" s="25" t="n">
        <v>0.537719309329987</v>
      </c>
      <c r="T640" s="25" t="n">
        <v>0.424561411142349</v>
      </c>
      <c r="U640" s="25" t="n">
        <v>0.0254824552685022</v>
      </c>
      <c r="V640" s="25" t="n">
        <v>9.28508758544922</v>
      </c>
      <c r="W640" s="25" t="n">
        <v>0.0317982472479343</v>
      </c>
      <c r="X640" s="25" t="n">
        <v>171.052627563477</v>
      </c>
      <c r="Y640" s="25" t="n">
        <v>104.16227722168</v>
      </c>
      <c r="Z640" s="25" t="n">
        <v>0.538333356380463</v>
      </c>
      <c r="AA640" s="25" t="n">
        <v>0</v>
      </c>
      <c r="AB640" s="25" t="n">
        <v>0.824561417102814</v>
      </c>
      <c r="AC640" s="25" t="n">
        <v>0.028421051800251</v>
      </c>
      <c r="AD640" s="25" t="n">
        <v>0.125350877642632</v>
      </c>
      <c r="AE640" s="25" t="n">
        <v>0.0714912265539169</v>
      </c>
      <c r="AF640" s="25" t="n">
        <v>0.456403523683548</v>
      </c>
      <c r="AG640" s="25" t="n">
        <v>0.0500000007450581</v>
      </c>
      <c r="AH640" s="25" t="n">
        <v>5.22807025909424</v>
      </c>
      <c r="AI640" s="25" t="n">
        <v>13.2894735336304</v>
      </c>
      <c r="AJ640" s="6" t="n">
        <v>228</v>
      </c>
      <c r="AK640" s="6" t="n">
        <v>413.2</v>
      </c>
      <c r="AL640" s="26"/>
    </row>
    <row r="641" customFormat="false" ht="15" hidden="false" customHeight="false" outlineLevel="0" collapsed="false">
      <c r="A641" s="6" t="s">
        <v>4076</v>
      </c>
      <c r="B641" s="6" t="s">
        <v>4077</v>
      </c>
      <c r="C641" s="6" t="s">
        <v>4071</v>
      </c>
      <c r="D641" s="13" t="n">
        <v>179.539093017578</v>
      </c>
      <c r="E641" s="25" t="n">
        <v>6.21593189239502</v>
      </c>
      <c r="F641" s="25" t="n">
        <v>16.2889823913574</v>
      </c>
      <c r="G641" s="25" t="n">
        <v>10.316780090332</v>
      </c>
      <c r="H641" s="25" t="n">
        <v>0</v>
      </c>
      <c r="I641" s="25" t="n">
        <v>14.4913129806519</v>
      </c>
      <c r="J641" s="25" t="n">
        <v>5.94709765625</v>
      </c>
      <c r="K641" s="25" t="n">
        <v>2.96300854492188</v>
      </c>
      <c r="L641" s="25" t="n">
        <v>0.519805114746094</v>
      </c>
      <c r="M641" s="25" t="n">
        <v>100.847457885742</v>
      </c>
      <c r="N641" s="25" t="n">
        <v>49.0927963256836</v>
      </c>
      <c r="O641" s="25" t="n">
        <v>83.2966079711914</v>
      </c>
      <c r="P641" s="25" t="n">
        <v>62.4703407287598</v>
      </c>
      <c r="Q641" s="25" t="n">
        <v>79.8279647827148</v>
      </c>
      <c r="R641" s="25" t="n">
        <v>6.93516969680786</v>
      </c>
      <c r="S641" s="25" t="n">
        <v>0.52275425195694</v>
      </c>
      <c r="T641" s="25" t="n">
        <v>0.428220361471176</v>
      </c>
      <c r="U641" s="25" t="n">
        <v>0.0261525418609381</v>
      </c>
      <c r="V641" s="25" t="n">
        <v>9.03071975708008</v>
      </c>
      <c r="W641" s="25" t="n">
        <v>0.00860169529914856</v>
      </c>
      <c r="X641" s="25" t="n">
        <v>165.254241943359</v>
      </c>
      <c r="Y641" s="25" t="n">
        <v>113.072036743164</v>
      </c>
      <c r="Z641" s="25" t="n">
        <v>0.533050835132599</v>
      </c>
      <c r="AA641" s="25" t="n">
        <v>0</v>
      </c>
      <c r="AB641" s="25" t="n">
        <v>0.551483035087585</v>
      </c>
      <c r="AC641" s="25" t="n">
        <v>0.0273771174252033</v>
      </c>
      <c r="AD641" s="25" t="n">
        <v>0.128156781196594</v>
      </c>
      <c r="AE641" s="25" t="n">
        <v>0.0725635588169098</v>
      </c>
      <c r="AF641" s="25" t="n">
        <v>0.460317820310593</v>
      </c>
      <c r="AG641" s="25" t="n">
        <v>0.049262709915638</v>
      </c>
      <c r="AH641" s="25" t="n">
        <v>5.17669486999512</v>
      </c>
      <c r="AI641" s="25" t="n">
        <v>13.0146188735962</v>
      </c>
      <c r="AJ641" s="6" t="n">
        <v>236</v>
      </c>
      <c r="AK641" s="6" t="n">
        <v>423.7</v>
      </c>
      <c r="AL641" s="26"/>
    </row>
    <row r="642" customFormat="false" ht="15" hidden="false" customHeight="false" outlineLevel="0" collapsed="false">
      <c r="A642" s="6" t="s">
        <v>4078</v>
      </c>
      <c r="B642" s="6" t="s">
        <v>4079</v>
      </c>
      <c r="C642" s="6" t="s">
        <v>4071</v>
      </c>
      <c r="D642" s="13" t="n">
        <v>187.527679443359</v>
      </c>
      <c r="E642" s="25" t="n">
        <v>6.36790084838867</v>
      </c>
      <c r="F642" s="25" t="n">
        <v>17.2164611816406</v>
      </c>
      <c r="G642" s="25" t="n">
        <v>10.863374710083</v>
      </c>
      <c r="H642" s="25" t="n">
        <v>0</v>
      </c>
      <c r="I642" s="25" t="n">
        <v>15.3100824356079</v>
      </c>
      <c r="J642" s="25" t="n">
        <v>6.2794443359375</v>
      </c>
      <c r="K642" s="25" t="n">
        <v>3.15168725585938</v>
      </c>
      <c r="L642" s="25" t="n">
        <v>0.53279833984375</v>
      </c>
      <c r="M642" s="25" t="n">
        <v>98.0658416748047</v>
      </c>
      <c r="N642" s="25" t="n">
        <v>47.765022277832</v>
      </c>
      <c r="O642" s="25" t="n">
        <v>104.979423522949</v>
      </c>
      <c r="P642" s="25" t="n">
        <v>62.9094657897949</v>
      </c>
      <c r="Q642" s="25" t="n">
        <v>88.5325088500977</v>
      </c>
      <c r="R642" s="25" t="n">
        <v>14.9370374679565</v>
      </c>
      <c r="S642" s="25" t="n">
        <v>0.68415641784668</v>
      </c>
      <c r="T642" s="25" t="n">
        <v>0.527366280555725</v>
      </c>
      <c r="U642" s="25" t="n">
        <v>0.0878600850701332</v>
      </c>
      <c r="V642" s="25" t="n">
        <v>8.85288047790527</v>
      </c>
      <c r="W642" s="25" t="n">
        <v>0.0203703697770834</v>
      </c>
      <c r="X642" s="25" t="n">
        <v>160.802474975586</v>
      </c>
      <c r="Y642" s="25" t="n">
        <v>110.617286682129</v>
      </c>
      <c r="Z642" s="25" t="n">
        <v>0.555720150470734</v>
      </c>
      <c r="AA642" s="25" t="n">
        <v>0.0658436194062233</v>
      </c>
      <c r="AB642" s="25" t="n">
        <v>0.53559672832489</v>
      </c>
      <c r="AC642" s="25" t="n">
        <v>0.0293415635824204</v>
      </c>
      <c r="AD642" s="25" t="n">
        <v>0.126049384474754</v>
      </c>
      <c r="AE642" s="25" t="n">
        <v>0.0979423895478249</v>
      </c>
      <c r="AF642" s="25" t="n">
        <v>0.45308643579483</v>
      </c>
      <c r="AG642" s="25" t="n">
        <v>0.0492181070148945</v>
      </c>
      <c r="AH642" s="25" t="n">
        <v>5.08930015563965</v>
      </c>
      <c r="AI642" s="25" t="n">
        <v>13.3557615280151</v>
      </c>
      <c r="AJ642" s="6" t="n">
        <v>243</v>
      </c>
      <c r="AK642" s="6" t="n">
        <v>455.7</v>
      </c>
      <c r="AL642" s="26"/>
    </row>
    <row r="643" customFormat="false" ht="15" hidden="false" customHeight="false" outlineLevel="0" collapsed="false">
      <c r="A643" s="6" t="s">
        <v>4080</v>
      </c>
      <c r="B643" s="6" t="s">
        <v>4081</v>
      </c>
      <c r="C643" s="6" t="s">
        <v>3007</v>
      </c>
      <c r="D643" s="13" t="n">
        <v>74.324104309082</v>
      </c>
      <c r="E643" s="25" t="n">
        <v>0.250207483768463</v>
      </c>
      <c r="F643" s="25" t="n">
        <v>18.2204971313477</v>
      </c>
      <c r="G643" s="25" t="n">
        <v>0.319585055112839</v>
      </c>
      <c r="H643" s="25" t="n">
        <v>2.83813261985779</v>
      </c>
      <c r="I643" s="25" t="n">
        <v>17.6746063232422</v>
      </c>
      <c r="J643" s="25" t="n">
        <v>0.0612033195495606</v>
      </c>
      <c r="K643" s="25" t="n">
        <v>0.0218921165466309</v>
      </c>
      <c r="L643" s="25" t="n">
        <v>0.0644356842041016</v>
      </c>
      <c r="M643" s="25" t="n">
        <v>0</v>
      </c>
      <c r="N643" s="25" t="n">
        <v>1.70253109931946</v>
      </c>
      <c r="O643" s="25" t="n">
        <v>68.5643157958984</v>
      </c>
      <c r="P643" s="25" t="n">
        <v>5.93568468093872</v>
      </c>
      <c r="Q643" s="25" t="n">
        <v>5.17842292785645</v>
      </c>
      <c r="R643" s="25" t="n">
        <v>5.86514520645142</v>
      </c>
      <c r="S643" s="25" t="n">
        <v>0.208838164806366</v>
      </c>
      <c r="T643" s="25" t="n">
        <v>0.0620331950485706</v>
      </c>
      <c r="U643" s="25" t="n">
        <v>0.0697095394134522</v>
      </c>
      <c r="V643" s="25" t="n">
        <v>0.0304149370640516</v>
      </c>
      <c r="W643" s="25" t="n">
        <v>0.0639834031462669</v>
      </c>
      <c r="X643" s="25" t="n">
        <v>0</v>
      </c>
      <c r="Y643" s="25" t="n">
        <v>57.7838592529297</v>
      </c>
      <c r="Z643" s="25" t="n">
        <v>0.191742733120918</v>
      </c>
      <c r="AA643" s="25" t="n">
        <v>8.07643127441406</v>
      </c>
      <c r="AB643" s="25" t="n">
        <v>2.06016612052918</v>
      </c>
      <c r="AC643" s="25" t="n">
        <v>0.0126141076907516</v>
      </c>
      <c r="AD643" s="25" t="n">
        <v>0.012655601836741</v>
      </c>
      <c r="AE643" s="25" t="n">
        <v>0.0830290392041206</v>
      </c>
      <c r="AF643" s="25" t="n">
        <v>0.0324896275997162</v>
      </c>
      <c r="AG643" s="25" t="n">
        <v>0.0564315393567085</v>
      </c>
      <c r="AH643" s="25" t="n">
        <v>0.884190857410431</v>
      </c>
      <c r="AI643" s="25" t="n">
        <v>3.59659743309021</v>
      </c>
      <c r="AJ643" s="6" t="n">
        <v>120.5</v>
      </c>
      <c r="AK643" s="6" t="n">
        <v>89.6</v>
      </c>
      <c r="AL643" s="26"/>
    </row>
    <row r="644" customFormat="false" ht="15" hidden="false" customHeight="false" outlineLevel="0" collapsed="false">
      <c r="A644" s="6" t="s">
        <v>4082</v>
      </c>
      <c r="B644" s="6" t="s">
        <v>4083</v>
      </c>
      <c r="C644" s="6" t="s">
        <v>4062</v>
      </c>
      <c r="D644" s="13" t="n">
        <v>240.792785644531</v>
      </c>
      <c r="E644" s="25" t="n">
        <v>1.53738021850586</v>
      </c>
      <c r="F644" s="25" t="n">
        <v>33.640625</v>
      </c>
      <c r="G644" s="25" t="n">
        <v>11.346095085144</v>
      </c>
      <c r="H644" s="25" t="n">
        <v>0.997732520103455</v>
      </c>
      <c r="I644" s="25" t="n">
        <v>21.2884368896484</v>
      </c>
      <c r="J644" s="25" t="n">
        <v>6.72199658203125</v>
      </c>
      <c r="K644" s="25" t="n">
        <v>3.47068701171875</v>
      </c>
      <c r="L644" s="25" t="n">
        <v>0.501091064453125</v>
      </c>
      <c r="M644" s="25" t="n">
        <v>27.5771503448486</v>
      </c>
      <c r="N644" s="25" t="n">
        <v>8.27845287322998</v>
      </c>
      <c r="O644" s="25" t="n">
        <v>105.445610046387</v>
      </c>
      <c r="P644" s="25" t="n">
        <v>26.369665145874</v>
      </c>
      <c r="Q644" s="25" t="n">
        <v>38.8913345336914</v>
      </c>
      <c r="R644" s="25" t="n">
        <v>8.63701057434082</v>
      </c>
      <c r="S644" s="25" t="n">
        <v>0.727721571922302</v>
      </c>
      <c r="T644" s="25" t="n">
        <v>0.207485228776932</v>
      </c>
      <c r="U644" s="25" t="n">
        <v>0.139258041977882</v>
      </c>
      <c r="V644" s="25" t="n">
        <v>0.573175728321075</v>
      </c>
      <c r="W644" s="25" t="n">
        <v>0.105988182127476</v>
      </c>
      <c r="X644" s="25" t="n">
        <v>104.793167114258</v>
      </c>
      <c r="Y644" s="25" t="n">
        <v>1198.21569824219</v>
      </c>
      <c r="Z644" s="25" t="n">
        <v>0.624937653541565</v>
      </c>
      <c r="AA644" s="25" t="n">
        <v>1.44858825206757</v>
      </c>
      <c r="AB644" s="25" t="n">
        <v>0.643589437007904</v>
      </c>
      <c r="AC644" s="25" t="n">
        <v>0.0174217559397221</v>
      </c>
      <c r="AD644" s="25" t="n">
        <v>0.0577128455042839</v>
      </c>
      <c r="AE644" s="25" t="n">
        <v>0.472256511449814</v>
      </c>
      <c r="AF644" s="25" t="n">
        <v>0.228303790092468</v>
      </c>
      <c r="AG644" s="25" t="n">
        <v>0.0378003939986229</v>
      </c>
      <c r="AH644" s="25" t="n">
        <v>0.787297010421753</v>
      </c>
      <c r="AI644" s="25" t="n">
        <v>5.01531839370728</v>
      </c>
      <c r="AJ644" s="6" t="n">
        <v>228.5</v>
      </c>
      <c r="AK644" s="6" t="n">
        <v>550.1</v>
      </c>
      <c r="AL644" s="26"/>
    </row>
    <row r="645" customFormat="false" ht="15" hidden="false" customHeight="false" outlineLevel="0" collapsed="false">
      <c r="A645" s="6" t="s">
        <v>4084</v>
      </c>
      <c r="B645" s="6" t="s">
        <v>4085</v>
      </c>
      <c r="C645" s="6" t="s">
        <v>4086</v>
      </c>
      <c r="D645" s="13" t="n">
        <v>200.595596313477</v>
      </c>
      <c r="E645" s="25" t="n">
        <v>1.84486794471741</v>
      </c>
      <c r="F645" s="25" t="n">
        <v>21.8437728881836</v>
      </c>
      <c r="G645" s="25" t="n">
        <v>12.2893342971802</v>
      </c>
      <c r="H645" s="25" t="n">
        <v>0.05862021073699</v>
      </c>
      <c r="I645" s="25" t="n">
        <v>20.3679618835449</v>
      </c>
      <c r="J645" s="25" t="n">
        <v>7.6797822265625</v>
      </c>
      <c r="K645" s="25" t="n">
        <v>3.55992456054688</v>
      </c>
      <c r="L645" s="25" t="n">
        <v>0.354642486572266</v>
      </c>
      <c r="M645" s="25" t="n">
        <v>31.9369564056397</v>
      </c>
      <c r="N645" s="25" t="n">
        <v>26.341480255127</v>
      </c>
      <c r="O645" s="25" t="n">
        <v>86.9001770019531</v>
      </c>
      <c r="P645" s="25" t="n">
        <v>23.0028533935547</v>
      </c>
      <c r="Q645" s="25" t="n">
        <v>26.3733139038086</v>
      </c>
      <c r="R645" s="25" t="n">
        <v>6.30074644088745</v>
      </c>
      <c r="S645" s="25" t="n">
        <v>0.253831058740616</v>
      </c>
      <c r="T645" s="25" t="n">
        <v>0.129854828119278</v>
      </c>
      <c r="U645" s="25" t="n">
        <v>0.0285953264683485</v>
      </c>
      <c r="V645" s="25" t="n">
        <v>1.99590766429901</v>
      </c>
      <c r="W645" s="25" t="n">
        <v>0.0463514477014542</v>
      </c>
      <c r="X645" s="25" t="n">
        <v>121.360427856445</v>
      </c>
      <c r="Y645" s="25" t="n">
        <v>105.079177856445</v>
      </c>
      <c r="Z645" s="25" t="n">
        <v>0.403425961732864</v>
      </c>
      <c r="AA645" s="25" t="n">
        <v>0.161952167749405</v>
      </c>
      <c r="AB645" s="25" t="n">
        <v>6.5744891166687</v>
      </c>
      <c r="AC645" s="25" t="n">
        <v>0.0145361535251141</v>
      </c>
      <c r="AD645" s="25" t="n">
        <v>0.0717586055397987</v>
      </c>
      <c r="AE645" s="25" t="n">
        <v>0.13225494325161</v>
      </c>
      <c r="AF645" s="25" t="n">
        <v>0.221576109528542</v>
      </c>
      <c r="AG645" s="25" t="n">
        <v>0.0300718918442726</v>
      </c>
      <c r="AH645" s="25" t="n">
        <v>1.01094424724579</v>
      </c>
      <c r="AI645" s="25" t="n">
        <v>5.30443668365479</v>
      </c>
      <c r="AJ645" s="6" t="n">
        <v>361.7</v>
      </c>
      <c r="AK645" s="6" t="n">
        <v>725.5</v>
      </c>
      <c r="AL645" s="26"/>
    </row>
    <row r="646" customFormat="false" ht="15" hidden="false" customHeight="false" outlineLevel="0" collapsed="false">
      <c r="A646" s="6" t="s">
        <v>4087</v>
      </c>
      <c r="B646" s="6" t="s">
        <v>4088</v>
      </c>
      <c r="C646" s="6" t="s">
        <v>3988</v>
      </c>
      <c r="D646" s="13" t="n">
        <v>220.850708007813</v>
      </c>
      <c r="E646" s="25" t="n">
        <v>1.53969466686249</v>
      </c>
      <c r="F646" s="25" t="n">
        <v>35.1666679382324</v>
      </c>
      <c r="G646" s="25" t="n">
        <v>8.87150096893311</v>
      </c>
      <c r="H646" s="25" t="n">
        <v>1.32722640037537</v>
      </c>
      <c r="I646" s="25" t="n">
        <v>27.6949100494385</v>
      </c>
      <c r="J646" s="25" t="n">
        <v>5.353369140625</v>
      </c>
      <c r="K646" s="25" t="n">
        <v>2.14480639648438</v>
      </c>
      <c r="L646" s="25" t="n">
        <v>0.379567443847656</v>
      </c>
      <c r="M646" s="25" t="n">
        <v>21.6793899536133</v>
      </c>
      <c r="N646" s="25" t="n">
        <v>59.3605613708496</v>
      </c>
      <c r="O646" s="25" t="n">
        <v>159.23664855957</v>
      </c>
      <c r="P646" s="25" t="n">
        <v>38.486515045166</v>
      </c>
      <c r="Q646" s="25" t="n">
        <v>26.0447826385498</v>
      </c>
      <c r="R646" s="25" t="n">
        <v>10.2539443969727</v>
      </c>
      <c r="S646" s="25" t="n">
        <v>1.04944014549255</v>
      </c>
      <c r="T646" s="25" t="n">
        <v>0.222646310925484</v>
      </c>
      <c r="U646" s="25" t="n">
        <v>0.0841984748840332</v>
      </c>
      <c r="V646" s="25" t="n">
        <v>1.28447842597961</v>
      </c>
      <c r="W646" s="25" t="n">
        <v>0.140458017587662</v>
      </c>
      <c r="X646" s="25" t="n">
        <v>97.5063629150391</v>
      </c>
      <c r="Y646" s="25" t="n">
        <v>166.656478881836</v>
      </c>
      <c r="Z646" s="25" t="n">
        <v>0.238167941570282</v>
      </c>
      <c r="AA646" s="25" t="n">
        <v>1.80636131763458</v>
      </c>
      <c r="AB646" s="25" t="n">
        <v>3.66284990310669</v>
      </c>
      <c r="AC646" s="25" t="n">
        <v>0.0455470718443394</v>
      </c>
      <c r="AD646" s="25" t="n">
        <v>0.0269465651363134</v>
      </c>
      <c r="AE646" s="25" t="n">
        <v>0.340203553438187</v>
      </c>
      <c r="AF646" s="25" t="n">
        <v>0.0531806610524654</v>
      </c>
      <c r="AG646" s="25" t="n">
        <v>0.0358778610825539</v>
      </c>
      <c r="AH646" s="25" t="n">
        <v>0.162595421075821</v>
      </c>
      <c r="AI646" s="25" t="n">
        <v>8.00508880615234</v>
      </c>
      <c r="AJ646" s="6" t="n">
        <v>98.3</v>
      </c>
      <c r="AK646" s="6" t="n">
        <v>217</v>
      </c>
      <c r="AL646" s="26"/>
    </row>
    <row r="647" customFormat="false" ht="15" hidden="false" customHeight="false" outlineLevel="0" collapsed="false">
      <c r="A647" s="6" t="s">
        <v>4089</v>
      </c>
      <c r="B647" s="6" t="s">
        <v>4090</v>
      </c>
      <c r="C647" s="6" t="s">
        <v>3994</v>
      </c>
      <c r="D647" s="13" t="n">
        <v>301.908203125</v>
      </c>
      <c r="E647" s="25" t="n">
        <v>4.49058818817139</v>
      </c>
      <c r="F647" s="25" t="n">
        <v>29.0636558532715</v>
      </c>
      <c r="G647" s="25" t="n">
        <v>19.0141181945801</v>
      </c>
      <c r="H647" s="25" t="n">
        <v>0.289915978908539</v>
      </c>
      <c r="I647" s="25" t="n">
        <v>19.7245807647705</v>
      </c>
      <c r="J647" s="25" t="n">
        <v>11.625015625</v>
      </c>
      <c r="K647" s="25" t="n">
        <v>5.02672705078125</v>
      </c>
      <c r="L647" s="25" t="n">
        <v>0.767642883300781</v>
      </c>
      <c r="M647" s="25" t="n">
        <v>78.7184829711914</v>
      </c>
      <c r="N647" s="25" t="n">
        <v>100.321006774902</v>
      </c>
      <c r="O647" s="25" t="n">
        <v>131.487396240234</v>
      </c>
      <c r="P647" s="25" t="n">
        <v>67.7605056762695</v>
      </c>
      <c r="Q647" s="25" t="n">
        <v>147.537399291992</v>
      </c>
      <c r="R647" s="25" t="n">
        <v>25.7277297973633</v>
      </c>
      <c r="S647" s="25" t="n">
        <v>0.85344535112381</v>
      </c>
      <c r="T647" s="25" t="n">
        <v>0.637436985969544</v>
      </c>
      <c r="U647" s="25" t="n">
        <v>0.182655468583107</v>
      </c>
      <c r="V647" s="25" t="n">
        <v>4.60714292526245</v>
      </c>
      <c r="W647" s="25" t="n">
        <v>0.0730252116918564</v>
      </c>
      <c r="X647" s="25" t="n">
        <v>201.932769775391</v>
      </c>
      <c r="Y647" s="25" t="n">
        <v>234.474792480469</v>
      </c>
      <c r="Z647" s="25" t="n">
        <v>0.61970591545105</v>
      </c>
      <c r="AA647" s="25" t="n">
        <v>1.55462181568146</v>
      </c>
      <c r="AB647" s="25" t="n">
        <v>0.76008403301239</v>
      </c>
      <c r="AC647" s="25" t="n">
        <v>0.0390378162264824</v>
      </c>
      <c r="AD647" s="25" t="n">
        <v>0.0835084021091461</v>
      </c>
      <c r="AE647" s="25" t="n">
        <v>0.181617647409439</v>
      </c>
      <c r="AF647" s="25" t="n">
        <v>0.368214279413223</v>
      </c>
      <c r="AG647" s="25" t="n">
        <v>0.0427983179688454</v>
      </c>
      <c r="AH647" s="25" t="n">
        <v>2.76344537734985</v>
      </c>
      <c r="AI647" s="25" t="n">
        <v>10.8443279266357</v>
      </c>
      <c r="AJ647" s="6" t="n">
        <v>238</v>
      </c>
      <c r="AK647" s="6" t="n">
        <v>718.5</v>
      </c>
      <c r="AL647" s="26"/>
    </row>
    <row r="648" customFormat="false" ht="15" hidden="false" customHeight="false" outlineLevel="0" collapsed="false">
      <c r="A648" s="6" t="s">
        <v>4091</v>
      </c>
      <c r="B648" s="6" t="s">
        <v>4092</v>
      </c>
      <c r="C648" s="6" t="s">
        <v>3007</v>
      </c>
      <c r="D648" s="13" t="n">
        <v>155.250457763672</v>
      </c>
      <c r="E648" s="25" t="n">
        <v>5.28814792633057</v>
      </c>
      <c r="F648" s="25" t="n">
        <v>16.3108654022217</v>
      </c>
      <c r="G648" s="25" t="n">
        <v>7.93432092666626</v>
      </c>
      <c r="H648" s="25" t="n">
        <v>0.136296302080154</v>
      </c>
      <c r="I648" s="25" t="n">
        <v>12.0698766708374</v>
      </c>
      <c r="J648" s="25" t="n">
        <v>4.130298828125</v>
      </c>
      <c r="K648" s="25" t="n">
        <v>2.33506860351563</v>
      </c>
      <c r="L648" s="25" t="n">
        <v>0.566493835449219</v>
      </c>
      <c r="M648" s="25" t="n">
        <v>116.79012298584</v>
      </c>
      <c r="N648" s="25" t="n">
        <v>47.754322052002</v>
      </c>
      <c r="O648" s="25" t="n">
        <v>106.740737915039</v>
      </c>
      <c r="P648" s="25" t="n">
        <v>48.7688903808594</v>
      </c>
      <c r="Q648" s="25" t="n">
        <v>90.500862121582</v>
      </c>
      <c r="R648" s="25" t="n">
        <v>9.19580268859863</v>
      </c>
      <c r="S648" s="25" t="n">
        <v>0.553456783294678</v>
      </c>
      <c r="T648" s="25" t="n">
        <v>0.330246895551682</v>
      </c>
      <c r="U648" s="25" t="n">
        <v>0.0411111116409302</v>
      </c>
      <c r="V648" s="25" t="n">
        <v>9.89419746398926</v>
      </c>
      <c r="W648" s="25" t="n">
        <v>0.0390123464167118</v>
      </c>
      <c r="X648" s="25" t="n">
        <v>100.543212890625</v>
      </c>
      <c r="Y648" s="25" t="n">
        <v>127.65308380127</v>
      </c>
      <c r="Z648" s="25" t="n">
        <v>0.448888897895813</v>
      </c>
      <c r="AA648" s="25" t="n">
        <v>0.637037038803101</v>
      </c>
      <c r="AB648" s="25" t="n">
        <v>10.6395063400269</v>
      </c>
      <c r="AC648" s="25" t="n">
        <v>0.0385185182094574</v>
      </c>
      <c r="AD648" s="25" t="n">
        <v>0.0854320973157883</v>
      </c>
      <c r="AE648" s="25" t="n">
        <v>0.152716055512428</v>
      </c>
      <c r="AF648" s="25" t="n">
        <v>0.709506154060364</v>
      </c>
      <c r="AG648" s="25" t="n">
        <v>0.0523456782102585</v>
      </c>
      <c r="AH648" s="25" t="n">
        <v>8.12098789215088</v>
      </c>
      <c r="AI648" s="25" t="n">
        <v>17.0397529602051</v>
      </c>
      <c r="AJ648" s="6" t="n">
        <v>121.5</v>
      </c>
      <c r="AK648" s="6" t="n">
        <v>188.6</v>
      </c>
      <c r="AL648" s="26"/>
    </row>
    <row r="649" customFormat="false" ht="15" hidden="false" customHeight="false" outlineLevel="0" collapsed="false">
      <c r="A649" s="6" t="s">
        <v>4093</v>
      </c>
      <c r="B649" s="6" t="s">
        <v>4094</v>
      </c>
      <c r="C649" s="6" t="s">
        <v>3299</v>
      </c>
      <c r="D649" s="13" t="n">
        <v>471.153656005859</v>
      </c>
      <c r="E649" s="25" t="n">
        <v>0.852587997913361</v>
      </c>
      <c r="F649" s="25" t="n">
        <v>28.2423191070557</v>
      </c>
      <c r="G649" s="25" t="n">
        <v>40.1512222290039</v>
      </c>
      <c r="H649" s="25" t="n">
        <v>0.0457142852246761</v>
      </c>
      <c r="I649" s="25" t="n">
        <v>27.0405788421631</v>
      </c>
      <c r="J649" s="25" t="n">
        <v>5.03447705078125</v>
      </c>
      <c r="K649" s="25" t="n">
        <v>8.2636708984375</v>
      </c>
      <c r="L649" s="25" t="n">
        <v>25.1830234375</v>
      </c>
      <c r="M649" s="25" t="n">
        <v>1.24968945980072</v>
      </c>
      <c r="N649" s="25" t="n">
        <v>67.2833099365234</v>
      </c>
      <c r="O649" s="25" t="n">
        <v>33.6811599731445</v>
      </c>
      <c r="P649" s="25" t="n">
        <v>26.126708984375</v>
      </c>
      <c r="Q649" s="25" t="n">
        <v>22.3824424743652</v>
      </c>
      <c r="R649" s="25" t="n">
        <v>3.16124224662781</v>
      </c>
      <c r="S649" s="25" t="n">
        <v>0.126211181282997</v>
      </c>
      <c r="T649" s="25" t="n">
        <v>0.123395450413227</v>
      </c>
      <c r="U649" s="25" t="n">
        <v>0.0373498983681202</v>
      </c>
      <c r="V649" s="25" t="n">
        <v>0.247204959392548</v>
      </c>
      <c r="W649" s="25" t="n">
        <v>0.010683230124414</v>
      </c>
      <c r="X649" s="25" t="n">
        <v>3.52795028686523</v>
      </c>
      <c r="Y649" s="25" t="n">
        <v>11.2670803070068</v>
      </c>
      <c r="Z649" s="25" t="n">
        <v>19.5793380737305</v>
      </c>
      <c r="AA649" s="25" t="n">
        <v>2.52091097831726</v>
      </c>
      <c r="AB649" s="25" t="n">
        <v>0.136894404888153</v>
      </c>
      <c r="AC649" s="25" t="n">
        <v>0.00894409883767366</v>
      </c>
      <c r="AD649" s="25" t="n">
        <v>0.0346583873033524</v>
      </c>
      <c r="AE649" s="25" t="n">
        <v>0.0321325063705444</v>
      </c>
      <c r="AF649" s="25" t="n">
        <v>0.0762732923030853</v>
      </c>
      <c r="AG649" s="25" t="n">
        <v>0.00803312659263611</v>
      </c>
      <c r="AH649" s="25" t="n">
        <v>0.354451358318329</v>
      </c>
      <c r="AI649" s="25" t="n">
        <v>1.51213252544403</v>
      </c>
      <c r="AJ649" s="6" t="n">
        <v>301.9</v>
      </c>
      <c r="AK649" s="6" t="n">
        <v>1422.3</v>
      </c>
      <c r="AL649" s="26" t="s">
        <v>3146</v>
      </c>
    </row>
    <row r="650" customFormat="false" ht="15" hidden="false" customHeight="false" outlineLevel="0" collapsed="false">
      <c r="A650" s="6" t="s">
        <v>2009</v>
      </c>
      <c r="B650" s="6" t="s">
        <v>4095</v>
      </c>
      <c r="C650" s="6" t="s">
        <v>3299</v>
      </c>
      <c r="D650" s="13" t="n">
        <v>130.053741455078</v>
      </c>
      <c r="E650" s="25" t="n">
        <v>1.51685643196106</v>
      </c>
      <c r="F650" s="25" t="n">
        <v>28.2698402404785</v>
      </c>
      <c r="G650" s="25" t="n">
        <v>1.91701686382294</v>
      </c>
      <c r="H650" s="25" t="n">
        <v>0.0154931843280792</v>
      </c>
      <c r="I650" s="25" t="n">
        <v>27.841724395752</v>
      </c>
      <c r="J650" s="25" t="n">
        <v>1.15656762695313</v>
      </c>
      <c r="K650" s="25" t="n">
        <v>0.518664367675781</v>
      </c>
      <c r="L650" s="25" t="n">
        <v>0.0609631118774414</v>
      </c>
      <c r="M650" s="25" t="n">
        <v>0.0962309613823891</v>
      </c>
      <c r="N650" s="25" t="n">
        <v>16.6516284942627</v>
      </c>
      <c r="O650" s="25" t="n">
        <v>64.6720123291016</v>
      </c>
      <c r="P650" s="25" t="n">
        <v>62.5844421386719</v>
      </c>
      <c r="Q650" s="25" t="n">
        <v>49.4040069580078</v>
      </c>
      <c r="R650" s="25" t="n">
        <v>5.13490772247315</v>
      </c>
      <c r="S650" s="25" t="n">
        <v>0.129502803087235</v>
      </c>
      <c r="T650" s="25" t="n">
        <v>0.210633516311646</v>
      </c>
      <c r="U650" s="25" t="n">
        <v>0.0454611070454121</v>
      </c>
      <c r="V650" s="25" t="n">
        <v>0.576984763145447</v>
      </c>
      <c r="W650" s="25" t="n">
        <v>0.00797914993017912</v>
      </c>
      <c r="X650" s="25" t="n">
        <v>0.192461922764778</v>
      </c>
      <c r="Y650" s="25" t="n">
        <v>86.519645690918</v>
      </c>
      <c r="Z650" s="25" t="n">
        <v>0.0937850847840309</v>
      </c>
      <c r="AA650" s="25" t="n">
        <v>0.00561347231268883</v>
      </c>
      <c r="AB650" s="25" t="n">
        <v>0.863913416862488</v>
      </c>
      <c r="AC650" s="25" t="n">
        <v>0.0176343228667975</v>
      </c>
      <c r="AD650" s="25" t="n">
        <v>0.0605613477528095</v>
      </c>
      <c r="AE650" s="25" t="n">
        <v>0.0459262244403362</v>
      </c>
      <c r="AF650" s="25" t="n">
        <v>0.185212507843971</v>
      </c>
      <c r="AG650" s="25" t="n">
        <v>0.0214915797114372</v>
      </c>
      <c r="AH650" s="25" t="n">
        <v>0.84479546546936</v>
      </c>
      <c r="AI650" s="25" t="n">
        <v>3.27157187461853</v>
      </c>
      <c r="AJ650" s="6" t="n">
        <v>311.7</v>
      </c>
      <c r="AK650" s="6" t="n">
        <v>405.4</v>
      </c>
      <c r="AL650" s="26"/>
    </row>
    <row r="651" customFormat="false" ht="15" hidden="false" customHeight="false" outlineLevel="0" collapsed="false">
      <c r="A651" s="6" t="s">
        <v>4096</v>
      </c>
      <c r="B651" s="6" t="s">
        <v>4097</v>
      </c>
      <c r="C651" s="6" t="s">
        <v>3299</v>
      </c>
      <c r="D651" s="13" t="n">
        <v>130.053741455078</v>
      </c>
      <c r="E651" s="25" t="n">
        <v>1.51685643196106</v>
      </c>
      <c r="F651" s="25" t="n">
        <v>28.2698402404785</v>
      </c>
      <c r="G651" s="25" t="n">
        <v>1.91701686382294</v>
      </c>
      <c r="H651" s="25" t="n">
        <v>0.0154931843280792</v>
      </c>
      <c r="I651" s="25" t="n">
        <v>27.841724395752</v>
      </c>
      <c r="J651" s="25" t="n">
        <v>1.15656762695313</v>
      </c>
      <c r="K651" s="25" t="n">
        <v>0.518664367675781</v>
      </c>
      <c r="L651" s="25" t="n">
        <v>0.0609631118774414</v>
      </c>
      <c r="M651" s="25" t="n">
        <v>0.0962309613823891</v>
      </c>
      <c r="N651" s="25" t="n">
        <v>16.6516284942627</v>
      </c>
      <c r="O651" s="25" t="n">
        <v>64.6720123291016</v>
      </c>
      <c r="P651" s="25" t="n">
        <v>62.5844421386719</v>
      </c>
      <c r="Q651" s="25" t="n">
        <v>49.4040069580078</v>
      </c>
      <c r="R651" s="25" t="n">
        <v>5.13490772247315</v>
      </c>
      <c r="S651" s="25" t="n">
        <v>0.129502803087235</v>
      </c>
      <c r="T651" s="25" t="n">
        <v>0.210633516311646</v>
      </c>
      <c r="U651" s="25" t="n">
        <v>0.0454611070454121</v>
      </c>
      <c r="V651" s="25" t="n">
        <v>0.576984763145447</v>
      </c>
      <c r="W651" s="25" t="n">
        <v>0.00797914993017912</v>
      </c>
      <c r="X651" s="25" t="n">
        <v>0.192461922764778</v>
      </c>
      <c r="Y651" s="25" t="n">
        <v>86.519645690918</v>
      </c>
      <c r="Z651" s="25" t="n">
        <v>0.0937850847840309</v>
      </c>
      <c r="AA651" s="25" t="n">
        <v>0.00561347231268883</v>
      </c>
      <c r="AB651" s="25" t="n">
        <v>0.863913416862488</v>
      </c>
      <c r="AC651" s="25" t="n">
        <v>0.0176343228667975</v>
      </c>
      <c r="AD651" s="25" t="n">
        <v>0.0605613477528095</v>
      </c>
      <c r="AE651" s="25" t="n">
        <v>0.0459262244403362</v>
      </c>
      <c r="AF651" s="25" t="n">
        <v>0.185212507843971</v>
      </c>
      <c r="AG651" s="25" t="n">
        <v>0.0214915797114372</v>
      </c>
      <c r="AH651" s="25" t="n">
        <v>0.84479546546936</v>
      </c>
      <c r="AI651" s="25" t="n">
        <v>3.27157187461853</v>
      </c>
      <c r="AJ651" s="6" t="n">
        <v>311.7</v>
      </c>
      <c r="AK651" s="6" t="n">
        <v>405.4</v>
      </c>
      <c r="AL651" s="26"/>
    </row>
    <row r="652" customFormat="false" ht="15" hidden="false" customHeight="false" outlineLevel="0" collapsed="false">
      <c r="A652" s="6" t="s">
        <v>4098</v>
      </c>
      <c r="B652" s="6" t="s">
        <v>4099</v>
      </c>
      <c r="C652" s="6" t="s">
        <v>3299</v>
      </c>
      <c r="D652" s="13" t="n">
        <v>130.053741455078</v>
      </c>
      <c r="E652" s="25" t="n">
        <v>1.51685643196106</v>
      </c>
      <c r="F652" s="25" t="n">
        <v>28.2698402404785</v>
      </c>
      <c r="G652" s="25" t="n">
        <v>1.91701686382294</v>
      </c>
      <c r="H652" s="25" t="n">
        <v>0.0154931843280792</v>
      </c>
      <c r="I652" s="25" t="n">
        <v>27.841724395752</v>
      </c>
      <c r="J652" s="25" t="n">
        <v>1.15656762695313</v>
      </c>
      <c r="K652" s="25" t="n">
        <v>0.518664367675781</v>
      </c>
      <c r="L652" s="25" t="n">
        <v>0.0609631118774414</v>
      </c>
      <c r="M652" s="25" t="n">
        <v>0.0962309613823891</v>
      </c>
      <c r="N652" s="25" t="n">
        <v>16.6516284942627</v>
      </c>
      <c r="O652" s="25" t="n">
        <v>64.6720123291016</v>
      </c>
      <c r="P652" s="25" t="n">
        <v>62.5844421386719</v>
      </c>
      <c r="Q652" s="25" t="n">
        <v>49.4040069580078</v>
      </c>
      <c r="R652" s="25" t="n">
        <v>5.13490772247315</v>
      </c>
      <c r="S652" s="25" t="n">
        <v>0.129502803087235</v>
      </c>
      <c r="T652" s="25" t="n">
        <v>0.210633516311646</v>
      </c>
      <c r="U652" s="25" t="n">
        <v>0.0454611070454121</v>
      </c>
      <c r="V652" s="25" t="n">
        <v>0.576984763145447</v>
      </c>
      <c r="W652" s="25" t="n">
        <v>0.00797914993017912</v>
      </c>
      <c r="X652" s="25" t="n">
        <v>0.192461922764778</v>
      </c>
      <c r="Y652" s="25" t="n">
        <v>86.519645690918</v>
      </c>
      <c r="Z652" s="25" t="n">
        <v>0.0937850847840309</v>
      </c>
      <c r="AA652" s="25" t="n">
        <v>0.00561347231268883</v>
      </c>
      <c r="AB652" s="25" t="n">
        <v>0.863913416862488</v>
      </c>
      <c r="AC652" s="25" t="n">
        <v>0.0176343228667975</v>
      </c>
      <c r="AD652" s="25" t="n">
        <v>0.0605613477528095</v>
      </c>
      <c r="AE652" s="25" t="n">
        <v>0.0459262244403362</v>
      </c>
      <c r="AF652" s="25" t="n">
        <v>0.185212507843971</v>
      </c>
      <c r="AG652" s="25" t="n">
        <v>0.0214915797114372</v>
      </c>
      <c r="AH652" s="25" t="n">
        <v>0.84479546546936</v>
      </c>
      <c r="AI652" s="25" t="n">
        <v>3.27157187461853</v>
      </c>
      <c r="AJ652" s="6" t="n">
        <v>311.7</v>
      </c>
      <c r="AK652" s="6" t="n">
        <v>405.4</v>
      </c>
      <c r="AL652" s="26"/>
    </row>
    <row r="653" customFormat="false" ht="15" hidden="false" customHeight="false" outlineLevel="0" collapsed="false">
      <c r="A653" s="6" t="s">
        <v>4100</v>
      </c>
      <c r="B653" s="6" t="s">
        <v>4101</v>
      </c>
      <c r="C653" s="6" t="s">
        <v>3299</v>
      </c>
      <c r="D653" s="13" t="n">
        <v>133.697784423828</v>
      </c>
      <c r="E653" s="25" t="n">
        <v>1.71120643615723</v>
      </c>
      <c r="F653" s="25" t="n">
        <v>28.1590156555176</v>
      </c>
      <c r="G653" s="25" t="n">
        <v>2.27818155288696</v>
      </c>
      <c r="H653" s="25" t="n">
        <v>0.11006835103035</v>
      </c>
      <c r="I653" s="25" t="n">
        <v>27.6642112731934</v>
      </c>
      <c r="J653" s="25" t="n">
        <v>1.18226147460938</v>
      </c>
      <c r="K653" s="25" t="n">
        <v>0.682483581542969</v>
      </c>
      <c r="L653" s="25" t="n">
        <v>0.166759017944336</v>
      </c>
      <c r="M653" s="25" t="n">
        <v>0.095374345779419</v>
      </c>
      <c r="N653" s="25" t="n">
        <v>16.5650901794434</v>
      </c>
      <c r="O653" s="25" t="n">
        <v>73.4697189331055</v>
      </c>
      <c r="P653" s="25" t="n">
        <v>63.2290573120117</v>
      </c>
      <c r="Q653" s="25" t="n">
        <v>53.7443962097168</v>
      </c>
      <c r="R653" s="25" t="n">
        <v>6.41553831100464</v>
      </c>
      <c r="S653" s="25" t="n">
        <v>0.168407246470451</v>
      </c>
      <c r="T653" s="25" t="n">
        <v>0.230300426483154</v>
      </c>
      <c r="U653" s="25" t="n">
        <v>0.0529788583517075</v>
      </c>
      <c r="V653" s="25" t="n">
        <v>0.664959490299225</v>
      </c>
      <c r="W653" s="25" t="n">
        <v>0.0156525187194347</v>
      </c>
      <c r="X653" s="25" t="n">
        <v>0.190748691558838</v>
      </c>
      <c r="Y653" s="25" t="n">
        <v>90.3694152832031</v>
      </c>
      <c r="Z653" s="25" t="n">
        <v>0.394892692565918</v>
      </c>
      <c r="AA653" s="25" t="n">
        <v>0.17157843708992</v>
      </c>
      <c r="AB653" s="25" t="n">
        <v>0.856223165988922</v>
      </c>
      <c r="AC653" s="25" t="n">
        <v>0.0262009222060442</v>
      </c>
      <c r="AD653" s="25" t="n">
        <v>0.0603783205151558</v>
      </c>
      <c r="AE653" s="25" t="n">
        <v>0.0531727857887745</v>
      </c>
      <c r="AF653" s="25" t="n">
        <v>0.188726752996445</v>
      </c>
      <c r="AG653" s="25" t="n">
        <v>0.0298458114266396</v>
      </c>
      <c r="AH653" s="25" t="n">
        <v>0.942492425441742</v>
      </c>
      <c r="AI653" s="25" t="n">
        <v>3.82016372680664</v>
      </c>
      <c r="AJ653" s="6" t="n">
        <v>314.5</v>
      </c>
      <c r="AK653" s="6" t="n">
        <v>420.5</v>
      </c>
      <c r="AL653" s="26"/>
    </row>
    <row r="654" customFormat="false" ht="15" hidden="false" customHeight="false" outlineLevel="0" collapsed="false">
      <c r="A654" s="6" t="s">
        <v>2000</v>
      </c>
      <c r="B654" s="6" t="s">
        <v>1998</v>
      </c>
      <c r="C654" s="6" t="s">
        <v>3299</v>
      </c>
      <c r="D654" s="13" t="n">
        <v>118.637168884277</v>
      </c>
      <c r="E654" s="25" t="n">
        <v>1.38370144367218</v>
      </c>
      <c r="F654" s="25" t="n">
        <v>25.788215637207</v>
      </c>
      <c r="G654" s="25" t="n">
        <v>1.74873447418213</v>
      </c>
      <c r="H654" s="25" t="n">
        <v>0.0141331385821104</v>
      </c>
      <c r="I654" s="25" t="n">
        <v>25.3976802825928</v>
      </c>
      <c r="J654" s="25" t="n">
        <v>1.05504016113281</v>
      </c>
      <c r="K654" s="25" t="n">
        <v>0.473134216308594</v>
      </c>
      <c r="L654" s="25" t="n">
        <v>0.0556115570068359</v>
      </c>
      <c r="M654" s="25" t="n">
        <v>0.087783470749855</v>
      </c>
      <c r="N654" s="25" t="n">
        <v>15.1898899078369</v>
      </c>
      <c r="O654" s="25" t="n">
        <v>58.9948806762695</v>
      </c>
      <c r="P654" s="25" t="n">
        <v>57.0905647277832</v>
      </c>
      <c r="Q654" s="25" t="n">
        <v>45.0671539306641</v>
      </c>
      <c r="R654" s="25" t="n">
        <v>4.68414783477783</v>
      </c>
      <c r="S654" s="25" t="n">
        <v>0.11813460290432</v>
      </c>
      <c r="T654" s="25" t="n">
        <v>0.192143380641937</v>
      </c>
      <c r="U654" s="25" t="n">
        <v>0.0414703749120235</v>
      </c>
      <c r="V654" s="25" t="n">
        <v>0.526335060596466</v>
      </c>
      <c r="W654" s="25" t="n">
        <v>0.00727871246635914</v>
      </c>
      <c r="X654" s="25" t="n">
        <v>0.17556694149971</v>
      </c>
      <c r="Y654" s="25" t="n">
        <v>78.9246520996094</v>
      </c>
      <c r="Z654" s="25" t="n">
        <v>0.085552304983139</v>
      </c>
      <c r="AA654" s="25" t="n">
        <v>0.00512070208787918</v>
      </c>
      <c r="AB654" s="25" t="n">
        <v>0.788076102733612</v>
      </c>
      <c r="AC654" s="25" t="n">
        <v>0.01608632132411</v>
      </c>
      <c r="AD654" s="25" t="n">
        <v>0.0552450641989708</v>
      </c>
      <c r="AE654" s="25" t="n">
        <v>0.0418946593999863</v>
      </c>
      <c r="AF654" s="25" t="n">
        <v>0.168953910470009</v>
      </c>
      <c r="AG654" s="25" t="n">
        <v>0.0196049753576517</v>
      </c>
      <c r="AH654" s="25" t="n">
        <v>0.770636379718781</v>
      </c>
      <c r="AI654" s="25" t="n">
        <v>2.98438191413879</v>
      </c>
      <c r="AJ654" s="6" t="n">
        <v>341.7</v>
      </c>
      <c r="AK654" s="6" t="n">
        <v>405.4</v>
      </c>
      <c r="AL654" s="26"/>
    </row>
    <row r="655" customFormat="false" ht="15" hidden="false" customHeight="false" outlineLevel="0" collapsed="false">
      <c r="A655" s="6" t="s">
        <v>2005</v>
      </c>
      <c r="B655" s="6" t="s">
        <v>2004</v>
      </c>
      <c r="C655" s="6" t="s">
        <v>3299</v>
      </c>
      <c r="D655" s="13" t="n">
        <v>135.549118041992</v>
      </c>
      <c r="E655" s="25" t="n">
        <v>1.61344838142395</v>
      </c>
      <c r="F655" s="25" t="n">
        <v>29.171350479126</v>
      </c>
      <c r="G655" s="25" t="n">
        <v>2.10765266418457</v>
      </c>
      <c r="H655" s="25" t="n">
        <v>0.0715270787477493</v>
      </c>
      <c r="I655" s="25" t="n">
        <v>28.7086849212647</v>
      </c>
      <c r="J655" s="25" t="n">
        <v>1.15725170898438</v>
      </c>
      <c r="K655" s="25" t="n">
        <v>0.609518737792969</v>
      </c>
      <c r="L655" s="25" t="n">
        <v>0.123094581604004</v>
      </c>
      <c r="M655" s="25" t="n">
        <v>0.0945075377821922</v>
      </c>
      <c r="N655" s="25" t="n">
        <v>16.4554557800293</v>
      </c>
      <c r="O655" s="25" t="n">
        <v>69.1768112182617</v>
      </c>
      <c r="P655" s="25" t="n">
        <v>62.3058280944824</v>
      </c>
      <c r="Q655" s="25" t="n">
        <v>51.3777923583984</v>
      </c>
      <c r="R655" s="25" t="n">
        <v>5.85671854019165</v>
      </c>
      <c r="S655" s="25" t="n">
        <v>0.153694465756416</v>
      </c>
      <c r="T655" s="25" t="n">
        <v>0.220929011702538</v>
      </c>
      <c r="U655" s="25" t="n">
        <v>0.050874512642622</v>
      </c>
      <c r="V655" s="25" t="n">
        <v>0.622010171413422</v>
      </c>
      <c r="W655" s="25" t="n">
        <v>0.0128879928961396</v>
      </c>
      <c r="X655" s="25" t="n">
        <v>0.189015075564385</v>
      </c>
      <c r="Y655" s="25" t="n">
        <v>87.7169189453125</v>
      </c>
      <c r="Z655" s="25" t="n">
        <v>0.2716244161129</v>
      </c>
      <c r="AA655" s="25" t="n">
        <v>0.104216605424881</v>
      </c>
      <c r="AB655" s="25" t="n">
        <v>0.848441421985626</v>
      </c>
      <c r="AC655" s="25" t="n">
        <v>0.0225050803273916</v>
      </c>
      <c r="AD655" s="25" t="n">
        <v>0.0596884414553642</v>
      </c>
      <c r="AE655" s="25" t="n">
        <v>0.0496552065014839</v>
      </c>
      <c r="AF655" s="25" t="n">
        <v>0.184965118765831</v>
      </c>
      <c r="AG655" s="25" t="n">
        <v>0.0261874087154865</v>
      </c>
      <c r="AH655" s="25" t="n">
        <v>0.892222285270691</v>
      </c>
      <c r="AI655" s="25" t="n">
        <v>3.55645895004273</v>
      </c>
      <c r="AJ655" s="6" t="n">
        <v>317.4</v>
      </c>
      <c r="AK655" s="6" t="n">
        <v>430.3</v>
      </c>
      <c r="AL655" s="26"/>
    </row>
    <row r="656" customFormat="false" ht="15" hidden="false" customHeight="false" outlineLevel="0" collapsed="false">
      <c r="A656" s="6" t="s">
        <v>4102</v>
      </c>
      <c r="B656" s="6" t="s">
        <v>4103</v>
      </c>
      <c r="C656" s="6" t="s">
        <v>3299</v>
      </c>
      <c r="D656" s="13" t="n">
        <v>411.454040527344</v>
      </c>
      <c r="E656" s="25" t="n">
        <v>9.97810935974121</v>
      </c>
      <c r="F656" s="25" t="n">
        <v>36.5485572814941</v>
      </c>
      <c r="G656" s="25" t="n">
        <v>26.0079593658447</v>
      </c>
      <c r="H656" s="25" t="n">
        <v>4.0651741027832</v>
      </c>
      <c r="I656" s="25" t="n">
        <v>35.5959205627441</v>
      </c>
      <c r="J656" s="25" t="n">
        <v>17.169771484375</v>
      </c>
      <c r="K656" s="25" t="n">
        <v>3.74522875976563</v>
      </c>
      <c r="L656" s="25" t="n">
        <v>0.627029846191406</v>
      </c>
      <c r="M656" s="25" t="n">
        <v>0</v>
      </c>
      <c r="N656" s="25" t="n">
        <v>31.1418399810791</v>
      </c>
      <c r="O656" s="25" t="n">
        <v>459.512451171875</v>
      </c>
      <c r="P656" s="25" t="n">
        <v>309.840789794922</v>
      </c>
      <c r="Q656" s="25" t="n">
        <v>288.218902587891</v>
      </c>
      <c r="R656" s="25" t="n">
        <v>54.9427833557129</v>
      </c>
      <c r="S656" s="25" t="n">
        <v>2.09865665435791</v>
      </c>
      <c r="T656" s="25" t="n">
        <v>1.55825865268707</v>
      </c>
      <c r="U656" s="25" t="n">
        <v>0.275721400976181</v>
      </c>
      <c r="V656" s="25" t="n">
        <v>28.7124881744385</v>
      </c>
      <c r="W656" s="25" t="n">
        <v>0.629253745079041</v>
      </c>
      <c r="X656" s="25" t="n">
        <v>0</v>
      </c>
      <c r="Y656" s="25" t="n">
        <v>140.129348754883</v>
      </c>
      <c r="Z656" s="25" t="n">
        <v>1.5262188911438</v>
      </c>
      <c r="AA656" s="25" t="n">
        <v>0.75029855966568</v>
      </c>
      <c r="AB656" s="25" t="n">
        <v>0</v>
      </c>
      <c r="AC656" s="25" t="n">
        <v>0.0652736276388168</v>
      </c>
      <c r="AD656" s="25" t="n">
        <v>0.0650248751044273</v>
      </c>
      <c r="AE656" s="25" t="n">
        <v>0.396169155836105</v>
      </c>
      <c r="AF656" s="25" t="n">
        <v>0.21776120364666</v>
      </c>
      <c r="AG656" s="25" t="n">
        <v>0.067910447716713</v>
      </c>
      <c r="AH656" s="25" t="n">
        <v>10.4200992584229</v>
      </c>
      <c r="AI656" s="25" t="n">
        <v>52.9420394897461</v>
      </c>
      <c r="AJ656" s="6" t="n">
        <v>50.3</v>
      </c>
      <c r="AK656" s="6" t="n">
        <v>206.8</v>
      </c>
      <c r="AL656" s="26"/>
    </row>
    <row r="657" customFormat="false" ht="15" hidden="false" customHeight="false" outlineLevel="0" collapsed="false">
      <c r="A657" s="6" t="s">
        <v>4104</v>
      </c>
      <c r="B657" s="6" t="s">
        <v>4105</v>
      </c>
      <c r="C657" s="6" t="s">
        <v>3299</v>
      </c>
      <c r="D657" s="13" t="n">
        <v>102.677528381348</v>
      </c>
      <c r="E657" s="25" t="n">
        <v>3.242760181427</v>
      </c>
      <c r="F657" s="25" t="n">
        <v>12.3259983062744</v>
      </c>
      <c r="G657" s="25" t="n">
        <v>4.72036075592041</v>
      </c>
      <c r="H657" s="25" t="n">
        <v>0.0886405408382416</v>
      </c>
      <c r="I657" s="25" t="n">
        <v>11.9831972122192</v>
      </c>
      <c r="J657" s="25" t="n">
        <v>2.53285180664063</v>
      </c>
      <c r="K657" s="25" t="n">
        <v>1.49444604492188</v>
      </c>
      <c r="L657" s="25" t="n">
        <v>0.262281555175781</v>
      </c>
      <c r="M657" s="25" t="n">
        <v>0</v>
      </c>
      <c r="N657" s="25" t="n">
        <v>23.305534362793</v>
      </c>
      <c r="O657" s="25" t="n">
        <v>116.635925292969</v>
      </c>
      <c r="P657" s="25" t="n">
        <v>107.530578613281</v>
      </c>
      <c r="Q657" s="25" t="n">
        <v>94.7448196411133</v>
      </c>
      <c r="R657" s="25" t="n">
        <v>11.9133653640747</v>
      </c>
      <c r="S657" s="25" t="n">
        <v>0.242810875177383</v>
      </c>
      <c r="T657" s="25" t="n">
        <v>0.377500802278519</v>
      </c>
      <c r="U657" s="25" t="n">
        <v>0.0655670091509819</v>
      </c>
      <c r="V657" s="25" t="n">
        <v>1.06556308269501</v>
      </c>
      <c r="W657" s="25" t="n">
        <v>0.0336439423263073</v>
      </c>
      <c r="X657" s="25" t="n">
        <v>0</v>
      </c>
      <c r="Y657" s="25" t="n">
        <v>181.276397705078</v>
      </c>
      <c r="Z657" s="25" t="n">
        <v>0.351828247308731</v>
      </c>
      <c r="AA657" s="25" t="n">
        <v>0.0965535864233971</v>
      </c>
      <c r="AB657" s="25" t="n">
        <v>2.40651273727417</v>
      </c>
      <c r="AC657" s="25" t="n">
        <v>0.0385718382894993</v>
      </c>
      <c r="AD657" s="25" t="n">
        <v>0.0991043150424957</v>
      </c>
      <c r="AE657" s="25" t="n">
        <v>0.0890789031982422</v>
      </c>
      <c r="AF657" s="25" t="n">
        <v>0.325323313474655</v>
      </c>
      <c r="AG657" s="25" t="n">
        <v>0.0424333512783051</v>
      </c>
      <c r="AH657" s="25" t="n">
        <v>1.84945344924927</v>
      </c>
      <c r="AI657" s="25" t="n">
        <v>6.97478628158569</v>
      </c>
      <c r="AJ657" s="6" t="n">
        <v>139.7</v>
      </c>
      <c r="AK657" s="6" t="n">
        <v>143.5</v>
      </c>
      <c r="AL657" s="26"/>
    </row>
    <row r="658" customFormat="false" ht="15" hidden="false" customHeight="false" outlineLevel="0" collapsed="false">
      <c r="A658" s="6" t="s">
        <v>4106</v>
      </c>
      <c r="B658" s="6" t="s">
        <v>4107</v>
      </c>
      <c r="C658" s="6" t="s">
        <v>3299</v>
      </c>
      <c r="D658" s="13" t="n">
        <v>348.671325683594</v>
      </c>
      <c r="E658" s="25" t="n">
        <v>3.46679210662842</v>
      </c>
      <c r="F658" s="25" t="n">
        <v>47.0986213684082</v>
      </c>
      <c r="G658" s="25" t="n">
        <v>16.8637866973877</v>
      </c>
      <c r="H658" s="25" t="n">
        <v>2.8000214099884</v>
      </c>
      <c r="I658" s="25" t="n">
        <v>28.6700916290283</v>
      </c>
      <c r="J658" s="25" t="n">
        <v>9.5276845703125</v>
      </c>
      <c r="K658" s="25" t="n">
        <v>4.1371875</v>
      </c>
      <c r="L658" s="25" t="n">
        <v>0.818782043457031</v>
      </c>
      <c r="M658" s="25" t="n">
        <v>39.4062385559082</v>
      </c>
      <c r="N658" s="25" t="n">
        <v>8.32622241973877</v>
      </c>
      <c r="O658" s="25" t="n">
        <v>99.5296859741211</v>
      </c>
      <c r="P658" s="25" t="n">
        <v>14.8629856109619</v>
      </c>
      <c r="Q658" s="25" t="n">
        <v>33.0574531555176</v>
      </c>
      <c r="R658" s="25" t="n">
        <v>11.5308628082275</v>
      </c>
      <c r="S658" s="25" t="n">
        <v>1.0090548992157</v>
      </c>
      <c r="T658" s="25" t="n">
        <v>0.605270206928253</v>
      </c>
      <c r="U658" s="25" t="n">
        <v>0.158185601234436</v>
      </c>
      <c r="V658" s="25" t="n">
        <v>2.94935393333435</v>
      </c>
      <c r="W658" s="25" t="n">
        <v>0.705841541290283</v>
      </c>
      <c r="X658" s="25" t="n">
        <v>147.693298339844</v>
      </c>
      <c r="Y658" s="25" t="n">
        <v>373.093780517578</v>
      </c>
      <c r="Z658" s="25" t="n">
        <v>0.978134393692017</v>
      </c>
      <c r="AA658" s="25" t="n">
        <v>0.338557243347168</v>
      </c>
      <c r="AB658" s="25" t="n">
        <v>0</v>
      </c>
      <c r="AC658" s="25" t="n">
        <v>0.0777445510029793</v>
      </c>
      <c r="AD658" s="25" t="n">
        <v>0.0108660822734237</v>
      </c>
      <c r="AE658" s="25" t="n">
        <v>0.304704189300537</v>
      </c>
      <c r="AF658" s="25" t="n">
        <v>0.200955793261528</v>
      </c>
      <c r="AG658" s="25" t="n">
        <v>0.0297682620584965</v>
      </c>
      <c r="AH658" s="25" t="n">
        <v>0.130659967660904</v>
      </c>
      <c r="AI658" s="25" t="n">
        <v>6.86365365982056</v>
      </c>
      <c r="AJ658" s="6" t="n">
        <v>46.8</v>
      </c>
      <c r="AK658" s="6" t="n">
        <v>163.2</v>
      </c>
      <c r="AL658" s="26"/>
    </row>
    <row r="659" customFormat="false" ht="15" hidden="false" customHeight="false" outlineLevel="0" collapsed="false">
      <c r="A659" s="6" t="s">
        <v>4108</v>
      </c>
      <c r="B659" s="6" t="s">
        <v>4109</v>
      </c>
      <c r="C659" s="6" t="s">
        <v>3299</v>
      </c>
      <c r="D659" s="13" t="n">
        <v>186.179275512695</v>
      </c>
      <c r="E659" s="25" t="n">
        <v>1.75197505950928</v>
      </c>
      <c r="F659" s="25" t="n">
        <v>17.0240325927734</v>
      </c>
      <c r="G659" s="25" t="n">
        <v>12.6557178497315</v>
      </c>
      <c r="H659" s="25" t="n">
        <v>4.28586292266846</v>
      </c>
      <c r="I659" s="25" t="n">
        <v>16.1116008758545</v>
      </c>
      <c r="J659" s="25" t="n">
        <v>8.4183740234375</v>
      </c>
      <c r="K659" s="25" t="n">
        <v>1.16693762207031</v>
      </c>
      <c r="L659" s="25" t="n">
        <v>0.289650726318359</v>
      </c>
      <c r="M659" s="25" t="n">
        <v>5.11434507369995</v>
      </c>
      <c r="N659" s="25" t="n">
        <v>8.94575881958008</v>
      </c>
      <c r="O659" s="25" t="n">
        <v>283.954254150391</v>
      </c>
      <c r="P659" s="25" t="n">
        <v>21.7588367462158</v>
      </c>
      <c r="Q659" s="25" t="n">
        <v>47.9958419799805</v>
      </c>
      <c r="R659" s="25" t="n">
        <v>23.6087322235107</v>
      </c>
      <c r="S659" s="25" t="n">
        <v>0.787380456924439</v>
      </c>
      <c r="T659" s="25" t="n">
        <v>0.323305606842041</v>
      </c>
      <c r="U659" s="25" t="n">
        <v>0.203991696238518</v>
      </c>
      <c r="V659" s="25" t="n">
        <v>4.45469856262207</v>
      </c>
      <c r="W659" s="25" t="n">
        <v>0.390395015478134</v>
      </c>
      <c r="X659" s="25" t="n">
        <v>19.1683979034424</v>
      </c>
      <c r="Y659" s="25" t="n">
        <v>972.507263183594</v>
      </c>
      <c r="Z659" s="25" t="n">
        <v>1.50347197055817</v>
      </c>
      <c r="AA659" s="25" t="n">
        <v>52.6969032287598</v>
      </c>
      <c r="AB659" s="25" t="n">
        <v>5.01455307006836</v>
      </c>
      <c r="AC659" s="25" t="n">
        <v>0.0256133060902357</v>
      </c>
      <c r="AD659" s="25" t="n">
        <v>0.0255093574523926</v>
      </c>
      <c r="AE659" s="25" t="n">
        <v>0.376153856515884</v>
      </c>
      <c r="AF659" s="25" t="n">
        <v>0.147754684090614</v>
      </c>
      <c r="AG659" s="25" t="n">
        <v>0.0751559212803841</v>
      </c>
      <c r="AH659" s="25" t="n">
        <v>1.19488561153412</v>
      </c>
      <c r="AI659" s="25" t="n">
        <v>19.0986480712891</v>
      </c>
      <c r="AJ659" s="6" t="n">
        <v>60.1</v>
      </c>
      <c r="AK659" s="6" t="n">
        <v>111.9</v>
      </c>
      <c r="AL659" s="26"/>
    </row>
    <row r="660" customFormat="false" ht="15" hidden="false" customHeight="false" outlineLevel="0" collapsed="false">
      <c r="A660" s="6" t="s">
        <v>4110</v>
      </c>
      <c r="B660" s="6" t="s">
        <v>4111</v>
      </c>
      <c r="C660" s="6" t="s">
        <v>3299</v>
      </c>
      <c r="D660" s="13" t="n">
        <v>396.015106201172</v>
      </c>
      <c r="E660" s="25" t="n">
        <v>12.2055559158325</v>
      </c>
      <c r="F660" s="25" t="n">
        <v>34.4322204589844</v>
      </c>
      <c r="G660" s="25" t="n">
        <v>24.0944442749023</v>
      </c>
      <c r="H660" s="25" t="n">
        <v>3.08111119270325</v>
      </c>
      <c r="I660" s="25" t="n">
        <v>33.3661117553711</v>
      </c>
      <c r="J660" s="25" t="n">
        <v>12.4465</v>
      </c>
      <c r="K660" s="25" t="n">
        <v>6.739888671875</v>
      </c>
      <c r="L660" s="25" t="n">
        <v>1.93994445800781</v>
      </c>
      <c r="M660" s="25" t="n">
        <v>0</v>
      </c>
      <c r="N660" s="25" t="n">
        <v>31.7105541229248</v>
      </c>
      <c r="O660" s="25" t="n">
        <v>479.666656494141</v>
      </c>
      <c r="P660" s="25" t="n">
        <v>358.611114501953</v>
      </c>
      <c r="Q660" s="25" t="n">
        <v>341.833343505859</v>
      </c>
      <c r="R660" s="25" t="n">
        <v>69.2622222900391</v>
      </c>
      <c r="S660" s="25" t="n">
        <v>2.25277781486511</v>
      </c>
      <c r="T660" s="25" t="n">
        <v>1.80777776241303</v>
      </c>
      <c r="U660" s="25" t="n">
        <v>0.259444445371628</v>
      </c>
      <c r="V660" s="25" t="n">
        <v>28.570556640625</v>
      </c>
      <c r="W660" s="25" t="n">
        <v>0.412777781486511</v>
      </c>
      <c r="X660" s="25" t="n">
        <v>0</v>
      </c>
      <c r="Y660" s="25" t="n">
        <v>154.572784423828</v>
      </c>
      <c r="Z660" s="25" t="n">
        <v>4.01111125946045</v>
      </c>
      <c r="AA660" s="25" t="n">
        <v>1.82277774810791</v>
      </c>
      <c r="AB660" s="25" t="n">
        <v>0.0411111116409302</v>
      </c>
      <c r="AC660" s="25" t="n">
        <v>0.128333330154419</v>
      </c>
      <c r="AD660" s="25" t="n">
        <v>0.0822222232818604</v>
      </c>
      <c r="AE660" s="25" t="n">
        <v>0.571666657924652</v>
      </c>
      <c r="AF660" s="25" t="n">
        <v>0.279444456100464</v>
      </c>
      <c r="AG660" s="25" t="n">
        <v>0.108333334326744</v>
      </c>
      <c r="AH660" s="25" t="n">
        <v>12.2294445037842</v>
      </c>
      <c r="AI660" s="25" t="n">
        <v>60.6888885498047</v>
      </c>
      <c r="AJ660" s="6" t="n">
        <v>45</v>
      </c>
      <c r="AK660" s="6" t="n">
        <v>178.2</v>
      </c>
      <c r="AL660" s="26"/>
    </row>
    <row r="661" customFormat="false" ht="15" hidden="false" customHeight="false" outlineLevel="0" collapsed="false">
      <c r="A661" s="6" t="s">
        <v>4112</v>
      </c>
      <c r="B661" s="6" t="s">
        <v>4113</v>
      </c>
      <c r="C661" s="6" t="s">
        <v>3299</v>
      </c>
      <c r="D661" s="13" t="n">
        <v>501.700317382813</v>
      </c>
      <c r="E661" s="25" t="n">
        <v>9.38041305541992</v>
      </c>
      <c r="F661" s="25" t="n">
        <v>50.4961967468262</v>
      </c>
      <c r="G661" s="25" t="n">
        <v>29.8550834655762</v>
      </c>
      <c r="H661" s="25" t="n">
        <v>6.00776863098145</v>
      </c>
      <c r="I661" s="25" t="n">
        <v>18.4583053588867</v>
      </c>
      <c r="J661" s="25" t="n">
        <v>15.259650390625</v>
      </c>
      <c r="K661" s="25" t="n">
        <v>6.6224619140625</v>
      </c>
      <c r="L661" s="25" t="n">
        <v>1.89968176269531</v>
      </c>
      <c r="M661" s="25" t="n">
        <v>60.9917373657227</v>
      </c>
      <c r="N661" s="25" t="n">
        <v>27.0583477020264</v>
      </c>
      <c r="O661" s="25" t="n">
        <v>224.942153930664</v>
      </c>
      <c r="P661" s="25" t="n">
        <v>35.2669410705566</v>
      </c>
      <c r="Q661" s="25" t="n">
        <v>122.223136901856</v>
      </c>
      <c r="R661" s="25" t="n">
        <v>44.2057838439941</v>
      </c>
      <c r="S661" s="25" t="n">
        <v>2.38723134994507</v>
      </c>
      <c r="T661" s="25" t="n">
        <v>1.11756193637848</v>
      </c>
      <c r="U661" s="25" t="n">
        <v>0.20685949921608</v>
      </c>
      <c r="V661" s="25" t="n">
        <v>12.7798347473145</v>
      </c>
      <c r="W661" s="25" t="n">
        <v>1.30855369567871</v>
      </c>
      <c r="X661" s="25" t="n">
        <v>228.59504699707</v>
      </c>
      <c r="Y661" s="25" t="n">
        <v>553.27685546875</v>
      </c>
      <c r="Z661" s="25" t="n">
        <v>2.03838849067688</v>
      </c>
      <c r="AA661" s="25" t="n">
        <v>2.3330991268158</v>
      </c>
      <c r="AB661" s="25" t="n">
        <v>0</v>
      </c>
      <c r="AC661" s="25" t="n">
        <v>0.204462811350822</v>
      </c>
      <c r="AD661" s="25" t="n">
        <v>0.0697520673274994</v>
      </c>
      <c r="AE661" s="25" t="n">
        <v>0.986694157123566</v>
      </c>
      <c r="AF661" s="25" t="n">
        <v>0.499586790800095</v>
      </c>
      <c r="AG661" s="25" t="n">
        <v>0.15487602353096</v>
      </c>
      <c r="AH661" s="25" t="n">
        <v>1.9524792432785</v>
      </c>
      <c r="AI661" s="25" t="n">
        <v>48.1045875549316</v>
      </c>
      <c r="AJ661" s="6" t="n">
        <v>30.2</v>
      </c>
      <c r="AK661" s="6" t="n">
        <v>151.8</v>
      </c>
      <c r="AL661" s="26"/>
    </row>
    <row r="662" customFormat="false" ht="15" hidden="false" customHeight="false" outlineLevel="0" collapsed="false">
      <c r="A662" s="6" t="s">
        <v>2045</v>
      </c>
      <c r="B662" s="6" t="s">
        <v>4114</v>
      </c>
      <c r="C662" s="6" t="s">
        <v>3299</v>
      </c>
      <c r="D662" s="13" t="n">
        <v>441.844787597656</v>
      </c>
      <c r="E662" s="25" t="n">
        <v>5.44063758850098</v>
      </c>
      <c r="F662" s="25" t="n">
        <v>48.0249404907227</v>
      </c>
      <c r="G662" s="25" t="n">
        <v>25.4501991271973</v>
      </c>
      <c r="H662" s="25" t="n">
        <v>4.27450227737427</v>
      </c>
      <c r="I662" s="25" t="n">
        <v>19.7907562255859</v>
      </c>
      <c r="J662" s="25" t="n">
        <v>14.3167158203125</v>
      </c>
      <c r="K662" s="25" t="n">
        <v>7.2874912109375</v>
      </c>
      <c r="L662" s="25" t="n">
        <v>1.52626696777344</v>
      </c>
      <c r="M662" s="25" t="n">
        <v>58.8047828674316</v>
      </c>
      <c r="N662" s="25" t="n">
        <v>3.92992043495178</v>
      </c>
      <c r="O662" s="25" t="n">
        <v>189.250991821289</v>
      </c>
      <c r="P662" s="25" t="n">
        <v>18.0414333343506</v>
      </c>
      <c r="Q662" s="25" t="n">
        <v>71.1083679199219</v>
      </c>
      <c r="R662" s="25" t="n">
        <v>29.9864540100098</v>
      </c>
      <c r="S662" s="25" t="n">
        <v>1.80848610401154</v>
      </c>
      <c r="T662" s="25" t="n">
        <v>1.10083663463593</v>
      </c>
      <c r="U662" s="25" t="n">
        <v>0.302470117807388</v>
      </c>
      <c r="V662" s="25" t="n">
        <v>4.9964542388916</v>
      </c>
      <c r="W662" s="25" t="n">
        <v>1.03179287910461</v>
      </c>
      <c r="X662" s="25" t="n">
        <v>220.398406982422</v>
      </c>
      <c r="Y662" s="25" t="n">
        <v>565.678894042969</v>
      </c>
      <c r="Z662" s="25" t="n">
        <v>1.52418327331543</v>
      </c>
      <c r="AA662" s="25" t="n">
        <v>0.64306777715683</v>
      </c>
      <c r="AB662" s="25" t="n">
        <v>0.0816733092069626</v>
      </c>
      <c r="AC662" s="25" t="n">
        <v>0.143904373049736</v>
      </c>
      <c r="AD662" s="25" t="n">
        <v>0.0190039835870266</v>
      </c>
      <c r="AE662" s="25" t="n">
        <v>0.514860570430756</v>
      </c>
      <c r="AF662" s="25" t="n">
        <v>0.364023894071579</v>
      </c>
      <c r="AG662" s="25" t="n">
        <v>0.057569719851017</v>
      </c>
      <c r="AH662" s="25" t="n">
        <v>0.326852589845657</v>
      </c>
      <c r="AI662" s="25" t="n">
        <v>12.7723112106323</v>
      </c>
      <c r="AJ662" s="6" t="n">
        <v>31.4</v>
      </c>
      <c r="AK662" s="6" t="n">
        <v>138.6</v>
      </c>
      <c r="AL662" s="26"/>
    </row>
    <row r="663" customFormat="false" ht="15" hidden="false" customHeight="false" outlineLevel="0" collapsed="false">
      <c r="A663" s="6" t="s">
        <v>4115</v>
      </c>
      <c r="B663" s="6" t="s">
        <v>4116</v>
      </c>
      <c r="C663" s="6" t="s">
        <v>3299</v>
      </c>
      <c r="D663" s="13" t="n">
        <v>282.736999511719</v>
      </c>
      <c r="E663" s="25" t="n">
        <v>8.5</v>
      </c>
      <c r="F663" s="25" t="n">
        <v>50.4949989318848</v>
      </c>
      <c r="G663" s="25" t="n">
        <v>4.6607141494751</v>
      </c>
      <c r="H663" s="25" t="n">
        <v>5.54214286804199</v>
      </c>
      <c r="I663" s="25" t="n">
        <v>36.4792861938477</v>
      </c>
      <c r="J663" s="25" t="n">
        <v>0.622955688476563</v>
      </c>
      <c r="K663" s="25" t="n">
        <v>1.411287109375</v>
      </c>
      <c r="L663" s="25" t="n">
        <v>2.04997143554688</v>
      </c>
      <c r="M663" s="25" t="n">
        <v>0</v>
      </c>
      <c r="N663" s="25" t="n">
        <v>17.9307136535645</v>
      </c>
      <c r="O663" s="25" t="n">
        <v>515.428527832031</v>
      </c>
      <c r="P663" s="25" t="n">
        <v>150.734283447266</v>
      </c>
      <c r="Q663" s="25" t="n">
        <v>178.655715942383</v>
      </c>
      <c r="R663" s="25" t="n">
        <v>109.571426391602</v>
      </c>
      <c r="S663" s="25" t="n">
        <v>4.79571437835693</v>
      </c>
      <c r="T663" s="25" t="n">
        <v>1.79071438312531</v>
      </c>
      <c r="U663" s="25" t="n">
        <v>0.371428579092026</v>
      </c>
      <c r="V663" s="25" t="n">
        <v>16.4728584289551</v>
      </c>
      <c r="W663" s="25" t="n">
        <v>0.912857115268707</v>
      </c>
      <c r="X663" s="25" t="n">
        <v>0</v>
      </c>
      <c r="Y663" s="25" t="n">
        <v>302.857147216797</v>
      </c>
      <c r="Z663" s="25" t="n">
        <v>0.161428570747376</v>
      </c>
      <c r="AA663" s="25" t="n">
        <v>8</v>
      </c>
      <c r="AB663" s="25" t="n">
        <v>0</v>
      </c>
      <c r="AC663" s="25" t="n">
        <v>0.142857149243355</v>
      </c>
      <c r="AD663" s="25" t="n">
        <v>0.0521428547799587</v>
      </c>
      <c r="AE663" s="25" t="n">
        <v>0.824285745620728</v>
      </c>
      <c r="AF663" s="25" t="n">
        <v>0.589999973773956</v>
      </c>
      <c r="AG663" s="25" t="n">
        <v>0.40285712480545</v>
      </c>
      <c r="AH663" s="25" t="n">
        <v>0.727142810821533</v>
      </c>
      <c r="AI663" s="25" t="n">
        <v>67.5285720825195</v>
      </c>
      <c r="AJ663" s="6" t="n">
        <v>35</v>
      </c>
      <c r="AK663" s="6" t="n">
        <v>99</v>
      </c>
      <c r="AL663" s="26"/>
    </row>
    <row r="664" customFormat="false" ht="15" hidden="false" customHeight="false" outlineLevel="0" collapsed="false">
      <c r="A664" s="6" t="s">
        <v>4117</v>
      </c>
      <c r="B664" s="6" t="s">
        <v>4118</v>
      </c>
      <c r="C664" s="6" t="s">
        <v>3299</v>
      </c>
      <c r="D664" s="13" t="n">
        <v>253.817993164063</v>
      </c>
      <c r="E664" s="25" t="n">
        <v>2.12428569793701</v>
      </c>
      <c r="F664" s="25" t="n">
        <v>59.5942878723145</v>
      </c>
      <c r="G664" s="25" t="n">
        <v>0.322857141494751</v>
      </c>
      <c r="H664" s="25" t="n">
        <v>0.365714281797409</v>
      </c>
      <c r="I664" s="25" t="n">
        <v>48.274284362793</v>
      </c>
      <c r="J664" s="25" t="n">
        <v>0.0462514266967773</v>
      </c>
      <c r="K664" s="25" t="n">
        <v>0.0180642852783203</v>
      </c>
      <c r="L664" s="25" t="n">
        <v>0.0253142852783203</v>
      </c>
      <c r="M664" s="25" t="n">
        <v>0</v>
      </c>
      <c r="N664" s="25" t="n">
        <v>15.0299997329712</v>
      </c>
      <c r="O664" s="25" t="n">
        <v>298.857116699219</v>
      </c>
      <c r="P664" s="25" t="n">
        <v>63.2985687255859</v>
      </c>
      <c r="Q664" s="25" t="n">
        <v>64.3028564453125</v>
      </c>
      <c r="R664" s="25" t="n">
        <v>74.9414291381836</v>
      </c>
      <c r="S664" s="25" t="n">
        <v>3.29571437835693</v>
      </c>
      <c r="T664" s="25" t="n">
        <v>0.464285731315613</v>
      </c>
      <c r="U664" s="25" t="n">
        <v>0.0757142901420593</v>
      </c>
      <c r="V664" s="25" t="n">
        <v>0</v>
      </c>
      <c r="W664" s="25" t="n">
        <v>0.541428565979004</v>
      </c>
      <c r="X664" s="25" t="n">
        <v>0</v>
      </c>
      <c r="Y664" s="25" t="n">
        <v>17.7742862701416</v>
      </c>
      <c r="Z664" s="25" t="n">
        <v>0.0285714287310839</v>
      </c>
      <c r="AA664" s="25" t="n">
        <v>0.142857149243355</v>
      </c>
      <c r="AB664" s="25" t="n">
        <v>0</v>
      </c>
      <c r="AC664" s="25" t="n">
        <v>0.0385714285075665</v>
      </c>
      <c r="AD664" s="25" t="n">
        <v>0.011428571306169</v>
      </c>
      <c r="AE664" s="25" t="n">
        <v>0.278571426868439</v>
      </c>
      <c r="AF664" s="25" t="n">
        <v>0.185714289546013</v>
      </c>
      <c r="AG664" s="25" t="n">
        <v>0.415714293718338</v>
      </c>
      <c r="AH664" s="25" t="n">
        <v>0.511428534984589</v>
      </c>
      <c r="AI664" s="25" t="n">
        <v>8.22857189178467</v>
      </c>
      <c r="AJ664" s="6" t="n">
        <v>26.3</v>
      </c>
      <c r="AK664" s="6" t="n">
        <v>66.6</v>
      </c>
      <c r="AL664" s="26"/>
    </row>
    <row r="665" customFormat="false" ht="15" hidden="false" customHeight="false" outlineLevel="0" collapsed="false">
      <c r="A665" s="6" t="s">
        <v>4119</v>
      </c>
      <c r="B665" s="6" t="s">
        <v>4120</v>
      </c>
      <c r="C665" s="6" t="s">
        <v>4121</v>
      </c>
      <c r="D665" s="13" t="n">
        <v>551.642700195313</v>
      </c>
      <c r="E665" s="25" t="n">
        <v>2.04520487785339</v>
      </c>
      <c r="F665" s="25" t="n">
        <v>6.48103857040405</v>
      </c>
      <c r="G665" s="25" t="n">
        <v>57.6077575683594</v>
      </c>
      <c r="H665" s="25" t="n">
        <v>1.44152176380158</v>
      </c>
      <c r="I665" s="25" t="n">
        <v>1.57823646068573</v>
      </c>
      <c r="J665" s="25" t="n">
        <v>6.926203125</v>
      </c>
      <c r="K665" s="25" t="n">
        <v>11.8097470703125</v>
      </c>
      <c r="L665" s="25" t="n">
        <v>36.43938671875</v>
      </c>
      <c r="M665" s="25" t="n">
        <v>0</v>
      </c>
      <c r="N665" s="25" t="n">
        <v>99.2194976806641</v>
      </c>
      <c r="O665" s="25" t="n">
        <v>70.1105804443359</v>
      </c>
      <c r="P665" s="25" t="n">
        <v>11.0551061630249</v>
      </c>
      <c r="Q665" s="25" t="n">
        <v>24.34694480896</v>
      </c>
      <c r="R665" s="25" t="n">
        <v>9.65457153320313</v>
      </c>
      <c r="S665" s="25" t="n">
        <v>0.422971427440643</v>
      </c>
      <c r="T665" s="25" t="n">
        <v>0.200920045375824</v>
      </c>
      <c r="U665" s="25" t="n">
        <v>0.0543787963688374</v>
      </c>
      <c r="V665" s="25" t="n">
        <v>0.367630749940872</v>
      </c>
      <c r="W665" s="25" t="n">
        <v>0.206819653511047</v>
      </c>
      <c r="X665" s="25" t="n">
        <v>0</v>
      </c>
      <c r="Y665" s="25" t="n">
        <v>54.4630546569824</v>
      </c>
      <c r="Z665" s="25" t="n">
        <v>28.3447818756104</v>
      </c>
      <c r="AA665" s="25" t="n">
        <v>5.86277484893799</v>
      </c>
      <c r="AB665" s="25" t="n">
        <v>1.67537546157837</v>
      </c>
      <c r="AC665" s="25" t="n">
        <v>0.0425070337951183</v>
      </c>
      <c r="AD665" s="25" t="n">
        <v>0.0164781510829926</v>
      </c>
      <c r="AE665" s="25" t="n">
        <v>0.234175786376</v>
      </c>
      <c r="AF665" s="25" t="n">
        <v>0.164107486605644</v>
      </c>
      <c r="AG665" s="25" t="n">
        <v>0.0608089715242386</v>
      </c>
      <c r="AH665" s="25" t="n">
        <v>1.2266092300415</v>
      </c>
      <c r="AI665" s="25" t="n">
        <v>20.7806854248047</v>
      </c>
      <c r="AJ665" s="6" t="n">
        <v>70.5</v>
      </c>
      <c r="AK665" s="6" t="n">
        <v>389</v>
      </c>
      <c r="AL665" s="26" t="s">
        <v>3100</v>
      </c>
    </row>
    <row r="666" customFormat="false" ht="15" hidden="false" customHeight="false" outlineLevel="0" collapsed="false">
      <c r="A666" s="6" t="s">
        <v>1641</v>
      </c>
      <c r="B666" s="6" t="s">
        <v>4122</v>
      </c>
      <c r="C666" s="6" t="s">
        <v>4121</v>
      </c>
      <c r="D666" s="13" t="n">
        <v>668.758972167969</v>
      </c>
      <c r="E666" s="25" t="n">
        <v>2.22243690490723</v>
      </c>
      <c r="F666" s="25" t="n">
        <v>5.54750537872315</v>
      </c>
      <c r="G666" s="25" t="n">
        <v>71.0149993896484</v>
      </c>
      <c r="H666" s="25" t="n">
        <v>1.34142315387726</v>
      </c>
      <c r="I666" s="25" t="n">
        <v>0.271591603755951</v>
      </c>
      <c r="J666" s="25" t="n">
        <v>8.531318359375</v>
      </c>
      <c r="K666" s="25" t="n">
        <v>14.554416015625</v>
      </c>
      <c r="L666" s="25" t="n">
        <v>44.9306328125</v>
      </c>
      <c r="M666" s="25" t="n">
        <v>0</v>
      </c>
      <c r="N666" s="25" t="n">
        <v>120.902030944824</v>
      </c>
      <c r="O666" s="25" t="n">
        <v>56.4806327819824</v>
      </c>
      <c r="P666" s="25" t="n">
        <v>8.57852554321289</v>
      </c>
      <c r="Q666" s="25" t="n">
        <v>23.5641765594482</v>
      </c>
      <c r="R666" s="25" t="n">
        <v>8.39016246795654</v>
      </c>
      <c r="S666" s="25" t="n">
        <v>0.466170907020569</v>
      </c>
      <c r="T666" s="25" t="n">
        <v>0.161493107676506</v>
      </c>
      <c r="U666" s="25" t="n">
        <v>0.0437361188232899</v>
      </c>
      <c r="V666" s="25" t="n">
        <v>0.351361393928528</v>
      </c>
      <c r="W666" s="25" t="n">
        <v>0.201410636305809</v>
      </c>
      <c r="X666" s="25" t="n">
        <v>0</v>
      </c>
      <c r="Y666" s="25" t="n">
        <v>119.635131835938</v>
      </c>
      <c r="Z666" s="25" t="n">
        <v>34.9564933776856</v>
      </c>
      <c r="AA666" s="25" t="n">
        <v>7.03544759750366</v>
      </c>
      <c r="AB666" s="25" t="n">
        <v>5.59418296813965</v>
      </c>
      <c r="AC666" s="25" t="n">
        <v>0.0460033230483532</v>
      </c>
      <c r="AD666" s="25" t="n">
        <v>0.0238121878355742</v>
      </c>
      <c r="AE666" s="25" t="n">
        <v>0.241523116827011</v>
      </c>
      <c r="AF666" s="25" t="n">
        <v>0.127756118774414</v>
      </c>
      <c r="AG666" s="25" t="n">
        <v>0.0621506236493588</v>
      </c>
      <c r="AH666" s="25" t="n">
        <v>0.788675904273987</v>
      </c>
      <c r="AI666" s="25" t="n">
        <v>18.4620151519775</v>
      </c>
      <c r="AJ666" s="6" t="n">
        <v>68.6</v>
      </c>
      <c r="AK666" s="6" t="n">
        <v>458.9</v>
      </c>
      <c r="AL666" s="26" t="s">
        <v>3100</v>
      </c>
    </row>
    <row r="667" customFormat="false" ht="15" hidden="false" customHeight="false" outlineLevel="0" collapsed="false">
      <c r="A667" s="6" t="s">
        <v>1575</v>
      </c>
      <c r="B667" s="6" t="s">
        <v>4123</v>
      </c>
      <c r="C667" s="6" t="s">
        <v>4121</v>
      </c>
      <c r="D667" s="13" t="n">
        <v>590.09326171875</v>
      </c>
      <c r="E667" s="25" t="n">
        <v>6.03149223327637</v>
      </c>
      <c r="F667" s="25" t="n">
        <v>4.55227470397949</v>
      </c>
      <c r="G667" s="25" t="n">
        <v>60.975471496582</v>
      </c>
      <c r="H667" s="25" t="n">
        <v>0.956117510795593</v>
      </c>
      <c r="I667" s="25" t="n">
        <v>0.218906909227371</v>
      </c>
      <c r="J667" s="25" t="n">
        <v>7.27264892578125</v>
      </c>
      <c r="K667" s="25" t="n">
        <v>12.334673828125</v>
      </c>
      <c r="L667" s="25" t="n">
        <v>37.54344140625</v>
      </c>
      <c r="M667" s="25" t="n">
        <v>11.9767475128174</v>
      </c>
      <c r="N667" s="25" t="n">
        <v>103.232788085938</v>
      </c>
      <c r="O667" s="25" t="n">
        <v>92.8985748291016</v>
      </c>
      <c r="P667" s="25" t="n">
        <v>9.07677459716797</v>
      </c>
      <c r="Q667" s="25" t="n">
        <v>52.4036712646484</v>
      </c>
      <c r="R667" s="25" t="n">
        <v>10.0799360275269</v>
      </c>
      <c r="S667" s="25" t="n">
        <v>0.507307648658752</v>
      </c>
      <c r="T667" s="25" t="n">
        <v>0.275892794132233</v>
      </c>
      <c r="U667" s="25" t="n">
        <v>0.0824965387582779</v>
      </c>
      <c r="V667" s="25" t="n">
        <v>3.91072916984558</v>
      </c>
      <c r="W667" s="25" t="n">
        <v>0.204148575663567</v>
      </c>
      <c r="X667" s="25" t="n">
        <v>1.35431611537933</v>
      </c>
      <c r="Y667" s="25" t="n">
        <v>16.8390846252441</v>
      </c>
      <c r="Z667" s="25" t="n">
        <v>29.2204475402832</v>
      </c>
      <c r="AA667" s="25" t="n">
        <v>5.13126277923584</v>
      </c>
      <c r="AB667" s="25" t="n">
        <v>0.203133076429367</v>
      </c>
      <c r="AC667" s="25" t="n">
        <v>0.0542675070464611</v>
      </c>
      <c r="AD667" s="25" t="n">
        <v>0.0262444969266653</v>
      </c>
      <c r="AE667" s="25" t="n">
        <v>1.71876728534699</v>
      </c>
      <c r="AF667" s="25" t="n">
        <v>0.326128721237183</v>
      </c>
      <c r="AG667" s="25" t="n">
        <v>0.143610537052155</v>
      </c>
      <c r="AH667" s="25" t="n">
        <v>1.44805824756622</v>
      </c>
      <c r="AI667" s="25" t="n">
        <v>16.7313423156738</v>
      </c>
      <c r="AJ667" s="6" t="n">
        <v>68.5</v>
      </c>
      <c r="AK667" s="6" t="n">
        <v>404.3</v>
      </c>
      <c r="AL667" s="26" t="s">
        <v>3100</v>
      </c>
    </row>
    <row r="668" customFormat="false" ht="15" hidden="false" customHeight="false" outlineLevel="0" collapsed="false">
      <c r="A668" s="6" t="s">
        <v>1590</v>
      </c>
      <c r="B668" s="6" t="s">
        <v>4124</v>
      </c>
      <c r="C668" s="6" t="s">
        <v>4121</v>
      </c>
      <c r="D668" s="13" t="n">
        <v>577.025085449219</v>
      </c>
      <c r="E668" s="25" t="n">
        <v>5.97311687469482</v>
      </c>
      <c r="F668" s="25" t="n">
        <v>4.55227470397949</v>
      </c>
      <c r="G668" s="25" t="n">
        <v>59.521915435791</v>
      </c>
      <c r="H668" s="25" t="n">
        <v>0.956117510795593</v>
      </c>
      <c r="I668" s="25" t="n">
        <v>0.218906909227371</v>
      </c>
      <c r="J668" s="25" t="n">
        <v>7.231396484375</v>
      </c>
      <c r="K668" s="25" t="n">
        <v>12.183869140625</v>
      </c>
      <c r="L668" s="25" t="n">
        <v>37.563484375</v>
      </c>
      <c r="M668" s="25" t="n">
        <v>9.04434108734131</v>
      </c>
      <c r="N668" s="25" t="n">
        <v>112.244049072266</v>
      </c>
      <c r="O668" s="25" t="n">
        <v>95.6227722167969</v>
      </c>
      <c r="P668" s="25" t="n">
        <v>12.6493673324585</v>
      </c>
      <c r="Q668" s="25" t="n">
        <v>62.7167129516602</v>
      </c>
      <c r="R668" s="25" t="n">
        <v>13.4384841918945</v>
      </c>
      <c r="S668" s="25" t="n">
        <v>0.629896640777588</v>
      </c>
      <c r="T668" s="25" t="n">
        <v>0.254488348960877</v>
      </c>
      <c r="U668" s="25" t="n">
        <v>0.0533086843788624</v>
      </c>
      <c r="V668" s="25" t="n">
        <v>12.7682685852051</v>
      </c>
      <c r="W668" s="25" t="n">
        <v>0.204148575663567</v>
      </c>
      <c r="X668" s="25" t="n">
        <v>3.17952942848206</v>
      </c>
      <c r="Y668" s="25" t="n">
        <v>16.8390846252441</v>
      </c>
      <c r="Z668" s="25" t="n">
        <v>29.302173614502</v>
      </c>
      <c r="AA668" s="25" t="n">
        <v>5.13126277923584</v>
      </c>
      <c r="AB668" s="25" t="n">
        <v>0.203133076429367</v>
      </c>
      <c r="AC668" s="25" t="n">
        <v>0.0484299398958683</v>
      </c>
      <c r="AD668" s="25" t="n">
        <v>0.034027922898531</v>
      </c>
      <c r="AE668" s="25" t="n">
        <v>0.669950604438782</v>
      </c>
      <c r="AF668" s="25" t="n">
        <v>0.365045875310898</v>
      </c>
      <c r="AG668" s="25" t="n">
        <v>0.0599387064576149</v>
      </c>
      <c r="AH668" s="25" t="n">
        <v>1.77690804004669</v>
      </c>
      <c r="AI668" s="25" t="n">
        <v>16.0872631072998</v>
      </c>
      <c r="AJ668" s="6" t="n">
        <v>68.5</v>
      </c>
      <c r="AK668" s="6" t="n">
        <v>395.4</v>
      </c>
      <c r="AL668" s="26" t="s">
        <v>3100</v>
      </c>
    </row>
    <row r="669" customFormat="false" ht="15" hidden="false" customHeight="false" outlineLevel="0" collapsed="false">
      <c r="A669" s="6" t="s">
        <v>4125</v>
      </c>
      <c r="B669" s="6" t="s">
        <v>4126</v>
      </c>
      <c r="C669" s="6" t="s">
        <v>3509</v>
      </c>
      <c r="D669" s="13" t="n">
        <v>672.195861816406</v>
      </c>
      <c r="E669" s="25" t="n">
        <v>4.58763599395752</v>
      </c>
      <c r="F669" s="25" t="n">
        <v>7.61606359481812</v>
      </c>
      <c r="G669" s="25" t="n">
        <v>69.3758850097656</v>
      </c>
      <c r="H669" s="25" t="n">
        <v>0.392295747995377</v>
      </c>
      <c r="I669" s="25" t="n">
        <v>2.52121019363403</v>
      </c>
      <c r="J669" s="25" t="n">
        <v>9.68083203125</v>
      </c>
      <c r="K669" s="25" t="n">
        <v>14.442970703125</v>
      </c>
      <c r="L669" s="25" t="n">
        <v>42.1041484375</v>
      </c>
      <c r="M669" s="25" t="n">
        <v>0</v>
      </c>
      <c r="N669" s="25" t="n">
        <v>91.4454498291016</v>
      </c>
      <c r="O669" s="25" t="n">
        <v>35.4339027404785</v>
      </c>
      <c r="P669" s="25" t="n">
        <v>107.859619140625</v>
      </c>
      <c r="Q669" s="25" t="n">
        <v>74.912239074707</v>
      </c>
      <c r="R669" s="25" t="n">
        <v>8.93128681182861</v>
      </c>
      <c r="S669" s="25" t="n">
        <v>0.483320415019989</v>
      </c>
      <c r="T669" s="25" t="n">
        <v>0.614326894283295</v>
      </c>
      <c r="U669" s="25" t="n">
        <v>0.0462999418377876</v>
      </c>
      <c r="V669" s="25" t="n">
        <v>5.07295322418213</v>
      </c>
      <c r="W669" s="25" t="n">
        <v>0.0961370840668678</v>
      </c>
      <c r="X669" s="25" t="n">
        <v>0</v>
      </c>
      <c r="Y669" s="25" t="n">
        <v>132.275588989258</v>
      </c>
      <c r="Z669" s="25" t="n">
        <v>32.6799545288086</v>
      </c>
      <c r="AA669" s="25" t="n">
        <v>6.10534286499023</v>
      </c>
      <c r="AB669" s="25" t="n">
        <v>1.00365829467773</v>
      </c>
      <c r="AC669" s="25" t="n">
        <v>0.0262496192008257</v>
      </c>
      <c r="AD669" s="25" t="n">
        <v>0.0277421399950981</v>
      </c>
      <c r="AE669" s="25" t="n">
        <v>0.185676723718643</v>
      </c>
      <c r="AF669" s="25" t="n">
        <v>0.110660545527935</v>
      </c>
      <c r="AG669" s="25" t="n">
        <v>0.0187391825020313</v>
      </c>
      <c r="AH669" s="25" t="n">
        <v>4.11234092712402</v>
      </c>
      <c r="AI669" s="25" t="n">
        <v>21.2043724060059</v>
      </c>
      <c r="AJ669" s="6" t="n">
        <v>180.8</v>
      </c>
      <c r="AK669" s="6" t="n">
        <v>1215.6</v>
      </c>
      <c r="AL669" s="26" t="s">
        <v>3146</v>
      </c>
    </row>
    <row r="670" customFormat="false" ht="15" hidden="false" customHeight="false" outlineLevel="0" collapsed="false">
      <c r="A670" s="6" t="s">
        <v>4127</v>
      </c>
      <c r="B670" s="6" t="s">
        <v>4128</v>
      </c>
      <c r="C670" s="6" t="s">
        <v>3509</v>
      </c>
      <c r="D670" s="13" t="n">
        <v>558.755004882813</v>
      </c>
      <c r="E670" s="25" t="n">
        <v>0.564446806907654</v>
      </c>
      <c r="F670" s="25" t="n">
        <v>11.2263193130493</v>
      </c>
      <c r="G670" s="25" t="n">
        <v>56.970085144043</v>
      </c>
      <c r="H670" s="25" t="n">
        <v>0.535683333873749</v>
      </c>
      <c r="I670" s="25" t="n">
        <v>0.104219175875187</v>
      </c>
      <c r="J670" s="25" t="n">
        <v>6.8514541015625</v>
      </c>
      <c r="K670" s="25" t="n">
        <v>11.684423828125</v>
      </c>
      <c r="L670" s="25" t="n">
        <v>36.07080859375</v>
      </c>
      <c r="M670" s="25" t="n">
        <v>0</v>
      </c>
      <c r="N670" s="25" t="n">
        <v>48.1686515808106</v>
      </c>
      <c r="O670" s="25" t="n">
        <v>138.967147827148</v>
      </c>
      <c r="P670" s="25" t="n">
        <v>5.43455457687378</v>
      </c>
      <c r="Q670" s="25" t="n">
        <v>15.001091003418</v>
      </c>
      <c r="R670" s="25" t="n">
        <v>7.59783315658569</v>
      </c>
      <c r="S670" s="25" t="n">
        <v>0.37897527217865</v>
      </c>
      <c r="T670" s="25" t="n">
        <v>0.088656060397625</v>
      </c>
      <c r="U670" s="25" t="n">
        <v>0.0366288796067238</v>
      </c>
      <c r="V670" s="25" t="n">
        <v>0.189567670226097</v>
      </c>
      <c r="W670" s="25" t="n">
        <v>0.0592166855931282</v>
      </c>
      <c r="X670" s="25" t="n">
        <v>0</v>
      </c>
      <c r="Y670" s="25" t="n">
        <v>130.576309204102</v>
      </c>
      <c r="Z670" s="25" t="n">
        <v>28.0350952148438</v>
      </c>
      <c r="AA670" s="25" t="n">
        <v>5.73936796188355</v>
      </c>
      <c r="AB670" s="25" t="n">
        <v>6.35092163085938</v>
      </c>
      <c r="AC670" s="25" t="n">
        <v>0.0177714806050062</v>
      </c>
      <c r="AD670" s="25" t="n">
        <v>0.00458533922210336</v>
      </c>
      <c r="AE670" s="25" t="n">
        <v>0.270480930805206</v>
      </c>
      <c r="AF670" s="25" t="n">
        <v>0.103689141571522</v>
      </c>
      <c r="AG670" s="25" t="n">
        <v>0.028167525306344</v>
      </c>
      <c r="AH670" s="25" t="n">
        <v>0.354567319154739</v>
      </c>
      <c r="AI670" s="25" t="n">
        <v>4.31210422515869</v>
      </c>
      <c r="AJ670" s="6" t="n">
        <v>210.8</v>
      </c>
      <c r="AK670" s="6" t="n">
        <v>1178.1</v>
      </c>
      <c r="AL670" s="26" t="s">
        <v>3100</v>
      </c>
    </row>
    <row r="671" customFormat="false" ht="15" hidden="false" customHeight="false" outlineLevel="0" collapsed="false">
      <c r="A671" s="6" t="s">
        <v>4129</v>
      </c>
      <c r="B671" s="6" t="s">
        <v>4130</v>
      </c>
      <c r="C671" s="6" t="s">
        <v>3509</v>
      </c>
      <c r="D671" s="13" t="n">
        <v>496.449768066406</v>
      </c>
      <c r="E671" s="25" t="n">
        <v>2.00357151031494</v>
      </c>
      <c r="F671" s="25" t="n">
        <v>7.38846492767334</v>
      </c>
      <c r="G671" s="25" t="n">
        <v>50.9411544799805</v>
      </c>
      <c r="H671" s="25" t="n">
        <v>1.34538507461548</v>
      </c>
      <c r="I671" s="25" t="n">
        <v>0.318467199802399</v>
      </c>
      <c r="J671" s="25" t="n">
        <v>6.18304541015625</v>
      </c>
      <c r="K671" s="25" t="n">
        <v>10.6324609375</v>
      </c>
      <c r="L671" s="25" t="n">
        <v>31.90744140625</v>
      </c>
      <c r="M671" s="25" t="n">
        <v>0</v>
      </c>
      <c r="N671" s="25" t="n">
        <v>57.1072006225586</v>
      </c>
      <c r="O671" s="25" t="n">
        <v>195.368774414063</v>
      </c>
      <c r="P671" s="25" t="n">
        <v>14.942156791687</v>
      </c>
      <c r="Q671" s="25" t="n">
        <v>33.9076766967773</v>
      </c>
      <c r="R671" s="25" t="n">
        <v>18.5255012512207</v>
      </c>
      <c r="S671" s="25" t="n">
        <v>0.686990022659302</v>
      </c>
      <c r="T671" s="25" t="n">
        <v>0.29819917678833</v>
      </c>
      <c r="U671" s="25" t="n">
        <v>0.0862526223063469</v>
      </c>
      <c r="V671" s="25" t="n">
        <v>2.12881231307983</v>
      </c>
      <c r="W671" s="25" t="n">
        <v>0.19955550134182</v>
      </c>
      <c r="X671" s="25" t="n">
        <v>0</v>
      </c>
      <c r="Y671" s="25" t="n">
        <v>544.393676757813</v>
      </c>
      <c r="Z671" s="25" t="n">
        <v>24.6936893463135</v>
      </c>
      <c r="AA671" s="25" t="n">
        <v>18.6177654266357</v>
      </c>
      <c r="AB671" s="25" t="n">
        <v>6.8171010017395</v>
      </c>
      <c r="AC671" s="25" t="n">
        <v>0.051785871386528</v>
      </c>
      <c r="AD671" s="25" t="n">
        <v>0.0175088755786419</v>
      </c>
      <c r="AE671" s="25" t="n">
        <v>0.594190418720245</v>
      </c>
      <c r="AF671" s="25" t="n">
        <v>0.170703172683716</v>
      </c>
      <c r="AG671" s="25" t="n">
        <v>0.0437590070068836</v>
      </c>
      <c r="AH671" s="25" t="n">
        <v>0.540952086448669</v>
      </c>
      <c r="AI671" s="25" t="n">
        <v>18.1285629272461</v>
      </c>
      <c r="AJ671" s="6" t="n">
        <v>240.8</v>
      </c>
      <c r="AK671" s="6" t="n">
        <v>1195.6</v>
      </c>
      <c r="AL671" s="26" t="s">
        <v>3100</v>
      </c>
    </row>
    <row r="672" customFormat="false" ht="15" hidden="false" customHeight="false" outlineLevel="0" collapsed="false">
      <c r="A672" s="6" t="s">
        <v>4131</v>
      </c>
      <c r="B672" s="6" t="s">
        <v>4132</v>
      </c>
      <c r="C672" s="6" t="s">
        <v>3509</v>
      </c>
      <c r="D672" s="13" t="n">
        <v>575.022155761719</v>
      </c>
      <c r="E672" s="25" t="n">
        <v>2.44844794273377</v>
      </c>
      <c r="F672" s="25" t="n">
        <v>5.77003908157349</v>
      </c>
      <c r="G672" s="25" t="n">
        <v>60.2478065490723</v>
      </c>
      <c r="H672" s="25" t="n">
        <v>0.578310668468475</v>
      </c>
      <c r="I672" s="25" t="n">
        <v>0.202980548143387</v>
      </c>
      <c r="J672" s="25" t="n">
        <v>7.45833544921875</v>
      </c>
      <c r="K672" s="25" t="n">
        <v>12.5353349609375</v>
      </c>
      <c r="L672" s="25" t="n">
        <v>37.5365703125</v>
      </c>
      <c r="M672" s="25" t="n">
        <v>44.9996299743652</v>
      </c>
      <c r="N672" s="25" t="n">
        <v>79.3987121582031</v>
      </c>
      <c r="O672" s="25" t="n">
        <v>139.027420043945</v>
      </c>
      <c r="P672" s="25" t="n">
        <v>16.2249202728272</v>
      </c>
      <c r="Q672" s="25" t="n">
        <v>37.5663566589356</v>
      </c>
      <c r="R672" s="25" t="n">
        <v>8.76110458374023</v>
      </c>
      <c r="S672" s="25" t="n">
        <v>0.555493414402008</v>
      </c>
      <c r="T672" s="25" t="n">
        <v>0.255203485488892</v>
      </c>
      <c r="U672" s="25" t="n">
        <v>0.0451110228896141</v>
      </c>
      <c r="V672" s="25" t="n">
        <v>5.38995981216431</v>
      </c>
      <c r="W672" s="25" t="n">
        <v>0.0750483199954033</v>
      </c>
      <c r="X672" s="25" t="n">
        <v>24.3440628051758</v>
      </c>
      <c r="Y672" s="25" t="n">
        <v>141.76139831543</v>
      </c>
      <c r="Z672" s="25" t="n">
        <v>29.2548236846924</v>
      </c>
      <c r="AA672" s="25" t="n">
        <v>5.84680318832398</v>
      </c>
      <c r="AB672" s="25" t="n">
        <v>5.44665956497192</v>
      </c>
      <c r="AC672" s="25" t="n">
        <v>0.0309678614139557</v>
      </c>
      <c r="AD672" s="25" t="n">
        <v>0.0302050802856684</v>
      </c>
      <c r="AE672" s="25" t="n">
        <v>0.301850885152817</v>
      </c>
      <c r="AF672" s="25" t="n">
        <v>0.269561558961868</v>
      </c>
      <c r="AG672" s="25" t="n">
        <v>0.0465424060821533</v>
      </c>
      <c r="AH672" s="25" t="n">
        <v>2.54385709762573</v>
      </c>
      <c r="AI672" s="25" t="n">
        <v>10.8419237136841</v>
      </c>
      <c r="AJ672" s="6" t="n">
        <v>203.3</v>
      </c>
      <c r="AK672" s="6" t="n">
        <v>1169.2</v>
      </c>
      <c r="AL672" s="26" t="s">
        <v>3100</v>
      </c>
    </row>
    <row r="673" customFormat="false" ht="15" hidden="false" customHeight="false" outlineLevel="0" collapsed="false">
      <c r="A673" s="6" t="s">
        <v>1598</v>
      </c>
      <c r="B673" s="6" t="s">
        <v>4133</v>
      </c>
      <c r="C673" s="6" t="s">
        <v>3509</v>
      </c>
      <c r="D673" s="13" t="n">
        <v>531.856384277344</v>
      </c>
      <c r="E673" s="25" t="n">
        <v>5.09891414642334</v>
      </c>
      <c r="F673" s="25" t="n">
        <v>5.60632085800171</v>
      </c>
      <c r="G673" s="25" t="n">
        <v>54.4669151306152</v>
      </c>
      <c r="H673" s="25" t="n">
        <v>0.397243440151215</v>
      </c>
      <c r="I673" s="25" t="n">
        <v>0.31488224864006</v>
      </c>
      <c r="J673" s="25" t="n">
        <v>7.50358203125</v>
      </c>
      <c r="K673" s="25" t="n">
        <v>11.6840361328125</v>
      </c>
      <c r="L673" s="25" t="n">
        <v>32.69350390625</v>
      </c>
      <c r="M673" s="25" t="n">
        <v>16.4998817443848</v>
      </c>
      <c r="N673" s="25" t="n">
        <v>95.8070449829102</v>
      </c>
      <c r="O673" s="25" t="n">
        <v>88.667106628418</v>
      </c>
      <c r="P673" s="25" t="n">
        <v>20.8168258666992</v>
      </c>
      <c r="Q673" s="25" t="n">
        <v>52.3571472167969</v>
      </c>
      <c r="R673" s="25" t="n">
        <v>8.13589572906494</v>
      </c>
      <c r="S673" s="25" t="n">
        <v>0.630643725395203</v>
      </c>
      <c r="T673" s="25" t="n">
        <v>0.837601721286774</v>
      </c>
      <c r="U673" s="25" t="n">
        <v>0.042525339871645</v>
      </c>
      <c r="V673" s="25" t="n">
        <v>1.11413848400116</v>
      </c>
      <c r="W673" s="25" t="n">
        <v>0.072899267077446</v>
      </c>
      <c r="X673" s="25" t="n">
        <v>1.07142090797424</v>
      </c>
      <c r="Y673" s="25" t="n">
        <v>73.4139938354492</v>
      </c>
      <c r="Z673" s="25" t="n">
        <v>25.3651599884033</v>
      </c>
      <c r="AA673" s="25" t="n">
        <v>4.73165082931519</v>
      </c>
      <c r="AB673" s="25" t="n">
        <v>0.777836799621582</v>
      </c>
      <c r="AC673" s="25" t="n">
        <v>0.0501290000975132</v>
      </c>
      <c r="AD673" s="25" t="n">
        <v>0.0473214499652386</v>
      </c>
      <c r="AE673" s="25" t="n">
        <v>1.20439219474793</v>
      </c>
      <c r="AF673" s="25" t="n">
        <v>0.205118387937546</v>
      </c>
      <c r="AG673" s="25" t="n">
        <v>0.0536297596991062</v>
      </c>
      <c r="AH673" s="25" t="n">
        <v>0.45966187119484</v>
      </c>
      <c r="AI673" s="25" t="n">
        <v>3.79772639274597</v>
      </c>
      <c r="AJ673" s="6" t="n">
        <v>233.3</v>
      </c>
      <c r="AK673" s="6" t="n">
        <v>1241</v>
      </c>
      <c r="AL673" s="26" t="s">
        <v>3146</v>
      </c>
    </row>
    <row r="674" customFormat="false" ht="15" hidden="false" customHeight="false" outlineLevel="0" collapsed="false">
      <c r="A674" s="6" t="s">
        <v>4134</v>
      </c>
      <c r="B674" s="6" t="s">
        <v>4135</v>
      </c>
      <c r="C674" s="6" t="s">
        <v>3504</v>
      </c>
      <c r="D674" s="13" t="n">
        <v>443.107482910156</v>
      </c>
      <c r="E674" s="25" t="n">
        <v>2.20698976516724</v>
      </c>
      <c r="F674" s="25" t="n">
        <v>13.2201509475708</v>
      </c>
      <c r="G674" s="25" t="n">
        <v>42.2231025695801</v>
      </c>
      <c r="H674" s="25" t="n">
        <v>1.52281141281128</v>
      </c>
      <c r="I674" s="25" t="n">
        <v>0.742934226989746</v>
      </c>
      <c r="J674" s="25" t="n">
        <v>5.850125</v>
      </c>
      <c r="K674" s="25" t="n">
        <v>8.734951171875</v>
      </c>
      <c r="L674" s="25" t="n">
        <v>25.77452734375</v>
      </c>
      <c r="M674" s="25" t="n">
        <v>4.06222152709961</v>
      </c>
      <c r="N674" s="25" t="n">
        <v>107.69612121582</v>
      </c>
      <c r="O674" s="25" t="n">
        <v>189.065902709961</v>
      </c>
      <c r="P674" s="25" t="n">
        <v>10.3737545013428</v>
      </c>
      <c r="Q674" s="25" t="n">
        <v>30.0480690002441</v>
      </c>
      <c r="R674" s="25" t="n">
        <v>14.7753448486328</v>
      </c>
      <c r="S674" s="25" t="n">
        <v>0.599055469036102</v>
      </c>
      <c r="T674" s="25" t="n">
        <v>0.284981518983841</v>
      </c>
      <c r="U674" s="25" t="n">
        <v>0.074745699763298</v>
      </c>
      <c r="V674" s="25" t="n">
        <v>0.35497373342514</v>
      </c>
      <c r="W674" s="25" t="n">
        <v>0.170790642499924</v>
      </c>
      <c r="X674" s="25" t="n">
        <v>15.2250728607178</v>
      </c>
      <c r="Y674" s="25" t="n">
        <v>292.025848388672</v>
      </c>
      <c r="Z674" s="25" t="n">
        <v>20.0528068542481</v>
      </c>
      <c r="AA674" s="25" t="n">
        <v>8.36424541473389</v>
      </c>
      <c r="AB674" s="25" t="n">
        <v>9.96332931518555</v>
      </c>
      <c r="AC674" s="25" t="n">
        <v>0.0566146522760391</v>
      </c>
      <c r="AD674" s="25" t="n">
        <v>0.013699758797884</v>
      </c>
      <c r="AE674" s="25" t="n">
        <v>0.484863579273224</v>
      </c>
      <c r="AF674" s="25" t="n">
        <v>0.248666733503342</v>
      </c>
      <c r="AG674" s="25" t="n">
        <v>0.0594428479671478</v>
      </c>
      <c r="AH674" s="25" t="n">
        <v>0.920329093933106</v>
      </c>
      <c r="AI674" s="25" t="n">
        <v>12.2764701843262</v>
      </c>
      <c r="AJ674" s="6" t="n">
        <v>100.9</v>
      </c>
      <c r="AK674" s="6" t="n">
        <v>447.2</v>
      </c>
      <c r="AL674" s="26" t="s">
        <v>3100</v>
      </c>
    </row>
    <row r="675" customFormat="false" ht="15" hidden="false" customHeight="false" outlineLevel="0" collapsed="false">
      <c r="A675" s="6" t="s">
        <v>732</v>
      </c>
      <c r="B675" s="6" t="s">
        <v>4136</v>
      </c>
      <c r="C675" s="6" t="s">
        <v>3362</v>
      </c>
      <c r="D675" s="13" t="n">
        <v>745.499389648438</v>
      </c>
      <c r="E675" s="25" t="n">
        <v>4.38542032241821</v>
      </c>
      <c r="F675" s="25" t="n">
        <v>9.69889068603516</v>
      </c>
      <c r="G675" s="25" t="n">
        <v>76.315055847168</v>
      </c>
      <c r="H675" s="25" t="n">
        <v>2.26877975463867</v>
      </c>
      <c r="I675" s="25" t="n">
        <v>0.159746438264847</v>
      </c>
      <c r="J675" s="25" t="n">
        <v>9.18085546875</v>
      </c>
      <c r="K675" s="25" t="n">
        <v>15.6296669921875</v>
      </c>
      <c r="L675" s="25" t="n">
        <v>48.29325</v>
      </c>
      <c r="M675" s="25" t="n">
        <v>0</v>
      </c>
      <c r="N675" s="25" t="n">
        <v>65.8725814819336</v>
      </c>
      <c r="O675" s="25" t="n">
        <v>220.172744750977</v>
      </c>
      <c r="P675" s="25" t="n">
        <v>10.6028528213501</v>
      </c>
      <c r="Q675" s="25" t="n">
        <v>71.3169555664063</v>
      </c>
      <c r="R675" s="25" t="n">
        <v>33.0206031799316</v>
      </c>
      <c r="S675" s="25" t="n">
        <v>0.96465927362442</v>
      </c>
      <c r="T675" s="25" t="n">
        <v>0.57068145275116</v>
      </c>
      <c r="U675" s="25" t="n">
        <v>0.12944532930851</v>
      </c>
      <c r="V675" s="25" t="n">
        <v>4.5622820854187</v>
      </c>
      <c r="W675" s="25" t="n">
        <v>0.277654498815537</v>
      </c>
      <c r="X675" s="25" t="n">
        <v>0</v>
      </c>
      <c r="Y675" s="25" t="n">
        <v>53.0586357116699</v>
      </c>
      <c r="Z675" s="25" t="n">
        <v>37.4738502502441</v>
      </c>
      <c r="AA675" s="25" t="n">
        <v>6.37084007263184</v>
      </c>
      <c r="AB675" s="25" t="n">
        <v>0</v>
      </c>
      <c r="AC675" s="25" t="n">
        <v>0.0399366095662117</v>
      </c>
      <c r="AD675" s="25" t="n">
        <v>0.0171156898140907</v>
      </c>
      <c r="AE675" s="25" t="n">
        <v>0.334706813097</v>
      </c>
      <c r="AF675" s="25" t="n">
        <v>0.561014235019684</v>
      </c>
      <c r="AG675" s="25" t="n">
        <v>0.041838351637125</v>
      </c>
      <c r="AH675" s="25" t="n">
        <v>0.154041200876236</v>
      </c>
      <c r="AI675" s="25" t="n">
        <v>16.8779716491699</v>
      </c>
      <c r="AJ675" s="6" t="n">
        <v>78.9</v>
      </c>
      <c r="AK675" s="6" t="n">
        <v>588</v>
      </c>
      <c r="AL675" s="26" t="s">
        <v>3100</v>
      </c>
    </row>
    <row r="676" customFormat="false" ht="15" hidden="false" customHeight="false" outlineLevel="0" collapsed="false">
      <c r="A676" s="6" t="s">
        <v>4137</v>
      </c>
      <c r="B676" s="6" t="s">
        <v>4138</v>
      </c>
      <c r="C676" s="6" t="s">
        <v>3362</v>
      </c>
      <c r="D676" s="13" t="n">
        <v>703.779174804688</v>
      </c>
      <c r="E676" s="25" t="n">
        <v>4.32194900512695</v>
      </c>
      <c r="F676" s="25" t="n">
        <v>9.93113422393799</v>
      </c>
      <c r="G676" s="25" t="n">
        <v>71.6166000366211</v>
      </c>
      <c r="H676" s="25" t="n">
        <v>2.7109797000885</v>
      </c>
      <c r="I676" s="25" t="n">
        <v>0.704383492469788</v>
      </c>
      <c r="J676" s="25" t="n">
        <v>9.294419921875</v>
      </c>
      <c r="K676" s="25" t="n">
        <v>14.4869267578125</v>
      </c>
      <c r="L676" s="25" t="n">
        <v>44.567640625</v>
      </c>
      <c r="M676" s="25" t="n">
        <v>0</v>
      </c>
      <c r="N676" s="25" t="n">
        <v>61.4923133850098</v>
      </c>
      <c r="O676" s="25" t="n">
        <v>232.790634155273</v>
      </c>
      <c r="P676" s="25" t="n">
        <v>11.874979019165</v>
      </c>
      <c r="Q676" s="25" t="n">
        <v>71.2685775756836</v>
      </c>
      <c r="R676" s="25" t="n">
        <v>33.8934783935547</v>
      </c>
      <c r="S676" s="25" t="n">
        <v>1.00375258922577</v>
      </c>
      <c r="T676" s="25" t="n">
        <v>0.574570834636688</v>
      </c>
      <c r="U676" s="25" t="n">
        <v>0.14113013446331</v>
      </c>
      <c r="V676" s="25" t="n">
        <v>4.22713851928711</v>
      </c>
      <c r="W676" s="25" t="n">
        <v>0.353384584188461</v>
      </c>
      <c r="X676" s="25" t="n">
        <v>0</v>
      </c>
      <c r="Y676" s="25" t="n">
        <v>91.1578750610352</v>
      </c>
      <c r="Z676" s="25" t="n">
        <v>34.6453552246094</v>
      </c>
      <c r="AA676" s="25" t="n">
        <v>7.56314277648926</v>
      </c>
      <c r="AB676" s="25" t="n">
        <v>2.39178442955017</v>
      </c>
      <c r="AC676" s="25" t="n">
        <v>0.0423774756491184</v>
      </c>
      <c r="AD676" s="25" t="n">
        <v>0.0214329138398171</v>
      </c>
      <c r="AE676" s="25" t="n">
        <v>0.360745549201965</v>
      </c>
      <c r="AF676" s="25" t="n">
        <v>0.548754692077637</v>
      </c>
      <c r="AG676" s="25" t="n">
        <v>0.0557255148887634</v>
      </c>
      <c r="AH676" s="25" t="n">
        <v>0.34091854095459</v>
      </c>
      <c r="AI676" s="25" t="n">
        <v>18.5703163146973</v>
      </c>
      <c r="AJ676" s="6" t="n">
        <v>85.5</v>
      </c>
      <c r="AK676" s="6" t="n">
        <v>602</v>
      </c>
      <c r="AL676" s="26" t="s">
        <v>3100</v>
      </c>
    </row>
    <row r="677" customFormat="false" ht="15" hidden="false" customHeight="false" outlineLevel="0" collapsed="false">
      <c r="A677" s="6" t="s">
        <v>615</v>
      </c>
      <c r="B677" s="6" t="s">
        <v>4139</v>
      </c>
      <c r="C677" s="6" t="s">
        <v>4140</v>
      </c>
      <c r="D677" s="13" t="n">
        <v>54.7265930175781</v>
      </c>
      <c r="E677" s="25" t="n">
        <v>1.9246256351471</v>
      </c>
      <c r="F677" s="25" t="n">
        <v>5.35526275634766</v>
      </c>
      <c r="G677" s="25" t="n">
        <v>2.79774880409241</v>
      </c>
      <c r="H677" s="25" t="n">
        <v>1.49154591560364</v>
      </c>
      <c r="I677" s="25" t="n">
        <v>1.36246061325073</v>
      </c>
      <c r="J677" s="25" t="n">
        <v>0.548828186035156</v>
      </c>
      <c r="K677" s="25" t="n">
        <v>0.502385162353516</v>
      </c>
      <c r="L677" s="25" t="n">
        <v>1.43268688964844</v>
      </c>
      <c r="M677" s="25" t="n">
        <v>0</v>
      </c>
      <c r="N677" s="25" t="n">
        <v>124.10132598877</v>
      </c>
      <c r="O677" s="25" t="n">
        <v>92.4939651489258</v>
      </c>
      <c r="P677" s="25" t="n">
        <v>5.31071901321411</v>
      </c>
      <c r="Q677" s="25" t="n">
        <v>29.7758865356445</v>
      </c>
      <c r="R677" s="25" t="n">
        <v>11.4604005813599</v>
      </c>
      <c r="S677" s="25" t="n">
        <v>0.57757443189621</v>
      </c>
      <c r="T677" s="25" t="n">
        <v>0.324992507696152</v>
      </c>
      <c r="U677" s="25" t="n">
        <v>0.0785144194960594</v>
      </c>
      <c r="V677" s="25" t="n">
        <v>4.34722805023193</v>
      </c>
      <c r="W677" s="25" t="n">
        <v>0.159914314746857</v>
      </c>
      <c r="X677" s="25" t="n">
        <v>0</v>
      </c>
      <c r="Y677" s="25" t="n">
        <v>152.875350952148</v>
      </c>
      <c r="Z677" s="25" t="n">
        <v>0.983904421329498</v>
      </c>
      <c r="AA677" s="25" t="n">
        <v>1.62122678756714</v>
      </c>
      <c r="AB677" s="25" t="n">
        <v>2.19487357139587</v>
      </c>
      <c r="AC677" s="25" t="n">
        <v>0.0323970727622509</v>
      </c>
      <c r="AD677" s="25" t="n">
        <v>0.0159292612224817</v>
      </c>
      <c r="AE677" s="25" t="n">
        <v>0.182628139853478</v>
      </c>
      <c r="AF677" s="25" t="n">
        <v>0.143979430198669</v>
      </c>
      <c r="AG677" s="25" t="n">
        <v>0.0231484323740006</v>
      </c>
      <c r="AH677" s="25" t="n">
        <v>0.112467303872109</v>
      </c>
      <c r="AI677" s="25" t="n">
        <v>16.2883796691895</v>
      </c>
      <c r="AJ677" s="6" t="n">
        <v>118.7</v>
      </c>
      <c r="AK677" s="6" t="n">
        <v>64.9</v>
      </c>
      <c r="AL677" s="26"/>
    </row>
    <row r="678" customFormat="false" ht="15" hidden="false" customHeight="false" outlineLevel="0" collapsed="false">
      <c r="A678" s="6" t="s">
        <v>4141</v>
      </c>
      <c r="B678" s="6" t="s">
        <v>4142</v>
      </c>
      <c r="C678" s="6" t="s">
        <v>4140</v>
      </c>
      <c r="D678" s="13" t="n">
        <v>207.112457275391</v>
      </c>
      <c r="E678" s="25" t="n">
        <v>7.66456890106201</v>
      </c>
      <c r="F678" s="25" t="n">
        <v>24.1105499267578</v>
      </c>
      <c r="G678" s="25" t="n">
        <v>9.37312316894531</v>
      </c>
      <c r="H678" s="25" t="n">
        <v>3.56985354423523</v>
      </c>
      <c r="I678" s="25" t="n">
        <v>6.86205673217773</v>
      </c>
      <c r="J678" s="25" t="n">
        <v>2.11650317382813</v>
      </c>
      <c r="K678" s="25" t="n">
        <v>1.78578759765625</v>
      </c>
      <c r="L678" s="25" t="n">
        <v>4.618666015625</v>
      </c>
      <c r="M678" s="25" t="n">
        <v>2.5891489982605</v>
      </c>
      <c r="N678" s="25" t="n">
        <v>763.975219726563</v>
      </c>
      <c r="O678" s="25" t="n">
        <v>187.952133178711</v>
      </c>
      <c r="P678" s="25" t="n">
        <v>66.5833206176758</v>
      </c>
      <c r="Q678" s="25" t="n">
        <v>105.738304138184</v>
      </c>
      <c r="R678" s="25" t="n">
        <v>25.7978229522705</v>
      </c>
      <c r="S678" s="25" t="n">
        <v>1.04743242263794</v>
      </c>
      <c r="T678" s="25" t="n">
        <v>0.695050776004791</v>
      </c>
      <c r="U678" s="25" t="n">
        <v>0.118336670100689</v>
      </c>
      <c r="V678" s="25" t="n">
        <v>2.20543527603149</v>
      </c>
      <c r="W678" s="25" t="n">
        <v>0.561637818813324</v>
      </c>
      <c r="X678" s="25" t="n">
        <v>6.59056091308594</v>
      </c>
      <c r="Y678" s="25" t="n">
        <v>216.469497680664</v>
      </c>
      <c r="Z678" s="25" t="n">
        <v>3.71355152130127</v>
      </c>
      <c r="AA678" s="25" t="n">
        <v>6.40684032440186</v>
      </c>
      <c r="AB678" s="25" t="n">
        <v>6.36519718170166</v>
      </c>
      <c r="AC678" s="25" t="n">
        <v>0.145262256264687</v>
      </c>
      <c r="AD678" s="25" t="n">
        <v>0.115110039710999</v>
      </c>
      <c r="AE678" s="25" t="n">
        <v>0.63219290971756</v>
      </c>
      <c r="AF678" s="25" t="n">
        <v>0.47931781411171</v>
      </c>
      <c r="AG678" s="25" t="n">
        <v>0.155984863638878</v>
      </c>
      <c r="AH678" s="25" t="n">
        <v>2.73922801017761</v>
      </c>
      <c r="AI678" s="25" t="n">
        <v>53.8406715393066</v>
      </c>
      <c r="AJ678" s="6" t="n">
        <v>42.5</v>
      </c>
      <c r="AK678" s="6" t="n">
        <v>88</v>
      </c>
      <c r="AL678" s="26"/>
    </row>
    <row r="679" customFormat="false" ht="15" hidden="false" customHeight="false" outlineLevel="0" collapsed="false">
      <c r="A679" s="6" t="s">
        <v>1907</v>
      </c>
      <c r="B679" s="6" t="s">
        <v>4143</v>
      </c>
      <c r="C679" s="6" t="s">
        <v>3536</v>
      </c>
      <c r="D679" s="13" t="n">
        <v>44.6567535400391</v>
      </c>
      <c r="E679" s="25" t="n">
        <v>1.04967880249023</v>
      </c>
      <c r="F679" s="25" t="n">
        <v>9.1115779876709</v>
      </c>
      <c r="G679" s="25" t="n">
        <v>0.321540683507919</v>
      </c>
      <c r="H679" s="25" t="n">
        <v>2.1366765499115</v>
      </c>
      <c r="I679" s="25" t="n">
        <v>6.30585622787476</v>
      </c>
      <c r="J679" s="25" t="n">
        <v>0.0541655426025391</v>
      </c>
      <c r="K679" s="25" t="n">
        <v>0.0621128311157227</v>
      </c>
      <c r="L679" s="25" t="n">
        <v>0.13567204284668</v>
      </c>
      <c r="M679" s="25" t="n">
        <v>0</v>
      </c>
      <c r="N679" s="25" t="n">
        <v>209.422607421875</v>
      </c>
      <c r="O679" s="25" t="n">
        <v>227.558883666992</v>
      </c>
      <c r="P679" s="25" t="n">
        <v>23.6263637542725</v>
      </c>
      <c r="Q679" s="25" t="n">
        <v>25.6380481719971</v>
      </c>
      <c r="R679" s="25" t="n">
        <v>20.7297687530518</v>
      </c>
      <c r="S679" s="25" t="n">
        <v>1.07570910453796</v>
      </c>
      <c r="T679" s="25" t="n">
        <v>0.173406407237053</v>
      </c>
      <c r="U679" s="25" t="n">
        <v>0.0867899805307388</v>
      </c>
      <c r="V679" s="25" t="n">
        <v>0.196168079972267</v>
      </c>
      <c r="W679" s="25" t="n">
        <v>0.293552577495575</v>
      </c>
      <c r="X679" s="25" t="n">
        <v>0</v>
      </c>
      <c r="Y679" s="25" t="n">
        <v>4502.2529296875</v>
      </c>
      <c r="Z679" s="25" t="n">
        <v>0.202476978302002</v>
      </c>
      <c r="AA679" s="25" t="n">
        <v>20.8425483703613</v>
      </c>
      <c r="AB679" s="25" t="n">
        <v>22.1980075836182</v>
      </c>
      <c r="AC679" s="25" t="n">
        <v>0.0631856620311737</v>
      </c>
      <c r="AD679" s="25" t="n">
        <v>0.0266324114054442</v>
      </c>
      <c r="AE679" s="25" t="n">
        <v>0.559777736663818</v>
      </c>
      <c r="AF679" s="25" t="n">
        <v>0.1733188778162</v>
      </c>
      <c r="AG679" s="25" t="n">
        <v>0.0873867720365524</v>
      </c>
      <c r="AH679" s="25" t="n">
        <v>0.960041105747223</v>
      </c>
      <c r="AI679" s="25" t="n">
        <v>13.957670211792</v>
      </c>
      <c r="AJ679" s="6" t="n">
        <v>16.4</v>
      </c>
      <c r="AK679" s="6" t="n">
        <v>7.3</v>
      </c>
      <c r="AL679" s="26"/>
    </row>
    <row r="680" customFormat="false" ht="15" hidden="false" customHeight="false" outlineLevel="0" collapsed="false">
      <c r="A680" s="6" t="s">
        <v>4144</v>
      </c>
      <c r="B680" s="6" t="s">
        <v>4145</v>
      </c>
      <c r="C680" s="6" t="s">
        <v>3536</v>
      </c>
      <c r="D680" s="13" t="n">
        <v>43.6510353088379</v>
      </c>
      <c r="E680" s="25" t="n">
        <v>1.52669811248779</v>
      </c>
      <c r="F680" s="25" t="n">
        <v>8.22347927093506</v>
      </c>
      <c r="G680" s="25" t="n">
        <v>0.364938884973526</v>
      </c>
      <c r="H680" s="25" t="n">
        <v>2.63259029388428</v>
      </c>
      <c r="I680" s="25" t="n">
        <v>5.48325490951538</v>
      </c>
      <c r="J680" s="25" t="n">
        <v>0.0635246543884277</v>
      </c>
      <c r="K680" s="25" t="n">
        <v>0.055654109954834</v>
      </c>
      <c r="L680" s="25" t="n">
        <v>0.16425471496582</v>
      </c>
      <c r="M680" s="25" t="n">
        <v>0</v>
      </c>
      <c r="N680" s="25" t="n">
        <v>183.981292724609</v>
      </c>
      <c r="O680" s="25" t="n">
        <v>268.708526611328</v>
      </c>
      <c r="P680" s="25" t="n">
        <v>47.5906410217285</v>
      </c>
      <c r="Q680" s="25" t="n">
        <v>30.8718395233154</v>
      </c>
      <c r="R680" s="25" t="n">
        <v>32.5247383117676</v>
      </c>
      <c r="S680" s="25" t="n">
        <v>2.06458282470703</v>
      </c>
      <c r="T680" s="25" t="n">
        <v>0.249589756131172</v>
      </c>
      <c r="U680" s="25" t="n">
        <v>0.124209553003311</v>
      </c>
      <c r="V680" s="25" t="n">
        <v>1.5958948135376</v>
      </c>
      <c r="W680" s="25" t="n">
        <v>0.394820630550385</v>
      </c>
      <c r="X680" s="25" t="n">
        <v>0</v>
      </c>
      <c r="Y680" s="25" t="n">
        <v>6377.22802734375</v>
      </c>
      <c r="Z680" s="25" t="n">
        <v>0.236502602696419</v>
      </c>
      <c r="AA680" s="25" t="n">
        <v>39.7574501037598</v>
      </c>
      <c r="AB680" s="25" t="n">
        <v>21.5323524475098</v>
      </c>
      <c r="AC680" s="25" t="n">
        <v>0.0574796870350838</v>
      </c>
      <c r="AD680" s="25" t="n">
        <v>0.0482176132500172</v>
      </c>
      <c r="AE680" s="25" t="n">
        <v>0.583589851856232</v>
      </c>
      <c r="AF680" s="25" t="n">
        <v>0.195341885089874</v>
      </c>
      <c r="AG680" s="25" t="n">
        <v>0.0983021706342697</v>
      </c>
      <c r="AH680" s="25" t="n">
        <v>1.1251939535141</v>
      </c>
      <c r="AI680" s="25" t="n">
        <v>26.1189079284668</v>
      </c>
      <c r="AJ680" s="6" t="n">
        <v>18.9</v>
      </c>
      <c r="AK680" s="6" t="n">
        <v>8.3</v>
      </c>
      <c r="AL680" s="26"/>
    </row>
    <row r="681" customFormat="false" ht="15" hidden="false" customHeight="false" outlineLevel="0" collapsed="false">
      <c r="A681" s="6" t="s">
        <v>4146</v>
      </c>
      <c r="B681" s="6" t="s">
        <v>4147</v>
      </c>
      <c r="C681" s="6" t="s">
        <v>3536</v>
      </c>
      <c r="D681" s="13" t="n">
        <v>42.8615798950195</v>
      </c>
      <c r="E681" s="25" t="n">
        <v>1.37607383728027</v>
      </c>
      <c r="F681" s="25" t="n">
        <v>8.16270065307617</v>
      </c>
      <c r="G681" s="25" t="n">
        <v>0.371545225381851</v>
      </c>
      <c r="H681" s="25" t="n">
        <v>2.47007465362549</v>
      </c>
      <c r="I681" s="25" t="n">
        <v>5.49514627456665</v>
      </c>
      <c r="J681" s="25" t="n">
        <v>0.0771336898803711</v>
      </c>
      <c r="K681" s="25" t="n">
        <v>0.055103141784668</v>
      </c>
      <c r="L681" s="25" t="n">
        <v>0.160026672363281</v>
      </c>
      <c r="M681" s="25" t="n">
        <v>0</v>
      </c>
      <c r="N681" s="25" t="n">
        <v>186.641006469727</v>
      </c>
      <c r="O681" s="25" t="n">
        <v>269.633422851563</v>
      </c>
      <c r="P681" s="25" t="n">
        <v>39.7951736450195</v>
      </c>
      <c r="Q681" s="25" t="n">
        <v>30.7978477478027</v>
      </c>
      <c r="R681" s="25" t="n">
        <v>27.5937747955322</v>
      </c>
      <c r="S681" s="25" t="n">
        <v>1.63385009765625</v>
      </c>
      <c r="T681" s="25" t="n">
        <v>0.240340888500214</v>
      </c>
      <c r="U681" s="25" t="n">
        <v>0.107033096253872</v>
      </c>
      <c r="V681" s="25" t="n">
        <v>0.229706019163132</v>
      </c>
      <c r="W681" s="25" t="n">
        <v>0.381607979536057</v>
      </c>
      <c r="X681" s="25" t="n">
        <v>0</v>
      </c>
      <c r="Y681" s="25" t="n">
        <v>5731.78955078125</v>
      </c>
      <c r="Z681" s="25" t="n">
        <v>0.236502602696419</v>
      </c>
      <c r="AA681" s="25" t="n">
        <v>54.291374206543</v>
      </c>
      <c r="AB681" s="25" t="n">
        <v>22.4189224243164</v>
      </c>
      <c r="AC681" s="25" t="n">
        <v>0.0667285472154617</v>
      </c>
      <c r="AD681" s="25" t="n">
        <v>0.0297198910266161</v>
      </c>
      <c r="AE681" s="25" t="n">
        <v>0.582268595695496</v>
      </c>
      <c r="AF681" s="25" t="n">
        <v>0.233658596873283</v>
      </c>
      <c r="AG681" s="25" t="n">
        <v>0.100944705307484</v>
      </c>
      <c r="AH681" s="25" t="n">
        <v>1.38416194915772</v>
      </c>
      <c r="AI681" s="25" t="n">
        <v>18.8532676696777</v>
      </c>
      <c r="AJ681" s="6" t="n">
        <v>18.9</v>
      </c>
      <c r="AK681" s="6" t="n">
        <v>8.1</v>
      </c>
      <c r="AL681" s="26"/>
    </row>
    <row r="682" customFormat="false" ht="15" hidden="false" customHeight="false" outlineLevel="0" collapsed="false">
      <c r="A682" s="6" t="s">
        <v>4148</v>
      </c>
      <c r="B682" s="6" t="s">
        <v>4149</v>
      </c>
      <c r="C682" s="6" t="s">
        <v>3536</v>
      </c>
      <c r="D682" s="13" t="n">
        <v>43.0156478881836</v>
      </c>
      <c r="E682" s="25" t="n">
        <v>1.43554306030273</v>
      </c>
      <c r="F682" s="25" t="n">
        <v>8.834716796875</v>
      </c>
      <c r="G682" s="25" t="n">
        <v>0.619722604751587</v>
      </c>
      <c r="H682" s="25" t="n">
        <v>4.58257913589478</v>
      </c>
      <c r="I682" s="25" t="n">
        <v>0.0637540891766548</v>
      </c>
      <c r="J682" s="25" t="n">
        <v>0.076929557800293</v>
      </c>
      <c r="K682" s="25" t="n">
        <v>0.0464286422729492</v>
      </c>
      <c r="L682" s="25" t="n">
        <v>0.326683654785156</v>
      </c>
      <c r="M682" s="25" t="n">
        <v>0</v>
      </c>
      <c r="N682" s="25" t="n">
        <v>215.090606689453</v>
      </c>
      <c r="O682" s="25" t="n">
        <v>269.117797851563</v>
      </c>
      <c r="P682" s="25" t="n">
        <v>46.3976707458496</v>
      </c>
      <c r="Q682" s="25" t="n">
        <v>34.8881149291992</v>
      </c>
      <c r="R682" s="25" t="n">
        <v>22.579216003418</v>
      </c>
      <c r="S682" s="25" t="n">
        <v>1.22413897514343</v>
      </c>
      <c r="T682" s="25" t="n">
        <v>0.223673060536385</v>
      </c>
      <c r="U682" s="25" t="n">
        <v>0.113864734768868</v>
      </c>
      <c r="V682" s="25" t="n">
        <v>0.63214898109436</v>
      </c>
      <c r="W682" s="25" t="n">
        <v>0.334773272275925</v>
      </c>
      <c r="X682" s="25" t="n">
        <v>0</v>
      </c>
      <c r="Y682" s="25" t="n">
        <v>2238.97485351563</v>
      </c>
      <c r="Z682" s="25" t="n">
        <v>0.383888125419617</v>
      </c>
      <c r="AA682" s="25" t="n">
        <v>45.0267944335938</v>
      </c>
      <c r="AB682" s="25" t="n">
        <v>30.1847152709961</v>
      </c>
      <c r="AC682" s="25" t="n">
        <v>0.0503303706645966</v>
      </c>
      <c r="AD682" s="25" t="n">
        <v>0.037576749920845</v>
      </c>
      <c r="AE682" s="25" t="n">
        <v>0.400322586297989</v>
      </c>
      <c r="AF682" s="25" t="n">
        <v>0.334776401519775</v>
      </c>
      <c r="AG682" s="25" t="n">
        <v>0.108577214181423</v>
      </c>
      <c r="AH682" s="25" t="n">
        <v>0.709722578525543</v>
      </c>
      <c r="AI682" s="25" t="n">
        <v>13.9105501174927</v>
      </c>
      <c r="AJ682" s="6" t="n">
        <v>16</v>
      </c>
      <c r="AK682" s="6" t="n">
        <v>6.9</v>
      </c>
      <c r="AL682" s="26" t="s">
        <v>3053</v>
      </c>
    </row>
    <row r="683" customFormat="false" ht="15" hidden="false" customHeight="false" outlineLevel="0" collapsed="false">
      <c r="A683" s="6" t="s">
        <v>4150</v>
      </c>
      <c r="B683" s="6" t="s">
        <v>4151</v>
      </c>
      <c r="C683" s="6" t="s">
        <v>3536</v>
      </c>
      <c r="D683" s="13" t="n">
        <v>370.431274414063</v>
      </c>
      <c r="E683" s="25" t="n">
        <v>9.43903160095215</v>
      </c>
      <c r="F683" s="25" t="n">
        <v>8.90565490722656</v>
      </c>
      <c r="G683" s="25" t="n">
        <v>33.4629173278809</v>
      </c>
      <c r="H683" s="25" t="n">
        <v>3.04491376876831</v>
      </c>
      <c r="I683" s="25" t="n">
        <v>4.39892196655273</v>
      </c>
      <c r="J683" s="25" t="n">
        <v>3.2417724609375</v>
      </c>
      <c r="K683" s="25" t="n">
        <v>5.95492333984375</v>
      </c>
      <c r="L683" s="25" t="n">
        <v>22.74839453125</v>
      </c>
      <c r="M683" s="25" t="n">
        <v>3.32761907577515</v>
      </c>
      <c r="N683" s="25" t="n">
        <v>159.998123168945</v>
      </c>
      <c r="O683" s="25" t="n">
        <v>351.460021972656</v>
      </c>
      <c r="P683" s="25" t="n">
        <v>119.567794799805</v>
      </c>
      <c r="Q683" s="25" t="n">
        <v>257.031066894531</v>
      </c>
      <c r="R683" s="25" t="n">
        <v>100.086799621582</v>
      </c>
      <c r="S683" s="25" t="n">
        <v>1.76820611953735</v>
      </c>
      <c r="T683" s="25" t="n">
        <v>1.72182214260101</v>
      </c>
      <c r="U683" s="25" t="n">
        <v>0.785083174705505</v>
      </c>
      <c r="V683" s="25" t="n">
        <v>3.95850563049316</v>
      </c>
      <c r="W683" s="25" t="n">
        <v>1.79976201057434</v>
      </c>
      <c r="X683" s="25" t="n">
        <v>8.47030353546143</v>
      </c>
      <c r="Y683" s="25" t="n">
        <v>137.2880859375</v>
      </c>
      <c r="Z683" s="25" t="n">
        <v>2.1169114112854</v>
      </c>
      <c r="AA683" s="25" t="n">
        <v>44.5938224792481</v>
      </c>
      <c r="AB683" s="25" t="n">
        <v>10.7457208633423</v>
      </c>
      <c r="AC683" s="25" t="n">
        <v>0.229199349880219</v>
      </c>
      <c r="AD683" s="25" t="n">
        <v>0.147840067744255</v>
      </c>
      <c r="AE683" s="25" t="n">
        <v>0.543397188186646</v>
      </c>
      <c r="AF683" s="25" t="n">
        <v>0.60182112455368</v>
      </c>
      <c r="AG683" s="25" t="n">
        <v>0.448899865150452</v>
      </c>
      <c r="AH683" s="25" t="n">
        <v>7.69530010223389</v>
      </c>
      <c r="AI683" s="25" t="n">
        <v>37.375114440918</v>
      </c>
      <c r="AJ683" s="6" t="n">
        <v>12.4</v>
      </c>
      <c r="AK683" s="6" t="n">
        <v>45.9</v>
      </c>
      <c r="AL683" s="26"/>
    </row>
    <row r="684" customFormat="false" ht="15" hidden="false" customHeight="false" outlineLevel="0" collapsed="false">
      <c r="A684" s="6" t="s">
        <v>4152</v>
      </c>
      <c r="B684" s="6" t="s">
        <v>4153</v>
      </c>
      <c r="C684" s="6" t="s">
        <v>3536</v>
      </c>
      <c r="D684" s="13" t="n">
        <v>84.2150726318359</v>
      </c>
      <c r="E684" s="25" t="n">
        <v>0.280522227287293</v>
      </c>
      <c r="F684" s="25" t="n">
        <v>20.6202449798584</v>
      </c>
      <c r="G684" s="25" t="n">
        <v>0.105829916894436</v>
      </c>
      <c r="H684" s="25" t="n">
        <v>0.312584221363068</v>
      </c>
      <c r="I684" s="25" t="n">
        <v>19.0367469787598</v>
      </c>
      <c r="J684" s="25" t="n">
        <v>0.0147371215820313</v>
      </c>
      <c r="K684" s="25" t="n">
        <v>0.0199693565368652</v>
      </c>
      <c r="L684" s="25" t="n">
        <v>0.0228154296875</v>
      </c>
      <c r="M684" s="25" t="n">
        <v>0</v>
      </c>
      <c r="N684" s="25" t="n">
        <v>222.529052734375</v>
      </c>
      <c r="O684" s="25" t="n">
        <v>82.0184326171875</v>
      </c>
      <c r="P684" s="25" t="n">
        <v>15.1683130264282</v>
      </c>
      <c r="Q684" s="25" t="n">
        <v>9.83487796783447</v>
      </c>
      <c r="R684" s="25" t="n">
        <v>14.0118522644043</v>
      </c>
      <c r="S684" s="25" t="n">
        <v>0.699685990810394</v>
      </c>
      <c r="T684" s="25" t="n">
        <v>0.081712506711483</v>
      </c>
      <c r="U684" s="25" t="n">
        <v>0.0216177888214588</v>
      </c>
      <c r="V684" s="25" t="n">
        <v>0.00507774902507663</v>
      </c>
      <c r="W684" s="25" t="n">
        <v>0.144610747694969</v>
      </c>
      <c r="X684" s="25" t="n">
        <v>0</v>
      </c>
      <c r="Y684" s="25" t="n">
        <v>34.4499320983887</v>
      </c>
      <c r="Z684" s="25" t="n">
        <v>0.00593881402164698</v>
      </c>
      <c r="AA684" s="25" t="n">
        <v>0.366904735565186</v>
      </c>
      <c r="AB684" s="25" t="n">
        <v>0.0118523016571999</v>
      </c>
      <c r="AC684" s="25" t="n">
        <v>0.00611355947330594</v>
      </c>
      <c r="AD684" s="25" t="n">
        <v>0.00395937822759152</v>
      </c>
      <c r="AE684" s="25" t="n">
        <v>0.040751151740551</v>
      </c>
      <c r="AF684" s="25" t="n">
        <v>0.0272977761924267</v>
      </c>
      <c r="AG684" s="25" t="n">
        <v>0.0777738988399506</v>
      </c>
      <c r="AH684" s="25" t="n">
        <v>0.0602745264768601</v>
      </c>
      <c r="AI684" s="25" t="n">
        <v>1.5421541929245</v>
      </c>
      <c r="AJ684" s="6" t="n">
        <v>32.9</v>
      </c>
      <c r="AK684" s="6" t="n">
        <v>27.7</v>
      </c>
      <c r="AL684" s="26"/>
    </row>
    <row r="685" customFormat="false" ht="15" hidden="false" customHeight="false" outlineLevel="0" collapsed="false">
      <c r="A685" s="6" t="s">
        <v>1927</v>
      </c>
      <c r="B685" s="6" t="s">
        <v>4154</v>
      </c>
      <c r="C685" s="6" t="s">
        <v>3536</v>
      </c>
      <c r="D685" s="13" t="n">
        <v>312.338439941406</v>
      </c>
      <c r="E685" s="25" t="n">
        <v>21.5530204772949</v>
      </c>
      <c r="F685" s="25" t="n">
        <v>47.649299621582</v>
      </c>
      <c r="G685" s="25" t="n">
        <v>2.67189431190491</v>
      </c>
      <c r="H685" s="25" t="n">
        <v>13.950457572937</v>
      </c>
      <c r="I685" s="25" t="n">
        <v>1.15526807308197</v>
      </c>
      <c r="J685" s="25" t="n">
        <v>0.373839294433594</v>
      </c>
      <c r="K685" s="25" t="n">
        <v>0.346672760009766</v>
      </c>
      <c r="L685" s="25" t="n">
        <v>1.23466979980469</v>
      </c>
      <c r="M685" s="25" t="n">
        <v>0</v>
      </c>
      <c r="N685" s="25" t="n">
        <v>195.673751831055</v>
      </c>
      <c r="O685" s="25" t="n">
        <v>1183.29150390625</v>
      </c>
      <c r="P685" s="25" t="n">
        <v>68.8725738525391</v>
      </c>
      <c r="Q685" s="25" t="n">
        <v>350.615509033203</v>
      </c>
      <c r="R685" s="25" t="n">
        <v>166.841186523438</v>
      </c>
      <c r="S685" s="25" t="n">
        <v>5.14170408248901</v>
      </c>
      <c r="T685" s="25" t="n">
        <v>2.96171569824219</v>
      </c>
      <c r="U685" s="25" t="n">
        <v>0.681910574436188</v>
      </c>
      <c r="V685" s="25" t="n">
        <v>28.1744709014893</v>
      </c>
      <c r="W685" s="25" t="n">
        <v>1.4948216676712</v>
      </c>
      <c r="X685" s="25" t="n">
        <v>0</v>
      </c>
      <c r="Y685" s="25" t="n">
        <v>8394.7001953125</v>
      </c>
      <c r="Z685" s="25" t="n">
        <v>0.265772044658661</v>
      </c>
      <c r="AA685" s="25" t="n">
        <v>31.8844871520996</v>
      </c>
      <c r="AB685" s="25" t="n">
        <v>0.108506247401238</v>
      </c>
      <c r="AC685" s="25" t="n">
        <v>0.253137528896332</v>
      </c>
      <c r="AD685" s="25" t="n">
        <v>0.156102567911148</v>
      </c>
      <c r="AE685" s="25" t="n">
        <v>2.13711667060852</v>
      </c>
      <c r="AF685" s="25" t="n">
        <v>2.45969724655151</v>
      </c>
      <c r="AG685" s="25" t="n">
        <v>0.233976468443871</v>
      </c>
      <c r="AH685" s="25" t="n">
        <v>0.838395774364471</v>
      </c>
      <c r="AI685" s="25" t="n">
        <v>102.543205261231</v>
      </c>
      <c r="AJ685" s="6" t="n">
        <v>13.9</v>
      </c>
      <c r="AK685" s="6" t="n">
        <v>43.5</v>
      </c>
      <c r="AL685" s="26"/>
    </row>
    <row r="686" customFormat="false" ht="15" hidden="false" customHeight="false" outlineLevel="0" collapsed="false">
      <c r="A686" s="6" t="s">
        <v>4155</v>
      </c>
      <c r="B686" s="6" t="s">
        <v>4156</v>
      </c>
      <c r="C686" s="6" t="s">
        <v>3536</v>
      </c>
      <c r="D686" s="13" t="n">
        <v>346.362640380859</v>
      </c>
      <c r="E686" s="25" t="n">
        <v>12.8844470977783</v>
      </c>
      <c r="F686" s="25" t="n">
        <v>36.7241897583008</v>
      </c>
      <c r="G686" s="25" t="n">
        <v>15.8795118331909</v>
      </c>
      <c r="H686" s="25" t="n">
        <v>13.1598205566406</v>
      </c>
      <c r="I686" s="25" t="n">
        <v>10.4142799377441</v>
      </c>
      <c r="J686" s="25" t="n">
        <v>7.17012060546875</v>
      </c>
      <c r="K686" s="25" t="n">
        <v>1.8064189453125</v>
      </c>
      <c r="L686" s="25" t="n">
        <v>3.55604467773438</v>
      </c>
      <c r="M686" s="25" t="n">
        <v>0</v>
      </c>
      <c r="N686" s="25" t="n">
        <v>321.066040039063</v>
      </c>
      <c r="O686" s="25" t="n">
        <v>821.018676757813</v>
      </c>
      <c r="P686" s="25" t="n">
        <v>73.5548324584961</v>
      </c>
      <c r="Q686" s="25" t="n">
        <v>215.924087524414</v>
      </c>
      <c r="R686" s="25" t="n">
        <v>101.683204650879</v>
      </c>
      <c r="S686" s="25" t="n">
        <v>5.4353837966919</v>
      </c>
      <c r="T686" s="25" t="n">
        <v>2.14883160591126</v>
      </c>
      <c r="U686" s="25" t="n">
        <v>0.629608750343323</v>
      </c>
      <c r="V686" s="25" t="n">
        <v>26.1109066009522</v>
      </c>
      <c r="W686" s="25" t="n">
        <v>1.22824847698212</v>
      </c>
      <c r="X686" s="25" t="n">
        <v>0</v>
      </c>
      <c r="Y686" s="25" t="n">
        <v>7432.1455078125</v>
      </c>
      <c r="Z686" s="25" t="n">
        <v>2.36180686950684</v>
      </c>
      <c r="AA686" s="25" t="n">
        <v>29.7955017089844</v>
      </c>
      <c r="AB686" s="25" t="n">
        <v>1.40553033351898</v>
      </c>
      <c r="AC686" s="25" t="n">
        <v>0.265245318412781</v>
      </c>
      <c r="AD686" s="25" t="n">
        <v>0.158082872629166</v>
      </c>
      <c r="AE686" s="25" t="n">
        <v>1.70230448246002</v>
      </c>
      <c r="AF686" s="25" t="n">
        <v>0.909135758876801</v>
      </c>
      <c r="AG686" s="25" t="n">
        <v>0.169326037168503</v>
      </c>
      <c r="AH686" s="25" t="n">
        <v>0.749854445457459</v>
      </c>
      <c r="AI686" s="25" t="n">
        <v>98.8409423828125</v>
      </c>
      <c r="AJ686" s="6" t="n">
        <v>10.8</v>
      </c>
      <c r="AK686" s="6" t="n">
        <v>37.5</v>
      </c>
      <c r="AL686" s="26"/>
    </row>
    <row r="687" customFormat="false" ht="15" hidden="false" customHeight="false" outlineLevel="0" collapsed="false">
      <c r="A687" s="6" t="s">
        <v>4157</v>
      </c>
      <c r="B687" s="6" t="s">
        <v>4158</v>
      </c>
      <c r="C687" s="6" t="s">
        <v>3536</v>
      </c>
      <c r="D687" s="13" t="n">
        <v>76.1326599121094</v>
      </c>
      <c r="E687" s="25" t="n">
        <v>4.82188272476196</v>
      </c>
      <c r="F687" s="25" t="n">
        <v>9.11077785491943</v>
      </c>
      <c r="G687" s="25" t="n">
        <v>2.438880443573</v>
      </c>
      <c r="H687" s="25" t="n">
        <v>0.768900096416473</v>
      </c>
      <c r="I687" s="25" t="n">
        <v>7.8285756111145</v>
      </c>
      <c r="J687" s="25" t="n">
        <v>1.48704064941406</v>
      </c>
      <c r="K687" s="25" t="n">
        <v>0.608222900390625</v>
      </c>
      <c r="L687" s="25" t="n">
        <v>0.157235000610352</v>
      </c>
      <c r="M687" s="25" t="n">
        <v>8.34407997131348</v>
      </c>
      <c r="N687" s="25" t="n">
        <v>222.76579284668</v>
      </c>
      <c r="O687" s="25" t="n">
        <v>280.805053710938</v>
      </c>
      <c r="P687" s="25" t="n">
        <v>172.791763305664</v>
      </c>
      <c r="Q687" s="25" t="n">
        <v>136.876510620117</v>
      </c>
      <c r="R687" s="25" t="n">
        <v>25.576639175415</v>
      </c>
      <c r="S687" s="25" t="n">
        <v>0.818485915660858</v>
      </c>
      <c r="T687" s="25" t="n">
        <v>0.610400497913361</v>
      </c>
      <c r="U687" s="25" t="n">
        <v>0.0440681166946888</v>
      </c>
      <c r="V687" s="25" t="n">
        <v>2.38158988952637</v>
      </c>
      <c r="W687" s="25" t="n">
        <v>0.118200711905956</v>
      </c>
      <c r="X687" s="25" t="n">
        <v>21.2394752502441</v>
      </c>
      <c r="Y687" s="25" t="n">
        <v>1486.11743164063</v>
      </c>
      <c r="Z687" s="25" t="n">
        <v>0.091284990310669</v>
      </c>
      <c r="AA687" s="25" t="n">
        <v>13.7781181335449</v>
      </c>
      <c r="AB687" s="25" t="n">
        <v>9.9617166519165</v>
      </c>
      <c r="AC687" s="25" t="n">
        <v>0.0540825314819813</v>
      </c>
      <c r="AD687" s="25" t="n">
        <v>0.223479494452477</v>
      </c>
      <c r="AE687" s="25" t="n">
        <v>0.244926795363426</v>
      </c>
      <c r="AF687" s="25" t="n">
        <v>0.425416052341461</v>
      </c>
      <c r="AG687" s="25" t="n">
        <v>0.100260943174362</v>
      </c>
      <c r="AH687" s="25" t="n">
        <v>2.38749051094055</v>
      </c>
      <c r="AI687" s="25" t="n">
        <v>23.7350387573242</v>
      </c>
      <c r="AJ687" s="6" t="n">
        <v>33</v>
      </c>
      <c r="AK687" s="6" t="n">
        <v>25.1</v>
      </c>
      <c r="AL687" s="26"/>
    </row>
    <row r="688" customFormat="false" ht="15" hidden="false" customHeight="false" outlineLevel="0" collapsed="false">
      <c r="A688" s="6" t="s">
        <v>4159</v>
      </c>
      <c r="B688" s="6" t="s">
        <v>4160</v>
      </c>
      <c r="C688" s="6" t="s">
        <v>3536</v>
      </c>
      <c r="D688" s="13" t="n">
        <v>56.2066040039063</v>
      </c>
      <c r="E688" s="25" t="n">
        <v>3.88196754455566</v>
      </c>
      <c r="F688" s="25" t="n">
        <v>6.03635215759277</v>
      </c>
      <c r="G688" s="25" t="n">
        <v>1.94323897361755</v>
      </c>
      <c r="H688" s="25" t="n">
        <v>0.625314712524414</v>
      </c>
      <c r="I688" s="25" t="n">
        <v>5.41584777832031</v>
      </c>
      <c r="J688" s="25" t="n">
        <v>1.18680578613281</v>
      </c>
      <c r="K688" s="25" t="n">
        <v>0.484354705810547</v>
      </c>
      <c r="L688" s="25" t="n">
        <v>0.129652816772461</v>
      </c>
      <c r="M688" s="25" t="n">
        <v>6.59314298629761</v>
      </c>
      <c r="N688" s="25" t="n">
        <v>132.48063659668</v>
      </c>
      <c r="O688" s="25" t="n">
        <v>243.186645507813</v>
      </c>
      <c r="P688" s="25" t="n">
        <v>129.582153320313</v>
      </c>
      <c r="Q688" s="25" t="n">
        <v>111.806159973145</v>
      </c>
      <c r="R688" s="25" t="n">
        <v>17.178524017334</v>
      </c>
      <c r="S688" s="25" t="n">
        <v>0.374487519264221</v>
      </c>
      <c r="T688" s="25" t="n">
        <v>0.505313456058502</v>
      </c>
      <c r="U688" s="25" t="n">
        <v>0.0195079129189253</v>
      </c>
      <c r="V688" s="25" t="n">
        <v>1.42348957061768</v>
      </c>
      <c r="W688" s="25" t="n">
        <v>0.160782784223557</v>
      </c>
      <c r="X688" s="25" t="n">
        <v>16.7825469970703</v>
      </c>
      <c r="Y688" s="25" t="n">
        <v>776.419616699219</v>
      </c>
      <c r="Z688" s="25" t="n">
        <v>0.0586939603090286</v>
      </c>
      <c r="AA688" s="25" t="n">
        <v>3.62383127212524</v>
      </c>
      <c r="AB688" s="25" t="n">
        <v>16.2809429168701</v>
      </c>
      <c r="AC688" s="25" t="n">
        <v>0.0525353625416756</v>
      </c>
      <c r="AD688" s="25" t="n">
        <v>0.172081038355827</v>
      </c>
      <c r="AE688" s="25" t="n">
        <v>0.231134623289108</v>
      </c>
      <c r="AF688" s="25" t="n">
        <v>0.374985009431839</v>
      </c>
      <c r="AG688" s="25" t="n">
        <v>0.10447134822607</v>
      </c>
      <c r="AH688" s="25" t="n">
        <v>1.9797260761261</v>
      </c>
      <c r="AI688" s="25" t="n">
        <v>20.7803726196289</v>
      </c>
      <c r="AJ688" s="6" t="n">
        <v>27.8</v>
      </c>
      <c r="AK688" s="6" t="n">
        <v>15.6</v>
      </c>
      <c r="AL688" s="26"/>
    </row>
    <row r="689" customFormat="false" ht="15" hidden="false" customHeight="false" outlineLevel="0" collapsed="false">
      <c r="A689" s="6" t="s">
        <v>4161</v>
      </c>
      <c r="B689" s="6" t="s">
        <v>4162</v>
      </c>
      <c r="C689" s="6" t="s">
        <v>3536</v>
      </c>
      <c r="D689" s="13" t="n">
        <v>241.268920898438</v>
      </c>
      <c r="E689" s="25" t="n">
        <v>3.01225471496582</v>
      </c>
      <c r="F689" s="25" t="n">
        <v>4.79716968536377</v>
      </c>
      <c r="G689" s="25" t="n">
        <v>23.4434280395508</v>
      </c>
      <c r="H689" s="25" t="n">
        <v>0.406196475028992</v>
      </c>
      <c r="I689" s="25" t="n">
        <v>4.39409780502319</v>
      </c>
      <c r="J689" s="25" t="n">
        <v>5.03779296875</v>
      </c>
      <c r="K689" s="25" t="n">
        <v>12.3209384765625</v>
      </c>
      <c r="L689" s="25" t="n">
        <v>4.8720263671875</v>
      </c>
      <c r="M689" s="25" t="n">
        <v>29.9096717834473</v>
      </c>
      <c r="N689" s="25" t="n">
        <v>119.580551147461</v>
      </c>
      <c r="O689" s="25" t="n">
        <v>168.950546264648</v>
      </c>
      <c r="P689" s="25" t="n">
        <v>91.4167861938477</v>
      </c>
      <c r="Q689" s="25" t="n">
        <v>80.6873550415039</v>
      </c>
      <c r="R689" s="25" t="n">
        <v>11.8597764968872</v>
      </c>
      <c r="S689" s="25" t="n">
        <v>0.280639708042145</v>
      </c>
      <c r="T689" s="25" t="n">
        <v>0.374966889619827</v>
      </c>
      <c r="U689" s="25" t="n">
        <v>0.0126720918342471</v>
      </c>
      <c r="V689" s="25" t="n">
        <v>0.924680709838867</v>
      </c>
      <c r="W689" s="25" t="n">
        <v>0.104442454874516</v>
      </c>
      <c r="X689" s="25" t="n">
        <v>75.7280807495117</v>
      </c>
      <c r="Y689" s="25" t="n">
        <v>533.203002929688</v>
      </c>
      <c r="Z689" s="25" t="n">
        <v>5.355055809021</v>
      </c>
      <c r="AA689" s="25" t="n">
        <v>2.35399484634399</v>
      </c>
      <c r="AB689" s="25" t="n">
        <v>10.6926975250244</v>
      </c>
      <c r="AC689" s="25" t="n">
        <v>0.0364623889327049</v>
      </c>
      <c r="AD689" s="25" t="n">
        <v>0.154999226331711</v>
      </c>
      <c r="AE689" s="25" t="n">
        <v>0.15014211833477</v>
      </c>
      <c r="AF689" s="25" t="n">
        <v>0.304323703050613</v>
      </c>
      <c r="AG689" s="25" t="n">
        <v>0.0935601964592934</v>
      </c>
      <c r="AH689" s="25" t="n">
        <v>1.61305665969849</v>
      </c>
      <c r="AI689" s="25" t="n">
        <v>16.4187717437744</v>
      </c>
      <c r="AJ689" s="6" t="n">
        <v>42.8</v>
      </c>
      <c r="AK689" s="6" t="n">
        <v>103.3</v>
      </c>
      <c r="AL689" s="26"/>
    </row>
    <row r="690" customFormat="false" ht="15" hidden="false" customHeight="false" outlineLevel="0" collapsed="false">
      <c r="A690" s="6" t="s">
        <v>4163</v>
      </c>
      <c r="B690" s="6" t="s">
        <v>4164</v>
      </c>
      <c r="C690" s="6" t="s">
        <v>4165</v>
      </c>
      <c r="D690" s="13" t="n">
        <v>150.678009033203</v>
      </c>
      <c r="E690" s="25" t="n">
        <v>4.02977752685547</v>
      </c>
      <c r="F690" s="25" t="n">
        <v>20.5053653717041</v>
      </c>
      <c r="G690" s="25" t="n">
        <v>6.31057167053223</v>
      </c>
      <c r="H690" s="25" t="n">
        <v>2.10317468643189</v>
      </c>
      <c r="I690" s="25" t="n">
        <v>1.78911101818085</v>
      </c>
      <c r="J690" s="25" t="n">
        <v>3.39399609375</v>
      </c>
      <c r="K690" s="25" t="n">
        <v>1.422955078125</v>
      </c>
      <c r="L690" s="25" t="n">
        <v>0.271267303466797</v>
      </c>
      <c r="M690" s="25" t="n">
        <v>13.5238094329834</v>
      </c>
      <c r="N690" s="25" t="n">
        <v>222.215179443359</v>
      </c>
      <c r="O690" s="25" t="n">
        <v>168.238098144531</v>
      </c>
      <c r="P690" s="25" t="n">
        <v>76.7529525756836</v>
      </c>
      <c r="Q690" s="25" t="n">
        <v>54.608570098877</v>
      </c>
      <c r="R690" s="25" t="n">
        <v>22.0824127197266</v>
      </c>
      <c r="S690" s="25" t="n">
        <v>1.15363490581513</v>
      </c>
      <c r="T690" s="25" t="n">
        <v>0.428253948688507</v>
      </c>
      <c r="U690" s="25" t="n">
        <v>0.0945714265108109</v>
      </c>
      <c r="V690" s="25" t="n">
        <v>3.5698254108429</v>
      </c>
      <c r="W690" s="25" t="n">
        <v>0.295047610998154</v>
      </c>
      <c r="X690" s="25" t="n">
        <v>60.8253974914551</v>
      </c>
      <c r="Y690" s="25" t="n">
        <v>2694.36669921875</v>
      </c>
      <c r="Z690" s="25" t="n">
        <v>0.213380947709084</v>
      </c>
      <c r="AA690" s="25" t="n">
        <v>21.7871112823486</v>
      </c>
      <c r="AB690" s="25" t="n">
        <v>9.04041290283203</v>
      </c>
      <c r="AC690" s="25" t="n">
        <v>0.104698412120342</v>
      </c>
      <c r="AD690" s="25" t="n">
        <v>0.0530634932219982</v>
      </c>
      <c r="AE690" s="25" t="n">
        <v>0.81201583147049</v>
      </c>
      <c r="AF690" s="25" t="n">
        <v>0.128666669130325</v>
      </c>
      <c r="AG690" s="25" t="n">
        <v>0.0678571462631226</v>
      </c>
      <c r="AH690" s="25" t="n">
        <v>1.01220631599426</v>
      </c>
      <c r="AI690" s="25" t="n">
        <v>21.92258644104</v>
      </c>
      <c r="AJ690" s="6" t="n">
        <v>78.8</v>
      </c>
      <c r="AK690" s="6" t="n">
        <v>118.7</v>
      </c>
      <c r="AL690" s="26"/>
    </row>
    <row r="691" customFormat="false" ht="15" hidden="false" customHeight="false" outlineLevel="0" collapsed="false">
      <c r="A691" s="6" t="s">
        <v>4166</v>
      </c>
      <c r="B691" s="6" t="s">
        <v>4167</v>
      </c>
      <c r="C691" s="6" t="s">
        <v>4165</v>
      </c>
      <c r="D691" s="13" t="n">
        <v>189.924407958984</v>
      </c>
      <c r="E691" s="25" t="n">
        <v>6.25543975830078</v>
      </c>
      <c r="F691" s="25" t="n">
        <v>21.2854709625244</v>
      </c>
      <c r="G691" s="25" t="n">
        <v>9.38762187957764</v>
      </c>
      <c r="H691" s="25" t="n">
        <v>1.90957653522492</v>
      </c>
      <c r="I691" s="25" t="n">
        <v>2.5846254825592</v>
      </c>
      <c r="J691" s="25" t="n">
        <v>5.28942041015625</v>
      </c>
      <c r="K691" s="25" t="n">
        <v>2.2666279296875</v>
      </c>
      <c r="L691" s="25" t="n">
        <v>0.366319213867188</v>
      </c>
      <c r="M691" s="25" t="n">
        <v>24.9511394500732</v>
      </c>
      <c r="N691" s="25" t="n">
        <v>420.601287841797</v>
      </c>
      <c r="O691" s="25" t="n">
        <v>156.872955322266</v>
      </c>
      <c r="P691" s="25" t="n">
        <v>150.895767211914</v>
      </c>
      <c r="Q691" s="25" t="n">
        <v>147.209259033203</v>
      </c>
      <c r="R691" s="25" t="n">
        <v>19.2570686340332</v>
      </c>
      <c r="S691" s="25" t="n">
        <v>0.879967391490936</v>
      </c>
      <c r="T691" s="25" t="n">
        <v>0.704234480857849</v>
      </c>
      <c r="U691" s="25" t="n">
        <v>0.0801302939653397</v>
      </c>
      <c r="V691" s="25" t="n">
        <v>3.56055355072022</v>
      </c>
      <c r="W691" s="25" t="n">
        <v>0.27374592423439</v>
      </c>
      <c r="X691" s="25" t="n">
        <v>97.5895767211914</v>
      </c>
      <c r="Y691" s="25" t="n">
        <v>2421.92504882813</v>
      </c>
      <c r="Z691" s="25" t="n">
        <v>0.318143337965012</v>
      </c>
      <c r="AA691" s="25" t="n">
        <v>14.8710098266602</v>
      </c>
      <c r="AB691" s="25" t="n">
        <v>11.6104230880737</v>
      </c>
      <c r="AC691" s="25" t="n">
        <v>0.112117260694504</v>
      </c>
      <c r="AD691" s="25" t="n">
        <v>0.0739087983965874</v>
      </c>
      <c r="AE691" s="25" t="n">
        <v>0.845244288444519</v>
      </c>
      <c r="AF691" s="25" t="n">
        <v>0.155374586582184</v>
      </c>
      <c r="AG691" s="25" t="n">
        <v>0.071107491850853</v>
      </c>
      <c r="AH691" s="25" t="n">
        <v>1.35560262203217</v>
      </c>
      <c r="AI691" s="25" t="n">
        <v>21.9514331817627</v>
      </c>
      <c r="AJ691" s="6" t="n">
        <v>76.7</v>
      </c>
      <c r="AK691" s="6" t="n">
        <v>145.8</v>
      </c>
      <c r="AL691" s="26"/>
    </row>
    <row r="692" customFormat="false" ht="15" hidden="false" customHeight="false" outlineLevel="0" collapsed="false">
      <c r="A692" s="6" t="s">
        <v>4168</v>
      </c>
      <c r="B692" s="6" t="s">
        <v>4169</v>
      </c>
      <c r="C692" s="6" t="s">
        <v>4165</v>
      </c>
      <c r="D692" s="13" t="n">
        <v>186.749374389648</v>
      </c>
      <c r="E692" s="25" t="n">
        <v>6.81948471069336</v>
      </c>
      <c r="F692" s="25" t="n">
        <v>14.8183870315552</v>
      </c>
      <c r="G692" s="25" t="n">
        <v>11.5063161849976</v>
      </c>
      <c r="H692" s="25" t="n">
        <v>1.36631584167481</v>
      </c>
      <c r="I692" s="25" t="n">
        <v>1.8181186914444</v>
      </c>
      <c r="J692" s="25" t="n">
        <v>6.20919580078125</v>
      </c>
      <c r="K692" s="25" t="n">
        <v>3.08575830078125</v>
      </c>
      <c r="L692" s="25" t="n">
        <v>0.618920471191406</v>
      </c>
      <c r="M692" s="25" t="n">
        <v>104.860023498535</v>
      </c>
      <c r="N692" s="25" t="n">
        <v>274.675170898438</v>
      </c>
      <c r="O692" s="25" t="n">
        <v>153.5419921875</v>
      </c>
      <c r="P692" s="25" t="n">
        <v>100.729179382324</v>
      </c>
      <c r="Q692" s="25" t="n">
        <v>119.662712097168</v>
      </c>
      <c r="R692" s="25" t="n">
        <v>18.8223075866699</v>
      </c>
      <c r="S692" s="25" t="n">
        <v>1.23976480960846</v>
      </c>
      <c r="T692" s="25" t="n">
        <v>0.708376228809357</v>
      </c>
      <c r="U692" s="25" t="n">
        <v>0.0853079482913017</v>
      </c>
      <c r="V692" s="25" t="n">
        <v>11.8753080368042</v>
      </c>
      <c r="W692" s="25" t="n">
        <v>0.224725648760796</v>
      </c>
      <c r="X692" s="25" t="n">
        <v>142.26203918457</v>
      </c>
      <c r="Y692" s="25" t="n">
        <v>1965.65393066406</v>
      </c>
      <c r="Z692" s="25" t="n">
        <v>0.612060487270355</v>
      </c>
      <c r="AA692" s="25" t="n">
        <v>15.4220380783081</v>
      </c>
      <c r="AB692" s="25" t="n">
        <v>5.96557664871216</v>
      </c>
      <c r="AC692" s="25" t="n">
        <v>0.0903471410274506</v>
      </c>
      <c r="AD692" s="25" t="n">
        <v>0.101019039750099</v>
      </c>
      <c r="AE692" s="25" t="n">
        <v>0.57790595293045</v>
      </c>
      <c r="AF692" s="25" t="n">
        <v>0.432318031787872</v>
      </c>
      <c r="AG692" s="25" t="n">
        <v>0.0847592353820801</v>
      </c>
      <c r="AH692" s="25" t="n">
        <v>4.94722270965576</v>
      </c>
      <c r="AI692" s="25" t="n">
        <v>26.1966514587402</v>
      </c>
      <c r="AJ692" s="6" t="n">
        <v>111.6</v>
      </c>
      <c r="AK692" s="6" t="n">
        <v>208.5</v>
      </c>
      <c r="AL692" s="26"/>
    </row>
    <row r="693" customFormat="false" ht="15" hidden="false" customHeight="false" outlineLevel="0" collapsed="false">
      <c r="A693" s="6" t="s">
        <v>4170</v>
      </c>
      <c r="B693" s="6" t="s">
        <v>4171</v>
      </c>
      <c r="C693" s="6" t="s">
        <v>4165</v>
      </c>
      <c r="D693" s="13" t="n">
        <v>243.329772949219</v>
      </c>
      <c r="E693" s="25" t="n">
        <v>9.04343891143799</v>
      </c>
      <c r="F693" s="25" t="n">
        <v>29.7592754364014</v>
      </c>
      <c r="G693" s="25" t="n">
        <v>10.5592756271362</v>
      </c>
      <c r="H693" s="25" t="n">
        <v>3.35022640228272</v>
      </c>
      <c r="I693" s="25" t="n">
        <v>2.91493201255798</v>
      </c>
      <c r="J693" s="25" t="n">
        <v>2.3305439453125</v>
      </c>
      <c r="K693" s="25" t="n">
        <v>3.60648950195313</v>
      </c>
      <c r="L693" s="25" t="n">
        <v>3.06640625</v>
      </c>
      <c r="M693" s="25" t="n">
        <v>0</v>
      </c>
      <c r="N693" s="25" t="n">
        <v>460.089599609375</v>
      </c>
      <c r="O693" s="25" t="n">
        <v>249.542984008789</v>
      </c>
      <c r="P693" s="25" t="n">
        <v>95.3547515869141</v>
      </c>
      <c r="Q693" s="25" t="n">
        <v>119.553848266602</v>
      </c>
      <c r="R693" s="25" t="n">
        <v>50.4018096923828</v>
      </c>
      <c r="S693" s="25" t="n">
        <v>1.3208144903183</v>
      </c>
      <c r="T693" s="25" t="n">
        <v>0.969683289527893</v>
      </c>
      <c r="U693" s="25" t="n">
        <v>0.213936656713486</v>
      </c>
      <c r="V693" s="25" t="n">
        <v>4.39004516601563</v>
      </c>
      <c r="W693" s="25" t="n">
        <v>0.595475137233734</v>
      </c>
      <c r="X693" s="25" t="n">
        <v>0</v>
      </c>
      <c r="Y693" s="25" t="n">
        <v>46.4253387451172</v>
      </c>
      <c r="Z693" s="25" t="n">
        <v>0.952036201953888</v>
      </c>
      <c r="AA693" s="25" t="n">
        <v>2.22624444961548</v>
      </c>
      <c r="AB693" s="25" t="n">
        <v>1.65882349014282</v>
      </c>
      <c r="AC693" s="25" t="n">
        <v>0.155656114220619</v>
      </c>
      <c r="AD693" s="25" t="n">
        <v>0.0570135749876499</v>
      </c>
      <c r="AE693" s="25" t="n">
        <v>3.2262442111969</v>
      </c>
      <c r="AF693" s="25" t="n">
        <v>0.404524892568588</v>
      </c>
      <c r="AG693" s="25" t="n">
        <v>0.159276008605957</v>
      </c>
      <c r="AH693" s="25" t="n">
        <v>17.7791843414307</v>
      </c>
      <c r="AI693" s="25" t="n">
        <v>29.9113121032715</v>
      </c>
      <c r="AJ693" s="6" t="n">
        <v>55.2</v>
      </c>
      <c r="AK693" s="6" t="n">
        <v>134.4</v>
      </c>
      <c r="AL693" s="26"/>
    </row>
    <row r="694" customFormat="false" ht="15" hidden="false" customHeight="false" outlineLevel="0" collapsed="false">
      <c r="A694" s="6" t="s">
        <v>4172</v>
      </c>
      <c r="B694" s="6" t="s">
        <v>4173</v>
      </c>
      <c r="C694" s="6" t="s">
        <v>4165</v>
      </c>
      <c r="D694" s="13" t="n">
        <v>273.588073730469</v>
      </c>
      <c r="E694" s="25" t="n">
        <v>7.17705202102661</v>
      </c>
      <c r="F694" s="25" t="n">
        <v>31.8280143737793</v>
      </c>
      <c r="G694" s="25" t="n">
        <v>13.8835945129395</v>
      </c>
      <c r="H694" s="25" t="n">
        <v>3.67368745803833</v>
      </c>
      <c r="I694" s="25" t="n">
        <v>2.78271269798279</v>
      </c>
      <c r="J694" s="25" t="n">
        <v>7.1703017578125</v>
      </c>
      <c r="K694" s="25" t="n">
        <v>3.19206396484375</v>
      </c>
      <c r="L694" s="25" t="n">
        <v>0.96580126953125</v>
      </c>
      <c r="M694" s="25" t="n">
        <v>21.6970558166504</v>
      </c>
      <c r="N694" s="25" t="n">
        <v>453.301452636719</v>
      </c>
      <c r="O694" s="25" t="n">
        <v>198.909744262695</v>
      </c>
      <c r="P694" s="25" t="n">
        <v>114.991455078125</v>
      </c>
      <c r="Q694" s="25" t="n">
        <v>93.6146392822266</v>
      </c>
      <c r="R694" s="25" t="n">
        <v>34.0220184326172</v>
      </c>
      <c r="S694" s="25" t="n">
        <v>1.69801366329193</v>
      </c>
      <c r="T694" s="25" t="n">
        <v>0.704501330852509</v>
      </c>
      <c r="U694" s="25" t="n">
        <v>0.182851180434227</v>
      </c>
      <c r="V694" s="25" t="n">
        <v>4.92319440841675</v>
      </c>
      <c r="W694" s="25" t="n">
        <v>0.510620355606079</v>
      </c>
      <c r="X694" s="25" t="n">
        <v>97.585823059082</v>
      </c>
      <c r="Y694" s="25" t="n">
        <v>2097.60107421875</v>
      </c>
      <c r="Z694" s="25" t="n">
        <v>0.647966802120209</v>
      </c>
      <c r="AA694" s="25" t="n">
        <v>16.5236892700195</v>
      </c>
      <c r="AB694" s="25" t="n">
        <v>3.5721390247345</v>
      </c>
      <c r="AC694" s="25" t="n">
        <v>0.173273906111717</v>
      </c>
      <c r="AD694" s="25" t="n">
        <v>0.0737873092293739</v>
      </c>
      <c r="AE694" s="25" t="n">
        <v>1.6538280248642</v>
      </c>
      <c r="AF694" s="25" t="n">
        <v>0.128220438957214</v>
      </c>
      <c r="AG694" s="25" t="n">
        <v>0.0863563194870949</v>
      </c>
      <c r="AH694" s="25" t="n">
        <v>0.472976475954056</v>
      </c>
      <c r="AI694" s="25" t="n">
        <v>31.8195476531982</v>
      </c>
      <c r="AJ694" s="6" t="n">
        <v>49.1</v>
      </c>
      <c r="AK694" s="6" t="n">
        <v>134.3</v>
      </c>
      <c r="AL694" s="26"/>
    </row>
    <row r="695" customFormat="false" ht="15" hidden="false" customHeight="false" outlineLevel="0" collapsed="false">
      <c r="A695" s="6" t="s">
        <v>551</v>
      </c>
      <c r="B695" s="6" t="s">
        <v>4174</v>
      </c>
      <c r="C695" s="6" t="s">
        <v>4165</v>
      </c>
      <c r="D695" s="13" t="n">
        <v>249.581878662109</v>
      </c>
      <c r="E695" s="25" t="n">
        <v>8.74174308776856</v>
      </c>
      <c r="F695" s="25" t="n">
        <v>34.0266761779785</v>
      </c>
      <c r="G695" s="25" t="n">
        <v>9.58119773864746</v>
      </c>
      <c r="H695" s="25" t="n">
        <v>3.73198223114014</v>
      </c>
      <c r="I695" s="25" t="n">
        <v>3.95754337310791</v>
      </c>
      <c r="J695" s="25" t="n">
        <v>1.42771643066406</v>
      </c>
      <c r="K695" s="25" t="n">
        <v>1.78487023925781</v>
      </c>
      <c r="L695" s="25" t="n">
        <v>4.79173046875</v>
      </c>
      <c r="M695" s="25" t="n">
        <v>2.8613543510437</v>
      </c>
      <c r="N695" s="25" t="n">
        <v>315.399139404297</v>
      </c>
      <c r="O695" s="25" t="n">
        <v>256.040069580078</v>
      </c>
      <c r="P695" s="25" t="n">
        <v>154.531372070313</v>
      </c>
      <c r="Q695" s="25" t="n">
        <v>127.872406005859</v>
      </c>
      <c r="R695" s="25" t="n">
        <v>34.2489356994629</v>
      </c>
      <c r="S695" s="25" t="n">
        <v>1.50995755195618</v>
      </c>
      <c r="T695" s="25" t="n">
        <v>0.783926963806152</v>
      </c>
      <c r="U695" s="25" t="n">
        <v>0.138208612799645</v>
      </c>
      <c r="V695" s="25" t="n">
        <v>5.77275133132935</v>
      </c>
      <c r="W695" s="25" t="n">
        <v>0.494979619979858</v>
      </c>
      <c r="X695" s="25" t="n">
        <v>7.283447265625</v>
      </c>
      <c r="Y695" s="25" t="n">
        <v>3331.65454101563</v>
      </c>
      <c r="Z695" s="25" t="n">
        <v>3.7568793296814</v>
      </c>
      <c r="AA695" s="25" t="n">
        <v>14.1823463439941</v>
      </c>
      <c r="AB695" s="25" t="n">
        <v>0.364866048097611</v>
      </c>
      <c r="AC695" s="25" t="n">
        <v>0.190143927931786</v>
      </c>
      <c r="AD695" s="25" t="n">
        <v>0.149149402976036</v>
      </c>
      <c r="AE695" s="25" t="n">
        <v>1.28964877128601</v>
      </c>
      <c r="AF695" s="25" t="n">
        <v>0.290107518434525</v>
      </c>
      <c r="AG695" s="25" t="n">
        <v>0.125974163413048</v>
      </c>
      <c r="AH695" s="25" t="n">
        <v>1.48193097114563</v>
      </c>
      <c r="AI695" s="25" t="n">
        <v>41.1090354919434</v>
      </c>
      <c r="AJ695" s="6" t="n">
        <v>57.7</v>
      </c>
      <c r="AK695" s="6" t="n">
        <v>143.9</v>
      </c>
      <c r="AL695" s="26"/>
    </row>
    <row r="696" customFormat="false" ht="15" hidden="false" customHeight="false" outlineLevel="0" collapsed="false">
      <c r="A696" s="6" t="s">
        <v>4175</v>
      </c>
      <c r="B696" s="6" t="s">
        <v>4176</v>
      </c>
      <c r="C696" s="6" t="s">
        <v>4165</v>
      </c>
      <c r="D696" s="13" t="n">
        <v>285.778045654297</v>
      </c>
      <c r="E696" s="25" t="n">
        <v>12.5843152999878</v>
      </c>
      <c r="F696" s="25" t="n">
        <v>22.615083694458</v>
      </c>
      <c r="G696" s="25" t="n">
        <v>16.7658157348633</v>
      </c>
      <c r="H696" s="25" t="n">
        <v>1.53136956691742</v>
      </c>
      <c r="I696" s="25" t="n">
        <v>1.77268290519714</v>
      </c>
      <c r="J696" s="25" t="n">
        <v>1.25438647460938</v>
      </c>
      <c r="K696" s="25" t="n">
        <v>7.42267529296875</v>
      </c>
      <c r="L696" s="25" t="n">
        <v>3.97580102539063</v>
      </c>
      <c r="M696" s="25" t="n">
        <v>31.6810493469238</v>
      </c>
      <c r="N696" s="25" t="n">
        <v>287.394866943359</v>
      </c>
      <c r="O696" s="25" t="n">
        <v>185.953094482422</v>
      </c>
      <c r="P696" s="25" t="n">
        <v>78.4465255737305</v>
      </c>
      <c r="Q696" s="25" t="n">
        <v>118.816131591797</v>
      </c>
      <c r="R696" s="25" t="n">
        <v>21.7410888671875</v>
      </c>
      <c r="S696" s="25" t="n">
        <v>1.11636018753052</v>
      </c>
      <c r="T696" s="25" t="n">
        <v>0.6828892827034</v>
      </c>
      <c r="U696" s="25" t="n">
        <v>0.199624761939049</v>
      </c>
      <c r="V696" s="25" t="n">
        <v>10.2843523025513</v>
      </c>
      <c r="W696" s="25" t="n">
        <v>0.321388363838196</v>
      </c>
      <c r="X696" s="25" t="n">
        <v>14.3189496994019</v>
      </c>
      <c r="Y696" s="25" t="n">
        <v>10.615385055542</v>
      </c>
      <c r="Z696" s="25" t="n">
        <v>3.54397749900818</v>
      </c>
      <c r="AA696" s="25" t="n">
        <v>2.23489665985107</v>
      </c>
      <c r="AB696" s="25" t="n">
        <v>0</v>
      </c>
      <c r="AC696" s="25" t="n">
        <v>0.14431519806385</v>
      </c>
      <c r="AD696" s="25" t="n">
        <v>0.0716322660446167</v>
      </c>
      <c r="AE696" s="25" t="n">
        <v>3.76416516304016</v>
      </c>
      <c r="AF696" s="25" t="n">
        <v>0.4709193110466</v>
      </c>
      <c r="AG696" s="25" t="n">
        <v>0.259924948215485</v>
      </c>
      <c r="AH696" s="25" t="n">
        <v>1.90521585941315</v>
      </c>
      <c r="AI696" s="25" t="n">
        <v>19.4958343505859</v>
      </c>
      <c r="AJ696" s="6" t="n">
        <v>66.6</v>
      </c>
      <c r="AK696" s="6" t="n">
        <v>190.4</v>
      </c>
      <c r="AL696" s="26"/>
    </row>
    <row r="697" customFormat="false" ht="15" hidden="false" customHeight="false" outlineLevel="0" collapsed="false">
      <c r="A697" s="6" t="s">
        <v>4177</v>
      </c>
      <c r="B697" s="6" t="s">
        <v>4178</v>
      </c>
      <c r="C697" s="6" t="s">
        <v>4165</v>
      </c>
      <c r="D697" s="13" t="n">
        <v>293.065795898438</v>
      </c>
      <c r="E697" s="25" t="n">
        <v>6.45340871810913</v>
      </c>
      <c r="F697" s="25" t="n">
        <v>34.6870460510254</v>
      </c>
      <c r="G697" s="25" t="n">
        <v>15.2850008010864</v>
      </c>
      <c r="H697" s="25" t="n">
        <v>2.06522727012634</v>
      </c>
      <c r="I697" s="25" t="n">
        <v>2.70204544067383</v>
      </c>
      <c r="J697" s="25" t="n">
        <v>8.5403408203125</v>
      </c>
      <c r="K697" s="25" t="n">
        <v>3.62733959960938</v>
      </c>
      <c r="L697" s="25" t="n">
        <v>0.611045471191406</v>
      </c>
      <c r="M697" s="25" t="n">
        <v>35.25</v>
      </c>
      <c r="N697" s="25" t="n">
        <v>321.570007324219</v>
      </c>
      <c r="O697" s="25" t="n">
        <v>144.431823730469</v>
      </c>
      <c r="P697" s="25" t="n">
        <v>117.681816101074</v>
      </c>
      <c r="Q697" s="25" t="n">
        <v>76.2172698974609</v>
      </c>
      <c r="R697" s="25" t="n">
        <v>17.7995452880859</v>
      </c>
      <c r="S697" s="25" t="n">
        <v>1.22977268695831</v>
      </c>
      <c r="T697" s="25" t="n">
        <v>0.563409090042114</v>
      </c>
      <c r="U697" s="25" t="n">
        <v>0.105454541742802</v>
      </c>
      <c r="V697" s="25" t="n">
        <v>5.14181804656982</v>
      </c>
      <c r="W697" s="25" t="n">
        <v>0.368409097194672</v>
      </c>
      <c r="X697" s="25" t="n">
        <v>155.954544067383</v>
      </c>
      <c r="Y697" s="25" t="n">
        <v>391.681823730469</v>
      </c>
      <c r="Z697" s="25" t="n">
        <v>0.557272732257843</v>
      </c>
      <c r="AA697" s="25" t="n">
        <v>8.49545478820801</v>
      </c>
      <c r="AB697" s="25" t="n">
        <v>4.11363649368286</v>
      </c>
      <c r="AC697" s="25" t="n">
        <v>0.169318184256554</v>
      </c>
      <c r="AD697" s="25" t="n">
        <v>0.0638636350631714</v>
      </c>
      <c r="AE697" s="25" t="n">
        <v>1.2627272605896</v>
      </c>
      <c r="AF697" s="25" t="n">
        <v>0.0425000004470348</v>
      </c>
      <c r="AG697" s="25" t="n">
        <v>0.0711363628506661</v>
      </c>
      <c r="AH697" s="25" t="n">
        <v>0.5015909075737</v>
      </c>
      <c r="AI697" s="25" t="n">
        <v>25.4772720336914</v>
      </c>
      <c r="AJ697" s="6" t="n">
        <v>22</v>
      </c>
      <c r="AK697" s="6" t="n">
        <v>64.5</v>
      </c>
      <c r="AL697" s="26"/>
    </row>
    <row r="698" customFormat="false" ht="15" hidden="false" customHeight="false" outlineLevel="0" collapsed="false">
      <c r="A698" s="6" t="s">
        <v>4179</v>
      </c>
      <c r="B698" s="6" t="s">
        <v>4180</v>
      </c>
      <c r="C698" s="6" t="s">
        <v>4181</v>
      </c>
      <c r="D698" s="13" t="n">
        <v>239.264114379883</v>
      </c>
      <c r="E698" s="25" t="n">
        <v>6.26319694519043</v>
      </c>
      <c r="F698" s="25" t="n">
        <v>24.7600784301758</v>
      </c>
      <c r="G698" s="25" t="n">
        <v>13.3712282180786</v>
      </c>
      <c r="H698" s="25" t="n">
        <v>2.92428851127625</v>
      </c>
      <c r="I698" s="25" t="n">
        <v>4.65559434890747</v>
      </c>
      <c r="J698" s="25" t="n">
        <v>7.8869736328125</v>
      </c>
      <c r="K698" s="25" t="n">
        <v>3.33632641601563</v>
      </c>
      <c r="L698" s="25" t="n">
        <v>0.606705627441406</v>
      </c>
      <c r="M698" s="25" t="n">
        <v>34.8538017272949</v>
      </c>
      <c r="N698" s="25" t="n">
        <v>382.112243652344</v>
      </c>
      <c r="O698" s="25" t="n">
        <v>152.565307617188</v>
      </c>
      <c r="P698" s="25" t="n">
        <v>157.849899291992</v>
      </c>
      <c r="Q698" s="25" t="n">
        <v>156.294342041016</v>
      </c>
      <c r="R698" s="25" t="n">
        <v>23.808967590332</v>
      </c>
      <c r="S698" s="25" t="n">
        <v>1.04816770553589</v>
      </c>
      <c r="T698" s="25" t="n">
        <v>0.828148126602173</v>
      </c>
      <c r="U698" s="25" t="n">
        <v>0.098128654062748</v>
      </c>
      <c r="V698" s="25" t="n">
        <v>3.20493173599243</v>
      </c>
      <c r="W698" s="25" t="n">
        <v>0.77816766500473</v>
      </c>
      <c r="X698" s="25" t="n">
        <v>143.625732421875</v>
      </c>
      <c r="Y698" s="25" t="n">
        <v>111.784599304199</v>
      </c>
      <c r="Z698" s="25" t="n">
        <v>0.4358089864254</v>
      </c>
      <c r="AA698" s="25" t="n">
        <v>2.08771920204163</v>
      </c>
      <c r="AB698" s="25" t="n">
        <v>10.634503364563</v>
      </c>
      <c r="AC698" s="25" t="n">
        <v>0.124678365886211</v>
      </c>
      <c r="AD698" s="25" t="n">
        <v>0.0791228115558624</v>
      </c>
      <c r="AE698" s="25" t="n">
        <v>1.07768023014069</v>
      </c>
      <c r="AF698" s="25" t="n">
        <v>0.222222223877907</v>
      </c>
      <c r="AG698" s="25" t="n">
        <v>0.102865494787693</v>
      </c>
      <c r="AH698" s="25" t="n">
        <v>1.69393754005432</v>
      </c>
      <c r="AI698" s="25" t="n">
        <v>24.4315586090088</v>
      </c>
      <c r="AJ698" s="6" t="n">
        <v>42.7</v>
      </c>
      <c r="AK698" s="6" t="n">
        <v>102.3</v>
      </c>
      <c r="AL698" s="26"/>
    </row>
    <row r="699" customFormat="false" ht="15" hidden="false" customHeight="false" outlineLevel="0" collapsed="false">
      <c r="A699" s="6" t="s">
        <v>4182</v>
      </c>
      <c r="B699" s="6" t="s">
        <v>4183</v>
      </c>
      <c r="C699" s="6" t="s">
        <v>4184</v>
      </c>
      <c r="D699" s="13" t="n">
        <v>348.365783691406</v>
      </c>
      <c r="E699" s="25" t="n">
        <v>7.36708927154541</v>
      </c>
      <c r="F699" s="25" t="n">
        <v>25.9401359558106</v>
      </c>
      <c r="G699" s="25" t="n">
        <v>24.650260925293</v>
      </c>
      <c r="H699" s="25" t="n">
        <v>2.22233295440674</v>
      </c>
      <c r="I699" s="25" t="n">
        <v>2.89540195465088</v>
      </c>
      <c r="J699" s="25" t="n">
        <v>14.93364453125</v>
      </c>
      <c r="K699" s="25" t="n">
        <v>6.37953125</v>
      </c>
      <c r="L699" s="25" t="n">
        <v>0.964385070800781</v>
      </c>
      <c r="M699" s="25" t="n">
        <v>64.4167633056641</v>
      </c>
      <c r="N699" s="25" t="n">
        <v>358.248199462891</v>
      </c>
      <c r="O699" s="25" t="n">
        <v>140.332962036133</v>
      </c>
      <c r="P699" s="25" t="n">
        <v>188.018112182617</v>
      </c>
      <c r="Q699" s="25" t="n">
        <v>185.852767944336</v>
      </c>
      <c r="R699" s="25" t="n">
        <v>23.7961502075195</v>
      </c>
      <c r="S699" s="25" t="n">
        <v>1.11134767532349</v>
      </c>
      <c r="T699" s="25" t="n">
        <v>0.952412188053131</v>
      </c>
      <c r="U699" s="25" t="n">
        <v>0.0902831256389618</v>
      </c>
      <c r="V699" s="25" t="n">
        <v>3.69678354263306</v>
      </c>
      <c r="W699" s="25" t="n">
        <v>0.467383921146393</v>
      </c>
      <c r="X699" s="25" t="n">
        <v>264.507354736328</v>
      </c>
      <c r="Y699" s="25" t="n">
        <v>161.673843383789</v>
      </c>
      <c r="Z699" s="25" t="n">
        <v>0.616693079471588</v>
      </c>
      <c r="AA699" s="25" t="n">
        <v>1.94563984870911</v>
      </c>
      <c r="AB699" s="25" t="n">
        <v>0.135900348424912</v>
      </c>
      <c r="AC699" s="25" t="n">
        <v>0.130600228905678</v>
      </c>
      <c r="AD699" s="25" t="n">
        <v>0.10801812261343</v>
      </c>
      <c r="AE699" s="25" t="n">
        <v>1.2114382982254</v>
      </c>
      <c r="AF699" s="25" t="n">
        <v>0.246206119656563</v>
      </c>
      <c r="AG699" s="25" t="n">
        <v>0.080792747437954</v>
      </c>
      <c r="AH699" s="25" t="n">
        <v>1.81084930896759</v>
      </c>
      <c r="AI699" s="25" t="n">
        <v>23.1526393890381</v>
      </c>
      <c r="AJ699" s="6" t="n">
        <v>36.8</v>
      </c>
      <c r="AK699" s="6" t="n">
        <v>128.2</v>
      </c>
      <c r="AL699" s="26"/>
    </row>
    <row r="700" customFormat="false" ht="15" hidden="false" customHeight="false" outlineLevel="0" collapsed="false">
      <c r="A700" s="6" t="s">
        <v>4185</v>
      </c>
      <c r="B700" s="6" t="s">
        <v>4186</v>
      </c>
      <c r="C700" s="6" t="s">
        <v>4187</v>
      </c>
      <c r="D700" s="13" t="n">
        <v>216.917556762695</v>
      </c>
      <c r="E700" s="25" t="n">
        <v>6.08869457244873</v>
      </c>
      <c r="F700" s="25" t="n">
        <v>13.6040897369385</v>
      </c>
      <c r="G700" s="25" t="n">
        <v>15.3209781646729</v>
      </c>
      <c r="H700" s="25" t="n">
        <v>1.24115753173828</v>
      </c>
      <c r="I700" s="25" t="n">
        <v>2.49908685684204</v>
      </c>
      <c r="J700" s="25" t="n">
        <v>2.62998950195313</v>
      </c>
      <c r="K700" s="25" t="n">
        <v>7.97542138671875</v>
      </c>
      <c r="L700" s="25" t="n">
        <v>3.34338061523438</v>
      </c>
      <c r="M700" s="25" t="n">
        <v>62.4617347717285</v>
      </c>
      <c r="N700" s="25" t="n">
        <v>254.283935546875</v>
      </c>
      <c r="O700" s="25" t="n">
        <v>130.978134155273</v>
      </c>
      <c r="P700" s="25" t="n">
        <v>72.3490142822266</v>
      </c>
      <c r="Q700" s="25" t="n">
        <v>95.1527938842773</v>
      </c>
      <c r="R700" s="25" t="n">
        <v>13.1921806335449</v>
      </c>
      <c r="S700" s="25" t="n">
        <v>1.23079097270966</v>
      </c>
      <c r="T700" s="25" t="n">
        <v>0.475434064865112</v>
      </c>
      <c r="U700" s="25" t="n">
        <v>0.0399228297173977</v>
      </c>
      <c r="V700" s="25" t="n">
        <v>6.31599998474121</v>
      </c>
      <c r="W700" s="25" t="n">
        <v>0.0848617404699326</v>
      </c>
      <c r="X700" s="25" t="n">
        <v>58.3408355712891</v>
      </c>
      <c r="Y700" s="25" t="n">
        <v>1703.78259277344</v>
      </c>
      <c r="Z700" s="25" t="n">
        <v>3.67875242233276</v>
      </c>
      <c r="AA700" s="25" t="n">
        <v>16.1835117340088</v>
      </c>
      <c r="AB700" s="25" t="n">
        <v>11.02734375</v>
      </c>
      <c r="AC700" s="25" t="n">
        <v>0.0273440517485142</v>
      </c>
      <c r="AD700" s="25" t="n">
        <v>0.0750225111842156</v>
      </c>
      <c r="AE700" s="25" t="n">
        <v>0.161247596144676</v>
      </c>
      <c r="AF700" s="25" t="n">
        <v>0.348115772008896</v>
      </c>
      <c r="AG700" s="25" t="n">
        <v>0.0722186490893364</v>
      </c>
      <c r="AH700" s="25" t="n">
        <v>3.79458522796631</v>
      </c>
      <c r="AI700" s="25" t="n">
        <v>18.6934146881104</v>
      </c>
      <c r="AJ700" s="6" t="n">
        <v>194.4</v>
      </c>
      <c r="AK700" s="6" t="n">
        <v>421.6</v>
      </c>
      <c r="AL700" s="26"/>
    </row>
    <row r="701" customFormat="false" ht="15" hidden="false" customHeight="false" outlineLevel="0" collapsed="false">
      <c r="A701" s="6" t="s">
        <v>4188</v>
      </c>
      <c r="B701" s="6" t="s">
        <v>4189</v>
      </c>
      <c r="C701" s="6" t="s">
        <v>4165</v>
      </c>
      <c r="D701" s="13" t="n">
        <v>274.068084716797</v>
      </c>
      <c r="E701" s="25" t="n">
        <v>9.84000015258789</v>
      </c>
      <c r="F701" s="25" t="n">
        <v>28.4190902709961</v>
      </c>
      <c r="G701" s="25" t="n">
        <v>14.2427272796631</v>
      </c>
      <c r="H701" s="25" t="n">
        <v>1.74454545974731</v>
      </c>
      <c r="I701" s="25" t="n">
        <v>3.23818182945252</v>
      </c>
      <c r="J701" s="25" t="n">
        <v>4.42963623046875</v>
      </c>
      <c r="K701" s="25" t="n">
        <v>5.87202001953125</v>
      </c>
      <c r="L701" s="25" t="n">
        <v>2.0570908203125</v>
      </c>
      <c r="M701" s="25" t="n">
        <v>28.3818187713623</v>
      </c>
      <c r="N701" s="25" t="n">
        <v>504.411804199219</v>
      </c>
      <c r="O701" s="25" t="n">
        <v>147.363632202148</v>
      </c>
      <c r="P701" s="25" t="n">
        <v>256.246368408203</v>
      </c>
      <c r="Q701" s="25" t="n">
        <v>266.281799316406</v>
      </c>
      <c r="R701" s="25" t="n">
        <v>23.2927265167236</v>
      </c>
      <c r="S701" s="25" t="n">
        <v>1.21727275848389</v>
      </c>
      <c r="T701" s="25" t="n">
        <v>1.14636361598969</v>
      </c>
      <c r="U701" s="25" t="n">
        <v>0.0890909060835838</v>
      </c>
      <c r="V701" s="25" t="n">
        <v>5.68727254867554</v>
      </c>
      <c r="W701" s="25" t="n">
        <v>0.312727272510529</v>
      </c>
      <c r="X701" s="25" t="n">
        <v>80.7272720336914</v>
      </c>
      <c r="Y701" s="25" t="n">
        <v>710.636352539063</v>
      </c>
      <c r="Z701" s="25" t="n">
        <v>2.20363640785217</v>
      </c>
      <c r="AA701" s="25" t="n">
        <v>8.71636390686035</v>
      </c>
      <c r="AB701" s="25" t="n">
        <v>1.08272731304169</v>
      </c>
      <c r="AC701" s="25" t="n">
        <v>0.140909090638161</v>
      </c>
      <c r="AD701" s="25" t="n">
        <v>0.123636364936829</v>
      </c>
      <c r="AE701" s="25" t="n">
        <v>0.915454506874085</v>
      </c>
      <c r="AF701" s="25" t="n">
        <v>0.187272727489471</v>
      </c>
      <c r="AG701" s="25" t="n">
        <v>0.072727270424366</v>
      </c>
      <c r="AH701" s="25" t="n">
        <v>1.78636360168457</v>
      </c>
      <c r="AI701" s="25" t="n">
        <v>23.5172729492188</v>
      </c>
      <c r="AJ701" s="6" t="n">
        <v>55</v>
      </c>
      <c r="AK701" s="6" t="n">
        <v>150.7</v>
      </c>
      <c r="AL701" s="26"/>
    </row>
    <row r="702" customFormat="false" ht="15" hidden="false" customHeight="false" outlineLevel="0" collapsed="false">
      <c r="A702" s="6" t="s">
        <v>4190</v>
      </c>
      <c r="B702" s="6" t="s">
        <v>4191</v>
      </c>
      <c r="C702" s="6" t="s">
        <v>4165</v>
      </c>
      <c r="D702" s="13" t="n">
        <v>241.310913085938</v>
      </c>
      <c r="E702" s="25" t="n">
        <v>8.58072471618652</v>
      </c>
      <c r="F702" s="25" t="n">
        <v>18.8940773010254</v>
      </c>
      <c r="G702" s="25" t="n">
        <v>15.1368579864502</v>
      </c>
      <c r="H702" s="25" t="n">
        <v>1.38924467563629</v>
      </c>
      <c r="I702" s="25" t="n">
        <v>1.94525682926178</v>
      </c>
      <c r="J702" s="25" t="n">
        <v>2.53894262695313</v>
      </c>
      <c r="K702" s="25" t="n">
        <v>7.63282421875</v>
      </c>
      <c r="L702" s="25" t="n">
        <v>3.13108764648438</v>
      </c>
      <c r="M702" s="25" t="n">
        <v>123.486404418945</v>
      </c>
      <c r="N702" s="25" t="n">
        <v>381.286407470703</v>
      </c>
      <c r="O702" s="25" t="n">
        <v>132.14501953125</v>
      </c>
      <c r="P702" s="25" t="n">
        <v>114.069488525391</v>
      </c>
      <c r="Q702" s="25" t="n">
        <v>141.033966064453</v>
      </c>
      <c r="R702" s="25" t="n">
        <v>16.0849552154541</v>
      </c>
      <c r="S702" s="25" t="n">
        <v>1.27567970752716</v>
      </c>
      <c r="T702" s="25" t="n">
        <v>0.829003036022186</v>
      </c>
      <c r="U702" s="25" t="n">
        <v>0.0845921412110329</v>
      </c>
      <c r="V702" s="25" t="n">
        <v>15.217794418335</v>
      </c>
      <c r="W702" s="25" t="n">
        <v>0.230634436011314</v>
      </c>
      <c r="X702" s="25" t="n">
        <v>86.7371597290039</v>
      </c>
      <c r="Y702" s="25" t="n">
        <v>836.528686523438</v>
      </c>
      <c r="Z702" s="25" t="n">
        <v>3.55761313438416</v>
      </c>
      <c r="AA702" s="25" t="n">
        <v>7.41933536529541</v>
      </c>
      <c r="AB702" s="25" t="n">
        <v>4.66102695465088</v>
      </c>
      <c r="AC702" s="25" t="n">
        <v>0.108821749687195</v>
      </c>
      <c r="AD702" s="25" t="n">
        <v>0.115377642214298</v>
      </c>
      <c r="AE702" s="25" t="n">
        <v>0.687885165214539</v>
      </c>
      <c r="AF702" s="25" t="n">
        <v>0.525830805301666</v>
      </c>
      <c r="AG702" s="25" t="n">
        <v>0.102960720658302</v>
      </c>
      <c r="AH702" s="25" t="n">
        <v>6.24915409088135</v>
      </c>
      <c r="AI702" s="25" t="n">
        <v>31.852840423584</v>
      </c>
      <c r="AJ702" s="6" t="n">
        <v>82.8</v>
      </c>
      <c r="AK702" s="6" t="n">
        <v>199.7</v>
      </c>
      <c r="AL702" s="26"/>
    </row>
    <row r="703" customFormat="false" ht="15" hidden="false" customHeight="false" outlineLevel="0" collapsed="false">
      <c r="A703" s="6" t="s">
        <v>4192</v>
      </c>
      <c r="B703" s="6" t="s">
        <v>4193</v>
      </c>
      <c r="C703" s="6" t="s">
        <v>4165</v>
      </c>
      <c r="D703" s="13" t="n">
        <v>193.819259643555</v>
      </c>
      <c r="E703" s="25" t="n">
        <v>9.02726459503174</v>
      </c>
      <c r="F703" s="25" t="n">
        <v>17.7676982879639</v>
      </c>
      <c r="G703" s="25" t="n">
        <v>10.0952243804932</v>
      </c>
      <c r="H703" s="25" t="n">
        <v>1.51965272426605</v>
      </c>
      <c r="I703" s="25" t="n">
        <v>1.13250362873077</v>
      </c>
      <c r="J703" s="25" t="n">
        <v>4.60632177734375</v>
      </c>
      <c r="K703" s="25" t="n">
        <v>3.02034423828125</v>
      </c>
      <c r="L703" s="25" t="n">
        <v>0.772375671386719</v>
      </c>
      <c r="M703" s="25" t="n">
        <v>124.399421691895</v>
      </c>
      <c r="N703" s="25" t="n">
        <v>365.632995605469</v>
      </c>
      <c r="O703" s="25" t="n">
        <v>164.38639831543</v>
      </c>
      <c r="P703" s="25" t="n">
        <v>77.1328506469727</v>
      </c>
      <c r="Q703" s="25" t="n">
        <v>111.835426330566</v>
      </c>
      <c r="R703" s="25" t="n">
        <v>17.9870338439941</v>
      </c>
      <c r="S703" s="25" t="n">
        <v>1.27264833450317</v>
      </c>
      <c r="T703" s="25" t="n">
        <v>0.792040526866913</v>
      </c>
      <c r="U703" s="25" t="n">
        <v>0.090767003595829</v>
      </c>
      <c r="V703" s="25" t="n">
        <v>15.2454118728638</v>
      </c>
      <c r="W703" s="25" t="n">
        <v>0.223270624876022</v>
      </c>
      <c r="X703" s="25" t="n">
        <v>112.764114379883</v>
      </c>
      <c r="Y703" s="25" t="n">
        <v>186.312591552734</v>
      </c>
      <c r="Z703" s="25" t="n">
        <v>0.585441410541534</v>
      </c>
      <c r="AA703" s="25" t="n">
        <v>6.0752534866333</v>
      </c>
      <c r="AB703" s="25" t="n">
        <v>2.71664261817932</v>
      </c>
      <c r="AC703" s="25" t="n">
        <v>0.172561511397362</v>
      </c>
      <c r="AD703" s="25" t="n">
        <v>0.0992474630475044</v>
      </c>
      <c r="AE703" s="25" t="n">
        <v>1.30329954624176</v>
      </c>
      <c r="AF703" s="25" t="n">
        <v>0.625470340251923</v>
      </c>
      <c r="AG703" s="25" t="n">
        <v>0.13727930188179</v>
      </c>
      <c r="AH703" s="25" t="n">
        <v>6.17820549011231</v>
      </c>
      <c r="AI703" s="25" t="n">
        <v>29.963212966919</v>
      </c>
      <c r="AJ703" s="6" t="n">
        <v>86.4</v>
      </c>
      <c r="AK703" s="6" t="n">
        <v>167.4</v>
      </c>
      <c r="AL703" s="26"/>
    </row>
    <row r="704" customFormat="false" ht="15" hidden="false" customHeight="false" outlineLevel="0" collapsed="false">
      <c r="A704" s="6" t="s">
        <v>4194</v>
      </c>
      <c r="B704" s="6" t="s">
        <v>4195</v>
      </c>
      <c r="C704" s="6" t="s">
        <v>4165</v>
      </c>
      <c r="D704" s="13" t="n">
        <v>188.159103393555</v>
      </c>
      <c r="E704" s="25" t="n">
        <v>8.62957286834717</v>
      </c>
      <c r="F704" s="25" t="n">
        <v>19.2115802764893</v>
      </c>
      <c r="G704" s="25" t="n">
        <v>8.83400249481201</v>
      </c>
      <c r="H704" s="25" t="n">
        <v>1.6737254858017</v>
      </c>
      <c r="I704" s="25" t="n">
        <v>2.47686266899109</v>
      </c>
      <c r="J704" s="25" t="n">
        <v>3.87521142578125</v>
      </c>
      <c r="K704" s="25" t="n">
        <v>1.25674096679688</v>
      </c>
      <c r="L704" s="25" t="n">
        <v>0.257558929443359</v>
      </c>
      <c r="M704" s="25" t="n">
        <v>31.7762393951416</v>
      </c>
      <c r="N704" s="25" t="n">
        <v>226.721755981445</v>
      </c>
      <c r="O704" s="25" t="n">
        <v>143.002304077148</v>
      </c>
      <c r="P704" s="25" t="n">
        <v>65.1266403198242</v>
      </c>
      <c r="Q704" s="25" t="n">
        <v>74.0320663452148</v>
      </c>
      <c r="R704" s="25" t="n">
        <v>14.4793539047241</v>
      </c>
      <c r="S704" s="25" t="n">
        <v>0.803367912769318</v>
      </c>
      <c r="T704" s="25" t="n">
        <v>0.413125693798065</v>
      </c>
      <c r="U704" s="25" t="n">
        <v>0.112018458545208</v>
      </c>
      <c r="V704" s="25" t="n">
        <v>6.29833889007568</v>
      </c>
      <c r="W704" s="25" t="n">
        <v>0.171395614743233</v>
      </c>
      <c r="X704" s="25" t="n">
        <v>46.5970039367676</v>
      </c>
      <c r="Y704" s="25" t="n">
        <v>86.4567489624023</v>
      </c>
      <c r="Z704" s="25" t="n">
        <v>0.220784321427345</v>
      </c>
      <c r="AA704" s="25" t="n">
        <v>1.87081897258759</v>
      </c>
      <c r="AB704" s="25" t="n">
        <v>1.95294117927551</v>
      </c>
      <c r="AC704" s="25" t="n">
        <v>0.0899192616343498</v>
      </c>
      <c r="AD704" s="25" t="n">
        <v>0.0385928489267826</v>
      </c>
      <c r="AE704" s="25" t="n">
        <v>2.38581323623657</v>
      </c>
      <c r="AF704" s="25" t="n">
        <v>0.336655139923096</v>
      </c>
      <c r="AG704" s="25" t="n">
        <v>0.154440596699715</v>
      </c>
      <c r="AH704" s="25" t="n">
        <v>1.38890433311462</v>
      </c>
      <c r="AI704" s="25" t="n">
        <v>13.0664129257202</v>
      </c>
      <c r="AJ704" s="6" t="n">
        <v>108.4</v>
      </c>
      <c r="AK704" s="6" t="n">
        <v>203.9</v>
      </c>
      <c r="AL704" s="26"/>
    </row>
    <row r="705" customFormat="false" ht="15" hidden="false" customHeight="false" outlineLevel="0" collapsed="false">
      <c r="A705" s="6" t="s">
        <v>4196</v>
      </c>
      <c r="B705" s="6" t="s">
        <v>4197</v>
      </c>
      <c r="C705" s="6" t="s">
        <v>3299</v>
      </c>
      <c r="D705" s="13" t="n">
        <v>239.857452392578</v>
      </c>
      <c r="E705" s="25" t="n">
        <v>9.13488101959229</v>
      </c>
      <c r="F705" s="25" t="n">
        <v>39.542179107666</v>
      </c>
      <c r="G705" s="25" t="n">
        <v>5.5092887878418</v>
      </c>
      <c r="H705" s="25" t="n">
        <v>0.523222744464874</v>
      </c>
      <c r="I705" s="25" t="n">
        <v>24.9962100982666</v>
      </c>
      <c r="J705" s="25" t="n">
        <v>2.02726062011719</v>
      </c>
      <c r="K705" s="25" t="n">
        <v>2.00064270019531</v>
      </c>
      <c r="L705" s="25" t="n">
        <v>0.639450256347656</v>
      </c>
      <c r="M705" s="25" t="n">
        <v>173.459716796875</v>
      </c>
      <c r="N705" s="25" t="n">
        <v>61.472038269043</v>
      </c>
      <c r="O705" s="25" t="n">
        <v>167.857818603516</v>
      </c>
      <c r="P705" s="25" t="n">
        <v>33.985782623291</v>
      </c>
      <c r="Q705" s="25" t="n">
        <v>140.075836181641</v>
      </c>
      <c r="R705" s="25" t="n">
        <v>36.2113761901856</v>
      </c>
      <c r="S705" s="25" t="n">
        <v>1.81478679180145</v>
      </c>
      <c r="T705" s="25" t="n">
        <v>1.10099530220032</v>
      </c>
      <c r="U705" s="25" t="n">
        <v>0.262426525354385</v>
      </c>
      <c r="V705" s="25" t="n">
        <v>19.1658763885498</v>
      </c>
      <c r="W705" s="25" t="n">
        <v>0.129999995231628</v>
      </c>
      <c r="X705" s="25" t="n">
        <v>93.8388595581055</v>
      </c>
      <c r="Y705" s="25" t="n">
        <v>117.061614990234</v>
      </c>
      <c r="Z705" s="25" t="n">
        <v>0.757345974445343</v>
      </c>
      <c r="AA705" s="25" t="n">
        <v>0.260663509368897</v>
      </c>
      <c r="AB705" s="25" t="n">
        <v>0</v>
      </c>
      <c r="AC705" s="25" t="n">
        <v>0.0645071044564247</v>
      </c>
      <c r="AD705" s="25" t="n">
        <v>0.104715637862682</v>
      </c>
      <c r="AE705" s="25" t="n">
        <v>0.280687212944031</v>
      </c>
      <c r="AF705" s="25" t="n">
        <v>0.833341240882874</v>
      </c>
      <c r="AG705" s="25" t="n">
        <v>0.0944360196590424</v>
      </c>
      <c r="AH705" s="25" t="n">
        <v>8.75450229644775</v>
      </c>
      <c r="AI705" s="25" t="n">
        <v>28.2559242248535</v>
      </c>
      <c r="AJ705" s="6" t="n">
        <v>70.3</v>
      </c>
      <c r="AK705" s="6" t="n">
        <v>168.7</v>
      </c>
      <c r="AL705" s="26"/>
    </row>
    <row r="706" customFormat="false" ht="15" hidden="false" customHeight="false" outlineLevel="0" collapsed="false">
      <c r="A706" s="6" t="s">
        <v>4198</v>
      </c>
      <c r="B706" s="6" t="s">
        <v>4199</v>
      </c>
      <c r="C706" s="6" t="s">
        <v>3609</v>
      </c>
      <c r="D706" s="13" t="n">
        <v>306.078948974609</v>
      </c>
      <c r="E706" s="25" t="n">
        <v>6.0091290473938</v>
      </c>
      <c r="F706" s="25" t="n">
        <v>26.9725589752197</v>
      </c>
      <c r="G706" s="25" t="n">
        <v>19.7558307647705</v>
      </c>
      <c r="H706" s="25" t="n">
        <v>0.291292876005173</v>
      </c>
      <c r="I706" s="25" t="n">
        <v>18.8274402618408</v>
      </c>
      <c r="J706" s="25" t="n">
        <v>11.5573935546875</v>
      </c>
      <c r="K706" s="25" t="n">
        <v>5.97793017578125</v>
      </c>
      <c r="L706" s="25" t="n">
        <v>0.82961474609375</v>
      </c>
      <c r="M706" s="25" t="n">
        <v>138.284957885742</v>
      </c>
      <c r="N706" s="25" t="n">
        <v>44.5292892456055</v>
      </c>
      <c r="O706" s="25" t="n">
        <v>135.635879516602</v>
      </c>
      <c r="P706" s="25" t="n">
        <v>42.7889175415039</v>
      </c>
      <c r="Q706" s="25" t="n">
        <v>105.050132751465</v>
      </c>
      <c r="R706" s="25" t="n">
        <v>24.882848739624</v>
      </c>
      <c r="S706" s="25" t="n">
        <v>1.08158314228058</v>
      </c>
      <c r="T706" s="25" t="n">
        <v>0.728522419929504</v>
      </c>
      <c r="U706" s="25" t="n">
        <v>0.165889173746109</v>
      </c>
      <c r="V706" s="25" t="n">
        <v>10.7757253646851</v>
      </c>
      <c r="W706" s="25" t="n">
        <v>0.0889973640441895</v>
      </c>
      <c r="X706" s="25" t="n">
        <v>210.554092407227</v>
      </c>
      <c r="Y706" s="25" t="n">
        <v>163.32453918457</v>
      </c>
      <c r="Z706" s="25" t="n">
        <v>0.982058048248291</v>
      </c>
      <c r="AA706" s="25" t="n">
        <v>0.205804750323296</v>
      </c>
      <c r="AB706" s="25" t="n">
        <v>0.395778357982636</v>
      </c>
      <c r="AC706" s="25" t="n">
        <v>0.0448839031159878</v>
      </c>
      <c r="AD706" s="25" t="n">
        <v>0.127163589000702</v>
      </c>
      <c r="AE706" s="25" t="n">
        <v>0.166820585727692</v>
      </c>
      <c r="AF706" s="25" t="n">
        <v>0.558931410312653</v>
      </c>
      <c r="AG706" s="25" t="n">
        <v>0.0691978856921196</v>
      </c>
      <c r="AH706" s="25" t="n">
        <v>5.50712394714356</v>
      </c>
      <c r="AI706" s="25" t="n">
        <v>18.8179416656494</v>
      </c>
      <c r="AJ706" s="6" t="n">
        <v>47.4</v>
      </c>
      <c r="AK706" s="6" t="n">
        <v>145</v>
      </c>
      <c r="AL706" s="26"/>
    </row>
    <row r="707" customFormat="false" ht="15" hidden="false" customHeight="false" outlineLevel="0" collapsed="false">
      <c r="A707" s="6" t="s">
        <v>4200</v>
      </c>
      <c r="B707" s="6" t="s">
        <v>4201</v>
      </c>
      <c r="C707" s="6" t="s">
        <v>3536</v>
      </c>
      <c r="D707" s="13" t="n">
        <v>225.624008178711</v>
      </c>
      <c r="E707" s="25" t="n">
        <v>3.43249988555908</v>
      </c>
      <c r="F707" s="25" t="n">
        <v>26.4050006866455</v>
      </c>
      <c r="G707" s="25" t="n">
        <v>12.5774993896484</v>
      </c>
      <c r="H707" s="25" t="n">
        <v>0</v>
      </c>
      <c r="I707" s="25" t="n">
        <v>26.1300010681152</v>
      </c>
      <c r="J707" s="25" t="n">
        <v>7.25825</v>
      </c>
      <c r="K707" s="25" t="n">
        <v>3.484</v>
      </c>
      <c r="L707" s="25" t="n">
        <v>0.64925</v>
      </c>
      <c r="M707" s="25" t="n">
        <v>118.125</v>
      </c>
      <c r="N707" s="25" t="n">
        <v>34.9000015258789</v>
      </c>
      <c r="O707" s="25" t="n">
        <v>47.375</v>
      </c>
      <c r="P707" s="25" t="n">
        <v>16.3850002288818</v>
      </c>
      <c r="Q707" s="25" t="n">
        <v>50.125</v>
      </c>
      <c r="R707" s="25" t="n">
        <v>3.70250010490418</v>
      </c>
      <c r="S707" s="25" t="n">
        <v>0.602500021457672</v>
      </c>
      <c r="T707" s="25" t="n">
        <v>0.35249999165535</v>
      </c>
      <c r="U707" s="25" t="n">
        <v>0.03125</v>
      </c>
      <c r="V707" s="25" t="n">
        <v>10.1849994659424</v>
      </c>
      <c r="W707" s="25" t="n">
        <v>0.00499999988824129</v>
      </c>
      <c r="X707" s="25" t="n">
        <v>169.25</v>
      </c>
      <c r="Y707" s="25" t="n">
        <v>110.050003051758</v>
      </c>
      <c r="Z707" s="25" t="n">
        <v>0.608749985694885</v>
      </c>
      <c r="AA707" s="25" t="n">
        <v>0.925000011920929</v>
      </c>
      <c r="AB707" s="25" t="n">
        <v>2.54999995231628</v>
      </c>
      <c r="AC707" s="25" t="n">
        <v>0.0172499995678663</v>
      </c>
      <c r="AD707" s="25" t="n">
        <v>0.0570000000298023</v>
      </c>
      <c r="AE707" s="25" t="n">
        <v>0.0350000001490116</v>
      </c>
      <c r="AF707" s="25" t="n">
        <v>0.382750004529953</v>
      </c>
      <c r="AG707" s="25" t="n">
        <v>0.0437499992549419</v>
      </c>
      <c r="AH707" s="25" t="n">
        <v>4.58500003814697</v>
      </c>
      <c r="AI707" s="25" t="n">
        <v>12.8549995422363</v>
      </c>
      <c r="AJ707" s="6" t="n">
        <v>25</v>
      </c>
      <c r="AK707" s="6" t="n">
        <v>56.4</v>
      </c>
      <c r="AL707" s="26"/>
    </row>
    <row r="708" customFormat="false" ht="15" hidden="false" customHeight="false" outlineLevel="0" collapsed="false">
      <c r="A708" s="6" t="s">
        <v>4202</v>
      </c>
      <c r="B708" s="6" t="s">
        <v>4203</v>
      </c>
      <c r="C708" s="6" t="s">
        <v>3536</v>
      </c>
      <c r="D708" s="13" t="n">
        <v>184.615386962891</v>
      </c>
      <c r="E708" s="25" t="n">
        <v>0</v>
      </c>
      <c r="F708" s="25" t="n">
        <v>46.1538467407227</v>
      </c>
      <c r="G708" s="25" t="n">
        <v>0</v>
      </c>
      <c r="H708" s="25" t="n">
        <v>0</v>
      </c>
      <c r="I708" s="25" t="n">
        <v>41.538459777832</v>
      </c>
      <c r="J708" s="25" t="n">
        <v>0</v>
      </c>
      <c r="K708" s="25" t="n">
        <v>0</v>
      </c>
      <c r="L708" s="25" t="n">
        <v>0</v>
      </c>
      <c r="M708" s="25" t="n">
        <v>0</v>
      </c>
      <c r="N708" s="25" t="n">
        <v>0</v>
      </c>
      <c r="O708" s="25" t="n">
        <v>0</v>
      </c>
      <c r="P708" s="25" t="n">
        <v>0</v>
      </c>
      <c r="Q708" s="25" t="n">
        <v>0</v>
      </c>
      <c r="R708" s="25" t="n">
        <v>0</v>
      </c>
      <c r="S708" s="25" t="n">
        <v>0</v>
      </c>
      <c r="T708" s="25" t="n">
        <v>0</v>
      </c>
      <c r="U708" s="25" t="n">
        <v>0</v>
      </c>
      <c r="V708" s="25" t="n">
        <v>0</v>
      </c>
      <c r="W708" s="25" t="n">
        <v>0</v>
      </c>
      <c r="X708" s="25" t="n">
        <v>0</v>
      </c>
      <c r="Y708" s="25" t="n">
        <v>0</v>
      </c>
      <c r="Z708" s="25" t="n">
        <v>0</v>
      </c>
      <c r="AA708" s="25" t="n">
        <v>0</v>
      </c>
      <c r="AB708" s="25" t="n">
        <v>0</v>
      </c>
      <c r="AC708" s="25" t="n">
        <v>0</v>
      </c>
      <c r="AD708" s="25" t="n">
        <v>0</v>
      </c>
      <c r="AE708" s="25" t="n">
        <v>0</v>
      </c>
      <c r="AF708" s="25" t="n">
        <v>0</v>
      </c>
      <c r="AG708" s="25" t="n">
        <v>0</v>
      </c>
      <c r="AH708" s="25" t="n">
        <v>0</v>
      </c>
      <c r="AI708" s="25" t="n">
        <v>0</v>
      </c>
      <c r="AJ708" s="6" t="n">
        <v>16.2</v>
      </c>
      <c r="AK708" s="6" t="n">
        <v>30</v>
      </c>
      <c r="AL708" s="26"/>
    </row>
    <row r="709" customFormat="false" ht="15" hidden="false" customHeight="false" outlineLevel="0" collapsed="false">
      <c r="A709" s="6" t="s">
        <v>4204</v>
      </c>
      <c r="B709" s="6" t="s">
        <v>4205</v>
      </c>
      <c r="C709" s="6" t="s">
        <v>3612</v>
      </c>
      <c r="D709" s="13" t="n">
        <v>243.36962890625</v>
      </c>
      <c r="E709" s="25" t="n">
        <v>7.05305862426758</v>
      </c>
      <c r="F709" s="25" t="n">
        <v>32.2363090515137</v>
      </c>
      <c r="G709" s="25" t="n">
        <v>10.1227569580078</v>
      </c>
      <c r="H709" s="25" t="n">
        <v>0.316940814256668</v>
      </c>
      <c r="I709" s="25" t="n">
        <v>22.3380126953125</v>
      </c>
      <c r="J709" s="25" t="n">
        <v>5.49235498046875</v>
      </c>
      <c r="K709" s="25" t="n">
        <v>3.09113647460938</v>
      </c>
      <c r="L709" s="25" t="n">
        <v>0.61069677734375</v>
      </c>
      <c r="M709" s="25" t="n">
        <v>121.034652709961</v>
      </c>
      <c r="N709" s="25" t="n">
        <v>46.5435371398926</v>
      </c>
      <c r="O709" s="25" t="n">
        <v>175.333511352539</v>
      </c>
      <c r="P709" s="25" t="n">
        <v>50.6975555419922</v>
      </c>
      <c r="Q709" s="25" t="n">
        <v>126.839401245117</v>
      </c>
      <c r="R709" s="25" t="n">
        <v>38.7771644592285</v>
      </c>
      <c r="S709" s="25" t="n">
        <v>1.43805301189423</v>
      </c>
      <c r="T709" s="25" t="n">
        <v>0.954390943050385</v>
      </c>
      <c r="U709" s="25" t="n">
        <v>0.271978884935379</v>
      </c>
      <c r="V709" s="25" t="n">
        <v>11.7245140075684</v>
      </c>
      <c r="W709" s="25" t="n">
        <v>0.0968334674835205</v>
      </c>
      <c r="X709" s="25" t="n">
        <v>140.814743041992</v>
      </c>
      <c r="Y709" s="25" t="n">
        <v>120.843193054199</v>
      </c>
      <c r="Z709" s="25" t="n">
        <v>0.650647342205048</v>
      </c>
      <c r="AA709" s="25" t="n">
        <v>0.25837567448616</v>
      </c>
      <c r="AB709" s="25" t="n">
        <v>0.287084072828293</v>
      </c>
      <c r="AC709" s="25" t="n">
        <v>0.0525105483829975</v>
      </c>
      <c r="AD709" s="25" t="n">
        <v>0.121077708899975</v>
      </c>
      <c r="AE709" s="25" t="n">
        <v>0.249260753393173</v>
      </c>
      <c r="AF709" s="25" t="n">
        <v>0.599532067775726</v>
      </c>
      <c r="AG709" s="25" t="n">
        <v>0.0682858228683472</v>
      </c>
      <c r="AH709" s="25" t="n">
        <v>6.19297790527344</v>
      </c>
      <c r="AI709" s="25" t="n">
        <v>19.7686100006104</v>
      </c>
      <c r="AJ709" s="6" t="n">
        <v>87.1</v>
      </c>
      <c r="AK709" s="6" t="n">
        <v>211.9</v>
      </c>
      <c r="AL709" s="26"/>
    </row>
    <row r="710" customFormat="false" ht="15" hidden="false" customHeight="false" outlineLevel="0" collapsed="false">
      <c r="A710" s="6" t="s">
        <v>4206</v>
      </c>
      <c r="B710" s="6" t="s">
        <v>4207</v>
      </c>
      <c r="C710" s="6" t="s">
        <v>3612</v>
      </c>
      <c r="D710" s="13" t="n">
        <v>230.737930297852</v>
      </c>
      <c r="E710" s="25" t="n">
        <v>6.77599954605103</v>
      </c>
      <c r="F710" s="25" t="n">
        <v>31.9851016998291</v>
      </c>
      <c r="G710" s="25" t="n">
        <v>8.90984344482422</v>
      </c>
      <c r="H710" s="25" t="n">
        <v>0.429465025663376</v>
      </c>
      <c r="I710" s="25" t="n">
        <v>19.6990642547607</v>
      </c>
      <c r="J710" s="25" t="n">
        <v>4.71704345703125</v>
      </c>
      <c r="K710" s="25" t="n">
        <v>2.6690068359375</v>
      </c>
      <c r="L710" s="25" t="n">
        <v>0.607942016601563</v>
      </c>
      <c r="M710" s="25" t="n">
        <v>131.017959594727</v>
      </c>
      <c r="N710" s="25" t="n">
        <v>49.988826751709</v>
      </c>
      <c r="O710" s="25" t="n">
        <v>100.575485229492</v>
      </c>
      <c r="P710" s="25" t="n">
        <v>47.1990776062012</v>
      </c>
      <c r="Q710" s="25" t="n">
        <v>99.5486602783203</v>
      </c>
      <c r="R710" s="25" t="n">
        <v>11.0545234680176</v>
      </c>
      <c r="S710" s="25" t="n">
        <v>0.941390454769135</v>
      </c>
      <c r="T710" s="25" t="n">
        <v>0.632163226604462</v>
      </c>
      <c r="U710" s="25" t="n">
        <v>0.0580910593271256</v>
      </c>
      <c r="V710" s="25" t="n">
        <v>12.5851926803589</v>
      </c>
      <c r="W710" s="25" t="n">
        <v>0.104254193603993</v>
      </c>
      <c r="X710" s="25" t="n">
        <v>152.18000793457</v>
      </c>
      <c r="Y710" s="25" t="n">
        <v>136.69221496582</v>
      </c>
      <c r="Z710" s="25" t="n">
        <v>0.62396913766861</v>
      </c>
      <c r="AA710" s="25" t="n">
        <v>0.155603274703026</v>
      </c>
      <c r="AB710" s="25" t="n">
        <v>0.311206549406052</v>
      </c>
      <c r="AC710" s="25" t="n">
        <v>0.0513490810990334</v>
      </c>
      <c r="AD710" s="25" t="n">
        <v>0.12759467959404</v>
      </c>
      <c r="AE710" s="25" t="n">
        <v>0.185167893767357</v>
      </c>
      <c r="AF710" s="25" t="n">
        <v>0.662869989871979</v>
      </c>
      <c r="AG710" s="25" t="n">
        <v>0.0715775042772293</v>
      </c>
      <c r="AH710" s="25" t="n">
        <v>6.63803577423096</v>
      </c>
      <c r="AI710" s="25" t="n">
        <v>19.433292388916</v>
      </c>
      <c r="AJ710" s="6" t="n">
        <v>80.3</v>
      </c>
      <c r="AK710" s="6" t="n">
        <v>185.4</v>
      </c>
      <c r="AL710" s="26"/>
    </row>
    <row r="711" customFormat="false" ht="15" hidden="false" customHeight="false" outlineLevel="0" collapsed="false">
      <c r="A711" s="6" t="s">
        <v>4208</v>
      </c>
      <c r="B711" s="6" t="s">
        <v>4209</v>
      </c>
      <c r="C711" s="6" t="s">
        <v>3299</v>
      </c>
      <c r="D711" s="13" t="n">
        <v>178.048141479492</v>
      </c>
      <c r="E711" s="25" t="n">
        <v>4.77943086624146</v>
      </c>
      <c r="F711" s="25" t="n">
        <v>27.0124244689941</v>
      </c>
      <c r="G711" s="25" t="n">
        <v>6.02161312103272</v>
      </c>
      <c r="H711" s="25" t="n">
        <v>0.678778409957886</v>
      </c>
      <c r="I711" s="25" t="n">
        <v>18.3300437927246</v>
      </c>
      <c r="J711" s="25" t="n">
        <v>3.17694262695313</v>
      </c>
      <c r="K711" s="25" t="n">
        <v>1.79728466796875</v>
      </c>
      <c r="L711" s="25" t="n">
        <v>0.423923461914063</v>
      </c>
      <c r="M711" s="25" t="n">
        <v>87.9143829345703</v>
      </c>
      <c r="N711" s="25" t="n">
        <v>80.4106521606445</v>
      </c>
      <c r="O711" s="25" t="n">
        <v>117.507438659668</v>
      </c>
      <c r="P711" s="25" t="n">
        <v>41.6855125427246</v>
      </c>
      <c r="Q711" s="25" t="n">
        <v>103.766639709473</v>
      </c>
      <c r="R711" s="25" t="n">
        <v>10.774471282959</v>
      </c>
      <c r="S711" s="25" t="n">
        <v>0.885826170444489</v>
      </c>
      <c r="T711" s="25" t="n">
        <v>0.452101290225983</v>
      </c>
      <c r="U711" s="25" t="n">
        <v>0.0489689372479916</v>
      </c>
      <c r="V711" s="25" t="n">
        <v>8.50232315063477</v>
      </c>
      <c r="W711" s="25" t="n">
        <v>0.07601148635149</v>
      </c>
      <c r="X711" s="25" t="n">
        <v>102.114334106445</v>
      </c>
      <c r="Y711" s="25" t="n">
        <v>296.058471679688</v>
      </c>
      <c r="Z711" s="25" t="n">
        <v>0.43080136179924</v>
      </c>
      <c r="AA711" s="25" t="n">
        <v>0.861393868923187</v>
      </c>
      <c r="AB711" s="25" t="n">
        <v>13.1441402435303</v>
      </c>
      <c r="AC711" s="25" t="n">
        <v>0.0557556785643101</v>
      </c>
      <c r="AD711" s="25" t="n">
        <v>0.0916731879115105</v>
      </c>
      <c r="AE711" s="25" t="n">
        <v>0.209031581878662</v>
      </c>
      <c r="AF711" s="25" t="n">
        <v>0.505351066589356</v>
      </c>
      <c r="AG711" s="25" t="n">
        <v>0.0601409561932087</v>
      </c>
      <c r="AH711" s="25" t="n">
        <v>5.32623338699341</v>
      </c>
      <c r="AI711" s="25" t="n">
        <v>18.9427299499512</v>
      </c>
      <c r="AJ711" s="6" t="n">
        <v>79.8</v>
      </c>
      <c r="AK711" s="6" t="n">
        <v>142.1</v>
      </c>
      <c r="AL711" s="26"/>
    </row>
    <row r="712" customFormat="false" ht="15" hidden="false" customHeight="false" outlineLevel="0" collapsed="false">
      <c r="A712" s="6" t="s">
        <v>4210</v>
      </c>
      <c r="B712" s="6" t="s">
        <v>4211</v>
      </c>
      <c r="C712" s="6" t="s">
        <v>3299</v>
      </c>
      <c r="D712" s="13" t="n">
        <v>217.817352294922</v>
      </c>
      <c r="E712" s="25" t="n">
        <v>5.93871593475342</v>
      </c>
      <c r="F712" s="25" t="n">
        <v>30.5679588317871</v>
      </c>
      <c r="G712" s="25" t="n">
        <v>8.58016490936279</v>
      </c>
      <c r="H712" s="25" t="n">
        <v>0.280737429857254</v>
      </c>
      <c r="I712" s="25" t="n">
        <v>21.9738082885742</v>
      </c>
      <c r="J712" s="25" t="n">
        <v>4.6051923828125</v>
      </c>
      <c r="K712" s="25" t="n">
        <v>2.59218212890625</v>
      </c>
      <c r="L712" s="25" t="n">
        <v>0.53062939453125</v>
      </c>
      <c r="M712" s="25" t="n">
        <v>107.20915222168</v>
      </c>
      <c r="N712" s="25" t="n">
        <v>79.3721542358398</v>
      </c>
      <c r="O712" s="25" t="n">
        <v>138.539733886719</v>
      </c>
      <c r="P712" s="25" t="n">
        <v>46.7933883666992</v>
      </c>
      <c r="Q712" s="25" t="n">
        <v>127.659248352051</v>
      </c>
      <c r="R712" s="25" t="n">
        <v>26.0263195037842</v>
      </c>
      <c r="S712" s="25" t="n">
        <v>1.08595037460327</v>
      </c>
      <c r="T712" s="25" t="n">
        <v>0.717482507228851</v>
      </c>
      <c r="U712" s="25" t="n">
        <v>0.161474883556366</v>
      </c>
      <c r="V712" s="25" t="n">
        <v>10.3852510452271</v>
      </c>
      <c r="W712" s="25" t="n">
        <v>0.0851875394582748</v>
      </c>
      <c r="X712" s="25" t="n">
        <v>124.72981262207</v>
      </c>
      <c r="Y712" s="25" t="n">
        <v>146.217422485352</v>
      </c>
      <c r="Z712" s="25" t="n">
        <v>0.562492072582245</v>
      </c>
      <c r="AA712" s="25" t="n">
        <v>0.198347106575966</v>
      </c>
      <c r="AB712" s="25" t="n">
        <v>218.944686889648</v>
      </c>
      <c r="AC712" s="25" t="n">
        <v>0.0458995550870895</v>
      </c>
      <c r="AD712" s="25" t="n">
        <v>0.11468531191349</v>
      </c>
      <c r="AE712" s="25" t="n">
        <v>0.235982194542885</v>
      </c>
      <c r="AF712" s="25" t="n">
        <v>0.570375084877014</v>
      </c>
      <c r="AG712" s="25" t="n">
        <v>0.0602670051157475</v>
      </c>
      <c r="AH712" s="25" t="n">
        <v>5.48556900024414</v>
      </c>
      <c r="AI712" s="25" t="n">
        <v>16.7501583099365</v>
      </c>
      <c r="AJ712" s="6" t="n">
        <v>65.5</v>
      </c>
      <c r="AK712" s="6" t="n">
        <v>142.8</v>
      </c>
      <c r="AL712" s="26"/>
    </row>
    <row r="713" customFormat="false" ht="15" hidden="false" customHeight="false" outlineLevel="0" collapsed="false">
      <c r="A713" s="6" t="s">
        <v>4212</v>
      </c>
      <c r="B713" s="6" t="s">
        <v>4213</v>
      </c>
      <c r="C713" s="6" t="s">
        <v>3299</v>
      </c>
      <c r="D713" s="13" t="n">
        <v>373.851409912109</v>
      </c>
      <c r="E713" s="25" t="n">
        <v>5.28565549850464</v>
      </c>
      <c r="F713" s="25" t="n">
        <v>43.1004104614258</v>
      </c>
      <c r="G713" s="25" t="n">
        <v>20.627254486084</v>
      </c>
      <c r="H713" s="25" t="n">
        <v>0.622131168842316</v>
      </c>
      <c r="I713" s="25" t="n">
        <v>25.8401641845703</v>
      </c>
      <c r="J713" s="25" t="n">
        <v>12.3854521484375</v>
      </c>
      <c r="K713" s="25" t="n">
        <v>5.44096826171875</v>
      </c>
      <c r="L713" s="25" t="n">
        <v>0.976065551757813</v>
      </c>
      <c r="M713" s="25" t="n">
        <v>123.012298583984</v>
      </c>
      <c r="N713" s="25" t="n">
        <v>151.294464111328</v>
      </c>
      <c r="O713" s="25" t="n">
        <v>80.6004104614258</v>
      </c>
      <c r="P713" s="25" t="n">
        <v>32.7651634216309</v>
      </c>
      <c r="Q713" s="25" t="n">
        <v>155.417617797852</v>
      </c>
      <c r="R713" s="25" t="n">
        <v>10.6534833908081</v>
      </c>
      <c r="S713" s="25" t="n">
        <v>0.909426271915436</v>
      </c>
      <c r="T713" s="25" t="n">
        <v>0.533811450004578</v>
      </c>
      <c r="U713" s="25" t="n">
        <v>0.068852461874485</v>
      </c>
      <c r="V713" s="25" t="n">
        <v>8.31762313842773</v>
      </c>
      <c r="W713" s="25" t="n">
        <v>0.147336065769196</v>
      </c>
      <c r="X713" s="25" t="n">
        <v>256.516418457031</v>
      </c>
      <c r="Y713" s="25" t="n">
        <v>230.982986450195</v>
      </c>
      <c r="Z713" s="25" t="n">
        <v>0.741393446922302</v>
      </c>
      <c r="AA713" s="25" t="n">
        <v>2.00409841537476</v>
      </c>
      <c r="AB713" s="25" t="n">
        <v>4.00573778152466</v>
      </c>
      <c r="AC713" s="25" t="n">
        <v>0.0494877062737942</v>
      </c>
      <c r="AD713" s="25" t="n">
        <v>0.0691598355770111</v>
      </c>
      <c r="AE713" s="25" t="n">
        <v>0.205327868461609</v>
      </c>
      <c r="AF713" s="25" t="n">
        <v>0.485860645771027</v>
      </c>
      <c r="AG713" s="25" t="n">
        <v>0.054200816899538</v>
      </c>
      <c r="AH713" s="25" t="n">
        <v>4.03155755996704</v>
      </c>
      <c r="AI713" s="25" t="n">
        <v>14.7487707138062</v>
      </c>
      <c r="AJ713" s="6" t="n">
        <v>61</v>
      </c>
      <c r="AK713" s="6" t="n">
        <v>228</v>
      </c>
      <c r="AL713" s="26"/>
    </row>
    <row r="714" customFormat="false" ht="15" hidden="false" customHeight="false" outlineLevel="0" collapsed="false">
      <c r="A714" s="6" t="s">
        <v>4214</v>
      </c>
      <c r="B714" s="6" t="s">
        <v>4215</v>
      </c>
      <c r="C714" s="6" t="s">
        <v>3299</v>
      </c>
      <c r="D714" s="13" t="n">
        <v>396.615966796875</v>
      </c>
      <c r="E714" s="25" t="n">
        <v>7.78113126754761</v>
      </c>
      <c r="F714" s="25" t="n">
        <v>41.4003372192383</v>
      </c>
      <c r="G714" s="25" t="n">
        <v>22.6980171203613</v>
      </c>
      <c r="H714" s="25" t="n">
        <v>1.81230986118317</v>
      </c>
      <c r="I714" s="25" t="n">
        <v>21.3002090454102</v>
      </c>
      <c r="J714" s="25" t="n">
        <v>10.25787890625</v>
      </c>
      <c r="K714" s="25" t="n">
        <v>5.30784765625</v>
      </c>
      <c r="L714" s="25" t="n">
        <v>1.15994616699219</v>
      </c>
      <c r="M714" s="25" t="n">
        <v>111.124923706055</v>
      </c>
      <c r="N714" s="25" t="n">
        <v>182.737823486328</v>
      </c>
      <c r="O714" s="25" t="n">
        <v>169.794494628906</v>
      </c>
      <c r="P714" s="25" t="n">
        <v>58.106689453125</v>
      </c>
      <c r="Q714" s="25" t="n">
        <v>171.554489135742</v>
      </c>
      <c r="R714" s="25" t="n">
        <v>19.4215869903565</v>
      </c>
      <c r="S714" s="25" t="n">
        <v>1.56960427761078</v>
      </c>
      <c r="T714" s="25" t="n">
        <v>0.631862461566925</v>
      </c>
      <c r="U714" s="25" t="n">
        <v>0.0951792001724243</v>
      </c>
      <c r="V714" s="25" t="n">
        <v>8.55272769927979</v>
      </c>
      <c r="W714" s="25" t="n">
        <v>0.300285905599594</v>
      </c>
      <c r="X714" s="25" t="n">
        <v>199.792831420898</v>
      </c>
      <c r="Y714" s="25" t="n">
        <v>200.447052001953</v>
      </c>
      <c r="Z714" s="25" t="n">
        <v>1.34905111789703</v>
      </c>
      <c r="AA714" s="25" t="n">
        <v>1.88311576843262</v>
      </c>
      <c r="AB714" s="25" t="n">
        <v>0.118071265518665</v>
      </c>
      <c r="AC714" s="25" t="n">
        <v>0.0527056157588959</v>
      </c>
      <c r="AD714" s="25" t="n">
        <v>0.0773399621248245</v>
      </c>
      <c r="AE714" s="25" t="n">
        <v>0.306861400604248</v>
      </c>
      <c r="AF714" s="25" t="n">
        <v>0.513530135154724</v>
      </c>
      <c r="AG714" s="25" t="n">
        <v>0.0559540092945099</v>
      </c>
      <c r="AH714" s="25" t="n">
        <v>4.10421180725098</v>
      </c>
      <c r="AI714" s="25" t="n">
        <v>15.2855854034424</v>
      </c>
      <c r="AJ714" s="6" t="n">
        <v>60.3</v>
      </c>
      <c r="AK714" s="6" t="n">
        <v>239.3</v>
      </c>
      <c r="AL714" s="26"/>
    </row>
    <row r="715" customFormat="false" ht="15" hidden="false" customHeight="false" outlineLevel="0" collapsed="false">
      <c r="A715" s="6" t="s">
        <v>4216</v>
      </c>
      <c r="B715" s="6" t="s">
        <v>4217</v>
      </c>
      <c r="C715" s="6" t="s">
        <v>3299</v>
      </c>
      <c r="D715" s="13" t="n">
        <v>373.08837890625</v>
      </c>
      <c r="E715" s="25" t="n">
        <v>5.18011665344238</v>
      </c>
      <c r="F715" s="25" t="n">
        <v>44.7389869689941</v>
      </c>
      <c r="G715" s="25" t="n">
        <v>19.834306716919</v>
      </c>
      <c r="H715" s="25" t="n">
        <v>0.5918128490448</v>
      </c>
      <c r="I715" s="25" t="n">
        <v>28.183235168457</v>
      </c>
      <c r="J715" s="25" t="n">
        <v>11.925439453125</v>
      </c>
      <c r="K715" s="25" t="n">
        <v>5.24403564453125</v>
      </c>
      <c r="L715" s="25" t="n">
        <v>0.913001953125</v>
      </c>
      <c r="M715" s="25" t="n">
        <v>117.017547607422</v>
      </c>
      <c r="N715" s="25" t="n">
        <v>145.281097412109</v>
      </c>
      <c r="O715" s="25" t="n">
        <v>74.1578979492188</v>
      </c>
      <c r="P715" s="25" t="n">
        <v>36.2456130981445</v>
      </c>
      <c r="Q715" s="25" t="n">
        <v>152.621444702148</v>
      </c>
      <c r="R715" s="25" t="n">
        <v>9.92261219024658</v>
      </c>
      <c r="S715" s="25" t="n">
        <v>0.858089685440064</v>
      </c>
      <c r="T715" s="25" t="n">
        <v>0.519493162631989</v>
      </c>
      <c r="U715" s="25" t="n">
        <v>0.0654970780014992</v>
      </c>
      <c r="V715" s="25" t="n">
        <v>7.93859624862671</v>
      </c>
      <c r="W715" s="25" t="n">
        <v>0.139571160078049</v>
      </c>
      <c r="X715" s="25" t="n">
        <v>244.015609741211</v>
      </c>
      <c r="Y715" s="25" t="n">
        <v>226.276794433594</v>
      </c>
      <c r="Z715" s="25" t="n">
        <v>0.714619874954224</v>
      </c>
      <c r="AA715" s="25" t="n">
        <v>1.80116963386536</v>
      </c>
      <c r="AB715" s="25" t="n">
        <v>0.11754385381937</v>
      </c>
      <c r="AC715" s="25" t="n">
        <v>0.0456140376627445</v>
      </c>
      <c r="AD715" s="25" t="n">
        <v>0.0713450312614441</v>
      </c>
      <c r="AE715" s="25" t="n">
        <v>0.191228076815605</v>
      </c>
      <c r="AF715" s="25" t="n">
        <v>0.471539974212647</v>
      </c>
      <c r="AG715" s="25" t="n">
        <v>0.0506822615861893</v>
      </c>
      <c r="AH715" s="25" t="n">
        <v>3.83859634399414</v>
      </c>
      <c r="AI715" s="25" t="n">
        <v>13.5095520019531</v>
      </c>
      <c r="AJ715" s="6" t="n">
        <v>64.1</v>
      </c>
      <c r="AK715" s="6" t="n">
        <v>239.2</v>
      </c>
      <c r="AL715" s="26"/>
    </row>
    <row r="716" customFormat="false" ht="15" hidden="false" customHeight="false" outlineLevel="0" collapsed="false">
      <c r="A716" s="6" t="s">
        <v>4218</v>
      </c>
      <c r="B716" s="6" t="s">
        <v>4219</v>
      </c>
      <c r="C716" s="6" t="s">
        <v>3299</v>
      </c>
      <c r="D716" s="13" t="n">
        <v>312.006042480469</v>
      </c>
      <c r="E716" s="25" t="n">
        <v>6.66363906860352</v>
      </c>
      <c r="F716" s="25" t="n">
        <v>43.4458503723145</v>
      </c>
      <c r="G716" s="25" t="n">
        <v>13.1891117095947</v>
      </c>
      <c r="H716" s="25" t="n">
        <v>0.321397364139557</v>
      </c>
      <c r="I716" s="25" t="n">
        <v>34.198543548584</v>
      </c>
      <c r="J716" s="25" t="n">
        <v>8.2115048828125</v>
      </c>
      <c r="K716" s="25" t="n">
        <v>3.59049658203125</v>
      </c>
      <c r="L716" s="25" t="n">
        <v>0.461787475585938</v>
      </c>
      <c r="M716" s="25" t="n">
        <v>35.4876289367676</v>
      </c>
      <c r="N716" s="25" t="n">
        <v>196.61018371582</v>
      </c>
      <c r="O716" s="25" t="n">
        <v>317.290405273438</v>
      </c>
      <c r="P716" s="25" t="n">
        <v>185.38427734375</v>
      </c>
      <c r="Q716" s="25" t="n">
        <v>228.045120239258</v>
      </c>
      <c r="R716" s="25" t="n">
        <v>51.123291015625</v>
      </c>
      <c r="S716" s="25" t="n">
        <v>0.951732158660889</v>
      </c>
      <c r="T716" s="25" t="n">
        <v>1.10570597648621</v>
      </c>
      <c r="U716" s="25" t="n">
        <v>0.247953414916992</v>
      </c>
      <c r="V716" s="25" t="n">
        <v>1.74672484397888</v>
      </c>
      <c r="W716" s="25" t="n">
        <v>0.0740320235490799</v>
      </c>
      <c r="X716" s="25" t="n">
        <v>147.714706420898</v>
      </c>
      <c r="Y716" s="25" t="n">
        <v>127.627365112305</v>
      </c>
      <c r="Z716" s="25" t="n">
        <v>0.317612826824188</v>
      </c>
      <c r="AA716" s="25" t="n">
        <v>1.05967974662781</v>
      </c>
      <c r="AB716" s="25" t="n">
        <v>2.32896661758423</v>
      </c>
      <c r="AC716" s="25" t="n">
        <v>0.0792168900370598</v>
      </c>
      <c r="AD716" s="25" t="n">
        <v>0.284701615571976</v>
      </c>
      <c r="AE716" s="25" t="n">
        <v>0.364556044340134</v>
      </c>
      <c r="AF716" s="25" t="n">
        <v>0.583216905593872</v>
      </c>
      <c r="AG716" s="25" t="n">
        <v>0.0542241632938385</v>
      </c>
      <c r="AH716" s="25" t="n">
        <v>2.35574960708618</v>
      </c>
      <c r="AI716" s="25" t="n">
        <v>12.8384275436401</v>
      </c>
      <c r="AJ716" s="6" t="n">
        <v>114.5</v>
      </c>
      <c r="AK716" s="6" t="n">
        <v>357.2</v>
      </c>
      <c r="AL716" s="26"/>
    </row>
    <row r="717" customFormat="false" ht="15" hidden="false" customHeight="false" outlineLevel="0" collapsed="false">
      <c r="A717" s="6" t="s">
        <v>4220</v>
      </c>
      <c r="B717" s="6" t="s">
        <v>4221</v>
      </c>
      <c r="C717" s="6" t="s">
        <v>3299</v>
      </c>
      <c r="D717" s="13" t="n">
        <v>355.620941162109</v>
      </c>
      <c r="E717" s="25" t="n">
        <v>7.15663862228394</v>
      </c>
      <c r="F717" s="25" t="n">
        <v>52.6452102661133</v>
      </c>
      <c r="G717" s="25" t="n">
        <v>13.8205041885376</v>
      </c>
      <c r="H717" s="25" t="n">
        <v>0.556638658046722</v>
      </c>
      <c r="I717" s="25" t="n">
        <v>37.8685722351074</v>
      </c>
      <c r="J717" s="25" t="n">
        <v>8.6272705078125</v>
      </c>
      <c r="K717" s="25" t="n">
        <v>3.6650029296875</v>
      </c>
      <c r="L717" s="25" t="n">
        <v>0.515899169921875</v>
      </c>
      <c r="M717" s="25" t="n">
        <v>40.9747886657715</v>
      </c>
      <c r="N717" s="25" t="n">
        <v>226.276977539063</v>
      </c>
      <c r="O717" s="25" t="n">
        <v>277.8193359375</v>
      </c>
      <c r="P717" s="25" t="n">
        <v>205.836975097656</v>
      </c>
      <c r="Q717" s="25" t="n">
        <v>221.638656616211</v>
      </c>
      <c r="R717" s="25" t="n">
        <v>26.1265544891357</v>
      </c>
      <c r="S717" s="25" t="n">
        <v>0.516638696193695</v>
      </c>
      <c r="T717" s="25" t="n">
        <v>0.87159663438797</v>
      </c>
      <c r="U717" s="25" t="n">
        <v>0.0352941155433655</v>
      </c>
      <c r="V717" s="25" t="n">
        <v>2.01680684089661</v>
      </c>
      <c r="W717" s="25" t="n">
        <v>0.12873949110508</v>
      </c>
      <c r="X717" s="25" t="n">
        <v>170.554626464844</v>
      </c>
      <c r="Y717" s="25" t="n">
        <v>163.747894287109</v>
      </c>
      <c r="Z717" s="25" t="n">
        <v>0.330252110958099</v>
      </c>
      <c r="AA717" s="25" t="n">
        <v>1.18991601467133</v>
      </c>
      <c r="AB717" s="25" t="n">
        <v>3.49579834938049</v>
      </c>
      <c r="AC717" s="25" t="n">
        <v>0.0921008437871933</v>
      </c>
      <c r="AD717" s="25" t="n">
        <v>0.328739494085312</v>
      </c>
      <c r="AE717" s="25" t="n">
        <v>0.360336154699326</v>
      </c>
      <c r="AF717" s="25" t="n">
        <v>0.726218521595001</v>
      </c>
      <c r="AG717" s="25" t="n">
        <v>0.0640336126089096</v>
      </c>
      <c r="AH717" s="25" t="n">
        <v>2.77579832077026</v>
      </c>
      <c r="AI717" s="25" t="n">
        <v>13.8319330215454</v>
      </c>
      <c r="AJ717" s="6" t="n">
        <v>99.2</v>
      </c>
      <c r="AK717" s="6" t="n">
        <v>352.7</v>
      </c>
      <c r="AL717" s="26"/>
    </row>
    <row r="718" customFormat="false" ht="15" hidden="false" customHeight="false" outlineLevel="0" collapsed="false">
      <c r="A718" s="6" t="s">
        <v>4222</v>
      </c>
      <c r="B718" s="6" t="s">
        <v>4223</v>
      </c>
      <c r="C718" s="6" t="s">
        <v>3536</v>
      </c>
      <c r="D718" s="13" t="n">
        <v>436.292419433594</v>
      </c>
      <c r="E718" s="25" t="n">
        <v>3.21733689308167</v>
      </c>
      <c r="F718" s="25" t="n">
        <v>62.4344635009766</v>
      </c>
      <c r="G718" s="25" t="n">
        <v>20.7964496612549</v>
      </c>
      <c r="H718" s="25" t="n">
        <v>0</v>
      </c>
      <c r="I718" s="25" t="n">
        <v>59.8809394836426</v>
      </c>
      <c r="J718" s="25" t="n">
        <v>13.01942578125</v>
      </c>
      <c r="K718" s="25" t="n">
        <v>5.57086181640625</v>
      </c>
      <c r="L718" s="25" t="n">
        <v>0.691425598144531</v>
      </c>
      <c r="M718" s="25" t="n">
        <v>44.4908599853516</v>
      </c>
      <c r="N718" s="25" t="n">
        <v>8.65796375274658</v>
      </c>
      <c r="O718" s="25" t="n">
        <v>264.156646728516</v>
      </c>
      <c r="P718" s="25" t="n">
        <v>26.7467346191406</v>
      </c>
      <c r="Q718" s="25" t="n">
        <v>115.728454589844</v>
      </c>
      <c r="R718" s="25" t="n">
        <v>87.4360275268555</v>
      </c>
      <c r="S718" s="25" t="n">
        <v>2.04302859306335</v>
      </c>
      <c r="T718" s="25" t="n">
        <v>1.23248040676117</v>
      </c>
      <c r="U718" s="25" t="n">
        <v>0.683258473873138</v>
      </c>
      <c r="V718" s="25" t="n">
        <v>0</v>
      </c>
      <c r="W718" s="25" t="n">
        <v>0.0024020888376981</v>
      </c>
      <c r="X718" s="25" t="n">
        <v>200.104446411133</v>
      </c>
      <c r="Y718" s="25" t="n">
        <v>133.681457519531</v>
      </c>
      <c r="Z718" s="25" t="n">
        <v>0.500052213668823</v>
      </c>
      <c r="AA718" s="25" t="n">
        <v>1.79634463787079</v>
      </c>
      <c r="AB718" s="25" t="n">
        <v>0</v>
      </c>
      <c r="AC718" s="25" t="n">
        <v>0.0268511734902859</v>
      </c>
      <c r="AD718" s="25" t="n">
        <v>0.0256396867334843</v>
      </c>
      <c r="AE718" s="25" t="n">
        <v>0.288511753082275</v>
      </c>
      <c r="AF718" s="25" t="n">
        <v>0.0108093991875649</v>
      </c>
      <c r="AG718" s="25" t="n">
        <v>0.0119686676189303</v>
      </c>
      <c r="AH718" s="25" t="n">
        <v>0.0417754575610161</v>
      </c>
      <c r="AI718" s="25" t="n">
        <v>6.34986925125122</v>
      </c>
      <c r="AJ718" s="6" t="n">
        <v>23.9</v>
      </c>
      <c r="AK718" s="6" t="n">
        <v>104.4</v>
      </c>
      <c r="AL718" s="26"/>
    </row>
    <row r="719" customFormat="false" ht="15" hidden="false" customHeight="false" outlineLevel="0" collapsed="false">
      <c r="A719" s="6" t="s">
        <v>4224</v>
      </c>
      <c r="B719" s="6" t="s">
        <v>4225</v>
      </c>
      <c r="C719" s="6" t="s">
        <v>3536</v>
      </c>
      <c r="D719" s="13" t="n">
        <v>500.716033935547</v>
      </c>
      <c r="E719" s="25" t="n">
        <v>0.185925930738449</v>
      </c>
      <c r="F719" s="25" t="n">
        <v>71.6370391845703</v>
      </c>
      <c r="G719" s="25" t="n">
        <v>25.3711109161377</v>
      </c>
      <c r="H719" s="25" t="n">
        <v>0</v>
      </c>
      <c r="I719" s="25" t="n">
        <v>71.6370391845703</v>
      </c>
      <c r="J719" s="25" t="n">
        <v>16.0772841796875</v>
      </c>
      <c r="K719" s="25" t="n">
        <v>6.4538271484375</v>
      </c>
      <c r="L719" s="25" t="n">
        <v>0.873506164550781</v>
      </c>
      <c r="M719" s="25" t="n">
        <v>65.7407379150391</v>
      </c>
      <c r="N719" s="25" t="n">
        <v>5.97530841827393</v>
      </c>
      <c r="O719" s="25" t="n">
        <v>13.5555553436279</v>
      </c>
      <c r="P719" s="25" t="n">
        <v>12.481481552124</v>
      </c>
      <c r="Q719" s="25" t="n">
        <v>7.85185194015503</v>
      </c>
      <c r="R719" s="25" t="n">
        <v>2.12345671653748</v>
      </c>
      <c r="S719" s="25" t="n">
        <v>0.137283951044083</v>
      </c>
      <c r="T719" s="25" t="n">
        <v>0.100123457610607</v>
      </c>
      <c r="U719" s="25" t="n">
        <v>0.0854567885398865</v>
      </c>
      <c r="V719" s="25" t="n">
        <v>0</v>
      </c>
      <c r="W719" s="25" t="n">
        <v>0.00283950613811612</v>
      </c>
      <c r="X719" s="25" t="n">
        <v>295.679016113281</v>
      </c>
      <c r="Y719" s="25" t="n">
        <v>187.654327392578</v>
      </c>
      <c r="Z719" s="25" t="n">
        <v>0.570987641811371</v>
      </c>
      <c r="AA719" s="25" t="n">
        <v>2.28395056724548</v>
      </c>
      <c r="AB719" s="25" t="n">
        <v>0</v>
      </c>
      <c r="AC719" s="25" t="n">
        <v>0.000135802474687807</v>
      </c>
      <c r="AD719" s="25" t="n">
        <v>0.0227777771651745</v>
      </c>
      <c r="AE719" s="25" t="n">
        <v>0.0052469139918685</v>
      </c>
      <c r="AF719" s="25" t="n">
        <v>0.0158641971647739</v>
      </c>
      <c r="AG719" s="25" t="n">
        <v>0.0003209876595065</v>
      </c>
      <c r="AH719" s="25" t="n">
        <v>0.0617283955216408</v>
      </c>
      <c r="AI719" s="25" t="n">
        <v>0</v>
      </c>
      <c r="AJ719" s="6" t="n">
        <v>16.2</v>
      </c>
      <c r="AK719" s="6" t="n">
        <v>81.1</v>
      </c>
      <c r="AL719" s="26"/>
    </row>
    <row r="720" customFormat="false" ht="15" hidden="false" customHeight="false" outlineLevel="0" collapsed="false">
      <c r="A720" s="6" t="s">
        <v>4226</v>
      </c>
      <c r="B720" s="6" t="s">
        <v>4227</v>
      </c>
      <c r="C720" s="6" t="s">
        <v>3536</v>
      </c>
      <c r="D720" s="13" t="n">
        <v>469.587615966797</v>
      </c>
      <c r="E720" s="25" t="n">
        <v>3.2068042755127</v>
      </c>
      <c r="F720" s="25" t="n">
        <v>61.7175254821777</v>
      </c>
      <c r="G720" s="25" t="n">
        <v>24.7655658721924</v>
      </c>
      <c r="H720" s="25" t="n">
        <v>0</v>
      </c>
      <c r="I720" s="25" t="n">
        <v>59.8206176757813</v>
      </c>
      <c r="J720" s="25" t="n">
        <v>15.536701171875</v>
      </c>
      <c r="K720" s="25" t="n">
        <v>6.5769072265625</v>
      </c>
      <c r="L720" s="25" t="n">
        <v>0.828391723632813</v>
      </c>
      <c r="M720" s="25" t="n">
        <v>54.8969078063965</v>
      </c>
      <c r="N720" s="25" t="n">
        <v>4.98969078063965</v>
      </c>
      <c r="O720" s="25" t="n">
        <v>258.742279052734</v>
      </c>
      <c r="P720" s="25" t="n">
        <v>31.8659782409668</v>
      </c>
      <c r="Q720" s="25" t="n">
        <v>115.422676086426</v>
      </c>
      <c r="R720" s="25" t="n">
        <v>87.54638671875</v>
      </c>
      <c r="S720" s="25" t="n">
        <v>1.84659790992737</v>
      </c>
      <c r="T720" s="25" t="n">
        <v>1.22175252437592</v>
      </c>
      <c r="U720" s="25" t="n">
        <v>0.714659810066223</v>
      </c>
      <c r="V720" s="25" t="n">
        <v>0</v>
      </c>
      <c r="W720" s="25" t="n">
        <v>0.00237113400362432</v>
      </c>
      <c r="X720" s="25" t="n">
        <v>246.907211303711</v>
      </c>
      <c r="Y720" s="25" t="n">
        <v>163.298965454102</v>
      </c>
      <c r="Z720" s="25" t="n">
        <v>0.588969051837921</v>
      </c>
      <c r="AA720" s="25" t="n">
        <v>2.15463924407959</v>
      </c>
      <c r="AB720" s="25" t="n">
        <v>0</v>
      </c>
      <c r="AC720" s="25" t="n">
        <v>0.0265051536262035</v>
      </c>
      <c r="AD720" s="25" t="n">
        <v>0.0289175268262625</v>
      </c>
      <c r="AE720" s="25" t="n">
        <v>0.284793823957443</v>
      </c>
      <c r="AF720" s="25" t="n">
        <v>0.0132474228739739</v>
      </c>
      <c r="AG720" s="25" t="n">
        <v>0.0118144322186709</v>
      </c>
      <c r="AH720" s="25" t="n">
        <v>0.0515463910996914</v>
      </c>
      <c r="AI720" s="25" t="n">
        <v>6.26804113388062</v>
      </c>
      <c r="AJ720" s="6" t="n">
        <v>19.4</v>
      </c>
      <c r="AK720" s="6" t="n">
        <v>91.1</v>
      </c>
      <c r="AL720" s="26"/>
    </row>
    <row r="721" customFormat="false" ht="15" hidden="false" customHeight="false" outlineLevel="0" collapsed="false">
      <c r="A721" s="6" t="s">
        <v>4228</v>
      </c>
      <c r="B721" s="6" t="s">
        <v>4229</v>
      </c>
      <c r="C721" s="6" t="s">
        <v>3627</v>
      </c>
      <c r="D721" s="13" t="n">
        <v>407.738952636719</v>
      </c>
      <c r="E721" s="25" t="n">
        <v>6.24524879455566</v>
      </c>
      <c r="F721" s="25" t="n">
        <v>52.1415596008301</v>
      </c>
      <c r="G721" s="25" t="n">
        <v>19.7047843933106</v>
      </c>
      <c r="H721" s="25" t="n">
        <v>1.50110363960266</v>
      </c>
      <c r="I721" s="25" t="n">
        <v>22.1945629119873</v>
      </c>
      <c r="J721" s="25" t="n">
        <v>11.115970703125</v>
      </c>
      <c r="K721" s="25" t="n">
        <v>5.7514755859375</v>
      </c>
      <c r="L721" s="25" t="n">
        <v>1.20730822753906</v>
      </c>
      <c r="M721" s="25" t="n">
        <v>73.7886962890625</v>
      </c>
      <c r="N721" s="25" t="n">
        <v>151.757064819336</v>
      </c>
      <c r="O721" s="25" t="n">
        <v>108.034324645996</v>
      </c>
      <c r="P721" s="25" t="n">
        <v>44.052490234375</v>
      </c>
      <c r="Q721" s="25" t="n">
        <v>180.965682983398</v>
      </c>
      <c r="R721" s="25" t="n">
        <v>23.8817291259766</v>
      </c>
      <c r="S721" s="25" t="n">
        <v>1.114710688591</v>
      </c>
      <c r="T721" s="25" t="n">
        <v>0.657032310962677</v>
      </c>
      <c r="U721" s="25" t="n">
        <v>0.120639301836491</v>
      </c>
      <c r="V721" s="25" t="n">
        <v>3.57257056236267</v>
      </c>
      <c r="W721" s="25" t="n">
        <v>0.331938087940216</v>
      </c>
      <c r="X721" s="25" t="n">
        <v>210.060562133789</v>
      </c>
      <c r="Y721" s="25" t="n">
        <v>256.912933349609</v>
      </c>
      <c r="Z721" s="25" t="n">
        <v>1.3012045621872</v>
      </c>
      <c r="AA721" s="25" t="n">
        <v>2.14643335342407</v>
      </c>
      <c r="AB721" s="25" t="n">
        <v>0.157173618674278</v>
      </c>
      <c r="AC721" s="25" t="n">
        <v>0.0720726773142815</v>
      </c>
      <c r="AD721" s="25" t="n">
        <v>0.0694414526224136</v>
      </c>
      <c r="AE721" s="25" t="n">
        <v>0.435390323400497</v>
      </c>
      <c r="AF721" s="25" t="n">
        <v>0.46895694732666</v>
      </c>
      <c r="AG721" s="25" t="n">
        <v>0.0511170923709869</v>
      </c>
      <c r="AH721" s="25" t="n">
        <v>2.01289367675781</v>
      </c>
      <c r="AI721" s="25" t="n">
        <v>12.2626113891602</v>
      </c>
      <c r="AJ721" s="6" t="n">
        <v>18.6</v>
      </c>
      <c r="AK721" s="6" t="n">
        <v>75.7</v>
      </c>
      <c r="AL721" s="26"/>
    </row>
    <row r="722" customFormat="false" ht="15" hidden="false" customHeight="false" outlineLevel="0" collapsed="false">
      <c r="A722" s="6" t="s">
        <v>4230</v>
      </c>
      <c r="B722" s="6" t="s">
        <v>4231</v>
      </c>
      <c r="C722" s="6" t="s">
        <v>3627</v>
      </c>
      <c r="D722" s="13" t="n">
        <v>354.779754638672</v>
      </c>
      <c r="E722" s="25" t="n">
        <v>3.62718176841736</v>
      </c>
      <c r="F722" s="25" t="n">
        <v>62.1117515563965</v>
      </c>
      <c r="G722" s="25" t="n">
        <v>11.0129795074463</v>
      </c>
      <c r="H722" s="25" t="n">
        <v>0.751995861530304</v>
      </c>
      <c r="I722" s="25" t="n">
        <v>42.630256652832</v>
      </c>
      <c r="J722" s="25" t="n">
        <v>6.6867236328125</v>
      </c>
      <c r="K722" s="25" t="n">
        <v>2.844494140625</v>
      </c>
      <c r="L722" s="25" t="n">
        <v>0.517388854980469</v>
      </c>
      <c r="M722" s="25" t="n">
        <v>51.5107460021973</v>
      </c>
      <c r="N722" s="25" t="n">
        <v>259.144104003906</v>
      </c>
      <c r="O722" s="25" t="n">
        <v>62.4623985290527</v>
      </c>
      <c r="P722" s="25" t="n">
        <v>20.3454875946045</v>
      </c>
      <c r="Q722" s="25" t="n">
        <v>103.04475402832</v>
      </c>
      <c r="R722" s="25" t="n">
        <v>9.6380205154419</v>
      </c>
      <c r="S722" s="25" t="n">
        <v>0.772723138332367</v>
      </c>
      <c r="T722" s="25" t="n">
        <v>0.37019008398056</v>
      </c>
      <c r="U722" s="25" t="n">
        <v>0.0666239634156227</v>
      </c>
      <c r="V722" s="25" t="n">
        <v>2.78395462036133</v>
      </c>
      <c r="W722" s="25" t="n">
        <v>0.158619835972786</v>
      </c>
      <c r="X722" s="25" t="n">
        <v>132.342147827148</v>
      </c>
      <c r="Y722" s="25" t="n">
        <v>186.997924804688</v>
      </c>
      <c r="Z722" s="25" t="n">
        <v>0.347413212060928</v>
      </c>
      <c r="AA722" s="25" t="n">
        <v>1.29648756980896</v>
      </c>
      <c r="AB722" s="25" t="n">
        <v>2.24191737174988</v>
      </c>
      <c r="AC722" s="25" t="n">
        <v>0.0449793413281441</v>
      </c>
      <c r="AD722" s="25" t="n">
        <v>0.037636362016201</v>
      </c>
      <c r="AE722" s="25" t="n">
        <v>0.213148757815361</v>
      </c>
      <c r="AF722" s="25" t="n">
        <v>0.296041339635849</v>
      </c>
      <c r="AG722" s="25" t="n">
        <v>0.0329090915620327</v>
      </c>
      <c r="AH722" s="25" t="n">
        <v>1.5709091424942</v>
      </c>
      <c r="AI722" s="25" t="n">
        <v>8.43328094482422</v>
      </c>
      <c r="AJ722" s="6" t="n">
        <v>60.5</v>
      </c>
      <c r="AK722" s="6" t="n">
        <v>214.6</v>
      </c>
      <c r="AL722" s="26"/>
    </row>
    <row r="723" customFormat="false" ht="15" hidden="false" customHeight="false" outlineLevel="0" collapsed="false">
      <c r="A723" s="6" t="s">
        <v>4232</v>
      </c>
      <c r="B723" s="6" t="s">
        <v>4233</v>
      </c>
      <c r="C723" s="6" t="s">
        <v>4234</v>
      </c>
      <c r="D723" s="13" t="n">
        <v>357.426879882813</v>
      </c>
      <c r="E723" s="25" t="n">
        <v>6.25613975524902</v>
      </c>
      <c r="F723" s="25" t="n">
        <v>55.24462890625</v>
      </c>
      <c r="G723" s="25" t="n">
        <v>12.7299156188965</v>
      </c>
      <c r="H723" s="25" t="n">
        <v>1.99656438827515</v>
      </c>
      <c r="I723" s="25" t="n">
        <v>21.6421222686768</v>
      </c>
      <c r="J723" s="25" t="n">
        <v>7.01597607421875</v>
      </c>
      <c r="K723" s="25" t="n">
        <v>3.35964697265625</v>
      </c>
      <c r="L723" s="25" t="n">
        <v>0.8149501953125</v>
      </c>
      <c r="M723" s="25" t="n">
        <v>70.4248733520508</v>
      </c>
      <c r="N723" s="25" t="n">
        <v>918.573059082031</v>
      </c>
      <c r="O723" s="25" t="n">
        <v>119.452026367188</v>
      </c>
      <c r="P723" s="25" t="n">
        <v>41.3490715026856</v>
      </c>
      <c r="Q723" s="25" t="n">
        <v>177.725296020508</v>
      </c>
      <c r="R723" s="25" t="n">
        <v>20.4436264038086</v>
      </c>
      <c r="S723" s="25" t="n">
        <v>1.58749580383301</v>
      </c>
      <c r="T723" s="25" t="n">
        <v>0.686553180217743</v>
      </c>
      <c r="U723" s="25" t="n">
        <v>0.113044455647469</v>
      </c>
      <c r="V723" s="25" t="n">
        <v>4.9664044380188</v>
      </c>
      <c r="W723" s="25" t="n">
        <v>0.891786694526672</v>
      </c>
      <c r="X723" s="25" t="n">
        <v>126.890830993652</v>
      </c>
      <c r="Y723" s="25" t="n">
        <v>369.705596923828</v>
      </c>
      <c r="Z723" s="25" t="n">
        <v>0.883227348327637</v>
      </c>
      <c r="AA723" s="25" t="n">
        <v>3.31862688064575</v>
      </c>
      <c r="AB723" s="25" t="n">
        <v>10.2611141204834</v>
      </c>
      <c r="AC723" s="25" t="n">
        <v>0.0752673074603081</v>
      </c>
      <c r="AD723" s="25" t="n">
        <v>0.0549437254667282</v>
      </c>
      <c r="AE723" s="25" t="n">
        <v>0.419963419437408</v>
      </c>
      <c r="AF723" s="25" t="n">
        <v>0.505990445613861</v>
      </c>
      <c r="AG723" s="25" t="n">
        <v>0.0662296041846275</v>
      </c>
      <c r="AH723" s="25" t="n">
        <v>2.53301072120667</v>
      </c>
      <c r="AI723" s="25" t="n">
        <v>13.806435585022</v>
      </c>
      <c r="AJ723" s="6" t="n">
        <v>35.5</v>
      </c>
      <c r="AK723" s="6" t="n">
        <v>127</v>
      </c>
      <c r="AL723" s="26"/>
    </row>
    <row r="724" customFormat="false" ht="15" hidden="false" customHeight="false" outlineLevel="0" collapsed="false">
      <c r="A724" s="6" t="s">
        <v>4235</v>
      </c>
      <c r="B724" s="6" t="s">
        <v>4236</v>
      </c>
      <c r="C724" s="6" t="s">
        <v>4237</v>
      </c>
      <c r="D724" s="13" t="n">
        <v>443.070678710938</v>
      </c>
      <c r="E724" s="25" t="n">
        <v>7.56973266601563</v>
      </c>
      <c r="F724" s="25" t="n">
        <v>43.0561294555664</v>
      </c>
      <c r="G724" s="25" t="n">
        <v>27.1636428833008</v>
      </c>
      <c r="H724" s="25" t="n">
        <v>1.87582743167877</v>
      </c>
      <c r="I724" s="25" t="n">
        <v>18.267936706543</v>
      </c>
      <c r="J724" s="25" t="n">
        <v>10.03961328125</v>
      </c>
      <c r="K724" s="25" t="n">
        <v>6.12866943359375</v>
      </c>
      <c r="L724" s="25" t="n">
        <v>9.0790986328125</v>
      </c>
      <c r="M724" s="25" t="n">
        <v>94.2314071655273</v>
      </c>
      <c r="N724" s="25" t="n">
        <v>88.1718215942383</v>
      </c>
      <c r="O724" s="25" t="n">
        <v>196.913162231445</v>
      </c>
      <c r="P724" s="25" t="n">
        <v>57.0881652832031</v>
      </c>
      <c r="Q724" s="25" t="n">
        <v>213.016143798828</v>
      </c>
      <c r="R724" s="25" t="n">
        <v>48.5986328125</v>
      </c>
      <c r="S724" s="25" t="n">
        <v>1.47922694683075</v>
      </c>
      <c r="T724" s="25" t="n">
        <v>1.01341807842255</v>
      </c>
      <c r="U724" s="25" t="n">
        <v>0.360603660345078</v>
      </c>
      <c r="V724" s="25" t="n">
        <v>4.29342889785767</v>
      </c>
      <c r="W724" s="25" t="n">
        <v>0.868244588375092</v>
      </c>
      <c r="X724" s="25" t="n">
        <v>182.437911987305</v>
      </c>
      <c r="Y724" s="25" t="n">
        <v>239.685455322266</v>
      </c>
      <c r="Z724" s="25" t="n">
        <v>1.26334130764008</v>
      </c>
      <c r="AA724" s="25" t="n">
        <v>17.2772045135498</v>
      </c>
      <c r="AB724" s="25" t="n">
        <v>0.212867364287376</v>
      </c>
      <c r="AC724" s="25" t="n">
        <v>0.131564736366272</v>
      </c>
      <c r="AD724" s="25" t="n">
        <v>0.0752766728401184</v>
      </c>
      <c r="AE724" s="25" t="n">
        <v>0.713868141174316</v>
      </c>
      <c r="AF724" s="25" t="n">
        <v>0.584421515464783</v>
      </c>
      <c r="AG724" s="25" t="n">
        <v>0.194408267736435</v>
      </c>
      <c r="AH724" s="25" t="n">
        <v>7.21462535858154</v>
      </c>
      <c r="AI724" s="25" t="n">
        <v>23.0503044128418</v>
      </c>
      <c r="AJ724" s="6" t="n">
        <v>11.8</v>
      </c>
      <c r="AK724" s="6" t="n">
        <v>52.3</v>
      </c>
      <c r="AL724" s="26"/>
    </row>
    <row r="725" customFormat="false" ht="15" hidden="false" customHeight="false" outlineLevel="0" collapsed="false">
      <c r="A725" s="6" t="s">
        <v>4238</v>
      </c>
      <c r="B725" s="6" t="s">
        <v>4239</v>
      </c>
      <c r="C725" s="6" t="s">
        <v>3627</v>
      </c>
      <c r="D725" s="13" t="n">
        <v>406.070068359375</v>
      </c>
      <c r="E725" s="25" t="n">
        <v>5.66686773300171</v>
      </c>
      <c r="F725" s="25" t="n">
        <v>60.9719963073731</v>
      </c>
      <c r="G725" s="25" t="n">
        <v>15.8826789855957</v>
      </c>
      <c r="H725" s="25" t="n">
        <v>2.17260098457336</v>
      </c>
      <c r="I725" s="25" t="n">
        <v>26.013277053833</v>
      </c>
      <c r="J725" s="25" t="n">
        <v>9.684431640625</v>
      </c>
      <c r="K725" s="25" t="n">
        <v>4.055263671875</v>
      </c>
      <c r="L725" s="25" t="n">
        <v>0.753965026855469</v>
      </c>
      <c r="M725" s="25" t="n">
        <v>64.5383224487305</v>
      </c>
      <c r="N725" s="25" t="n">
        <v>127.362228393555</v>
      </c>
      <c r="O725" s="25" t="n">
        <v>98.7646331787109</v>
      </c>
      <c r="P725" s="25" t="n">
        <v>29.0681953430176</v>
      </c>
      <c r="Q725" s="25" t="n">
        <v>158.340377807617</v>
      </c>
      <c r="R725" s="25" t="n">
        <v>16.4585399627686</v>
      </c>
      <c r="S725" s="25" t="n">
        <v>1.19782745838165</v>
      </c>
      <c r="T725" s="25" t="n">
        <v>0.68630051612854</v>
      </c>
      <c r="U725" s="25" t="n">
        <v>0.133373558521271</v>
      </c>
      <c r="V725" s="25" t="n">
        <v>2.56101393699646</v>
      </c>
      <c r="W725" s="25" t="n">
        <v>0.467833429574966</v>
      </c>
      <c r="X725" s="25" t="n">
        <v>186.457443237305</v>
      </c>
      <c r="Y725" s="25" t="n">
        <v>246.976455688477</v>
      </c>
      <c r="Z725" s="25" t="n">
        <v>0.448883533477783</v>
      </c>
      <c r="AA725" s="25" t="n">
        <v>1.84671092033386</v>
      </c>
      <c r="AB725" s="25" t="n">
        <v>0</v>
      </c>
      <c r="AC725" s="25" t="n">
        <v>0.0919734463095665</v>
      </c>
      <c r="AD725" s="25" t="n">
        <v>0.0430899187922478</v>
      </c>
      <c r="AE725" s="25" t="n">
        <v>0.431864827871323</v>
      </c>
      <c r="AF725" s="25" t="n">
        <v>0.427398920059204</v>
      </c>
      <c r="AG725" s="25" t="n">
        <v>0.0492456257343292</v>
      </c>
      <c r="AH725" s="25" t="n">
        <v>1.87374770641327</v>
      </c>
      <c r="AI725" s="25" t="n">
        <v>11.6873865127564</v>
      </c>
      <c r="AJ725" s="6" t="n">
        <v>20.7</v>
      </c>
      <c r="AK725" s="6" t="n">
        <v>84.1</v>
      </c>
      <c r="AL725" s="26"/>
    </row>
    <row r="726" customFormat="false" ht="15" hidden="false" customHeight="false" outlineLevel="0" collapsed="false">
      <c r="A726" s="6" t="s">
        <v>4240</v>
      </c>
      <c r="B726" s="6" t="s">
        <v>4241</v>
      </c>
      <c r="C726" s="6" t="s">
        <v>3627</v>
      </c>
      <c r="D726" s="13" t="n">
        <v>386.046325683594</v>
      </c>
      <c r="E726" s="25" t="n">
        <v>5.43027877807617</v>
      </c>
      <c r="F726" s="25" t="n">
        <v>58.0669326782227</v>
      </c>
      <c r="G726" s="25" t="n">
        <v>15.0088787078857</v>
      </c>
      <c r="H726" s="25" t="n">
        <v>2.28059196472168</v>
      </c>
      <c r="I726" s="25" t="n">
        <v>24.8929996490479</v>
      </c>
      <c r="J726" s="25" t="n">
        <v>9.1379833984375</v>
      </c>
      <c r="K726" s="25" t="n">
        <v>3.84164599609375</v>
      </c>
      <c r="L726" s="25" t="n">
        <v>0.713276062011719</v>
      </c>
      <c r="M726" s="25" t="n">
        <v>60.8651123046875</v>
      </c>
      <c r="N726" s="25" t="n">
        <v>120.195907592773</v>
      </c>
      <c r="O726" s="25" t="n">
        <v>109.250427246094</v>
      </c>
      <c r="P726" s="25" t="n">
        <v>29.7085952758789</v>
      </c>
      <c r="Q726" s="25" t="n">
        <v>153.81330871582</v>
      </c>
      <c r="R726" s="25" t="n">
        <v>16.4700050354004</v>
      </c>
      <c r="S726" s="25" t="n">
        <v>1.2070574760437</v>
      </c>
      <c r="T726" s="25" t="n">
        <v>0.659191787242889</v>
      </c>
      <c r="U726" s="25" t="n">
        <v>0.130335792899132</v>
      </c>
      <c r="V726" s="25" t="n">
        <v>2.50119519233704</v>
      </c>
      <c r="W726" s="25" t="n">
        <v>0.447467267513275</v>
      </c>
      <c r="X726" s="25" t="n">
        <v>175.845184326172</v>
      </c>
      <c r="Y726" s="25" t="n">
        <v>258.702331542969</v>
      </c>
      <c r="Z726" s="25" t="n">
        <v>0.448947072029114</v>
      </c>
      <c r="AA726" s="25" t="n">
        <v>3.30791139602661</v>
      </c>
      <c r="AB726" s="25" t="n">
        <v>10.3585662841797</v>
      </c>
      <c r="AC726" s="25" t="n">
        <v>0.0884462147951126</v>
      </c>
      <c r="AD726" s="25" t="n">
        <v>0.042344905436039</v>
      </c>
      <c r="AE726" s="25" t="n">
        <v>0.427205473184586</v>
      </c>
      <c r="AF726" s="25" t="n">
        <v>0.419009685516357</v>
      </c>
      <c r="AG726" s="25" t="n">
        <v>0.0515651665627956</v>
      </c>
      <c r="AH726" s="25" t="n">
        <v>1.90426862239838</v>
      </c>
      <c r="AI726" s="25" t="n">
        <v>11.5048379898071</v>
      </c>
      <c r="AJ726" s="6" t="n">
        <v>22</v>
      </c>
      <c r="AK726" s="6" t="n">
        <v>84.8</v>
      </c>
      <c r="AL726" s="26"/>
    </row>
    <row r="727" customFormat="false" ht="15" hidden="false" customHeight="false" outlineLevel="0" collapsed="false">
      <c r="A727" s="6" t="s">
        <v>4242</v>
      </c>
      <c r="B727" s="6" t="s">
        <v>4243</v>
      </c>
      <c r="C727" s="6" t="s">
        <v>3627</v>
      </c>
      <c r="D727" s="13" t="n">
        <v>404.848449707031</v>
      </c>
      <c r="E727" s="25" t="n">
        <v>5.66185331344605</v>
      </c>
      <c r="F727" s="25" t="n">
        <v>60.7885665893555</v>
      </c>
      <c r="G727" s="25" t="n">
        <v>15.8385076522827</v>
      </c>
      <c r="H727" s="25" t="n">
        <v>2.32581233978272</v>
      </c>
      <c r="I727" s="25" t="n">
        <v>25.9416370391846</v>
      </c>
      <c r="J727" s="25" t="n">
        <v>9.6563505859375</v>
      </c>
      <c r="K727" s="25" t="n">
        <v>4.04381591796875</v>
      </c>
      <c r="L727" s="25" t="n">
        <v>0.751907348632813</v>
      </c>
      <c r="M727" s="25" t="n">
        <v>64.3441619873047</v>
      </c>
      <c r="N727" s="25" t="n">
        <v>127.009147644043</v>
      </c>
      <c r="O727" s="25" t="n">
        <v>99.7641448974609</v>
      </c>
      <c r="P727" s="25" t="n">
        <v>31.9951877593994</v>
      </c>
      <c r="Q727" s="25" t="n">
        <v>158.056549072266</v>
      </c>
      <c r="R727" s="25" t="n">
        <v>16.5895309448242</v>
      </c>
      <c r="S727" s="25" t="n">
        <v>1.21925389766693</v>
      </c>
      <c r="T727" s="25" t="n">
        <v>0.689651012420654</v>
      </c>
      <c r="U727" s="25" t="n">
        <v>0.133995190262795</v>
      </c>
      <c r="V727" s="25" t="n">
        <v>2.5623345375061</v>
      </c>
      <c r="W727" s="25" t="n">
        <v>0.518983125686646</v>
      </c>
      <c r="X727" s="25" t="n">
        <v>185.896499633789</v>
      </c>
      <c r="Y727" s="25" t="n">
        <v>246.76594543457</v>
      </c>
      <c r="Z727" s="25" t="n">
        <v>0.44753310084343</v>
      </c>
      <c r="AA727" s="25" t="n">
        <v>1.93501806259155</v>
      </c>
      <c r="AB727" s="25" t="n">
        <v>0.0120336944237351</v>
      </c>
      <c r="AC727" s="25" t="n">
        <v>0.0917569175362587</v>
      </c>
      <c r="AD727" s="25" t="n">
        <v>0.0430806241929531</v>
      </c>
      <c r="AE727" s="25" t="n">
        <v>0.434476524591446</v>
      </c>
      <c r="AF727" s="25" t="n">
        <v>0.427196145057678</v>
      </c>
      <c r="AG727" s="25" t="n">
        <v>0.049578819423914</v>
      </c>
      <c r="AH727" s="25" t="n">
        <v>1.86811065673828</v>
      </c>
      <c r="AI727" s="25" t="n">
        <v>11.6702766418457</v>
      </c>
      <c r="AJ727" s="6" t="n">
        <v>20.8</v>
      </c>
      <c r="AK727" s="6" t="n">
        <v>84.1</v>
      </c>
      <c r="AL727" s="26"/>
    </row>
    <row r="728" customFormat="false" ht="15" hidden="false" customHeight="false" outlineLevel="0" collapsed="false">
      <c r="A728" s="6" t="s">
        <v>4244</v>
      </c>
      <c r="B728" s="6" t="s">
        <v>4245</v>
      </c>
      <c r="C728" s="6" t="s">
        <v>3627</v>
      </c>
      <c r="D728" s="13" t="n">
        <v>392.029205322266</v>
      </c>
      <c r="E728" s="25" t="n">
        <v>3.53963661193848</v>
      </c>
      <c r="F728" s="25" t="n">
        <v>74.5427322387695</v>
      </c>
      <c r="G728" s="25" t="n">
        <v>10.0364065170288</v>
      </c>
      <c r="H728" s="25" t="n">
        <v>1.47496640682221</v>
      </c>
      <c r="I728" s="25" t="n">
        <v>53.0517501831055</v>
      </c>
      <c r="J728" s="25" t="n">
        <v>5.48747802734375</v>
      </c>
      <c r="K728" s="25" t="n">
        <v>3.03497045898438</v>
      </c>
      <c r="L728" s="25" t="n">
        <v>0.687180358886719</v>
      </c>
      <c r="M728" s="25" t="n">
        <v>35.9825057983398</v>
      </c>
      <c r="N728" s="25" t="n">
        <v>76.086540222168</v>
      </c>
      <c r="O728" s="25" t="n">
        <v>74.7284698486328</v>
      </c>
      <c r="P728" s="25" t="n">
        <v>22.754373550415</v>
      </c>
      <c r="Q728" s="25" t="n">
        <v>97.8768463134766</v>
      </c>
      <c r="R728" s="25" t="n">
        <v>15.7778596878052</v>
      </c>
      <c r="S728" s="25" t="n">
        <v>0.964535713195801</v>
      </c>
      <c r="T728" s="25" t="n">
        <v>0.493068635463715</v>
      </c>
      <c r="U728" s="25" t="n">
        <v>0.116769850254059</v>
      </c>
      <c r="V728" s="25" t="n">
        <v>1.50074028968811</v>
      </c>
      <c r="W728" s="25" t="n">
        <v>0.313660830259323</v>
      </c>
      <c r="X728" s="25" t="n">
        <v>103.956932067871</v>
      </c>
      <c r="Y728" s="25" t="n">
        <v>138.068161010742</v>
      </c>
      <c r="Z728" s="25" t="n">
        <v>0.772341847419739</v>
      </c>
      <c r="AA728" s="25" t="n">
        <v>1.1991925239563</v>
      </c>
      <c r="AB728" s="25" t="n">
        <v>0.0149394348263741</v>
      </c>
      <c r="AC728" s="25" t="n">
        <v>0.0543808899819851</v>
      </c>
      <c r="AD728" s="25" t="n">
        <v>0.0299125164747238</v>
      </c>
      <c r="AE728" s="25" t="n">
        <v>0.318539708852768</v>
      </c>
      <c r="AF728" s="25" t="n">
        <v>0.253263801336289</v>
      </c>
      <c r="AG728" s="25" t="n">
        <v>0.0294481832534075</v>
      </c>
      <c r="AH728" s="25" t="n">
        <v>1.09293401241303</v>
      </c>
      <c r="AI728" s="25" t="n">
        <v>7.25222063064575</v>
      </c>
      <c r="AJ728" s="6" t="n">
        <v>37.1</v>
      </c>
      <c r="AK728" s="6" t="n">
        <v>145.6</v>
      </c>
      <c r="AL728" s="26"/>
    </row>
    <row r="729" customFormat="false" ht="15" hidden="false" customHeight="false" outlineLevel="0" collapsed="false">
      <c r="A729" s="6" t="s">
        <v>4246</v>
      </c>
      <c r="B729" s="6" t="s">
        <v>4247</v>
      </c>
      <c r="C729" s="6" t="s">
        <v>3627</v>
      </c>
      <c r="D729" s="13" t="n">
        <v>385.633514404297</v>
      </c>
      <c r="E729" s="25" t="n">
        <v>5.42970991134644</v>
      </c>
      <c r="F729" s="25" t="n">
        <v>58.4124069213867</v>
      </c>
      <c r="G729" s="25" t="n">
        <v>14.9957885742188</v>
      </c>
      <c r="H729" s="25" t="n">
        <v>2.65224814414978</v>
      </c>
      <c r="I729" s="25" t="n">
        <v>24.7700634002686</v>
      </c>
      <c r="J729" s="25" t="n">
        <v>9.1354599609375</v>
      </c>
      <c r="K729" s="25" t="n">
        <v>3.82508374023438</v>
      </c>
      <c r="L729" s="25" t="n">
        <v>0.716118408203125</v>
      </c>
      <c r="M729" s="25" t="n">
        <v>60.8651123046875</v>
      </c>
      <c r="N729" s="25" t="n">
        <v>120.454872131348</v>
      </c>
      <c r="O729" s="25" t="n">
        <v>102.249862670898</v>
      </c>
      <c r="P729" s="25" t="n">
        <v>35.0404090881348</v>
      </c>
      <c r="Q729" s="25" t="n">
        <v>150.011383056641</v>
      </c>
      <c r="R729" s="25" t="n">
        <v>16.3755264282227</v>
      </c>
      <c r="S729" s="25" t="n">
        <v>1.17518496513367</v>
      </c>
      <c r="T729" s="25" t="n">
        <v>0.661468386650085</v>
      </c>
      <c r="U729" s="25" t="n">
        <v>0.131018787622452</v>
      </c>
      <c r="V729" s="25" t="n">
        <v>2.4550940990448</v>
      </c>
      <c r="W729" s="25" t="n">
        <v>0.441206604242325</v>
      </c>
      <c r="X729" s="25" t="n">
        <v>175.845184326172</v>
      </c>
      <c r="Y729" s="25" t="n">
        <v>239.806488037109</v>
      </c>
      <c r="Z729" s="25" t="n">
        <v>0.437564045190811</v>
      </c>
      <c r="AA729" s="25" t="n">
        <v>1.74160504341126</v>
      </c>
      <c r="AB729" s="25" t="n">
        <v>7.34206008911133</v>
      </c>
      <c r="AC729" s="25" t="n">
        <v>0.0901536718010902</v>
      </c>
      <c r="AD729" s="25" t="n">
        <v>0.0451906658709049</v>
      </c>
      <c r="AE729" s="25" t="n">
        <v>0.430051237344742</v>
      </c>
      <c r="AF729" s="25" t="n">
        <v>0.421229362487793</v>
      </c>
      <c r="AG729" s="25" t="n">
        <v>0.056232213973999</v>
      </c>
      <c r="AH729" s="25" t="n">
        <v>1.76710295677185</v>
      </c>
      <c r="AI729" s="25" t="n">
        <v>11.7620944976807</v>
      </c>
      <c r="AJ729" s="6" t="n">
        <v>22</v>
      </c>
      <c r="AK729" s="6" t="n">
        <v>84.7</v>
      </c>
      <c r="AL729" s="26"/>
    </row>
    <row r="730" customFormat="false" ht="15" hidden="false" customHeight="false" outlineLevel="0" collapsed="false">
      <c r="A730" s="6" t="s">
        <v>4248</v>
      </c>
      <c r="B730" s="6" t="s">
        <v>4249</v>
      </c>
      <c r="C730" s="6" t="s">
        <v>4250</v>
      </c>
      <c r="D730" s="13" t="n">
        <v>427.167327880859</v>
      </c>
      <c r="E730" s="25" t="n">
        <v>5.10318660736084</v>
      </c>
      <c r="F730" s="25" t="n">
        <v>59.2613372802734</v>
      </c>
      <c r="G730" s="25" t="n">
        <v>19.337682723999</v>
      </c>
      <c r="H730" s="25" t="n">
        <v>0.900489389896393</v>
      </c>
      <c r="I730" s="25" t="n">
        <v>34.7177810668945</v>
      </c>
      <c r="J730" s="25" t="n">
        <v>11.84780078125</v>
      </c>
      <c r="K730" s="25" t="n">
        <v>5.00778466796875</v>
      </c>
      <c r="L730" s="25" t="n">
        <v>0.845037536621094</v>
      </c>
      <c r="M730" s="25" t="n">
        <v>80.5611801147461</v>
      </c>
      <c r="N730" s="25" t="n">
        <v>126.840675354004</v>
      </c>
      <c r="O730" s="25" t="n">
        <v>97.1881484985352</v>
      </c>
      <c r="P730" s="25" t="n">
        <v>28.5338115692139</v>
      </c>
      <c r="Q730" s="25" t="n">
        <v>147.281127929688</v>
      </c>
      <c r="R730" s="25" t="n">
        <v>20.2679290771484</v>
      </c>
      <c r="S730" s="25" t="n">
        <v>1.0834367275238</v>
      </c>
      <c r="T730" s="25" t="n">
        <v>0.596171855926514</v>
      </c>
      <c r="U730" s="25" t="n">
        <v>0.144904837012291</v>
      </c>
      <c r="V730" s="25" t="n">
        <v>3.7823166847229</v>
      </c>
      <c r="W730" s="25" t="n">
        <v>0.209918424487114</v>
      </c>
      <c r="X730" s="25" t="n">
        <v>226.892868041992</v>
      </c>
      <c r="Y730" s="25" t="n">
        <v>233.616088867188</v>
      </c>
      <c r="Z730" s="25" t="n">
        <v>0.571027755737305</v>
      </c>
      <c r="AA730" s="25" t="n">
        <v>1.96030449867249</v>
      </c>
      <c r="AB730" s="25" t="n">
        <v>0</v>
      </c>
      <c r="AC730" s="25" t="n">
        <v>0.0572811327874661</v>
      </c>
      <c r="AD730" s="25" t="n">
        <v>0.0545840114355087</v>
      </c>
      <c r="AE730" s="25" t="n">
        <v>0.293866246938705</v>
      </c>
      <c r="AF730" s="25" t="n">
        <v>0.383654177188873</v>
      </c>
      <c r="AG730" s="25" t="n">
        <v>0.0424904860556126</v>
      </c>
      <c r="AH730" s="25" t="n">
        <v>1.9387059211731</v>
      </c>
      <c r="AI730" s="25" t="n">
        <v>10.5345516204834</v>
      </c>
      <c r="AJ730" s="6" t="n">
        <v>23</v>
      </c>
      <c r="AK730" s="6" t="n">
        <v>98.2</v>
      </c>
      <c r="AL730" s="26"/>
    </row>
    <row r="731" customFormat="false" ht="15" hidden="false" customHeight="false" outlineLevel="0" collapsed="false">
      <c r="A731" s="6" t="s">
        <v>4251</v>
      </c>
      <c r="B731" s="6" t="s">
        <v>4252</v>
      </c>
      <c r="C731" s="6" t="s">
        <v>3627</v>
      </c>
      <c r="D731" s="13" t="n">
        <v>404.613342285156</v>
      </c>
      <c r="E731" s="25" t="n">
        <v>4.22910976409912</v>
      </c>
      <c r="F731" s="25" t="n">
        <v>55.2436294555664</v>
      </c>
      <c r="G731" s="25" t="n">
        <v>19.330680847168</v>
      </c>
      <c r="H731" s="25" t="n">
        <v>2.01884818077087</v>
      </c>
      <c r="I731" s="25" t="n">
        <v>29.7556705474854</v>
      </c>
      <c r="J731" s="25" t="n">
        <v>11.37983203125</v>
      </c>
      <c r="K731" s="25" t="n">
        <v>5.1223232421875</v>
      </c>
      <c r="L731" s="25" t="n">
        <v>1.31831066894531</v>
      </c>
      <c r="M731" s="25" t="n">
        <v>44.6701583862305</v>
      </c>
      <c r="N731" s="25" t="n">
        <v>110.571731567383</v>
      </c>
      <c r="O731" s="25" t="n">
        <v>118.082023620606</v>
      </c>
      <c r="P731" s="25" t="n">
        <v>36.4572410583496</v>
      </c>
      <c r="Q731" s="25" t="n">
        <v>181.955322265625</v>
      </c>
      <c r="R731" s="25" t="n">
        <v>29.4020938873291</v>
      </c>
      <c r="S731" s="25" t="n">
        <v>1.18771374225617</v>
      </c>
      <c r="T731" s="25" t="n">
        <v>0.701012194156647</v>
      </c>
      <c r="U731" s="25" t="n">
        <v>0.120516583323479</v>
      </c>
      <c r="V731" s="25" t="n">
        <v>0.694589853286743</v>
      </c>
      <c r="W731" s="25" t="n">
        <v>0.858359575271606</v>
      </c>
      <c r="X731" s="25" t="n">
        <v>200.628265380859</v>
      </c>
      <c r="Y731" s="25" t="n">
        <v>178.987777709961</v>
      </c>
      <c r="Z731" s="25" t="n">
        <v>0.533333361148834</v>
      </c>
      <c r="AA731" s="25" t="n">
        <v>1.68935430049896</v>
      </c>
      <c r="AB731" s="25" t="n">
        <v>0.140314146876335</v>
      </c>
      <c r="AC731" s="25" t="n">
        <v>0.243085518479347</v>
      </c>
      <c r="AD731" s="25" t="n">
        <v>0.0425130873918533</v>
      </c>
      <c r="AE731" s="25" t="n">
        <v>0.28656193614006</v>
      </c>
      <c r="AF731" s="25" t="n">
        <v>0.292286217212677</v>
      </c>
      <c r="AG731" s="25" t="n">
        <v>0.0855287984013557</v>
      </c>
      <c r="AH731" s="25" t="n">
        <v>4.24013948440552</v>
      </c>
      <c r="AI731" s="25" t="n">
        <v>9.46108245849609</v>
      </c>
      <c r="AJ731" s="6" t="n">
        <v>17.9</v>
      </c>
      <c r="AK731" s="6" t="n">
        <v>72.5</v>
      </c>
      <c r="AL731" s="26"/>
    </row>
    <row r="732" customFormat="false" ht="15" hidden="false" customHeight="false" outlineLevel="0" collapsed="false">
      <c r="A732" s="6" t="s">
        <v>4253</v>
      </c>
      <c r="B732" s="6" t="s">
        <v>4254</v>
      </c>
      <c r="C732" s="6" t="s">
        <v>4255</v>
      </c>
      <c r="D732" s="13" t="n">
        <v>422.603546142578</v>
      </c>
      <c r="E732" s="25" t="n">
        <v>5.62530136108398</v>
      </c>
      <c r="F732" s="25" t="n">
        <v>59.3525848388672</v>
      </c>
      <c r="G732" s="25" t="n">
        <v>18.7505931854248</v>
      </c>
      <c r="H732" s="25" t="n">
        <v>1.29634892940521</v>
      </c>
      <c r="I732" s="25" t="n">
        <v>30.3651008605957</v>
      </c>
      <c r="J732" s="25" t="n">
        <v>8.17292822265625</v>
      </c>
      <c r="K732" s="25" t="n">
        <v>4.34590625</v>
      </c>
      <c r="L732" s="25" t="n">
        <v>4.85349658203125</v>
      </c>
      <c r="M732" s="25" t="n">
        <v>60.1479377746582</v>
      </c>
      <c r="N732" s="25" t="n">
        <v>114.616409301758</v>
      </c>
      <c r="O732" s="25" t="n">
        <v>125.238975524902</v>
      </c>
      <c r="P732" s="25" t="n">
        <v>46.2653770446777</v>
      </c>
      <c r="Q732" s="25" t="n">
        <v>157.159790039063</v>
      </c>
      <c r="R732" s="25" t="n">
        <v>30.4280319213867</v>
      </c>
      <c r="S732" s="25" t="n">
        <v>1.31315314769745</v>
      </c>
      <c r="T732" s="25" t="n">
        <v>0.705244183540344</v>
      </c>
      <c r="U732" s="25" t="n">
        <v>0.233513504266739</v>
      </c>
      <c r="V732" s="25" t="n">
        <v>3.91734480857849</v>
      </c>
      <c r="W732" s="25" t="n">
        <v>0.512109994888306</v>
      </c>
      <c r="X732" s="25" t="n">
        <v>152.421051025391</v>
      </c>
      <c r="Y732" s="25" t="n">
        <v>186.543380737305</v>
      </c>
      <c r="Z732" s="25" t="n">
        <v>0.791237533092499</v>
      </c>
      <c r="AA732" s="25" t="n">
        <v>9.39023208618164</v>
      </c>
      <c r="AB732" s="25" t="n">
        <v>0</v>
      </c>
      <c r="AC732" s="25" t="n">
        <v>0.0856045559048653</v>
      </c>
      <c r="AD732" s="25" t="n">
        <v>0.0548032224178314</v>
      </c>
      <c r="AE732" s="25" t="n">
        <v>0.313617825508118</v>
      </c>
      <c r="AF732" s="25" t="n">
        <v>0.411825507879257</v>
      </c>
      <c r="AG732" s="25" t="n">
        <v>0.111920341849327</v>
      </c>
      <c r="AH732" s="25" t="n">
        <v>2.91857767105103</v>
      </c>
      <c r="AI732" s="25" t="n">
        <v>14.1408443450928</v>
      </c>
      <c r="AJ732" s="6" t="n">
        <v>17.6</v>
      </c>
      <c r="AK732" s="6" t="n">
        <v>74.3</v>
      </c>
      <c r="AL732" s="26"/>
    </row>
    <row r="733" customFormat="false" ht="15" hidden="false" customHeight="false" outlineLevel="0" collapsed="false">
      <c r="A733" s="6" t="s">
        <v>4256</v>
      </c>
      <c r="B733" s="6" t="s">
        <v>4257</v>
      </c>
      <c r="C733" s="6" t="s">
        <v>4258</v>
      </c>
      <c r="D733" s="13" t="n">
        <v>382.001434326172</v>
      </c>
      <c r="E733" s="25" t="n">
        <v>9.83252429962158</v>
      </c>
      <c r="F733" s="25" t="n">
        <v>30.6081886291504</v>
      </c>
      <c r="G733" s="25" t="n">
        <v>24.2842998504639</v>
      </c>
      <c r="H733" s="25" t="n">
        <v>1.28763926029205</v>
      </c>
      <c r="I733" s="25" t="n">
        <v>1.78621399402618</v>
      </c>
      <c r="J733" s="25" t="n">
        <v>14.0977568359375</v>
      </c>
      <c r="K733" s="25" t="n">
        <v>6.666275390625</v>
      </c>
      <c r="L733" s="25" t="n">
        <v>1.28500305175781</v>
      </c>
      <c r="M733" s="25" t="n">
        <v>201.931594848633</v>
      </c>
      <c r="N733" s="25" t="n">
        <v>587.416809082031</v>
      </c>
      <c r="O733" s="25" t="n">
        <v>123.912803649902</v>
      </c>
      <c r="P733" s="25" t="n">
        <v>160.641098022461</v>
      </c>
      <c r="Q733" s="25" t="n">
        <v>363.749267578125</v>
      </c>
      <c r="R733" s="25" t="n">
        <v>21.1893768310547</v>
      </c>
      <c r="S733" s="25" t="n">
        <v>1.2885605096817</v>
      </c>
      <c r="T733" s="25" t="n">
        <v>1.12582528591156</v>
      </c>
      <c r="U733" s="25" t="n">
        <v>0.0933272838592529</v>
      </c>
      <c r="V733" s="25" t="n">
        <v>7.93521881103516</v>
      </c>
      <c r="W733" s="25" t="n">
        <v>0.305259138345718</v>
      </c>
      <c r="X733" s="25" t="n">
        <v>310.804229736328</v>
      </c>
      <c r="Y733" s="25" t="n">
        <v>288.209777832031</v>
      </c>
      <c r="Z733" s="25" t="n">
        <v>0.891618311405182</v>
      </c>
      <c r="AA733" s="25" t="n">
        <v>3.24565958976746</v>
      </c>
      <c r="AB733" s="25" t="n">
        <v>0</v>
      </c>
      <c r="AC733" s="25" t="n">
        <v>0.085077740252018</v>
      </c>
      <c r="AD733" s="25" t="n">
        <v>0.107512310147286</v>
      </c>
      <c r="AE733" s="25" t="n">
        <v>0.416593670845032</v>
      </c>
      <c r="AF733" s="25" t="n">
        <v>0.78022027015686</v>
      </c>
      <c r="AG733" s="25" t="n">
        <v>0.0852643176913261</v>
      </c>
      <c r="AH733" s="25" t="n">
        <v>10.1045293807983</v>
      </c>
      <c r="AI733" s="25" t="n">
        <v>24.3638896942139</v>
      </c>
      <c r="AJ733" s="6" t="n">
        <v>9.6</v>
      </c>
      <c r="AK733" s="6" t="n">
        <v>36.9</v>
      </c>
      <c r="AL733" s="26"/>
    </row>
    <row r="734" customFormat="false" ht="15" hidden="false" customHeight="false" outlineLevel="0" collapsed="false">
      <c r="A734" s="6" t="s">
        <v>4259</v>
      </c>
      <c r="B734" s="6" t="s">
        <v>4260</v>
      </c>
      <c r="C734" s="6" t="s">
        <v>3627</v>
      </c>
      <c r="D734" s="13" t="n">
        <v>341.447021484375</v>
      </c>
      <c r="E734" s="25" t="n">
        <v>9.97606754302979</v>
      </c>
      <c r="F734" s="25" t="n">
        <v>25.3317565917969</v>
      </c>
      <c r="G734" s="25" t="n">
        <v>22.1142444610596</v>
      </c>
      <c r="H734" s="25" t="n">
        <v>1.02263844013214</v>
      </c>
      <c r="I734" s="25" t="n">
        <v>2.43630385398865</v>
      </c>
      <c r="J734" s="25" t="n">
        <v>12.9484970703125</v>
      </c>
      <c r="K734" s="25" t="n">
        <v>6.07165185546875</v>
      </c>
      <c r="L734" s="25" t="n">
        <v>1.12015368652344</v>
      </c>
      <c r="M734" s="25" t="n">
        <v>169.119979858398</v>
      </c>
      <c r="N734" s="25" t="n">
        <v>572.045959472656</v>
      </c>
      <c r="O734" s="25" t="n">
        <v>128.561325073242</v>
      </c>
      <c r="P734" s="25" t="n">
        <v>202.493103027344</v>
      </c>
      <c r="Q734" s="25" t="n">
        <v>377.853149414063</v>
      </c>
      <c r="R734" s="25" t="n">
        <v>20.4589023590088</v>
      </c>
      <c r="S734" s="25" t="n">
        <v>1.09025621414185</v>
      </c>
      <c r="T734" s="25" t="n">
        <v>1.19562876224518</v>
      </c>
      <c r="U734" s="25" t="n">
        <v>0.0772072449326515</v>
      </c>
      <c r="V734" s="25" t="n">
        <v>6.9143877029419</v>
      </c>
      <c r="W734" s="25" t="n">
        <v>0.247580781579018</v>
      </c>
      <c r="X734" s="25" t="n">
        <v>274.623077392578</v>
      </c>
      <c r="Y734" s="25" t="n">
        <v>259.251190185547</v>
      </c>
      <c r="Z734" s="25" t="n">
        <v>0.787354409694672</v>
      </c>
      <c r="AA734" s="25" t="n">
        <v>2.74233388900757</v>
      </c>
      <c r="AB734" s="25" t="n">
        <v>0.206832692027092</v>
      </c>
      <c r="AC734" s="25" t="n">
        <v>0.0768295973539352</v>
      </c>
      <c r="AD734" s="25" t="n">
        <v>0.122430540621281</v>
      </c>
      <c r="AE734" s="25" t="n">
        <v>0.349379509687424</v>
      </c>
      <c r="AF734" s="25" t="n">
        <v>0.716375827789307</v>
      </c>
      <c r="AG734" s="25" t="n">
        <v>0.0790358111262322</v>
      </c>
      <c r="AH734" s="25" t="n">
        <v>8.80497646331787</v>
      </c>
      <c r="AI734" s="25" t="n">
        <v>21.6166381835938</v>
      </c>
      <c r="AJ734" s="6" t="n">
        <v>12.1</v>
      </c>
      <c r="AK734" s="6" t="n">
        <v>41.5</v>
      </c>
      <c r="AL734" s="26"/>
    </row>
    <row r="735" customFormat="false" ht="15" hidden="false" customHeight="false" outlineLevel="0" collapsed="false">
      <c r="A735" s="6" t="s">
        <v>4261</v>
      </c>
      <c r="B735" s="6" t="s">
        <v>4262</v>
      </c>
      <c r="C735" s="6" t="s">
        <v>3612</v>
      </c>
      <c r="D735" s="13" t="n">
        <v>445.797424316406</v>
      </c>
      <c r="E735" s="25" t="n">
        <v>6.72306203842163</v>
      </c>
      <c r="F735" s="25" t="n">
        <v>47.8392333984375</v>
      </c>
      <c r="G735" s="25" t="n">
        <v>25.0426788330078</v>
      </c>
      <c r="H735" s="25" t="n">
        <v>1.58468902111054</v>
      </c>
      <c r="I735" s="25" t="n">
        <v>6.2239236831665</v>
      </c>
      <c r="J735" s="25" t="n">
        <v>15.339072265625</v>
      </c>
      <c r="K735" s="25" t="n">
        <v>6.41732421875</v>
      </c>
      <c r="L735" s="25" t="n">
        <v>1.13332055664063</v>
      </c>
      <c r="M735" s="25" t="n">
        <v>102.334930419922</v>
      </c>
      <c r="N735" s="25" t="n">
        <v>193.23176574707</v>
      </c>
      <c r="O735" s="25" t="n">
        <v>97.9090957641602</v>
      </c>
      <c r="P735" s="25" t="n">
        <v>21.8468894958496</v>
      </c>
      <c r="Q735" s="25" t="n">
        <v>90.827751159668</v>
      </c>
      <c r="R735" s="25" t="n">
        <v>19.1586589813232</v>
      </c>
      <c r="S735" s="25" t="n">
        <v>1.14861249923706</v>
      </c>
      <c r="T735" s="25" t="n">
        <v>0.60200959444046</v>
      </c>
      <c r="U735" s="25" t="n">
        <v>0.110430620610714</v>
      </c>
      <c r="V735" s="25" t="n">
        <v>1.96899521350861</v>
      </c>
      <c r="W735" s="25" t="n">
        <v>0.362870812416077</v>
      </c>
      <c r="X735" s="25" t="n">
        <v>295.655487060547</v>
      </c>
      <c r="Y735" s="25" t="n">
        <v>338.794250488281</v>
      </c>
      <c r="Z735" s="25" t="n">
        <v>0.673492848873138</v>
      </c>
      <c r="AA735" s="25" t="n">
        <v>2.69856452941895</v>
      </c>
      <c r="AB735" s="25" t="n">
        <v>0</v>
      </c>
      <c r="AC735" s="25" t="n">
        <v>0.0903349295258522</v>
      </c>
      <c r="AD735" s="25" t="n">
        <v>0.0606698542833328</v>
      </c>
      <c r="AE735" s="25" t="n">
        <v>0.468516767024994</v>
      </c>
      <c r="AF735" s="25" t="n">
        <v>0.534162700176239</v>
      </c>
      <c r="AG735" s="25" t="n">
        <v>0.0570334941148758</v>
      </c>
      <c r="AH735" s="25" t="n">
        <v>2.8868899345398</v>
      </c>
      <c r="AI735" s="25" t="n">
        <v>13.6172246932983</v>
      </c>
      <c r="AJ735" s="6" t="n">
        <v>52.2</v>
      </c>
      <c r="AK735" s="6" t="n">
        <v>232.9</v>
      </c>
      <c r="AL735" s="26"/>
    </row>
    <row r="736" customFormat="false" ht="15" hidden="false" customHeight="false" outlineLevel="0" collapsed="false">
      <c r="A736" s="6" t="s">
        <v>4263</v>
      </c>
      <c r="B736" s="6" t="s">
        <v>4264</v>
      </c>
      <c r="C736" s="6" t="s">
        <v>4265</v>
      </c>
      <c r="D736" s="13" t="n">
        <v>261.352294921875</v>
      </c>
      <c r="E736" s="25" t="n">
        <v>3.29902195930481</v>
      </c>
      <c r="F736" s="25" t="n">
        <v>34.71337890625</v>
      </c>
      <c r="G736" s="25" t="n">
        <v>12.4831705093384</v>
      </c>
      <c r="H736" s="25" t="n">
        <v>0.711875319480896</v>
      </c>
      <c r="I736" s="25" t="n">
        <v>9.51703357696533</v>
      </c>
      <c r="J736" s="25" t="n">
        <v>7.67434912109375</v>
      </c>
      <c r="K736" s="25" t="n">
        <v>3.20998559570313</v>
      </c>
      <c r="L736" s="25" t="n">
        <v>0.550540588378906</v>
      </c>
      <c r="M736" s="25" t="n">
        <v>49.517463684082</v>
      </c>
      <c r="N736" s="25" t="n">
        <v>110.035873413086</v>
      </c>
      <c r="O736" s="25" t="n">
        <v>73.8350372314453</v>
      </c>
      <c r="P736" s="25" t="n">
        <v>19.2767333984375</v>
      </c>
      <c r="Q736" s="25" t="n">
        <v>49.520149230957</v>
      </c>
      <c r="R736" s="25" t="n">
        <v>11.2555828094482</v>
      </c>
      <c r="S736" s="25" t="n">
        <v>0.612971544265747</v>
      </c>
      <c r="T736" s="25" t="n">
        <v>0.313691556453705</v>
      </c>
      <c r="U736" s="25" t="n">
        <v>0.0508973672986031</v>
      </c>
      <c r="V736" s="25" t="n">
        <v>0.884513735771179</v>
      </c>
      <c r="W736" s="25" t="n">
        <v>0.163009136915207</v>
      </c>
      <c r="X736" s="25" t="n">
        <v>151.578720092773</v>
      </c>
      <c r="Y736" s="25" t="n">
        <v>163.090805053711</v>
      </c>
      <c r="Z736" s="25" t="n">
        <v>0.332853317260742</v>
      </c>
      <c r="AA736" s="25" t="n">
        <v>1.21225154399872</v>
      </c>
      <c r="AB736" s="25" t="n">
        <v>0.709296107292175</v>
      </c>
      <c r="AC736" s="25" t="n">
        <v>0.0460075251758099</v>
      </c>
      <c r="AD736" s="25" t="n">
        <v>0.0429446510970593</v>
      </c>
      <c r="AE736" s="25" t="n">
        <v>0.259903281927109</v>
      </c>
      <c r="AF736" s="25" t="n">
        <v>0.270478248596191</v>
      </c>
      <c r="AG736" s="25" t="n">
        <v>0.0352928526699543</v>
      </c>
      <c r="AH736" s="25" t="n">
        <v>1.52038681507111</v>
      </c>
      <c r="AI736" s="25" t="n">
        <v>7.30467510223389</v>
      </c>
      <c r="AJ736" s="6" t="n">
        <v>465.3</v>
      </c>
      <c r="AK736" s="6" t="n">
        <v>1215.9</v>
      </c>
      <c r="AL736" s="26" t="s">
        <v>3070</v>
      </c>
    </row>
    <row r="737" customFormat="false" ht="15" hidden="false" customHeight="false" outlineLevel="0" collapsed="false">
      <c r="A737" s="6" t="s">
        <v>4266</v>
      </c>
      <c r="B737" s="6" t="s">
        <v>4267</v>
      </c>
      <c r="C737" s="6" t="s">
        <v>4265</v>
      </c>
      <c r="D737" s="13" t="n">
        <v>280.283355712891</v>
      </c>
      <c r="E737" s="25" t="n">
        <v>4.73470258712769</v>
      </c>
      <c r="F737" s="25" t="n">
        <v>36.1618728637695</v>
      </c>
      <c r="G737" s="25" t="n">
        <v>13.5853643417358</v>
      </c>
      <c r="H737" s="25" t="n">
        <v>0.634479761123657</v>
      </c>
      <c r="I737" s="25" t="n">
        <v>25.2695770263672</v>
      </c>
      <c r="J737" s="25" t="n">
        <v>7.84359423828125</v>
      </c>
      <c r="K737" s="25" t="n">
        <v>3.71991333007813</v>
      </c>
      <c r="L737" s="25" t="n">
        <v>0.727866088867188</v>
      </c>
      <c r="M737" s="25" t="n">
        <v>119.54719543457</v>
      </c>
      <c r="N737" s="25" t="n">
        <v>82.4074630737305</v>
      </c>
      <c r="O737" s="25" t="n">
        <v>97.9484100341797</v>
      </c>
      <c r="P737" s="25" t="n">
        <v>27.9037475585938</v>
      </c>
      <c r="Q737" s="25" t="n">
        <v>99.4847183227539</v>
      </c>
      <c r="R737" s="25" t="n">
        <v>9.77242374420166</v>
      </c>
      <c r="S737" s="25" t="n">
        <v>0.933255016803742</v>
      </c>
      <c r="T737" s="25" t="n">
        <v>0.472151428461075</v>
      </c>
      <c r="U737" s="25" t="n">
        <v>0.0641469731926918</v>
      </c>
      <c r="V737" s="25" t="n">
        <v>10.0543727874756</v>
      </c>
      <c r="W737" s="25" t="n">
        <v>0.0801682472229004</v>
      </c>
      <c r="X737" s="25" t="n">
        <v>179.364105224609</v>
      </c>
      <c r="Y737" s="25" t="n">
        <v>317.400726318359</v>
      </c>
      <c r="Z737" s="25" t="n">
        <v>0.641098618507385</v>
      </c>
      <c r="AA737" s="25" t="n">
        <v>1.75244343280792</v>
      </c>
      <c r="AB737" s="25" t="n">
        <v>10.8345909118652</v>
      </c>
      <c r="AC737" s="25" t="n">
        <v>0.0497958697378635</v>
      </c>
      <c r="AD737" s="25" t="n">
        <v>0.0682914778590202</v>
      </c>
      <c r="AE737" s="25" t="n">
        <v>0.183966353535652</v>
      </c>
      <c r="AF737" s="25" t="n">
        <v>0.501422762870789</v>
      </c>
      <c r="AG737" s="25" t="n">
        <v>0.0586415939033032</v>
      </c>
      <c r="AH737" s="25" t="n">
        <v>5.33539533615112</v>
      </c>
      <c r="AI737" s="25" t="n">
        <v>18.9976501464844</v>
      </c>
      <c r="AJ737" s="6" t="n">
        <v>404.2</v>
      </c>
      <c r="AK737" s="6" t="n">
        <v>1132.8</v>
      </c>
      <c r="AL737" s="26"/>
    </row>
    <row r="738" customFormat="false" ht="15" hidden="false" customHeight="false" outlineLevel="0" collapsed="false">
      <c r="A738" s="6" t="s">
        <v>4268</v>
      </c>
      <c r="B738" s="6" t="s">
        <v>4269</v>
      </c>
      <c r="C738" s="6" t="s">
        <v>3542</v>
      </c>
      <c r="D738" s="13" t="n">
        <v>286.502075195313</v>
      </c>
      <c r="E738" s="25" t="n">
        <v>3.34682106971741</v>
      </c>
      <c r="F738" s="25" t="n">
        <v>30.4166126251221</v>
      </c>
      <c r="G738" s="25" t="n">
        <v>16.8273143768311</v>
      </c>
      <c r="H738" s="25" t="n">
        <v>1.30576503276825</v>
      </c>
      <c r="I738" s="25" t="n">
        <v>9.78868579864502</v>
      </c>
      <c r="J738" s="25" t="n">
        <v>10.47457421875</v>
      </c>
      <c r="K738" s="25" t="n">
        <v>4.4195869140625</v>
      </c>
      <c r="L738" s="25" t="n">
        <v>0.674308349609375</v>
      </c>
      <c r="M738" s="25" t="n">
        <v>42.8667716979981</v>
      </c>
      <c r="N738" s="25" t="n">
        <v>49.6497268676758</v>
      </c>
      <c r="O738" s="25" t="n">
        <v>94.0590896606445</v>
      </c>
      <c r="P738" s="25" t="n">
        <v>19.6433525085449</v>
      </c>
      <c r="Q738" s="25" t="n">
        <v>44.9402236938477</v>
      </c>
      <c r="R738" s="25" t="n">
        <v>12.8919343948364</v>
      </c>
      <c r="S738" s="25" t="n">
        <v>0.63236129283905</v>
      </c>
      <c r="T738" s="25" t="n">
        <v>0.324821382761002</v>
      </c>
      <c r="U738" s="25" t="n">
        <v>0.0851943343877792</v>
      </c>
      <c r="V738" s="25" t="n">
        <v>0.141720965504646</v>
      </c>
      <c r="W738" s="25" t="n">
        <v>0.221316561102867</v>
      </c>
      <c r="X738" s="25" t="n">
        <v>182.925262451172</v>
      </c>
      <c r="Y738" s="25" t="n">
        <v>415.882720947266</v>
      </c>
      <c r="Z738" s="25" t="n">
        <v>0.494504600763321</v>
      </c>
      <c r="AA738" s="25" t="n">
        <v>2.27633333206177</v>
      </c>
      <c r="AB738" s="25" t="n">
        <v>4.66614246368408</v>
      </c>
      <c r="AC738" s="25" t="n">
        <v>0.0588748604059219</v>
      </c>
      <c r="AD738" s="25" t="n">
        <v>0.0555398762226105</v>
      </c>
      <c r="AE738" s="25" t="n">
        <v>0.317166477441788</v>
      </c>
      <c r="AF738" s="25" t="n">
        <v>0.280447989702225</v>
      </c>
      <c r="AG738" s="25" t="n">
        <v>0.0618310496211052</v>
      </c>
      <c r="AH738" s="25" t="n">
        <v>0.66705459356308</v>
      </c>
      <c r="AI738" s="25" t="n">
        <v>10.8778705596924</v>
      </c>
      <c r="AJ738" s="6" t="n">
        <v>55.6</v>
      </c>
      <c r="AK738" s="6" t="n">
        <v>159.4</v>
      </c>
      <c r="AL738" s="26"/>
    </row>
    <row r="739" customFormat="false" ht="15" hidden="false" customHeight="false" outlineLevel="0" collapsed="false">
      <c r="A739" s="6" t="s">
        <v>4270</v>
      </c>
      <c r="B739" s="6" t="s">
        <v>4271</v>
      </c>
      <c r="C739" s="6" t="s">
        <v>3555</v>
      </c>
      <c r="D739" s="13" t="n">
        <v>243.988555908203</v>
      </c>
      <c r="E739" s="25" t="n">
        <v>3.12793302536011</v>
      </c>
      <c r="F739" s="25" t="n">
        <v>32.1158752441406</v>
      </c>
      <c r="G739" s="25" t="n">
        <v>11.3935890197754</v>
      </c>
      <c r="H739" s="25" t="n">
        <v>1.88829874992371</v>
      </c>
      <c r="I739" s="25" t="n">
        <v>12.9647312164307</v>
      </c>
      <c r="J739" s="25" t="n">
        <v>6.22487890625</v>
      </c>
      <c r="K739" s="25" t="n">
        <v>3.02755883789063</v>
      </c>
      <c r="L739" s="25" t="n">
        <v>1.22673425292969</v>
      </c>
      <c r="M739" s="25" t="n">
        <v>24.6572170257568</v>
      </c>
      <c r="N739" s="25" t="n">
        <v>384.425903320313</v>
      </c>
      <c r="O739" s="25" t="n">
        <v>144.282257080078</v>
      </c>
      <c r="P739" s="25" t="n">
        <v>21.2298431396484</v>
      </c>
      <c r="Q739" s="25" t="n">
        <v>44.4184112548828</v>
      </c>
      <c r="R739" s="25" t="n">
        <v>21.5158939361572</v>
      </c>
      <c r="S739" s="25" t="n">
        <v>0.790068209171295</v>
      </c>
      <c r="T739" s="25" t="n">
        <v>0.347455561161041</v>
      </c>
      <c r="U739" s="25" t="n">
        <v>0.105647101998329</v>
      </c>
      <c r="V739" s="25" t="n">
        <v>0.255933940410614</v>
      </c>
      <c r="W739" s="25" t="n">
        <v>0.302774161100388</v>
      </c>
      <c r="X739" s="25" t="n">
        <v>110.899597167969</v>
      </c>
      <c r="Y739" s="25" t="n">
        <v>228.427139282227</v>
      </c>
      <c r="Z739" s="25" t="n">
        <v>0.622052311897278</v>
      </c>
      <c r="AA739" s="25" t="n">
        <v>3.55468201637268</v>
      </c>
      <c r="AB739" s="25" t="n">
        <v>2.2852931022644</v>
      </c>
      <c r="AC739" s="25" t="n">
        <v>0.0511635318398476</v>
      </c>
      <c r="AD739" s="25" t="n">
        <v>0.0344501323997974</v>
      </c>
      <c r="AE739" s="25" t="n">
        <v>0.361324310302734</v>
      </c>
      <c r="AF739" s="25" t="n">
        <v>0.261670559644699</v>
      </c>
      <c r="AG739" s="25" t="n">
        <v>0.106694616377354</v>
      </c>
      <c r="AH739" s="25" t="n">
        <v>0.652714192867279</v>
      </c>
      <c r="AI739" s="25" t="n">
        <v>8.22628784179688</v>
      </c>
      <c r="AJ739" s="6" t="n">
        <v>388.7</v>
      </c>
      <c r="AK739" s="6" t="n">
        <v>948.5</v>
      </c>
      <c r="AL739" s="26"/>
    </row>
    <row r="740" customFormat="false" ht="15" hidden="false" customHeight="false" outlineLevel="0" collapsed="false">
      <c r="A740" s="6" t="s">
        <v>4272</v>
      </c>
      <c r="B740" s="6" t="s">
        <v>4273</v>
      </c>
      <c r="C740" s="6" t="s">
        <v>3555</v>
      </c>
      <c r="D740" s="13" t="n">
        <v>259.312042236328</v>
      </c>
      <c r="E740" s="25" t="n">
        <v>4.87835836410523</v>
      </c>
      <c r="F740" s="25" t="n">
        <v>27.6345157623291</v>
      </c>
      <c r="G740" s="25" t="n">
        <v>14.5154848098755</v>
      </c>
      <c r="H740" s="25" t="n">
        <v>0.6574627161026</v>
      </c>
      <c r="I740" s="25" t="n">
        <v>11.386194229126</v>
      </c>
      <c r="J740" s="25" t="n">
        <v>8.85424609375</v>
      </c>
      <c r="K740" s="25" t="n">
        <v>3.81359204101563</v>
      </c>
      <c r="L740" s="25" t="n">
        <v>0.648376892089844</v>
      </c>
      <c r="M740" s="25" t="n">
        <v>70.2985076904297</v>
      </c>
      <c r="N740" s="25" t="n">
        <v>94.9462661743164</v>
      </c>
      <c r="O740" s="25" t="n">
        <v>78.6007461547852</v>
      </c>
      <c r="P740" s="25" t="n">
        <v>34.4287300109863</v>
      </c>
      <c r="Q740" s="25" t="n">
        <v>63.1755599975586</v>
      </c>
      <c r="R740" s="25" t="n">
        <v>10.8619403839111</v>
      </c>
      <c r="S740" s="25" t="n">
        <v>0.612873136997223</v>
      </c>
      <c r="T740" s="25" t="n">
        <v>0.406156718730927</v>
      </c>
      <c r="U740" s="25" t="n">
        <v>0.0590858198702335</v>
      </c>
      <c r="V740" s="25" t="n">
        <v>3.90671634674072</v>
      </c>
      <c r="W740" s="25" t="n">
        <v>0.146436557173729</v>
      </c>
      <c r="X740" s="25" t="n">
        <v>190.858215332031</v>
      </c>
      <c r="Y740" s="25" t="n">
        <v>183.880599975586</v>
      </c>
      <c r="Z740" s="25" t="n">
        <v>0.465485066175461</v>
      </c>
      <c r="AA740" s="25" t="n">
        <v>1.15597021579742</v>
      </c>
      <c r="AB740" s="25" t="n">
        <v>1.33992540836334</v>
      </c>
      <c r="AC740" s="25" t="n">
        <v>0.048041045665741</v>
      </c>
      <c r="AD740" s="25" t="n">
        <v>0.0821828320622444</v>
      </c>
      <c r="AE740" s="25" t="n">
        <v>0.21138060092926</v>
      </c>
      <c r="AF740" s="25" t="n">
        <v>0.378731340169907</v>
      </c>
      <c r="AG740" s="25" t="n">
        <v>0.0416977591812611</v>
      </c>
      <c r="AH740" s="25" t="n">
        <v>2.50895524024963</v>
      </c>
      <c r="AI740" s="25" t="n">
        <v>9.64589595794678</v>
      </c>
      <c r="AJ740" s="6" t="n">
        <v>536</v>
      </c>
      <c r="AK740" s="6" t="n">
        <v>1389.9</v>
      </c>
      <c r="AL740" s="26" t="s">
        <v>3070</v>
      </c>
    </row>
    <row r="741" customFormat="false" ht="15" hidden="false" customHeight="false" outlineLevel="0" collapsed="false">
      <c r="A741" s="6" t="s">
        <v>4274</v>
      </c>
      <c r="B741" s="6" t="s">
        <v>4275</v>
      </c>
      <c r="C741" s="6" t="s">
        <v>3555</v>
      </c>
      <c r="D741" s="13" t="n">
        <v>207.569213867188</v>
      </c>
      <c r="E741" s="25" t="n">
        <v>3.88758063316345</v>
      </c>
      <c r="F741" s="25" t="n">
        <v>23.1368293762207</v>
      </c>
      <c r="G741" s="25" t="n">
        <v>11.158088684082</v>
      </c>
      <c r="H741" s="25" t="n">
        <v>0.695776641368866</v>
      </c>
      <c r="I741" s="25" t="n">
        <v>10.4558696746826</v>
      </c>
      <c r="J741" s="25" t="n">
        <v>6.79898974609375</v>
      </c>
      <c r="K741" s="25" t="n">
        <v>2.92883813476563</v>
      </c>
      <c r="L741" s="25" t="n">
        <v>0.504685913085938</v>
      </c>
      <c r="M741" s="25" t="n">
        <v>53.9441680908203</v>
      </c>
      <c r="N741" s="25" t="n">
        <v>73.2287368774414</v>
      </c>
      <c r="O741" s="25" t="n">
        <v>100.869720458984</v>
      </c>
      <c r="P741" s="25" t="n">
        <v>30.340015411377</v>
      </c>
      <c r="Q741" s="25" t="n">
        <v>52.1130294799805</v>
      </c>
      <c r="R741" s="25" t="n">
        <v>11.02512550354</v>
      </c>
      <c r="S741" s="25" t="n">
        <v>0.624910533428192</v>
      </c>
      <c r="T741" s="25" t="n">
        <v>0.31553328037262</v>
      </c>
      <c r="U741" s="25" t="n">
        <v>0.0498138852417469</v>
      </c>
      <c r="V741" s="25" t="n">
        <v>3.00901913642883</v>
      </c>
      <c r="W741" s="25" t="n">
        <v>0.122462414205074</v>
      </c>
      <c r="X741" s="25" t="n">
        <v>146.456695556641</v>
      </c>
      <c r="Y741" s="25" t="n">
        <v>258.919006347656</v>
      </c>
      <c r="Z741" s="25" t="n">
        <v>0.39391553401947</v>
      </c>
      <c r="AA741" s="25" t="n">
        <v>1.25626349449158</v>
      </c>
      <c r="AB741" s="25" t="n">
        <v>12.1511812210083</v>
      </c>
      <c r="AC741" s="25" t="n">
        <v>0.0545454546809197</v>
      </c>
      <c r="AD741" s="25" t="n">
        <v>0.0678239092230797</v>
      </c>
      <c r="AE741" s="25" t="n">
        <v>0.223693624138832</v>
      </c>
      <c r="AF741" s="25" t="n">
        <v>0.343593418598175</v>
      </c>
      <c r="AG741" s="25" t="n">
        <v>0.0418396554887295</v>
      </c>
      <c r="AH741" s="25" t="n">
        <v>2.50479602813721</v>
      </c>
      <c r="AI741" s="25" t="n">
        <v>13.0628843307495</v>
      </c>
      <c r="AJ741" s="6" t="n">
        <v>698.5</v>
      </c>
      <c r="AK741" s="6" t="n">
        <v>1449.9</v>
      </c>
      <c r="AL741" s="26" t="s">
        <v>3070</v>
      </c>
    </row>
    <row r="742" customFormat="false" ht="15" hidden="false" customHeight="false" outlineLevel="0" collapsed="false">
      <c r="A742" s="6" t="s">
        <v>4276</v>
      </c>
      <c r="B742" s="6" t="s">
        <v>4277</v>
      </c>
      <c r="C742" s="6" t="s">
        <v>4278</v>
      </c>
      <c r="D742" s="13" t="n">
        <v>215.740570068359</v>
      </c>
      <c r="E742" s="25" t="n">
        <v>4.45118188858032</v>
      </c>
      <c r="F742" s="25" t="n">
        <v>14.1621761322022</v>
      </c>
      <c r="G742" s="25" t="n">
        <v>15.8090801239014</v>
      </c>
      <c r="H742" s="25" t="n">
        <v>0.310694187879562</v>
      </c>
      <c r="I742" s="25" t="n">
        <v>5.95114469528198</v>
      </c>
      <c r="J742" s="25" t="n">
        <v>9.56346875</v>
      </c>
      <c r="K742" s="25" t="n">
        <v>4.25581689453125</v>
      </c>
      <c r="L742" s="25" t="n">
        <v>0.69539208984375</v>
      </c>
      <c r="M742" s="25" t="n">
        <v>93.9287033081055</v>
      </c>
      <c r="N742" s="25" t="n">
        <v>45.4890823364258</v>
      </c>
      <c r="O742" s="25" t="n">
        <v>79.5395889282227</v>
      </c>
      <c r="P742" s="25" t="n">
        <v>45.266040802002</v>
      </c>
      <c r="Q742" s="25" t="n">
        <v>72.1753845214844</v>
      </c>
      <c r="R742" s="25" t="n">
        <v>8.47212028503418</v>
      </c>
      <c r="S742" s="25" t="n">
        <v>0.498048782348633</v>
      </c>
      <c r="T742" s="25" t="n">
        <v>0.410394012928009</v>
      </c>
      <c r="U742" s="25" t="n">
        <v>0.0333508439362049</v>
      </c>
      <c r="V742" s="25" t="n">
        <v>6.08405256271362</v>
      </c>
      <c r="W742" s="25" t="n">
        <v>0.0740712955594063</v>
      </c>
      <c r="X742" s="25" t="n">
        <v>220.818008422852</v>
      </c>
      <c r="Y742" s="25" t="n">
        <v>169.290802001953</v>
      </c>
      <c r="Z742" s="25" t="n">
        <v>0.571482181549072</v>
      </c>
      <c r="AA742" s="25" t="n">
        <v>0.778986871242523</v>
      </c>
      <c r="AB742" s="25" t="n">
        <v>0.390394002199173</v>
      </c>
      <c r="AC742" s="25" t="n">
        <v>0.0371482148766518</v>
      </c>
      <c r="AD742" s="25" t="n">
        <v>0.111669793725014</v>
      </c>
      <c r="AE742" s="25" t="n">
        <v>0.140412747859955</v>
      </c>
      <c r="AF742" s="25" t="n">
        <v>0.419362127780914</v>
      </c>
      <c r="AG742" s="25" t="n">
        <v>0.0444277673959732</v>
      </c>
      <c r="AH742" s="25" t="n">
        <v>3.85936212539673</v>
      </c>
      <c r="AI742" s="25" t="n">
        <v>11.1385364532471</v>
      </c>
      <c r="AJ742" s="6" t="n">
        <v>83.3</v>
      </c>
      <c r="AK742" s="6" t="n">
        <v>179.7</v>
      </c>
      <c r="AL742" s="26"/>
    </row>
    <row r="743" customFormat="false" ht="15" hidden="false" customHeight="false" outlineLevel="0" collapsed="false">
      <c r="A743" s="6" t="s">
        <v>4279</v>
      </c>
      <c r="B743" s="6" t="s">
        <v>4280</v>
      </c>
      <c r="C743" s="6" t="s">
        <v>3566</v>
      </c>
      <c r="D743" s="13" t="n">
        <v>190.785079956055</v>
      </c>
      <c r="E743" s="25" t="n">
        <v>9.51093006134033</v>
      </c>
      <c r="F743" s="25" t="n">
        <v>10.8006048202515</v>
      </c>
      <c r="G743" s="25" t="n">
        <v>15.2427825927734</v>
      </c>
      <c r="H743" s="25" t="n">
        <v>0.332140922546387</v>
      </c>
      <c r="I743" s="25" t="n">
        <v>4.50868129730225</v>
      </c>
      <c r="J743" s="25" t="n">
        <v>7.1481953125</v>
      </c>
      <c r="K743" s="25" t="n">
        <v>3.26300146484375</v>
      </c>
      <c r="L743" s="25" t="n">
        <v>0.558580871582031</v>
      </c>
      <c r="M743" s="25" t="n">
        <v>70.7299041748047</v>
      </c>
      <c r="N743" s="25" t="n">
        <v>2274.24145507813</v>
      </c>
      <c r="O743" s="25" t="n">
        <v>180.95393371582</v>
      </c>
      <c r="P743" s="25" t="n">
        <v>68.8310775756836</v>
      </c>
      <c r="Q743" s="25" t="n">
        <v>122.747825622559</v>
      </c>
      <c r="R743" s="25" t="n">
        <v>17.425537109375</v>
      </c>
      <c r="S743" s="25" t="n">
        <v>1.19285452365875</v>
      </c>
      <c r="T743" s="25" t="n">
        <v>0.632213175296783</v>
      </c>
      <c r="U743" s="25" t="n">
        <v>0.0917795896530151</v>
      </c>
      <c r="V743" s="25" t="n">
        <v>7.22354078292847</v>
      </c>
      <c r="W743" s="25" t="n">
        <v>0.101255647838116</v>
      </c>
      <c r="X743" s="25" t="n">
        <v>148.003616333008</v>
      </c>
      <c r="Y743" s="25" t="n">
        <v>175.383926391602</v>
      </c>
      <c r="Z743" s="25" t="n">
        <v>0.464995473623276</v>
      </c>
      <c r="AA743" s="25" t="n">
        <v>1.75736224651337</v>
      </c>
      <c r="AB743" s="25" t="n">
        <v>1.07868111133575</v>
      </c>
      <c r="AC743" s="25" t="n">
        <v>0.0492411926388741</v>
      </c>
      <c r="AD743" s="25" t="n">
        <v>0.100379399955273</v>
      </c>
      <c r="AE743" s="25" t="n">
        <v>1.57036137580872</v>
      </c>
      <c r="AF743" s="25" t="n">
        <v>0.536043345928192</v>
      </c>
      <c r="AG743" s="25" t="n">
        <v>0.131851851940155</v>
      </c>
      <c r="AH743" s="25" t="n">
        <v>3.4850766658783</v>
      </c>
      <c r="AI743" s="25" t="n">
        <v>10.8654470443726</v>
      </c>
      <c r="AJ743" s="6" t="n">
        <v>138.4</v>
      </c>
      <c r="AK743" s="6" t="n">
        <v>264</v>
      </c>
      <c r="AL743" s="26"/>
    </row>
    <row r="744" customFormat="false" ht="15" hidden="false" customHeight="false" outlineLevel="0" collapsed="false">
      <c r="A744" s="6" t="s">
        <v>4281</v>
      </c>
      <c r="B744" s="6" t="s">
        <v>4282</v>
      </c>
      <c r="C744" s="6" t="s">
        <v>4283</v>
      </c>
      <c r="D744" s="13" t="n">
        <v>216.335494995117</v>
      </c>
      <c r="E744" s="25" t="n">
        <v>4.35361194610596</v>
      </c>
      <c r="F744" s="25" t="n">
        <v>14.9235181808472</v>
      </c>
      <c r="G744" s="25" t="n">
        <v>15.6037158966065</v>
      </c>
      <c r="H744" s="25" t="n">
        <v>0.349896281957626</v>
      </c>
      <c r="I744" s="25" t="n">
        <v>6.12901306152344</v>
      </c>
      <c r="J744" s="25" t="n">
        <v>9.4452109375</v>
      </c>
      <c r="K744" s="25" t="n">
        <v>4.20122998046875</v>
      </c>
      <c r="L744" s="25" t="n">
        <v>0.684335998535156</v>
      </c>
      <c r="M744" s="25" t="n">
        <v>92.2063522338867</v>
      </c>
      <c r="N744" s="25" t="n">
        <v>145.083572387695</v>
      </c>
      <c r="O744" s="25" t="n">
        <v>81.0399932861328</v>
      </c>
      <c r="P744" s="25" t="n">
        <v>44.6725654602051</v>
      </c>
      <c r="Q744" s="25" t="n">
        <v>70.9919357299805</v>
      </c>
      <c r="R744" s="25" t="n">
        <v>8.67778205871582</v>
      </c>
      <c r="S744" s="25" t="n">
        <v>0.509338974952698</v>
      </c>
      <c r="T744" s="25" t="n">
        <v>0.402894884347916</v>
      </c>
      <c r="U744" s="25" t="n">
        <v>0.0340793952345848</v>
      </c>
      <c r="V744" s="25" t="n">
        <v>5.92422485351563</v>
      </c>
      <c r="W744" s="25" t="n">
        <v>0.0732188224792481</v>
      </c>
      <c r="X744" s="25" t="n">
        <v>219.130661010742</v>
      </c>
      <c r="Y744" s="25" t="n">
        <v>169.647155761719</v>
      </c>
      <c r="Z744" s="25" t="n">
        <v>0.565024971961975</v>
      </c>
      <c r="AA744" s="25" t="n">
        <v>1.07960152626038</v>
      </c>
      <c r="AB744" s="25" t="n">
        <v>2.49174785614014</v>
      </c>
      <c r="AC744" s="25" t="n">
        <v>0.0364998690783978</v>
      </c>
      <c r="AD744" s="25" t="n">
        <v>0.110186077654362</v>
      </c>
      <c r="AE744" s="25" t="n">
        <v>0.141018897294998</v>
      </c>
      <c r="AF744" s="25" t="n">
        <v>0.410773247480393</v>
      </c>
      <c r="AG744" s="25" t="n">
        <v>0.0441386960446835</v>
      </c>
      <c r="AH744" s="25" t="n">
        <v>3.79572343826294</v>
      </c>
      <c r="AI744" s="25" t="n">
        <v>10.908465385437</v>
      </c>
      <c r="AJ744" s="6" t="n">
        <v>171.2</v>
      </c>
      <c r="AK744" s="6" t="n">
        <v>370.3</v>
      </c>
      <c r="AL744" s="26"/>
    </row>
    <row r="745" customFormat="false" ht="15" hidden="false" customHeight="false" outlineLevel="0" collapsed="false">
      <c r="A745" s="6" t="s">
        <v>4284</v>
      </c>
      <c r="B745" s="6" t="s">
        <v>4285</v>
      </c>
      <c r="C745" s="6" t="s">
        <v>4286</v>
      </c>
      <c r="D745" s="13" t="n">
        <v>530.027465820313</v>
      </c>
      <c r="E745" s="25" t="n">
        <v>2.35120272636414</v>
      </c>
      <c r="F745" s="25" t="n">
        <v>8.00580787658691</v>
      </c>
      <c r="G745" s="25" t="n">
        <v>54.2388916015625</v>
      </c>
      <c r="H745" s="25" t="n">
        <v>0.448273777961731</v>
      </c>
      <c r="I745" s="25" t="n">
        <v>0.732732772827148</v>
      </c>
      <c r="J745" s="25" t="n">
        <v>9.2546279296875</v>
      </c>
      <c r="K745" s="25" t="n">
        <v>11.5235224609375</v>
      </c>
      <c r="L745" s="25" t="n">
        <v>30.9122109375</v>
      </c>
      <c r="M745" s="25" t="n">
        <v>49.7030715942383</v>
      </c>
      <c r="N745" s="25" t="n">
        <v>112.453727722168</v>
      </c>
      <c r="O745" s="25" t="n">
        <v>93.8142929077148</v>
      </c>
      <c r="P745" s="25" t="n">
        <v>9.19617462158203</v>
      </c>
      <c r="Q745" s="25" t="n">
        <v>33.7110214233398</v>
      </c>
      <c r="R745" s="25" t="n">
        <v>6.94227504730225</v>
      </c>
      <c r="S745" s="25" t="n">
        <v>0.44922998547554</v>
      </c>
      <c r="T745" s="25" t="n">
        <v>0.232098639011383</v>
      </c>
      <c r="U745" s="25" t="n">
        <v>0.038409661501646</v>
      </c>
      <c r="V745" s="25" t="n">
        <v>4.17325592041016</v>
      </c>
      <c r="W745" s="25" t="n">
        <v>0.0740312039852142</v>
      </c>
      <c r="X745" s="25" t="n">
        <v>77.7856063842773</v>
      </c>
      <c r="Y745" s="25" t="n">
        <v>98.0463027954102</v>
      </c>
      <c r="Z745" s="25" t="n">
        <v>24.0561847686768</v>
      </c>
      <c r="AA745" s="25" t="n">
        <v>3.99436330795288</v>
      </c>
      <c r="AB745" s="25" t="n">
        <v>2.79617524147034</v>
      </c>
      <c r="AC745" s="25" t="n">
        <v>0.0246703568845987</v>
      </c>
      <c r="AD745" s="25" t="n">
        <v>0.0291796680539846</v>
      </c>
      <c r="AE745" s="25" t="n">
        <v>0.195671871304512</v>
      </c>
      <c r="AF745" s="25" t="n">
        <v>0.251534968614578</v>
      </c>
      <c r="AG745" s="25" t="n">
        <v>0.0344942100346088</v>
      </c>
      <c r="AH745" s="25" t="n">
        <v>2.05836939811707</v>
      </c>
      <c r="AI745" s="25" t="n">
        <v>8.08640193939209</v>
      </c>
      <c r="AJ745" s="6" t="n">
        <v>41.4</v>
      </c>
      <c r="AK745" s="6" t="n">
        <v>219.4</v>
      </c>
      <c r="AL745" s="26" t="s">
        <v>3100</v>
      </c>
    </row>
    <row r="746" customFormat="false" ht="15" hidden="false" customHeight="false" outlineLevel="0" collapsed="false">
      <c r="A746" s="6" t="s">
        <v>4287</v>
      </c>
      <c r="B746" s="6" t="s">
        <v>4288</v>
      </c>
      <c r="C746" s="6" t="s">
        <v>4289</v>
      </c>
      <c r="D746" s="13" t="n">
        <v>408.227478027344</v>
      </c>
      <c r="E746" s="25" t="n">
        <v>3.42280125617981</v>
      </c>
      <c r="F746" s="25" t="n">
        <v>23.1170463562012</v>
      </c>
      <c r="G746" s="25" t="n">
        <v>33.5502700805664</v>
      </c>
      <c r="H746" s="25" t="n">
        <v>0.599348545074463</v>
      </c>
      <c r="I746" s="25" t="n">
        <v>7.12225818634033</v>
      </c>
      <c r="J746" s="25" t="n">
        <v>20.4310859375</v>
      </c>
      <c r="K746" s="25" t="n">
        <v>9.293537109375</v>
      </c>
      <c r="L746" s="25" t="n">
        <v>1.32304016113281</v>
      </c>
      <c r="M746" s="25" t="n">
        <v>93.081428527832</v>
      </c>
      <c r="N746" s="25" t="n">
        <v>57.1118354797363</v>
      </c>
      <c r="O746" s="25" t="n">
        <v>72.9652557373047</v>
      </c>
      <c r="P746" s="25" t="n">
        <v>30.9346370697022</v>
      </c>
      <c r="Q746" s="25" t="n">
        <v>53.5646018981934</v>
      </c>
      <c r="R746" s="25" t="n">
        <v>9.61368083953857</v>
      </c>
      <c r="S746" s="25" t="n">
        <v>0.441585242748261</v>
      </c>
      <c r="T746" s="25" t="n">
        <v>0.308251887559891</v>
      </c>
      <c r="U746" s="25" t="n">
        <v>0.040260586887598</v>
      </c>
      <c r="V746" s="25" t="n">
        <v>0.878175914287567</v>
      </c>
      <c r="W746" s="25" t="n">
        <v>0.137242123484612</v>
      </c>
      <c r="X746" s="25" t="n">
        <v>325.750274658203</v>
      </c>
      <c r="Y746" s="25" t="n">
        <v>468.212799072266</v>
      </c>
      <c r="Z746" s="25" t="n">
        <v>1.54254078865051</v>
      </c>
      <c r="AA746" s="25" t="n">
        <v>0.217155262827873</v>
      </c>
      <c r="AB746" s="25" t="n">
        <v>0.434310525655747</v>
      </c>
      <c r="AC746" s="25" t="n">
        <v>0.0425624325871468</v>
      </c>
      <c r="AD746" s="25" t="n">
        <v>0.0909880548715591</v>
      </c>
      <c r="AE746" s="25" t="n">
        <v>0.169598251581192</v>
      </c>
      <c r="AF746" s="25" t="n">
        <v>0.283821940422058</v>
      </c>
      <c r="AG746" s="25" t="n">
        <v>0.0382193252444267</v>
      </c>
      <c r="AH746" s="25" t="n">
        <v>1.13007593154907</v>
      </c>
      <c r="AI746" s="25" t="n">
        <v>7.6399564743042</v>
      </c>
      <c r="AJ746" s="6" t="n">
        <v>115.1</v>
      </c>
      <c r="AK746" s="6" t="n">
        <v>470</v>
      </c>
      <c r="AL746" s="26"/>
    </row>
    <row r="747" customFormat="false" ht="15" hidden="false" customHeight="false" outlineLevel="0" collapsed="false">
      <c r="A747" s="6" t="s">
        <v>4290</v>
      </c>
      <c r="B747" s="6" t="s">
        <v>4291</v>
      </c>
      <c r="C747" s="6" t="s">
        <v>4289</v>
      </c>
      <c r="D747" s="13" t="n">
        <v>295.1474609375</v>
      </c>
      <c r="E747" s="25" t="n">
        <v>5.66056346893311</v>
      </c>
      <c r="F747" s="25" t="n">
        <v>21.3775634765625</v>
      </c>
      <c r="G747" s="25" t="n">
        <v>20.7050495147705</v>
      </c>
      <c r="H747" s="25" t="n">
        <v>0.729515194892883</v>
      </c>
      <c r="I747" s="25" t="n">
        <v>2.7442615032196</v>
      </c>
      <c r="J747" s="25" t="n">
        <v>12.3701064453125</v>
      </c>
      <c r="K747" s="25" t="n">
        <v>5.45569091796875</v>
      </c>
      <c r="L747" s="25" t="n">
        <v>0.998119506835938</v>
      </c>
      <c r="M747" s="25" t="n">
        <v>50.6290855407715</v>
      </c>
      <c r="N747" s="25" t="n">
        <v>212.284729003906</v>
      </c>
      <c r="O747" s="25" t="n">
        <v>105.277336120606</v>
      </c>
      <c r="P747" s="25" t="n">
        <v>121.827507019043</v>
      </c>
      <c r="Q747" s="25" t="n">
        <v>148.18733215332</v>
      </c>
      <c r="R747" s="25" t="n">
        <v>14.2756261825562</v>
      </c>
      <c r="S747" s="25" t="n">
        <v>0.625332593917847</v>
      </c>
      <c r="T747" s="25" t="n">
        <v>0.64676433801651</v>
      </c>
      <c r="U747" s="25" t="n">
        <v>0.0547463372349739</v>
      </c>
      <c r="V747" s="25" t="n">
        <v>1.1048139333725</v>
      </c>
      <c r="W747" s="25" t="n">
        <v>0.175039455294609</v>
      </c>
      <c r="X747" s="25" t="n">
        <v>184.279602050781</v>
      </c>
      <c r="Y747" s="25" t="n">
        <v>575.390075683594</v>
      </c>
      <c r="Z747" s="25" t="n">
        <v>1.12147688865662</v>
      </c>
      <c r="AA747" s="25" t="n">
        <v>6.40699005126953</v>
      </c>
      <c r="AB747" s="25" t="n">
        <v>3.12423920631409</v>
      </c>
      <c r="AC747" s="25" t="n">
        <v>0.0553551316261292</v>
      </c>
      <c r="AD747" s="25" t="n">
        <v>0.0833032727241516</v>
      </c>
      <c r="AE747" s="25" t="n">
        <v>0.221206307411194</v>
      </c>
      <c r="AF747" s="25" t="n">
        <v>0.356595277786255</v>
      </c>
      <c r="AG747" s="25" t="n">
        <v>0.0440924465656281</v>
      </c>
      <c r="AH747" s="25" t="n">
        <v>1.72334837913513</v>
      </c>
      <c r="AI747" s="25" t="n">
        <v>11.5146446228027</v>
      </c>
      <c r="AJ747" s="6" t="n">
        <v>73.9</v>
      </c>
      <c r="AK747" s="6" t="n">
        <v>218.2</v>
      </c>
      <c r="AL747" s="26"/>
    </row>
    <row r="748" customFormat="false" ht="15" hidden="false" customHeight="false" outlineLevel="0" collapsed="false">
      <c r="A748" s="6" t="s">
        <v>4292</v>
      </c>
      <c r="B748" s="6" t="s">
        <v>4293</v>
      </c>
      <c r="C748" s="6" t="s">
        <v>3574</v>
      </c>
      <c r="D748" s="13" t="n">
        <v>338.581909179688</v>
      </c>
      <c r="E748" s="25" t="n">
        <v>7.59753847122192</v>
      </c>
      <c r="F748" s="25" t="n">
        <v>22.7949848175049</v>
      </c>
      <c r="G748" s="25" t="n">
        <v>23.955602645874</v>
      </c>
      <c r="H748" s="25" t="n">
        <v>1.17568218708038</v>
      </c>
      <c r="I748" s="25" t="n">
        <v>4.04241847991943</v>
      </c>
      <c r="J748" s="25" t="n">
        <v>13.2745048828125</v>
      </c>
      <c r="K748" s="25" t="n">
        <v>6.2490908203125</v>
      </c>
      <c r="L748" s="25" t="n">
        <v>2.32853588867188</v>
      </c>
      <c r="M748" s="25" t="n">
        <v>45.1891555786133</v>
      </c>
      <c r="N748" s="25" t="n">
        <v>158.444885253906</v>
      </c>
      <c r="O748" s="25" t="n">
        <v>93.011962890625</v>
      </c>
      <c r="P748" s="25" t="n">
        <v>129.903747558594</v>
      </c>
      <c r="Q748" s="25" t="n">
        <v>116.707969665527</v>
      </c>
      <c r="R748" s="25" t="n">
        <v>18.2870712280273</v>
      </c>
      <c r="S748" s="25" t="n">
        <v>0.787814021110535</v>
      </c>
      <c r="T748" s="25" t="n">
        <v>0.955396175384522</v>
      </c>
      <c r="U748" s="25" t="n">
        <v>0.0857188999652863</v>
      </c>
      <c r="V748" s="25" t="n">
        <v>5.8089189529419</v>
      </c>
      <c r="W748" s="25" t="n">
        <v>0.2750104367733</v>
      </c>
      <c r="X748" s="25" t="n">
        <v>169.367492675781</v>
      </c>
      <c r="Y748" s="25" t="n">
        <v>942.963684082031</v>
      </c>
      <c r="Z748" s="25" t="n">
        <v>2.08627939224243</v>
      </c>
      <c r="AA748" s="25" t="n">
        <v>3.32430052757263</v>
      </c>
      <c r="AB748" s="25" t="n">
        <v>3.2785816192627</v>
      </c>
      <c r="AC748" s="25" t="n">
        <v>0.0505302362143993</v>
      </c>
      <c r="AD748" s="25" t="n">
        <v>0.0473696738481522</v>
      </c>
      <c r="AE748" s="25" t="n">
        <v>0.316745102405548</v>
      </c>
      <c r="AF748" s="25" t="n">
        <v>0.350833594799042</v>
      </c>
      <c r="AG748" s="25" t="n">
        <v>0.0519317835569382</v>
      </c>
      <c r="AH748" s="25" t="n">
        <v>5.71442556381226</v>
      </c>
      <c r="AI748" s="25" t="n">
        <v>31.0442218780518</v>
      </c>
      <c r="AJ748" s="6" t="n">
        <v>100.7</v>
      </c>
      <c r="AK748" s="6" t="n">
        <v>341</v>
      </c>
      <c r="AL748" s="26"/>
    </row>
    <row r="749" customFormat="false" ht="15" hidden="false" customHeight="false" outlineLevel="0" collapsed="false">
      <c r="A749" s="6" t="s">
        <v>4294</v>
      </c>
      <c r="B749" s="6" t="s">
        <v>4295</v>
      </c>
      <c r="C749" s="6" t="s">
        <v>3574</v>
      </c>
      <c r="D749" s="13" t="n">
        <v>261.920745849609</v>
      </c>
      <c r="E749" s="25" t="n">
        <v>4.00611972808838</v>
      </c>
      <c r="F749" s="25" t="n">
        <v>20.978593826294</v>
      </c>
      <c r="G749" s="25" t="n">
        <v>17.7397689819336</v>
      </c>
      <c r="H749" s="25" t="n">
        <v>2.62469077110291</v>
      </c>
      <c r="I749" s="25" t="n">
        <v>1.49305987358093</v>
      </c>
      <c r="J749" s="25" t="n">
        <v>9.6559794921875</v>
      </c>
      <c r="K749" s="25" t="n">
        <v>4.51792626953125</v>
      </c>
      <c r="L749" s="25" t="n">
        <v>1.97568627929688</v>
      </c>
      <c r="M749" s="25" t="n">
        <v>39.3310852050781</v>
      </c>
      <c r="N749" s="25" t="n">
        <v>139.517623901367</v>
      </c>
      <c r="O749" s="25" t="n">
        <v>180.615203857422</v>
      </c>
      <c r="P749" s="25" t="n">
        <v>18.9569244384766</v>
      </c>
      <c r="Q749" s="25" t="n">
        <v>47.4242477416992</v>
      </c>
      <c r="R749" s="25" t="n">
        <v>20.6238956451416</v>
      </c>
      <c r="S749" s="25" t="n">
        <v>0.865445971488953</v>
      </c>
      <c r="T749" s="25" t="n">
        <v>0.473752915859222</v>
      </c>
      <c r="U749" s="25" t="n">
        <v>0.105719037353993</v>
      </c>
      <c r="V749" s="25" t="n">
        <v>0.421884447336197</v>
      </c>
      <c r="W749" s="25" t="n">
        <v>0.322757750749588</v>
      </c>
      <c r="X749" s="25" t="n">
        <v>147.411636352539</v>
      </c>
      <c r="Y749" s="25" t="n">
        <v>1829.45190429688</v>
      </c>
      <c r="Z749" s="25" t="n">
        <v>1.87113642692566</v>
      </c>
      <c r="AA749" s="25" t="n">
        <v>12.3056802749634</v>
      </c>
      <c r="AB749" s="25" t="n">
        <v>12.029088973999</v>
      </c>
      <c r="AC749" s="25" t="n">
        <v>0.0949693247675896</v>
      </c>
      <c r="AD749" s="25" t="n">
        <v>0.0282654911279678</v>
      </c>
      <c r="AE749" s="25" t="n">
        <v>0.577732264995575</v>
      </c>
      <c r="AF749" s="25" t="n">
        <v>0.375788182020187</v>
      </c>
      <c r="AG749" s="25" t="n">
        <v>0.0875468850135803</v>
      </c>
      <c r="AH749" s="25" t="n">
        <v>1.37239480018616</v>
      </c>
      <c r="AI749" s="25" t="n">
        <v>19.7443065643311</v>
      </c>
      <c r="AJ749" s="6" t="n">
        <v>115.7</v>
      </c>
      <c r="AK749" s="6" t="n">
        <v>303.1</v>
      </c>
      <c r="AL749" s="26"/>
    </row>
    <row r="750" customFormat="false" ht="15" hidden="false" customHeight="false" outlineLevel="0" collapsed="false">
      <c r="A750" s="6" t="s">
        <v>4296</v>
      </c>
      <c r="B750" s="6" t="s">
        <v>4297</v>
      </c>
      <c r="C750" s="6"/>
      <c r="D750" s="13" t="n">
        <v>362.443511962891</v>
      </c>
      <c r="E750" s="25" t="n">
        <v>11.982500076294</v>
      </c>
      <c r="F750" s="25" t="n">
        <v>62.0960006713867</v>
      </c>
      <c r="G750" s="25" t="n">
        <v>6.62400007247925</v>
      </c>
      <c r="H750" s="25" t="n">
        <v>7.83850002288818</v>
      </c>
      <c r="I750" s="25" t="n">
        <v>26.0644989013672</v>
      </c>
      <c r="J750" s="25" t="n">
        <v>1.14886901855469</v>
      </c>
      <c r="K750" s="25" t="n">
        <v>2.15552099609375</v>
      </c>
      <c r="L750" s="25" t="n">
        <v>2.4193798828125</v>
      </c>
      <c r="M750" s="25" t="n">
        <v>0</v>
      </c>
      <c r="N750" s="25" t="n">
        <v>12.6680002212524</v>
      </c>
      <c r="O750" s="25" t="n">
        <v>602.950012207031</v>
      </c>
      <c r="P750" s="25" t="n">
        <v>118.515998840332</v>
      </c>
      <c r="Q750" s="25" t="n">
        <v>278.408996582031</v>
      </c>
      <c r="R750" s="25" t="n">
        <v>143.550003051758</v>
      </c>
      <c r="S750" s="25" t="n">
        <v>5.66700029373169</v>
      </c>
      <c r="T750" s="25" t="n">
        <v>2.28449988365173</v>
      </c>
      <c r="U750" s="25" t="n">
        <v>0.551999986171722</v>
      </c>
      <c r="V750" s="25" t="n">
        <v>23.695499420166</v>
      </c>
      <c r="W750" s="25" t="n">
        <v>1.02799999713898</v>
      </c>
      <c r="X750" s="25" t="n">
        <v>0</v>
      </c>
      <c r="Y750" s="25" t="n">
        <v>253.539993286133</v>
      </c>
      <c r="Z750" s="25" t="n">
        <v>0.430999994277954</v>
      </c>
      <c r="AA750" s="25" t="n">
        <v>8.22500038146973</v>
      </c>
      <c r="AB750" s="25" t="n">
        <v>0</v>
      </c>
      <c r="AC750" s="25" t="n">
        <v>0.228500008583069</v>
      </c>
      <c r="AD750" s="25" t="n">
        <v>0.116499997675419</v>
      </c>
      <c r="AE750" s="25" t="n">
        <v>1.48249995708466</v>
      </c>
      <c r="AF750" s="25" t="n">
        <v>0.679499983787537</v>
      </c>
      <c r="AG750" s="25" t="n">
        <v>0.40149998664856</v>
      </c>
      <c r="AH750" s="25" t="n">
        <v>0.813499987125397</v>
      </c>
      <c r="AI750" s="25" t="n">
        <v>48.2795028686523</v>
      </c>
      <c r="AJ750" s="6" t="n">
        <v>50</v>
      </c>
      <c r="AK750" s="6" t="n">
        <v>181.2</v>
      </c>
      <c r="AL750" s="26"/>
    </row>
    <row r="751" customFormat="false" ht="15" hidden="false" customHeight="false" outlineLevel="0" collapsed="false">
      <c r="A751" s="6" t="s">
        <v>4298</v>
      </c>
      <c r="B751" s="6" t="s">
        <v>4299</v>
      </c>
      <c r="C751" s="6"/>
      <c r="D751" s="13" t="n">
        <v>345.259399414063</v>
      </c>
      <c r="E751" s="25" t="n">
        <v>10.8109998703003</v>
      </c>
      <c r="F751" s="25" t="n">
        <v>66.8690032958984</v>
      </c>
      <c r="G751" s="25" t="n">
        <v>3.03299999237061</v>
      </c>
      <c r="H751" s="25" t="n">
        <v>7.61899995803833</v>
      </c>
      <c r="I751" s="25" t="n">
        <v>25.890998840332</v>
      </c>
      <c r="J751" s="25" t="n">
        <v>0.507669006347656</v>
      </c>
      <c r="K751" s="25" t="n">
        <v>0.537171020507813</v>
      </c>
      <c r="L751" s="25" t="n">
        <v>1.10872998046875</v>
      </c>
      <c r="M751" s="25" t="n">
        <v>0</v>
      </c>
      <c r="N751" s="25" t="n">
        <v>11.69700050354</v>
      </c>
      <c r="O751" s="25" t="n">
        <v>582.5</v>
      </c>
      <c r="P751" s="25" t="n">
        <v>54.4010009765625</v>
      </c>
      <c r="Q751" s="25" t="n">
        <v>250.058990478516</v>
      </c>
      <c r="R751" s="25" t="n">
        <v>127.5</v>
      </c>
      <c r="S751" s="25" t="n">
        <v>5.38500022888184</v>
      </c>
      <c r="T751" s="25" t="n">
        <v>2.01300001144409</v>
      </c>
      <c r="U751" s="25" t="n">
        <v>0.485000014305115</v>
      </c>
      <c r="V751" s="25" t="n">
        <v>25.2280006408691</v>
      </c>
      <c r="W751" s="25" t="n">
        <v>0.972000002861023</v>
      </c>
      <c r="X751" s="25" t="n">
        <v>0</v>
      </c>
      <c r="Y751" s="25" t="n">
        <v>275.847015380859</v>
      </c>
      <c r="Z751" s="25" t="n">
        <v>0.178000003099442</v>
      </c>
      <c r="AA751" s="25" t="n">
        <v>3.08500003814697</v>
      </c>
      <c r="AB751" s="25" t="n">
        <v>0</v>
      </c>
      <c r="AC751" s="25" t="n">
        <v>0.207000002264977</v>
      </c>
      <c r="AD751" s="25" t="n">
        <v>0.127000004053116</v>
      </c>
      <c r="AE751" s="25" t="n">
        <v>0.804000020027161</v>
      </c>
      <c r="AF751" s="25" t="n">
        <v>0.654999971389771</v>
      </c>
      <c r="AG751" s="25" t="n">
        <v>0.386000007390976</v>
      </c>
      <c r="AH751" s="25" t="n">
        <v>0.623999953269959</v>
      </c>
      <c r="AI751" s="25" t="n">
        <v>40.7970008850098</v>
      </c>
      <c r="AJ751" s="6" t="n">
        <v>50</v>
      </c>
      <c r="AK751" s="6" t="n">
        <v>172.6</v>
      </c>
      <c r="AL751" s="26"/>
    </row>
    <row r="752" customFormat="false" ht="15" hidden="false" customHeight="false" outlineLevel="0" collapsed="false">
      <c r="A752" s="6" t="s">
        <v>4300</v>
      </c>
      <c r="B752" s="6" t="s">
        <v>4301</v>
      </c>
      <c r="C752" s="6"/>
      <c r="D752" s="13" t="n">
        <v>120.809722900391</v>
      </c>
      <c r="E752" s="25" t="n">
        <v>3.31800007820129</v>
      </c>
      <c r="F752" s="25" t="n">
        <v>21.838399887085</v>
      </c>
      <c r="G752" s="25" t="n">
        <v>2.01559996604919</v>
      </c>
      <c r="H752" s="25" t="n">
        <v>2.03259992599487</v>
      </c>
      <c r="I752" s="25" t="n">
        <v>10.6823997497559</v>
      </c>
      <c r="J752" s="25" t="n">
        <v>0.384224395751953</v>
      </c>
      <c r="K752" s="25" t="n">
        <v>0.798987182617188</v>
      </c>
      <c r="L752" s="25" t="n">
        <v>0.658772033691406</v>
      </c>
      <c r="M752" s="25" t="n">
        <v>0</v>
      </c>
      <c r="N752" s="25" t="n">
        <v>9.28619956970215</v>
      </c>
      <c r="O752" s="25" t="n">
        <v>179.179992675781</v>
      </c>
      <c r="P752" s="25" t="n">
        <v>21.3973999023438</v>
      </c>
      <c r="Q752" s="25" t="n">
        <v>61.5284004211426</v>
      </c>
      <c r="R752" s="25" t="n">
        <v>32.7704010009766</v>
      </c>
      <c r="S752" s="25" t="n">
        <v>1.17799997329712</v>
      </c>
      <c r="T752" s="25" t="n">
        <v>0.528200030326843</v>
      </c>
      <c r="U752" s="25" t="n">
        <v>0.12780000269413</v>
      </c>
      <c r="V752" s="25" t="n">
        <v>3.33120012283325</v>
      </c>
      <c r="W752" s="25" t="n">
        <v>0.349400013685226</v>
      </c>
      <c r="X752" s="25" t="n">
        <v>0</v>
      </c>
      <c r="Y752" s="25" t="n">
        <v>821.460815429688</v>
      </c>
      <c r="Z752" s="25" t="n">
        <v>0.213200002908707</v>
      </c>
      <c r="AA752" s="25" t="n">
        <v>1.80800008773804</v>
      </c>
      <c r="AB752" s="25" t="n">
        <v>0.497599989175797</v>
      </c>
      <c r="AC752" s="25" t="n">
        <v>0.0688000023365021</v>
      </c>
      <c r="AD752" s="25" t="n">
        <v>0.0234000012278557</v>
      </c>
      <c r="AE752" s="25" t="n">
        <v>0.837199985980988</v>
      </c>
      <c r="AF752" s="25" t="n">
        <v>0.243000000715256</v>
      </c>
      <c r="AG752" s="25" t="n">
        <v>0.136600002646446</v>
      </c>
      <c r="AH752" s="25" t="n">
        <v>0.333600014448166</v>
      </c>
      <c r="AI752" s="25" t="n">
        <v>19.1809997558594</v>
      </c>
      <c r="AJ752" s="6" t="n">
        <v>125</v>
      </c>
      <c r="AK752" s="6" t="n">
        <v>151</v>
      </c>
      <c r="AL752" s="26"/>
    </row>
    <row r="753" customFormat="false" ht="15" hidden="false" customHeight="false" outlineLevel="0" collapsed="false">
      <c r="A753" s="6" t="s">
        <v>4302</v>
      </c>
      <c r="B753" s="6" t="s">
        <v>4303</v>
      </c>
      <c r="C753" s="6"/>
      <c r="D753" s="13" t="n">
        <v>83.29150390625</v>
      </c>
      <c r="E753" s="25" t="n">
        <v>3.15650010108948</v>
      </c>
      <c r="F753" s="25" t="n">
        <v>15.99524974823</v>
      </c>
      <c r="G753" s="25" t="n">
        <v>0.543749988079071</v>
      </c>
      <c r="H753" s="25" t="n">
        <v>2.24900007247925</v>
      </c>
      <c r="I753" s="25" t="n">
        <v>6.58500003814697</v>
      </c>
      <c r="J753" s="25" t="n">
        <v>0.0580927505493164</v>
      </c>
      <c r="K753" s="25" t="n">
        <v>0.0813002471923828</v>
      </c>
      <c r="L753" s="25" t="n">
        <v>0.252232498168945</v>
      </c>
      <c r="M753" s="25" t="n">
        <v>0</v>
      </c>
      <c r="N753" s="25" t="n">
        <v>3.87549996376038</v>
      </c>
      <c r="O753" s="25" t="n">
        <v>151.350006103516</v>
      </c>
      <c r="P753" s="25" t="n">
        <v>14.9274997711182</v>
      </c>
      <c r="Q753" s="25" t="n">
        <v>61.3397483825684</v>
      </c>
      <c r="R753" s="25" t="n">
        <v>28.7172508239746</v>
      </c>
      <c r="S753" s="25" t="n">
        <v>1.28725004196167</v>
      </c>
      <c r="T753" s="25" t="n">
        <v>0.611500024795532</v>
      </c>
      <c r="U753" s="25" t="n">
        <v>0.126750007271767</v>
      </c>
      <c r="V753" s="25" t="n">
        <v>9.04425048828125</v>
      </c>
      <c r="W753" s="25" t="n">
        <v>0.432500004768372</v>
      </c>
      <c r="X753" s="25" t="n">
        <v>0</v>
      </c>
      <c r="Y753" s="25" t="n">
        <v>119.33674621582</v>
      </c>
      <c r="Z753" s="25" t="n">
        <v>0.0407500006258488</v>
      </c>
      <c r="AA753" s="25" t="n">
        <v>0.318749994039536</v>
      </c>
      <c r="AB753" s="25" t="n">
        <v>0</v>
      </c>
      <c r="AC753" s="25" t="n">
        <v>0.0692500025033951</v>
      </c>
      <c r="AD753" s="25" t="n">
        <v>0.0272500012069941</v>
      </c>
      <c r="AE753" s="25" t="n">
        <v>0.364749997854233</v>
      </c>
      <c r="AF753" s="25" t="n">
        <v>0.235499992966652</v>
      </c>
      <c r="AG753" s="25" t="n">
        <v>0.0907500013709068</v>
      </c>
      <c r="AH753" s="25" t="n">
        <v>0.192499995231628</v>
      </c>
      <c r="AI753" s="25" t="n">
        <v>18.1712493896484</v>
      </c>
      <c r="AJ753" s="6" t="n">
        <v>133.3</v>
      </c>
      <c r="AK753" s="6" t="n">
        <v>111.1</v>
      </c>
      <c r="AL753" s="26"/>
    </row>
    <row r="754" customFormat="false" ht="15" hidden="false" customHeight="false" outlineLevel="0" collapsed="false">
      <c r="A754" s="6" t="s">
        <v>4304</v>
      </c>
      <c r="B754" s="6" t="s">
        <v>4305</v>
      </c>
      <c r="C754" s="6"/>
      <c r="D754" s="13" t="n">
        <v>93.3652038574219</v>
      </c>
      <c r="E754" s="25" t="n">
        <v>2.61199998855591</v>
      </c>
      <c r="F754" s="25" t="n">
        <v>17.4150009155273</v>
      </c>
      <c r="G754" s="25" t="n">
        <v>1.43475008010864</v>
      </c>
      <c r="H754" s="25" t="n">
        <v>1.02049994468689</v>
      </c>
      <c r="I754" s="25" t="n">
        <v>6.61350011825562</v>
      </c>
      <c r="J754" s="25" t="n">
        <v>0.243976257324219</v>
      </c>
      <c r="K754" s="25" t="n">
        <v>0.514527221679688</v>
      </c>
      <c r="L754" s="25" t="n">
        <v>0.4365625</v>
      </c>
      <c r="M754" s="25" t="n">
        <v>0</v>
      </c>
      <c r="N754" s="25" t="n">
        <v>2.67774987220764</v>
      </c>
      <c r="O754" s="25" t="n">
        <v>82.4250030517578</v>
      </c>
      <c r="P754" s="25" t="n">
        <v>13.7839994430542</v>
      </c>
      <c r="Q754" s="25" t="n">
        <v>41.5647506713867</v>
      </c>
      <c r="R754" s="25" t="n">
        <v>23.109001159668</v>
      </c>
      <c r="S754" s="25" t="n">
        <v>1.01974999904633</v>
      </c>
      <c r="T754" s="25" t="n">
        <v>0.333249986171722</v>
      </c>
      <c r="U754" s="25" t="n">
        <v>0.0667499974370003</v>
      </c>
      <c r="V754" s="25" t="n">
        <v>0.285250008106232</v>
      </c>
      <c r="W754" s="25" t="n">
        <v>0.267500013113022</v>
      </c>
      <c r="X754" s="25" t="n">
        <v>0</v>
      </c>
      <c r="Y754" s="25" t="n">
        <v>10.1027498245239</v>
      </c>
      <c r="Z754" s="25" t="n">
        <v>0.241000011563301</v>
      </c>
      <c r="AA754" s="25" t="n">
        <v>0.608500003814697</v>
      </c>
      <c r="AB754" s="25" t="n">
        <v>0</v>
      </c>
      <c r="AC754" s="25" t="n">
        <v>0.0507500022649765</v>
      </c>
      <c r="AD754" s="25" t="n">
        <v>0.0162500012665987</v>
      </c>
      <c r="AE754" s="25" t="n">
        <v>0.56725001335144</v>
      </c>
      <c r="AF754" s="25" t="n">
        <v>0.142499998211861</v>
      </c>
      <c r="AG754" s="25" t="n">
        <v>0.0885000005364418</v>
      </c>
      <c r="AH754" s="25" t="n">
        <v>0.62975001335144</v>
      </c>
      <c r="AI754" s="25" t="n">
        <v>13.0017499923706</v>
      </c>
      <c r="AJ754" s="6" t="n">
        <v>133.3</v>
      </c>
      <c r="AK754" s="6" t="n">
        <v>124.5</v>
      </c>
      <c r="AL754" s="26"/>
    </row>
    <row r="755" customFormat="false" ht="15" hidden="false" customHeight="false" outlineLevel="0" collapsed="false">
      <c r="A755" s="6" t="s">
        <v>4306</v>
      </c>
      <c r="B755" s="6" t="s">
        <v>4307</v>
      </c>
      <c r="C755" s="6"/>
      <c r="D755" s="13" t="n">
        <v>151.570983886719</v>
      </c>
      <c r="E755" s="25" t="n">
        <v>4.26745080947876</v>
      </c>
      <c r="F755" s="25" t="n">
        <v>27.8047046661377</v>
      </c>
      <c r="G755" s="25" t="n">
        <v>2.7423529624939</v>
      </c>
      <c r="H755" s="25" t="n">
        <v>3.4650981426239</v>
      </c>
      <c r="I755" s="25" t="n">
        <v>8.83921527862549</v>
      </c>
      <c r="J755" s="25" t="n">
        <v>0.331607849121094</v>
      </c>
      <c r="K755" s="25" t="n">
        <v>0.516235290527344</v>
      </c>
      <c r="L755" s="25" t="n">
        <v>1.63537255859375</v>
      </c>
      <c r="M755" s="25" t="n">
        <v>0</v>
      </c>
      <c r="N755" s="25" t="n">
        <v>1.02901959419251</v>
      </c>
      <c r="O755" s="25" t="n">
        <v>96.8627471923828</v>
      </c>
      <c r="P755" s="25" t="n">
        <v>12.6133337020874</v>
      </c>
      <c r="Q755" s="25" t="n">
        <v>91.4509811401367</v>
      </c>
      <c r="R755" s="25" t="n">
        <v>34.4313735961914</v>
      </c>
      <c r="S755" s="25" t="n">
        <v>1.18862748146057</v>
      </c>
      <c r="T755" s="25" t="n">
        <v>0.796078443527222</v>
      </c>
      <c r="U755" s="25" t="n">
        <v>0.143725484609604</v>
      </c>
      <c r="V755" s="25" t="n">
        <v>12.8125486373901</v>
      </c>
      <c r="W755" s="25" t="n">
        <v>0.829803884029388</v>
      </c>
      <c r="X755" s="25" t="n">
        <v>0</v>
      </c>
      <c r="Y755" s="25" t="n">
        <v>69.3333358764648</v>
      </c>
      <c r="Z755" s="25" t="n">
        <v>1.22549021244049</v>
      </c>
      <c r="AA755" s="25" t="n">
        <v>1.17607843875885</v>
      </c>
      <c r="AB755" s="25" t="n">
        <v>0</v>
      </c>
      <c r="AC755" s="25" t="n">
        <v>0.134117648005486</v>
      </c>
      <c r="AD755" s="25" t="n">
        <v>0.0486274547874928</v>
      </c>
      <c r="AE755" s="25" t="n">
        <v>0.706666648387909</v>
      </c>
      <c r="AF755" s="25" t="n">
        <v>0.301960796117783</v>
      </c>
      <c r="AG755" s="25" t="n">
        <v>0.0941176488995552</v>
      </c>
      <c r="AH755" s="25" t="n">
        <v>0.837647020816803</v>
      </c>
      <c r="AI755" s="25" t="n">
        <v>22.0125484466553</v>
      </c>
      <c r="AJ755" s="6" t="n">
        <v>85</v>
      </c>
      <c r="AK755" s="6" t="n">
        <v>128.8</v>
      </c>
      <c r="AL755" s="26"/>
    </row>
    <row r="756" customFormat="false" ht="15" hidden="false" customHeight="false" outlineLevel="0" collapsed="false">
      <c r="A756" s="6" t="s">
        <v>4308</v>
      </c>
      <c r="B756" s="6" t="s">
        <v>4309</v>
      </c>
      <c r="C756" s="6"/>
      <c r="D756" s="13" t="n">
        <v>213.188003540039</v>
      </c>
      <c r="E756" s="25" t="n">
        <v>4.27299976348877</v>
      </c>
      <c r="F756" s="25" t="n">
        <v>36.1549987792969</v>
      </c>
      <c r="G756" s="25" t="n">
        <v>5.45100021362305</v>
      </c>
      <c r="H756" s="25" t="n">
        <v>1.70099997520447</v>
      </c>
      <c r="I756" s="25" t="n">
        <v>31.6749992370606</v>
      </c>
      <c r="J756" s="25" t="n">
        <v>1.68026904296875</v>
      </c>
      <c r="K756" s="25" t="n">
        <v>2.20871484375</v>
      </c>
      <c r="L756" s="25" t="n">
        <v>1.249330078125</v>
      </c>
      <c r="M756" s="25" t="n">
        <v>0</v>
      </c>
      <c r="N756" s="25" t="n">
        <v>16.8479995727539</v>
      </c>
      <c r="O756" s="25" t="n">
        <v>357.399993896484</v>
      </c>
      <c r="P756" s="25" t="n">
        <v>74.9309997558594</v>
      </c>
      <c r="Q756" s="25" t="n">
        <v>96.681999206543</v>
      </c>
      <c r="R756" s="25" t="n">
        <v>65.75</v>
      </c>
      <c r="S756" s="25" t="n">
        <v>1.89800012111664</v>
      </c>
      <c r="T756" s="25" t="n">
        <v>0.597000002861023</v>
      </c>
      <c r="U756" s="25" t="n">
        <v>0.157999992370606</v>
      </c>
      <c r="V756" s="25" t="n">
        <v>0.625999987125397</v>
      </c>
      <c r="W756" s="25" t="n">
        <v>0.489000022411346</v>
      </c>
      <c r="X756" s="25" t="n">
        <v>0</v>
      </c>
      <c r="Y756" s="25" t="n">
        <v>151.826995849609</v>
      </c>
      <c r="Z756" s="25" t="n">
        <v>0.532999992370606</v>
      </c>
      <c r="AA756" s="25" t="n">
        <v>0.910000026226044</v>
      </c>
      <c r="AB756" s="25" t="n">
        <v>3.02099990844727</v>
      </c>
      <c r="AC756" s="25" t="n">
        <v>0.0810000002384186</v>
      </c>
      <c r="AD756" s="25" t="n">
        <v>0.0599999986588955</v>
      </c>
      <c r="AE756" s="25" t="n">
        <v>1.30900001525879</v>
      </c>
      <c r="AF756" s="25" t="n">
        <v>0.377000004053116</v>
      </c>
      <c r="AG756" s="25" t="n">
        <v>0.400999993085861</v>
      </c>
      <c r="AH756" s="25" t="n">
        <v>1.39100003242493</v>
      </c>
      <c r="AI756" s="25" t="n">
        <v>20.8950004577637</v>
      </c>
      <c r="AJ756" s="6" t="n">
        <v>100</v>
      </c>
      <c r="AK756" s="6" t="n">
        <v>213.2</v>
      </c>
      <c r="AL756" s="26"/>
    </row>
    <row r="757" customFormat="false" ht="15" hidden="false" customHeight="false" outlineLevel="0" collapsed="false">
      <c r="A757" s="6" t="s">
        <v>4310</v>
      </c>
      <c r="B757" s="6" t="s">
        <v>4311</v>
      </c>
      <c r="C757" s="6"/>
      <c r="D757" s="13" t="n">
        <v>383.332092285156</v>
      </c>
      <c r="E757" s="25" t="n">
        <v>10.7969999313355</v>
      </c>
      <c r="F757" s="25" t="n">
        <v>65.0380020141602</v>
      </c>
      <c r="G757" s="25" t="n">
        <v>8.32900047302246</v>
      </c>
      <c r="H757" s="25" t="n">
        <v>4.50899982452393</v>
      </c>
      <c r="I757" s="25" t="n">
        <v>26.5429992675781</v>
      </c>
      <c r="J757" s="25" t="n">
        <v>1.73426904296875</v>
      </c>
      <c r="K757" s="25" t="n">
        <v>3.71214990234375</v>
      </c>
      <c r="L757" s="25" t="n">
        <v>2.46653002929688</v>
      </c>
      <c r="M757" s="25" t="n">
        <v>0</v>
      </c>
      <c r="N757" s="25" t="n">
        <v>12.3339996337891</v>
      </c>
      <c r="O757" s="25" t="n">
        <v>465.799987792969</v>
      </c>
      <c r="P757" s="25" t="n">
        <v>50.4570007324219</v>
      </c>
      <c r="Q757" s="25" t="n">
        <v>198.158996582031</v>
      </c>
      <c r="R757" s="25" t="n">
        <v>100.087997436523</v>
      </c>
      <c r="S757" s="25" t="n">
        <v>2.75800013542175</v>
      </c>
      <c r="T757" s="25" t="n">
        <v>1.45200002193451</v>
      </c>
      <c r="U757" s="25" t="n">
        <v>0.409999996423721</v>
      </c>
      <c r="V757" s="25" t="n">
        <v>6.17199993133545</v>
      </c>
      <c r="W757" s="25" t="n">
        <v>0.953999996185303</v>
      </c>
      <c r="X757" s="25" t="n">
        <v>0</v>
      </c>
      <c r="Y757" s="25" t="n">
        <v>102.766998291016</v>
      </c>
      <c r="Z757" s="25" t="n">
        <v>0.926999986171722</v>
      </c>
      <c r="AA757" s="25" t="n">
        <v>1.9300000667572</v>
      </c>
      <c r="AB757" s="25" t="n">
        <v>0</v>
      </c>
      <c r="AC757" s="25" t="n">
        <v>0.229000002145767</v>
      </c>
      <c r="AD757" s="25" t="n">
        <v>0.063000001013279</v>
      </c>
      <c r="AE757" s="25" t="n">
        <v>3.46399998664856</v>
      </c>
      <c r="AF757" s="25" t="n">
        <v>0.658999979496002</v>
      </c>
      <c r="AG757" s="25" t="n">
        <v>0.36599999666214</v>
      </c>
      <c r="AH757" s="25" t="n">
        <v>0.685000002384186</v>
      </c>
      <c r="AI757" s="25" t="n">
        <v>35.6049995422363</v>
      </c>
      <c r="AJ757" s="6" t="n">
        <v>33.3</v>
      </c>
      <c r="AK757" s="6" t="n">
        <v>127.8</v>
      </c>
      <c r="AL757" s="26"/>
    </row>
    <row r="758" customFormat="false" ht="15" hidden="false" customHeight="false" outlineLevel="0" collapsed="false">
      <c r="A758" s="6" t="s">
        <v>4312</v>
      </c>
      <c r="B758" s="6" t="s">
        <v>4313</v>
      </c>
      <c r="C758" s="6"/>
      <c r="D758" s="13" t="n">
        <v>117.289245605469</v>
      </c>
      <c r="E758" s="25" t="n">
        <v>3.26150012016296</v>
      </c>
      <c r="F758" s="25" t="n">
        <v>23.1909999847412</v>
      </c>
      <c r="G758" s="25" t="n">
        <v>1.06150007247925</v>
      </c>
      <c r="H758" s="25" t="n">
        <v>1.44050002098084</v>
      </c>
      <c r="I758" s="25" t="n">
        <v>13.8385000228882</v>
      </c>
      <c r="J758" s="25" t="n">
        <v>0.573021545410156</v>
      </c>
      <c r="K758" s="25" t="n">
        <v>0.254576995849609</v>
      </c>
      <c r="L758" s="25" t="n">
        <v>0.0917649993896484</v>
      </c>
      <c r="M758" s="25" t="n">
        <v>0</v>
      </c>
      <c r="N758" s="25" t="n">
        <v>9.63700008392334</v>
      </c>
      <c r="O758" s="25" t="n">
        <v>188</v>
      </c>
      <c r="P758" s="25" t="n">
        <v>44.744499206543</v>
      </c>
      <c r="Q758" s="25" t="n">
        <v>63.1914978027344</v>
      </c>
      <c r="R758" s="25" t="n">
        <v>30.4449996948242</v>
      </c>
      <c r="S758" s="25" t="n">
        <v>1.21899998188019</v>
      </c>
      <c r="T758" s="25" t="n">
        <v>0.471000015735626</v>
      </c>
      <c r="U758" s="25" t="n">
        <v>0.111000001430512</v>
      </c>
      <c r="V758" s="25" t="n">
        <v>3.78999996185303</v>
      </c>
      <c r="W758" s="25" t="n">
        <v>0.35699999332428</v>
      </c>
      <c r="X758" s="25" t="n">
        <v>0</v>
      </c>
      <c r="Y758" s="25" t="n">
        <v>101.323501586914</v>
      </c>
      <c r="Z758" s="25" t="n">
        <v>0.0815000012516975</v>
      </c>
      <c r="AA758" s="25" t="n">
        <v>0.534999966621399</v>
      </c>
      <c r="AB758" s="25" t="n">
        <v>0.40200001001358</v>
      </c>
      <c r="AC758" s="25" t="n">
        <v>0.0584999993443489</v>
      </c>
      <c r="AD758" s="25" t="n">
        <v>0.033500000834465</v>
      </c>
      <c r="AE758" s="25" t="n">
        <v>0.223999992012978</v>
      </c>
      <c r="AF758" s="25" t="n">
        <v>0.261500000953674</v>
      </c>
      <c r="AG758" s="25" t="n">
        <v>0.135000005364418</v>
      </c>
      <c r="AH758" s="25" t="n">
        <v>0.559499979019165</v>
      </c>
      <c r="AI758" s="25" t="n">
        <v>10.7395000457764</v>
      </c>
      <c r="AJ758" s="6" t="n">
        <v>200</v>
      </c>
      <c r="AK758" s="6" t="n">
        <v>234.6</v>
      </c>
      <c r="AL758" s="26"/>
    </row>
    <row r="759" customFormat="false" ht="15" hidden="false" customHeight="false" outlineLevel="0" collapsed="false">
      <c r="A759" s="6" t="s">
        <v>4314</v>
      </c>
      <c r="B759" s="6" t="s">
        <v>4315</v>
      </c>
      <c r="C759" s="6"/>
      <c r="D759" s="13" t="n">
        <v>102.179481506348</v>
      </c>
      <c r="E759" s="25" t="n">
        <v>3.42861890792847</v>
      </c>
      <c r="F759" s="25" t="n">
        <v>17.3502502441406</v>
      </c>
      <c r="G759" s="25" t="n">
        <v>1.90865218639374</v>
      </c>
      <c r="H759" s="25" t="n">
        <v>1.56023299694061</v>
      </c>
      <c r="I759" s="25" t="n">
        <v>0.206489190459251</v>
      </c>
      <c r="J759" s="25" t="n">
        <v>0.257354400634766</v>
      </c>
      <c r="K759" s="25" t="n">
        <v>0.3613505859375</v>
      </c>
      <c r="L759" s="25" t="n">
        <v>1.15324462890625</v>
      </c>
      <c r="M759" s="25" t="n">
        <v>0</v>
      </c>
      <c r="N759" s="25" t="n">
        <v>69.5923461914063</v>
      </c>
      <c r="O759" s="25" t="n">
        <v>170.863555908203</v>
      </c>
      <c r="P759" s="25" t="n">
        <v>10.4311151504517</v>
      </c>
      <c r="Q759" s="25" t="n">
        <v>60.0742111206055</v>
      </c>
      <c r="R759" s="25" t="n">
        <v>23.2559070587158</v>
      </c>
      <c r="S759" s="25" t="n">
        <v>0.645257890224457</v>
      </c>
      <c r="T759" s="25" t="n">
        <v>0.417637288570404</v>
      </c>
      <c r="U759" s="25" t="n">
        <v>0.137237936258316</v>
      </c>
      <c r="V759" s="25" t="n">
        <v>4.50848579406738</v>
      </c>
      <c r="W759" s="25" t="n">
        <v>0.287520796060562</v>
      </c>
      <c r="X759" s="25" t="n">
        <v>0</v>
      </c>
      <c r="Y759" s="25" t="n">
        <v>695.108154296875</v>
      </c>
      <c r="Z759" s="25" t="n">
        <v>0.938935101032257</v>
      </c>
      <c r="AA759" s="25" t="n">
        <v>22.6755409240723</v>
      </c>
      <c r="AB759" s="25" t="n">
        <v>2.0153079032898</v>
      </c>
      <c r="AC759" s="25" t="n">
        <v>0.0680532455444336</v>
      </c>
      <c r="AD759" s="25" t="n">
        <v>0.0266222953796387</v>
      </c>
      <c r="AE759" s="25" t="n">
        <v>0.592678844928742</v>
      </c>
      <c r="AF759" s="25" t="n">
        <v>0.245923459529877</v>
      </c>
      <c r="AG759" s="25" t="n">
        <v>0.0623960047960281</v>
      </c>
      <c r="AH759" s="25" t="n">
        <v>0.381198018789291</v>
      </c>
      <c r="AI759" s="25" t="n">
        <v>18.7362728118897</v>
      </c>
      <c r="AJ759" s="6" t="n">
        <v>150.3</v>
      </c>
      <c r="AK759" s="6" t="n">
        <v>153.5</v>
      </c>
      <c r="AL759" s="26"/>
    </row>
    <row r="760" customFormat="false" ht="15" hidden="false" customHeight="false" outlineLevel="0" collapsed="false">
      <c r="A760" s="6" t="s">
        <v>4316</v>
      </c>
      <c r="B760" s="6" t="s">
        <v>4317</v>
      </c>
      <c r="C760" s="6"/>
      <c r="D760" s="13" t="n">
        <v>174.209197998047</v>
      </c>
      <c r="E760" s="25" t="n">
        <v>4.69999980926514</v>
      </c>
      <c r="F760" s="25" t="n">
        <v>36.0180015563965</v>
      </c>
      <c r="G760" s="25" t="n">
        <v>0.940000057220459</v>
      </c>
      <c r="H760" s="25" t="n">
        <v>1.93499994277954</v>
      </c>
      <c r="I760" s="25" t="n">
        <v>27.3619995117188</v>
      </c>
      <c r="J760" s="25" t="n">
        <v>0.463252014160156</v>
      </c>
      <c r="K760" s="25" t="n">
        <v>0.177233993530273</v>
      </c>
      <c r="L760" s="25" t="n">
        <v>0.165229995727539</v>
      </c>
      <c r="M760" s="25" t="n">
        <v>2.20000004768372</v>
      </c>
      <c r="N760" s="25" t="n">
        <v>34.9379997253418</v>
      </c>
      <c r="O760" s="25" t="n">
        <v>527.200012207031</v>
      </c>
      <c r="P760" s="25" t="n">
        <v>90.0550003051758</v>
      </c>
      <c r="Q760" s="25" t="n">
        <v>114.208000183106</v>
      </c>
      <c r="R760" s="25" t="n">
        <v>68.984001159668</v>
      </c>
      <c r="S760" s="25" t="n">
        <v>2.27100014686585</v>
      </c>
      <c r="T760" s="25" t="n">
        <v>0.651000022888184</v>
      </c>
      <c r="U760" s="25" t="n">
        <v>0.160999998450279</v>
      </c>
      <c r="V760" s="25" t="n">
        <v>5.79500007629395</v>
      </c>
      <c r="W760" s="25" t="n">
        <v>0.476999998092651</v>
      </c>
      <c r="X760" s="25" t="n">
        <v>5.59999990463257</v>
      </c>
      <c r="Y760" s="25" t="n">
        <v>2006.24694824219</v>
      </c>
      <c r="Z760" s="25" t="n">
        <v>0.206999987363815</v>
      </c>
      <c r="AA760" s="25" t="n">
        <v>35.5890007019043</v>
      </c>
      <c r="AB760" s="25" t="n">
        <v>8.48000049591065</v>
      </c>
      <c r="AC760" s="25" t="n">
        <v>0.090999998152256</v>
      </c>
      <c r="AD760" s="25" t="n">
        <v>0.0839999988675118</v>
      </c>
      <c r="AE760" s="25" t="n">
        <v>0.493000000715256</v>
      </c>
      <c r="AF760" s="25" t="n">
        <v>0.465000003576279</v>
      </c>
      <c r="AG760" s="25" t="n">
        <v>0.298000007867813</v>
      </c>
      <c r="AH760" s="25" t="n">
        <v>1.59299993515015</v>
      </c>
      <c r="AI760" s="25" t="n">
        <v>36.8370018005371</v>
      </c>
      <c r="AJ760" s="6" t="n">
        <v>100</v>
      </c>
      <c r="AK760" s="6" t="n">
        <v>174.2</v>
      </c>
      <c r="AL760" s="26"/>
    </row>
    <row r="761" customFormat="false" ht="15" hidden="false" customHeight="false" outlineLevel="0" collapsed="false">
      <c r="A761" s="6" t="s">
        <v>4318</v>
      </c>
      <c r="B761" s="6" t="s">
        <v>4319</v>
      </c>
      <c r="C761" s="6"/>
      <c r="D761" s="13" t="n">
        <v>52.5369758605957</v>
      </c>
      <c r="E761" s="25" t="n">
        <v>2.71130681037903</v>
      </c>
      <c r="F761" s="25" t="n">
        <v>8.3647575378418</v>
      </c>
      <c r="G761" s="25" t="n">
        <v>0.94214391708374</v>
      </c>
      <c r="H761" s="25" t="n">
        <v>1.28458154201508</v>
      </c>
      <c r="I761" s="25" t="n">
        <v>0.917474329471588</v>
      </c>
      <c r="J761" s="25" t="n">
        <v>0.491512481689453</v>
      </c>
      <c r="K761" s="25" t="n">
        <v>0.216026443481445</v>
      </c>
      <c r="L761" s="25" t="n">
        <v>0.0556828193664551</v>
      </c>
      <c r="M761" s="25" t="n">
        <v>0</v>
      </c>
      <c r="N761" s="25" t="n">
        <v>62.7911911010742</v>
      </c>
      <c r="O761" s="25" t="n">
        <v>94.8737182617188</v>
      </c>
      <c r="P761" s="25" t="n">
        <v>26.2778282165527</v>
      </c>
      <c r="Q761" s="25" t="n">
        <v>41.451099395752</v>
      </c>
      <c r="R761" s="25" t="n">
        <v>10.6748895645142</v>
      </c>
      <c r="S761" s="25" t="n">
        <v>0.522026419639587</v>
      </c>
      <c r="T761" s="25" t="n">
        <v>0.204552128911018</v>
      </c>
      <c r="U761" s="25" t="n">
        <v>0.0623788572847843</v>
      </c>
      <c r="V761" s="25" t="n">
        <v>3.11248159408569</v>
      </c>
      <c r="W761" s="25" t="n">
        <v>0.0593245215713978</v>
      </c>
      <c r="X761" s="25" t="n">
        <v>0</v>
      </c>
      <c r="Y761" s="25" t="n">
        <v>71.6005859375</v>
      </c>
      <c r="Z761" s="25" t="n">
        <v>0.0522760637104511</v>
      </c>
      <c r="AA761" s="25" t="n">
        <v>0.487518340349197</v>
      </c>
      <c r="AB761" s="25" t="n">
        <v>0.35418501496315</v>
      </c>
      <c r="AC761" s="25" t="n">
        <v>0.0258443467319012</v>
      </c>
      <c r="AD761" s="25" t="n">
        <v>0.0264317188411951</v>
      </c>
      <c r="AE761" s="25" t="n">
        <v>0.122173272073269</v>
      </c>
      <c r="AF761" s="25" t="n">
        <v>0.1585903018713</v>
      </c>
      <c r="AG761" s="25" t="n">
        <v>0.0182085167616606</v>
      </c>
      <c r="AH761" s="25" t="n">
        <v>0.387077808380127</v>
      </c>
      <c r="AI761" s="25" t="n">
        <v>6.64904594421387</v>
      </c>
      <c r="AJ761" s="6" t="n">
        <v>170.2</v>
      </c>
      <c r="AK761" s="6" t="n">
        <v>89.4</v>
      </c>
      <c r="AL761" s="26"/>
    </row>
    <row r="762" customFormat="false" ht="15" hidden="false" customHeight="false" outlineLevel="0" collapsed="false">
      <c r="A762" s="6" t="s">
        <v>4320</v>
      </c>
      <c r="B762" s="6" t="s">
        <v>4321</v>
      </c>
      <c r="C762" s="6"/>
      <c r="D762" s="13" t="n">
        <v>89.5705413818359</v>
      </c>
      <c r="E762" s="25" t="n">
        <v>2.13985300064087</v>
      </c>
      <c r="F762" s="25" t="n">
        <v>15.6416177749634</v>
      </c>
      <c r="G762" s="25" t="n">
        <v>1.88661766052246</v>
      </c>
      <c r="H762" s="25" t="n">
        <v>1.68014705181122</v>
      </c>
      <c r="I762" s="25" t="n">
        <v>7.68661737442017</v>
      </c>
      <c r="J762" s="25" t="n">
        <v>0.233800582885742</v>
      </c>
      <c r="K762" s="25" t="n">
        <v>0.373137359619141</v>
      </c>
      <c r="L762" s="25" t="n">
        <v>1.10768530273438</v>
      </c>
      <c r="M762" s="25" t="n">
        <v>0</v>
      </c>
      <c r="N762" s="25" t="n">
        <v>5.58720588684082</v>
      </c>
      <c r="O762" s="25" t="n">
        <v>140.176467895508</v>
      </c>
      <c r="P762" s="25" t="n">
        <v>17.0232353210449</v>
      </c>
      <c r="Q762" s="25" t="n">
        <v>46.787353515625</v>
      </c>
      <c r="R762" s="25" t="n">
        <v>31.3522052764893</v>
      </c>
      <c r="S762" s="25" t="n">
        <v>1.11470592021942</v>
      </c>
      <c r="T762" s="25" t="n">
        <v>0.426323533058167</v>
      </c>
      <c r="U762" s="25" t="n">
        <v>0.0983823537826538</v>
      </c>
      <c r="V762" s="25" t="n">
        <v>3.07352948188782</v>
      </c>
      <c r="W762" s="25" t="n">
        <v>0.243235290050507</v>
      </c>
      <c r="X762" s="25" t="n">
        <v>0</v>
      </c>
      <c r="Y762" s="25" t="n">
        <v>678.190307617188</v>
      </c>
      <c r="Z762" s="25" t="n">
        <v>0.842058837413788</v>
      </c>
      <c r="AA762" s="25" t="n">
        <v>19.5963230133057</v>
      </c>
      <c r="AB762" s="25" t="n">
        <v>1.78117656707764</v>
      </c>
      <c r="AC762" s="25" t="n">
        <v>0.057058822363615</v>
      </c>
      <c r="AD762" s="25" t="n">
        <v>0.0217647068202496</v>
      </c>
      <c r="AE762" s="25" t="n">
        <v>0.338382333517075</v>
      </c>
      <c r="AF762" s="25" t="n">
        <v>0.121470585465431</v>
      </c>
      <c r="AG762" s="25" t="n">
        <v>0.109411761164665</v>
      </c>
      <c r="AH762" s="25" t="n">
        <v>0.393088221549988</v>
      </c>
      <c r="AI762" s="25" t="n">
        <v>14.1063232421875</v>
      </c>
      <c r="AJ762" s="6" t="n">
        <v>170</v>
      </c>
      <c r="AK762" s="6" t="n">
        <v>152.3</v>
      </c>
      <c r="AL762" s="26"/>
    </row>
    <row r="763" customFormat="false" ht="15" hidden="false" customHeight="false" outlineLevel="0" collapsed="false">
      <c r="A763" s="6" t="s">
        <v>4322</v>
      </c>
      <c r="B763" s="6" t="s">
        <v>4323</v>
      </c>
      <c r="C763" s="6"/>
      <c r="D763" s="13" t="n">
        <v>105.372505187988</v>
      </c>
      <c r="E763" s="25" t="n">
        <v>3.35520839691162</v>
      </c>
      <c r="F763" s="25" t="n">
        <v>13.5906248092651</v>
      </c>
      <c r="G763" s="25" t="n">
        <v>4.39479160308838</v>
      </c>
      <c r="H763" s="25" t="n">
        <v>2.07291674613953</v>
      </c>
      <c r="I763" s="25" t="n">
        <v>11.4979162216187</v>
      </c>
      <c r="J763" s="25" t="n">
        <v>0.924583312988281</v>
      </c>
      <c r="K763" s="25" t="n">
        <v>1.92794995117188</v>
      </c>
      <c r="L763" s="25" t="n">
        <v>1.32958337402344</v>
      </c>
      <c r="M763" s="25" t="n">
        <v>0</v>
      </c>
      <c r="N763" s="25" t="n">
        <v>19.5218753814697</v>
      </c>
      <c r="O763" s="25" t="n">
        <v>331.666656494141</v>
      </c>
      <c r="P763" s="25" t="n">
        <v>40.9541664123535</v>
      </c>
      <c r="Q763" s="25" t="n">
        <v>54.4124984741211</v>
      </c>
      <c r="R763" s="25" t="n">
        <v>56.966667175293</v>
      </c>
      <c r="S763" s="25" t="n">
        <v>1.60833334922791</v>
      </c>
      <c r="T763" s="25" t="n">
        <v>0.533333361148834</v>
      </c>
      <c r="U763" s="25" t="n">
        <v>0.179166674613953</v>
      </c>
      <c r="V763" s="25" t="n">
        <v>1.22604167461395</v>
      </c>
      <c r="W763" s="25" t="n">
        <v>0.635416686534882</v>
      </c>
      <c r="X763" s="25" t="n">
        <v>0</v>
      </c>
      <c r="Y763" s="25" t="n">
        <v>3989.04174804688</v>
      </c>
      <c r="Z763" s="25" t="n">
        <v>0.983333349227905</v>
      </c>
      <c r="AA763" s="25" t="n">
        <v>135.67707824707</v>
      </c>
      <c r="AB763" s="25" t="n">
        <v>12.6166667938232</v>
      </c>
      <c r="AC763" s="25" t="n">
        <v>0.126041665673256</v>
      </c>
      <c r="AD763" s="25" t="n">
        <v>0.054166667163372</v>
      </c>
      <c r="AE763" s="25" t="n">
        <v>1.31979167461395</v>
      </c>
      <c r="AF763" s="25" t="n">
        <v>0.196875005960465</v>
      </c>
      <c r="AG763" s="25" t="n">
        <v>0.086458332836628</v>
      </c>
      <c r="AH763" s="25" t="n">
        <v>1.89270830154419</v>
      </c>
      <c r="AI763" s="25" t="n">
        <v>68.6322937011719</v>
      </c>
      <c r="AJ763" s="6" t="n">
        <v>240</v>
      </c>
      <c r="AK763" s="6" t="n">
        <v>252.9</v>
      </c>
      <c r="AL763" s="26"/>
    </row>
    <row r="764" customFormat="false" ht="15" hidden="false" customHeight="false" outlineLevel="0" collapsed="false">
      <c r="A764" s="6" t="s">
        <v>4324</v>
      </c>
      <c r="B764" s="6" t="s">
        <v>4325</v>
      </c>
      <c r="C764" s="6" t="s">
        <v>3299</v>
      </c>
      <c r="D764" s="13" t="n">
        <v>287.358520507813</v>
      </c>
      <c r="E764" s="25" t="n">
        <v>4.64714288711548</v>
      </c>
      <c r="F764" s="25" t="n">
        <v>54.6320419311523</v>
      </c>
      <c r="G764" s="25" t="n">
        <v>7.09285736083984</v>
      </c>
      <c r="H764" s="25" t="n">
        <v>2.06122446060181</v>
      </c>
      <c r="I764" s="25" t="n">
        <v>43.3793869018555</v>
      </c>
      <c r="J764" s="25" t="n">
        <v>3.70534692382813</v>
      </c>
      <c r="K764" s="25" t="n">
        <v>1.78055920410156</v>
      </c>
      <c r="L764" s="25" t="n">
        <v>0.857816345214844</v>
      </c>
      <c r="M764" s="25" t="n">
        <v>15.061224937439</v>
      </c>
      <c r="N764" s="25" t="n">
        <v>2.53489804267883</v>
      </c>
      <c r="O764" s="25" t="n">
        <v>64.9591827392578</v>
      </c>
      <c r="P764" s="25" t="n">
        <v>16.4424495697022</v>
      </c>
      <c r="Q764" s="25" t="n">
        <v>45.5073471069336</v>
      </c>
      <c r="R764" s="25" t="n">
        <v>13.6510200500488</v>
      </c>
      <c r="S764" s="25" t="n">
        <v>0.620816349983215</v>
      </c>
      <c r="T764" s="25" t="n">
        <v>0.348571419715881</v>
      </c>
      <c r="U764" s="25" t="n">
        <v>0.104693882167339</v>
      </c>
      <c r="V764" s="25" t="n">
        <v>0.816326558589935</v>
      </c>
      <c r="W764" s="25" t="n">
        <v>0.335102051496506</v>
      </c>
      <c r="X764" s="25" t="n">
        <v>56.4489822387695</v>
      </c>
      <c r="Y764" s="25" t="n">
        <v>122.346740722656</v>
      </c>
      <c r="Z764" s="25" t="n">
        <v>0.872244894504547</v>
      </c>
      <c r="AA764" s="25" t="n">
        <v>1.85714292526245</v>
      </c>
      <c r="AB764" s="25" t="n">
        <v>0.982857167720795</v>
      </c>
      <c r="AC764" s="25" t="n">
        <v>0.0926530584692955</v>
      </c>
      <c r="AD764" s="25" t="n">
        <v>0.0348979607224464</v>
      </c>
      <c r="AE764" s="25" t="n">
        <v>0.389795899391174</v>
      </c>
      <c r="AF764" s="25" t="n">
        <v>0.255510210990906</v>
      </c>
      <c r="AG764" s="25" t="n">
        <v>0.0924489796161652</v>
      </c>
      <c r="AH764" s="25" t="n">
        <v>1.7534693479538</v>
      </c>
      <c r="AI764" s="25" t="n">
        <v>39.6414299011231</v>
      </c>
      <c r="AJ764" s="6" t="n">
        <v>61.2</v>
      </c>
      <c r="AK764" s="6" t="n">
        <v>176</v>
      </c>
      <c r="AL764" s="26"/>
    </row>
    <row r="765" customFormat="false" ht="15" hidden="false" customHeight="false" outlineLevel="0" collapsed="false">
      <c r="A765" s="6" t="s">
        <v>4326</v>
      </c>
      <c r="B765" s="6" t="s">
        <v>4327</v>
      </c>
      <c r="C765" s="6" t="s">
        <v>3299</v>
      </c>
      <c r="D765" s="13" t="n">
        <v>207.007247924805</v>
      </c>
      <c r="E765" s="25" t="n">
        <v>4.29250001907349</v>
      </c>
      <c r="F765" s="25" t="n">
        <v>39.6420021057129</v>
      </c>
      <c r="G765" s="25" t="n">
        <v>3.42350006103516</v>
      </c>
      <c r="H765" s="25" t="n">
        <v>2.55999994277954</v>
      </c>
      <c r="I765" s="25" t="n">
        <v>30.6644992828369</v>
      </c>
      <c r="J765" s="25" t="n">
        <v>1.59815795898438</v>
      </c>
      <c r="K765" s="25" t="n">
        <v>0.806836975097656</v>
      </c>
      <c r="L765" s="25" t="n">
        <v>0.612085021972656</v>
      </c>
      <c r="M765" s="25" t="n">
        <v>6.15000009536743</v>
      </c>
      <c r="N765" s="25" t="n">
        <v>22.2905006408691</v>
      </c>
      <c r="O765" s="25" t="n">
        <v>283.600006103516</v>
      </c>
      <c r="P765" s="25" t="n">
        <v>54.9475021362305</v>
      </c>
      <c r="Q765" s="25" t="n">
        <v>69.8505020141602</v>
      </c>
      <c r="R765" s="25" t="n">
        <v>53.7324981689453</v>
      </c>
      <c r="S765" s="25" t="n">
        <v>2.16499996185303</v>
      </c>
      <c r="T765" s="25" t="n">
        <v>0.444999992847443</v>
      </c>
      <c r="U765" s="25" t="n">
        <v>0.0850000008940697</v>
      </c>
      <c r="V765" s="25" t="n">
        <v>0.655000030994415</v>
      </c>
      <c r="W765" s="25" t="n">
        <v>0.555500030517578</v>
      </c>
      <c r="X765" s="25" t="n">
        <v>23.0499992370606</v>
      </c>
      <c r="Y765" s="25" t="n">
        <v>2402.09643554688</v>
      </c>
      <c r="Z765" s="25" t="n">
        <v>0.591499984264374</v>
      </c>
      <c r="AA765" s="25" t="n">
        <v>5.92549991607666</v>
      </c>
      <c r="AB765" s="25" t="n">
        <v>1.55499994754791</v>
      </c>
      <c r="AC765" s="25" t="n">
        <v>0.091499999165535</v>
      </c>
      <c r="AD765" s="25" t="n">
        <v>0.0364999994635582</v>
      </c>
      <c r="AE765" s="25" t="n">
        <v>0.347000002861023</v>
      </c>
      <c r="AF765" s="25" t="n">
        <v>0.341500014066696</v>
      </c>
      <c r="AG765" s="25" t="n">
        <v>0.343500018119812</v>
      </c>
      <c r="AH765" s="25" t="n">
        <v>1.83799993991852</v>
      </c>
      <c r="AI765" s="25" t="n">
        <v>40</v>
      </c>
      <c r="AJ765" s="6" t="n">
        <v>25</v>
      </c>
      <c r="AK765" s="6" t="n">
        <v>51.8</v>
      </c>
      <c r="AL765" s="26"/>
    </row>
    <row r="766" customFormat="false" ht="15" hidden="false" customHeight="false" outlineLevel="0" collapsed="false">
      <c r="A766" s="6" t="s">
        <v>4328</v>
      </c>
      <c r="B766" s="6" t="s">
        <v>4329</v>
      </c>
      <c r="C766" s="6" t="s">
        <v>3299</v>
      </c>
      <c r="D766" s="13" t="n">
        <v>785.077819824219</v>
      </c>
      <c r="E766" s="25" t="n">
        <v>1.8224812746048</v>
      </c>
      <c r="F766" s="25" t="n">
        <v>7.42214822769165</v>
      </c>
      <c r="G766" s="25" t="n">
        <v>83.1218948364258</v>
      </c>
      <c r="H766" s="25" t="n">
        <v>1.3603663444519</v>
      </c>
      <c r="I766" s="25" t="n">
        <v>0.159367188811302</v>
      </c>
      <c r="J766" s="25" t="n">
        <v>11.2458115234375</v>
      </c>
      <c r="K766" s="25" t="n">
        <v>17.198650390625</v>
      </c>
      <c r="L766" s="25" t="n">
        <v>50.9964375</v>
      </c>
      <c r="M766" s="25" t="n">
        <v>6.55453777313232</v>
      </c>
      <c r="N766" s="25" t="n">
        <v>33.1715240478516</v>
      </c>
      <c r="O766" s="25" t="n">
        <v>42.3355522155762</v>
      </c>
      <c r="P766" s="25" t="n">
        <v>4.63030815124512</v>
      </c>
      <c r="Q766" s="25" t="n">
        <v>32.8567848205566</v>
      </c>
      <c r="R766" s="25" t="n">
        <v>12.8659448623657</v>
      </c>
      <c r="S766" s="25" t="n">
        <v>0.719850122928619</v>
      </c>
      <c r="T766" s="25" t="n">
        <v>0.289841800928116</v>
      </c>
      <c r="U766" s="25" t="n">
        <v>0.0638134926557541</v>
      </c>
      <c r="V766" s="25" t="n">
        <v>2.69109082221985</v>
      </c>
      <c r="W766" s="25" t="n">
        <v>0.158801004290581</v>
      </c>
      <c r="X766" s="25" t="n">
        <v>24.5661964416504</v>
      </c>
      <c r="Y766" s="25" t="n">
        <v>75.3139038085938</v>
      </c>
      <c r="Z766" s="25" t="n">
        <v>39.6181831359863</v>
      </c>
      <c r="AA766" s="25" t="n">
        <v>5.62960863113403</v>
      </c>
      <c r="AB766" s="25" t="n">
        <v>0</v>
      </c>
      <c r="AC766" s="25" t="n">
        <v>0.0388009995222092</v>
      </c>
      <c r="AD766" s="25" t="n">
        <v>0.0234471280127764</v>
      </c>
      <c r="AE766" s="25" t="n">
        <v>0.147543713450432</v>
      </c>
      <c r="AF766" s="25" t="n">
        <v>0.0911906734108925</v>
      </c>
      <c r="AG766" s="25" t="n">
        <v>0.0404662787914276</v>
      </c>
      <c r="AH766" s="25" t="n">
        <v>0.389009177684784</v>
      </c>
      <c r="AI766" s="25" t="n">
        <v>10.720232963562</v>
      </c>
      <c r="AJ766" s="6" t="n">
        <v>150.1</v>
      </c>
      <c r="AK766" s="6" t="n">
        <v>1178.6</v>
      </c>
      <c r="AL766" s="26" t="s">
        <v>3100</v>
      </c>
    </row>
    <row r="767" customFormat="false" ht="15" hidden="false" customHeight="false" outlineLevel="0" collapsed="false">
      <c r="A767" s="6" t="s">
        <v>4330</v>
      </c>
      <c r="B767" s="6" t="s">
        <v>4331</v>
      </c>
      <c r="C767" s="6" t="s">
        <v>3627</v>
      </c>
      <c r="D767" s="13" t="n">
        <v>424.03369140625</v>
      </c>
      <c r="E767" s="25" t="n">
        <v>8.26819515228272</v>
      </c>
      <c r="F767" s="25" t="n">
        <v>53.649284362793</v>
      </c>
      <c r="G767" s="25" t="n">
        <v>19.3392543792725</v>
      </c>
      <c r="H767" s="25" t="n">
        <v>6.82693433761597</v>
      </c>
      <c r="I767" s="25" t="n">
        <v>29.7266464233398</v>
      </c>
      <c r="J767" s="25" t="n">
        <v>7.90151171875</v>
      </c>
      <c r="K767" s="25" t="n">
        <v>5.8897431640625</v>
      </c>
      <c r="L767" s="25" t="n">
        <v>4.00582250976563</v>
      </c>
      <c r="M767" s="25" t="n">
        <v>28.1948432922363</v>
      </c>
      <c r="N767" s="25" t="n">
        <v>182.258453369141</v>
      </c>
      <c r="O767" s="25" t="n">
        <v>373.538665771484</v>
      </c>
      <c r="P767" s="25" t="n">
        <v>298.059600830078</v>
      </c>
      <c r="Q767" s="25" t="n">
        <v>390.182220458984</v>
      </c>
      <c r="R767" s="25" t="n">
        <v>151.074493408203</v>
      </c>
      <c r="S767" s="25" t="n">
        <v>5.72836685180664</v>
      </c>
      <c r="T767" s="25" t="n">
        <v>2.55300879478455</v>
      </c>
      <c r="U767" s="25" t="n">
        <v>0.459255009889603</v>
      </c>
      <c r="V767" s="25" t="n">
        <v>22.8618907928467</v>
      </c>
      <c r="W767" s="25" t="n">
        <v>1.64584529399872</v>
      </c>
      <c r="X767" s="25" t="n">
        <v>105.673347473145</v>
      </c>
      <c r="Y767" s="25" t="n">
        <v>328.270477294922</v>
      </c>
      <c r="Z767" s="25" t="n">
        <v>0.979942679405212</v>
      </c>
      <c r="AA767" s="25" t="n">
        <v>18.7392539978027</v>
      </c>
      <c r="AB767" s="25" t="n">
        <v>0</v>
      </c>
      <c r="AC767" s="25" t="n">
        <v>0.224756449460983</v>
      </c>
      <c r="AD767" s="25" t="n">
        <v>0.0710601732134819</v>
      </c>
      <c r="AE767" s="25" t="n">
        <v>1.617192029953</v>
      </c>
      <c r="AF767" s="25" t="n">
        <v>0.460744976997376</v>
      </c>
      <c r="AG767" s="25" t="n">
        <v>0.436676234006882</v>
      </c>
      <c r="AH767" s="25" t="n">
        <v>1.05558741092682</v>
      </c>
      <c r="AI767" s="25" t="n">
        <v>37.5197715759277</v>
      </c>
      <c r="AJ767" s="6" t="n">
        <v>14.5</v>
      </c>
      <c r="AK767" s="6" t="n">
        <v>61.7</v>
      </c>
      <c r="AL767" s="26"/>
    </row>
    <row r="768" customFormat="false" ht="15" hidden="false" customHeight="false" outlineLevel="0" collapsed="false">
      <c r="A768" s="6" t="s">
        <v>4332</v>
      </c>
      <c r="B768" s="6" t="s">
        <v>4333</v>
      </c>
      <c r="C768" s="6" t="s">
        <v>3362</v>
      </c>
      <c r="D768" s="13" t="n">
        <v>657.572570800781</v>
      </c>
      <c r="E768" s="25" t="n">
        <v>4.05076313018799</v>
      </c>
      <c r="F768" s="25" t="n">
        <v>8.68155384063721</v>
      </c>
      <c r="G768" s="25" t="n">
        <v>67.1855773925781</v>
      </c>
      <c r="H768" s="25" t="n">
        <v>2.65159511566162</v>
      </c>
      <c r="I768" s="25" t="n">
        <v>0.35201108455658</v>
      </c>
      <c r="J768" s="25" t="n">
        <v>8.0779697265625</v>
      </c>
      <c r="K768" s="25" t="n">
        <v>13.74312109375</v>
      </c>
      <c r="L768" s="25" t="n">
        <v>42.4531484375</v>
      </c>
      <c r="M768" s="25" t="n">
        <v>0</v>
      </c>
      <c r="N768" s="25" t="n">
        <v>63.8662948608398</v>
      </c>
      <c r="O768" s="25" t="n">
        <v>267.474334716797</v>
      </c>
      <c r="P768" s="25" t="n">
        <v>20.4979190826416</v>
      </c>
      <c r="Q768" s="25" t="n">
        <v>63.671012878418</v>
      </c>
      <c r="R768" s="25" t="n">
        <v>36.8823852539063</v>
      </c>
      <c r="S768" s="25" t="n">
        <v>1.3826630115509</v>
      </c>
      <c r="T768" s="25" t="n">
        <v>0.627045750617981</v>
      </c>
      <c r="U768" s="25" t="n">
        <v>0.154895976185799</v>
      </c>
      <c r="V768" s="25" t="n">
        <v>6.53758668899536</v>
      </c>
      <c r="W768" s="25" t="n">
        <v>0.423300981521606</v>
      </c>
      <c r="X768" s="25" t="n">
        <v>0</v>
      </c>
      <c r="Y768" s="25" t="n">
        <v>1435.37036132813</v>
      </c>
      <c r="Z768" s="25" t="n">
        <v>32.978084564209</v>
      </c>
      <c r="AA768" s="25" t="n">
        <v>50.2108192443848</v>
      </c>
      <c r="AB768" s="25" t="n">
        <v>4.38529825210571</v>
      </c>
      <c r="AC768" s="25" t="n">
        <v>0.0699029117822647</v>
      </c>
      <c r="AD768" s="25" t="n">
        <v>0.0341192781925201</v>
      </c>
      <c r="AE768" s="25" t="n">
        <v>0.357281565666199</v>
      </c>
      <c r="AF768" s="25" t="n">
        <v>0.41747573018074</v>
      </c>
      <c r="AG768" s="25" t="n">
        <v>0.0576976425945759</v>
      </c>
      <c r="AH768" s="25" t="n">
        <v>0.781414687633514</v>
      </c>
      <c r="AI768" s="25" t="n">
        <v>43.0271835327148</v>
      </c>
      <c r="AJ768" s="6" t="n">
        <v>90.1</v>
      </c>
      <c r="AK768" s="6" t="n">
        <v>592.6</v>
      </c>
      <c r="AL768" s="26" t="s">
        <v>3100</v>
      </c>
    </row>
    <row r="769" customFormat="false" ht="15" hidden="false" customHeight="false" outlineLevel="0" collapsed="false">
      <c r="A769" s="6" t="s">
        <v>4334</v>
      </c>
      <c r="B769" s="6" t="s">
        <v>4335</v>
      </c>
      <c r="C769" s="6" t="s">
        <v>3299</v>
      </c>
      <c r="D769" s="13" t="n">
        <v>613.390747070313</v>
      </c>
      <c r="E769" s="25" t="n">
        <v>6.49012613296509</v>
      </c>
      <c r="F769" s="25" t="n">
        <v>19.5229835510254</v>
      </c>
      <c r="G769" s="25" t="n">
        <v>56.5768394470215</v>
      </c>
      <c r="H769" s="25" t="n">
        <v>4.55436038970947</v>
      </c>
      <c r="I769" s="25" t="n">
        <v>0.871414721012116</v>
      </c>
      <c r="J769" s="25" t="n">
        <v>9.7556787109375</v>
      </c>
      <c r="K769" s="25" t="n">
        <v>12.6947900390625</v>
      </c>
      <c r="L769" s="25" t="n">
        <v>31.36477734375</v>
      </c>
      <c r="M769" s="25" t="n">
        <v>14.3023262023926</v>
      </c>
      <c r="N769" s="25" t="n">
        <v>44.0101737976074</v>
      </c>
      <c r="O769" s="25" t="n">
        <v>203.839141845703</v>
      </c>
      <c r="P769" s="25" t="n">
        <v>60.7403106689453</v>
      </c>
      <c r="Q769" s="25" t="n">
        <v>130.174423217773</v>
      </c>
      <c r="R769" s="25" t="n">
        <v>61.0009689331055</v>
      </c>
      <c r="S769" s="25" t="n">
        <v>2.03497099876404</v>
      </c>
      <c r="T769" s="25" t="n">
        <v>1.15310072898865</v>
      </c>
      <c r="U769" s="25" t="n">
        <v>0.237480610609055</v>
      </c>
      <c r="V769" s="25" t="n">
        <v>11.8602714538574</v>
      </c>
      <c r="W769" s="25" t="n">
        <v>0.989728689193726</v>
      </c>
      <c r="X769" s="25" t="n">
        <v>53.6046524047852</v>
      </c>
      <c r="Y769" s="25" t="n">
        <v>1098.6044921875</v>
      </c>
      <c r="Z769" s="25" t="n">
        <v>23.9348831176758</v>
      </c>
      <c r="AA769" s="25" t="n">
        <v>38.8042640686035</v>
      </c>
      <c r="AB769" s="25" t="n">
        <v>2.93410849571228</v>
      </c>
      <c r="AC769" s="25" t="n">
        <v>0.184108525514603</v>
      </c>
      <c r="AD769" s="25" t="n">
        <v>0.0642441883683205</v>
      </c>
      <c r="AE769" s="25" t="n">
        <v>1.44980621337891</v>
      </c>
      <c r="AF769" s="25" t="n">
        <v>0.382751941680908</v>
      </c>
      <c r="AG769" s="25" t="n">
        <v>0.137984499335289</v>
      </c>
      <c r="AH769" s="25" t="n">
        <v>1.55658912658691</v>
      </c>
      <c r="AI769" s="25" t="n">
        <v>47.2153091430664</v>
      </c>
      <c r="AJ769" s="6" t="n">
        <v>12.9</v>
      </c>
      <c r="AK769" s="6" t="n">
        <v>79.1</v>
      </c>
      <c r="AL769" s="26" t="s">
        <v>3100</v>
      </c>
    </row>
    <row r="770" customFormat="false" ht="15" hidden="false" customHeight="false" outlineLevel="0" collapsed="false">
      <c r="A770" s="6" t="s">
        <v>4336</v>
      </c>
      <c r="B770" s="6" t="s">
        <v>4337</v>
      </c>
      <c r="C770" s="6" t="s">
        <v>3299</v>
      </c>
      <c r="D770" s="13" t="n">
        <v>423.698211669922</v>
      </c>
      <c r="E770" s="25" t="n">
        <v>7.18471765518189</v>
      </c>
      <c r="F770" s="25" t="n">
        <v>62.8877105712891</v>
      </c>
      <c r="G770" s="25" t="n">
        <v>15.5139541625977</v>
      </c>
      <c r="H770" s="25" t="n">
        <v>3.54950165748596</v>
      </c>
      <c r="I770" s="25" t="n">
        <v>45.4684410095215</v>
      </c>
      <c r="J770" s="25" t="n">
        <v>8.0525263671875</v>
      </c>
      <c r="K770" s="25" t="n">
        <v>3.834544921875</v>
      </c>
      <c r="L770" s="25" t="n">
        <v>1.71902990722656</v>
      </c>
      <c r="M770" s="25" t="n">
        <v>32.7109642028809</v>
      </c>
      <c r="N770" s="25" t="n">
        <v>17.2411956787109</v>
      </c>
      <c r="O770" s="25" t="n">
        <v>534.750793457031</v>
      </c>
      <c r="P770" s="25" t="n">
        <v>81.2504959106445</v>
      </c>
      <c r="Q770" s="25" t="n">
        <v>149.085723876953</v>
      </c>
      <c r="R770" s="25" t="n">
        <v>102.968772888184</v>
      </c>
      <c r="S770" s="25" t="n">
        <v>4.47408628463745</v>
      </c>
      <c r="T770" s="25" t="n">
        <v>1.20166110992432</v>
      </c>
      <c r="U770" s="25" t="n">
        <v>0.270000010728836</v>
      </c>
      <c r="V770" s="25" t="n">
        <v>7.23853826522827</v>
      </c>
      <c r="W770" s="25" t="n">
        <v>0.909966766834259</v>
      </c>
      <c r="X770" s="25" t="n">
        <v>122.524909973145</v>
      </c>
      <c r="Y770" s="25" t="n">
        <v>399.660461425781</v>
      </c>
      <c r="Z770" s="25" t="n">
        <v>1.10498332977295</v>
      </c>
      <c r="AA770" s="25" t="n">
        <v>2.01328897476196</v>
      </c>
      <c r="AB770" s="25" t="n">
        <v>0</v>
      </c>
      <c r="AC770" s="25" t="n">
        <v>0.109003320336342</v>
      </c>
      <c r="AD770" s="25" t="n">
        <v>0.0490033216774464</v>
      </c>
      <c r="AE770" s="25" t="n">
        <v>0.668106317520142</v>
      </c>
      <c r="AF770" s="25" t="n">
        <v>0.504318952560425</v>
      </c>
      <c r="AG770" s="25" t="n">
        <v>0.43853822350502</v>
      </c>
      <c r="AH770" s="25" t="n">
        <v>1.51362121105194</v>
      </c>
      <c r="AI770" s="25" t="n">
        <v>48.1196022033691</v>
      </c>
      <c r="AJ770" s="6" t="n">
        <v>75.3</v>
      </c>
      <c r="AK770" s="6" t="n">
        <v>318.8</v>
      </c>
      <c r="AL770" s="26"/>
    </row>
    <row r="771" customFormat="false" ht="15" hidden="false" customHeight="false" outlineLevel="0" collapsed="false">
      <c r="A771" s="6" t="s">
        <v>4338</v>
      </c>
      <c r="B771" s="6" t="s">
        <v>4339</v>
      </c>
      <c r="C771" s="6" t="s">
        <v>3670</v>
      </c>
      <c r="D771" s="13" t="n">
        <v>373.816436767578</v>
      </c>
      <c r="E771" s="25" t="n">
        <v>11.4755191802979</v>
      </c>
      <c r="F771" s="25" t="n">
        <v>40.6473007202148</v>
      </c>
      <c r="G771" s="25" t="n">
        <v>18.5726146697998</v>
      </c>
      <c r="H771" s="25" t="n">
        <v>7.78921175003052</v>
      </c>
      <c r="I771" s="25" t="n">
        <v>1.44730293750763</v>
      </c>
      <c r="J771" s="25" t="n">
        <v>9.9870537109375</v>
      </c>
      <c r="K771" s="25" t="n">
        <v>4.6517197265625</v>
      </c>
      <c r="L771" s="25" t="n">
        <v>1.96896264648438</v>
      </c>
      <c r="M771" s="25" t="n">
        <v>40.8298759460449</v>
      </c>
      <c r="N771" s="25" t="n">
        <v>166.361831665039</v>
      </c>
      <c r="O771" s="25" t="n">
        <v>274.892120361328</v>
      </c>
      <c r="P771" s="25" t="n">
        <v>64.7518692016602</v>
      </c>
      <c r="Q771" s="25" t="n">
        <v>183.829879760742</v>
      </c>
      <c r="R771" s="25" t="n">
        <v>70.4248962402344</v>
      </c>
      <c r="S771" s="25" t="n">
        <v>2.6767635345459</v>
      </c>
      <c r="T771" s="25" t="n">
        <v>1.60705399513245</v>
      </c>
      <c r="U771" s="25" t="n">
        <v>0.265892118215561</v>
      </c>
      <c r="V771" s="25" t="n">
        <v>19.1933612823486</v>
      </c>
      <c r="W771" s="25" t="n">
        <v>1.79585063457489</v>
      </c>
      <c r="X771" s="25" t="n">
        <v>153.029037475586</v>
      </c>
      <c r="Y771" s="25" t="n">
        <v>989.87548828125</v>
      </c>
      <c r="Z771" s="25" t="n">
        <v>1.92697095870972</v>
      </c>
      <c r="AA771" s="25" t="n">
        <v>40.6373443603516</v>
      </c>
      <c r="AB771" s="25" t="n">
        <v>6.80995893478394</v>
      </c>
      <c r="AC771" s="25" t="n">
        <v>0.298755198717117</v>
      </c>
      <c r="AD771" s="25" t="n">
        <v>0.190871372818947</v>
      </c>
      <c r="AE771" s="25" t="n">
        <v>1.50705397129059</v>
      </c>
      <c r="AF771" s="25" t="n">
        <v>0.768464744091034</v>
      </c>
      <c r="AG771" s="25" t="n">
        <v>0.26058092713356</v>
      </c>
      <c r="AH771" s="25" t="n">
        <v>3.24813270568848</v>
      </c>
      <c r="AI771" s="25" t="n">
        <v>80.8282165527344</v>
      </c>
      <c r="AJ771" s="6" t="n">
        <v>30.1</v>
      </c>
      <c r="AK771" s="6" t="n">
        <v>112.6</v>
      </c>
      <c r="AL771" s="26"/>
    </row>
    <row r="772" customFormat="false" ht="15" hidden="false" customHeight="false" outlineLevel="0" collapsed="false">
      <c r="A772" s="6" t="s">
        <v>4340</v>
      </c>
      <c r="B772" s="6" t="s">
        <v>4341</v>
      </c>
      <c r="C772" s="6" t="s">
        <v>3473</v>
      </c>
      <c r="D772" s="13" t="n">
        <v>391.901672363281</v>
      </c>
      <c r="E772" s="25" t="n">
        <v>9.46172428131104</v>
      </c>
      <c r="F772" s="25" t="n">
        <v>44.314826965332</v>
      </c>
      <c r="G772" s="25" t="n">
        <v>19.1924133300781</v>
      </c>
      <c r="H772" s="25" t="n">
        <v>7.30413770675659</v>
      </c>
      <c r="I772" s="25" t="n">
        <v>15.9386205673218</v>
      </c>
      <c r="J772" s="25" t="n">
        <v>7.70738427734375</v>
      </c>
      <c r="K772" s="25" t="n">
        <v>6.36525341796875</v>
      </c>
      <c r="L772" s="25" t="n">
        <v>3.66481030273438</v>
      </c>
      <c r="M772" s="25" t="n">
        <v>25.4482765197754</v>
      </c>
      <c r="N772" s="25" t="n">
        <v>8.07172393798828</v>
      </c>
      <c r="O772" s="25" t="n">
        <v>338.206909179688</v>
      </c>
      <c r="P772" s="25" t="n">
        <v>127.285522460938</v>
      </c>
      <c r="Q772" s="25" t="n">
        <v>249.125854492188</v>
      </c>
      <c r="R772" s="25" t="n">
        <v>124.37931060791</v>
      </c>
      <c r="S772" s="25" t="n">
        <v>4.00655174255371</v>
      </c>
      <c r="T772" s="25" t="n">
        <v>2.23137927055359</v>
      </c>
      <c r="U772" s="25" t="n">
        <v>0.441034466028214</v>
      </c>
      <c r="V772" s="25" t="n">
        <v>24.2951717376709</v>
      </c>
      <c r="W772" s="25" t="n">
        <v>1.70068967342377</v>
      </c>
      <c r="X772" s="25" t="n">
        <v>95.3793106079102</v>
      </c>
      <c r="Y772" s="25" t="n">
        <v>328.785186767578</v>
      </c>
      <c r="Z772" s="25" t="n">
        <v>1.38758623600006</v>
      </c>
      <c r="AA772" s="25" t="n">
        <v>8.27586269378662</v>
      </c>
      <c r="AB772" s="25" t="n">
        <v>0</v>
      </c>
      <c r="AC772" s="25" t="n">
        <v>0.284137934446335</v>
      </c>
      <c r="AD772" s="25" t="n">
        <v>0.0851724147796631</v>
      </c>
      <c r="AE772" s="25" t="n">
        <v>2.82137942314148</v>
      </c>
      <c r="AF772" s="25" t="n">
        <v>0.572068989276886</v>
      </c>
      <c r="AG772" s="25" t="n">
        <v>0.300344824790955</v>
      </c>
      <c r="AH772" s="25" t="n">
        <v>0.87517237663269</v>
      </c>
      <c r="AI772" s="25" t="n">
        <v>36.1420669555664</v>
      </c>
      <c r="AJ772" s="6" t="n">
        <v>36.2</v>
      </c>
      <c r="AK772" s="6" t="n">
        <v>142.1</v>
      </c>
      <c r="AL772" s="26"/>
    </row>
    <row r="773" customFormat="false" ht="15" hidden="false" customHeight="false" outlineLevel="0" collapsed="false">
      <c r="A773" s="6" t="s">
        <v>4342</v>
      </c>
      <c r="B773" s="6" t="s">
        <v>4343</v>
      </c>
      <c r="C773" s="6" t="s">
        <v>3299</v>
      </c>
      <c r="D773" s="13" t="n">
        <v>198.910171508789</v>
      </c>
      <c r="E773" s="25" t="n">
        <v>8.51630401611328</v>
      </c>
      <c r="F773" s="25" t="n">
        <v>25.9177227020264</v>
      </c>
      <c r="G773" s="25" t="n">
        <v>7.09545564651489</v>
      </c>
      <c r="H773" s="25" t="n">
        <v>4.58639097213745</v>
      </c>
      <c r="I773" s="25" t="n">
        <v>2.58066916465759</v>
      </c>
      <c r="J773" s="25" t="n">
        <v>1.05575244140625</v>
      </c>
      <c r="K773" s="25" t="n">
        <v>1.44333483886719</v>
      </c>
      <c r="L773" s="25" t="n">
        <v>4.04858935546875</v>
      </c>
      <c r="M773" s="25" t="n">
        <v>1.39184129238129</v>
      </c>
      <c r="N773" s="25" t="n">
        <v>196.59033203125</v>
      </c>
      <c r="O773" s="25" t="n">
        <v>262.396392822266</v>
      </c>
      <c r="P773" s="25" t="n">
        <v>66.6638259887695</v>
      </c>
      <c r="Q773" s="25" t="n">
        <v>156.589279174805</v>
      </c>
      <c r="R773" s="25" t="n">
        <v>38.1725273132324</v>
      </c>
      <c r="S773" s="25" t="n">
        <v>1.60159683227539</v>
      </c>
      <c r="T773" s="25" t="n">
        <v>0.880107283592224</v>
      </c>
      <c r="U773" s="25" t="n">
        <v>0.169764146208763</v>
      </c>
      <c r="V773" s="25" t="n">
        <v>3.05201697349548</v>
      </c>
      <c r="W773" s="25" t="n">
        <v>0.859575390815735</v>
      </c>
      <c r="X773" s="25" t="n">
        <v>3.54286861419678</v>
      </c>
      <c r="Y773" s="25" t="n">
        <v>1451.53991699219</v>
      </c>
      <c r="Z773" s="25" t="n">
        <v>3.34614634513855</v>
      </c>
      <c r="AA773" s="25" t="n">
        <v>47.6609191894531</v>
      </c>
      <c r="AB773" s="25" t="n">
        <v>6.63272142410278</v>
      </c>
      <c r="AC773" s="25" t="n">
        <v>0.186910107731819</v>
      </c>
      <c r="AD773" s="25" t="n">
        <v>0.100130580365658</v>
      </c>
      <c r="AE773" s="25" t="n">
        <v>0.775755107402802</v>
      </c>
      <c r="AF773" s="25" t="n">
        <v>0.549575388431549</v>
      </c>
      <c r="AG773" s="25" t="n">
        <v>0.181685388088226</v>
      </c>
      <c r="AH773" s="25" t="n">
        <v>3.41912317276001</v>
      </c>
      <c r="AI773" s="25" t="n">
        <v>77.0236587524414</v>
      </c>
      <c r="AJ773" s="6" t="n">
        <v>98.8</v>
      </c>
      <c r="AK773" s="6" t="n">
        <v>196.5</v>
      </c>
      <c r="AL773" s="26"/>
    </row>
    <row r="774" customFormat="false" ht="15" hidden="false" customHeight="false" outlineLevel="0" collapsed="false">
      <c r="A774" s="6" t="s">
        <v>4344</v>
      </c>
      <c r="B774" s="6" t="s">
        <v>4345</v>
      </c>
      <c r="C774" s="6" t="s">
        <v>3299</v>
      </c>
      <c r="D774" s="13" t="n">
        <v>298.797302246094</v>
      </c>
      <c r="E774" s="25" t="n">
        <v>6.66258049011231</v>
      </c>
      <c r="F774" s="25" t="n">
        <v>40.6425819396973</v>
      </c>
      <c r="G774" s="25" t="n">
        <v>12.4722585678101</v>
      </c>
      <c r="H774" s="25" t="n">
        <v>4.07741928100586</v>
      </c>
      <c r="I774" s="25" t="n">
        <v>21.0787105560303</v>
      </c>
      <c r="J774" s="25" t="n">
        <v>6.25070947265625</v>
      </c>
      <c r="K774" s="25" t="n">
        <v>3.70359350585938</v>
      </c>
      <c r="L774" s="25" t="n">
        <v>1.40116125488281</v>
      </c>
      <c r="M774" s="25" t="n">
        <v>23.8064517974854</v>
      </c>
      <c r="N774" s="25" t="n">
        <v>3.5554838180542</v>
      </c>
      <c r="O774" s="25" t="n">
        <v>268.580657958984</v>
      </c>
      <c r="P774" s="25" t="n">
        <v>17.0696773529053</v>
      </c>
      <c r="Q774" s="25" t="n">
        <v>140.064514160156</v>
      </c>
      <c r="R774" s="25" t="n">
        <v>57.2903213500977</v>
      </c>
      <c r="S774" s="25" t="n">
        <v>1.56129038333893</v>
      </c>
      <c r="T774" s="25" t="n">
        <v>1.09741938114166</v>
      </c>
      <c r="U774" s="25" t="n">
        <v>0.300645172595978</v>
      </c>
      <c r="V774" s="25" t="n">
        <v>16.97096824646</v>
      </c>
      <c r="W774" s="25" t="n">
        <v>0.807741940021515</v>
      </c>
      <c r="X774" s="25" t="n">
        <v>89.2258071899414</v>
      </c>
      <c r="Y774" s="25" t="n">
        <v>320.470977783203</v>
      </c>
      <c r="Z774" s="25" t="n">
        <v>0.913548409938812</v>
      </c>
      <c r="AA774" s="25" t="n">
        <v>1.52258062362671</v>
      </c>
      <c r="AB774" s="25" t="n">
        <v>0</v>
      </c>
      <c r="AC774" s="25" t="n">
        <v>0.163225814700127</v>
      </c>
      <c r="AD774" s="25" t="n">
        <v>0.0522580668330193</v>
      </c>
      <c r="AE774" s="25" t="n">
        <v>1.42838716506958</v>
      </c>
      <c r="AF774" s="25" t="n">
        <v>0.450322598218918</v>
      </c>
      <c r="AG774" s="25" t="n">
        <v>0.0877419337630272</v>
      </c>
      <c r="AH774" s="25" t="n">
        <v>0.334838718175888</v>
      </c>
      <c r="AI774" s="25" t="n">
        <v>23.403226852417</v>
      </c>
      <c r="AJ774" s="6" t="n">
        <v>38.7</v>
      </c>
      <c r="AK774" s="6" t="n">
        <v>115.8</v>
      </c>
      <c r="AL774" s="26"/>
    </row>
    <row r="775" customFormat="false" ht="15" hidden="false" customHeight="false" outlineLevel="0" collapsed="false">
      <c r="A775" s="6" t="s">
        <v>4346</v>
      </c>
      <c r="B775" s="6" t="s">
        <v>4347</v>
      </c>
      <c r="C775" s="6" t="s">
        <v>3165</v>
      </c>
      <c r="D775" s="13" t="n">
        <v>283.963714599609</v>
      </c>
      <c r="E775" s="25" t="n">
        <v>9.18311214447022</v>
      </c>
      <c r="F775" s="25" t="n">
        <v>40.0284767150879</v>
      </c>
      <c r="G775" s="25" t="n">
        <v>9.22814559936523</v>
      </c>
      <c r="H775" s="25" t="n">
        <v>8.70860958099365</v>
      </c>
      <c r="I775" s="25" t="n">
        <v>1.58410596847534</v>
      </c>
      <c r="J775" s="25" t="n">
        <v>1.15556286621094</v>
      </c>
      <c r="K775" s="25" t="n">
        <v>1.72071655273438</v>
      </c>
      <c r="L775" s="25" t="n">
        <v>5.49129150390625</v>
      </c>
      <c r="M775" s="25" t="n">
        <v>0.0198675487190485</v>
      </c>
      <c r="N775" s="25" t="n">
        <v>155.931121826172</v>
      </c>
      <c r="O775" s="25" t="n">
        <v>481.321197509766</v>
      </c>
      <c r="P775" s="25" t="n">
        <v>53.4185447692871</v>
      </c>
      <c r="Q775" s="25" t="n">
        <v>241.616561889648</v>
      </c>
      <c r="R775" s="25" t="n">
        <v>114.511917114258</v>
      </c>
      <c r="S775" s="25" t="n">
        <v>3.84768223762512</v>
      </c>
      <c r="T775" s="25" t="n">
        <v>2.10662245750427</v>
      </c>
      <c r="U775" s="25" t="n">
        <v>0.422119200229645</v>
      </c>
      <c r="V775" s="25" t="n">
        <v>32.6781463623047</v>
      </c>
      <c r="W775" s="25" t="n">
        <v>2.23940396308899</v>
      </c>
      <c r="X775" s="25" t="n">
        <v>0</v>
      </c>
      <c r="Y775" s="25" t="n">
        <v>2758.77490234375</v>
      </c>
      <c r="Z775" s="25" t="n">
        <v>4.04304647445679</v>
      </c>
      <c r="AA775" s="25" t="n">
        <v>89.4294738769531</v>
      </c>
      <c r="AB775" s="25" t="n">
        <v>8.02450370788574</v>
      </c>
      <c r="AC775" s="25" t="n">
        <v>0.318708598613739</v>
      </c>
      <c r="AD775" s="25" t="n">
        <v>0.136225163936615</v>
      </c>
      <c r="AE775" s="25" t="n">
        <v>1.66423833370209</v>
      </c>
      <c r="AF775" s="25" t="n">
        <v>0.698311269283295</v>
      </c>
      <c r="AG775" s="25" t="n">
        <v>0.222185418009758</v>
      </c>
      <c r="AH775" s="25" t="n">
        <v>2.47682118415833</v>
      </c>
      <c r="AI775" s="25" t="n">
        <v>71.3496704101563</v>
      </c>
      <c r="AJ775" s="6" t="n">
        <v>50.3</v>
      </c>
      <c r="AK775" s="6" t="n">
        <v>142.9</v>
      </c>
      <c r="AL775" s="26"/>
    </row>
    <row r="776" customFormat="false" ht="15" hidden="false" customHeight="false" outlineLevel="0" collapsed="false">
      <c r="A776" s="6" t="s">
        <v>4348</v>
      </c>
      <c r="B776" s="6" t="s">
        <v>4349</v>
      </c>
      <c r="C776" s="6" t="s">
        <v>3112</v>
      </c>
      <c r="D776" s="13" t="n">
        <v>93.3676528930664</v>
      </c>
      <c r="E776" s="25" t="n">
        <v>3.04328393936157</v>
      </c>
      <c r="F776" s="25" t="n">
        <v>15.637770652771</v>
      </c>
      <c r="G776" s="25" t="n">
        <v>1.88307583332062</v>
      </c>
      <c r="H776" s="25" t="n">
        <v>1.99513411521912</v>
      </c>
      <c r="I776" s="25" t="n">
        <v>0.260032385587692</v>
      </c>
      <c r="J776" s="25" t="n">
        <v>0.306841827392578</v>
      </c>
      <c r="K776" s="25" t="n">
        <v>0.559672302246094</v>
      </c>
      <c r="L776" s="25" t="n">
        <v>0.87256982421875</v>
      </c>
      <c r="M776" s="25" t="n">
        <v>0</v>
      </c>
      <c r="N776" s="25" t="n">
        <v>41.6713256835938</v>
      </c>
      <c r="O776" s="25" t="n">
        <v>139.525436401367</v>
      </c>
      <c r="P776" s="25" t="n">
        <v>30.4068450927734</v>
      </c>
      <c r="Q776" s="25" t="n">
        <v>52.5106391906738</v>
      </c>
      <c r="R776" s="25" t="n">
        <v>27.7262725830078</v>
      </c>
      <c r="S776" s="25" t="n">
        <v>1.00256240367889</v>
      </c>
      <c r="T776" s="25" t="n">
        <v>0.510046243667603</v>
      </c>
      <c r="U776" s="25" t="n">
        <v>0.117502309381962</v>
      </c>
      <c r="V776" s="25" t="n">
        <v>4.62545347213745</v>
      </c>
      <c r="W776" s="25" t="n">
        <v>0.37993061542511</v>
      </c>
      <c r="X776" s="25" t="n">
        <v>0</v>
      </c>
      <c r="Y776" s="25" t="n">
        <v>1932.24743652344</v>
      </c>
      <c r="Z776" s="25" t="n">
        <v>0.511572599411011</v>
      </c>
      <c r="AA776" s="25" t="n">
        <v>26.8738670349121</v>
      </c>
      <c r="AB776" s="25" t="n">
        <v>7.15309858322144</v>
      </c>
      <c r="AC776" s="25" t="n">
        <v>0.0565911196172237</v>
      </c>
      <c r="AD776" s="25" t="n">
        <v>0.0400601290166378</v>
      </c>
      <c r="AE776" s="25" t="n">
        <v>0.786998152732849</v>
      </c>
      <c r="AF776" s="25" t="n">
        <v>0.219176694750786</v>
      </c>
      <c r="AG776" s="25" t="n">
        <v>0.0686447694897652</v>
      </c>
      <c r="AH776" s="25" t="n">
        <v>0.343274742364883</v>
      </c>
      <c r="AI776" s="25" t="n">
        <v>18.1582984924316</v>
      </c>
      <c r="AJ776" s="6" t="n">
        <v>360.3</v>
      </c>
      <c r="AK776" s="6" t="n">
        <v>336.4</v>
      </c>
      <c r="AL776" s="26"/>
    </row>
    <row r="777" customFormat="false" ht="15" hidden="false" customHeight="false" outlineLevel="0" collapsed="false">
      <c r="A777" s="6" t="s">
        <v>463</v>
      </c>
      <c r="B777" s="6" t="s">
        <v>4350</v>
      </c>
      <c r="C777" s="6" t="s">
        <v>3112</v>
      </c>
      <c r="D777" s="13" t="n">
        <v>295.110626220703</v>
      </c>
      <c r="E777" s="25" t="n">
        <v>8.28543472290039</v>
      </c>
      <c r="F777" s="25" t="n">
        <v>49.3186492919922</v>
      </c>
      <c r="G777" s="25" t="n">
        <v>7.99271726608276</v>
      </c>
      <c r="H777" s="25" t="n">
        <v>8.56554222106934</v>
      </c>
      <c r="I777" s="25" t="n">
        <v>0.818472445011139</v>
      </c>
      <c r="J777" s="25" t="n">
        <v>0.871421691894531</v>
      </c>
      <c r="K777" s="25" t="n">
        <v>1.47148205566406</v>
      </c>
      <c r="L777" s="25" t="n">
        <v>4.544529296875</v>
      </c>
      <c r="M777" s="25" t="n">
        <v>0</v>
      </c>
      <c r="N777" s="25" t="n">
        <v>149.632675170898</v>
      </c>
      <c r="O777" s="25" t="n">
        <v>51.5239791870117</v>
      </c>
      <c r="P777" s="25" t="n">
        <v>35.9843711853027</v>
      </c>
      <c r="Q777" s="25" t="n">
        <v>6.12717580795288</v>
      </c>
      <c r="R777" s="25" t="n">
        <v>4.33854341506958</v>
      </c>
      <c r="S777" s="25" t="n">
        <v>2.99378347396851</v>
      </c>
      <c r="T777" s="25" t="n">
        <v>0.056305505335331</v>
      </c>
      <c r="U777" s="25" t="n">
        <v>0.0191118996590376</v>
      </c>
      <c r="V777" s="25" t="n">
        <v>0.0248667858541012</v>
      </c>
      <c r="W777" s="25" t="n">
        <v>0.0392539985477924</v>
      </c>
      <c r="X777" s="25" t="n">
        <v>0</v>
      </c>
      <c r="Y777" s="25" t="n">
        <v>1279.70520019531</v>
      </c>
      <c r="Z777" s="25" t="n">
        <v>3.54742455482483</v>
      </c>
      <c r="AA777" s="25" t="n">
        <v>6.09609222412109</v>
      </c>
      <c r="AB777" s="25" t="n">
        <v>5.86323261260986</v>
      </c>
      <c r="AC777" s="25" t="n">
        <v>0.0118117230013013</v>
      </c>
      <c r="AD777" s="25" t="n">
        <v>0.00664298422634602</v>
      </c>
      <c r="AE777" s="25" t="n">
        <v>0.153463587164879</v>
      </c>
      <c r="AF777" s="25" t="n">
        <v>0.0612611025571823</v>
      </c>
      <c r="AG777" s="25" t="n">
        <v>0.0278863236308098</v>
      </c>
      <c r="AH777" s="25" t="n">
        <v>0.417761981487274</v>
      </c>
      <c r="AI777" s="25" t="n">
        <v>5.38614559173584</v>
      </c>
      <c r="AJ777" s="6" t="n">
        <v>117.3</v>
      </c>
      <c r="AK777" s="6" t="n">
        <v>346.1</v>
      </c>
      <c r="AL777" s="26"/>
    </row>
    <row r="778" customFormat="false" ht="15" hidden="false" customHeight="false" outlineLevel="0" collapsed="false">
      <c r="A778" s="6" t="s">
        <v>4351</v>
      </c>
      <c r="B778" s="6" t="s">
        <v>4352</v>
      </c>
      <c r="C778" s="6" t="s">
        <v>3112</v>
      </c>
      <c r="D778" s="13" t="n">
        <v>316.245697021484</v>
      </c>
      <c r="E778" s="25" t="n">
        <v>9.50190544128418</v>
      </c>
      <c r="F778" s="25" t="n">
        <v>44.9553871154785</v>
      </c>
      <c r="G778" s="25" t="n">
        <v>10.4380598068237</v>
      </c>
      <c r="H778" s="25" t="n">
        <v>7.16423082351685</v>
      </c>
      <c r="I778" s="25" t="n">
        <v>1.67110145092011</v>
      </c>
      <c r="J778" s="25" t="n">
        <v>1.49730981445313</v>
      </c>
      <c r="K778" s="25" t="n">
        <v>2.82223950195313</v>
      </c>
      <c r="L778" s="25" t="n">
        <v>5.520685546875</v>
      </c>
      <c r="M778" s="25" t="n">
        <v>0</v>
      </c>
      <c r="N778" s="25" t="n">
        <v>147.820373535156</v>
      </c>
      <c r="O778" s="25" t="n">
        <v>248.975524902344</v>
      </c>
      <c r="P778" s="25" t="n">
        <v>36.7846145629883</v>
      </c>
      <c r="Q778" s="25" t="n">
        <v>112.942863464356</v>
      </c>
      <c r="R778" s="25" t="n">
        <v>44.0968551635742</v>
      </c>
      <c r="S778" s="25" t="n">
        <v>2.76075172424316</v>
      </c>
      <c r="T778" s="25" t="n">
        <v>1.65729022026062</v>
      </c>
      <c r="U778" s="25" t="n">
        <v>0.366311192512512</v>
      </c>
      <c r="V778" s="25" t="n">
        <v>7.48368883132935</v>
      </c>
      <c r="W778" s="25" t="n">
        <v>1.40798950195313</v>
      </c>
      <c r="X778" s="25" t="n">
        <v>0</v>
      </c>
      <c r="Y778" s="25" t="n">
        <v>527.190551757813</v>
      </c>
      <c r="Z778" s="25" t="n">
        <v>3.89512228965759</v>
      </c>
      <c r="AA778" s="25" t="n">
        <v>5.41590929031372</v>
      </c>
      <c r="AB778" s="25" t="n">
        <v>0.505804240703583</v>
      </c>
      <c r="AC778" s="25" t="n">
        <v>0.2436363697052</v>
      </c>
      <c r="AD778" s="25" t="n">
        <v>0.0480944029986858</v>
      </c>
      <c r="AE778" s="25" t="n">
        <v>1.60664331912994</v>
      </c>
      <c r="AF778" s="25" t="n">
        <v>0.602534949779511</v>
      </c>
      <c r="AG778" s="25" t="n">
        <v>0.112062938511372</v>
      </c>
      <c r="AH778" s="25" t="n">
        <v>0.416800707578659</v>
      </c>
      <c r="AI778" s="25" t="n">
        <v>27.934404373169</v>
      </c>
      <c r="AJ778" s="6" t="n">
        <v>95.3</v>
      </c>
      <c r="AK778" s="6" t="n">
        <v>301.5</v>
      </c>
      <c r="AL778" s="26"/>
    </row>
    <row r="779" customFormat="false" ht="15" hidden="false" customHeight="false" outlineLevel="0" collapsed="false">
      <c r="A779" s="6" t="s">
        <v>648</v>
      </c>
      <c r="B779" s="6" t="s">
        <v>4353</v>
      </c>
      <c r="C779" s="6" t="s">
        <v>3157</v>
      </c>
      <c r="D779" s="13" t="n">
        <v>206.390426635742</v>
      </c>
      <c r="E779" s="25" t="n">
        <v>9.34461975097656</v>
      </c>
      <c r="F779" s="25" t="n">
        <v>33.6710968017578</v>
      </c>
      <c r="G779" s="25" t="n">
        <v>3.47373414039612</v>
      </c>
      <c r="H779" s="25" t="n">
        <v>5.84599161148071</v>
      </c>
      <c r="I779" s="25" t="n">
        <v>3.41645574569702</v>
      </c>
      <c r="J779" s="25" t="n">
        <v>1.0548662109375</v>
      </c>
      <c r="K779" s="25" t="n">
        <v>1.13382397460938</v>
      </c>
      <c r="L779" s="25" t="n">
        <v>0.911023193359375</v>
      </c>
      <c r="M779" s="25" t="n">
        <v>3.48101258277893</v>
      </c>
      <c r="N779" s="25" t="n">
        <v>185.015182495117</v>
      </c>
      <c r="O779" s="25" t="n">
        <v>413.853363037109</v>
      </c>
      <c r="P779" s="25" t="n">
        <v>100.853164672852</v>
      </c>
      <c r="Q779" s="25" t="n">
        <v>193.192398071289</v>
      </c>
      <c r="R779" s="25" t="n">
        <v>53.7147674560547</v>
      </c>
      <c r="S779" s="25" t="n">
        <v>2.33829116821289</v>
      </c>
      <c r="T779" s="25" t="n">
        <v>1.56972575187683</v>
      </c>
      <c r="U779" s="25" t="n">
        <v>0.312616050243378</v>
      </c>
      <c r="V779" s="25" t="n">
        <v>9.58143424987793</v>
      </c>
      <c r="W779" s="25" t="n">
        <v>1.15284812450409</v>
      </c>
      <c r="X779" s="25" t="n">
        <v>8.86075973510742</v>
      </c>
      <c r="Y779" s="25" t="n">
        <v>1831.94299316406</v>
      </c>
      <c r="Z779" s="25" t="n">
        <v>0.50611811876297</v>
      </c>
      <c r="AA779" s="25" t="n">
        <v>55.6515808105469</v>
      </c>
      <c r="AB779" s="25" t="n">
        <v>5.42805910110474</v>
      </c>
      <c r="AC779" s="25" t="n">
        <v>0.209968358278275</v>
      </c>
      <c r="AD779" s="25" t="n">
        <v>0.136223629117012</v>
      </c>
      <c r="AE779" s="25" t="n">
        <v>1.19704639911652</v>
      </c>
      <c r="AF779" s="25" t="n">
        <v>0.658744752407074</v>
      </c>
      <c r="AG779" s="25" t="n">
        <v>0.12668776512146</v>
      </c>
      <c r="AH779" s="25" t="n">
        <v>1.82489454746246</v>
      </c>
      <c r="AI779" s="25" t="n">
        <v>58.6367073059082</v>
      </c>
      <c r="AJ779" s="6" t="n">
        <v>29.6</v>
      </c>
      <c r="AK779" s="6" t="n">
        <v>61.1</v>
      </c>
      <c r="AL779" s="26"/>
    </row>
    <row r="780" customFormat="false" ht="15" hidden="false" customHeight="false" outlineLevel="0" collapsed="false">
      <c r="A780" s="6" t="s">
        <v>4354</v>
      </c>
      <c r="B780" s="6" t="s">
        <v>4355</v>
      </c>
      <c r="C780" s="6" t="s">
        <v>3670</v>
      </c>
      <c r="D780" s="13" t="n">
        <v>159.534133911133</v>
      </c>
      <c r="E780" s="25" t="n">
        <v>4.84772968292236</v>
      </c>
      <c r="F780" s="25" t="n">
        <v>27.4660511016846</v>
      </c>
      <c r="G780" s="25" t="n">
        <v>3.04021668434143</v>
      </c>
      <c r="H780" s="25" t="n">
        <v>4.90859651565552</v>
      </c>
      <c r="I780" s="25" t="n">
        <v>1.22120308876038</v>
      </c>
      <c r="J780" s="25" t="n">
        <v>0.383586547851563</v>
      </c>
      <c r="K780" s="25" t="n">
        <v>0.553695434570313</v>
      </c>
      <c r="L780" s="25" t="n">
        <v>1.81144274902344</v>
      </c>
      <c r="M780" s="25" t="n">
        <v>0</v>
      </c>
      <c r="N780" s="25" t="n">
        <v>97.1772308349609</v>
      </c>
      <c r="O780" s="25" t="n">
        <v>150.744415283203</v>
      </c>
      <c r="P780" s="25" t="n">
        <v>18.1811485290527</v>
      </c>
      <c r="Q780" s="25" t="n">
        <v>138.226684570313</v>
      </c>
      <c r="R780" s="25" t="n">
        <v>55.6359062194824</v>
      </c>
      <c r="S780" s="25" t="n">
        <v>2.09668135643005</v>
      </c>
      <c r="T780" s="25" t="n">
        <v>1.25137138366699</v>
      </c>
      <c r="U780" s="25" t="n">
        <v>0.209357008337975</v>
      </c>
      <c r="V780" s="25" t="n">
        <v>22.0566940307617</v>
      </c>
      <c r="W780" s="25" t="n">
        <v>1.27192902565002</v>
      </c>
      <c r="X780" s="25" t="n">
        <v>0</v>
      </c>
      <c r="Y780" s="25" t="n">
        <v>276.075134277344</v>
      </c>
      <c r="Z780" s="25" t="n">
        <v>1.24876701831818</v>
      </c>
      <c r="AA780" s="25" t="n">
        <v>3.62260890007019</v>
      </c>
      <c r="AB780" s="25" t="n">
        <v>0.806130468845367</v>
      </c>
      <c r="AC780" s="25" t="n">
        <v>0.189640462398529</v>
      </c>
      <c r="AD780" s="25" t="n">
        <v>0.0711454302072525</v>
      </c>
      <c r="AE780" s="25" t="n">
        <v>1.06042861938477</v>
      </c>
      <c r="AF780" s="25" t="n">
        <v>0.414761453866959</v>
      </c>
      <c r="AG780" s="25" t="n">
        <v>0.122171007096767</v>
      </c>
      <c r="AH780" s="25" t="n">
        <v>0.474026292562485</v>
      </c>
      <c r="AI780" s="25" t="n">
        <v>16.3061542510986</v>
      </c>
      <c r="AJ780" s="6" t="n">
        <v>72.3</v>
      </c>
      <c r="AK780" s="6" t="n">
        <v>115.4</v>
      </c>
      <c r="AL780" s="26"/>
    </row>
    <row r="781" customFormat="false" ht="15" hidden="false" customHeight="false" outlineLevel="0" collapsed="false">
      <c r="A781" s="6" t="s">
        <v>4356</v>
      </c>
      <c r="B781" s="6" t="s">
        <v>4357</v>
      </c>
      <c r="C781" s="6" t="s">
        <v>3007</v>
      </c>
      <c r="D781" s="13" t="n">
        <v>217.647872924805</v>
      </c>
      <c r="E781" s="25" t="n">
        <v>1.28692615032196</v>
      </c>
      <c r="F781" s="25" t="n">
        <v>2.48949003219605</v>
      </c>
      <c r="G781" s="25" t="n">
        <v>22.3842010498047</v>
      </c>
      <c r="H781" s="25" t="n">
        <v>3.00018858909607</v>
      </c>
      <c r="I781" s="25" t="n">
        <v>0.0661231055855751</v>
      </c>
      <c r="J781" s="25" t="n">
        <v>2.772900390625</v>
      </c>
      <c r="K781" s="25" t="n">
        <v>4.54806689453125</v>
      </c>
      <c r="L781" s="25" t="n">
        <v>14.0754072265625</v>
      </c>
      <c r="M781" s="25" t="n">
        <v>0</v>
      </c>
      <c r="N781" s="25" t="n">
        <v>519.287902832031</v>
      </c>
      <c r="O781" s="25" t="n">
        <v>284.180969238281</v>
      </c>
      <c r="P781" s="25" t="n">
        <v>16.7216510772705</v>
      </c>
      <c r="Q781" s="25" t="n">
        <v>35.9773788452148</v>
      </c>
      <c r="R781" s="25" t="n">
        <v>28.103874206543</v>
      </c>
      <c r="S781" s="25" t="n">
        <v>1.28515410423279</v>
      </c>
      <c r="T781" s="25" t="n">
        <v>0.346913009881973</v>
      </c>
      <c r="U781" s="25" t="n">
        <v>0.0845244601368904</v>
      </c>
      <c r="V781" s="25" t="n">
        <v>3.96649074554443</v>
      </c>
      <c r="W781" s="25" t="n">
        <v>0.4293053150177</v>
      </c>
      <c r="X781" s="25" t="n">
        <v>0</v>
      </c>
      <c r="Y781" s="25" t="n">
        <v>365.524536132813</v>
      </c>
      <c r="Z781" s="25" t="n">
        <v>10.9391078948975</v>
      </c>
      <c r="AA781" s="25" t="n">
        <v>5</v>
      </c>
      <c r="AB781" s="25" t="n">
        <v>41.0029220581055</v>
      </c>
      <c r="AC781" s="25" t="n">
        <v>0.0463521555066109</v>
      </c>
      <c r="AD781" s="25" t="n">
        <v>0.0309878420084715</v>
      </c>
      <c r="AE781" s="25" t="n">
        <v>0.239419355988503</v>
      </c>
      <c r="AF781" s="25" t="n">
        <v>0.21175417304039</v>
      </c>
      <c r="AG781" s="25" t="n">
        <v>0.0383165217936039</v>
      </c>
      <c r="AH781" s="25" t="n">
        <v>5.16900730133057</v>
      </c>
      <c r="AI781" s="25" t="n">
        <v>45.3325462341309</v>
      </c>
      <c r="AJ781" s="6" t="n">
        <v>106.1</v>
      </c>
      <c r="AK781" s="6" t="n">
        <v>230.9</v>
      </c>
      <c r="AL781" s="26"/>
    </row>
    <row r="782" customFormat="false" ht="15" hidden="false" customHeight="false" outlineLevel="0" collapsed="false">
      <c r="A782" s="6" t="s">
        <v>4358</v>
      </c>
      <c r="B782" s="6" t="s">
        <v>4359</v>
      </c>
      <c r="C782" s="6" t="s">
        <v>2815</v>
      </c>
      <c r="D782" s="13" t="n">
        <v>16.7892093658447</v>
      </c>
      <c r="E782" s="25" t="n">
        <v>0.570074737071991</v>
      </c>
      <c r="F782" s="25" t="n">
        <v>2.63389706611633</v>
      </c>
      <c r="G782" s="25" t="n">
        <v>0.392489194869995</v>
      </c>
      <c r="H782" s="25" t="n">
        <v>0.685332298278809</v>
      </c>
      <c r="I782" s="25" t="n">
        <v>0.130003929138184</v>
      </c>
      <c r="J782" s="25" t="n">
        <v>0.0336311454772949</v>
      </c>
      <c r="K782" s="25" t="n">
        <v>0.170799835205078</v>
      </c>
      <c r="L782" s="25" t="n">
        <v>0.110503341674805</v>
      </c>
      <c r="M782" s="25" t="n">
        <v>0</v>
      </c>
      <c r="N782" s="25" t="n">
        <v>35.5750694274902</v>
      </c>
      <c r="O782" s="25" t="n">
        <v>117.266220092773</v>
      </c>
      <c r="P782" s="25" t="n">
        <v>6.77546215057373</v>
      </c>
      <c r="Q782" s="25" t="n">
        <v>16.2941398620606</v>
      </c>
      <c r="R782" s="25" t="n">
        <v>7.8116397857666</v>
      </c>
      <c r="S782" s="25" t="n">
        <v>0.278293341398239</v>
      </c>
      <c r="T782" s="25" t="n">
        <v>0.101887531578541</v>
      </c>
      <c r="U782" s="25" t="n">
        <v>0.023971688002348</v>
      </c>
      <c r="V782" s="25" t="n">
        <v>0.717027127742767</v>
      </c>
      <c r="W782" s="25" t="n">
        <v>0.074046403169632</v>
      </c>
      <c r="X782" s="25" t="n">
        <v>0</v>
      </c>
      <c r="Y782" s="25" t="n">
        <v>48.9917411804199</v>
      </c>
      <c r="Z782" s="25" t="n">
        <v>0.0224144700914621</v>
      </c>
      <c r="AA782" s="25" t="n">
        <v>1.56653559207916</v>
      </c>
      <c r="AB782" s="25" t="n">
        <v>7.34919357299805</v>
      </c>
      <c r="AC782" s="25" t="n">
        <v>0.0170074719935656</v>
      </c>
      <c r="AD782" s="25" t="n">
        <v>0.0100432559847832</v>
      </c>
      <c r="AE782" s="25" t="n">
        <v>0.222414463758469</v>
      </c>
      <c r="AF782" s="25" t="n">
        <v>0.112658277153969</v>
      </c>
      <c r="AG782" s="25" t="n">
        <v>0.0286669284105301</v>
      </c>
      <c r="AH782" s="25" t="n">
        <v>0.418010234832764</v>
      </c>
      <c r="AI782" s="25" t="n">
        <v>6.81069612503052</v>
      </c>
      <c r="AJ782" s="6" t="n">
        <v>211.9</v>
      </c>
      <c r="AK782" s="6" t="n">
        <v>35.6</v>
      </c>
      <c r="AL782" s="26"/>
    </row>
    <row r="783" customFormat="false" ht="15" hidden="false" customHeight="false" outlineLevel="0" collapsed="false">
      <c r="A783" s="6" t="s">
        <v>4360</v>
      </c>
      <c r="B783" s="6" t="s">
        <v>4361</v>
      </c>
      <c r="C783" s="6" t="s">
        <v>3732</v>
      </c>
      <c r="D783" s="13" t="n">
        <v>96.9149932861328</v>
      </c>
      <c r="E783" s="25" t="n">
        <v>5.18408155441284</v>
      </c>
      <c r="F783" s="25" t="n">
        <v>4.44242572784424</v>
      </c>
      <c r="G783" s="25" t="n">
        <v>6.39068698883057</v>
      </c>
      <c r="H783" s="25" t="n">
        <v>1.3275500535965</v>
      </c>
      <c r="I783" s="25" t="n">
        <v>1.59023833274841</v>
      </c>
      <c r="J783" s="25" t="n">
        <v>3.50815380859375</v>
      </c>
      <c r="K783" s="25" t="n">
        <v>1.76264465332031</v>
      </c>
      <c r="L783" s="25" t="n">
        <v>0.478588653564453</v>
      </c>
      <c r="M783" s="25" t="n">
        <v>59.596981048584</v>
      </c>
      <c r="N783" s="25" t="n">
        <v>156.021209716797</v>
      </c>
      <c r="O783" s="25" t="n">
        <v>385.362731933594</v>
      </c>
      <c r="P783" s="25" t="n">
        <v>122.302574157715</v>
      </c>
      <c r="Q783" s="25" t="n">
        <v>124.222984313965</v>
      </c>
      <c r="R783" s="25" t="n">
        <v>51.5278930664063</v>
      </c>
      <c r="S783" s="25" t="n">
        <v>1.8900374174118</v>
      </c>
      <c r="T783" s="25" t="n">
        <v>0.695152878761292</v>
      </c>
      <c r="U783" s="25" t="n">
        <v>0.109357610344887</v>
      </c>
      <c r="V783" s="25" t="n">
        <v>6.92194414138794</v>
      </c>
      <c r="W783" s="25" t="n">
        <v>0.609909474849701</v>
      </c>
      <c r="X783" s="25" t="n">
        <v>71.5267486572266</v>
      </c>
      <c r="Y783" s="25" t="n">
        <v>5045.60498046875</v>
      </c>
      <c r="Z783" s="25" t="n">
        <v>1.00344276428223</v>
      </c>
      <c r="AA783" s="25" t="n">
        <v>169.026031494141</v>
      </c>
      <c r="AB783" s="25" t="n">
        <v>16.1228256225586</v>
      </c>
      <c r="AC783" s="25" t="n">
        <v>0.105591431260109</v>
      </c>
      <c r="AD783" s="25" t="n">
        <v>0.122208826243877</v>
      </c>
      <c r="AE783" s="25" t="n">
        <v>0.230328857898712</v>
      </c>
      <c r="AF783" s="25" t="n">
        <v>0.442114681005478</v>
      </c>
      <c r="AG783" s="25" t="n">
        <v>0.114545248448849</v>
      </c>
      <c r="AH783" s="25" t="n">
        <v>5.38155174255371</v>
      </c>
      <c r="AI783" s="25" t="n">
        <v>83.1099700927734</v>
      </c>
      <c r="AJ783" s="6" t="n">
        <v>385.6</v>
      </c>
      <c r="AK783" s="6" t="n">
        <v>373.7</v>
      </c>
      <c r="AL783" s="26"/>
    </row>
    <row r="784" customFormat="false" ht="15" hidden="false" customHeight="false" outlineLevel="0" collapsed="false">
      <c r="A784" s="6" t="s">
        <v>427</v>
      </c>
      <c r="B784" s="6" t="s">
        <v>4362</v>
      </c>
      <c r="C784" s="6" t="s">
        <v>2932</v>
      </c>
      <c r="D784" s="13" t="n">
        <v>68.3502960205078</v>
      </c>
      <c r="E784" s="25" t="n">
        <v>1.93058824539185</v>
      </c>
      <c r="F784" s="25" t="n">
        <v>9.180588722229</v>
      </c>
      <c r="G784" s="25" t="n">
        <v>2.79823541641235</v>
      </c>
      <c r="H784" s="25" t="n">
        <v>0.229999989271164</v>
      </c>
      <c r="I784" s="25" t="n">
        <v>9.10588264465332</v>
      </c>
      <c r="J784" s="25" t="n">
        <v>1.68208825683594</v>
      </c>
      <c r="K784" s="25" t="n">
        <v>0.752441162109375</v>
      </c>
      <c r="L784" s="25" t="n">
        <v>0.102705879211426</v>
      </c>
      <c r="M784" s="25" t="n">
        <v>1.29705882072449</v>
      </c>
      <c r="N784" s="25" t="n">
        <v>16.6364707946777</v>
      </c>
      <c r="O784" s="25" t="n">
        <v>85.2352905273438</v>
      </c>
      <c r="P784" s="25" t="n">
        <v>69.3552932739258</v>
      </c>
      <c r="Q784" s="25" t="n">
        <v>56.2164688110352</v>
      </c>
      <c r="R784" s="25" t="n">
        <v>6.615882396698</v>
      </c>
      <c r="S784" s="25" t="n">
        <v>0.150882348418236</v>
      </c>
      <c r="T784" s="25" t="n">
        <v>0.20647057890892</v>
      </c>
      <c r="U784" s="25" t="n">
        <v>0.0338235311210156</v>
      </c>
      <c r="V784" s="25" t="n">
        <v>0.771764695644379</v>
      </c>
      <c r="W784" s="25" t="n">
        <v>0.031176470220089</v>
      </c>
      <c r="X784" s="25" t="n">
        <v>4.01470565795898</v>
      </c>
      <c r="Y784" s="25" t="n">
        <v>275.397064208984</v>
      </c>
      <c r="Z784" s="25" t="n">
        <v>0.171029418706894</v>
      </c>
      <c r="AA784" s="25" t="n">
        <v>0.561176478862763</v>
      </c>
      <c r="AB784" s="25" t="n">
        <v>4.98705863952637</v>
      </c>
      <c r="AC784" s="25" t="n">
        <v>0.0238235294818878</v>
      </c>
      <c r="AD784" s="25" t="n">
        <v>0.0752941146492958</v>
      </c>
      <c r="AE784" s="25" t="n">
        <v>0.0817647054791451</v>
      </c>
      <c r="AF784" s="25" t="n">
        <v>0.240441173315048</v>
      </c>
      <c r="AG784" s="25" t="n">
        <v>0.0370588228106499</v>
      </c>
      <c r="AH784" s="25" t="n">
        <v>1.33352935314179</v>
      </c>
      <c r="AI784" s="25" t="n">
        <v>13.6394119262695</v>
      </c>
      <c r="AJ784" s="6" t="n">
        <v>340</v>
      </c>
      <c r="AK784" s="6" t="n">
        <v>232.4</v>
      </c>
      <c r="AL784" s="26"/>
    </row>
    <row r="785" customFormat="false" ht="15" hidden="false" customHeight="false" outlineLevel="0" collapsed="false">
      <c r="A785" s="6" t="s">
        <v>4363</v>
      </c>
      <c r="B785" s="6" t="s">
        <v>4364</v>
      </c>
      <c r="C785" s="6" t="s">
        <v>2932</v>
      </c>
      <c r="D785" s="13" t="n">
        <v>68.4908828735352</v>
      </c>
      <c r="E785" s="25" t="n">
        <v>1.92823529243469</v>
      </c>
      <c r="F785" s="25" t="n">
        <v>9.32647037506104</v>
      </c>
      <c r="G785" s="25" t="n">
        <v>2.75235295295715</v>
      </c>
      <c r="H785" s="25" t="n">
        <v>0.415882349014282</v>
      </c>
      <c r="I785" s="25" t="n">
        <v>9.19882392883301</v>
      </c>
      <c r="J785" s="25" t="n">
        <v>1.66809887695313</v>
      </c>
      <c r="K785" s="25" t="n">
        <v>0.740341186523438</v>
      </c>
      <c r="L785" s="25" t="n">
        <v>0.092795295715332</v>
      </c>
      <c r="M785" s="25" t="n">
        <v>1.29705882072449</v>
      </c>
      <c r="N785" s="25" t="n">
        <v>16.6470584869385</v>
      </c>
      <c r="O785" s="25" t="n">
        <v>85.1176452636719</v>
      </c>
      <c r="P785" s="25" t="n">
        <v>68.7799987792969</v>
      </c>
      <c r="Q785" s="25" t="n">
        <v>56.5094108581543</v>
      </c>
      <c r="R785" s="25" t="n">
        <v>6.53705883026123</v>
      </c>
      <c r="S785" s="25" t="n">
        <v>0.123823530972004</v>
      </c>
      <c r="T785" s="25" t="n">
        <v>0.204117640852928</v>
      </c>
      <c r="U785" s="25" t="n">
        <v>0.0302941184490919</v>
      </c>
      <c r="V785" s="25" t="n">
        <v>0.556470572948456</v>
      </c>
      <c r="W785" s="25" t="n">
        <v>0.155882358551025</v>
      </c>
      <c r="X785" s="25" t="n">
        <v>4.01470565795898</v>
      </c>
      <c r="Y785" s="25" t="n">
        <v>118.021766662598</v>
      </c>
      <c r="Z785" s="25" t="n">
        <v>0.191029414534569</v>
      </c>
      <c r="AA785" s="25" t="n">
        <v>0.282352924346924</v>
      </c>
      <c r="AB785" s="25" t="n">
        <v>5.3870587348938</v>
      </c>
      <c r="AC785" s="25" t="n">
        <v>0.0261764712631702</v>
      </c>
      <c r="AD785" s="25" t="n">
        <v>0.0741176456212997</v>
      </c>
      <c r="AE785" s="25" t="n">
        <v>0.0652941167354584</v>
      </c>
      <c r="AF785" s="25" t="n">
        <v>0.241617649793625</v>
      </c>
      <c r="AG785" s="25" t="n">
        <v>0.0382352918386459</v>
      </c>
      <c r="AH785" s="25" t="n">
        <v>1.26882350444794</v>
      </c>
      <c r="AI785" s="25" t="n">
        <v>6.12882375717163</v>
      </c>
      <c r="AJ785" s="6" t="n">
        <v>340</v>
      </c>
      <c r="AK785" s="6" t="n">
        <v>232.9</v>
      </c>
      <c r="AL785" s="26"/>
    </row>
    <row r="786" customFormat="false" ht="15" hidden="false" customHeight="false" outlineLevel="0" collapsed="false">
      <c r="A786" s="6" t="s">
        <v>4365</v>
      </c>
      <c r="B786" s="6" t="s">
        <v>4366</v>
      </c>
      <c r="C786" s="6" t="s">
        <v>2932</v>
      </c>
      <c r="D786" s="13" t="n">
        <v>67.8160552978516</v>
      </c>
      <c r="E786" s="25" t="n">
        <v>1.94941174983978</v>
      </c>
      <c r="F786" s="25" t="n">
        <v>9.14999961853027</v>
      </c>
      <c r="G786" s="25" t="n">
        <v>2.74882364273071</v>
      </c>
      <c r="H786" s="25" t="n">
        <v>0.160588219761848</v>
      </c>
      <c r="I786" s="25" t="n">
        <v>8.99882316589356</v>
      </c>
      <c r="J786" s="25" t="n">
        <v>1.6664541015625</v>
      </c>
      <c r="K786" s="25" t="n">
        <v>0.738942321777344</v>
      </c>
      <c r="L786" s="25" t="n">
        <v>0.0927799987792969</v>
      </c>
      <c r="M786" s="25" t="n">
        <v>1.29705882072449</v>
      </c>
      <c r="N786" s="25" t="n">
        <v>16.6517639160156</v>
      </c>
      <c r="O786" s="25" t="n">
        <v>87.5882339477539</v>
      </c>
      <c r="P786" s="25" t="n">
        <v>69.7964706420898</v>
      </c>
      <c r="Q786" s="25" t="n">
        <v>56.4317626953125</v>
      </c>
      <c r="R786" s="25" t="n">
        <v>6.34529447555542</v>
      </c>
      <c r="S786" s="25" t="n">
        <v>0.186176478862763</v>
      </c>
      <c r="T786" s="25" t="n">
        <v>0.197058811783791</v>
      </c>
      <c r="U786" s="25" t="n">
        <v>0.0255882348865271</v>
      </c>
      <c r="V786" s="25" t="n">
        <v>0.569411754608154</v>
      </c>
      <c r="W786" s="25" t="n">
        <v>0.00764705892652273</v>
      </c>
      <c r="X786" s="25" t="n">
        <v>4.01470565795898</v>
      </c>
      <c r="Y786" s="25" t="n">
        <v>187.279418945313</v>
      </c>
      <c r="Z786" s="25" t="n">
        <v>0.142794117331505</v>
      </c>
      <c r="AA786" s="25" t="n">
        <v>0.294117659330368</v>
      </c>
      <c r="AB786" s="25" t="n">
        <v>6.134117603302</v>
      </c>
      <c r="AC786" s="25" t="n">
        <v>0.0285294130444527</v>
      </c>
      <c r="AD786" s="25" t="n">
        <v>0.0729411765933037</v>
      </c>
      <c r="AE786" s="25" t="n">
        <v>0.0841176435351372</v>
      </c>
      <c r="AF786" s="25" t="n">
        <v>0.249852940440178</v>
      </c>
      <c r="AG786" s="25" t="n">
        <v>0.0276470575481653</v>
      </c>
      <c r="AH786" s="25" t="n">
        <v>1.48411762714386</v>
      </c>
      <c r="AI786" s="25" t="n">
        <v>6.27588224411011</v>
      </c>
      <c r="AJ786" s="6" t="n">
        <v>340</v>
      </c>
      <c r="AK786" s="6" t="n">
        <v>230.6</v>
      </c>
      <c r="AL786" s="26"/>
    </row>
    <row r="787" customFormat="false" ht="15" hidden="false" customHeight="false" outlineLevel="0" collapsed="false">
      <c r="A787" s="6" t="s">
        <v>200</v>
      </c>
      <c r="B787" s="6" t="s">
        <v>4367</v>
      </c>
      <c r="C787" s="6" t="s">
        <v>2815</v>
      </c>
      <c r="D787" s="13" t="n">
        <v>34.1768836975098</v>
      </c>
      <c r="E787" s="25" t="n">
        <v>0.62922203540802</v>
      </c>
      <c r="F787" s="25" t="n">
        <v>6.5096583366394</v>
      </c>
      <c r="G787" s="25" t="n">
        <v>0.698861479759216</v>
      </c>
      <c r="H787" s="25" t="n">
        <v>1.02980077266693</v>
      </c>
      <c r="I787" s="25" t="n">
        <v>5.75260925292969</v>
      </c>
      <c r="J787" s="25" t="n">
        <v>0.170912719726563</v>
      </c>
      <c r="K787" s="25" t="n">
        <v>0.113367195129395</v>
      </c>
      <c r="L787" s="25" t="n">
        <v>0.278006652832031</v>
      </c>
      <c r="M787" s="25" t="n">
        <v>0</v>
      </c>
      <c r="N787" s="25" t="n">
        <v>127.447891235352</v>
      </c>
      <c r="O787" s="25" t="n">
        <v>71.8576812744141</v>
      </c>
      <c r="P787" s="25" t="n">
        <v>11.8492975234985</v>
      </c>
      <c r="Q787" s="25" t="n">
        <v>16.6885871887207</v>
      </c>
      <c r="R787" s="25" t="n">
        <v>5.23018980026245</v>
      </c>
      <c r="S787" s="25" t="n">
        <v>0.124155595898628</v>
      </c>
      <c r="T787" s="25" t="n">
        <v>0.0697153732180595</v>
      </c>
      <c r="U787" s="25" t="n">
        <v>0.0448576845228672</v>
      </c>
      <c r="V787" s="25" t="n">
        <v>0.478927880525589</v>
      </c>
      <c r="W787" s="25" t="n">
        <v>0.0645256191492081</v>
      </c>
      <c r="X787" s="25" t="n">
        <v>0</v>
      </c>
      <c r="Y787" s="25" t="n">
        <v>34.6565437316895</v>
      </c>
      <c r="Z787" s="25" t="n">
        <v>0.0158444028347731</v>
      </c>
      <c r="AA787" s="25" t="n">
        <v>1.61560726165772</v>
      </c>
      <c r="AB787" s="25" t="n">
        <v>5.22691631317139</v>
      </c>
      <c r="AC787" s="25" t="n">
        <v>0.00872865226119757</v>
      </c>
      <c r="AD787" s="25" t="n">
        <v>0.00262808334082365</v>
      </c>
      <c r="AE787" s="25" t="n">
        <v>0.110702089965344</v>
      </c>
      <c r="AF787" s="25" t="n">
        <v>0.0470777973532677</v>
      </c>
      <c r="AG787" s="25" t="n">
        <v>0.035170778632164</v>
      </c>
      <c r="AH787" s="25" t="n">
        <v>0.322296023368835</v>
      </c>
      <c r="AI787" s="25" t="n">
        <v>1.60696399211884</v>
      </c>
      <c r="AJ787" s="6" t="n">
        <v>351.3</v>
      </c>
      <c r="AK787" s="6" t="n">
        <v>120.1</v>
      </c>
      <c r="AL787" s="26"/>
    </row>
    <row r="788" customFormat="false" ht="15" hidden="false" customHeight="false" outlineLevel="0" collapsed="false">
      <c r="A788" s="6" t="s">
        <v>206</v>
      </c>
      <c r="B788" s="6" t="s">
        <v>204</v>
      </c>
      <c r="C788" s="6" t="s">
        <v>2815</v>
      </c>
      <c r="D788" s="13" t="n">
        <v>23.3774261474609</v>
      </c>
      <c r="E788" s="25" t="n">
        <v>0.564804971218109</v>
      </c>
      <c r="F788" s="25" t="n">
        <v>5.15584421157837</v>
      </c>
      <c r="G788" s="25" t="n">
        <v>0.139170050621033</v>
      </c>
      <c r="H788" s="25" t="n">
        <v>0.397067070007324</v>
      </c>
      <c r="I788" s="25" t="n">
        <v>3.95835256576538</v>
      </c>
      <c r="J788" s="25" t="n">
        <v>0.0122920436859131</v>
      </c>
      <c r="K788" s="25" t="n">
        <v>0.0229591274261475</v>
      </c>
      <c r="L788" s="25" t="n">
        <v>0.0648936080932617</v>
      </c>
      <c r="M788" s="25" t="n">
        <v>0</v>
      </c>
      <c r="N788" s="25" t="n">
        <v>12.6464023590088</v>
      </c>
      <c r="O788" s="25" t="n">
        <v>25.26926612854</v>
      </c>
      <c r="P788" s="25" t="n">
        <v>1.58841800689697</v>
      </c>
      <c r="Q788" s="25" t="n">
        <v>8.55538177490234</v>
      </c>
      <c r="R788" s="25" t="n">
        <v>3.16755080223084</v>
      </c>
      <c r="S788" s="25" t="n">
        <v>0.166839316487312</v>
      </c>
      <c r="T788" s="25" t="n">
        <v>0.0994071736931801</v>
      </c>
      <c r="U788" s="25" t="n">
        <v>0.0259843990206718</v>
      </c>
      <c r="V788" s="25" t="n">
        <v>1.33587515354157</v>
      </c>
      <c r="W788" s="25" t="n">
        <v>0.0440312027931213</v>
      </c>
      <c r="X788" s="25" t="n">
        <v>0</v>
      </c>
      <c r="Y788" s="25" t="n">
        <v>26.6808109283447</v>
      </c>
      <c r="Z788" s="25" t="n">
        <v>0.00497971940785646</v>
      </c>
      <c r="AA788" s="25" t="n">
        <v>0.0393135733902454</v>
      </c>
      <c r="AB788" s="25" t="n">
        <v>0</v>
      </c>
      <c r="AC788" s="25" t="n">
        <v>0.00917316693812609</v>
      </c>
      <c r="AD788" s="25" t="n">
        <v>0.00393135752528906</v>
      </c>
      <c r="AE788" s="25" t="n">
        <v>0.0490109175443649</v>
      </c>
      <c r="AF788" s="25" t="n">
        <v>0.0419344753026962</v>
      </c>
      <c r="AG788" s="25" t="n">
        <v>0.00497971940785646</v>
      </c>
      <c r="AH788" s="25" t="n">
        <v>0.0212293304502964</v>
      </c>
      <c r="AI788" s="25" t="n">
        <v>4.77004718780518</v>
      </c>
      <c r="AJ788" s="6" t="n">
        <v>534.2</v>
      </c>
      <c r="AK788" s="6" t="n">
        <v>124.9</v>
      </c>
      <c r="AL788" s="26"/>
    </row>
    <row r="789" customFormat="false" ht="15" hidden="false" customHeight="false" outlineLevel="0" collapsed="false">
      <c r="A789" s="6" t="s">
        <v>4368</v>
      </c>
      <c r="B789" s="6" t="s">
        <v>4369</v>
      </c>
      <c r="C789" s="6" t="s">
        <v>2949</v>
      </c>
      <c r="D789" s="13" t="n">
        <v>121.297073364258</v>
      </c>
      <c r="E789" s="25" t="n">
        <v>0.153371825814247</v>
      </c>
      <c r="F789" s="25" t="n">
        <v>30.7422409057617</v>
      </c>
      <c r="G789" s="25" t="n">
        <v>0.288591206073761</v>
      </c>
      <c r="H789" s="25" t="n">
        <v>1.13050806522369</v>
      </c>
      <c r="I789" s="25" t="n">
        <v>29.1796073913574</v>
      </c>
      <c r="J789" s="25" t="n">
        <v>0.0718383331298828</v>
      </c>
      <c r="K789" s="25" t="n">
        <v>0.0223177146911621</v>
      </c>
      <c r="L789" s="25" t="n">
        <v>0.127708999633789</v>
      </c>
      <c r="M789" s="25" t="n">
        <v>0</v>
      </c>
      <c r="N789" s="25" t="n">
        <v>1.97290992736816</v>
      </c>
      <c r="O789" s="25" t="n">
        <v>56.4157028198242</v>
      </c>
      <c r="P789" s="25" t="n">
        <v>9.1120548248291</v>
      </c>
      <c r="Q789" s="25" t="n">
        <v>5.40683603286743</v>
      </c>
      <c r="R789" s="25" t="n">
        <v>4.28870677947998</v>
      </c>
      <c r="S789" s="25" t="n">
        <v>0.177228644490242</v>
      </c>
      <c r="T789" s="25" t="n">
        <v>0.0753117799758911</v>
      </c>
      <c r="U789" s="25" t="n">
        <v>0.0456351041793823</v>
      </c>
      <c r="V789" s="25" t="n">
        <v>0.260577380657196</v>
      </c>
      <c r="W789" s="25" t="n">
        <v>0.0245958417654038</v>
      </c>
      <c r="X789" s="25" t="n">
        <v>0</v>
      </c>
      <c r="Y789" s="25" t="n">
        <v>100.140884399414</v>
      </c>
      <c r="Z789" s="25" t="n">
        <v>0.0654734373092651</v>
      </c>
      <c r="AA789" s="25" t="n">
        <v>1.59318697452545</v>
      </c>
      <c r="AB789" s="25" t="n">
        <v>3.12870669364929</v>
      </c>
      <c r="AC789" s="25" t="n">
        <v>0.0144803700968623</v>
      </c>
      <c r="AD789" s="25" t="n">
        <v>0.00528868334367871</v>
      </c>
      <c r="AE789" s="25" t="n">
        <v>0.115588918328285</v>
      </c>
      <c r="AF789" s="25" t="n">
        <v>0.0448267869651318</v>
      </c>
      <c r="AG789" s="25" t="n">
        <v>0.0197690520435572</v>
      </c>
      <c r="AH789" s="25" t="n">
        <v>0.148406475782394</v>
      </c>
      <c r="AI789" s="25" t="n">
        <v>1.65025401115418</v>
      </c>
      <c r="AJ789" s="6" t="n">
        <v>162.4</v>
      </c>
      <c r="AK789" s="6" t="n">
        <v>197</v>
      </c>
      <c r="AL789" s="26"/>
    </row>
    <row r="790" customFormat="false" ht="15" hidden="false" customHeight="false" outlineLevel="0" collapsed="false">
      <c r="A790" s="6" t="s">
        <v>233</v>
      </c>
      <c r="B790" s="6" t="s">
        <v>232</v>
      </c>
      <c r="C790" s="6" t="s">
        <v>2815</v>
      </c>
      <c r="D790" s="13" t="n">
        <v>101.176902770996</v>
      </c>
      <c r="E790" s="25" t="n">
        <v>3.59148359298706</v>
      </c>
      <c r="F790" s="25" t="n">
        <v>9.13284587860107</v>
      </c>
      <c r="G790" s="25" t="n">
        <v>5.88710832595825</v>
      </c>
      <c r="H790" s="25" t="n">
        <v>0.796094238758087</v>
      </c>
      <c r="I790" s="25" t="n">
        <v>8.20723533630371</v>
      </c>
      <c r="J790" s="25" t="n">
        <v>2.2650146484375</v>
      </c>
      <c r="K790" s="25" t="n">
        <v>1.97956311035156</v>
      </c>
      <c r="L790" s="25" t="n">
        <v>0.732162658691406</v>
      </c>
      <c r="M790" s="25" t="n">
        <v>0</v>
      </c>
      <c r="N790" s="25" t="n">
        <v>22.6905632019043</v>
      </c>
      <c r="O790" s="25" t="n">
        <v>140.994857788086</v>
      </c>
      <c r="P790" s="25" t="n">
        <v>112.314140319824</v>
      </c>
      <c r="Q790" s="25" t="n">
        <v>98.3788757324219</v>
      </c>
      <c r="R790" s="25" t="n">
        <v>25.5815105438232</v>
      </c>
      <c r="S790" s="25" t="n">
        <v>0.603199243545532</v>
      </c>
      <c r="T790" s="25" t="n">
        <v>0.479441076517105</v>
      </c>
      <c r="U790" s="25" t="n">
        <v>0.117966406047344</v>
      </c>
      <c r="V790" s="25" t="n">
        <v>1.06080389022827</v>
      </c>
      <c r="W790" s="25" t="n">
        <v>0.374866932630539</v>
      </c>
      <c r="X790" s="25" t="n">
        <v>0</v>
      </c>
      <c r="Y790" s="25" t="n">
        <v>152.884658813477</v>
      </c>
      <c r="Z790" s="25" t="n">
        <v>0.756129086017609</v>
      </c>
      <c r="AA790" s="25" t="n">
        <v>1.37455070018768</v>
      </c>
      <c r="AB790" s="25" t="n">
        <v>1.44476056098938</v>
      </c>
      <c r="AC790" s="25" t="n">
        <v>0.046260416507721</v>
      </c>
      <c r="AD790" s="25" t="n">
        <v>0.0871526971459389</v>
      </c>
      <c r="AE790" s="25" t="n">
        <v>0.226506665349007</v>
      </c>
      <c r="AF790" s="25" t="n">
        <v>0.275237441062927</v>
      </c>
      <c r="AG790" s="25" t="n">
        <v>0.0411546379327774</v>
      </c>
      <c r="AH790" s="25" t="n">
        <v>1.58454263210297</v>
      </c>
      <c r="AI790" s="25" t="n">
        <v>7.17517948150635</v>
      </c>
      <c r="AJ790" s="6" t="n">
        <v>253.5</v>
      </c>
      <c r="AK790" s="6" t="n">
        <v>256.5</v>
      </c>
      <c r="AL790" s="26"/>
    </row>
    <row r="791" customFormat="false" ht="15" hidden="false" customHeight="false" outlineLevel="0" collapsed="false">
      <c r="A791" s="6" t="s">
        <v>4370</v>
      </c>
      <c r="B791" s="6" t="s">
        <v>4371</v>
      </c>
      <c r="C791" s="6" t="s">
        <v>2815</v>
      </c>
      <c r="D791" s="13" t="n">
        <v>27.2839412689209</v>
      </c>
      <c r="E791" s="25" t="n">
        <v>0.259124100208283</v>
      </c>
      <c r="F791" s="25" t="n">
        <v>6.63503646850586</v>
      </c>
      <c r="G791" s="25" t="n">
        <v>0.0583941601216793</v>
      </c>
      <c r="H791" s="25" t="n">
        <v>0.781021893024445</v>
      </c>
      <c r="I791" s="25" t="n">
        <v>5.46350336074829</v>
      </c>
      <c r="J791" s="25" t="n">
        <v>0.0234197082519531</v>
      </c>
      <c r="K791" s="25" t="n">
        <v>0.00385766410827637</v>
      </c>
      <c r="L791" s="25" t="n">
        <v>0.0247919692993164</v>
      </c>
      <c r="M791" s="25" t="n">
        <v>0</v>
      </c>
      <c r="N791" s="25" t="n">
        <v>2.56569337844849</v>
      </c>
      <c r="O791" s="25" t="n">
        <v>67.0437927246094</v>
      </c>
      <c r="P791" s="25" t="n">
        <v>6.49270057678223</v>
      </c>
      <c r="Q791" s="25" t="n">
        <v>10.3941602706909</v>
      </c>
      <c r="R791" s="25" t="n">
        <v>7.54014587402344</v>
      </c>
      <c r="S791" s="25" t="n">
        <v>0.178102195262909</v>
      </c>
      <c r="T791" s="25" t="n">
        <v>0.0671532824635506</v>
      </c>
      <c r="U791" s="25" t="n">
        <v>0.0207299273461103</v>
      </c>
      <c r="V791" s="25" t="n">
        <v>0.0620437934994698</v>
      </c>
      <c r="W791" s="25" t="n">
        <v>0.0291970800608397</v>
      </c>
      <c r="X791" s="25" t="n">
        <v>0</v>
      </c>
      <c r="Y791" s="25" t="n">
        <v>62.4087600708008</v>
      </c>
      <c r="Z791" s="25" t="n">
        <v>0.00729927001520991</v>
      </c>
      <c r="AA791" s="25" t="n">
        <v>2.99270081520081</v>
      </c>
      <c r="AB791" s="25" t="n">
        <v>2.22992706298828</v>
      </c>
      <c r="AC791" s="25" t="n">
        <v>0.00729927001520991</v>
      </c>
      <c r="AD791" s="25" t="n">
        <v>0.00364963500760496</v>
      </c>
      <c r="AE791" s="25" t="n">
        <v>0.12773722410202</v>
      </c>
      <c r="AF791" s="25" t="n">
        <v>0.164233580231667</v>
      </c>
      <c r="AG791" s="25" t="n">
        <v>0.0218978114426136</v>
      </c>
      <c r="AH791" s="25" t="n">
        <v>1.02919709682465</v>
      </c>
      <c r="AI791" s="25" t="n">
        <v>6.14598560333252</v>
      </c>
      <c r="AJ791" s="6" t="n">
        <v>411</v>
      </c>
      <c r="AK791" s="6" t="n">
        <v>112.1</v>
      </c>
      <c r="AL791" s="26"/>
    </row>
    <row r="792" customFormat="false" ht="15" hidden="false" customHeight="false" outlineLevel="0" collapsed="false">
      <c r="A792" s="6" t="s">
        <v>4372</v>
      </c>
      <c r="B792" s="6" t="s">
        <v>4373</v>
      </c>
      <c r="C792" s="6" t="s">
        <v>2815</v>
      </c>
      <c r="D792" s="13" t="n">
        <v>85.6448974609375</v>
      </c>
      <c r="E792" s="25" t="n">
        <v>3.49113774299622</v>
      </c>
      <c r="F792" s="25" t="n">
        <v>13.0703420639038</v>
      </c>
      <c r="G792" s="25" t="n">
        <v>2.47632455825806</v>
      </c>
      <c r="H792" s="25" t="n">
        <v>1.44423234462738</v>
      </c>
      <c r="I792" s="25" t="n">
        <v>5.7610182762146</v>
      </c>
      <c r="J792" s="25" t="n">
        <v>0.924647583007813</v>
      </c>
      <c r="K792" s="25" t="n">
        <v>0.688169311523438</v>
      </c>
      <c r="L792" s="25" t="n">
        <v>0.691893371582031</v>
      </c>
      <c r="M792" s="25" t="n">
        <v>4.31591081619263</v>
      </c>
      <c r="N792" s="25" t="n">
        <v>32.0205268859863</v>
      </c>
      <c r="O792" s="25" t="n">
        <v>169.253784179688</v>
      </c>
      <c r="P792" s="25" t="n">
        <v>88.8884658813477</v>
      </c>
      <c r="Q792" s="25" t="n">
        <v>111.196022033691</v>
      </c>
      <c r="R792" s="25" t="n">
        <v>23.5468578338623</v>
      </c>
      <c r="S792" s="25" t="n">
        <v>0.495576769113541</v>
      </c>
      <c r="T792" s="25" t="n">
        <v>0.566793978214264</v>
      </c>
      <c r="U792" s="25" t="n">
        <v>0.0546141602098942</v>
      </c>
      <c r="V792" s="25" t="n">
        <v>1.42545747756958</v>
      </c>
      <c r="W792" s="25" t="n">
        <v>0.380556881427765</v>
      </c>
      <c r="X792" s="25" t="n">
        <v>10.9148759841919</v>
      </c>
      <c r="Y792" s="25" t="n">
        <v>44.8671417236328</v>
      </c>
      <c r="Z792" s="25" t="n">
        <v>0.0969530642032623</v>
      </c>
      <c r="AA792" s="25" t="n">
        <v>0.562132060527802</v>
      </c>
      <c r="AB792" s="25" t="n">
        <v>0.857279241085053</v>
      </c>
      <c r="AC792" s="25" t="n">
        <v>0.143282413482666</v>
      </c>
      <c r="AD792" s="25" t="n">
        <v>0.113988861441612</v>
      </c>
      <c r="AE792" s="25" t="n">
        <v>0.224439144134522</v>
      </c>
      <c r="AF792" s="25" t="n">
        <v>0.276746213436127</v>
      </c>
      <c r="AG792" s="25" t="n">
        <v>0.0812426432967186</v>
      </c>
      <c r="AH792" s="25" t="n">
        <v>2.82529830932617</v>
      </c>
      <c r="AI792" s="25" t="n">
        <v>11.3606996536255</v>
      </c>
      <c r="AJ792" s="6" t="n">
        <v>628.5</v>
      </c>
      <c r="AK792" s="6" t="n">
        <v>538.3</v>
      </c>
      <c r="AL792" s="26"/>
    </row>
    <row r="793" customFormat="false" ht="15" hidden="false" customHeight="false" outlineLevel="0" collapsed="false">
      <c r="A793" s="6" t="s">
        <v>218</v>
      </c>
      <c r="B793" s="6" t="s">
        <v>216</v>
      </c>
      <c r="C793" s="6" t="s">
        <v>2949</v>
      </c>
      <c r="D793" s="13" t="n">
        <v>88.7898406982422</v>
      </c>
      <c r="E793" s="25" t="n">
        <v>0.0104035874828696</v>
      </c>
      <c r="F793" s="25" t="n">
        <v>23.6239471435547</v>
      </c>
      <c r="G793" s="25" t="n">
        <v>0.00941704027354717</v>
      </c>
      <c r="H793" s="25" t="n">
        <v>0</v>
      </c>
      <c r="I793" s="25" t="n">
        <v>23.5846633911133</v>
      </c>
      <c r="J793" s="25" t="n">
        <v>0.00315695071220398</v>
      </c>
      <c r="K793" s="25" t="n">
        <v>0.000425112098455429</v>
      </c>
      <c r="L793" s="25" t="n">
        <v>0.00451121091842651</v>
      </c>
      <c r="M793" s="25" t="n">
        <v>0</v>
      </c>
      <c r="N793" s="25" t="n">
        <v>1.15883409976959</v>
      </c>
      <c r="O793" s="25" t="n">
        <v>3.34529161453247</v>
      </c>
      <c r="P793" s="25" t="n">
        <v>2.67426013946533</v>
      </c>
      <c r="Q793" s="25" t="n">
        <v>0.44717487692833</v>
      </c>
      <c r="R793" s="25" t="n">
        <v>0.608968615531921</v>
      </c>
      <c r="S793" s="25" t="n">
        <v>0.0499551557004452</v>
      </c>
      <c r="T793" s="25" t="n">
        <v>0.0244843047112227</v>
      </c>
      <c r="U793" s="25" t="n">
        <v>0.0271748881787062</v>
      </c>
      <c r="V793" s="25" t="n">
        <v>0.0134529154747725</v>
      </c>
      <c r="W793" s="25" t="n">
        <v>0.000179372204001993</v>
      </c>
      <c r="X793" s="25" t="n">
        <v>0</v>
      </c>
      <c r="Y793" s="25" t="n">
        <v>0.825022399425507</v>
      </c>
      <c r="Z793" s="25" t="n">
        <v>0.000538116612005979</v>
      </c>
      <c r="AA793" s="25" t="n">
        <v>0.016143498942256</v>
      </c>
      <c r="AB793" s="25" t="n">
        <v>0.889327347278595</v>
      </c>
      <c r="AC793" s="25" t="n">
        <v>0.000762331823352724</v>
      </c>
      <c r="AD793" s="25" t="n">
        <v>0.000224215255002491</v>
      </c>
      <c r="AE793" s="25" t="n">
        <v>0.0022421523462981</v>
      </c>
      <c r="AF793" s="25" t="n">
        <v>0.00269058300182223</v>
      </c>
      <c r="AG793" s="25" t="n">
        <v>0.000941704027354717</v>
      </c>
      <c r="AH793" s="25" t="n">
        <v>0.0172197315841913</v>
      </c>
      <c r="AI793" s="25" t="n">
        <v>0.205650225281715</v>
      </c>
      <c r="AJ793" s="6" t="n">
        <v>1115</v>
      </c>
      <c r="AK793" s="6" t="n">
        <v>990</v>
      </c>
      <c r="AL793" s="26"/>
    </row>
    <row r="794" customFormat="false" ht="15" hidden="false" customHeight="false" outlineLevel="0" collapsed="false">
      <c r="A794" s="6" t="s">
        <v>4374</v>
      </c>
      <c r="B794" s="6" t="s">
        <v>4375</v>
      </c>
      <c r="C794" s="6" t="s">
        <v>2949</v>
      </c>
      <c r="D794" s="13" t="n">
        <v>44.1622200012207</v>
      </c>
      <c r="E794" s="25" t="n">
        <v>0.983571588993073</v>
      </c>
      <c r="F794" s="25" t="n">
        <v>6.92532348632813</v>
      </c>
      <c r="G794" s="25" t="n">
        <v>1.36327278614044</v>
      </c>
      <c r="H794" s="25" t="n">
        <v>0.723001480102539</v>
      </c>
      <c r="I794" s="25" t="n">
        <v>3.88211345672607</v>
      </c>
      <c r="J794" s="25" t="n">
        <v>0.406448059082031</v>
      </c>
      <c r="K794" s="25" t="n">
        <v>0.655712097167969</v>
      </c>
      <c r="L794" s="25" t="n">
        <v>0.194404159545898</v>
      </c>
      <c r="M794" s="25" t="n">
        <v>0.933692634105682</v>
      </c>
      <c r="N794" s="25" t="n">
        <v>11.9478454589844</v>
      </c>
      <c r="O794" s="25" t="n">
        <v>84.5663604736328</v>
      </c>
      <c r="P794" s="25" t="n">
        <v>8.26167106628418</v>
      </c>
      <c r="Q794" s="25" t="n">
        <v>23.9828243255615</v>
      </c>
      <c r="R794" s="25" t="n">
        <v>11.5744247436523</v>
      </c>
      <c r="S794" s="25" t="n">
        <v>0.362940758466721</v>
      </c>
      <c r="T794" s="25" t="n">
        <v>0.250487893819809</v>
      </c>
      <c r="U794" s="25" t="n">
        <v>0.0853203386068344</v>
      </c>
      <c r="V794" s="25" t="n">
        <v>0.736758828163147</v>
      </c>
      <c r="W794" s="25" t="n">
        <v>0.164654806256294</v>
      </c>
      <c r="X794" s="25" t="n">
        <v>3.49944972991943</v>
      </c>
      <c r="Y794" s="25" t="n">
        <v>184.47802734375</v>
      </c>
      <c r="Z794" s="25" t="n">
        <v>0.0978413075208664</v>
      </c>
      <c r="AA794" s="25" t="n">
        <v>0.331195563077927</v>
      </c>
      <c r="AB794" s="25" t="n">
        <v>2.49557828903198</v>
      </c>
      <c r="AC794" s="25" t="n">
        <v>0.0309255309402943</v>
      </c>
      <c r="AD794" s="25" t="n">
        <v>0.0155486389994621</v>
      </c>
      <c r="AE794" s="25" t="n">
        <v>0.160617336630821</v>
      </c>
      <c r="AF794" s="25" t="n">
        <v>0.0936368480324745</v>
      </c>
      <c r="AG794" s="25" t="n">
        <v>0.0357685871422291</v>
      </c>
      <c r="AH794" s="25" t="n">
        <v>0.301666587591171</v>
      </c>
      <c r="AI794" s="25" t="n">
        <v>4.50247287750244</v>
      </c>
      <c r="AJ794" s="6" t="n">
        <v>263.5</v>
      </c>
      <c r="AK794" s="6" t="n">
        <v>116.4</v>
      </c>
      <c r="AL794" s="26"/>
    </row>
    <row r="795" customFormat="false" ht="15" hidden="false" customHeight="false" outlineLevel="0" collapsed="false">
      <c r="A795" s="6" t="s">
        <v>162</v>
      </c>
      <c r="B795" s="6" t="s">
        <v>4376</v>
      </c>
      <c r="C795" s="6" t="s">
        <v>2815</v>
      </c>
      <c r="D795" s="13" t="n">
        <v>102.181037902832</v>
      </c>
      <c r="E795" s="25" t="n">
        <v>3.16882967948914</v>
      </c>
      <c r="F795" s="25" t="n">
        <v>12.6435031890869</v>
      </c>
      <c r="G795" s="25" t="n">
        <v>4.56899356842041</v>
      </c>
      <c r="H795" s="25" t="n">
        <v>0.144161537289619</v>
      </c>
      <c r="I795" s="25" t="n">
        <v>12.5030670166016</v>
      </c>
      <c r="J795" s="25" t="n">
        <v>2.51150048828125</v>
      </c>
      <c r="K795" s="25" t="n">
        <v>1.39348937988281</v>
      </c>
      <c r="L795" s="25" t="n">
        <v>0.240751220703125</v>
      </c>
      <c r="M795" s="25" t="n">
        <v>0</v>
      </c>
      <c r="N795" s="25" t="n">
        <v>23.6913604736328</v>
      </c>
      <c r="O795" s="25" t="n">
        <v>114.638191223145</v>
      </c>
      <c r="P795" s="25" t="n">
        <v>110.876045227051</v>
      </c>
      <c r="Q795" s="25" t="n">
        <v>92.722053527832</v>
      </c>
      <c r="R795" s="25" t="n">
        <v>10.54345703125</v>
      </c>
      <c r="S795" s="25" t="n">
        <v>0.205583691596985</v>
      </c>
      <c r="T795" s="25" t="n">
        <v>0.342621147632599</v>
      </c>
      <c r="U795" s="25" t="n">
        <v>0.0469846241176128</v>
      </c>
      <c r="V795" s="25" t="n">
        <v>0.938169181346893</v>
      </c>
      <c r="W795" s="25" t="n">
        <v>0.0847911983728409</v>
      </c>
      <c r="X795" s="25" t="n">
        <v>0</v>
      </c>
      <c r="Y795" s="25" t="n">
        <v>184.862869262695</v>
      </c>
      <c r="Z795" s="25" t="n">
        <v>0.456297934055328</v>
      </c>
      <c r="AA795" s="25" t="n">
        <v>0.1157006919384</v>
      </c>
      <c r="AB795" s="25" t="n">
        <v>1.84041249752045</v>
      </c>
      <c r="AC795" s="25" t="n">
        <v>0.0313976556062698</v>
      </c>
      <c r="AD795" s="25" t="n">
        <v>0.102243289351463</v>
      </c>
      <c r="AE795" s="25" t="n">
        <v>0.09930569678545</v>
      </c>
      <c r="AF795" s="25" t="n">
        <v>0.3170325756073</v>
      </c>
      <c r="AG795" s="25" t="n">
        <v>0.0401632785797119</v>
      </c>
      <c r="AH795" s="25" t="n">
        <v>1.86555886268616</v>
      </c>
      <c r="AI795" s="25" t="n">
        <v>6.83519983291626</v>
      </c>
      <c r="AJ795" s="6" t="n">
        <v>262.7</v>
      </c>
      <c r="AK795" s="6" t="n">
        <v>268.5</v>
      </c>
      <c r="AL795" s="26"/>
    </row>
    <row r="796" customFormat="false" ht="15" hidden="false" customHeight="false" outlineLevel="0" collapsed="false">
      <c r="A796" s="6" t="s">
        <v>4377</v>
      </c>
      <c r="B796" s="6" t="s">
        <v>4378</v>
      </c>
      <c r="C796" s="6" t="s">
        <v>3007</v>
      </c>
      <c r="D796" s="13" t="n">
        <v>147.936767578125</v>
      </c>
      <c r="E796" s="25" t="n">
        <v>4.36613178253174</v>
      </c>
      <c r="F796" s="25" t="n">
        <v>22.930305480957</v>
      </c>
      <c r="G796" s="25" t="n">
        <v>4.9051365852356</v>
      </c>
      <c r="H796" s="25" t="n">
        <v>0.76452648639679</v>
      </c>
      <c r="I796" s="25" t="n">
        <v>12.5688037872315</v>
      </c>
      <c r="J796" s="25" t="n">
        <v>2.2294091796875</v>
      </c>
      <c r="K796" s="25" t="n">
        <v>0.936060241699219</v>
      </c>
      <c r="L796" s="25" t="n">
        <v>0.106792137145996</v>
      </c>
      <c r="M796" s="25" t="n">
        <v>0</v>
      </c>
      <c r="N796" s="25" t="n">
        <v>25.7681465148926</v>
      </c>
      <c r="O796" s="25" t="n">
        <v>104.343498229981</v>
      </c>
      <c r="P796" s="25" t="n">
        <v>94.8900527954102</v>
      </c>
      <c r="Q796" s="25" t="n">
        <v>74.5823440551758</v>
      </c>
      <c r="R796" s="25" t="n">
        <v>6.8048152923584</v>
      </c>
      <c r="S796" s="25" t="n">
        <v>0.460296958684921</v>
      </c>
      <c r="T796" s="25" t="n">
        <v>0.265256822109222</v>
      </c>
      <c r="U796" s="25" t="n">
        <v>0.0334831438958645</v>
      </c>
      <c r="V796" s="25" t="n">
        <v>0.741340279579163</v>
      </c>
      <c r="W796" s="25" t="n">
        <v>0.0381861962378025</v>
      </c>
      <c r="X796" s="25" t="n">
        <v>0</v>
      </c>
      <c r="Y796" s="25" t="n">
        <v>154.386840820313</v>
      </c>
      <c r="Z796" s="25" t="n">
        <v>0.170120388269424</v>
      </c>
      <c r="AA796" s="25" t="n">
        <v>0.00546548934653401</v>
      </c>
      <c r="AB796" s="25" t="n">
        <v>1.54863560199738</v>
      </c>
      <c r="AC796" s="25" t="n">
        <v>0.023210272192955</v>
      </c>
      <c r="AD796" s="25" t="n">
        <v>0.0848073810338974</v>
      </c>
      <c r="AE796" s="25" t="n">
        <v>0.0625441446900368</v>
      </c>
      <c r="AF796" s="25" t="n">
        <v>0.262174963951111</v>
      </c>
      <c r="AG796" s="25" t="n">
        <v>0.0309390053153038</v>
      </c>
      <c r="AH796" s="25" t="n">
        <v>1.5294862985611</v>
      </c>
      <c r="AI796" s="25" t="n">
        <v>5.41865968704224</v>
      </c>
      <c r="AJ796" s="6" t="n">
        <v>207.7</v>
      </c>
      <c r="AK796" s="6" t="n">
        <v>307.2</v>
      </c>
      <c r="AL796" s="26"/>
    </row>
    <row r="797" customFormat="false" ht="15" hidden="false" customHeight="false" outlineLevel="0" collapsed="false">
      <c r="A797" s="6" t="s">
        <v>4379</v>
      </c>
      <c r="B797" s="6" t="s">
        <v>4380</v>
      </c>
      <c r="C797" s="6" t="s">
        <v>3007</v>
      </c>
      <c r="D797" s="13" t="n">
        <v>162.612487792969</v>
      </c>
      <c r="E797" s="25" t="n">
        <v>3.39763021469116</v>
      </c>
      <c r="F797" s="25" t="n">
        <v>14.4229021072388</v>
      </c>
      <c r="G797" s="25" t="n">
        <v>10.5466594696045</v>
      </c>
      <c r="H797" s="25" t="n">
        <v>1.53449559211731</v>
      </c>
      <c r="I797" s="25" t="n">
        <v>13.7298650741577</v>
      </c>
      <c r="J797" s="25" t="n">
        <v>5.16273876953125</v>
      </c>
      <c r="K797" s="25" t="n">
        <v>2.2720068359375</v>
      </c>
      <c r="L797" s="25" t="n">
        <v>0.551850280761719</v>
      </c>
      <c r="M797" s="25" t="n">
        <v>3.22198724746704</v>
      </c>
      <c r="N797" s="25" t="n">
        <v>45.9728889465332</v>
      </c>
      <c r="O797" s="25" t="n">
        <v>188.16471862793</v>
      </c>
      <c r="P797" s="25" t="n">
        <v>89.5187377929688</v>
      </c>
      <c r="Q797" s="25" t="n">
        <v>83.3921203613281</v>
      </c>
      <c r="R797" s="25" t="n">
        <v>23.2558898925781</v>
      </c>
      <c r="S797" s="25" t="n">
        <v>0.52756679058075</v>
      </c>
      <c r="T797" s="25" t="n">
        <v>0.384728044271469</v>
      </c>
      <c r="U797" s="25" t="n">
        <v>0.0970632284879684</v>
      </c>
      <c r="V797" s="25" t="n">
        <v>0.703261613845825</v>
      </c>
      <c r="W797" s="25" t="n">
        <v>0.183728620409966</v>
      </c>
      <c r="X797" s="25" t="n">
        <v>12.1060924530029</v>
      </c>
      <c r="Y797" s="25" t="n">
        <v>151.067337036133</v>
      </c>
      <c r="Z797" s="25" t="n">
        <v>1.14820301532745</v>
      </c>
      <c r="AA797" s="25" t="n">
        <v>2.38655400276184</v>
      </c>
      <c r="AB797" s="25" t="n">
        <v>1.87711322307587</v>
      </c>
      <c r="AC797" s="25" t="n">
        <v>0.0312915630638599</v>
      </c>
      <c r="AD797" s="25" t="n">
        <v>0.0973323062062264</v>
      </c>
      <c r="AE797" s="25" t="n">
        <v>0.200470879673958</v>
      </c>
      <c r="AF797" s="25" t="n">
        <v>0.254951000213623</v>
      </c>
      <c r="AG797" s="25" t="n">
        <v>0.0411973856389523</v>
      </c>
      <c r="AH797" s="25" t="n">
        <v>1.31353640556335</v>
      </c>
      <c r="AI797" s="25" t="n">
        <v>7.58569669723511</v>
      </c>
      <c r="AJ797" s="6" t="n">
        <v>650.4</v>
      </c>
      <c r="AK797" s="6" t="n">
        <v>1057.6</v>
      </c>
      <c r="AL797" s="26"/>
    </row>
    <row r="798" customFormat="false" ht="15" hidden="false" customHeight="false" outlineLevel="0" collapsed="false">
      <c r="A798" s="6" t="s">
        <v>4381</v>
      </c>
      <c r="B798" s="6" t="s">
        <v>4382</v>
      </c>
      <c r="C798" s="6" t="s">
        <v>3007</v>
      </c>
      <c r="D798" s="13" t="n">
        <v>136.503173828125</v>
      </c>
      <c r="E798" s="25" t="n">
        <v>3.13067817687988</v>
      </c>
      <c r="F798" s="25" t="n">
        <v>14.4032402038574</v>
      </c>
      <c r="G798" s="25" t="n">
        <v>7.66054201126099</v>
      </c>
      <c r="H798" s="25" t="n">
        <v>0.381131649017334</v>
      </c>
      <c r="I798" s="25" t="n">
        <v>10.6322736740112</v>
      </c>
      <c r="J798" s="25" t="n">
        <v>4.00692333984375</v>
      </c>
      <c r="K798" s="25" t="n">
        <v>2.52571875</v>
      </c>
      <c r="L798" s="25" t="n">
        <v>0.506104644775391</v>
      </c>
      <c r="M798" s="25" t="n">
        <v>10.852180480957</v>
      </c>
      <c r="N798" s="25" t="n">
        <v>39.4480857849121</v>
      </c>
      <c r="O798" s="25" t="n">
        <v>129.646240234375</v>
      </c>
      <c r="P798" s="25" t="n">
        <v>102.105430603027</v>
      </c>
      <c r="Q798" s="25" t="n">
        <v>93.9010238647461</v>
      </c>
      <c r="R798" s="25" t="n">
        <v>16.8083896636963</v>
      </c>
      <c r="S798" s="25" t="n">
        <v>0.314151257276535</v>
      </c>
      <c r="T798" s="25" t="n">
        <v>0.422203958034515</v>
      </c>
      <c r="U798" s="25" t="n">
        <v>0.0668389648199081</v>
      </c>
      <c r="V798" s="25" t="n">
        <v>1.14119565486908</v>
      </c>
      <c r="W798" s="25" t="n">
        <v>0.118303947150707</v>
      </c>
      <c r="X798" s="25" t="n">
        <v>40.8238639831543</v>
      </c>
      <c r="Y798" s="25" t="n">
        <v>188.50944519043</v>
      </c>
      <c r="Z798" s="25" t="n">
        <v>0.612134575843811</v>
      </c>
      <c r="AA798" s="25" t="n">
        <v>0.384293913841248</v>
      </c>
      <c r="AB798" s="25" t="n">
        <v>1.77508533000946</v>
      </c>
      <c r="AC798" s="25" t="n">
        <v>0.0393750444054604</v>
      </c>
      <c r="AD798" s="25" t="n">
        <v>0.11638617515564</v>
      </c>
      <c r="AE798" s="25" t="n">
        <v>0.147644624114037</v>
      </c>
      <c r="AF798" s="25" t="n">
        <v>0.316797882318497</v>
      </c>
      <c r="AG798" s="25" t="n">
        <v>0.0357524640858173</v>
      </c>
      <c r="AH798" s="25" t="n">
        <v>1.6152675151825</v>
      </c>
      <c r="AI798" s="25" t="n">
        <v>6.48001146316528</v>
      </c>
      <c r="AJ798" s="6" t="n">
        <v>331.1</v>
      </c>
      <c r="AK798" s="6" t="n">
        <v>451.9</v>
      </c>
      <c r="AL798" s="26"/>
    </row>
    <row r="799" customFormat="false" ht="15" hidden="false" customHeight="false" outlineLevel="0" collapsed="false">
      <c r="A799" s="6" t="s">
        <v>753</v>
      </c>
      <c r="B799" s="6" t="s">
        <v>751</v>
      </c>
      <c r="C799" s="6" t="s">
        <v>3007</v>
      </c>
      <c r="D799" s="13" t="n">
        <v>244.568511962891</v>
      </c>
      <c r="E799" s="25" t="n">
        <v>2.39509344100952</v>
      </c>
      <c r="F799" s="25" t="n">
        <v>31.3828029632568</v>
      </c>
      <c r="G799" s="25" t="n">
        <v>12.5850877761841</v>
      </c>
      <c r="H799" s="25" t="n">
        <v>1.65235364437103</v>
      </c>
      <c r="I799" s="25" t="n">
        <v>20.1617641448975</v>
      </c>
      <c r="J799" s="25" t="n">
        <v>6.87123876953125</v>
      </c>
      <c r="K799" s="25" t="n">
        <v>3.79792602539063</v>
      </c>
      <c r="L799" s="25" t="n">
        <v>0.802876098632813</v>
      </c>
      <c r="M799" s="25" t="n">
        <v>27.8384208679199</v>
      </c>
      <c r="N799" s="25" t="n">
        <v>1.70417904853821</v>
      </c>
      <c r="O799" s="25" t="n">
        <v>65.6783065795898</v>
      </c>
      <c r="P799" s="25" t="n">
        <v>7.69763469696045</v>
      </c>
      <c r="Q799" s="25" t="n">
        <v>34.6794395446777</v>
      </c>
      <c r="R799" s="25" t="n">
        <v>16.0140991210938</v>
      </c>
      <c r="S799" s="25" t="n">
        <v>0.694494605064392</v>
      </c>
      <c r="T799" s="25" t="n">
        <v>0.522504150867462</v>
      </c>
      <c r="U799" s="25" t="n">
        <v>0.165317639708519</v>
      </c>
      <c r="V799" s="25" t="n">
        <v>2.13331890106201</v>
      </c>
      <c r="W799" s="25" t="n">
        <v>0.368023544549942</v>
      </c>
      <c r="X799" s="25" t="n">
        <v>104.337493896484</v>
      </c>
      <c r="Y799" s="25" t="n">
        <v>254.825103759766</v>
      </c>
      <c r="Z799" s="25" t="n">
        <v>0.733719706535339</v>
      </c>
      <c r="AA799" s="25" t="n">
        <v>0.246624633669853</v>
      </c>
      <c r="AB799" s="25" t="n">
        <v>0</v>
      </c>
      <c r="AC799" s="25" t="n">
        <v>0.064884640276432</v>
      </c>
      <c r="AD799" s="25" t="n">
        <v>0.00724440161138773</v>
      </c>
      <c r="AE799" s="25" t="n">
        <v>0.210402622818947</v>
      </c>
      <c r="AF799" s="25" t="n">
        <v>0.162211611866951</v>
      </c>
      <c r="AG799" s="25" t="n">
        <v>0.0223631542176008</v>
      </c>
      <c r="AH799" s="25" t="n">
        <v>0.150557577610016</v>
      </c>
      <c r="AI799" s="25" t="n">
        <v>4.83800077438355</v>
      </c>
      <c r="AJ799" s="6" t="n">
        <v>176.7</v>
      </c>
      <c r="AK799" s="6" t="n">
        <v>432.2</v>
      </c>
      <c r="AL799" s="26"/>
    </row>
    <row r="800" customFormat="false" ht="15" hidden="false" customHeight="false" outlineLevel="0" collapsed="false">
      <c r="A800" s="6" t="s">
        <v>4383</v>
      </c>
      <c r="B800" s="6" t="s">
        <v>4384</v>
      </c>
      <c r="C800" s="6" t="s">
        <v>3923</v>
      </c>
      <c r="D800" s="13" t="n">
        <v>318.303253173828</v>
      </c>
      <c r="E800" s="25" t="n">
        <v>3.65700936317444</v>
      </c>
      <c r="F800" s="25" t="n">
        <v>59.607479095459</v>
      </c>
      <c r="G800" s="25" t="n">
        <v>7.55420589447022</v>
      </c>
      <c r="H800" s="25" t="n">
        <v>1.74766349792481</v>
      </c>
      <c r="I800" s="25" t="n">
        <v>23.8644866943359</v>
      </c>
      <c r="J800" s="25" t="n">
        <v>4.43794384765625</v>
      </c>
      <c r="K800" s="25" t="n">
        <v>1.96199060058594</v>
      </c>
      <c r="L800" s="25" t="n">
        <v>0.441869140625</v>
      </c>
      <c r="M800" s="25" t="n">
        <v>18.3925228118897</v>
      </c>
      <c r="N800" s="25" t="n">
        <v>2.67289733886719</v>
      </c>
      <c r="O800" s="25" t="n">
        <v>67.4766387939453</v>
      </c>
      <c r="P800" s="25" t="n">
        <v>6.10747671127319</v>
      </c>
      <c r="Q800" s="25" t="n">
        <v>65.6448593139648</v>
      </c>
      <c r="R800" s="25" t="n">
        <v>12.9345788955689</v>
      </c>
      <c r="S800" s="25" t="n">
        <v>0.381308436393738</v>
      </c>
      <c r="T800" s="25" t="n">
        <v>0.527102828025818</v>
      </c>
      <c r="U800" s="25" t="n">
        <v>0.153084114193916</v>
      </c>
      <c r="V800" s="25" t="n">
        <v>0.556074798107147</v>
      </c>
      <c r="W800" s="25" t="n">
        <v>0.369158893823624</v>
      </c>
      <c r="X800" s="25" t="n">
        <v>68.9345779418945</v>
      </c>
      <c r="Y800" s="25" t="n">
        <v>161.205596923828</v>
      </c>
      <c r="Z800" s="25" t="n">
        <v>0.472710281610489</v>
      </c>
      <c r="AA800" s="25" t="n">
        <v>0.700934588909149</v>
      </c>
      <c r="AB800" s="25" t="n">
        <v>0</v>
      </c>
      <c r="AC800" s="25" t="n">
        <v>0.079439252614975</v>
      </c>
      <c r="AD800" s="25" t="n">
        <v>0.0280373822897673</v>
      </c>
      <c r="AE800" s="25" t="n">
        <v>1.1728972196579</v>
      </c>
      <c r="AF800" s="25" t="n">
        <v>0.257009357213974</v>
      </c>
      <c r="AG800" s="25" t="n">
        <v>0.102803736925125</v>
      </c>
      <c r="AH800" s="25" t="n">
        <v>0.144859820604324</v>
      </c>
      <c r="AI800" s="25" t="n">
        <v>4.55607461929321</v>
      </c>
      <c r="AJ800" s="6" t="n">
        <v>53.5</v>
      </c>
      <c r="AK800" s="6" t="n">
        <v>170.3</v>
      </c>
      <c r="AL800" s="26"/>
    </row>
    <row r="801" customFormat="false" ht="15" hidden="false" customHeight="false" outlineLevel="0" collapsed="false">
      <c r="A801" s="6" t="s">
        <v>4385</v>
      </c>
      <c r="B801" s="6" t="s">
        <v>4386</v>
      </c>
      <c r="C801" s="6" t="s">
        <v>3299</v>
      </c>
      <c r="D801" s="13" t="n">
        <v>334.643646240234</v>
      </c>
      <c r="E801" s="25" t="n">
        <v>1.6494756937027</v>
      </c>
      <c r="F801" s="25" t="n">
        <v>12.8415403366089</v>
      </c>
      <c r="G801" s="25" t="n">
        <v>30.6711044311523</v>
      </c>
      <c r="H801" s="25" t="n">
        <v>2.08309817314148</v>
      </c>
      <c r="I801" s="25" t="n">
        <v>4.95875978469849</v>
      </c>
      <c r="J801" s="25" t="n">
        <v>18.19294921875</v>
      </c>
      <c r="K801" s="25" t="n">
        <v>7.98842578125</v>
      </c>
      <c r="L801" s="25" t="n">
        <v>1.56392321777344</v>
      </c>
      <c r="M801" s="25" t="n">
        <v>75.209358215332</v>
      </c>
      <c r="N801" s="25" t="n">
        <v>1.88798236846924</v>
      </c>
      <c r="O801" s="25" t="n">
        <v>89.2753601074219</v>
      </c>
      <c r="P801" s="25" t="n">
        <v>10.642388343811</v>
      </c>
      <c r="Q801" s="25" t="n">
        <v>46.0630607604981</v>
      </c>
      <c r="R801" s="25" t="n">
        <v>20.3372116088867</v>
      </c>
      <c r="S801" s="25" t="n">
        <v>0.695306301116943</v>
      </c>
      <c r="T801" s="25" t="n">
        <v>0.432784110307694</v>
      </c>
      <c r="U801" s="25" t="n">
        <v>0.0961050763726234</v>
      </c>
      <c r="V801" s="25" t="n">
        <v>7.22367477416992</v>
      </c>
      <c r="W801" s="25" t="n">
        <v>0.452412754297257</v>
      </c>
      <c r="X801" s="25" t="n">
        <v>281.798065185547</v>
      </c>
      <c r="Y801" s="25" t="n">
        <v>1024.54443359375</v>
      </c>
      <c r="Z801" s="25" t="n">
        <v>1.99483394622803</v>
      </c>
      <c r="AA801" s="25" t="n">
        <v>1.84242367744446</v>
      </c>
      <c r="AB801" s="25" t="n">
        <v>9.68399238586426</v>
      </c>
      <c r="AC801" s="25" t="n">
        <v>0.0643408745527268</v>
      </c>
      <c r="AD801" s="25" t="n">
        <v>0.0343938171863556</v>
      </c>
      <c r="AE801" s="25" t="n">
        <v>0.382698357105255</v>
      </c>
      <c r="AF801" s="25" t="n">
        <v>0.149787709116936</v>
      </c>
      <c r="AG801" s="25" t="n">
        <v>0.0704118385910988</v>
      </c>
      <c r="AH801" s="25" t="n">
        <v>0.618508398532867</v>
      </c>
      <c r="AI801" s="25" t="n">
        <v>28.1692371368408</v>
      </c>
      <c r="AJ801" s="6" t="n">
        <v>392.9</v>
      </c>
      <c r="AK801" s="6" t="n">
        <v>1314.7</v>
      </c>
      <c r="AL801" s="26" t="s">
        <v>3070</v>
      </c>
    </row>
    <row r="802" customFormat="false" ht="15" hidden="false" customHeight="false" outlineLevel="0" collapsed="false">
      <c r="A802" s="6" t="s">
        <v>4387</v>
      </c>
      <c r="B802" s="6" t="s">
        <v>4388</v>
      </c>
      <c r="C802" s="6" t="s">
        <v>2815</v>
      </c>
      <c r="D802" s="13" t="n">
        <v>147.631042480469</v>
      </c>
      <c r="E802" s="25" t="n">
        <v>3.43033218383789</v>
      </c>
      <c r="F802" s="25" t="n">
        <v>18.4070854187012</v>
      </c>
      <c r="G802" s="25" t="n">
        <v>7.04394817352295</v>
      </c>
      <c r="H802" s="25" t="n">
        <v>0.993726909160614</v>
      </c>
      <c r="I802" s="25" t="n">
        <v>14.620885848999</v>
      </c>
      <c r="J802" s="25" t="n">
        <v>2.84530249023438</v>
      </c>
      <c r="K802" s="25" t="n">
        <v>2.75799267578125</v>
      </c>
      <c r="L802" s="25" t="n">
        <v>0.82829150390625</v>
      </c>
      <c r="M802" s="25" t="n">
        <v>0.35424354672432</v>
      </c>
      <c r="N802" s="25" t="n">
        <v>30.1192245483398</v>
      </c>
      <c r="O802" s="25" t="n">
        <v>160.49446105957</v>
      </c>
      <c r="P802" s="25" t="n">
        <v>84.8573837280273</v>
      </c>
      <c r="Q802" s="25" t="n">
        <v>93.5994491577148</v>
      </c>
      <c r="R802" s="25" t="n">
        <v>25.1071949005127</v>
      </c>
      <c r="S802" s="25" t="n">
        <v>0.578154981136322</v>
      </c>
      <c r="T802" s="25" t="n">
        <v>0.473210334777832</v>
      </c>
      <c r="U802" s="25" t="n">
        <v>0.139741688966751</v>
      </c>
      <c r="V802" s="25" t="n">
        <v>1.54811811447144</v>
      </c>
      <c r="W802" s="25" t="n">
        <v>0.175830259919167</v>
      </c>
      <c r="X802" s="25" t="n">
        <v>0.885608851909638</v>
      </c>
      <c r="Y802" s="25" t="n">
        <v>421.668548583984</v>
      </c>
      <c r="Z802" s="25" t="n">
        <v>1.81586718559265</v>
      </c>
      <c r="AA802" s="25" t="n">
        <v>1.80258309841156</v>
      </c>
      <c r="AB802" s="25" t="n">
        <v>7.8971586227417</v>
      </c>
      <c r="AC802" s="25" t="n">
        <v>0.0560885593295097</v>
      </c>
      <c r="AD802" s="25" t="n">
        <v>0.0843542441725731</v>
      </c>
      <c r="AE802" s="25" t="n">
        <v>0.24166052043438</v>
      </c>
      <c r="AF802" s="25" t="n">
        <v>0.276642054319382</v>
      </c>
      <c r="AG802" s="25" t="n">
        <v>0.0768634676933289</v>
      </c>
      <c r="AH802" s="25" t="n">
        <v>2.03789663314819</v>
      </c>
      <c r="AI802" s="25" t="n">
        <v>24.2032108306885</v>
      </c>
      <c r="AJ802" s="6" t="n">
        <v>203.2</v>
      </c>
      <c r="AK802" s="6" t="n">
        <v>300.1</v>
      </c>
      <c r="AL802" s="26"/>
    </row>
    <row r="803" customFormat="false" ht="15" hidden="false" customHeight="false" outlineLevel="0" collapsed="false">
      <c r="A803" s="6" t="s">
        <v>4389</v>
      </c>
      <c r="B803" s="6" t="s">
        <v>4390</v>
      </c>
      <c r="C803" s="6" t="s">
        <v>3007</v>
      </c>
      <c r="D803" s="13" t="n">
        <v>280.987823486328</v>
      </c>
      <c r="E803" s="25" t="n">
        <v>5.60094451904297</v>
      </c>
      <c r="F803" s="25" t="n">
        <v>32.3315353393555</v>
      </c>
      <c r="G803" s="25" t="n">
        <v>15.3595132827759</v>
      </c>
      <c r="H803" s="25" t="n">
        <v>3.70963740348816</v>
      </c>
      <c r="I803" s="25" t="n">
        <v>15.0759925842285</v>
      </c>
      <c r="J803" s="25" t="n">
        <v>5.66831103515625</v>
      </c>
      <c r="K803" s="25" t="n">
        <v>3.679375</v>
      </c>
      <c r="L803" s="25" t="n">
        <v>1.52759350585938</v>
      </c>
      <c r="M803" s="25" t="n">
        <v>20.2671756744385</v>
      </c>
      <c r="N803" s="25" t="n">
        <v>59.2140769958496</v>
      </c>
      <c r="O803" s="25" t="n">
        <v>274.529571533203</v>
      </c>
      <c r="P803" s="25" t="n">
        <v>62.2022895812988</v>
      </c>
      <c r="Q803" s="25" t="n">
        <v>128.821563720703</v>
      </c>
      <c r="R803" s="25" t="n">
        <v>36.1326332092285</v>
      </c>
      <c r="S803" s="25" t="n">
        <v>1.45423662662506</v>
      </c>
      <c r="T803" s="25" t="n">
        <v>0.810610711574554</v>
      </c>
      <c r="U803" s="25" t="n">
        <v>0.16695037484169</v>
      </c>
      <c r="V803" s="25" t="n">
        <v>3.74937963485718</v>
      </c>
      <c r="W803" s="25" t="n">
        <v>0.790429353713989</v>
      </c>
      <c r="X803" s="25" t="n">
        <v>40.1908416748047</v>
      </c>
      <c r="Y803" s="25" t="n">
        <v>22.3454189300537</v>
      </c>
      <c r="Z803" s="25" t="n">
        <v>1.01906490325928</v>
      </c>
      <c r="AA803" s="25" t="n">
        <v>0.667461812496185</v>
      </c>
      <c r="AB803" s="25" t="n">
        <v>12.4694662094116</v>
      </c>
      <c r="AC803" s="25" t="n">
        <v>0.368580162525177</v>
      </c>
      <c r="AD803" s="25" t="n">
        <v>0.426765263080597</v>
      </c>
      <c r="AE803" s="25" t="n">
        <v>1.81116414070129</v>
      </c>
      <c r="AF803" s="25" t="n">
        <v>0.364255726337433</v>
      </c>
      <c r="AG803" s="25" t="n">
        <v>0.0952404588460922</v>
      </c>
      <c r="AH803" s="25" t="n">
        <v>3.03458976745606</v>
      </c>
      <c r="AI803" s="25" t="n">
        <v>39.5328712463379</v>
      </c>
      <c r="AJ803" s="6" t="n">
        <v>524</v>
      </c>
      <c r="AK803" s="6" t="n">
        <v>1472.4</v>
      </c>
      <c r="AL803" s="26" t="s">
        <v>3070</v>
      </c>
    </row>
    <row r="804" customFormat="false" ht="15" hidden="false" customHeight="false" outlineLevel="0" collapsed="false">
      <c r="A804" s="6" t="s">
        <v>4391</v>
      </c>
      <c r="B804" s="6" t="s">
        <v>4392</v>
      </c>
      <c r="C804" s="6" t="s">
        <v>3299</v>
      </c>
      <c r="D804" s="13" t="n">
        <v>425.187072753906</v>
      </c>
      <c r="E804" s="25" t="n">
        <v>8.88630676269531</v>
      </c>
      <c r="F804" s="25" t="n">
        <v>62.4682960510254</v>
      </c>
      <c r="G804" s="25" t="n">
        <v>17.2692947387695</v>
      </c>
      <c r="H804" s="25" t="n">
        <v>4.95809125900269</v>
      </c>
      <c r="I804" s="25" t="n">
        <v>32.926887512207</v>
      </c>
      <c r="J804" s="25" t="n">
        <v>5.11055615234375</v>
      </c>
      <c r="K804" s="25" t="n">
        <v>7.8377216796875</v>
      </c>
      <c r="L804" s="25" t="n">
        <v>3.25864306640625</v>
      </c>
      <c r="M804" s="25" t="n">
        <v>10.3319501876831</v>
      </c>
      <c r="N804" s="25" t="n">
        <v>8.1473445892334</v>
      </c>
      <c r="O804" s="25" t="n">
        <v>314.780090332031</v>
      </c>
      <c r="P804" s="25" t="n">
        <v>128.580917358398</v>
      </c>
      <c r="Q804" s="25" t="n">
        <v>276.190887451172</v>
      </c>
      <c r="R804" s="25" t="n">
        <v>96.1240692138672</v>
      </c>
      <c r="S804" s="25" t="n">
        <v>2.46319508552551</v>
      </c>
      <c r="T804" s="25" t="n">
        <v>1.72576761245728</v>
      </c>
      <c r="U804" s="25" t="n">
        <v>0.335352689027786</v>
      </c>
      <c r="V804" s="25" t="n">
        <v>7.34070539474487</v>
      </c>
      <c r="W804" s="25" t="n">
        <v>2.00240659713745</v>
      </c>
      <c r="X804" s="25" t="n">
        <v>38.2572593688965</v>
      </c>
      <c r="Y804" s="25" t="n">
        <v>103.880912780762</v>
      </c>
      <c r="Z804" s="25" t="n">
        <v>3.70983386039734</v>
      </c>
      <c r="AA804" s="25" t="n">
        <v>1.0739004611969</v>
      </c>
      <c r="AB804" s="25" t="n">
        <v>0.0921161845326424</v>
      </c>
      <c r="AC804" s="25" t="n">
        <v>0.468547701835632</v>
      </c>
      <c r="AD804" s="25" t="n">
        <v>0.0670954361557961</v>
      </c>
      <c r="AE804" s="25" t="n">
        <v>0.851991713047028</v>
      </c>
      <c r="AF804" s="25" t="n">
        <v>0.444273859262466</v>
      </c>
      <c r="AG804" s="25" t="n">
        <v>0.160373449325562</v>
      </c>
      <c r="AH804" s="25" t="n">
        <v>10.7399997711182</v>
      </c>
      <c r="AI804" s="25" t="n">
        <v>29.5607872009277</v>
      </c>
      <c r="AJ804" s="6" t="n">
        <v>60.2</v>
      </c>
      <c r="AK804" s="6" t="n">
        <v>256.2</v>
      </c>
      <c r="AL804" s="26"/>
    </row>
    <row r="805" customFormat="false" ht="15" hidden="false" customHeight="false" outlineLevel="0" collapsed="false">
      <c r="A805" s="6" t="s">
        <v>4393</v>
      </c>
      <c r="B805" s="6" t="s">
        <v>4394</v>
      </c>
      <c r="C805" s="6" t="s">
        <v>3299</v>
      </c>
      <c r="D805" s="13" t="n">
        <v>370.549957275391</v>
      </c>
      <c r="E805" s="25" t="n">
        <v>7.79045963287354</v>
      </c>
      <c r="F805" s="25" t="n">
        <v>39.562068939209</v>
      </c>
      <c r="G805" s="25" t="n">
        <v>20.688159942627</v>
      </c>
      <c r="H805" s="25" t="n">
        <v>0.422528743743897</v>
      </c>
      <c r="I805" s="25" t="n">
        <v>9.7972412109375</v>
      </c>
      <c r="J805" s="25" t="n">
        <v>11.042287109375</v>
      </c>
      <c r="K805" s="25" t="n">
        <v>6.003609375</v>
      </c>
      <c r="L805" s="25" t="n">
        <v>1.81765515136719</v>
      </c>
      <c r="M805" s="25" t="n">
        <v>45.2413787841797</v>
      </c>
      <c r="N805" s="25" t="n">
        <v>3.05666661262512</v>
      </c>
      <c r="O805" s="25" t="n">
        <v>658.517211914063</v>
      </c>
      <c r="P805" s="25" t="n">
        <v>82.8390808105469</v>
      </c>
      <c r="Q805" s="25" t="n">
        <v>304.333343505859</v>
      </c>
      <c r="R805" s="25" t="n">
        <v>105.75862121582</v>
      </c>
      <c r="S805" s="25" t="n">
        <v>1.79862070083618</v>
      </c>
      <c r="T805" s="25" t="n">
        <v>0.600229859352112</v>
      </c>
      <c r="U805" s="25" t="n">
        <v>0.207011491060257</v>
      </c>
      <c r="V805" s="25" t="n">
        <v>0.203218385577202</v>
      </c>
      <c r="W805" s="25" t="n">
        <v>1.13505744934082</v>
      </c>
      <c r="X805" s="25" t="n">
        <v>169.563217163086</v>
      </c>
      <c r="Y805" s="25" t="n">
        <v>348.846221923828</v>
      </c>
      <c r="Z805" s="25" t="n">
        <v>2.04367828369141</v>
      </c>
      <c r="AA805" s="25" t="n">
        <v>0.407471239566803</v>
      </c>
      <c r="AB805" s="25" t="n">
        <v>0.0170114953070879</v>
      </c>
      <c r="AC805" s="25" t="n">
        <v>0.308965533971787</v>
      </c>
      <c r="AD805" s="25" t="n">
        <v>0.0754022970795631</v>
      </c>
      <c r="AE805" s="25" t="n">
        <v>0.830804586410523</v>
      </c>
      <c r="AF805" s="25" t="n">
        <v>0.41471266746521</v>
      </c>
      <c r="AG805" s="25" t="n">
        <v>0.302298843860626</v>
      </c>
      <c r="AH805" s="25" t="n">
        <v>0.190804600715637</v>
      </c>
      <c r="AI805" s="25" t="n">
        <v>49.4002304077148</v>
      </c>
      <c r="AJ805" s="6" t="n">
        <v>362.5</v>
      </c>
      <c r="AK805" s="6" t="n">
        <v>1343.2</v>
      </c>
      <c r="AL805" s="26" t="s">
        <v>3070</v>
      </c>
    </row>
    <row r="806" customFormat="false" ht="15" hidden="false" customHeight="false" outlineLevel="0" collapsed="false">
      <c r="A806" s="6" t="s">
        <v>4395</v>
      </c>
      <c r="B806" s="6" t="s">
        <v>4396</v>
      </c>
      <c r="C806" s="6" t="s">
        <v>3473</v>
      </c>
      <c r="D806" s="13" t="n">
        <v>454.148315429688</v>
      </c>
      <c r="E806" s="25" t="n">
        <v>10.1160278320313</v>
      </c>
      <c r="F806" s="25" t="n">
        <v>51.3271179199219</v>
      </c>
      <c r="G806" s="25" t="n">
        <v>22.7022647857666</v>
      </c>
      <c r="H806" s="25" t="n">
        <v>5.10980939865112</v>
      </c>
      <c r="I806" s="25" t="n">
        <v>19.9207859039307</v>
      </c>
      <c r="J806" s="25" t="n">
        <v>9.148396484375</v>
      </c>
      <c r="K806" s="25" t="n">
        <v>8.1872548828125</v>
      </c>
      <c r="L806" s="25" t="n">
        <v>3.25518408203125</v>
      </c>
      <c r="M806" s="25" t="n">
        <v>33.6379585266113</v>
      </c>
      <c r="N806" s="25" t="n">
        <v>7.50724697113037</v>
      </c>
      <c r="O806" s="25" t="n">
        <v>414.933349609375</v>
      </c>
      <c r="P806" s="25" t="n">
        <v>144.576950073242</v>
      </c>
      <c r="Q806" s="25" t="n">
        <v>262.353607177734</v>
      </c>
      <c r="R806" s="25" t="n">
        <v>231.947906494141</v>
      </c>
      <c r="S806" s="25" t="n">
        <v>6.4733247756958</v>
      </c>
      <c r="T806" s="25" t="n">
        <v>1.88295316696167</v>
      </c>
      <c r="U806" s="25" t="n">
        <v>0.55963259935379</v>
      </c>
      <c r="V806" s="25" t="n">
        <v>9.07607746124268</v>
      </c>
      <c r="W806" s="25" t="n">
        <v>3.22939586639404</v>
      </c>
      <c r="X806" s="25" t="n">
        <v>126.073974609375</v>
      </c>
      <c r="Y806" s="25" t="n">
        <v>324.041839599609</v>
      </c>
      <c r="Z806" s="25" t="n">
        <v>3.6675980091095</v>
      </c>
      <c r="AA806" s="25" t="n">
        <v>1.85345149040222</v>
      </c>
      <c r="AB806" s="25" t="n">
        <v>0.0795838534832001</v>
      </c>
      <c r="AC806" s="25" t="n">
        <v>0.0463604480028153</v>
      </c>
      <c r="AD806" s="25" t="n">
        <v>0.051353495568037</v>
      </c>
      <c r="AE806" s="25" t="n">
        <v>0.641069531440735</v>
      </c>
      <c r="AF806" s="25" t="n">
        <v>0.257600903511047</v>
      </c>
      <c r="AG806" s="25" t="n">
        <v>0.435395270586014</v>
      </c>
      <c r="AH806" s="25" t="n">
        <v>1.4026210308075</v>
      </c>
      <c r="AI806" s="25" t="n">
        <v>21.6861171722412</v>
      </c>
      <c r="AJ806" s="6" t="n">
        <v>43.9</v>
      </c>
      <c r="AK806" s="6" t="n">
        <v>199.3</v>
      </c>
      <c r="AL806" s="26"/>
    </row>
    <row r="807" customFormat="false" ht="15" hidden="false" customHeight="false" outlineLevel="0" collapsed="false">
      <c r="A807" s="6" t="s">
        <v>2018</v>
      </c>
      <c r="B807" s="6" t="s">
        <v>2017</v>
      </c>
      <c r="C807" s="6" t="s">
        <v>3482</v>
      </c>
      <c r="D807" s="13" t="n">
        <v>344.565307617188</v>
      </c>
      <c r="E807" s="25" t="n">
        <v>13.6843385696411</v>
      </c>
      <c r="F807" s="25" t="n">
        <v>33.6372489929199</v>
      </c>
      <c r="G807" s="25" t="n">
        <v>17.9401073455811</v>
      </c>
      <c r="H807" s="25" t="n">
        <v>1.39663302898407</v>
      </c>
      <c r="I807" s="25" t="n">
        <v>30.6540298461914</v>
      </c>
      <c r="J807" s="25" t="n">
        <v>6.79684716796875</v>
      </c>
      <c r="K807" s="25" t="n">
        <v>8.02385595703125</v>
      </c>
      <c r="L807" s="25" t="n">
        <v>1.94940002441406</v>
      </c>
      <c r="M807" s="25" t="n">
        <v>3.31313133239746</v>
      </c>
      <c r="N807" s="25" t="n">
        <v>13.0028839111328</v>
      </c>
      <c r="O807" s="25" t="n">
        <v>150.274978637695</v>
      </c>
      <c r="P807" s="25" t="n">
        <v>295.294067382813</v>
      </c>
      <c r="Q807" s="25" t="n">
        <v>264.208526611328</v>
      </c>
      <c r="R807" s="25" t="n">
        <v>65.7080841064453</v>
      </c>
      <c r="S807" s="25" t="n">
        <v>1.41438829898834</v>
      </c>
      <c r="T807" s="25" t="n">
        <v>2.27088665962219</v>
      </c>
      <c r="U807" s="25" t="n">
        <v>0.34580808877945</v>
      </c>
      <c r="V807" s="25" t="n">
        <v>14.3389616012573</v>
      </c>
      <c r="W807" s="25" t="n">
        <v>0.499214351177216</v>
      </c>
      <c r="X807" s="25" t="n">
        <v>12.4175081253052</v>
      </c>
      <c r="Y807" s="25" t="n">
        <v>143.722839355469</v>
      </c>
      <c r="Z807" s="25" t="n">
        <v>2.29612803459168</v>
      </c>
      <c r="AA807" s="25" t="n">
        <v>0.830050528049469</v>
      </c>
      <c r="AB807" s="25" t="n">
        <v>0.127059489488602</v>
      </c>
      <c r="AC807" s="25" t="n">
        <v>0.0722222179174423</v>
      </c>
      <c r="AD807" s="25" t="n">
        <v>0.0835409685969353</v>
      </c>
      <c r="AE807" s="25" t="n">
        <v>0.471582502126694</v>
      </c>
      <c r="AF807" s="25" t="n">
        <v>0.453237950801849</v>
      </c>
      <c r="AG807" s="25" t="n">
        <v>0.0452244691550732</v>
      </c>
      <c r="AH807" s="25" t="n">
        <v>12.2748537063599</v>
      </c>
      <c r="AI807" s="25" t="n">
        <v>57.4687881469727</v>
      </c>
      <c r="AJ807" s="6" t="n">
        <v>74.2</v>
      </c>
      <c r="AK807" s="6" t="n">
        <v>255.8</v>
      </c>
      <c r="AL807" s="26"/>
    </row>
    <row r="808" customFormat="false" ht="15" hidden="false" customHeight="false" outlineLevel="0" collapsed="false">
      <c r="A808" s="6" t="s">
        <v>4397</v>
      </c>
      <c r="B808" s="6" t="s">
        <v>4398</v>
      </c>
      <c r="C808" s="6" t="s">
        <v>3007</v>
      </c>
      <c r="D808" s="13" t="n">
        <v>196.199951171875</v>
      </c>
      <c r="E808" s="25" t="n">
        <v>3.81344199180603</v>
      </c>
      <c r="F808" s="25" t="n">
        <v>29.6926231384277</v>
      </c>
      <c r="G808" s="25" t="n">
        <v>7.69178628921509</v>
      </c>
      <c r="H808" s="25" t="n">
        <v>2.17587947845459</v>
      </c>
      <c r="I808" s="25" t="n">
        <v>15.8914632797241</v>
      </c>
      <c r="J808" s="25" t="n">
        <v>2.65354296875</v>
      </c>
      <c r="K808" s="25" t="n">
        <v>3.09003125</v>
      </c>
      <c r="L808" s="25" t="n">
        <v>1.18658728027344</v>
      </c>
      <c r="M808" s="25" t="n">
        <v>9.3664493560791</v>
      </c>
      <c r="N808" s="25" t="n">
        <v>4.21936225891113</v>
      </c>
      <c r="O808" s="25" t="n">
        <v>183.41096496582</v>
      </c>
      <c r="P808" s="25" t="n">
        <v>30.9357223510742</v>
      </c>
      <c r="Q808" s="25" t="n">
        <v>83.868782043457</v>
      </c>
      <c r="R808" s="25" t="n">
        <v>31.2424964904785</v>
      </c>
      <c r="S808" s="25" t="n">
        <v>0.843080878257752</v>
      </c>
      <c r="T808" s="25" t="n">
        <v>0.573127031326294</v>
      </c>
      <c r="U808" s="25" t="n">
        <v>0.159036368131638</v>
      </c>
      <c r="V808" s="25" t="n">
        <v>1.43273890018463</v>
      </c>
      <c r="W808" s="25" t="n">
        <v>0.474220961332321</v>
      </c>
      <c r="X808" s="25" t="n">
        <v>42.1270332336426</v>
      </c>
      <c r="Y808" s="25" t="n">
        <v>50.314811706543</v>
      </c>
      <c r="Z808" s="25" t="n">
        <v>2.2430727481842</v>
      </c>
      <c r="AA808" s="25" t="n">
        <v>3.25883555412293</v>
      </c>
      <c r="AB808" s="25" t="n">
        <v>14.8083448410034</v>
      </c>
      <c r="AC808" s="25" t="n">
        <v>0.119063518941402</v>
      </c>
      <c r="AD808" s="25" t="n">
        <v>0.0366015210747719</v>
      </c>
      <c r="AE808" s="25" t="n">
        <v>0.757413148880005</v>
      </c>
      <c r="AF808" s="25" t="n">
        <v>0.220865905284882</v>
      </c>
      <c r="AG808" s="25" t="n">
        <v>0.116273067891598</v>
      </c>
      <c r="AH808" s="25" t="n">
        <v>1.57785832881928</v>
      </c>
      <c r="AI808" s="25" t="n">
        <v>12.6631917953491</v>
      </c>
      <c r="AJ808" s="6" t="n">
        <v>230.2</v>
      </c>
      <c r="AK808" s="6" t="n">
        <v>451.8</v>
      </c>
      <c r="AL808" s="26"/>
    </row>
    <row r="809" customFormat="false" ht="15" hidden="false" customHeight="false" outlineLevel="0" collapsed="false">
      <c r="A809" s="6" t="s">
        <v>2189</v>
      </c>
      <c r="B809" s="6" t="s">
        <v>4399</v>
      </c>
      <c r="C809" s="6" t="s">
        <v>3007</v>
      </c>
      <c r="D809" s="13" t="n">
        <v>107.177024841309</v>
      </c>
      <c r="E809" s="25" t="n">
        <v>5.2735915184021</v>
      </c>
      <c r="F809" s="25" t="n">
        <v>16.0160884857178</v>
      </c>
      <c r="G809" s="25" t="n">
        <v>2.8936014175415</v>
      </c>
      <c r="H809" s="25" t="n">
        <v>0.0793262496590614</v>
      </c>
      <c r="I809" s="25" t="n">
        <v>15.8145542144775</v>
      </c>
      <c r="J809" s="25" t="n">
        <v>1.75984741210938</v>
      </c>
      <c r="K809" s="25" t="n">
        <v>0.789099487304688</v>
      </c>
      <c r="L809" s="25" t="n">
        <v>0.133576751708984</v>
      </c>
      <c r="M809" s="25" t="n">
        <v>9.95240211486816</v>
      </c>
      <c r="N809" s="25" t="n">
        <v>73.6071166992188</v>
      </c>
      <c r="O809" s="25" t="n">
        <v>261.063232421875</v>
      </c>
      <c r="P809" s="25" t="n">
        <v>183.018753051758</v>
      </c>
      <c r="Q809" s="25" t="n">
        <v>156.603012084961</v>
      </c>
      <c r="R809" s="25" t="n">
        <v>18.3643684387207</v>
      </c>
      <c r="S809" s="25" t="n">
        <v>0.165054768323898</v>
      </c>
      <c r="T809" s="25" t="n">
        <v>0.658927857875824</v>
      </c>
      <c r="U809" s="25" t="n">
        <v>0.00916334986686707</v>
      </c>
      <c r="V809" s="25" t="n">
        <v>1.87304949760437</v>
      </c>
      <c r="W809" s="25" t="n">
        <v>0.0755192637443543</v>
      </c>
      <c r="X809" s="25" t="n">
        <v>25.3333892822266</v>
      </c>
      <c r="Y809" s="25" t="n">
        <v>22.6956615447998</v>
      </c>
      <c r="Z809" s="25" t="n">
        <v>0.164926752448082</v>
      </c>
      <c r="AA809" s="25" t="n">
        <v>0.0768556892871857</v>
      </c>
      <c r="AB809" s="25" t="n">
        <v>0.917135059833527</v>
      </c>
      <c r="AC809" s="25" t="n">
        <v>0.0580698363482952</v>
      </c>
      <c r="AD809" s="25" t="n">
        <v>0.24523039162159</v>
      </c>
      <c r="AE809" s="25" t="n">
        <v>0.186495825648308</v>
      </c>
      <c r="AF809" s="25" t="n">
        <v>0.45697221159935</v>
      </c>
      <c r="AG809" s="25" t="n">
        <v>0.0943083986639977</v>
      </c>
      <c r="AH809" s="25" t="n">
        <v>2.4144344329834</v>
      </c>
      <c r="AI809" s="25" t="n">
        <v>16.5579719543457</v>
      </c>
      <c r="AJ809" s="6" t="n">
        <v>304.6</v>
      </c>
      <c r="AK809" s="6" t="n">
        <v>326.5</v>
      </c>
      <c r="AL809" s="26"/>
    </row>
    <row r="810" customFormat="false" ht="15" hidden="false" customHeight="false" outlineLevel="0" collapsed="false">
      <c r="A810" s="6" t="s">
        <v>2183</v>
      </c>
      <c r="B810" s="6" t="s">
        <v>4400</v>
      </c>
      <c r="C810" s="6" t="s">
        <v>3007</v>
      </c>
      <c r="D810" s="13" t="n">
        <v>102.794555664063</v>
      </c>
      <c r="E810" s="25" t="n">
        <v>3.51549005508423</v>
      </c>
      <c r="F810" s="25" t="n">
        <v>10.5456428527832</v>
      </c>
      <c r="G810" s="25" t="n">
        <v>5.34913015365601</v>
      </c>
      <c r="H810" s="25" t="n">
        <v>0.194548979401588</v>
      </c>
      <c r="I810" s="25" t="n">
        <v>10.0928840637207</v>
      </c>
      <c r="J810" s="25" t="n">
        <v>2.65792504882813</v>
      </c>
      <c r="K810" s="25" t="n">
        <v>1.8435498046875</v>
      </c>
      <c r="L810" s="25" t="n">
        <v>0.374328857421875</v>
      </c>
      <c r="M810" s="25" t="n">
        <v>0</v>
      </c>
      <c r="N810" s="25" t="n">
        <v>23.9171619415283</v>
      </c>
      <c r="O810" s="25" t="n">
        <v>125.852828979492</v>
      </c>
      <c r="P810" s="25" t="n">
        <v>111.867225646973</v>
      </c>
      <c r="Q810" s="25" t="n">
        <v>101.918083190918</v>
      </c>
      <c r="R810" s="25" t="n">
        <v>14.9951305389404</v>
      </c>
      <c r="S810" s="25" t="n">
        <v>0.291313111782074</v>
      </c>
      <c r="T810" s="25" t="n">
        <v>0.423259764909744</v>
      </c>
      <c r="U810" s="25" t="n">
        <v>0.0785863772034645</v>
      </c>
      <c r="V810" s="25" t="n">
        <v>1.15481162071228</v>
      </c>
      <c r="W810" s="25" t="n">
        <v>0.0723010152578354</v>
      </c>
      <c r="X810" s="25" t="n">
        <v>0</v>
      </c>
      <c r="Y810" s="25" t="n">
        <v>187.618041992188</v>
      </c>
      <c r="Z810" s="25" t="n">
        <v>0.546020746231079</v>
      </c>
      <c r="AA810" s="25" t="n">
        <v>0.175999522209168</v>
      </c>
      <c r="AB810" s="25" t="n">
        <v>1.85608303546906</v>
      </c>
      <c r="AC810" s="25" t="n">
        <v>0.0430713035166264</v>
      </c>
      <c r="AD810" s="25" t="n">
        <v>0.103415563702583</v>
      </c>
      <c r="AE810" s="25" t="n">
        <v>0.113710589706898</v>
      </c>
      <c r="AF810" s="25" t="n">
        <v>0.341603100299835</v>
      </c>
      <c r="AG810" s="25" t="n">
        <v>0.0450581759214401</v>
      </c>
      <c r="AH810" s="25" t="n">
        <v>1.94282019138336</v>
      </c>
      <c r="AI810" s="25" t="n">
        <v>7.40415954589844</v>
      </c>
      <c r="AJ810" s="6" t="n">
        <v>220.3</v>
      </c>
      <c r="AK810" s="6" t="n">
        <v>226.4</v>
      </c>
      <c r="AL810" s="26"/>
    </row>
    <row r="811" customFormat="false" ht="15" hidden="false" customHeight="false" outlineLevel="0" collapsed="false">
      <c r="A811" s="6" t="s">
        <v>2145</v>
      </c>
      <c r="B811" s="6" t="s">
        <v>4401</v>
      </c>
      <c r="C811" s="6" t="s">
        <v>3299</v>
      </c>
      <c r="D811" s="13" t="n">
        <v>276.788269042969</v>
      </c>
      <c r="E811" s="25" t="n">
        <v>5.87522554397583</v>
      </c>
      <c r="F811" s="25" t="n">
        <v>25.7755947113037</v>
      </c>
      <c r="G811" s="25" t="n">
        <v>17.2972373962402</v>
      </c>
      <c r="H811" s="25" t="n">
        <v>1.81712985038757</v>
      </c>
      <c r="I811" s="25" t="n">
        <v>15.8343439102173</v>
      </c>
      <c r="J811" s="25" t="n">
        <v>9.5982177734375</v>
      </c>
      <c r="K811" s="25" t="n">
        <v>4.78117724609375</v>
      </c>
      <c r="L811" s="25" t="n">
        <v>1.27718823242188</v>
      </c>
      <c r="M811" s="25" t="n">
        <v>33.1213493347168</v>
      </c>
      <c r="N811" s="25" t="n">
        <v>15.3967399597168</v>
      </c>
      <c r="O811" s="25" t="n">
        <v>128.254776000977</v>
      </c>
      <c r="P811" s="25" t="n">
        <v>77.4219818115234</v>
      </c>
      <c r="Q811" s="25" t="n">
        <v>98.9499435424805</v>
      </c>
      <c r="R811" s="25" t="n">
        <v>20.4418716430664</v>
      </c>
      <c r="S811" s="25" t="n">
        <v>0.671339929103851</v>
      </c>
      <c r="T811" s="25" t="n">
        <v>0.553239822387695</v>
      </c>
      <c r="U811" s="25" t="n">
        <v>0.11798270791769</v>
      </c>
      <c r="V811" s="25" t="n">
        <v>1.55578196048737</v>
      </c>
      <c r="W811" s="25" t="n">
        <v>0.343512445688248</v>
      </c>
      <c r="X811" s="25" t="n">
        <v>124.137733459473</v>
      </c>
      <c r="Y811" s="25" t="n">
        <v>372.891937255859</v>
      </c>
      <c r="Z811" s="25" t="n">
        <v>1.40330243110657</v>
      </c>
      <c r="AA811" s="25" t="n">
        <v>1.47760653495789</v>
      </c>
      <c r="AB811" s="25" t="n">
        <v>1.11644697189331</v>
      </c>
      <c r="AC811" s="25" t="n">
        <v>0.102863855659962</v>
      </c>
      <c r="AD811" s="25" t="n">
        <v>0.0886882841587067</v>
      </c>
      <c r="AE811" s="25" t="n">
        <v>0.375781953334808</v>
      </c>
      <c r="AF811" s="25" t="n">
        <v>0.41622668504715</v>
      </c>
      <c r="AG811" s="25" t="n">
        <v>0.0984822511672974</v>
      </c>
      <c r="AH811" s="25" t="n">
        <v>2.47859358787537</v>
      </c>
      <c r="AI811" s="25" t="n">
        <v>34.7463836669922</v>
      </c>
      <c r="AJ811" s="6" t="n">
        <v>148.5</v>
      </c>
      <c r="AK811" s="6" t="n">
        <v>411.2</v>
      </c>
      <c r="AL811" s="26"/>
    </row>
    <row r="812" customFormat="false" ht="15" hidden="false" customHeight="false" outlineLevel="0" collapsed="false">
      <c r="A812" s="6" t="s">
        <v>4402</v>
      </c>
      <c r="B812" s="6" t="s">
        <v>4403</v>
      </c>
      <c r="C812" s="6" t="s">
        <v>4165</v>
      </c>
      <c r="D812" s="13" t="n">
        <v>169.645278930664</v>
      </c>
      <c r="E812" s="25" t="n">
        <v>10.360613822937</v>
      </c>
      <c r="F812" s="25" t="n">
        <v>11.8916883468628</v>
      </c>
      <c r="G812" s="25" t="n">
        <v>9.27368450164795</v>
      </c>
      <c r="H812" s="25" t="n">
        <v>1.55004382133484</v>
      </c>
      <c r="I812" s="25" t="n">
        <v>1.21070170402527</v>
      </c>
      <c r="J812" s="25" t="n">
        <v>1.22944958496094</v>
      </c>
      <c r="K812" s="25" t="n">
        <v>5.97926513671875</v>
      </c>
      <c r="L812" s="25" t="n">
        <v>1.39704602050781</v>
      </c>
      <c r="M812" s="25" t="n">
        <v>40.6973686218262</v>
      </c>
      <c r="N812" s="25" t="n">
        <v>213.382232666016</v>
      </c>
      <c r="O812" s="25" t="n">
        <v>152.548248291016</v>
      </c>
      <c r="P812" s="25" t="n">
        <v>75.5326766967773</v>
      </c>
      <c r="Q812" s="25" t="n">
        <v>146.924621582031</v>
      </c>
      <c r="R812" s="25" t="n">
        <v>38.954517364502</v>
      </c>
      <c r="S812" s="25" t="n">
        <v>1.10964918136597</v>
      </c>
      <c r="T812" s="25" t="n">
        <v>0.96800434589386</v>
      </c>
      <c r="U812" s="25" t="n">
        <v>0.227837726473808</v>
      </c>
      <c r="V812" s="25" t="n">
        <v>26.810417175293</v>
      </c>
      <c r="W812" s="25" t="n">
        <v>0.332500010728836</v>
      </c>
      <c r="X812" s="25" t="n">
        <v>3.24561405181885</v>
      </c>
      <c r="Y812" s="25" t="n">
        <v>219.479598999023</v>
      </c>
      <c r="Z812" s="25" t="n">
        <v>2.71309208869934</v>
      </c>
      <c r="AA812" s="25" t="n">
        <v>7.72916650772095</v>
      </c>
      <c r="AB812" s="25" t="n">
        <v>5.51510953903198</v>
      </c>
      <c r="AC812" s="25" t="n">
        <v>0.0683114007115364</v>
      </c>
      <c r="AD812" s="25" t="n">
        <v>0.0408114045858383</v>
      </c>
      <c r="AE812" s="25" t="n">
        <v>1.32546055316925</v>
      </c>
      <c r="AF812" s="25" t="n">
        <v>1.06950211524963</v>
      </c>
      <c r="AG812" s="25" t="n">
        <v>0.11005263030529</v>
      </c>
      <c r="AH812" s="25" t="n">
        <v>1.00282895565033</v>
      </c>
      <c r="AI812" s="25" t="n">
        <v>22.3650665283203</v>
      </c>
      <c r="AJ812" s="6" t="n">
        <v>228</v>
      </c>
      <c r="AK812" s="6" t="n">
        <v>386.8</v>
      </c>
      <c r="AL812" s="26"/>
    </row>
    <row r="813" customFormat="false" ht="15" hidden="false" customHeight="false" outlineLevel="0" collapsed="false">
      <c r="A813" s="6" t="s">
        <v>4404</v>
      </c>
      <c r="B813" s="6" t="s">
        <v>4405</v>
      </c>
      <c r="C813" s="6" t="s">
        <v>2961</v>
      </c>
      <c r="D813" s="13" t="n">
        <v>229.417465209961</v>
      </c>
      <c r="E813" s="25" t="n">
        <v>5.16836023330689</v>
      </c>
      <c r="F813" s="25" t="n">
        <v>28.0323314666748</v>
      </c>
      <c r="G813" s="25" t="n">
        <v>11.471363067627</v>
      </c>
      <c r="H813" s="25" t="n">
        <v>2.25935339927673</v>
      </c>
      <c r="I813" s="25" t="n">
        <v>1.81247103214264</v>
      </c>
      <c r="J813" s="25" t="n">
        <v>6.51752978515625</v>
      </c>
      <c r="K813" s="25" t="n">
        <v>2.61182080078125</v>
      </c>
      <c r="L813" s="25" t="n">
        <v>0.376470184326172</v>
      </c>
      <c r="M813" s="25" t="n">
        <v>26.5635089874268</v>
      </c>
      <c r="N813" s="25" t="n">
        <v>407.437866210938</v>
      </c>
      <c r="O813" s="25" t="n">
        <v>140.545043945313</v>
      </c>
      <c r="P813" s="25" t="n">
        <v>98.1635131835938</v>
      </c>
      <c r="Q813" s="25" t="n">
        <v>66.3320999145508</v>
      </c>
      <c r="R813" s="25" t="n">
        <v>19.0706691741943</v>
      </c>
      <c r="S813" s="25" t="n">
        <v>0.988545000553131</v>
      </c>
      <c r="T813" s="25" t="n">
        <v>0.467667430639267</v>
      </c>
      <c r="U813" s="25" t="n">
        <v>0.0922632813453674</v>
      </c>
      <c r="V813" s="25" t="n">
        <v>3.96628165245056</v>
      </c>
      <c r="W813" s="25" t="n">
        <v>0.307113170623779</v>
      </c>
      <c r="X813" s="25" t="n">
        <v>119.473442077637</v>
      </c>
      <c r="Y813" s="25" t="n">
        <v>185.600463867188</v>
      </c>
      <c r="Z813" s="25" t="n">
        <v>0.337921470403671</v>
      </c>
      <c r="AA813" s="25" t="n">
        <v>15.5625867843628</v>
      </c>
      <c r="AB813" s="25" t="n">
        <v>4.12748241424561</v>
      </c>
      <c r="AC813" s="25" t="n">
        <v>0.133764430880547</v>
      </c>
      <c r="AD813" s="25" t="n">
        <v>0.0526558868587017</v>
      </c>
      <c r="AE813" s="25" t="n">
        <v>0.995611965656281</v>
      </c>
      <c r="AF813" s="25" t="n">
        <v>0.134872987866402</v>
      </c>
      <c r="AG813" s="25" t="n">
        <v>0.0644572749733925</v>
      </c>
      <c r="AH813" s="25" t="n">
        <v>0.822170913219452</v>
      </c>
      <c r="AI813" s="25" t="n">
        <v>22.4290981292725</v>
      </c>
      <c r="AJ813" s="6" t="n">
        <v>54.1</v>
      </c>
      <c r="AK813" s="6" t="n">
        <v>124.2</v>
      </c>
      <c r="AL813" s="26"/>
    </row>
    <row r="814" customFormat="false" ht="15" hidden="false" customHeight="false" outlineLevel="0" collapsed="false">
      <c r="A814" s="6" t="s">
        <v>4406</v>
      </c>
      <c r="B814" s="6" t="s">
        <v>4407</v>
      </c>
      <c r="C814" s="6" t="s">
        <v>4165</v>
      </c>
      <c r="D814" s="13" t="n">
        <v>150.197021484375</v>
      </c>
      <c r="E814" s="25" t="n">
        <v>4.72490644454956</v>
      </c>
      <c r="F814" s="25" t="n">
        <v>10.0889930725098</v>
      </c>
      <c r="G814" s="25" t="n">
        <v>10.3682155609131</v>
      </c>
      <c r="H814" s="25" t="n">
        <v>1.2283980846405</v>
      </c>
      <c r="I814" s="25" t="n">
        <v>1.04286324977875</v>
      </c>
      <c r="J814" s="25" t="n">
        <v>1.8406865234375</v>
      </c>
      <c r="K814" s="25" t="n">
        <v>5.610900390625</v>
      </c>
      <c r="L814" s="25" t="n">
        <v>2.397345703125</v>
      </c>
      <c r="M814" s="25" t="n">
        <v>8.40905475616455</v>
      </c>
      <c r="N814" s="25" t="n">
        <v>161.883499145508</v>
      </c>
      <c r="O814" s="25" t="n">
        <v>103.868591308594</v>
      </c>
      <c r="P814" s="25" t="n">
        <v>47.2825355529785</v>
      </c>
      <c r="Q814" s="25" t="n">
        <v>68.6830520629883</v>
      </c>
      <c r="R814" s="25" t="n">
        <v>16.1250457763672</v>
      </c>
      <c r="S814" s="25" t="n">
        <v>0.687702655792236</v>
      </c>
      <c r="T814" s="25" t="n">
        <v>0.404364496469498</v>
      </c>
      <c r="U814" s="25" t="n">
        <v>0.0524076744914055</v>
      </c>
      <c r="V814" s="25" t="n">
        <v>5.12575054168701</v>
      </c>
      <c r="W814" s="25" t="n">
        <v>0.296628296375275</v>
      </c>
      <c r="X814" s="25" t="n">
        <v>7.69898319244385</v>
      </c>
      <c r="Y814" s="25" t="n">
        <v>35.6558074951172</v>
      </c>
      <c r="Z814" s="25" t="n">
        <v>1.337486743927</v>
      </c>
      <c r="AA814" s="25" t="n">
        <v>2.53116059303284</v>
      </c>
      <c r="AB814" s="25" t="n">
        <v>1.49126136302948</v>
      </c>
      <c r="AC814" s="25" t="n">
        <v>0.0612278170883656</v>
      </c>
      <c r="AD814" s="25" t="n">
        <v>0.027362110093236</v>
      </c>
      <c r="AE814" s="25" t="n">
        <v>0.870963990688324</v>
      </c>
      <c r="AF814" s="25" t="n">
        <v>0.280964016914368</v>
      </c>
      <c r="AG814" s="25" t="n">
        <v>0.071889691054821</v>
      </c>
      <c r="AH814" s="25" t="n">
        <v>0.737539529800415</v>
      </c>
      <c r="AI814" s="25" t="n">
        <v>15.07483959198</v>
      </c>
      <c r="AJ814" s="6" t="n">
        <v>260.6</v>
      </c>
      <c r="AK814" s="6" t="n">
        <v>391.5</v>
      </c>
      <c r="AL814" s="26"/>
    </row>
    <row r="815" customFormat="false" ht="15" hidden="false" customHeight="false" outlineLevel="0" collapsed="false">
      <c r="A815" s="6" t="s">
        <v>4408</v>
      </c>
      <c r="B815" s="6" t="s">
        <v>4409</v>
      </c>
      <c r="C815" s="6" t="s">
        <v>2961</v>
      </c>
      <c r="D815" s="13" t="n">
        <v>176.64079284668</v>
      </c>
      <c r="E815" s="25" t="n">
        <v>9.84535694122315</v>
      </c>
      <c r="F815" s="25" t="n">
        <v>18.8597393035889</v>
      </c>
      <c r="G815" s="25" t="n">
        <v>6.84234809875488</v>
      </c>
      <c r="H815" s="25" t="n">
        <v>3.65869140625</v>
      </c>
      <c r="I815" s="25" t="n">
        <v>3.68812131881714</v>
      </c>
      <c r="J815" s="25" t="n">
        <v>3.17576049804688</v>
      </c>
      <c r="K815" s="25" t="n">
        <v>2.41017553710938</v>
      </c>
      <c r="L815" s="25" t="n">
        <v>0.449022644042969</v>
      </c>
      <c r="M815" s="25" t="n">
        <v>2.66577672958374</v>
      </c>
      <c r="N815" s="25" t="n">
        <v>97.9723587036133</v>
      </c>
      <c r="O815" s="25" t="n">
        <v>296.763214111328</v>
      </c>
      <c r="P815" s="25" t="n">
        <v>166.628936767578</v>
      </c>
      <c r="Q815" s="25" t="n">
        <v>177.147430419922</v>
      </c>
      <c r="R815" s="25" t="n">
        <v>43.636360168457</v>
      </c>
      <c r="S815" s="25" t="n">
        <v>1.63509726524353</v>
      </c>
      <c r="T815" s="25" t="n">
        <v>1.31925320625305</v>
      </c>
      <c r="U815" s="25" t="n">
        <v>0.196598947048187</v>
      </c>
      <c r="V815" s="25" t="n">
        <v>11.1248512268066</v>
      </c>
      <c r="W815" s="25" t="n">
        <v>0.340866476297379</v>
      </c>
      <c r="X815" s="25" t="n">
        <v>11.9897375106812</v>
      </c>
      <c r="Y815" s="25" t="n">
        <v>124.886215209961</v>
      </c>
      <c r="Z815" s="25" t="n">
        <v>0.159390076994896</v>
      </c>
      <c r="AA815" s="25" t="n">
        <v>2.70387315750122</v>
      </c>
      <c r="AB815" s="25" t="n">
        <v>2.22329783439636</v>
      </c>
      <c r="AC815" s="25" t="n">
        <v>0.0931340605020523</v>
      </c>
      <c r="AD815" s="25" t="n">
        <v>0.0750664323568344</v>
      </c>
      <c r="AE815" s="25" t="n">
        <v>0.714518666267395</v>
      </c>
      <c r="AF815" s="25" t="n">
        <v>0.490999758243561</v>
      </c>
      <c r="AG815" s="25" t="n">
        <v>0.0692305117845535</v>
      </c>
      <c r="AH815" s="25" t="n">
        <v>5.58439683914185</v>
      </c>
      <c r="AI815" s="25" t="n">
        <v>89.1912994384766</v>
      </c>
      <c r="AJ815" s="6" t="n">
        <v>239.7</v>
      </c>
      <c r="AK815" s="6" t="n">
        <v>423.4</v>
      </c>
      <c r="AL815" s="26"/>
    </row>
    <row r="816" customFormat="false" ht="15" hidden="false" customHeight="false" outlineLevel="0" collapsed="false">
      <c r="A816" s="6" t="s">
        <v>4410</v>
      </c>
      <c r="B816" s="6" t="s">
        <v>4411</v>
      </c>
      <c r="C816" s="6" t="s">
        <v>3627</v>
      </c>
      <c r="D816" s="13" t="n">
        <v>458.563842773438</v>
      </c>
      <c r="E816" s="25" t="n">
        <v>4.02827739715576</v>
      </c>
      <c r="F816" s="25" t="n">
        <v>52.6902885437012</v>
      </c>
      <c r="G816" s="25" t="n">
        <v>25.7948875427246</v>
      </c>
      <c r="H816" s="25" t="n">
        <v>5.96760702133179</v>
      </c>
      <c r="I816" s="25" t="n">
        <v>16.9033908843994</v>
      </c>
      <c r="J816" s="25" t="n">
        <v>15.8670478515625</v>
      </c>
      <c r="K816" s="25" t="n">
        <v>6.61329052734375</v>
      </c>
      <c r="L816" s="25" t="n">
        <v>1.08249987792969</v>
      </c>
      <c r="M816" s="25" t="n">
        <v>64.1898422241211</v>
      </c>
      <c r="N816" s="25" t="n">
        <v>98.2363204956055</v>
      </c>
      <c r="O816" s="25" t="n">
        <v>247.166610717773</v>
      </c>
      <c r="P816" s="25" t="n">
        <v>207.044799804688</v>
      </c>
      <c r="Q816" s="25" t="n">
        <v>174.740463256836</v>
      </c>
      <c r="R816" s="25" t="n">
        <v>78.6564865112305</v>
      </c>
      <c r="S816" s="25" t="n">
        <v>2.54418182373047</v>
      </c>
      <c r="T816" s="25" t="n">
        <v>1.41312313079834</v>
      </c>
      <c r="U816" s="25" t="n">
        <v>0.368018597364426</v>
      </c>
      <c r="V816" s="25" t="n">
        <v>8.14033889770508</v>
      </c>
      <c r="W816" s="25" t="n">
        <v>1.74441421031952</v>
      </c>
      <c r="X816" s="25" t="n">
        <v>288.70361328125</v>
      </c>
      <c r="Y816" s="25" t="n">
        <v>265.492218017578</v>
      </c>
      <c r="Z816" s="25" t="n">
        <v>0.643504798412323</v>
      </c>
      <c r="AA816" s="25" t="n">
        <v>3.83220720291138</v>
      </c>
      <c r="AB816" s="25" t="n">
        <v>0</v>
      </c>
      <c r="AC816" s="25" t="n">
        <v>0.196641221642494</v>
      </c>
      <c r="AD816" s="25" t="n">
        <v>0.111463658511639</v>
      </c>
      <c r="AE816" s="25" t="n">
        <v>0.713083326816559</v>
      </c>
      <c r="AF816" s="25" t="n">
        <v>0.169425815343857</v>
      </c>
      <c r="AG816" s="25" t="n">
        <v>0.0267507471144199</v>
      </c>
      <c r="AH816" s="25" t="n">
        <v>0.534138739109039</v>
      </c>
      <c r="AI816" s="25" t="n">
        <v>18.4093589782715</v>
      </c>
      <c r="AJ816" s="6" t="n">
        <v>75.3</v>
      </c>
      <c r="AK816" s="6" t="n">
        <v>345.4</v>
      </c>
      <c r="AL816" s="26" t="s">
        <v>3100</v>
      </c>
    </row>
    <row r="817" customFormat="false" ht="15" hidden="false" customHeight="false" outlineLevel="0" collapsed="false">
      <c r="A817" s="6" t="s">
        <v>4412</v>
      </c>
      <c r="B817" s="6" t="s">
        <v>4413</v>
      </c>
      <c r="C817" s="6" t="s">
        <v>3627</v>
      </c>
      <c r="D817" s="13" t="n">
        <v>322.544006347656</v>
      </c>
      <c r="E817" s="25" t="n">
        <v>5.76179552078247</v>
      </c>
      <c r="F817" s="25" t="n">
        <v>34.9273338317871</v>
      </c>
      <c r="G817" s="25" t="n">
        <v>17.5010776519775</v>
      </c>
      <c r="H817" s="25" t="n">
        <v>1.18134593963623</v>
      </c>
      <c r="I817" s="25" t="n">
        <v>3.44452476501465</v>
      </c>
      <c r="J817" s="25" t="n">
        <v>10.855828125</v>
      </c>
      <c r="K817" s="25" t="n">
        <v>4.38548193359375</v>
      </c>
      <c r="L817" s="25" t="n">
        <v>0.697406555175781</v>
      </c>
      <c r="M817" s="25" t="n">
        <v>45.4116592407227</v>
      </c>
      <c r="N817" s="25" t="n">
        <v>323.74462890625</v>
      </c>
      <c r="O817" s="25" t="n">
        <v>117.49479675293</v>
      </c>
      <c r="P817" s="25" t="n">
        <v>67.1620101928711</v>
      </c>
      <c r="Q817" s="25" t="n">
        <v>184.457672119141</v>
      </c>
      <c r="R817" s="25" t="n">
        <v>17.2249450683594</v>
      </c>
      <c r="S817" s="25" t="n">
        <v>0.769883096218109</v>
      </c>
      <c r="T817" s="25" t="n">
        <v>0.566783785820007</v>
      </c>
      <c r="U817" s="25" t="n">
        <v>0.0845804437994957</v>
      </c>
      <c r="V817" s="25" t="n">
        <v>1.32266783714294</v>
      </c>
      <c r="W817" s="25" t="n">
        <v>0.27108496427536</v>
      </c>
      <c r="X817" s="25" t="n">
        <v>202.828918457031</v>
      </c>
      <c r="Y817" s="25" t="n">
        <v>236.359039306641</v>
      </c>
      <c r="Z817" s="25" t="n">
        <v>0.406353831291199</v>
      </c>
      <c r="AA817" s="25" t="n">
        <v>1.97498393058777</v>
      </c>
      <c r="AB817" s="25" t="n">
        <v>0</v>
      </c>
      <c r="AC817" s="25" t="n">
        <v>0.0810050442814827</v>
      </c>
      <c r="AD817" s="25" t="n">
        <v>0.100786551833153</v>
      </c>
      <c r="AE817" s="25" t="n">
        <v>0.361751407384872</v>
      </c>
      <c r="AF817" s="25" t="n">
        <v>0.453746557235718</v>
      </c>
      <c r="AG817" s="25" t="n">
        <v>0.0471111126244068</v>
      </c>
      <c r="AH817" s="25" t="n">
        <v>0.287165135145187</v>
      </c>
      <c r="AI817" s="25" t="n">
        <v>8.74277687072754</v>
      </c>
      <c r="AJ817" s="6" t="n">
        <v>128.5</v>
      </c>
      <c r="AK817" s="6" t="n">
        <v>414.5</v>
      </c>
      <c r="AL817" s="26"/>
    </row>
    <row r="818" customFormat="false" ht="15" hidden="false" customHeight="false" outlineLevel="0" collapsed="false">
      <c r="A818" s="6" t="s">
        <v>4414</v>
      </c>
      <c r="B818" s="6" t="s">
        <v>4415</v>
      </c>
      <c r="C818" s="6" t="s">
        <v>3622</v>
      </c>
      <c r="D818" s="13" t="n">
        <v>394.477325439453</v>
      </c>
      <c r="E818" s="25" t="n">
        <v>5.62749719619751</v>
      </c>
      <c r="F818" s="25" t="n">
        <v>42.1860504150391</v>
      </c>
      <c r="G818" s="25" t="n">
        <v>23.0154628753662</v>
      </c>
      <c r="H818" s="25" t="n">
        <v>0.784451544284821</v>
      </c>
      <c r="I818" s="25" t="n">
        <v>23.471981048584</v>
      </c>
      <c r="J818" s="25" t="n">
        <v>14.318716796875</v>
      </c>
      <c r="K818" s="25" t="n">
        <v>5.8571572265625</v>
      </c>
      <c r="L818" s="25" t="n">
        <v>0.945645385742188</v>
      </c>
      <c r="M818" s="25" t="n">
        <v>82.1629409790039</v>
      </c>
      <c r="N818" s="25" t="n">
        <v>84.7130966186523</v>
      </c>
      <c r="O818" s="25" t="n">
        <v>79.054313659668</v>
      </c>
      <c r="P818" s="25" t="n">
        <v>72.0383377075195</v>
      </c>
      <c r="Q818" s="25" t="n">
        <v>104.305114746094</v>
      </c>
      <c r="R818" s="25" t="n">
        <v>12.502236366272</v>
      </c>
      <c r="S818" s="25" t="n">
        <v>0.687742292881012</v>
      </c>
      <c r="T818" s="25" t="n">
        <v>0.636230051517487</v>
      </c>
      <c r="U818" s="25" t="n">
        <v>0.0760362073779106</v>
      </c>
      <c r="V818" s="25" t="n">
        <v>2.15857291221619</v>
      </c>
      <c r="W818" s="25" t="n">
        <v>0.162577211856842</v>
      </c>
      <c r="X818" s="25" t="n">
        <v>283.510101318359</v>
      </c>
      <c r="Y818" s="25" t="n">
        <v>244.657089233398</v>
      </c>
      <c r="Z818" s="25" t="n">
        <v>0.548988282680512</v>
      </c>
      <c r="AA818" s="25" t="n">
        <v>2.04451537132263</v>
      </c>
      <c r="AB818" s="25" t="n">
        <v>0.961661338806152</v>
      </c>
      <c r="AC818" s="25" t="n">
        <v>0.0464771054685116</v>
      </c>
      <c r="AD818" s="25" t="n">
        <v>0.0856655985116959</v>
      </c>
      <c r="AE818" s="25" t="n">
        <v>0.228913739323616</v>
      </c>
      <c r="AF818" s="25" t="n">
        <v>0.276840269565582</v>
      </c>
      <c r="AG818" s="25" t="n">
        <v>0.0370138436555862</v>
      </c>
      <c r="AH818" s="25" t="n">
        <v>1.16783809661865</v>
      </c>
      <c r="AI818" s="25" t="n">
        <v>6.87646436691284</v>
      </c>
      <c r="AJ818" s="6" t="n">
        <v>156.5</v>
      </c>
      <c r="AK818" s="6" t="n">
        <v>617.4</v>
      </c>
      <c r="AL818" s="26"/>
    </row>
    <row r="819" customFormat="false" ht="15" hidden="false" customHeight="false" outlineLevel="0" collapsed="false">
      <c r="A819" s="6" t="s">
        <v>4416</v>
      </c>
      <c r="B819" s="6" t="s">
        <v>4417</v>
      </c>
      <c r="C819" s="6" t="s">
        <v>3627</v>
      </c>
      <c r="D819" s="13" t="n">
        <v>296.397705078125</v>
      </c>
      <c r="E819" s="25" t="n">
        <v>5.13540029525757</v>
      </c>
      <c r="F819" s="25" t="n">
        <v>38.1330757141113</v>
      </c>
      <c r="G819" s="25" t="n">
        <v>13.3083763122559</v>
      </c>
      <c r="H819" s="25" t="n">
        <v>2.26939821243286</v>
      </c>
      <c r="I819" s="25" t="n">
        <v>2.52929878234863</v>
      </c>
      <c r="J819" s="25" t="n">
        <v>8.2254951171875</v>
      </c>
      <c r="K819" s="25" t="n">
        <v>3.30839697265625</v>
      </c>
      <c r="L819" s="25" t="n">
        <v>0.600177795410156</v>
      </c>
      <c r="M819" s="25" t="n">
        <v>33.8321380615234</v>
      </c>
      <c r="N819" s="25" t="n">
        <v>339.580902099609</v>
      </c>
      <c r="O819" s="25" t="n">
        <v>183.694641113281</v>
      </c>
      <c r="P819" s="25" t="n">
        <v>56.3406944274902</v>
      </c>
      <c r="Q819" s="25" t="n">
        <v>234.267654418945</v>
      </c>
      <c r="R819" s="25" t="n">
        <v>19.302396774292</v>
      </c>
      <c r="S819" s="25" t="n">
        <v>0.811236917972565</v>
      </c>
      <c r="T819" s="25" t="n">
        <v>0.517791271209717</v>
      </c>
      <c r="U819" s="25" t="n">
        <v>0.122603535652161</v>
      </c>
      <c r="V819" s="25" t="n">
        <v>0.500552177429199</v>
      </c>
      <c r="W819" s="25" t="n">
        <v>0.333263367414475</v>
      </c>
      <c r="X819" s="25" t="n">
        <v>151.695190429688</v>
      </c>
      <c r="Y819" s="25" t="n">
        <v>2742.52416992188</v>
      </c>
      <c r="Z819" s="25" t="n">
        <v>0.313208192586899</v>
      </c>
      <c r="AA819" s="25" t="n">
        <v>2.44312524795532</v>
      </c>
      <c r="AB819" s="25" t="n">
        <v>5.27006101608276</v>
      </c>
      <c r="AC819" s="25" t="n">
        <v>0.086557149887085</v>
      </c>
      <c r="AD819" s="25" t="n">
        <v>0.0695030391216278</v>
      </c>
      <c r="AE819" s="25" t="n">
        <v>0.515124261379242</v>
      </c>
      <c r="AF819" s="25" t="n">
        <v>0.606697976589203</v>
      </c>
      <c r="AG819" s="25" t="n">
        <v>0.0719271153211594</v>
      </c>
      <c r="AH819" s="25" t="n">
        <v>1.78557705879211</v>
      </c>
      <c r="AI819" s="25" t="n">
        <v>11.7254772186279</v>
      </c>
      <c r="AJ819" s="6" t="n">
        <v>150.9</v>
      </c>
      <c r="AK819" s="6" t="n">
        <v>447.3</v>
      </c>
      <c r="AL819" s="26"/>
    </row>
    <row r="820" customFormat="false" ht="15" hidden="false" customHeight="false" outlineLevel="0" collapsed="false">
      <c r="A820" s="6" t="s">
        <v>4418</v>
      </c>
      <c r="B820" s="6" t="s">
        <v>4419</v>
      </c>
      <c r="C820" s="6" t="s">
        <v>3622</v>
      </c>
      <c r="D820" s="13" t="n">
        <v>441.120971679688</v>
      </c>
      <c r="E820" s="25" t="n">
        <v>2.99609899520874</v>
      </c>
      <c r="F820" s="25" t="n">
        <v>61.2479705810547</v>
      </c>
      <c r="G820" s="25" t="n">
        <v>21.2510395050049</v>
      </c>
      <c r="H820" s="25" t="n">
        <v>0.746486783027649</v>
      </c>
      <c r="I820" s="25" t="n">
        <v>40.8618392944336</v>
      </c>
      <c r="J820" s="25" t="n">
        <v>13.3579755859375</v>
      </c>
      <c r="K820" s="25" t="n">
        <v>5.3706787109375</v>
      </c>
      <c r="L820" s="25" t="n">
        <v>0.817644775390625</v>
      </c>
      <c r="M820" s="25" t="n">
        <v>54.3575057983398</v>
      </c>
      <c r="N820" s="25" t="n">
        <v>6.0639123916626</v>
      </c>
      <c r="O820" s="25" t="n">
        <v>51.5261383056641</v>
      </c>
      <c r="P820" s="25" t="n">
        <v>13.8111295700073</v>
      </c>
      <c r="Q820" s="25" t="n">
        <v>37.2366485595703</v>
      </c>
      <c r="R820" s="25" t="n">
        <v>9.20865631103516</v>
      </c>
      <c r="S820" s="25" t="n">
        <v>0.600421607494354</v>
      </c>
      <c r="T820" s="25" t="n">
        <v>0.300646424293518</v>
      </c>
      <c r="U820" s="25" t="n">
        <v>0.0759134292602539</v>
      </c>
      <c r="V820" s="25" t="n">
        <v>0.0133501961827278</v>
      </c>
      <c r="W820" s="25" t="n">
        <v>0.170123666524887</v>
      </c>
      <c r="X820" s="25" t="n">
        <v>244.481155395508</v>
      </c>
      <c r="Y820" s="25" t="n">
        <v>230.821807861328</v>
      </c>
      <c r="Z820" s="25" t="n">
        <v>0.488701522350311</v>
      </c>
      <c r="AA820" s="25" t="n">
        <v>2.15829133987427</v>
      </c>
      <c r="AB820" s="25" t="n">
        <v>0.0282462053000927</v>
      </c>
      <c r="AC820" s="25" t="n">
        <v>0.0408937633037567</v>
      </c>
      <c r="AD820" s="25" t="n">
        <v>0.0355986505746841</v>
      </c>
      <c r="AE820" s="25" t="n">
        <v>0.208881393074989</v>
      </c>
      <c r="AF820" s="25" t="n">
        <v>0.211804389953613</v>
      </c>
      <c r="AG820" s="25" t="n">
        <v>0.022147273644805</v>
      </c>
      <c r="AH820" s="25" t="n">
        <v>0.235356941819191</v>
      </c>
      <c r="AI820" s="25" t="n">
        <v>4.48327732086182</v>
      </c>
      <c r="AJ820" s="6" t="n">
        <v>37.1</v>
      </c>
      <c r="AK820" s="6" t="n">
        <v>163.5</v>
      </c>
      <c r="AL820" s="26"/>
    </row>
    <row r="821" customFormat="false" ht="15" hidden="false" customHeight="false" outlineLevel="0" collapsed="false">
      <c r="A821" s="6" t="s">
        <v>4420</v>
      </c>
      <c r="B821" s="6" t="s">
        <v>4421</v>
      </c>
      <c r="C821" s="6" t="s">
        <v>3622</v>
      </c>
      <c r="D821" s="13" t="n">
        <v>218.395294189453</v>
      </c>
      <c r="E821" s="25" t="n">
        <v>2.51422929763794</v>
      </c>
      <c r="F821" s="25" t="n">
        <v>44.6923370361328</v>
      </c>
      <c r="G821" s="25" t="n">
        <v>3.9304735660553</v>
      </c>
      <c r="H821" s="25" t="n">
        <v>1.05987572669983</v>
      </c>
      <c r="I821" s="25" t="n">
        <v>31.6243476867676</v>
      </c>
      <c r="J821" s="25" t="n">
        <v>2.29942065429688</v>
      </c>
      <c r="K821" s="25" t="n">
        <v>1.00954077148438</v>
      </c>
      <c r="L821" s="25" t="n">
        <v>0.234024871826172</v>
      </c>
      <c r="M821" s="25" t="n">
        <v>22.2254524230957</v>
      </c>
      <c r="N821" s="25" t="n">
        <v>51.4933280944824</v>
      </c>
      <c r="O821" s="25" t="n">
        <v>82.1183013916016</v>
      </c>
      <c r="P821" s="25" t="n">
        <v>19.3611259460449</v>
      </c>
      <c r="Q821" s="25" t="n">
        <v>62.4442138671875</v>
      </c>
      <c r="R821" s="25" t="n">
        <v>8.86165618896484</v>
      </c>
      <c r="S821" s="25" t="n">
        <v>0.521671235561371</v>
      </c>
      <c r="T821" s="25" t="n">
        <v>0.267361491918564</v>
      </c>
      <c r="U821" s="25" t="n">
        <v>0.0803302228450775</v>
      </c>
      <c r="V821" s="25" t="n">
        <v>1.55927217006683</v>
      </c>
      <c r="W821" s="25" t="n">
        <v>0.196503937244415</v>
      </c>
      <c r="X821" s="25" t="n">
        <v>47.0042037963867</v>
      </c>
      <c r="Y821" s="25" t="n">
        <v>343.064147949219</v>
      </c>
      <c r="Z821" s="25" t="n">
        <v>0.251499354839325</v>
      </c>
      <c r="AA821" s="25" t="n">
        <v>15.9727993011475</v>
      </c>
      <c r="AB821" s="25" t="n">
        <v>1.47595536708832</v>
      </c>
      <c r="AC821" s="25" t="n">
        <v>0.0344574898481369</v>
      </c>
      <c r="AD821" s="25" t="n">
        <v>0.0262479428201914</v>
      </c>
      <c r="AE821" s="25" t="n">
        <v>0.21770341694355</v>
      </c>
      <c r="AF821" s="25" t="n">
        <v>0.216092526912689</v>
      </c>
      <c r="AG821" s="25" t="n">
        <v>0.0348524414002895</v>
      </c>
      <c r="AH821" s="25" t="n">
        <v>1.07753145694733</v>
      </c>
      <c r="AI821" s="25" t="n">
        <v>9.13015174865723</v>
      </c>
      <c r="AJ821" s="6" t="n">
        <v>85.5</v>
      </c>
      <c r="AK821" s="6" t="n">
        <v>186.6</v>
      </c>
      <c r="AL821" s="26"/>
    </row>
    <row r="822" customFormat="false" ht="15" hidden="false" customHeight="false" outlineLevel="0" collapsed="false">
      <c r="A822" s="6" t="s">
        <v>4422</v>
      </c>
      <c r="B822" s="6" t="s">
        <v>4423</v>
      </c>
      <c r="C822" s="6" t="s">
        <v>3622</v>
      </c>
      <c r="D822" s="13" t="n">
        <v>159.41716003418</v>
      </c>
      <c r="E822" s="25" t="n">
        <v>6.52869653701782</v>
      </c>
      <c r="F822" s="25" t="n">
        <v>23.0739650726318</v>
      </c>
      <c r="G822" s="25" t="n">
        <v>4.24338626861572</v>
      </c>
      <c r="H822" s="25" t="n">
        <v>5.31664133071899</v>
      </c>
      <c r="I822" s="25" t="n">
        <v>14.4470653533936</v>
      </c>
      <c r="J822" s="25" t="n">
        <v>0.388162994384766</v>
      </c>
      <c r="K822" s="25" t="n">
        <v>2.29501928710938</v>
      </c>
      <c r="L822" s="25" t="n">
        <v>1.20033142089844</v>
      </c>
      <c r="M822" s="25" t="n">
        <v>0</v>
      </c>
      <c r="N822" s="25" t="n">
        <v>229.895431518555</v>
      </c>
      <c r="O822" s="25" t="n">
        <v>241.335189819336</v>
      </c>
      <c r="P822" s="25" t="n">
        <v>48.4497528076172</v>
      </c>
      <c r="Q822" s="25" t="n">
        <v>218.075408935547</v>
      </c>
      <c r="R822" s="25" t="n">
        <v>45.0812110900879</v>
      </c>
      <c r="S822" s="25" t="n">
        <v>1.47202861309052</v>
      </c>
      <c r="T822" s="25" t="n">
        <v>1.0063282251358</v>
      </c>
      <c r="U822" s="25" t="n">
        <v>0.285949259996414</v>
      </c>
      <c r="V822" s="25" t="n">
        <v>1.08855140209198</v>
      </c>
      <c r="W822" s="25" t="n">
        <v>0.54888266324997</v>
      </c>
      <c r="X822" s="25" t="n">
        <v>0</v>
      </c>
      <c r="Y822" s="25" t="n">
        <v>1412.16979980469</v>
      </c>
      <c r="Z822" s="25" t="n">
        <v>1.72404086589813</v>
      </c>
      <c r="AA822" s="25" t="n">
        <v>22.7887783050537</v>
      </c>
      <c r="AB822" s="25" t="n">
        <v>22.1499862670898</v>
      </c>
      <c r="AC822" s="25" t="n">
        <v>0.161840796470642</v>
      </c>
      <c r="AD822" s="25" t="n">
        <v>0.037603821605444</v>
      </c>
      <c r="AE822" s="25" t="n">
        <v>0.959645688533783</v>
      </c>
      <c r="AF822" s="25" t="n">
        <v>0.501399159431458</v>
      </c>
      <c r="AG822" s="25" t="n">
        <v>0.124813780188561</v>
      </c>
      <c r="AH822" s="25" t="n">
        <v>2.66757893562317</v>
      </c>
      <c r="AI822" s="25" t="n">
        <v>37.2335662841797</v>
      </c>
      <c r="AJ822" s="6" t="n">
        <v>75.8</v>
      </c>
      <c r="AK822" s="6" t="n">
        <v>120.9</v>
      </c>
      <c r="AL822" s="26"/>
    </row>
    <row r="823" customFormat="false" ht="15" hidden="false" customHeight="false" outlineLevel="0" collapsed="false">
      <c r="A823" s="6" t="s">
        <v>4424</v>
      </c>
      <c r="B823" s="6" t="s">
        <v>4425</v>
      </c>
      <c r="C823" s="6" t="s">
        <v>3622</v>
      </c>
      <c r="D823" s="13" t="n">
        <v>520.623229980469</v>
      </c>
      <c r="E823" s="25" t="n">
        <v>9.48983097076416</v>
      </c>
      <c r="F823" s="25" t="n">
        <v>40.0642776489258</v>
      </c>
      <c r="G823" s="25" t="n">
        <v>36.2818489074707</v>
      </c>
      <c r="H823" s="25" t="n">
        <v>3.95079112052918</v>
      </c>
      <c r="I823" s="25" t="n">
        <v>24.2796287536621</v>
      </c>
      <c r="J823" s="25" t="n">
        <v>11.0293330078125</v>
      </c>
      <c r="K823" s="25" t="n">
        <v>10.6886630859375</v>
      </c>
      <c r="L823" s="25" t="n">
        <v>12.653904296875</v>
      </c>
      <c r="M823" s="25" t="n">
        <v>26.3780689239502</v>
      </c>
      <c r="N823" s="25" t="n">
        <v>181.680526733398</v>
      </c>
      <c r="O823" s="25" t="n">
        <v>210.542282104492</v>
      </c>
      <c r="P823" s="25" t="n">
        <v>70.4517135620117</v>
      </c>
      <c r="Q823" s="25" t="n">
        <v>300.417907714844</v>
      </c>
      <c r="R823" s="25" t="n">
        <v>135.073867797852</v>
      </c>
      <c r="S823" s="25" t="n">
        <v>2.20619750022888</v>
      </c>
      <c r="T823" s="25" t="n">
        <v>2.38256406784058</v>
      </c>
      <c r="U823" s="25" t="n">
        <v>0.910331666469574</v>
      </c>
      <c r="V823" s="25" t="n">
        <v>14.9699945449829</v>
      </c>
      <c r="W823" s="25" t="n">
        <v>0.842182219028473</v>
      </c>
      <c r="X823" s="25" t="n">
        <v>118.639381408691</v>
      </c>
      <c r="Y823" s="25" t="n">
        <v>204.394989013672</v>
      </c>
      <c r="Z823" s="25" t="n">
        <v>7.49479007720947</v>
      </c>
      <c r="AA823" s="25" t="n">
        <v>3.92351341247559</v>
      </c>
      <c r="AB823" s="25" t="n">
        <v>0</v>
      </c>
      <c r="AC823" s="25" t="n">
        <v>0.209734857082367</v>
      </c>
      <c r="AD823" s="25" t="n">
        <v>0.0603764317929745</v>
      </c>
      <c r="AE823" s="25" t="n">
        <v>0.640971064567566</v>
      </c>
      <c r="AF823" s="25" t="n">
        <v>0.444020748138428</v>
      </c>
      <c r="AG823" s="25" t="n">
        <v>0.302948176860809</v>
      </c>
      <c r="AH823" s="25" t="n">
        <v>0.884124338626862</v>
      </c>
      <c r="AI823" s="25" t="n">
        <v>28.1791591644287</v>
      </c>
      <c r="AJ823" s="6" t="n">
        <v>183.3</v>
      </c>
      <c r="AK823" s="6" t="n">
        <v>954.3</v>
      </c>
      <c r="AL823" s="26"/>
    </row>
    <row r="824" customFormat="false" ht="15" hidden="false" customHeight="false" outlineLevel="0" collapsed="false">
      <c r="A824" s="6" t="s">
        <v>4426</v>
      </c>
      <c r="B824" s="6" t="s">
        <v>4427</v>
      </c>
      <c r="C824" s="6" t="s">
        <v>3622</v>
      </c>
      <c r="D824" s="13" t="n">
        <v>400.489349365234</v>
      </c>
      <c r="E824" s="25" t="n">
        <v>5.09862756729126</v>
      </c>
      <c r="F824" s="25" t="n">
        <v>53.9903373718262</v>
      </c>
      <c r="G824" s="25" t="n">
        <v>19.1194877624512</v>
      </c>
      <c r="H824" s="25" t="n">
        <v>2.78682518005371</v>
      </c>
      <c r="I824" s="25" t="n">
        <v>38.9948043823242</v>
      </c>
      <c r="J824" s="25" t="n">
        <v>11.4108740234375</v>
      </c>
      <c r="K824" s="25" t="n">
        <v>5.01836572265625</v>
      </c>
      <c r="L824" s="25" t="n">
        <v>0.977183898925781</v>
      </c>
      <c r="M824" s="25" t="n">
        <v>111.208602905273</v>
      </c>
      <c r="N824" s="25" t="n">
        <v>98.4523696899414</v>
      </c>
      <c r="O824" s="25" t="n">
        <v>111.450134277344</v>
      </c>
      <c r="P824" s="25" t="n">
        <v>25.2062206268311</v>
      </c>
      <c r="Q824" s="25" t="n">
        <v>114.410797119141</v>
      </c>
      <c r="R824" s="25" t="n">
        <v>34.4263496398926</v>
      </c>
      <c r="S824" s="25" t="n">
        <v>1.41255259513855</v>
      </c>
      <c r="T824" s="25" t="n">
        <v>0.974144518375397</v>
      </c>
      <c r="U824" s="25" t="n">
        <v>0.176495879888535</v>
      </c>
      <c r="V824" s="25" t="n">
        <v>20.0787181854248</v>
      </c>
      <c r="W824" s="25" t="n">
        <v>0.85152792930603</v>
      </c>
      <c r="X824" s="25" t="n">
        <v>235.19303894043</v>
      </c>
      <c r="Y824" s="25" t="n">
        <v>219.871917724609</v>
      </c>
      <c r="Z824" s="25" t="n">
        <v>0.725187540054321</v>
      </c>
      <c r="AA824" s="25" t="n">
        <v>1.91860938072205</v>
      </c>
      <c r="AB824" s="25" t="n">
        <v>0</v>
      </c>
      <c r="AC824" s="25" t="n">
        <v>0.1113266274333</v>
      </c>
      <c r="AD824" s="25" t="n">
        <v>0.0852424502372742</v>
      </c>
      <c r="AE824" s="25" t="n">
        <v>0.588032960891724</v>
      </c>
      <c r="AF824" s="25" t="n">
        <v>0.487310171127319</v>
      </c>
      <c r="AG824" s="25" t="n">
        <v>0.0892955139279366</v>
      </c>
      <c r="AH824" s="25" t="n">
        <v>3.57800555229187</v>
      </c>
      <c r="AI824" s="25" t="n">
        <v>15.9859104156494</v>
      </c>
      <c r="AJ824" s="6" t="n">
        <v>218.6</v>
      </c>
      <c r="AK824" s="6" t="n">
        <v>875.5</v>
      </c>
      <c r="AL824" s="26"/>
    </row>
    <row r="825" customFormat="false" ht="15" hidden="false" customHeight="false" outlineLevel="0" collapsed="false">
      <c r="A825" s="6" t="s">
        <v>4428</v>
      </c>
      <c r="B825" s="6" t="s">
        <v>4429</v>
      </c>
      <c r="C825" s="6" t="s">
        <v>3622</v>
      </c>
      <c r="D825" s="13" t="n">
        <v>493.315765380859</v>
      </c>
      <c r="E825" s="25" t="n">
        <v>6.24839639663696</v>
      </c>
      <c r="F825" s="25" t="n">
        <v>39.4373168945313</v>
      </c>
      <c r="G825" s="25" t="n">
        <v>34.9725952148438</v>
      </c>
      <c r="H825" s="25" t="n">
        <v>2.45422744750977</v>
      </c>
      <c r="I825" s="25" t="n">
        <v>22.0075798034668</v>
      </c>
      <c r="J825" s="25" t="n">
        <v>12.7080478515625</v>
      </c>
      <c r="K825" s="25" t="n">
        <v>17.542103515625</v>
      </c>
      <c r="L825" s="25" t="n">
        <v>2.44133129882813</v>
      </c>
      <c r="M825" s="25" t="n">
        <v>46.988338470459</v>
      </c>
      <c r="N825" s="25" t="n">
        <v>81.0550079345703</v>
      </c>
      <c r="O825" s="25" t="n">
        <v>233.16520690918</v>
      </c>
      <c r="P825" s="25" t="n">
        <v>47.426628112793</v>
      </c>
      <c r="Q825" s="25" t="n">
        <v>109.643341064453</v>
      </c>
      <c r="R825" s="25" t="n">
        <v>50.1181716918945</v>
      </c>
      <c r="S825" s="25" t="n">
        <v>1.2919340133667</v>
      </c>
      <c r="T825" s="25" t="n">
        <v>0.797959208488464</v>
      </c>
      <c r="U825" s="25" t="n">
        <v>0.388075798749924</v>
      </c>
      <c r="V825" s="25" t="n">
        <v>0.524781346321106</v>
      </c>
      <c r="W825" s="25" t="n">
        <v>1.43265306949616</v>
      </c>
      <c r="X825" s="25" t="n">
        <v>211.337219238281</v>
      </c>
      <c r="Y825" s="25" t="n">
        <v>197.10009765625</v>
      </c>
      <c r="Z825" s="25" t="n">
        <v>6.97429513931274</v>
      </c>
      <c r="AA825" s="25" t="n">
        <v>1.86569488048554</v>
      </c>
      <c r="AB825" s="25" t="n">
        <v>0</v>
      </c>
      <c r="AC825" s="25" t="n">
        <v>0.147813409566879</v>
      </c>
      <c r="AD825" s="25" t="n">
        <v>0.0714188516139984</v>
      </c>
      <c r="AE825" s="25" t="n">
        <v>0.468221575021744</v>
      </c>
      <c r="AF825" s="25" t="n">
        <v>0.57517009973526</v>
      </c>
      <c r="AG825" s="25" t="n">
        <v>0.173469394445419</v>
      </c>
      <c r="AH825" s="25" t="n">
        <v>20.1210880279541</v>
      </c>
      <c r="AI825" s="25" t="n">
        <v>22.6822147369385</v>
      </c>
      <c r="AJ825" s="6" t="n">
        <v>85.7</v>
      </c>
      <c r="AK825" s="6" t="n">
        <v>423</v>
      </c>
      <c r="AL825" s="26"/>
    </row>
    <row r="826" customFormat="false" ht="15" hidden="false" customHeight="false" outlineLevel="0" collapsed="false">
      <c r="A826" s="6" t="s">
        <v>4430</v>
      </c>
      <c r="B826" s="6" t="s">
        <v>4431</v>
      </c>
      <c r="C826" s="6" t="s">
        <v>3622</v>
      </c>
      <c r="D826" s="13" t="n">
        <v>459.434173583984</v>
      </c>
      <c r="E826" s="25" t="n">
        <v>10.4937677383423</v>
      </c>
      <c r="F826" s="25" t="n">
        <v>48.4281845092773</v>
      </c>
      <c r="G826" s="25" t="n">
        <v>24.9605503082275</v>
      </c>
      <c r="H826" s="25" t="n">
        <v>0.994843542575836</v>
      </c>
      <c r="I826" s="25" t="n">
        <v>22.060625076294</v>
      </c>
      <c r="J826" s="25" t="n">
        <v>15.668931640625</v>
      </c>
      <c r="K826" s="25" t="n">
        <v>6.33911669921875</v>
      </c>
      <c r="L826" s="25" t="n">
        <v>0.968683349609375</v>
      </c>
      <c r="M826" s="25" t="n">
        <v>67.9316635131836</v>
      </c>
      <c r="N826" s="25" t="n">
        <v>156.526062011719</v>
      </c>
      <c r="O826" s="25" t="n">
        <v>385.416015625</v>
      </c>
      <c r="P826" s="25" t="n">
        <v>251.591995239258</v>
      </c>
      <c r="Q826" s="25" t="n">
        <v>270.342163085938</v>
      </c>
      <c r="R826" s="25" t="n">
        <v>32.6096611022949</v>
      </c>
      <c r="S826" s="25" t="n">
        <v>0.745091378688812</v>
      </c>
      <c r="T826" s="25" t="n">
        <v>1.12938666343689</v>
      </c>
      <c r="U826" s="25" t="n">
        <v>0.0726783499121666</v>
      </c>
      <c r="V826" s="25" t="n">
        <v>4.55669593811035</v>
      </c>
      <c r="W826" s="25" t="n">
        <v>0.227083846926689</v>
      </c>
      <c r="X826" s="25" t="n">
        <v>289.814758300781</v>
      </c>
      <c r="Y826" s="25" t="n">
        <v>280.861083984375</v>
      </c>
      <c r="Z826" s="25" t="n">
        <v>0.572533130645752</v>
      </c>
      <c r="AA826" s="25" t="n">
        <v>2.53263568878174</v>
      </c>
      <c r="AB826" s="25" t="n">
        <v>1.63003754615784</v>
      </c>
      <c r="AC826" s="25" t="n">
        <v>0.130092620849609</v>
      </c>
      <c r="AD826" s="25" t="n">
        <v>0.344312906265259</v>
      </c>
      <c r="AE826" s="25" t="n">
        <v>0.466032534837723</v>
      </c>
      <c r="AF826" s="25" t="n">
        <v>0.939261555671692</v>
      </c>
      <c r="AG826" s="25" t="n">
        <v>0.0937071293592453</v>
      </c>
      <c r="AH826" s="25" t="n">
        <v>0.859424293041229</v>
      </c>
      <c r="AI826" s="25" t="n">
        <v>15.649561882019</v>
      </c>
      <c r="AJ826" s="6" t="n">
        <v>124.8</v>
      </c>
      <c r="AK826" s="6" t="n">
        <v>573.6</v>
      </c>
      <c r="AL826" s="26"/>
    </row>
    <row r="827" customFormat="false" ht="15" hidden="false" customHeight="false" outlineLevel="0" collapsed="false">
      <c r="A827" s="6" t="s">
        <v>4432</v>
      </c>
      <c r="B827" s="6" t="s">
        <v>4433</v>
      </c>
      <c r="C827" s="6" t="s">
        <v>3622</v>
      </c>
      <c r="D827" s="13" t="n">
        <v>272.482421875</v>
      </c>
      <c r="E827" s="25" t="n">
        <v>3.9216148853302</v>
      </c>
      <c r="F827" s="25" t="n">
        <v>36.3906326293945</v>
      </c>
      <c r="G827" s="25" t="n">
        <v>12.6611576080322</v>
      </c>
      <c r="H827" s="25" t="n">
        <v>1.12689101696014</v>
      </c>
      <c r="I827" s="25" t="n">
        <v>19.9639301300049</v>
      </c>
      <c r="J827" s="25" t="n">
        <v>7.6459970703125</v>
      </c>
      <c r="K827" s="25" t="n">
        <v>3.27185205078125</v>
      </c>
      <c r="L827" s="25" t="n">
        <v>0.611445495605469</v>
      </c>
      <c r="M827" s="25" t="n">
        <v>58.2234191894531</v>
      </c>
      <c r="N827" s="25" t="n">
        <v>58.2532424926758</v>
      </c>
      <c r="O827" s="25" t="n">
        <v>93.0398406982422</v>
      </c>
      <c r="P827" s="25" t="n">
        <v>36.1609687805176</v>
      </c>
      <c r="Q827" s="25" t="n">
        <v>80.1049270629883</v>
      </c>
      <c r="R827" s="25" t="n">
        <v>11.5287752151489</v>
      </c>
      <c r="S827" s="25" t="n">
        <v>0.71051949262619</v>
      </c>
      <c r="T827" s="25" t="n">
        <v>0.407994627952576</v>
      </c>
      <c r="U827" s="25" t="n">
        <v>0.0795908495783806</v>
      </c>
      <c r="V827" s="25" t="n">
        <v>3.47294759750366</v>
      </c>
      <c r="W827" s="25" t="n">
        <v>0.176226109266281</v>
      </c>
      <c r="X827" s="25" t="n">
        <v>144.925979614258</v>
      </c>
      <c r="Y827" s="25" t="n">
        <v>216.260559082031</v>
      </c>
      <c r="Z827" s="25" t="n">
        <v>0.435693144798279</v>
      </c>
      <c r="AA827" s="25" t="n">
        <v>1.83440101146698</v>
      </c>
      <c r="AB827" s="25" t="n">
        <v>2.97248983383179</v>
      </c>
      <c r="AC827" s="25" t="n">
        <v>0.0497658140957356</v>
      </c>
      <c r="AD827" s="25" t="n">
        <v>0.0561938062310219</v>
      </c>
      <c r="AE827" s="25" t="n">
        <v>0.242422610521317</v>
      </c>
      <c r="AF827" s="25" t="n">
        <v>0.365663528442383</v>
      </c>
      <c r="AG827" s="25" t="n">
        <v>0.0504333786666393</v>
      </c>
      <c r="AH827" s="25" t="n">
        <v>1.9355046749115</v>
      </c>
      <c r="AI827" s="25" t="n">
        <v>9.26471042633057</v>
      </c>
      <c r="AJ827" s="6" t="n">
        <v>185.8</v>
      </c>
      <c r="AK827" s="6" t="n">
        <v>506.1</v>
      </c>
      <c r="AL827" s="26"/>
    </row>
    <row r="828" customFormat="false" ht="15" hidden="false" customHeight="false" outlineLevel="0" collapsed="false">
      <c r="A828" s="6" t="s">
        <v>4434</v>
      </c>
      <c r="B828" s="6" t="s">
        <v>4435</v>
      </c>
      <c r="C828" s="6" t="s">
        <v>3627</v>
      </c>
      <c r="D828" s="13" t="n">
        <v>438.289886474609</v>
      </c>
      <c r="E828" s="25" t="n">
        <v>3.20338249206543</v>
      </c>
      <c r="F828" s="25" t="n">
        <v>55.0072402954102</v>
      </c>
      <c r="G828" s="25" t="n">
        <v>23.7471981048584</v>
      </c>
      <c r="H828" s="25" t="n">
        <v>0.816913366317749</v>
      </c>
      <c r="I828" s="25" t="n">
        <v>32.2676544189453</v>
      </c>
      <c r="J828" s="25" t="n">
        <v>12.8062197265625</v>
      </c>
      <c r="K828" s="25" t="n">
        <v>6.87287451171875</v>
      </c>
      <c r="L828" s="25" t="n">
        <v>0.981733581542969</v>
      </c>
      <c r="M828" s="25" t="n">
        <v>48.6342468261719</v>
      </c>
      <c r="N828" s="25" t="n">
        <v>120.100631713867</v>
      </c>
      <c r="O828" s="25" t="n">
        <v>53.3192367553711</v>
      </c>
      <c r="P828" s="25" t="n">
        <v>10.7568712234497</v>
      </c>
      <c r="Q828" s="25" t="n">
        <v>38.1141662597656</v>
      </c>
      <c r="R828" s="25" t="n">
        <v>9.54038047790527</v>
      </c>
      <c r="S828" s="25" t="n">
        <v>1.37251579761505</v>
      </c>
      <c r="T828" s="25" t="n">
        <v>0.313742071390152</v>
      </c>
      <c r="U828" s="25" t="n">
        <v>0.0681078210473061</v>
      </c>
      <c r="V828" s="25" t="n">
        <v>0</v>
      </c>
      <c r="W828" s="25" t="n">
        <v>0.186469346284866</v>
      </c>
      <c r="X828" s="25" t="n">
        <v>218.739959716797</v>
      </c>
      <c r="Y828" s="25" t="n">
        <v>218.739959716797</v>
      </c>
      <c r="Z828" s="25" t="n">
        <v>0.582769572734833</v>
      </c>
      <c r="AA828" s="25" t="n">
        <v>3.62674427032471</v>
      </c>
      <c r="AB828" s="25" t="n">
        <v>0</v>
      </c>
      <c r="AC828" s="25" t="n">
        <v>0.0443974621593952</v>
      </c>
      <c r="AD828" s="25" t="n">
        <v>0.0337420701980591</v>
      </c>
      <c r="AE828" s="25" t="n">
        <v>0.227906972169876</v>
      </c>
      <c r="AF828" s="25" t="n">
        <v>0.224524319171906</v>
      </c>
      <c r="AG828" s="25" t="n">
        <v>0.0236786473542452</v>
      </c>
      <c r="AH828" s="25" t="n">
        <v>0.217336148023605</v>
      </c>
      <c r="AI828" s="25" t="n">
        <v>4.80972528457642</v>
      </c>
      <c r="AJ828" s="6" t="n">
        <v>47.3</v>
      </c>
      <c r="AK828" s="6" t="n">
        <v>207.3</v>
      </c>
      <c r="AL828" s="26"/>
    </row>
    <row r="829" customFormat="false" ht="15" hidden="false" customHeight="false" outlineLevel="0" collapsed="false">
      <c r="A829" s="6" t="s">
        <v>4436</v>
      </c>
      <c r="B829" s="6" t="s">
        <v>4437</v>
      </c>
      <c r="C829" s="6" t="s">
        <v>3627</v>
      </c>
      <c r="D829" s="13" t="n">
        <v>420.782165527344</v>
      </c>
      <c r="E829" s="25" t="n">
        <v>5.20592451095581</v>
      </c>
      <c r="F829" s="25" t="n">
        <v>53.1223526000977</v>
      </c>
      <c r="G829" s="25" t="n">
        <v>17.8981037139893</v>
      </c>
      <c r="H829" s="25" t="n">
        <v>5.43440628051758</v>
      </c>
      <c r="I829" s="25" t="n">
        <v>15.7528972625732</v>
      </c>
      <c r="J829" s="25" t="n">
        <v>10.976623046875</v>
      </c>
      <c r="K829" s="25" t="n">
        <v>4.4379853515625</v>
      </c>
      <c r="L829" s="25" t="n">
        <v>0.945966857910156</v>
      </c>
      <c r="M829" s="25" t="n">
        <v>44.4811401367188</v>
      </c>
      <c r="N829" s="25" t="n">
        <v>93.1120529174805</v>
      </c>
      <c r="O829" s="25" t="n">
        <v>155.266784667969</v>
      </c>
      <c r="P829" s="25" t="n">
        <v>23.807544708252</v>
      </c>
      <c r="Q829" s="25" t="n">
        <v>194.292541503906</v>
      </c>
      <c r="R829" s="25" t="n">
        <v>60.3707466125488</v>
      </c>
      <c r="S829" s="25" t="n">
        <v>1.96207904815674</v>
      </c>
      <c r="T829" s="25" t="n">
        <v>1.39764487743378</v>
      </c>
      <c r="U829" s="25" t="n">
        <v>0.232049688696861</v>
      </c>
      <c r="V829" s="25" t="n">
        <v>25.4115905761719</v>
      </c>
      <c r="W829" s="25" t="n">
        <v>1.42642140388489</v>
      </c>
      <c r="X829" s="25" t="n">
        <v>200.06071472168</v>
      </c>
      <c r="Y829" s="25" t="n">
        <v>262.829803466797</v>
      </c>
      <c r="Z829" s="25" t="n">
        <v>0.510717570781708</v>
      </c>
      <c r="AA829" s="25" t="n">
        <v>2.26292562484741</v>
      </c>
      <c r="AB829" s="25" t="n">
        <v>0</v>
      </c>
      <c r="AC829" s="25" t="n">
        <v>0.200960442423821</v>
      </c>
      <c r="AD829" s="25" t="n">
        <v>0.0867249295115471</v>
      </c>
      <c r="AE829" s="25" t="n">
        <v>1.13532662391663</v>
      </c>
      <c r="AF829" s="25" t="n">
        <v>0.426761746406555</v>
      </c>
      <c r="AG829" s="25" t="n">
        <v>0.119690887629986</v>
      </c>
      <c r="AH829" s="25" t="n">
        <v>0.405335783958435</v>
      </c>
      <c r="AI829" s="25" t="n">
        <v>13.9782886505127</v>
      </c>
      <c r="AJ829" s="6" t="n">
        <v>108.7</v>
      </c>
      <c r="AK829" s="6" t="n">
        <v>457.4</v>
      </c>
      <c r="AL829" s="26"/>
    </row>
    <row r="830" customFormat="false" ht="15" hidden="false" customHeight="false" outlineLevel="0" collapsed="false">
      <c r="A830" s="6" t="s">
        <v>4438</v>
      </c>
      <c r="B830" s="6" t="s">
        <v>4439</v>
      </c>
      <c r="C830" s="6" t="s">
        <v>4440</v>
      </c>
      <c r="D830" s="13" t="n">
        <v>177.381149291992</v>
      </c>
      <c r="E830" s="25" t="n">
        <v>0.525161683559418</v>
      </c>
      <c r="F830" s="25" t="n">
        <v>45.763973236084</v>
      </c>
      <c r="G830" s="25" t="n">
        <v>0.201228976249695</v>
      </c>
      <c r="H830" s="25" t="n">
        <v>1.14139723777771</v>
      </c>
      <c r="I830" s="25" t="n">
        <v>45.330078125</v>
      </c>
      <c r="J830" s="25" t="n">
        <v>0.0173337631225586</v>
      </c>
      <c r="K830" s="25" t="n">
        <v>0.0923945693969727</v>
      </c>
      <c r="L830" s="25" t="n">
        <v>0.0530195350646973</v>
      </c>
      <c r="M830" s="25" t="n">
        <v>0</v>
      </c>
      <c r="N830" s="25" t="n">
        <v>2.80808544158936</v>
      </c>
      <c r="O830" s="25" t="n">
        <v>129.460540771484</v>
      </c>
      <c r="P830" s="25" t="n">
        <v>9.0349292755127</v>
      </c>
      <c r="Q830" s="25" t="n">
        <v>11.29456615448</v>
      </c>
      <c r="R830" s="25" t="n">
        <v>5.13855123519898</v>
      </c>
      <c r="S830" s="25" t="n">
        <v>0.325614511966705</v>
      </c>
      <c r="T830" s="25" t="n">
        <v>0.0996119007468224</v>
      </c>
      <c r="U830" s="25" t="n">
        <v>0.09072445333004</v>
      </c>
      <c r="V830" s="25" t="n">
        <v>0.268693387508392</v>
      </c>
      <c r="W830" s="25" t="n">
        <v>0.152548506855965</v>
      </c>
      <c r="X830" s="25" t="n">
        <v>0</v>
      </c>
      <c r="Y830" s="25" t="n">
        <v>24.4008407592773</v>
      </c>
      <c r="Z830" s="25" t="n">
        <v>0.189159110188484</v>
      </c>
      <c r="AA830" s="25" t="n">
        <v>1.79948258399963</v>
      </c>
      <c r="AB830" s="25" t="n">
        <v>4.28499364852905</v>
      </c>
      <c r="AC830" s="25" t="n">
        <v>0.0164553690701723</v>
      </c>
      <c r="AD830" s="25" t="n">
        <v>0.015873221680522</v>
      </c>
      <c r="AE830" s="25" t="n">
        <v>0.175679177045822</v>
      </c>
      <c r="AF830" s="25" t="n">
        <v>0.100776195526123</v>
      </c>
      <c r="AG830" s="25" t="n">
        <v>0.0426002591848373</v>
      </c>
      <c r="AH830" s="25" t="n">
        <v>0.897930145263672</v>
      </c>
      <c r="AI830" s="25" t="n">
        <v>4.31545925140381</v>
      </c>
      <c r="AJ830" s="6" t="n">
        <v>386.5</v>
      </c>
      <c r="AK830" s="6" t="n">
        <v>685.6</v>
      </c>
      <c r="AL830" s="26"/>
    </row>
    <row r="831" customFormat="false" ht="15" hidden="false" customHeight="false" outlineLevel="0" collapsed="false">
      <c r="A831" s="6" t="s">
        <v>4441</v>
      </c>
      <c r="B831" s="6" t="s">
        <v>4442</v>
      </c>
      <c r="C831" s="6" t="s">
        <v>4440</v>
      </c>
      <c r="D831" s="13" t="n">
        <v>101.239036560059</v>
      </c>
      <c r="E831" s="25" t="n">
        <v>0.251085549592972</v>
      </c>
      <c r="F831" s="25" t="n">
        <v>25.6657848358154</v>
      </c>
      <c r="G831" s="25" t="n">
        <v>0.186427026987076</v>
      </c>
      <c r="H831" s="25" t="n">
        <v>3.05752229690552</v>
      </c>
      <c r="I831" s="25" t="n">
        <v>25.1880474090576</v>
      </c>
      <c r="J831" s="25" t="n">
        <v>0.0529060935974121</v>
      </c>
      <c r="K831" s="25" t="n">
        <v>0.0165570278167725</v>
      </c>
      <c r="L831" s="25" t="n">
        <v>0.0700091094970703</v>
      </c>
      <c r="M831" s="25" t="n">
        <v>0</v>
      </c>
      <c r="N831" s="25" t="n">
        <v>2.09938168525696</v>
      </c>
      <c r="O831" s="25" t="n">
        <v>74.2722244262695</v>
      </c>
      <c r="P831" s="25" t="n">
        <v>6.57066869735718</v>
      </c>
      <c r="Q831" s="25" t="n">
        <v>4.89947748184204</v>
      </c>
      <c r="R831" s="25" t="n">
        <v>5.64181184768677</v>
      </c>
      <c r="S831" s="25" t="n">
        <v>0.232671946287155</v>
      </c>
      <c r="T831" s="25" t="n">
        <v>0.0680230036377907</v>
      </c>
      <c r="U831" s="25" t="n">
        <v>0.0776036381721497</v>
      </c>
      <c r="V831" s="25" t="n">
        <v>0.0107836090028286</v>
      </c>
      <c r="W831" s="25" t="n">
        <v>0.0545986071228981</v>
      </c>
      <c r="X831" s="25" t="n">
        <v>0</v>
      </c>
      <c r="Y831" s="25" t="n">
        <v>63.0362815856934</v>
      </c>
      <c r="Z831" s="25" t="n">
        <v>0.204744786024094</v>
      </c>
      <c r="AA831" s="25" t="n">
        <v>8.57880687713623</v>
      </c>
      <c r="AB831" s="25" t="n">
        <v>2.62566018104553</v>
      </c>
      <c r="AC831" s="25" t="n">
        <v>0.0139731606468558</v>
      </c>
      <c r="AD831" s="25" t="n">
        <v>0.0137574886903167</v>
      </c>
      <c r="AE831" s="25" t="n">
        <v>0.0898011028766632</v>
      </c>
      <c r="AF831" s="25" t="n">
        <v>0.035418163985014</v>
      </c>
      <c r="AG831" s="25" t="n">
        <v>0.061962615698576</v>
      </c>
      <c r="AH831" s="25" t="n">
        <v>0.962300479412079</v>
      </c>
      <c r="AI831" s="25" t="n">
        <v>3.67899370193481</v>
      </c>
      <c r="AJ831" s="6" t="n">
        <v>596.1</v>
      </c>
      <c r="AK831" s="6" t="n">
        <v>603.5</v>
      </c>
      <c r="AL831" s="26"/>
    </row>
    <row r="832" customFormat="false" ht="15" hidden="false" customHeight="false" outlineLevel="0" collapsed="false">
      <c r="A832" s="6" t="s">
        <v>4443</v>
      </c>
      <c r="B832" s="6" t="s">
        <v>4444</v>
      </c>
      <c r="C832" s="6" t="s">
        <v>4445</v>
      </c>
      <c r="D832" s="13" t="n">
        <v>128.926467895508</v>
      </c>
      <c r="E832" s="25" t="n">
        <v>0.241846159100533</v>
      </c>
      <c r="F832" s="25" t="n">
        <v>33.6212310791016</v>
      </c>
      <c r="G832" s="25" t="n">
        <v>0.117230772972107</v>
      </c>
      <c r="H832" s="25" t="n">
        <v>0.778153836727142</v>
      </c>
      <c r="I832" s="25" t="n">
        <v>33.4661521911621</v>
      </c>
      <c r="J832" s="25" t="n">
        <v>0.0103670768737793</v>
      </c>
      <c r="K832" s="25" t="n">
        <v>0.00931015396118164</v>
      </c>
      <c r="L832" s="25" t="n">
        <v>0.0575076904296875</v>
      </c>
      <c r="M832" s="25" t="n">
        <v>0</v>
      </c>
      <c r="N832" s="25" t="n">
        <v>2.06276917457581</v>
      </c>
      <c r="O832" s="25" t="n">
        <v>49.7230796813965</v>
      </c>
      <c r="P832" s="25" t="n">
        <v>5.23784637451172</v>
      </c>
      <c r="Q832" s="25" t="n">
        <v>4.00092315673828</v>
      </c>
      <c r="R832" s="25" t="n">
        <v>4.08523082733154</v>
      </c>
      <c r="S832" s="25" t="n">
        <v>0.200000002980232</v>
      </c>
      <c r="T832" s="25" t="n">
        <v>0.101846158504486</v>
      </c>
      <c r="U832" s="25" t="n">
        <v>0.0563076920807362</v>
      </c>
      <c r="V832" s="25" t="n">
        <v>0.201230779290199</v>
      </c>
      <c r="W832" s="25" t="n">
        <v>0.0166153851896524</v>
      </c>
      <c r="X832" s="25" t="n">
        <v>0</v>
      </c>
      <c r="Y832" s="25" t="n">
        <v>42.2769241333008</v>
      </c>
      <c r="Z832" s="25" t="n">
        <v>0.110769234597683</v>
      </c>
      <c r="AA832" s="25" t="n">
        <v>0.553846120834351</v>
      </c>
      <c r="AB832" s="25" t="n">
        <v>10.8599996566773</v>
      </c>
      <c r="AC832" s="25" t="n">
        <v>0.0235384609550238</v>
      </c>
      <c r="AD832" s="25" t="n">
        <v>0.00599999958649278</v>
      </c>
      <c r="AE832" s="25" t="n">
        <v>0.0987692326307297</v>
      </c>
      <c r="AF832" s="25" t="n">
        <v>0.0775384604930878</v>
      </c>
      <c r="AG832" s="25" t="n">
        <v>0.0189230777323246</v>
      </c>
      <c r="AH832" s="25" t="n">
        <v>0.0359999984502792</v>
      </c>
      <c r="AI832" s="25" t="n">
        <v>2.65753841400147</v>
      </c>
      <c r="AJ832" s="6" t="n">
        <v>162.5</v>
      </c>
      <c r="AK832" s="6" t="n">
        <v>209.5</v>
      </c>
      <c r="AL832" s="26"/>
    </row>
    <row r="833" customFormat="false" ht="15" hidden="false" customHeight="false" outlineLevel="0" collapsed="false">
      <c r="A833" s="6" t="s">
        <v>4446</v>
      </c>
      <c r="B833" s="6" t="s">
        <v>4447</v>
      </c>
      <c r="C833" s="6" t="s">
        <v>4445</v>
      </c>
      <c r="D833" s="13" t="n">
        <v>278.5849609375</v>
      </c>
      <c r="E833" s="25" t="n">
        <v>1.54632425308228</v>
      </c>
      <c r="F833" s="25" t="n">
        <v>7.61227655410767</v>
      </c>
      <c r="G833" s="25" t="n">
        <v>27.6093349456787</v>
      </c>
      <c r="H833" s="25" t="n">
        <v>3.6985285282135</v>
      </c>
      <c r="I833" s="25" t="n">
        <v>0.357848972082138</v>
      </c>
      <c r="J833" s="25" t="n">
        <v>3.11862084960938</v>
      </c>
      <c r="K833" s="25" t="n">
        <v>16.0171298828125</v>
      </c>
      <c r="L833" s="25" t="n">
        <v>6.00961328125</v>
      </c>
      <c r="M833" s="25" t="n">
        <v>0</v>
      </c>
      <c r="N833" s="25" t="n">
        <v>86.3801879882813</v>
      </c>
      <c r="O833" s="25" t="n">
        <v>199.180145263672</v>
      </c>
      <c r="P833" s="25" t="n">
        <v>31.1732406616211</v>
      </c>
      <c r="Q833" s="25" t="n">
        <v>47.4837493896484</v>
      </c>
      <c r="R833" s="25" t="n">
        <v>22.9953327178955</v>
      </c>
      <c r="S833" s="25" t="n">
        <v>1.03592479228973</v>
      </c>
      <c r="T833" s="25" t="n">
        <v>0.268217504024506</v>
      </c>
      <c r="U833" s="25" t="n">
        <v>0.0854222178459168</v>
      </c>
      <c r="V833" s="25" t="n">
        <v>2.82052659988403</v>
      </c>
      <c r="W833" s="25" t="n">
        <v>0.675820767879486</v>
      </c>
      <c r="X833" s="25" t="n">
        <v>0</v>
      </c>
      <c r="Y833" s="25" t="n">
        <v>136.863418579102</v>
      </c>
      <c r="Z833" s="25" t="n">
        <v>0.306208223104477</v>
      </c>
      <c r="AA833" s="25" t="n">
        <v>4.25009679794312</v>
      </c>
      <c r="AB833" s="25" t="n">
        <v>20.8369655609131</v>
      </c>
      <c r="AC833" s="25" t="n">
        <v>0.0517086163163185</v>
      </c>
      <c r="AD833" s="25" t="n">
        <v>0.0380774848163128</v>
      </c>
      <c r="AE833" s="25" t="n">
        <v>0.39191135764122</v>
      </c>
      <c r="AF833" s="25" t="n">
        <v>0.208982899785042</v>
      </c>
      <c r="AG833" s="25" t="n">
        <v>0.0890155509114265</v>
      </c>
      <c r="AH833" s="25" t="n">
        <v>0.207269996404648</v>
      </c>
      <c r="AI833" s="25" t="n">
        <v>8.95966815948486</v>
      </c>
      <c r="AJ833" s="6" t="n">
        <v>23.3</v>
      </c>
      <c r="AK833" s="6" t="n">
        <v>64.9</v>
      </c>
      <c r="AL833" s="26"/>
    </row>
    <row r="834" customFormat="false" ht="15" hidden="false" customHeight="false" outlineLevel="0" collapsed="false">
      <c r="A834" s="6" t="s">
        <v>4448</v>
      </c>
      <c r="B834" s="6" t="s">
        <v>4449</v>
      </c>
      <c r="C834" s="6" t="s">
        <v>4445</v>
      </c>
      <c r="D834" s="13" t="n">
        <v>102.690742492676</v>
      </c>
      <c r="E834" s="25" t="n">
        <v>1.44293928146362</v>
      </c>
      <c r="F834" s="25" t="n">
        <v>20.0705947875977</v>
      </c>
      <c r="G834" s="25" t="n">
        <v>1.59966683387756</v>
      </c>
      <c r="H834" s="25" t="n">
        <v>8.58124732971191</v>
      </c>
      <c r="I834" s="25" t="n">
        <v>2.5317747592926</v>
      </c>
      <c r="J834" s="25" t="n">
        <v>0.166494277954102</v>
      </c>
      <c r="K834" s="25" t="n">
        <v>0.835797302246094</v>
      </c>
      <c r="L834" s="25" t="n">
        <v>0.103125328063965</v>
      </c>
      <c r="M834" s="25" t="n">
        <v>0</v>
      </c>
      <c r="N834" s="25" t="n">
        <v>181.831481933594</v>
      </c>
      <c r="O834" s="25" t="n">
        <v>1026.99108886719</v>
      </c>
      <c r="P834" s="25" t="n">
        <v>137.730697631836</v>
      </c>
      <c r="Q834" s="25" t="n">
        <v>44.538143157959</v>
      </c>
      <c r="R834" s="25" t="n">
        <v>57.6797218322754</v>
      </c>
      <c r="S834" s="25" t="n">
        <v>20.57253074646</v>
      </c>
      <c r="T834" s="25" t="n">
        <v>0.00651854882016778</v>
      </c>
      <c r="U834" s="25" t="n">
        <v>0.417485237121582</v>
      </c>
      <c r="V834" s="25" t="n">
        <v>0</v>
      </c>
      <c r="W834" s="25" t="n">
        <v>0.00632060598582029</v>
      </c>
      <c r="X834" s="25" t="n">
        <v>0</v>
      </c>
      <c r="Y834" s="25" t="n">
        <v>30.4066295623779</v>
      </c>
      <c r="Z834" s="25" t="n">
        <v>0.0644354075193405</v>
      </c>
      <c r="AA834" s="25" t="n">
        <v>1.09072244167328</v>
      </c>
      <c r="AB834" s="25" t="n">
        <v>3.14032626152039</v>
      </c>
      <c r="AC834" s="25" t="n">
        <v>0.279964745044708</v>
      </c>
      <c r="AD834" s="25" t="n">
        <v>0.412603944540024</v>
      </c>
      <c r="AE834" s="25" t="n">
        <v>0.664081871509552</v>
      </c>
      <c r="AF834" s="25" t="n">
        <v>0.00496619055047631</v>
      </c>
      <c r="AG834" s="25" t="n">
        <v>0.00632060598582029</v>
      </c>
      <c r="AH834" s="25" t="n">
        <v>0.0142213637009263</v>
      </c>
      <c r="AI834" s="25" t="n">
        <v>0.485332250595093</v>
      </c>
      <c r="AJ834" s="6" t="n">
        <v>393.4</v>
      </c>
      <c r="AK834" s="6" t="n">
        <v>404</v>
      </c>
      <c r="AL834" s="26"/>
    </row>
    <row r="835" customFormat="false" ht="15" hidden="false" customHeight="false" outlineLevel="0" collapsed="false">
      <c r="A835" s="6" t="s">
        <v>4450</v>
      </c>
      <c r="B835" s="6" t="s">
        <v>4451</v>
      </c>
      <c r="C835" s="6" t="s">
        <v>3732</v>
      </c>
      <c r="D835" s="13" t="n">
        <v>182.287063598633</v>
      </c>
      <c r="E835" s="25" t="n">
        <v>1.67721390724182</v>
      </c>
      <c r="F835" s="25" t="n">
        <v>34.6609497070313</v>
      </c>
      <c r="G835" s="25" t="n">
        <v>4.20540046691895</v>
      </c>
      <c r="H835" s="25" t="n">
        <v>5.20365428924561</v>
      </c>
      <c r="I835" s="25" t="n">
        <v>30.4738121032715</v>
      </c>
      <c r="J835" s="25" t="n">
        <v>0.552489013671875</v>
      </c>
      <c r="K835" s="25" t="n">
        <v>0.84814794921875</v>
      </c>
      <c r="L835" s="25" t="n">
        <v>2.60500122070313</v>
      </c>
      <c r="M835" s="25" t="n">
        <v>0</v>
      </c>
      <c r="N835" s="25" t="n">
        <v>138.861618041992</v>
      </c>
      <c r="O835" s="25" t="n">
        <v>434.888275146484</v>
      </c>
      <c r="P835" s="25" t="n">
        <v>41.4945983886719</v>
      </c>
      <c r="Q835" s="25" t="n">
        <v>44.6866416931152</v>
      </c>
      <c r="R835" s="25" t="n">
        <v>39.254020690918</v>
      </c>
      <c r="S835" s="25" t="n">
        <v>1.95982813835144</v>
      </c>
      <c r="T835" s="25" t="n">
        <v>0.455992758274078</v>
      </c>
      <c r="U835" s="25" t="n">
        <v>0.194667562842369</v>
      </c>
      <c r="V835" s="25" t="n">
        <v>0.362152874469757</v>
      </c>
      <c r="W835" s="25" t="n">
        <v>0.519547700881958</v>
      </c>
      <c r="X835" s="25" t="n">
        <v>0</v>
      </c>
      <c r="Y835" s="25" t="n">
        <v>2034.99365234375</v>
      </c>
      <c r="Z835" s="25" t="n">
        <v>1.8263680934906</v>
      </c>
      <c r="AA835" s="25" t="n">
        <v>5.1467661857605</v>
      </c>
      <c r="AB835" s="25" t="n">
        <v>2.50565361976624</v>
      </c>
      <c r="AC835" s="25" t="n">
        <v>0.0259791947901249</v>
      </c>
      <c r="AD835" s="25" t="n">
        <v>0.0442152880132198</v>
      </c>
      <c r="AE835" s="25" t="n">
        <v>0.978416979312897</v>
      </c>
      <c r="AF835" s="25" t="n">
        <v>0.29753053188324</v>
      </c>
      <c r="AG835" s="25" t="n">
        <v>0.141076430678368</v>
      </c>
      <c r="AH835" s="25" t="n">
        <v>0.462306648492813</v>
      </c>
      <c r="AI835" s="25" t="n">
        <v>11.4146718978882</v>
      </c>
      <c r="AJ835" s="6" t="n">
        <v>138.2</v>
      </c>
      <c r="AK835" s="6" t="n">
        <v>251.9</v>
      </c>
      <c r="AL835" s="26"/>
    </row>
    <row r="836" customFormat="false" ht="15" hidden="false" customHeight="false" outlineLevel="0" collapsed="false">
      <c r="A836" s="6" t="s">
        <v>4452</v>
      </c>
      <c r="B836" s="6" t="s">
        <v>4453</v>
      </c>
      <c r="C836" s="6" t="s">
        <v>4445</v>
      </c>
      <c r="D836" s="13" t="n">
        <v>413.617950439453</v>
      </c>
      <c r="E836" s="25" t="n">
        <v>3.72205018997192</v>
      </c>
      <c r="F836" s="25" t="n">
        <v>9.75361824035645</v>
      </c>
      <c r="G836" s="25" t="n">
        <v>39.8840827941895</v>
      </c>
      <c r="H836" s="25" t="n">
        <v>5.12552928924561</v>
      </c>
      <c r="I836" s="25" t="n">
        <v>2.32311320304871</v>
      </c>
      <c r="J836" s="25" t="n">
        <v>5.80394677734375</v>
      </c>
      <c r="K836" s="25" t="n">
        <v>14.997322265625</v>
      </c>
      <c r="L836" s="25" t="n">
        <v>17.239783203125</v>
      </c>
      <c r="M836" s="25" t="n">
        <v>0</v>
      </c>
      <c r="N836" s="25" t="n">
        <v>269.123260498047</v>
      </c>
      <c r="O836" s="25" t="n">
        <v>311.082763671875</v>
      </c>
      <c r="P836" s="25" t="n">
        <v>54.6612243652344</v>
      </c>
      <c r="Q836" s="25" t="n">
        <v>69.934928894043</v>
      </c>
      <c r="R836" s="25" t="n">
        <v>33.5543632507324</v>
      </c>
      <c r="S836" s="25" t="n">
        <v>1.81941020488739</v>
      </c>
      <c r="T836" s="25" t="n">
        <v>0.619270384311676</v>
      </c>
      <c r="U836" s="25" t="n">
        <v>0.140676841139793</v>
      </c>
      <c r="V836" s="25" t="n">
        <v>0.591761529445648</v>
      </c>
      <c r="W836" s="25" t="n">
        <v>0.350596636533737</v>
      </c>
      <c r="X836" s="25" t="n">
        <v>0</v>
      </c>
      <c r="Y836" s="25" t="n">
        <v>392.45361328125</v>
      </c>
      <c r="Z836" s="25" t="n">
        <v>0.094464011490345</v>
      </c>
      <c r="AA836" s="25" t="n">
        <v>6.6191611289978</v>
      </c>
      <c r="AB836" s="25" t="n">
        <v>14.3361034393311</v>
      </c>
      <c r="AC836" s="25" t="n">
        <v>0.102112680673599</v>
      </c>
      <c r="AD836" s="25" t="n">
        <v>0.132231995463371</v>
      </c>
      <c r="AE836" s="25" t="n">
        <v>0.486799687147141</v>
      </c>
      <c r="AF836" s="25" t="n">
        <v>0.557124435901642</v>
      </c>
      <c r="AG836" s="25" t="n">
        <v>0.323348969221115</v>
      </c>
      <c r="AH836" s="25" t="n">
        <v>1.30329036712647</v>
      </c>
      <c r="AI836" s="25" t="n">
        <v>31.2609729766846</v>
      </c>
      <c r="AJ836" s="6" t="n">
        <v>51.1</v>
      </c>
      <c r="AK836" s="6" t="n">
        <v>211.4</v>
      </c>
      <c r="AL836" s="26"/>
    </row>
    <row r="837" customFormat="false" ht="15" hidden="false" customHeight="false" outlineLevel="0" collapsed="false">
      <c r="A837" s="6" t="s">
        <v>4454</v>
      </c>
      <c r="B837" s="6" t="s">
        <v>4455</v>
      </c>
      <c r="C837" s="6" t="s">
        <v>4445</v>
      </c>
      <c r="D837" s="13" t="n">
        <v>59.8316154479981</v>
      </c>
      <c r="E837" s="25" t="n">
        <v>1.57935786247253</v>
      </c>
      <c r="F837" s="25" t="n">
        <v>1.73247718811035</v>
      </c>
      <c r="G837" s="25" t="n">
        <v>5.59137630462647</v>
      </c>
      <c r="H837" s="25" t="n">
        <v>2.23844027519226</v>
      </c>
      <c r="I837" s="25" t="n">
        <v>0.285504579544067</v>
      </c>
      <c r="J837" s="25" t="n">
        <v>0.666840637207031</v>
      </c>
      <c r="K837" s="25" t="n">
        <v>3.01048217773438</v>
      </c>
      <c r="L837" s="25" t="n">
        <v>1.27442041015625</v>
      </c>
      <c r="M837" s="25" t="n">
        <v>0</v>
      </c>
      <c r="N837" s="25" t="n">
        <v>161.307891845703</v>
      </c>
      <c r="O837" s="25" t="n">
        <v>434.411010742188</v>
      </c>
      <c r="P837" s="25" t="n">
        <v>16.6204586029053</v>
      </c>
      <c r="Q837" s="25" t="n">
        <v>44.0293579101563</v>
      </c>
      <c r="R837" s="25" t="n">
        <v>11.2530279159546</v>
      </c>
      <c r="S837" s="25" t="n">
        <v>0.692293584346771</v>
      </c>
      <c r="T837" s="25" t="n">
        <v>0.441743105649948</v>
      </c>
      <c r="U837" s="25" t="n">
        <v>0.151614680886269</v>
      </c>
      <c r="V837" s="25" t="n">
        <v>2.37036681175232</v>
      </c>
      <c r="W837" s="25" t="n">
        <v>0.425688058137894</v>
      </c>
      <c r="X837" s="25" t="n">
        <v>0</v>
      </c>
      <c r="Y837" s="25" t="n">
        <v>402.628265380859</v>
      </c>
      <c r="Z837" s="25" t="n">
        <v>0.000550458731595427</v>
      </c>
      <c r="AA837" s="25" t="n">
        <v>3.39339447021484</v>
      </c>
      <c r="AB837" s="25" t="n">
        <v>14.5868797302246</v>
      </c>
      <c r="AC837" s="25" t="n">
        <v>0.0623853243887425</v>
      </c>
      <c r="AD837" s="25" t="n">
        <v>0.0778532102704048</v>
      </c>
      <c r="AE837" s="25" t="n">
        <v>0.488073378801346</v>
      </c>
      <c r="AF837" s="25" t="n">
        <v>0.235284402966499</v>
      </c>
      <c r="AG837" s="25" t="n">
        <v>0.172568798065186</v>
      </c>
      <c r="AH837" s="25" t="n">
        <v>5.4636697769165</v>
      </c>
      <c r="AI837" s="25" t="n">
        <v>16.9818344116211</v>
      </c>
      <c r="AJ837" s="6" t="n">
        <v>136.3</v>
      </c>
      <c r="AK837" s="6" t="n">
        <v>81.5</v>
      </c>
      <c r="AL837" s="26"/>
    </row>
    <row r="838" customFormat="false" ht="15" hidden="false" customHeight="false" outlineLevel="0" collapsed="false">
      <c r="A838" s="6" t="s">
        <v>4456</v>
      </c>
      <c r="B838" s="6" t="s">
        <v>4457</v>
      </c>
      <c r="C838" s="6" t="s">
        <v>4445</v>
      </c>
      <c r="D838" s="13" t="n">
        <v>144.635116577148</v>
      </c>
      <c r="E838" s="25" t="n">
        <v>0.461739152669907</v>
      </c>
      <c r="F838" s="25" t="n">
        <v>37.0096740722656</v>
      </c>
      <c r="G838" s="25" t="n">
        <v>0.204285711050034</v>
      </c>
      <c r="H838" s="25" t="n">
        <v>1.31548142433167</v>
      </c>
      <c r="I838" s="25" t="n">
        <v>36.4636650085449</v>
      </c>
      <c r="J838" s="25" t="n">
        <v>0.0190766315460205</v>
      </c>
      <c r="K838" s="25" t="n">
        <v>0.10324479675293</v>
      </c>
      <c r="L838" s="25" t="n">
        <v>0.0397082290649414</v>
      </c>
      <c r="M838" s="25" t="n">
        <v>0</v>
      </c>
      <c r="N838" s="25" t="n">
        <v>33.036491394043</v>
      </c>
      <c r="O838" s="25" t="n">
        <v>150.242233276367</v>
      </c>
      <c r="P838" s="25" t="n">
        <v>11.9881992340088</v>
      </c>
      <c r="Q838" s="25" t="n">
        <v>10.5524845123291</v>
      </c>
      <c r="R838" s="25" t="n">
        <v>5.64270210266113</v>
      </c>
      <c r="S838" s="25" t="n">
        <v>0.331537276506424</v>
      </c>
      <c r="T838" s="25" t="n">
        <v>0.0903416201472282</v>
      </c>
      <c r="U838" s="25" t="n">
        <v>0.0818788856267929</v>
      </c>
      <c r="V838" s="25" t="n">
        <v>0.360636651515961</v>
      </c>
      <c r="W838" s="25" t="n">
        <v>0.192135095596314</v>
      </c>
      <c r="X838" s="25" t="n">
        <v>0</v>
      </c>
      <c r="Y838" s="25" t="n">
        <v>27.5829963684082</v>
      </c>
      <c r="Z838" s="25" t="n">
        <v>0.0114440992474556</v>
      </c>
      <c r="AA838" s="25" t="n">
        <v>2.51576066017151</v>
      </c>
      <c r="AB838" s="25" t="n">
        <v>3.04805898666382</v>
      </c>
      <c r="AC838" s="25" t="n">
        <v>0.0115372678264976</v>
      </c>
      <c r="AD838" s="25" t="n">
        <v>0.0105124227702618</v>
      </c>
      <c r="AE838" s="25" t="n">
        <v>0.150931671261787</v>
      </c>
      <c r="AF838" s="25" t="n">
        <v>0.0767235979437828</v>
      </c>
      <c r="AG838" s="25" t="n">
        <v>0.0503571443259716</v>
      </c>
      <c r="AH838" s="25" t="n">
        <v>0.712670803070068</v>
      </c>
      <c r="AI838" s="25" t="n">
        <v>3.51996898651123</v>
      </c>
      <c r="AJ838" s="6" t="n">
        <v>241.5</v>
      </c>
      <c r="AK838" s="6" t="n">
        <v>349.3</v>
      </c>
      <c r="AL838" s="26"/>
    </row>
    <row r="839" customFormat="false" ht="15" hidden="false" customHeight="false" outlineLevel="0" collapsed="false">
      <c r="A839" s="6" t="s">
        <v>4458</v>
      </c>
      <c r="B839" s="6" t="s">
        <v>4459</v>
      </c>
      <c r="C839" s="6" t="s">
        <v>4445</v>
      </c>
      <c r="D839" s="13" t="n">
        <v>13.1212635040283</v>
      </c>
      <c r="E839" s="25" t="n">
        <v>1.50910043716431</v>
      </c>
      <c r="F839" s="25" t="n">
        <v>1.05090248584747</v>
      </c>
      <c r="G839" s="25" t="n">
        <v>0.222531214356422</v>
      </c>
      <c r="H839" s="25" t="n">
        <v>1.69507658481598</v>
      </c>
      <c r="I839" s="25" t="n">
        <v>0.0210272427648306</v>
      </c>
      <c r="J839" s="25" t="n">
        <v>0.0614140167236328</v>
      </c>
      <c r="K839" s="25" t="n">
        <v>0.0123422241210938</v>
      </c>
      <c r="L839" s="25" t="n">
        <v>0.140263626098633</v>
      </c>
      <c r="M839" s="25" t="n">
        <v>0</v>
      </c>
      <c r="N839" s="25" t="n">
        <v>242.357650756836</v>
      </c>
      <c r="O839" s="25" t="n">
        <v>173.979568481445</v>
      </c>
      <c r="P839" s="25" t="n">
        <v>81.4442367553711</v>
      </c>
      <c r="Q839" s="25" t="n">
        <v>30.729570388794</v>
      </c>
      <c r="R839" s="25" t="n">
        <v>22.6259937286377</v>
      </c>
      <c r="S839" s="25" t="n">
        <v>1.21594488620758</v>
      </c>
      <c r="T839" s="25" t="n">
        <v>0.291452884674072</v>
      </c>
      <c r="U839" s="25" t="n">
        <v>0.103374004364014</v>
      </c>
      <c r="V839" s="25" t="n">
        <v>3.43402099609375</v>
      </c>
      <c r="W839" s="25" t="n">
        <v>0.175751984119415</v>
      </c>
      <c r="X839" s="25" t="n">
        <v>0</v>
      </c>
      <c r="Y839" s="25" t="n">
        <v>2809.5732421875</v>
      </c>
      <c r="Z839" s="25" t="n">
        <v>0.243456304073334</v>
      </c>
      <c r="AA839" s="25" t="n">
        <v>81.9585723876953</v>
      </c>
      <c r="AB839" s="25" t="n">
        <v>25.6753692626953</v>
      </c>
      <c r="AC839" s="25" t="n">
        <v>0.0344438143074513</v>
      </c>
      <c r="AD839" s="25" t="n">
        <v>0.0773240625858307</v>
      </c>
      <c r="AE839" s="25" t="n">
        <v>0.252786606550217</v>
      </c>
      <c r="AF839" s="25" t="n">
        <v>0.111154943704605</v>
      </c>
      <c r="AG839" s="25" t="n">
        <v>0.0684619769454002</v>
      </c>
      <c r="AH839" s="25" t="n">
        <v>0.724392712116242</v>
      </c>
      <c r="AI839" s="25" t="n">
        <v>46.8656349182129</v>
      </c>
      <c r="AJ839" s="6" t="n">
        <v>1174.7</v>
      </c>
      <c r="AK839" s="6" t="n">
        <v>154.1</v>
      </c>
      <c r="AL839" s="26" t="s">
        <v>3053</v>
      </c>
    </row>
    <row r="840" customFormat="false" ht="15" hidden="false" customHeight="false" outlineLevel="0" collapsed="false">
      <c r="A840" s="6" t="s">
        <v>4460</v>
      </c>
      <c r="B840" s="6" t="s">
        <v>4461</v>
      </c>
      <c r="C840" s="6" t="s">
        <v>3007</v>
      </c>
      <c r="D840" s="13" t="n">
        <v>16.8647842407227</v>
      </c>
      <c r="E840" s="25" t="n">
        <v>1.64710247516632</v>
      </c>
      <c r="F840" s="25" t="n">
        <v>2.76374435424805</v>
      </c>
      <c r="G840" s="25" t="n">
        <v>0.639375925064087</v>
      </c>
      <c r="H840" s="25" t="n">
        <v>1.08588409423828</v>
      </c>
      <c r="I840" s="25" t="n">
        <v>2.98840999603272</v>
      </c>
      <c r="J840" s="25" t="n">
        <v>0.0990490341186524</v>
      </c>
      <c r="K840" s="25" t="n">
        <v>0.100163444519043</v>
      </c>
      <c r="L840" s="25" t="n">
        <v>0.346523040771484</v>
      </c>
      <c r="M840" s="25" t="n">
        <v>0</v>
      </c>
      <c r="N840" s="25" t="n">
        <v>249.479934692383</v>
      </c>
      <c r="O840" s="25" t="n">
        <v>214.900451660156</v>
      </c>
      <c r="P840" s="25" t="n">
        <v>31.9465084075928</v>
      </c>
      <c r="Q840" s="25" t="n">
        <v>48.7399711608887</v>
      </c>
      <c r="R840" s="25" t="n">
        <v>9.18424987792969</v>
      </c>
      <c r="S840" s="25" t="n">
        <v>1.20193159580231</v>
      </c>
      <c r="T840" s="25" t="n">
        <v>0.453937590122223</v>
      </c>
      <c r="U840" s="25" t="n">
        <v>0.0685884058475494</v>
      </c>
      <c r="V840" s="25" t="n">
        <v>0.965824663639069</v>
      </c>
      <c r="W840" s="25" t="n">
        <v>0.127340272068977</v>
      </c>
      <c r="X840" s="25" t="n">
        <v>0</v>
      </c>
      <c r="Y840" s="25" t="n">
        <v>556.0029296875</v>
      </c>
      <c r="Z840" s="25" t="n">
        <v>0.230312034487724</v>
      </c>
      <c r="AA840" s="25" t="n">
        <v>3.29821705818176</v>
      </c>
      <c r="AB840" s="25" t="n">
        <v>17.2674598693848</v>
      </c>
      <c r="AC840" s="25" t="n">
        <v>0.0442050509154797</v>
      </c>
      <c r="AD840" s="25" t="n">
        <v>0.0761367008090019</v>
      </c>
      <c r="AE840" s="25" t="n">
        <v>0.830014884471893</v>
      </c>
      <c r="AF840" s="25" t="n">
        <v>0.136240720748901</v>
      </c>
      <c r="AG840" s="25" t="n">
        <v>0.225260034203529</v>
      </c>
      <c r="AH840" s="25" t="n">
        <v>0.668647825717926</v>
      </c>
      <c r="AI840" s="25" t="n">
        <v>15.0638933181763</v>
      </c>
      <c r="AJ840" s="6" t="n">
        <v>112.2</v>
      </c>
      <c r="AK840" s="6" t="n">
        <v>18.9</v>
      </c>
      <c r="AL840" s="26" t="s">
        <v>3053</v>
      </c>
    </row>
    <row r="841" customFormat="false" ht="15" hidden="false" customHeight="false" outlineLevel="0" collapsed="false">
      <c r="A841" s="6" t="s">
        <v>4462</v>
      </c>
      <c r="B841" s="6" t="s">
        <v>4463</v>
      </c>
      <c r="C841" s="6" t="s">
        <v>4445</v>
      </c>
      <c r="D841" s="13" t="n">
        <v>193.261108398438</v>
      </c>
      <c r="E841" s="25" t="n">
        <v>1.23490560054779</v>
      </c>
      <c r="F841" s="25" t="n">
        <v>2.86610054969788</v>
      </c>
      <c r="G841" s="25" t="n">
        <v>19.6726093292236</v>
      </c>
      <c r="H841" s="25" t="n">
        <v>1.73704409599304</v>
      </c>
      <c r="I841" s="25" t="n">
        <v>0.765440285205841</v>
      </c>
      <c r="J841" s="25" t="n">
        <v>2.3482060546875</v>
      </c>
      <c r="K841" s="25" t="n">
        <v>4.1830927734375</v>
      </c>
      <c r="L841" s="25" t="n">
        <v>12.1976416015625</v>
      </c>
      <c r="M841" s="25" t="n">
        <v>0</v>
      </c>
      <c r="N841" s="25" t="n">
        <v>159.175445556641</v>
      </c>
      <c r="O841" s="25" t="n">
        <v>205.625793457031</v>
      </c>
      <c r="P841" s="25" t="n">
        <v>14.221697807312</v>
      </c>
      <c r="Q841" s="25" t="n">
        <v>29.4402523040772</v>
      </c>
      <c r="R841" s="25" t="n">
        <v>16.0078620910645</v>
      </c>
      <c r="S841" s="25" t="n">
        <v>0.773396193981171</v>
      </c>
      <c r="T841" s="25" t="n">
        <v>0.212138369679451</v>
      </c>
      <c r="U841" s="25" t="n">
        <v>0.0656603798270226</v>
      </c>
      <c r="V841" s="25" t="n">
        <v>7.40500020980835</v>
      </c>
      <c r="W841" s="25" t="n">
        <v>0.18367925286293</v>
      </c>
      <c r="X841" s="25" t="n">
        <v>0</v>
      </c>
      <c r="Y841" s="25" t="n">
        <v>550.965393066406</v>
      </c>
      <c r="Z841" s="25" t="n">
        <v>9.62081718444824</v>
      </c>
      <c r="AA841" s="25" t="n">
        <v>14.6540880203247</v>
      </c>
      <c r="AB841" s="25" t="n">
        <v>12.9072332382202</v>
      </c>
      <c r="AC841" s="25" t="n">
        <v>0.0715723261237145</v>
      </c>
      <c r="AD841" s="25" t="n">
        <v>0.049402516335249</v>
      </c>
      <c r="AE841" s="25" t="n">
        <v>0.48726412653923</v>
      </c>
      <c r="AF841" s="25" t="n">
        <v>0.247893080115318</v>
      </c>
      <c r="AG841" s="25" t="n">
        <v>0.0716666653752327</v>
      </c>
      <c r="AH841" s="25" t="n">
        <v>3.7470440864563</v>
      </c>
      <c r="AI841" s="25" t="n">
        <v>11.2480506896973</v>
      </c>
      <c r="AJ841" s="6" t="n">
        <v>63.6</v>
      </c>
      <c r="AK841" s="6" t="n">
        <v>122.9</v>
      </c>
      <c r="AL841" s="26"/>
    </row>
    <row r="842" customFormat="false" ht="15" hidden="false" customHeight="false" outlineLevel="0" collapsed="false">
      <c r="A842" s="6" t="s">
        <v>4464</v>
      </c>
      <c r="B842" s="6" t="s">
        <v>4465</v>
      </c>
      <c r="C842" s="6" t="s">
        <v>4445</v>
      </c>
      <c r="D842" s="13" t="n">
        <v>13.6936683654785</v>
      </c>
      <c r="E842" s="25" t="n">
        <v>0.390840291976929</v>
      </c>
      <c r="F842" s="25" t="n">
        <v>2.56100130081177</v>
      </c>
      <c r="G842" s="25" t="n">
        <v>0.136494234204292</v>
      </c>
      <c r="H842" s="25" t="n">
        <v>0.609492361545563</v>
      </c>
      <c r="I842" s="25" t="n">
        <v>2.08041501045227</v>
      </c>
      <c r="J842" s="25" t="n">
        <v>0.0182883377075195</v>
      </c>
      <c r="K842" s="25" t="n">
        <v>0.0637398147583008</v>
      </c>
      <c r="L842" s="25" t="n">
        <v>0.0435096168518066</v>
      </c>
      <c r="M842" s="25" t="n">
        <v>0</v>
      </c>
      <c r="N842" s="25" t="n">
        <v>121.387237548828</v>
      </c>
      <c r="O842" s="25" t="n">
        <v>58.1656455993652</v>
      </c>
      <c r="P842" s="25" t="n">
        <v>15.9567079544067</v>
      </c>
      <c r="Q842" s="25" t="n">
        <v>9.56353950500488</v>
      </c>
      <c r="R842" s="25" t="n">
        <v>6.13459968566895</v>
      </c>
      <c r="S842" s="25" t="n">
        <v>0.186127841472626</v>
      </c>
      <c r="T842" s="25" t="n">
        <v>0.0648821294307709</v>
      </c>
      <c r="U842" s="25" t="n">
        <v>0.0148585066199303</v>
      </c>
      <c r="V842" s="25" t="n">
        <v>0.370375543832779</v>
      </c>
      <c r="W842" s="25" t="n">
        <v>0.116926193237305</v>
      </c>
      <c r="X842" s="25" t="n">
        <v>0</v>
      </c>
      <c r="Y842" s="25" t="n">
        <v>72.5124130249023</v>
      </c>
      <c r="Z842" s="25" t="n">
        <v>0.0123005351051688</v>
      </c>
      <c r="AA842" s="25" t="n">
        <v>22.0198135375977</v>
      </c>
      <c r="AB842" s="25" t="n">
        <v>6.41276597976685</v>
      </c>
      <c r="AC842" s="25" t="n">
        <v>0.00834160950034857</v>
      </c>
      <c r="AD842" s="25" t="n">
        <v>0.012370920740068</v>
      </c>
      <c r="AE842" s="25" t="n">
        <v>0.0978643372654915</v>
      </c>
      <c r="AF842" s="25" t="n">
        <v>0.047893263399601</v>
      </c>
      <c r="AG842" s="25" t="n">
        <v>0.0273779090493918</v>
      </c>
      <c r="AH842" s="25" t="n">
        <v>0.275222957134247</v>
      </c>
      <c r="AI842" s="25" t="n">
        <v>9.08542919158936</v>
      </c>
      <c r="AJ842" s="6" t="n">
        <v>259.3</v>
      </c>
      <c r="AK842" s="6" t="n">
        <v>35.5</v>
      </c>
      <c r="AL842" s="26"/>
    </row>
    <row r="843" customFormat="false" ht="15" hidden="false" customHeight="false" outlineLevel="0" collapsed="false">
      <c r="A843" s="6" t="s">
        <v>4466</v>
      </c>
      <c r="B843" s="6" t="s">
        <v>4467</v>
      </c>
      <c r="C843" s="6" t="s">
        <v>4445</v>
      </c>
      <c r="D843" s="13" t="n">
        <v>517.256164550781</v>
      </c>
      <c r="E843" s="25" t="n">
        <v>3.02285289764404</v>
      </c>
      <c r="F843" s="25" t="n">
        <v>11.5336236953735</v>
      </c>
      <c r="G843" s="25" t="n">
        <v>51.710075378418</v>
      </c>
      <c r="H843" s="25" t="n">
        <v>6.34919023513794</v>
      </c>
      <c r="I843" s="25" t="n">
        <v>8.97931098937988</v>
      </c>
      <c r="J843" s="25" t="n">
        <v>41.53817578125</v>
      </c>
      <c r="K843" s="25" t="n">
        <v>3.46947973632813</v>
      </c>
      <c r="L843" s="25" t="n">
        <v>1.32233972167969</v>
      </c>
      <c r="M843" s="25" t="n">
        <v>0</v>
      </c>
      <c r="N843" s="25" t="n">
        <v>176.542541503906</v>
      </c>
      <c r="O843" s="25" t="n">
        <v>342.270721435547</v>
      </c>
      <c r="P843" s="25" t="n">
        <v>44.7834053039551</v>
      </c>
      <c r="Q843" s="25" t="n">
        <v>64.5979461669922</v>
      </c>
      <c r="R843" s="25" t="n">
        <v>32.2109222412109</v>
      </c>
      <c r="S843" s="25" t="n">
        <v>2.61538672447205</v>
      </c>
      <c r="T843" s="25" t="n">
        <v>0.548153221607208</v>
      </c>
      <c r="U843" s="25" t="n">
        <v>0.239089474081993</v>
      </c>
      <c r="V843" s="25" t="n">
        <v>1.75356638431549</v>
      </c>
      <c r="W843" s="25" t="n">
        <v>0.508878111839294</v>
      </c>
      <c r="X843" s="25" t="n">
        <v>0</v>
      </c>
      <c r="Y843" s="25" t="n">
        <v>1245.30261230469</v>
      </c>
      <c r="Z843" s="25" t="n">
        <v>1.11119341850281</v>
      </c>
      <c r="AA843" s="25" t="n">
        <v>17.17333984375</v>
      </c>
      <c r="AB843" s="25" t="n">
        <v>6.10324287414551</v>
      </c>
      <c r="AC843" s="25" t="n">
        <v>0.0573691353201866</v>
      </c>
      <c r="AD843" s="25" t="n">
        <v>0.0880004316568375</v>
      </c>
      <c r="AE843" s="25" t="n">
        <v>0.775480926036835</v>
      </c>
      <c r="AF843" s="25" t="n">
        <v>0.196699991822243</v>
      </c>
      <c r="AG843" s="25" t="n">
        <v>0.194527596235275</v>
      </c>
      <c r="AH843" s="25" t="n">
        <v>0.448800981044769</v>
      </c>
      <c r="AI843" s="25" t="n">
        <v>19.8540916442871</v>
      </c>
      <c r="AJ843" s="6" t="n">
        <v>28</v>
      </c>
      <c r="AK843" s="6" t="n">
        <v>144.9</v>
      </c>
      <c r="AL843" s="26"/>
    </row>
    <row r="844" customFormat="false" ht="15" hidden="false" customHeight="false" outlineLevel="0" collapsed="false">
      <c r="A844" s="6" t="s">
        <v>4468</v>
      </c>
      <c r="B844" s="6" t="s">
        <v>4469</v>
      </c>
      <c r="C844" s="6" t="s">
        <v>3007</v>
      </c>
      <c r="D844" s="13" t="n">
        <v>369.139678955078</v>
      </c>
      <c r="E844" s="25" t="n">
        <v>2.07354927062988</v>
      </c>
      <c r="F844" s="25" t="n">
        <v>7.8653826713562</v>
      </c>
      <c r="G844" s="25" t="n">
        <v>36.4563179016113</v>
      </c>
      <c r="H844" s="25" t="n">
        <v>2.21192646026611</v>
      </c>
      <c r="I844" s="25" t="n">
        <v>0.819693565368652</v>
      </c>
      <c r="J844" s="25" t="n">
        <v>5.37826806640625</v>
      </c>
      <c r="K844" s="25" t="n">
        <v>7.666103515625</v>
      </c>
      <c r="L844" s="25" t="n">
        <v>21.623947265625</v>
      </c>
      <c r="M844" s="25" t="n">
        <v>0</v>
      </c>
      <c r="N844" s="25" t="n">
        <v>213.733261108398</v>
      </c>
      <c r="O844" s="25" t="n">
        <v>311.227813720703</v>
      </c>
      <c r="P844" s="25" t="n">
        <v>48.4624557495117</v>
      </c>
      <c r="Q844" s="25" t="n">
        <v>59.2413635253906</v>
      </c>
      <c r="R844" s="25" t="n">
        <v>34.8034439086914</v>
      </c>
      <c r="S844" s="25" t="n">
        <v>1.12451374530792</v>
      </c>
      <c r="T844" s="25" t="n">
        <v>0.437932312488556</v>
      </c>
      <c r="U844" s="25" t="n">
        <v>0.143258735537529</v>
      </c>
      <c r="V844" s="25" t="n">
        <v>0.531108438968658</v>
      </c>
      <c r="W844" s="25" t="n">
        <v>0.22340527176857</v>
      </c>
      <c r="X844" s="25" t="n">
        <v>0</v>
      </c>
      <c r="Y844" s="25" t="n">
        <v>454.094848632813</v>
      </c>
      <c r="Z844" s="25" t="n">
        <v>16.2162303924561</v>
      </c>
      <c r="AA844" s="25" t="n">
        <v>9.54815864562988</v>
      </c>
      <c r="AB844" s="25" t="n">
        <v>21.6150169372559</v>
      </c>
      <c r="AC844" s="25" t="n">
        <v>0.0805675461888313</v>
      </c>
      <c r="AD844" s="25" t="n">
        <v>0.034580335021019</v>
      </c>
      <c r="AE844" s="25" t="n">
        <v>0.715366363525391</v>
      </c>
      <c r="AF844" s="25" t="n">
        <v>0.316922456026077</v>
      </c>
      <c r="AG844" s="25" t="n">
        <v>0.130266457796097</v>
      </c>
      <c r="AH844" s="25" t="n">
        <v>1.26445245742798</v>
      </c>
      <c r="AI844" s="25" t="n">
        <v>17.3913135528565</v>
      </c>
      <c r="AJ844" s="6" t="n">
        <v>46.9</v>
      </c>
      <c r="AK844" s="6" t="n">
        <v>173.2</v>
      </c>
      <c r="AL844" s="26"/>
    </row>
    <row r="845" customFormat="false" ht="15" hidden="false" customHeight="false" outlineLevel="0" collapsed="false">
      <c r="A845" s="6" t="s">
        <v>4470</v>
      </c>
      <c r="B845" s="6" t="s">
        <v>4471</v>
      </c>
      <c r="C845" s="6" t="s">
        <v>4472</v>
      </c>
      <c r="D845" s="13" t="n">
        <v>293.345977783203</v>
      </c>
      <c r="E845" s="25" t="n">
        <v>0.26815789937973</v>
      </c>
      <c r="F845" s="25" t="n">
        <v>77.317138671875</v>
      </c>
      <c r="G845" s="25" t="n">
        <v>0.0529824569821358</v>
      </c>
      <c r="H845" s="25" t="n">
        <v>0.952368378639221</v>
      </c>
      <c r="I845" s="25" t="n">
        <v>74.7306289672852</v>
      </c>
      <c r="J845" s="25" t="n">
        <v>0.0100863161087036</v>
      </c>
      <c r="K845" s="25" t="n">
        <v>0.00580394744873047</v>
      </c>
      <c r="L845" s="25" t="n">
        <v>0.0107674560546875</v>
      </c>
      <c r="M845" s="25" t="n">
        <v>0</v>
      </c>
      <c r="N845" s="25" t="n">
        <v>13.7066135406494</v>
      </c>
      <c r="O845" s="25" t="n">
        <v>56.5438613891602</v>
      </c>
      <c r="P845" s="25" t="n">
        <v>16.5491218566895</v>
      </c>
      <c r="Q845" s="25" t="n">
        <v>6.36280727386475</v>
      </c>
      <c r="R845" s="25" t="n">
        <v>7.63877201080322</v>
      </c>
      <c r="S845" s="25" t="n">
        <v>0.325192987918854</v>
      </c>
      <c r="T845" s="25" t="n">
        <v>0.10942105203867</v>
      </c>
      <c r="U845" s="25" t="n">
        <v>0.111842103302479</v>
      </c>
      <c r="V845" s="25" t="n">
        <v>0.0410877205431461</v>
      </c>
      <c r="W845" s="25" t="n">
        <v>0.299491226673126</v>
      </c>
      <c r="X845" s="25" t="n">
        <v>0</v>
      </c>
      <c r="Y845" s="25" t="n">
        <v>150.942108154297</v>
      </c>
      <c r="Z845" s="25" t="n">
        <v>0.266122817993164</v>
      </c>
      <c r="AA845" s="25" t="n">
        <v>4.1981053352356</v>
      </c>
      <c r="AB845" s="25" t="n">
        <v>26.1221046447754</v>
      </c>
      <c r="AC845" s="25" t="n">
        <v>0.00621052645146847</v>
      </c>
      <c r="AD845" s="25" t="n">
        <v>0.0060350876301527</v>
      </c>
      <c r="AE845" s="25" t="n">
        <v>0.0792280659079552</v>
      </c>
      <c r="AF845" s="25" t="n">
        <v>0.0385789461433888</v>
      </c>
      <c r="AG845" s="25" t="n">
        <v>0.0381578952074051</v>
      </c>
      <c r="AH845" s="25" t="n">
        <v>0.425491213798523</v>
      </c>
      <c r="AI845" s="25" t="n">
        <v>7.49578905105591</v>
      </c>
      <c r="AJ845" s="6" t="n">
        <v>76</v>
      </c>
      <c r="AK845" s="6" t="n">
        <v>222.9</v>
      </c>
      <c r="AL845" s="26"/>
    </row>
    <row r="846" customFormat="false" ht="15" hidden="false" customHeight="false" outlineLevel="0" collapsed="false">
      <c r="A846" s="6" t="s">
        <v>1369</v>
      </c>
      <c r="B846" s="6" t="s">
        <v>4473</v>
      </c>
      <c r="C846" s="6" t="s">
        <v>3112</v>
      </c>
      <c r="D846" s="13" t="n">
        <v>151.512954711914</v>
      </c>
      <c r="E846" s="25" t="n">
        <v>15.6630172729492</v>
      </c>
      <c r="F846" s="25" t="n">
        <v>1.94625818729401</v>
      </c>
      <c r="G846" s="25" t="n">
        <v>9.06984233856201</v>
      </c>
      <c r="H846" s="25" t="n">
        <v>0.307615280151367</v>
      </c>
      <c r="I846" s="25" t="n">
        <v>0.827852427959442</v>
      </c>
      <c r="J846" s="25" t="n">
        <v>1.24157482910156</v>
      </c>
      <c r="K846" s="25" t="n">
        <v>1.91999548339844</v>
      </c>
      <c r="L846" s="25" t="n">
        <v>1.18844885253906</v>
      </c>
      <c r="M846" s="25" t="n">
        <v>42.1409759521484</v>
      </c>
      <c r="N846" s="25" t="n">
        <v>87.015266418457</v>
      </c>
      <c r="O846" s="25" t="n">
        <v>259.036895751953</v>
      </c>
      <c r="P846" s="25" t="n">
        <v>35.1359939575195</v>
      </c>
      <c r="Q846" s="25" t="n">
        <v>151.773544311523</v>
      </c>
      <c r="R846" s="25" t="n">
        <v>28.3558368682861</v>
      </c>
      <c r="S846" s="25" t="n">
        <v>1.03924906253815</v>
      </c>
      <c r="T846" s="25" t="n">
        <v>0.785085678100586</v>
      </c>
      <c r="U846" s="25" t="n">
        <v>0.266903817653656</v>
      </c>
      <c r="V846" s="25" t="n">
        <v>12.865481376648</v>
      </c>
      <c r="W846" s="25" t="n">
        <v>0.139051377773285</v>
      </c>
      <c r="X846" s="25" t="n">
        <v>10.6324110031128</v>
      </c>
      <c r="Y846" s="25" t="n">
        <v>213.362731933594</v>
      </c>
      <c r="Z846" s="25" t="n">
        <v>0.782951235771179</v>
      </c>
      <c r="AA846" s="25" t="n">
        <v>6.32760190963745</v>
      </c>
      <c r="AB846" s="25" t="n">
        <v>1.86416339874268</v>
      </c>
      <c r="AC846" s="25" t="n">
        <v>0.0958498045802116</v>
      </c>
      <c r="AD846" s="25" t="n">
        <v>0.0710935443639755</v>
      </c>
      <c r="AE846" s="25" t="n">
        <v>5.40093517303467</v>
      </c>
      <c r="AF846" s="25" t="n">
        <v>0.861396551132202</v>
      </c>
      <c r="AG846" s="25" t="n">
        <v>0.371581047773361</v>
      </c>
      <c r="AH846" s="25" t="n">
        <v>3.15507245063782</v>
      </c>
      <c r="AI846" s="25" t="n">
        <v>10.8143739700317</v>
      </c>
      <c r="AJ846" s="6" t="n">
        <v>189.7</v>
      </c>
      <c r="AK846" s="6" t="n">
        <v>287.5</v>
      </c>
      <c r="AL846" s="26"/>
    </row>
    <row r="847" customFormat="false" ht="15" hidden="false" customHeight="false" outlineLevel="0" collapsed="false">
      <c r="A847" s="6" t="s">
        <v>4474</v>
      </c>
      <c r="B847" s="6" t="s">
        <v>4475</v>
      </c>
      <c r="C847" s="6" t="s">
        <v>3314</v>
      </c>
      <c r="D847" s="13" t="n">
        <v>563.699951171875</v>
      </c>
      <c r="E847" s="25" t="n">
        <v>5.87248849868774</v>
      </c>
      <c r="F847" s="25" t="n">
        <v>4.26643419265747</v>
      </c>
      <c r="G847" s="25" t="n">
        <v>58.1838722229004</v>
      </c>
      <c r="H847" s="25" t="n">
        <v>0.326774388551712</v>
      </c>
      <c r="I847" s="25" t="n">
        <v>0.237443313002586</v>
      </c>
      <c r="J847" s="25" t="n">
        <v>7.5759755859375</v>
      </c>
      <c r="K847" s="25" t="n">
        <v>11.9300712890625</v>
      </c>
      <c r="L847" s="25" t="n">
        <v>36.197390625</v>
      </c>
      <c r="M847" s="25" t="n">
        <v>11.7800455093384</v>
      </c>
      <c r="N847" s="25" t="n">
        <v>136.368789672852</v>
      </c>
      <c r="O847" s="25" t="n">
        <v>94.4285736083984</v>
      </c>
      <c r="P847" s="25" t="n">
        <v>9.55249977111816</v>
      </c>
      <c r="Q847" s="25" t="n">
        <v>90.118278503418</v>
      </c>
      <c r="R847" s="25" t="n">
        <v>11.8506803512573</v>
      </c>
      <c r="S847" s="25" t="n">
        <v>0.313384354114533</v>
      </c>
      <c r="T847" s="25" t="n">
        <v>0.223990932106972</v>
      </c>
      <c r="U847" s="25" t="n">
        <v>0.0322222225368023</v>
      </c>
      <c r="V847" s="25" t="n">
        <v>8.36310577392578</v>
      </c>
      <c r="W847" s="25" t="n">
        <v>0.0568197295069695</v>
      </c>
      <c r="X847" s="25" t="n">
        <v>8.59127044677734</v>
      </c>
      <c r="Y847" s="25" t="n">
        <v>130.431442260742</v>
      </c>
      <c r="Z847" s="25" t="n">
        <v>28.2645874023438</v>
      </c>
      <c r="AA847" s="25" t="n">
        <v>3.89583325386047</v>
      </c>
      <c r="AB847" s="25" t="n">
        <v>0.458571434020996</v>
      </c>
      <c r="AC847" s="25" t="n">
        <v>0.0224092975258827</v>
      </c>
      <c r="AD847" s="25" t="n">
        <v>0.0166269838809967</v>
      </c>
      <c r="AE847" s="25" t="n">
        <v>0.465221107006073</v>
      </c>
      <c r="AF847" s="25" t="n">
        <v>0.360000014305115</v>
      </c>
      <c r="AG847" s="25" t="n">
        <v>0.0536394529044628</v>
      </c>
      <c r="AH847" s="25" t="n">
        <v>0.087029479444027</v>
      </c>
      <c r="AI847" s="25" t="n">
        <v>4.36298751831055</v>
      </c>
      <c r="AJ847" s="6" t="n">
        <v>294</v>
      </c>
      <c r="AK847" s="6" t="n">
        <v>1657.3</v>
      </c>
      <c r="AL847" s="26" t="s">
        <v>3146</v>
      </c>
    </row>
    <row r="848" customFormat="false" ht="15" hidden="false" customHeight="false" outlineLevel="0" collapsed="false">
      <c r="A848" s="6" t="s">
        <v>4476</v>
      </c>
      <c r="B848" s="6" t="s">
        <v>4477</v>
      </c>
      <c r="C848" s="6" t="s">
        <v>3860</v>
      </c>
      <c r="D848" s="13" t="n">
        <v>150.236999511719</v>
      </c>
      <c r="E848" s="25" t="n">
        <v>14.0095586776733</v>
      </c>
      <c r="F848" s="25" t="n">
        <v>2.20520448684692</v>
      </c>
      <c r="G848" s="25" t="n">
        <v>9.40571784973145</v>
      </c>
      <c r="H848" s="25" t="n">
        <v>0.989042282104492</v>
      </c>
      <c r="I848" s="25" t="n">
        <v>0.834876775741577</v>
      </c>
      <c r="J848" s="25" t="n">
        <v>5.2551435546875</v>
      </c>
      <c r="K848" s="25" t="n">
        <v>2.2640244140625</v>
      </c>
      <c r="L848" s="25" t="n">
        <v>0.986023498535156</v>
      </c>
      <c r="M848" s="25" t="n">
        <v>43.2763938903809</v>
      </c>
      <c r="N848" s="25" t="n">
        <v>100.449859619141</v>
      </c>
      <c r="O848" s="25" t="n">
        <v>257.736907958984</v>
      </c>
      <c r="P848" s="25" t="n">
        <v>34.8580207824707</v>
      </c>
      <c r="Q848" s="25" t="n">
        <v>162.556045532227</v>
      </c>
      <c r="R848" s="25" t="n">
        <v>33.8843269348145</v>
      </c>
      <c r="S848" s="25" t="n">
        <v>0.832763910293579</v>
      </c>
      <c r="T848" s="25" t="n">
        <v>0.497772336006165</v>
      </c>
      <c r="U848" s="25" t="n">
        <v>0.0771982669830322</v>
      </c>
      <c r="V848" s="25" t="n">
        <v>20.9163112640381</v>
      </c>
      <c r="W848" s="25" t="n">
        <v>0.165074214339256</v>
      </c>
      <c r="X848" s="25" t="n">
        <v>74.0912933349609</v>
      </c>
      <c r="Y848" s="25" t="n">
        <v>934.222595214844</v>
      </c>
      <c r="Z848" s="25" t="n">
        <v>1.26428031921387</v>
      </c>
      <c r="AA848" s="25" t="n">
        <v>15.008864402771</v>
      </c>
      <c r="AB848" s="25" t="n">
        <v>6.22492170333862</v>
      </c>
      <c r="AC848" s="25" t="n">
        <v>0.051271352916956</v>
      </c>
      <c r="AD848" s="25" t="n">
        <v>0.0392635129392147</v>
      </c>
      <c r="AE848" s="25" t="n">
        <v>1.08507144451141</v>
      </c>
      <c r="AF848" s="25" t="n">
        <v>0.858406662940979</v>
      </c>
      <c r="AG848" s="25" t="n">
        <v>0.128473818302155</v>
      </c>
      <c r="AH848" s="25" t="n">
        <v>0.573223173618317</v>
      </c>
      <c r="AI848" s="25" t="n">
        <v>15.001148223877</v>
      </c>
      <c r="AJ848" s="6" t="n">
        <v>178.6</v>
      </c>
      <c r="AK848" s="6" t="n">
        <v>268.2</v>
      </c>
      <c r="AL848" s="26"/>
    </row>
    <row r="849" customFormat="false" ht="15" hidden="false" customHeight="false" outlineLevel="0" collapsed="false">
      <c r="A849" s="6" t="s">
        <v>1796</v>
      </c>
      <c r="B849" s="6" t="s">
        <v>4478</v>
      </c>
      <c r="C849" s="6" t="s">
        <v>3112</v>
      </c>
      <c r="D849" s="13" t="n">
        <v>142.337982177734</v>
      </c>
      <c r="E849" s="25" t="n">
        <v>9.53380966186523</v>
      </c>
      <c r="F849" s="25" t="n">
        <v>6.06274461746216</v>
      </c>
      <c r="G849" s="25" t="n">
        <v>11.9583625793457</v>
      </c>
      <c r="H849" s="25" t="n">
        <v>0.411522001028061</v>
      </c>
      <c r="I849" s="25" t="n">
        <v>0.895256340503693</v>
      </c>
      <c r="J849" s="25" t="n">
        <v>1.218859375</v>
      </c>
      <c r="K849" s="25" t="n">
        <v>1.86714599609375</v>
      </c>
      <c r="L849" s="25" t="n">
        <v>4.4728046875</v>
      </c>
      <c r="M849" s="25" t="n">
        <v>37.8758049011231</v>
      </c>
      <c r="N849" s="25" t="n">
        <v>2414.77075195313</v>
      </c>
      <c r="O849" s="25" t="n">
        <v>179.841598510742</v>
      </c>
      <c r="P849" s="25" t="n">
        <v>26.5181827545166</v>
      </c>
      <c r="Q849" s="25" t="n">
        <v>96.1295928955078</v>
      </c>
      <c r="R849" s="25" t="n">
        <v>16.5703506469727</v>
      </c>
      <c r="S849" s="25" t="n">
        <v>1.28097414970398</v>
      </c>
      <c r="T849" s="25" t="n">
        <v>0.531094312667847</v>
      </c>
      <c r="U849" s="25" t="n">
        <v>0.109240293502808</v>
      </c>
      <c r="V849" s="25" t="n">
        <v>7.51067543029785</v>
      </c>
      <c r="W849" s="25" t="n">
        <v>0.107100807130337</v>
      </c>
      <c r="X849" s="25" t="n">
        <v>13.0871801376343</v>
      </c>
      <c r="Y849" s="25" t="n">
        <v>67.0052490234375</v>
      </c>
      <c r="Z849" s="25" t="n">
        <v>3.54125809669495</v>
      </c>
      <c r="AA849" s="25" t="n">
        <v>1.00547611713409</v>
      </c>
      <c r="AB849" s="25" t="n">
        <v>2.33262896537781</v>
      </c>
      <c r="AC849" s="25" t="n">
        <v>0.042966540902853</v>
      </c>
      <c r="AD849" s="25" t="n">
        <v>0.0389340259134769</v>
      </c>
      <c r="AE849" s="25" t="n">
        <v>2.42161321640015</v>
      </c>
      <c r="AF849" s="25" t="n">
        <v>0.457542449235916</v>
      </c>
      <c r="AG849" s="25" t="n">
        <v>0.180986046791077</v>
      </c>
      <c r="AH849" s="25" t="n">
        <v>2.3299195766449</v>
      </c>
      <c r="AI849" s="25" t="n">
        <v>10.3413009643555</v>
      </c>
      <c r="AJ849" s="6" t="n">
        <v>444.7</v>
      </c>
      <c r="AK849" s="6" t="n">
        <v>633</v>
      </c>
      <c r="AL849" s="26" t="s">
        <v>3053</v>
      </c>
    </row>
    <row r="850" customFormat="false" ht="15" hidden="false" customHeight="false" outlineLevel="0" collapsed="false">
      <c r="A850" s="6" t="s">
        <v>1335</v>
      </c>
      <c r="B850" s="6" t="s">
        <v>4479</v>
      </c>
      <c r="C850" s="6" t="s">
        <v>3112</v>
      </c>
      <c r="D850" s="13" t="n">
        <v>166.019653320313</v>
      </c>
      <c r="E850" s="25" t="n">
        <v>12.3225555419922</v>
      </c>
      <c r="F850" s="25" t="n">
        <v>1.49488949775696</v>
      </c>
      <c r="G850" s="25" t="n">
        <v>12.463267326355</v>
      </c>
      <c r="H850" s="25" t="n">
        <v>0.671029627323151</v>
      </c>
      <c r="I850" s="25" t="n">
        <v>0.754393517971039</v>
      </c>
      <c r="J850" s="25" t="n">
        <v>1.4000849609375</v>
      </c>
      <c r="K850" s="25" t="n">
        <v>4.94191748046875</v>
      </c>
      <c r="L850" s="25" t="n">
        <v>1.79094409179688</v>
      </c>
      <c r="M850" s="25" t="n">
        <v>33.7142868041992</v>
      </c>
      <c r="N850" s="25" t="n">
        <v>75.6447143554688</v>
      </c>
      <c r="O850" s="25" t="n">
        <v>214.666305541992</v>
      </c>
      <c r="P850" s="25" t="n">
        <v>26.8479995727539</v>
      </c>
      <c r="Q850" s="25" t="n">
        <v>110.996871948242</v>
      </c>
      <c r="R850" s="25" t="n">
        <v>18.1468887329102</v>
      </c>
      <c r="S850" s="25" t="n">
        <v>0.929574131965637</v>
      </c>
      <c r="T850" s="25" t="n">
        <v>0.539870619773865</v>
      </c>
      <c r="U850" s="25" t="n">
        <v>0.170404314994812</v>
      </c>
      <c r="V850" s="25" t="n">
        <v>10.2341032028198</v>
      </c>
      <c r="W850" s="25" t="n">
        <v>0.234026953577995</v>
      </c>
      <c r="X850" s="25" t="n">
        <v>5.11051225662231</v>
      </c>
      <c r="Y850" s="25" t="n">
        <v>124.117477416992</v>
      </c>
      <c r="Z850" s="25" t="n">
        <v>0.184053912758827</v>
      </c>
      <c r="AA850" s="25" t="n">
        <v>1.7406576871872</v>
      </c>
      <c r="AB850" s="25" t="n">
        <v>0.635644197463989</v>
      </c>
      <c r="AC850" s="25" t="n">
        <v>0.0624366588890553</v>
      </c>
      <c r="AD850" s="25" t="n">
        <v>0.0511913746595383</v>
      </c>
      <c r="AE850" s="25" t="n">
        <v>4.424560546875</v>
      </c>
      <c r="AF850" s="25" t="n">
        <v>0.671191394329071</v>
      </c>
      <c r="AG850" s="25" t="n">
        <v>0.304797857999802</v>
      </c>
      <c r="AH850" s="25" t="n">
        <v>2.52937984466553</v>
      </c>
      <c r="AI850" s="25" t="n">
        <v>8.82337474822998</v>
      </c>
      <c r="AJ850" s="6" t="n">
        <v>231.9</v>
      </c>
      <c r="AK850" s="6" t="n">
        <v>385</v>
      </c>
      <c r="AL850" s="26"/>
    </row>
    <row r="851" customFormat="false" ht="15" hidden="false" customHeight="false" outlineLevel="0" collapsed="false">
      <c r="A851" s="6" t="s">
        <v>4480</v>
      </c>
      <c r="B851" s="6" t="s">
        <v>4481</v>
      </c>
      <c r="C851" s="6" t="s">
        <v>3112</v>
      </c>
      <c r="D851" s="13" t="n">
        <v>169.789123535156</v>
      </c>
      <c r="E851" s="25" t="n">
        <v>20.1982727050781</v>
      </c>
      <c r="F851" s="25" t="n">
        <v>0.550736546516419</v>
      </c>
      <c r="G851" s="25" t="n">
        <v>9.65532875061035</v>
      </c>
      <c r="H851" s="25" t="n">
        <v>0.159677520394325</v>
      </c>
      <c r="I851" s="25" t="n">
        <v>0.162132084369659</v>
      </c>
      <c r="J851" s="25" t="n">
        <v>1.58937524414063</v>
      </c>
      <c r="K851" s="25" t="n">
        <v>1.24812121582031</v>
      </c>
      <c r="L851" s="25" t="n">
        <v>0.404476928710938</v>
      </c>
      <c r="M851" s="25" t="n">
        <v>60.153450012207</v>
      </c>
      <c r="N851" s="25" t="n">
        <v>79.9349212646484</v>
      </c>
      <c r="O851" s="25" t="n">
        <v>282.829895019531</v>
      </c>
      <c r="P851" s="25" t="n">
        <v>17.4035091400147</v>
      </c>
      <c r="Q851" s="25" t="n">
        <v>165.744232177734</v>
      </c>
      <c r="R851" s="25" t="n">
        <v>19.9089851379395</v>
      </c>
      <c r="S851" s="25" t="n">
        <v>0.952708125114441</v>
      </c>
      <c r="T851" s="25" t="n">
        <v>0.738136351108551</v>
      </c>
      <c r="U851" s="25" t="n">
        <v>0.25470906496048</v>
      </c>
      <c r="V851" s="25" t="n">
        <v>17.1624908447266</v>
      </c>
      <c r="W851" s="25" t="n">
        <v>0.0385786145925522</v>
      </c>
      <c r="X851" s="25" t="n">
        <v>21.4670505523682</v>
      </c>
      <c r="Y851" s="25" t="n">
        <v>20.4428787231445</v>
      </c>
      <c r="Z851" s="25" t="n">
        <v>0.302158832550049</v>
      </c>
      <c r="AA851" s="25" t="n">
        <v>0.400337308645248</v>
      </c>
      <c r="AB851" s="25" t="n">
        <v>3.11973857879639</v>
      </c>
      <c r="AC851" s="25" t="n">
        <v>0.0956980437040329</v>
      </c>
      <c r="AD851" s="25" t="n">
        <v>0.0583555772900581</v>
      </c>
      <c r="AE851" s="25" t="n">
        <v>7.4537148475647</v>
      </c>
      <c r="AF851" s="25" t="n">
        <v>1.07135617733002</v>
      </c>
      <c r="AG851" s="25" t="n">
        <v>0.494172275066376</v>
      </c>
      <c r="AH851" s="25" t="n">
        <v>3.89088892936707</v>
      </c>
      <c r="AI851" s="25" t="n">
        <v>10.889552116394</v>
      </c>
      <c r="AJ851" s="6" t="n">
        <v>286.6</v>
      </c>
      <c r="AK851" s="6" t="n">
        <v>486.6</v>
      </c>
      <c r="AL851" s="26"/>
    </row>
    <row r="852" customFormat="false" ht="15" hidden="false" customHeight="false" outlineLevel="0" collapsed="false">
      <c r="A852" s="6" t="s">
        <v>4482</v>
      </c>
      <c r="B852" s="6" t="s">
        <v>4483</v>
      </c>
      <c r="C852" s="6" t="s">
        <v>3299</v>
      </c>
      <c r="D852" s="13" t="n">
        <v>160.245681762695</v>
      </c>
      <c r="E852" s="25" t="n">
        <v>16.383150100708</v>
      </c>
      <c r="F852" s="25" t="n">
        <v>0.753724992275238</v>
      </c>
      <c r="G852" s="25" t="n">
        <v>10.258563041687</v>
      </c>
      <c r="H852" s="25" t="n">
        <v>0.361874997615814</v>
      </c>
      <c r="I852" s="25" t="n">
        <v>0.228300005197525</v>
      </c>
      <c r="J852" s="25" t="n">
        <v>5.1607783203125</v>
      </c>
      <c r="K852" s="25" t="n">
        <v>3.18770239257813</v>
      </c>
      <c r="L852" s="25" t="n">
        <v>1.09308630371094</v>
      </c>
      <c r="M852" s="25" t="n">
        <v>46.1091232299805</v>
      </c>
      <c r="N852" s="25" t="n">
        <v>187.724304199219</v>
      </c>
      <c r="O852" s="25" t="n">
        <v>240.336868286133</v>
      </c>
      <c r="P852" s="25" t="n">
        <v>18.6590003967285</v>
      </c>
      <c r="Q852" s="25" t="n">
        <v>183.744537353516</v>
      </c>
      <c r="R852" s="25" t="n">
        <v>29.5666999816895</v>
      </c>
      <c r="S852" s="25" t="n">
        <v>0.401387512683868</v>
      </c>
      <c r="T852" s="25" t="n">
        <v>0.497462511062622</v>
      </c>
      <c r="U852" s="25" t="n">
        <v>0.0513850003480911</v>
      </c>
      <c r="V852" s="25" t="n">
        <v>25.0967617034912</v>
      </c>
      <c r="W852" s="25" t="n">
        <v>0.0383750014007092</v>
      </c>
      <c r="X852" s="25" t="n">
        <v>74.2622528076172</v>
      </c>
      <c r="Y852" s="25" t="n">
        <v>126.148750305176</v>
      </c>
      <c r="Z852" s="25" t="n">
        <v>1.25763118267059</v>
      </c>
      <c r="AA852" s="25" t="n">
        <v>2.37393736839294</v>
      </c>
      <c r="AB852" s="25" t="n">
        <v>4.35099983215332</v>
      </c>
      <c r="AC852" s="25" t="n">
        <v>0.0475675016641617</v>
      </c>
      <c r="AD852" s="25" t="n">
        <v>0.0348812490701675</v>
      </c>
      <c r="AE852" s="25" t="n">
        <v>1.21476495265961</v>
      </c>
      <c r="AF852" s="25" t="n">
        <v>0.966593742370606</v>
      </c>
      <c r="AG852" s="25" t="n">
        <v>0.12644250690937</v>
      </c>
      <c r="AH852" s="25" t="n">
        <v>0.0481625013053417</v>
      </c>
      <c r="AI852" s="25" t="n">
        <v>9.54836273193359</v>
      </c>
      <c r="AJ852" s="6" t="n">
        <v>200</v>
      </c>
      <c r="AK852" s="6" t="n">
        <v>320.5</v>
      </c>
      <c r="AL852" s="26"/>
    </row>
    <row r="853" customFormat="false" ht="15" hidden="false" customHeight="false" outlineLevel="0" collapsed="false">
      <c r="A853" s="6" t="s">
        <v>4484</v>
      </c>
      <c r="B853" s="6" t="s">
        <v>4485</v>
      </c>
      <c r="C853" s="6" t="s">
        <v>3112</v>
      </c>
      <c r="D853" s="13" t="n">
        <v>80.0495758056641</v>
      </c>
      <c r="E853" s="25" t="n">
        <v>4.91962814331055</v>
      </c>
      <c r="F853" s="25" t="n">
        <v>3.77643704414368</v>
      </c>
      <c r="G853" s="25" t="n">
        <v>5.22438192367554</v>
      </c>
      <c r="H853" s="25" t="n">
        <v>0.0083316583186388</v>
      </c>
      <c r="I853" s="25" t="n">
        <v>2.02621102333069</v>
      </c>
      <c r="J853" s="25" t="n">
        <v>1.44099340820313</v>
      </c>
      <c r="K853" s="25" t="n">
        <v>2.04981494140625</v>
      </c>
      <c r="L853" s="25" t="n">
        <v>1.07363720703125</v>
      </c>
      <c r="M853" s="25" t="n">
        <v>77.2613067626953</v>
      </c>
      <c r="N853" s="25" t="n">
        <v>188.207061767578</v>
      </c>
      <c r="O853" s="25" t="n">
        <v>321.523864746094</v>
      </c>
      <c r="P853" s="25" t="n">
        <v>71.9364318847656</v>
      </c>
      <c r="Q853" s="25" t="n">
        <v>77.3758773803711</v>
      </c>
      <c r="R853" s="25" t="n">
        <v>20.5467338562012</v>
      </c>
      <c r="S853" s="25" t="n">
        <v>1.31088185310364</v>
      </c>
      <c r="T853" s="25" t="n">
        <v>0.527246236801148</v>
      </c>
      <c r="U853" s="25" t="n">
        <v>0.0383643209934235</v>
      </c>
      <c r="V853" s="25" t="n">
        <v>9.34525871276856</v>
      </c>
      <c r="W853" s="25" t="n">
        <v>0.38052761554718</v>
      </c>
      <c r="X853" s="25" t="n">
        <v>49.4020118713379</v>
      </c>
      <c r="Y853" s="25" t="n">
        <v>1750.43188476563</v>
      </c>
      <c r="Z853" s="25" t="n">
        <v>1.59896230697632</v>
      </c>
      <c r="AA853" s="25" t="n">
        <v>263.407928466797</v>
      </c>
      <c r="AB853" s="25" t="n">
        <v>49.3869361877441</v>
      </c>
      <c r="AC853" s="25" t="n">
        <v>0.086472362279892</v>
      </c>
      <c r="AD853" s="25" t="n">
        <v>0.0835904479026794</v>
      </c>
      <c r="AE853" s="25" t="n">
        <v>0.887650728225708</v>
      </c>
      <c r="AF853" s="25" t="n">
        <v>0.414799004793167</v>
      </c>
      <c r="AG853" s="25" t="n">
        <v>0.193685933947563</v>
      </c>
      <c r="AH853" s="25" t="n">
        <v>4.32147979736328</v>
      </c>
      <c r="AI853" s="25" t="n">
        <v>63.8964538574219</v>
      </c>
      <c r="AJ853" s="6" t="n">
        <v>497.5</v>
      </c>
      <c r="AK853" s="6" t="n">
        <v>398.2</v>
      </c>
      <c r="AL853" s="26"/>
    </row>
    <row r="854" customFormat="false" ht="15" hidden="false" customHeight="false" outlineLevel="0" collapsed="false">
      <c r="A854" s="6" t="s">
        <v>4486</v>
      </c>
      <c r="B854" s="6" t="s">
        <v>4487</v>
      </c>
      <c r="C854" s="6" t="s">
        <v>3022</v>
      </c>
      <c r="D854" s="13" t="n">
        <v>128.78076171875</v>
      </c>
      <c r="E854" s="25" t="n">
        <v>12.6429901123047</v>
      </c>
      <c r="F854" s="25" t="n">
        <v>0.172542959451675</v>
      </c>
      <c r="G854" s="25" t="n">
        <v>8.67584228515625</v>
      </c>
      <c r="H854" s="25" t="n">
        <v>0.169862538576126</v>
      </c>
      <c r="I854" s="25" t="n">
        <v>0.048487976193428</v>
      </c>
      <c r="J854" s="25" t="n">
        <v>2.80093774414063</v>
      </c>
      <c r="K854" s="25" t="n">
        <v>3.2928564453125</v>
      </c>
      <c r="L854" s="25" t="n">
        <v>1.10169421386719</v>
      </c>
      <c r="M854" s="25" t="n">
        <v>345.876281738281</v>
      </c>
      <c r="N854" s="25" t="n">
        <v>183.891891479492</v>
      </c>
      <c r="O854" s="25" t="n">
        <v>144.66667175293</v>
      </c>
      <c r="P854" s="25" t="n">
        <v>48.2470817565918</v>
      </c>
      <c r="Q854" s="25" t="n">
        <v>176.665466308594</v>
      </c>
      <c r="R854" s="25" t="n">
        <v>12.8257732391357</v>
      </c>
      <c r="S854" s="25" t="n">
        <v>1.76049828529358</v>
      </c>
      <c r="T854" s="25" t="n">
        <v>1.18219923973084</v>
      </c>
      <c r="U854" s="25" t="n">
        <v>0.0729209631681442</v>
      </c>
      <c r="V854" s="25" t="n">
        <v>38.2548637390137</v>
      </c>
      <c r="W854" s="25" t="n">
        <v>0.0441580750048161</v>
      </c>
      <c r="X854" s="25" t="n">
        <v>187.113403320313</v>
      </c>
      <c r="Y854" s="25" t="n">
        <v>288.451873779297</v>
      </c>
      <c r="Z854" s="25" t="n">
        <v>1.43895196914673</v>
      </c>
      <c r="AA854" s="25" t="n">
        <v>1.75876295566559</v>
      </c>
      <c r="AB854" s="25" t="n">
        <v>5.77319574356079</v>
      </c>
      <c r="AC854" s="25" t="n">
        <v>0.0619587637484074</v>
      </c>
      <c r="AD854" s="25" t="n">
        <v>0.181254282593727</v>
      </c>
      <c r="AE854" s="25" t="n">
        <v>0.139432996511459</v>
      </c>
      <c r="AF854" s="25" t="n">
        <v>1.40257728099823</v>
      </c>
      <c r="AG854" s="25" t="n">
        <v>0.164037793874741</v>
      </c>
      <c r="AH854" s="25" t="n">
        <v>17.5250682830811</v>
      </c>
      <c r="AI854" s="25" t="n">
        <v>49.869571685791</v>
      </c>
      <c r="AJ854" s="6" t="n">
        <v>582</v>
      </c>
      <c r="AK854" s="6" t="n">
        <v>749.5</v>
      </c>
      <c r="AL854" s="26"/>
    </row>
    <row r="855" customFormat="false" ht="15" hidden="false" customHeight="false" outlineLevel="0" collapsed="false">
      <c r="A855" s="6" t="s">
        <v>4488</v>
      </c>
      <c r="B855" s="6" t="s">
        <v>4489</v>
      </c>
      <c r="C855" s="6" t="s">
        <v>3112</v>
      </c>
      <c r="D855" s="13" t="n">
        <v>158.845169067383</v>
      </c>
      <c r="E855" s="25" t="n">
        <v>13.2792701721191</v>
      </c>
      <c r="F855" s="25" t="n">
        <v>0.587793052196503</v>
      </c>
      <c r="G855" s="25" t="n">
        <v>11.5103178024292</v>
      </c>
      <c r="H855" s="25" t="n">
        <v>0.394521236419678</v>
      </c>
      <c r="I855" s="25" t="n">
        <v>0.104851864278317</v>
      </c>
      <c r="J855" s="25" t="n">
        <v>5.2476640625</v>
      </c>
      <c r="K855" s="25" t="n">
        <v>3.825724609375</v>
      </c>
      <c r="L855" s="25" t="n">
        <v>1.01618804931641</v>
      </c>
      <c r="M855" s="25" t="n">
        <v>276.556457519531</v>
      </c>
      <c r="N855" s="25" t="n">
        <v>227.969772338867</v>
      </c>
      <c r="O855" s="25" t="n">
        <v>180.756546020508</v>
      </c>
      <c r="P855" s="25" t="n">
        <v>140.313751220703</v>
      </c>
      <c r="Q855" s="25" t="n">
        <v>205.747512817383</v>
      </c>
      <c r="R855" s="25" t="n">
        <v>19.4076862335205</v>
      </c>
      <c r="S855" s="25" t="n">
        <v>1.6020975112915</v>
      </c>
      <c r="T855" s="25" t="n">
        <v>1.34732925891876</v>
      </c>
      <c r="U855" s="25" t="n">
        <v>0.072889655828476</v>
      </c>
      <c r="V855" s="25" t="n">
        <v>31.186357498169</v>
      </c>
      <c r="W855" s="25" t="n">
        <v>0.105817943811417</v>
      </c>
      <c r="X855" s="25" t="n">
        <v>188.90510559082</v>
      </c>
      <c r="Y855" s="25" t="n">
        <v>734.228210449219</v>
      </c>
      <c r="Z855" s="25" t="n">
        <v>1.23572993278503</v>
      </c>
      <c r="AA855" s="25" t="n">
        <v>22.3522968292236</v>
      </c>
      <c r="AB855" s="25" t="n">
        <v>1.95019316673279</v>
      </c>
      <c r="AC855" s="25" t="n">
        <v>0.0567582659423351</v>
      </c>
      <c r="AD855" s="25" t="n">
        <v>0.188125804066658</v>
      </c>
      <c r="AE855" s="25" t="n">
        <v>0.166571483016014</v>
      </c>
      <c r="AF855" s="25" t="n">
        <v>1.16546583175659</v>
      </c>
      <c r="AG855" s="25" t="n">
        <v>0.142702877521515</v>
      </c>
      <c r="AH855" s="25" t="n">
        <v>14.0413675308228</v>
      </c>
      <c r="AI855" s="25" t="n">
        <v>46.5811271667481</v>
      </c>
      <c r="AJ855" s="6" t="n">
        <v>116.5</v>
      </c>
      <c r="AK855" s="6" t="n">
        <v>185</v>
      </c>
      <c r="AL855" s="26"/>
    </row>
    <row r="856" customFormat="false" ht="15" hidden="false" customHeight="false" outlineLevel="0" collapsed="false">
      <c r="A856" s="6" t="s">
        <v>4490</v>
      </c>
      <c r="B856" s="6" t="s">
        <v>4491</v>
      </c>
      <c r="C856" s="6" t="s">
        <v>3030</v>
      </c>
      <c r="D856" s="13" t="n">
        <v>166.927597045898</v>
      </c>
      <c r="E856" s="25" t="n">
        <v>11.3712482452393</v>
      </c>
      <c r="F856" s="25" t="n">
        <v>1.5704118013382</v>
      </c>
      <c r="G856" s="25" t="n">
        <v>12.8928833007813</v>
      </c>
      <c r="H856" s="25" t="n">
        <v>0.0213384814560413</v>
      </c>
      <c r="I856" s="25" t="n">
        <v>0.408957540988922</v>
      </c>
      <c r="J856" s="25" t="n">
        <v>6.12915966796875</v>
      </c>
      <c r="K856" s="25" t="n">
        <v>4.07652709960938</v>
      </c>
      <c r="L856" s="25" t="n">
        <v>1.09354956054688</v>
      </c>
      <c r="M856" s="25" t="n">
        <v>253.355209350586</v>
      </c>
      <c r="N856" s="25" t="n">
        <v>166.415756225586</v>
      </c>
      <c r="O856" s="25" t="n">
        <v>145.924072265625</v>
      </c>
      <c r="P856" s="25" t="n">
        <v>96.2245788574219</v>
      </c>
      <c r="Q856" s="25" t="n">
        <v>180.054702758789</v>
      </c>
      <c r="R856" s="25" t="n">
        <v>17.3616466522217</v>
      </c>
      <c r="S856" s="25" t="n">
        <v>1.33514165878296</v>
      </c>
      <c r="T856" s="25" t="n">
        <v>1.2197812795639</v>
      </c>
      <c r="U856" s="25" t="n">
        <v>0.0566924065351486</v>
      </c>
      <c r="V856" s="25" t="n">
        <v>26.5406246185303</v>
      </c>
      <c r="W856" s="25" t="n">
        <v>0.0575675666332245</v>
      </c>
      <c r="X856" s="25" t="n">
        <v>201.485198974609</v>
      </c>
      <c r="Y856" s="25" t="n">
        <v>131.956878662109</v>
      </c>
      <c r="Z856" s="25" t="n">
        <v>1.16158950328827</v>
      </c>
      <c r="AA856" s="25" t="n">
        <v>0.842599749565125</v>
      </c>
      <c r="AB856" s="25" t="n">
        <v>1.49292159080505</v>
      </c>
      <c r="AC856" s="25" t="n">
        <v>0.0710553452372551</v>
      </c>
      <c r="AD856" s="25" t="n">
        <v>0.167934358119965</v>
      </c>
      <c r="AE856" s="25" t="n">
        <v>0.434395134449005</v>
      </c>
      <c r="AF856" s="25" t="n">
        <v>1.12709140777588</v>
      </c>
      <c r="AG856" s="25" t="n">
        <v>0.119607463479042</v>
      </c>
      <c r="AH856" s="25" t="n">
        <v>12.1224517822266</v>
      </c>
      <c r="AI856" s="25" t="n">
        <v>42.0359649658203</v>
      </c>
      <c r="AJ856" s="6" t="n">
        <v>194.3</v>
      </c>
      <c r="AK856" s="6" t="n">
        <v>324.3</v>
      </c>
      <c r="AL856" s="26"/>
    </row>
    <row r="857" customFormat="false" ht="15" hidden="false" customHeight="false" outlineLevel="0" collapsed="false">
      <c r="A857" s="6" t="s">
        <v>4492</v>
      </c>
      <c r="B857" s="6" t="s">
        <v>4493</v>
      </c>
      <c r="C857" s="6" t="s">
        <v>4494</v>
      </c>
      <c r="D857" s="13" t="n">
        <v>184.942306518555</v>
      </c>
      <c r="E857" s="25" t="n">
        <v>12.6915369033814</v>
      </c>
      <c r="F857" s="25" t="n">
        <v>1.9431791305542</v>
      </c>
      <c r="G857" s="25" t="n">
        <v>13.9868431091309</v>
      </c>
      <c r="H857" s="25" t="n">
        <v>0.887738823890686</v>
      </c>
      <c r="I857" s="25" t="n">
        <v>1.09682834148407</v>
      </c>
      <c r="J857" s="25" t="n">
        <v>5.1437158203125</v>
      </c>
      <c r="K857" s="25" t="n">
        <v>5.138322265625</v>
      </c>
      <c r="L857" s="25" t="n">
        <v>0.728502258300781</v>
      </c>
      <c r="M857" s="25" t="n">
        <v>39.3208961486816</v>
      </c>
      <c r="N857" s="25" t="n">
        <v>1740.13110351563</v>
      </c>
      <c r="O857" s="25" t="n">
        <v>181.547760009766</v>
      </c>
      <c r="P857" s="25" t="n">
        <v>156.983871459961</v>
      </c>
      <c r="Q857" s="25" t="n">
        <v>168.966934204102</v>
      </c>
      <c r="R857" s="25" t="n">
        <v>18.9254398345947</v>
      </c>
      <c r="S857" s="25" t="n">
        <v>0.525791049003601</v>
      </c>
      <c r="T857" s="25" t="n">
        <v>1.17260444164276</v>
      </c>
      <c r="U857" s="25" t="n">
        <v>0.128589555621147</v>
      </c>
      <c r="V857" s="25" t="n">
        <v>7.40458202362061</v>
      </c>
      <c r="W857" s="25" t="n">
        <v>0.0972985103726387</v>
      </c>
      <c r="X857" s="25" t="n">
        <v>73.9988098144531</v>
      </c>
      <c r="Y857" s="25" t="n">
        <v>662.405944824219</v>
      </c>
      <c r="Z857" s="25" t="n">
        <v>0.441462695598602</v>
      </c>
      <c r="AA857" s="25" t="n">
        <v>10.0721788406372</v>
      </c>
      <c r="AB857" s="25" t="n">
        <v>27.1291046142578</v>
      </c>
      <c r="AC857" s="25" t="n">
        <v>0.0614850744605064</v>
      </c>
      <c r="AD857" s="25" t="n">
        <v>0.104835823178291</v>
      </c>
      <c r="AE857" s="25" t="n">
        <v>2.85394024848938</v>
      </c>
      <c r="AF857" s="25" t="n">
        <v>0.57249253988266</v>
      </c>
      <c r="AG857" s="25" t="n">
        <v>0.262276113033295</v>
      </c>
      <c r="AH857" s="25" t="n">
        <v>3.72979092597961</v>
      </c>
      <c r="AI857" s="25" t="n">
        <v>26.5981273651123</v>
      </c>
      <c r="AJ857" s="6" t="n">
        <v>167.5</v>
      </c>
      <c r="AK857" s="6" t="n">
        <v>309.8</v>
      </c>
      <c r="AL857" s="26"/>
    </row>
    <row r="858" customFormat="false" ht="15" hidden="false" customHeight="false" outlineLevel="0" collapsed="false">
      <c r="A858" s="6" t="s">
        <v>1121</v>
      </c>
      <c r="B858" s="6" t="s">
        <v>4495</v>
      </c>
      <c r="C858" s="6" t="s">
        <v>3007</v>
      </c>
      <c r="D858" s="13" t="n">
        <v>127.704780578613</v>
      </c>
      <c r="E858" s="25" t="n">
        <v>4.21583032608032</v>
      </c>
      <c r="F858" s="25" t="n">
        <v>3.4062819480896</v>
      </c>
      <c r="G858" s="25" t="n">
        <v>10.8701467514038</v>
      </c>
      <c r="H858" s="25" t="n">
        <v>0.837094128131867</v>
      </c>
      <c r="I858" s="25" t="n">
        <v>2.19704842567444</v>
      </c>
      <c r="J858" s="25" t="n">
        <v>3.61260107421875</v>
      </c>
      <c r="K858" s="25" t="n">
        <v>2.916576171875</v>
      </c>
      <c r="L858" s="25" t="n">
        <v>3.48396069335938</v>
      </c>
      <c r="M858" s="25" t="n">
        <v>15.067852973938</v>
      </c>
      <c r="N858" s="25" t="n">
        <v>160.663848876953</v>
      </c>
      <c r="O858" s="25" t="n">
        <v>135.240798950195</v>
      </c>
      <c r="P858" s="25" t="n">
        <v>57.2217597961426</v>
      </c>
      <c r="Q858" s="25" t="n">
        <v>82.3570251464844</v>
      </c>
      <c r="R858" s="25" t="n">
        <v>17.0536804199219</v>
      </c>
      <c r="S858" s="25" t="n">
        <v>0.45032000541687</v>
      </c>
      <c r="T858" s="25" t="n">
        <v>0.429633408784866</v>
      </c>
      <c r="U858" s="25" t="n">
        <v>0.0742288902401924</v>
      </c>
      <c r="V858" s="25" t="n">
        <v>1.81012332439423</v>
      </c>
      <c r="W858" s="25" t="n">
        <v>0.167570650577545</v>
      </c>
      <c r="X858" s="25" t="n">
        <v>49.8411483764648</v>
      </c>
      <c r="Y858" s="25" t="n">
        <v>623.047729492188</v>
      </c>
      <c r="Z858" s="25" t="n">
        <v>2.68439769744873</v>
      </c>
      <c r="AA858" s="25" t="n">
        <v>4.1384162902832</v>
      </c>
      <c r="AB858" s="25" t="n">
        <v>7.2495322227478</v>
      </c>
      <c r="AC858" s="25" t="n">
        <v>0.0437805131077766</v>
      </c>
      <c r="AD858" s="25" t="n">
        <v>0.0992958843708038</v>
      </c>
      <c r="AE858" s="25" t="n">
        <v>0.268936187028885</v>
      </c>
      <c r="AF858" s="25" t="n">
        <v>0.198973715305328</v>
      </c>
      <c r="AG858" s="25" t="n">
        <v>0.0639435350894928</v>
      </c>
      <c r="AH858" s="25" t="n">
        <v>2.42710423469544</v>
      </c>
      <c r="AI858" s="25" t="n">
        <v>15.3684635162354</v>
      </c>
      <c r="AJ858" s="6" t="n">
        <v>231.9</v>
      </c>
      <c r="AK858" s="6" t="n">
        <v>296.1</v>
      </c>
      <c r="AL858" s="26"/>
    </row>
    <row r="859" customFormat="false" ht="15" hidden="false" customHeight="false" outlineLevel="0" collapsed="false">
      <c r="A859" s="6" t="s">
        <v>4496</v>
      </c>
      <c r="B859" s="6" t="s">
        <v>4497</v>
      </c>
      <c r="C859" s="6" t="s">
        <v>3007</v>
      </c>
      <c r="D859" s="13" t="n">
        <v>224.262619018555</v>
      </c>
      <c r="E859" s="25" t="n">
        <v>0.636036038398743</v>
      </c>
      <c r="F859" s="25" t="n">
        <v>4.84898662567139</v>
      </c>
      <c r="G859" s="25" t="n">
        <v>22.4848384857178</v>
      </c>
      <c r="H859" s="25" t="n">
        <v>0.371940821409226</v>
      </c>
      <c r="I859" s="25" t="n">
        <v>0.333730846643448</v>
      </c>
      <c r="J859" s="25" t="n">
        <v>2.7264970703125</v>
      </c>
      <c r="K859" s="25" t="n">
        <v>4.6239931640625</v>
      </c>
      <c r="L859" s="25" t="n">
        <v>14.19072265625</v>
      </c>
      <c r="M859" s="25" t="n">
        <v>0.180086076259613</v>
      </c>
      <c r="N859" s="25" t="n">
        <v>75.0163726806641</v>
      </c>
      <c r="O859" s="25" t="n">
        <v>34.4421920776367</v>
      </c>
      <c r="P859" s="25" t="n">
        <v>3.18257737159729</v>
      </c>
      <c r="Q859" s="25" t="n">
        <v>8.86074256896973</v>
      </c>
      <c r="R859" s="25" t="n">
        <v>3.49724507331848</v>
      </c>
      <c r="S859" s="25" t="n">
        <v>0.19869077205658</v>
      </c>
      <c r="T859" s="25" t="n">
        <v>0.0732026919722557</v>
      </c>
      <c r="U859" s="25" t="n">
        <v>0.0152187589555979</v>
      </c>
      <c r="V859" s="25" t="n">
        <v>0.0483812503516674</v>
      </c>
      <c r="W859" s="25" t="n">
        <v>0.0673819109797478</v>
      </c>
      <c r="X859" s="25" t="n">
        <v>0.468223780393601</v>
      </c>
      <c r="Y859" s="25" t="n">
        <v>70.430305480957</v>
      </c>
      <c r="Z859" s="25" t="n">
        <v>11.0256853103638</v>
      </c>
      <c r="AA859" s="25" t="n">
        <v>2.61664533615112</v>
      </c>
      <c r="AB859" s="25" t="n">
        <v>3.83405804634094</v>
      </c>
      <c r="AC859" s="25" t="n">
        <v>0.0118908137083054</v>
      </c>
      <c r="AD859" s="25" t="n">
        <v>0.00788277294486761</v>
      </c>
      <c r="AE859" s="25" t="n">
        <v>0.101538024842739</v>
      </c>
      <c r="AF859" s="25" t="n">
        <v>0.0687527656555176</v>
      </c>
      <c r="AG859" s="25" t="n">
        <v>0.0168333202600479</v>
      </c>
      <c r="AH859" s="25" t="n">
        <v>0.235629677772522</v>
      </c>
      <c r="AI859" s="25" t="n">
        <v>4.08467721939087</v>
      </c>
      <c r="AJ859" s="6" t="n">
        <v>740.4</v>
      </c>
      <c r="AK859" s="6" t="n">
        <v>1660.4</v>
      </c>
      <c r="AL859" s="26" t="s">
        <v>3070</v>
      </c>
    </row>
    <row r="860" customFormat="false" ht="15" hidden="false" customHeight="false" outlineLevel="0" collapsed="false">
      <c r="A860" s="6" t="s">
        <v>1512</v>
      </c>
      <c r="B860" s="6" t="s">
        <v>1510</v>
      </c>
      <c r="C860" s="6" t="s">
        <v>3112</v>
      </c>
      <c r="D860" s="13" t="n">
        <v>278.293151855469</v>
      </c>
      <c r="E860" s="25" t="n">
        <v>0.561301827430725</v>
      </c>
      <c r="F860" s="25" t="n">
        <v>3.59236788749695</v>
      </c>
      <c r="G860" s="25" t="n">
        <v>29.1097316741943</v>
      </c>
      <c r="H860" s="25" t="n">
        <v>0.570992648601532</v>
      </c>
      <c r="I860" s="25" t="n">
        <v>0.28911104798317</v>
      </c>
      <c r="J860" s="25" t="n">
        <v>3.54537084960938</v>
      </c>
      <c r="K860" s="25" t="n">
        <v>5.96711962890625</v>
      </c>
      <c r="L860" s="25" t="n">
        <v>18.36684375</v>
      </c>
      <c r="M860" s="25" t="n">
        <v>0.288616269826889</v>
      </c>
      <c r="N860" s="25" t="n">
        <v>69.2168579101563</v>
      </c>
      <c r="O860" s="25" t="n">
        <v>56.3915519714356</v>
      </c>
      <c r="P860" s="25" t="n">
        <v>12.3739395141602</v>
      </c>
      <c r="Q860" s="25" t="n">
        <v>13.111870765686</v>
      </c>
      <c r="R860" s="25" t="n">
        <v>5.75371742248535</v>
      </c>
      <c r="S860" s="25" t="n">
        <v>0.303468704223633</v>
      </c>
      <c r="T860" s="25" t="n">
        <v>0.0770369917154312</v>
      </c>
      <c r="U860" s="25" t="n">
        <v>0.0206338483840227</v>
      </c>
      <c r="V860" s="25" t="n">
        <v>0.206480816006661</v>
      </c>
      <c r="W860" s="25" t="n">
        <v>0.107387118041515</v>
      </c>
      <c r="X860" s="25" t="n">
        <v>0.734659552574158</v>
      </c>
      <c r="Y860" s="25" t="n">
        <v>614.007568359375</v>
      </c>
      <c r="Z860" s="25" t="n">
        <v>14.2541437149048</v>
      </c>
      <c r="AA860" s="25" t="n">
        <v>7.49882984161377</v>
      </c>
      <c r="AB860" s="25" t="n">
        <v>3.20954346656799</v>
      </c>
      <c r="AC860" s="25" t="n">
        <v>0.0105094807222486</v>
      </c>
      <c r="AD860" s="25" t="n">
        <v>0.0184670686721802</v>
      </c>
      <c r="AE860" s="25" t="n">
        <v>0.123499780893326</v>
      </c>
      <c r="AF860" s="25" t="n">
        <v>0.0636269450187683</v>
      </c>
      <c r="AG860" s="25" t="n">
        <v>0.024522703140974</v>
      </c>
      <c r="AH860" s="25" t="n">
        <v>0.276769936084747</v>
      </c>
      <c r="AI860" s="25" t="n">
        <v>4.39132070541382</v>
      </c>
      <c r="AJ860" s="6" t="n">
        <v>857.5</v>
      </c>
      <c r="AK860" s="6" t="n">
        <v>2386.5</v>
      </c>
      <c r="AL860" s="26" t="s">
        <v>3070</v>
      </c>
    </row>
    <row r="861" customFormat="false" ht="15" hidden="false" customHeight="false" outlineLevel="0" collapsed="false">
      <c r="A861" s="6" t="s">
        <v>1125</v>
      </c>
      <c r="B861" s="6" t="s">
        <v>1124</v>
      </c>
      <c r="C861" s="6" t="s">
        <v>3007</v>
      </c>
      <c r="D861" s="13" t="n">
        <v>105.476119995117</v>
      </c>
      <c r="E861" s="25" t="n">
        <v>3.98381185531616</v>
      </c>
      <c r="F861" s="25" t="n">
        <v>3.36757636070252</v>
      </c>
      <c r="G861" s="25" t="n">
        <v>8.46469211578369</v>
      </c>
      <c r="H861" s="25" t="n">
        <v>1.15748178958893</v>
      </c>
      <c r="I861" s="25" t="n">
        <v>1.96363806724548</v>
      </c>
      <c r="J861" s="25" t="n">
        <v>1.89812744140625</v>
      </c>
      <c r="K861" s="25" t="n">
        <v>2.33003955078125</v>
      </c>
      <c r="L861" s="25" t="n">
        <v>3.65459301757813</v>
      </c>
      <c r="M861" s="25" t="n">
        <v>7.19320964813232</v>
      </c>
      <c r="N861" s="25" t="n">
        <v>142.450927734375</v>
      </c>
      <c r="O861" s="25" t="n">
        <v>145.496948242188</v>
      </c>
      <c r="P861" s="25" t="n">
        <v>55.5599975585938</v>
      </c>
      <c r="Q861" s="25" t="n">
        <v>77.5234756469727</v>
      </c>
      <c r="R861" s="25" t="n">
        <v>19.625171661377</v>
      </c>
      <c r="S861" s="25" t="n">
        <v>0.560884475708008</v>
      </c>
      <c r="T861" s="25" t="n">
        <v>0.42000812292099</v>
      </c>
      <c r="U861" s="25" t="n">
        <v>0.0845513418316841</v>
      </c>
      <c r="V861" s="25" t="n">
        <v>1.68515527248383</v>
      </c>
      <c r="W861" s="25" t="n">
        <v>0.189456060528755</v>
      </c>
      <c r="X861" s="25" t="n">
        <v>20.9257011413574</v>
      </c>
      <c r="Y861" s="25" t="n">
        <v>1467.87780761719</v>
      </c>
      <c r="Z861" s="25" t="n">
        <v>2.75730347633362</v>
      </c>
      <c r="AA861" s="25" t="n">
        <v>11.5712604522705</v>
      </c>
      <c r="AB861" s="25" t="n">
        <v>7.18759155273438</v>
      </c>
      <c r="AC861" s="25" t="n">
        <v>0.0460524968802929</v>
      </c>
      <c r="AD861" s="25" t="n">
        <v>0.0900801718235016</v>
      </c>
      <c r="AE861" s="25" t="n">
        <v>0.269014924764633</v>
      </c>
      <c r="AF861" s="25" t="n">
        <v>0.212188437581062</v>
      </c>
      <c r="AG861" s="25" t="n">
        <v>0.0573946200311184</v>
      </c>
      <c r="AH861" s="25" t="n">
        <v>2.25551462173462</v>
      </c>
      <c r="AI861" s="25" t="n">
        <v>14.805890083313</v>
      </c>
      <c r="AJ861" s="6" t="n">
        <v>382.3</v>
      </c>
      <c r="AK861" s="6" t="n">
        <v>403.2</v>
      </c>
      <c r="AL861" s="26"/>
    </row>
    <row r="862" customFormat="false" ht="15" hidden="false" customHeight="false" outlineLevel="0" collapsed="false">
      <c r="A862" s="6" t="s">
        <v>4498</v>
      </c>
      <c r="B862" s="6" t="s">
        <v>4499</v>
      </c>
      <c r="C862" s="6" t="s">
        <v>4500</v>
      </c>
      <c r="D862" s="13" t="n">
        <v>78.6754150390625</v>
      </c>
      <c r="E862" s="25" t="n">
        <v>2.04766011238098</v>
      </c>
      <c r="F862" s="25" t="n">
        <v>2.02461004257202</v>
      </c>
      <c r="G862" s="25" t="n">
        <v>6.69764852523804</v>
      </c>
      <c r="H862" s="25" t="n">
        <v>3.53238654136658</v>
      </c>
      <c r="I862" s="25" t="n">
        <v>0.443352729082108</v>
      </c>
      <c r="J862" s="25" t="n">
        <v>1.00967169189453</v>
      </c>
      <c r="K862" s="25" t="n">
        <v>4.613259765625</v>
      </c>
      <c r="L862" s="25" t="n">
        <v>0.7196181640625</v>
      </c>
      <c r="M862" s="25" t="n">
        <v>0</v>
      </c>
      <c r="N862" s="25" t="n">
        <v>120.18994140625</v>
      </c>
      <c r="O862" s="25" t="n">
        <v>311.655426025391</v>
      </c>
      <c r="P862" s="25" t="n">
        <v>24.4738063812256</v>
      </c>
      <c r="Q862" s="25" t="n">
        <v>44.6728782653809</v>
      </c>
      <c r="R862" s="25" t="n">
        <v>22.199068069458</v>
      </c>
      <c r="S862" s="25" t="n">
        <v>0.952176928520203</v>
      </c>
      <c r="T862" s="25" t="n">
        <v>0.294854491949081</v>
      </c>
      <c r="U862" s="25" t="n">
        <v>0.0516530871391296</v>
      </c>
      <c r="V862" s="25" t="n">
        <v>0.471781134605408</v>
      </c>
      <c r="W862" s="25" t="n">
        <v>0.232828870415688</v>
      </c>
      <c r="X862" s="25" t="n">
        <v>0</v>
      </c>
      <c r="Y862" s="25" t="n">
        <v>52.1792793273926</v>
      </c>
      <c r="Z862" s="25" t="n">
        <v>0.34222349524498</v>
      </c>
      <c r="AA862" s="25" t="n">
        <v>17.3585567474365</v>
      </c>
      <c r="AB862" s="25" t="n">
        <v>43.9022102355957</v>
      </c>
      <c r="AC862" s="25" t="n">
        <v>0.0373923145234585</v>
      </c>
      <c r="AD862" s="25" t="n">
        <v>0.0655413269996643</v>
      </c>
      <c r="AE862" s="25" t="n">
        <v>0.291501760482788</v>
      </c>
      <c r="AF862" s="25" t="n">
        <v>0.578114092350006</v>
      </c>
      <c r="AG862" s="25" t="n">
        <v>0.122852146625519</v>
      </c>
      <c r="AH862" s="25" t="n">
        <v>2.30847501754761</v>
      </c>
      <c r="AI862" s="25" t="n">
        <v>42.844913482666</v>
      </c>
      <c r="AJ862" s="6" t="n">
        <v>107.4</v>
      </c>
      <c r="AK862" s="6" t="n">
        <v>84.5</v>
      </c>
      <c r="AL862" s="26"/>
    </row>
    <row r="863" customFormat="false" ht="15" hidden="false" customHeight="false" outlineLevel="0" collapsed="false">
      <c r="A863" s="6" t="s">
        <v>4501</v>
      </c>
      <c r="B863" s="6" t="s">
        <v>4502</v>
      </c>
      <c r="C863" s="6" t="s">
        <v>3112</v>
      </c>
      <c r="D863" s="13" t="n">
        <v>94.3246002197266</v>
      </c>
      <c r="E863" s="25" t="n">
        <v>2.41318106651306</v>
      </c>
      <c r="F863" s="25" t="n">
        <v>6.03693389892578</v>
      </c>
      <c r="G863" s="25" t="n">
        <v>6.60861015319824</v>
      </c>
      <c r="H863" s="25" t="n">
        <v>3.51889872550964</v>
      </c>
      <c r="I863" s="25" t="n">
        <v>1.77738964557648</v>
      </c>
      <c r="J863" s="25" t="n">
        <v>2.15131420898438</v>
      </c>
      <c r="K863" s="25" t="n">
        <v>2.10693359375</v>
      </c>
      <c r="L863" s="25" t="n">
        <v>1.96988208007813</v>
      </c>
      <c r="M863" s="25" t="n">
        <v>7.44273281097412</v>
      </c>
      <c r="N863" s="25" t="n">
        <v>65.0990524291992</v>
      </c>
      <c r="O863" s="25" t="n">
        <v>323.326263427734</v>
      </c>
      <c r="P863" s="25" t="n">
        <v>40.1981391906738</v>
      </c>
      <c r="Q863" s="25" t="n">
        <v>82.0455551147461</v>
      </c>
      <c r="R863" s="25" t="n">
        <v>45.1310997009277</v>
      </c>
      <c r="S863" s="25" t="n">
        <v>1.01298046112061</v>
      </c>
      <c r="T863" s="25" t="n">
        <v>0.593355774879456</v>
      </c>
      <c r="U863" s="25" t="n">
        <v>0.136882349848747</v>
      </c>
      <c r="V863" s="25" t="n">
        <v>0.804907500743866</v>
      </c>
      <c r="W863" s="25" t="n">
        <v>0.76912647485733</v>
      </c>
      <c r="X863" s="25" t="n">
        <v>33.4748306274414</v>
      </c>
      <c r="Y863" s="25" t="n">
        <v>893.830871582031</v>
      </c>
      <c r="Z863" s="25" t="n">
        <v>0.414542496204376</v>
      </c>
      <c r="AA863" s="25" t="n">
        <v>13.1345472335815</v>
      </c>
      <c r="AB863" s="25" t="n">
        <v>6.78514289855957</v>
      </c>
      <c r="AC863" s="25" t="n">
        <v>0.06166947260499</v>
      </c>
      <c r="AD863" s="25" t="n">
        <v>0.0435693003237248</v>
      </c>
      <c r="AE863" s="25" t="n">
        <v>0.798788666725159</v>
      </c>
      <c r="AF863" s="25" t="n">
        <v>0.241413220763207</v>
      </c>
      <c r="AG863" s="25" t="n">
        <v>0.286472111940384</v>
      </c>
      <c r="AH863" s="25" t="n">
        <v>5.57499933242798</v>
      </c>
      <c r="AI863" s="25" t="n">
        <v>47.5099601745606</v>
      </c>
      <c r="AJ863" s="6" t="n">
        <v>96.6</v>
      </c>
      <c r="AK863" s="6" t="n">
        <v>91.1</v>
      </c>
      <c r="AL863" s="26"/>
    </row>
    <row r="864" customFormat="false" ht="15" hidden="false" customHeight="false" outlineLevel="0" collapsed="false">
      <c r="A864" s="6" t="s">
        <v>4503</v>
      </c>
      <c r="B864" s="6" t="s">
        <v>4504</v>
      </c>
      <c r="C864" s="6" t="s">
        <v>3732</v>
      </c>
      <c r="D864" s="13" t="n">
        <v>255.508056640625</v>
      </c>
      <c r="E864" s="25" t="n">
        <v>3.33623123168945</v>
      </c>
      <c r="F864" s="25" t="n">
        <v>20.4368629455566</v>
      </c>
      <c r="G864" s="25" t="n">
        <v>17.5517730712891</v>
      </c>
      <c r="H864" s="25" t="n">
        <v>5.14697647094727</v>
      </c>
      <c r="I864" s="25" t="n">
        <v>13.3599624633789</v>
      </c>
      <c r="J864" s="25" t="n">
        <v>2.12054370117188</v>
      </c>
      <c r="K864" s="25" t="n">
        <v>3.6229951171875</v>
      </c>
      <c r="L864" s="25" t="n">
        <v>10.862431640625</v>
      </c>
      <c r="M864" s="25" t="n">
        <v>0</v>
      </c>
      <c r="N864" s="25" t="n">
        <v>177.621002197266</v>
      </c>
      <c r="O864" s="25" t="n">
        <v>541.628173828125</v>
      </c>
      <c r="P864" s="25" t="n">
        <v>63.5083770751953</v>
      </c>
      <c r="Q864" s="25" t="n">
        <v>90.7164611816406</v>
      </c>
      <c r="R864" s="25" t="n">
        <v>50.9684028625488</v>
      </c>
      <c r="S864" s="25" t="n">
        <v>3.26433753967285</v>
      </c>
      <c r="T864" s="25" t="n">
        <v>0.579242050647736</v>
      </c>
      <c r="U864" s="25" t="n">
        <v>0.243441104888916</v>
      </c>
      <c r="V864" s="25" t="n">
        <v>3.85015535354614</v>
      </c>
      <c r="W864" s="25" t="n">
        <v>0.387318909168243</v>
      </c>
      <c r="X864" s="25" t="n">
        <v>0</v>
      </c>
      <c r="Y864" s="25" t="n">
        <v>11518.0205078125</v>
      </c>
      <c r="Z864" s="25" t="n">
        <v>8.35931968688965</v>
      </c>
      <c r="AA864" s="25" t="n">
        <v>34.4185600280762</v>
      </c>
      <c r="AB864" s="25" t="n">
        <v>7.1834659576416</v>
      </c>
      <c r="AC864" s="25" t="n">
        <v>0.15727062523365</v>
      </c>
      <c r="AD864" s="25" t="n">
        <v>0.148286789655685</v>
      </c>
      <c r="AE864" s="25" t="n">
        <v>1.42574429512024</v>
      </c>
      <c r="AF864" s="25" t="n">
        <v>0.239703968167305</v>
      </c>
      <c r="AG864" s="25" t="n">
        <v>0.19567708671093</v>
      </c>
      <c r="AH864" s="25" t="n">
        <v>0.792559325695038</v>
      </c>
      <c r="AI864" s="25" t="n">
        <v>21.1903209686279</v>
      </c>
      <c r="AJ864" s="6" t="n">
        <v>79.4</v>
      </c>
      <c r="AK864" s="6" t="n">
        <v>202.8</v>
      </c>
      <c r="AL864" s="26"/>
    </row>
    <row r="865" customFormat="false" ht="15" hidden="false" customHeight="false" outlineLevel="0" collapsed="false">
      <c r="A865" s="6" t="s">
        <v>4505</v>
      </c>
      <c r="B865" s="6" t="s">
        <v>4506</v>
      </c>
      <c r="C865" s="6" t="s">
        <v>4507</v>
      </c>
      <c r="D865" s="13" t="n">
        <v>205.185745239258</v>
      </c>
      <c r="E865" s="25" t="n">
        <v>3.3259973526001</v>
      </c>
      <c r="F865" s="25" t="n">
        <v>10.7915716171265</v>
      </c>
      <c r="G865" s="25" t="n">
        <v>17.7220344543457</v>
      </c>
      <c r="H865" s="25" t="n">
        <v>5.72240400314331</v>
      </c>
      <c r="I865" s="25" t="n">
        <v>5.65606355667114</v>
      </c>
      <c r="J865" s="25" t="n">
        <v>2.30413427734375</v>
      </c>
      <c r="K865" s="25" t="n">
        <v>3.69084326171875</v>
      </c>
      <c r="L865" s="25" t="n">
        <v>10.902802734375</v>
      </c>
      <c r="M865" s="25" t="n">
        <v>0.792602360248566</v>
      </c>
      <c r="N865" s="25" t="n">
        <v>486.26708984375</v>
      </c>
      <c r="O865" s="25" t="n">
        <v>412.305145263672</v>
      </c>
      <c r="P865" s="25" t="n">
        <v>35.464225769043</v>
      </c>
      <c r="Q865" s="25" t="n">
        <v>66.207763671875</v>
      </c>
      <c r="R865" s="25" t="n">
        <v>35.1727333068848</v>
      </c>
      <c r="S865" s="25" t="n">
        <v>1.95890355110169</v>
      </c>
      <c r="T865" s="25" t="n">
        <v>0.597780704498291</v>
      </c>
      <c r="U865" s="25" t="n">
        <v>0.162166446447372</v>
      </c>
      <c r="V865" s="25" t="n">
        <v>1.42397618293762</v>
      </c>
      <c r="W865" s="25" t="n">
        <v>0.530541598796845</v>
      </c>
      <c r="X865" s="25" t="n">
        <v>2.06076622009277</v>
      </c>
      <c r="Y865" s="25" t="n">
        <v>8013.81298828125</v>
      </c>
      <c r="Z865" s="25" t="n">
        <v>8.01636695861816</v>
      </c>
      <c r="AA865" s="25" t="n">
        <v>28.4988117218018</v>
      </c>
      <c r="AB865" s="25" t="n">
        <v>3.48237776756287</v>
      </c>
      <c r="AC865" s="25" t="n">
        <v>0.0949537679553032</v>
      </c>
      <c r="AD865" s="25" t="n">
        <v>0.164531037211418</v>
      </c>
      <c r="AE865" s="25" t="n">
        <v>1.46601057052612</v>
      </c>
      <c r="AF865" s="25" t="n">
        <v>0.40076619386673</v>
      </c>
      <c r="AG865" s="25" t="n">
        <v>0.328916758298874</v>
      </c>
      <c r="AH865" s="25" t="n">
        <v>0.68466317653656</v>
      </c>
      <c r="AI865" s="25" t="n">
        <v>21.0142269134522</v>
      </c>
      <c r="AJ865" s="6" t="n">
        <v>757</v>
      </c>
      <c r="AK865" s="6" t="n">
        <v>1553.3</v>
      </c>
      <c r="AL865" s="26" t="s">
        <v>3070</v>
      </c>
    </row>
    <row r="866" customFormat="false" ht="15" hidden="false" customHeight="false" outlineLevel="0" collapsed="false">
      <c r="A866" s="6" t="s">
        <v>4508</v>
      </c>
      <c r="B866" s="6" t="s">
        <v>4509</v>
      </c>
      <c r="C866" s="6" t="s">
        <v>2949</v>
      </c>
      <c r="D866" s="13" t="n">
        <v>143.938095092773</v>
      </c>
      <c r="E866" s="25" t="n">
        <v>2.96944403648377</v>
      </c>
      <c r="F866" s="25" t="n">
        <v>13.5198411941528</v>
      </c>
      <c r="G866" s="25" t="n">
        <v>8.38047695159912</v>
      </c>
      <c r="H866" s="25" t="n">
        <v>4.60181903839111</v>
      </c>
      <c r="I866" s="25" t="n">
        <v>6.80498838424683</v>
      </c>
      <c r="J866" s="25" t="n">
        <v>1.05394750976563</v>
      </c>
      <c r="K866" s="25" t="n">
        <v>1.66526525878906</v>
      </c>
      <c r="L866" s="25" t="n">
        <v>5.19426025390625</v>
      </c>
      <c r="M866" s="25" t="n">
        <v>0</v>
      </c>
      <c r="N866" s="25" t="n">
        <v>256.892761230469</v>
      </c>
      <c r="O866" s="25" t="n">
        <v>342.687042236328</v>
      </c>
      <c r="P866" s="25" t="n">
        <v>28.5041217803955</v>
      </c>
      <c r="Q866" s="25" t="n">
        <v>60.1720733642578</v>
      </c>
      <c r="R866" s="25" t="n">
        <v>37.831184387207</v>
      </c>
      <c r="S866" s="25" t="n">
        <v>1.18614768981934</v>
      </c>
      <c r="T866" s="25" t="n">
        <v>0.5334312915802</v>
      </c>
      <c r="U866" s="25" t="n">
        <v>0.181199356913567</v>
      </c>
      <c r="V866" s="25" t="n">
        <v>3.1007387638092</v>
      </c>
      <c r="W866" s="25" t="n">
        <v>0.406544864177704</v>
      </c>
      <c r="X866" s="25" t="n">
        <v>0</v>
      </c>
      <c r="Y866" s="25" t="n">
        <v>6574.51416015625</v>
      </c>
      <c r="Z866" s="25" t="n">
        <v>3.86733937263489</v>
      </c>
      <c r="AA866" s="25" t="n">
        <v>21.855281829834</v>
      </c>
      <c r="AB866" s="25" t="n">
        <v>5.38938045501709</v>
      </c>
      <c r="AC866" s="25" t="n">
        <v>0.0800953134894371</v>
      </c>
      <c r="AD866" s="25" t="n">
        <v>0.0698093697428703</v>
      </c>
      <c r="AE866" s="25" t="n">
        <v>0.804797470569611</v>
      </c>
      <c r="AF866" s="25" t="n">
        <v>0.369793504476547</v>
      </c>
      <c r="AG866" s="25" t="n">
        <v>0.13257347047329</v>
      </c>
      <c r="AH866" s="25" t="n">
        <v>2.14120721817017</v>
      </c>
      <c r="AI866" s="25" t="n">
        <v>32.4626045227051</v>
      </c>
      <c r="AJ866" s="6" t="n">
        <v>52.5</v>
      </c>
      <c r="AK866" s="6" t="n">
        <v>75.5</v>
      </c>
      <c r="AL866" s="26"/>
    </row>
    <row r="867" customFormat="false" ht="15" hidden="false" customHeight="false" outlineLevel="0" collapsed="false">
      <c r="A867" s="6" t="s">
        <v>4510</v>
      </c>
      <c r="B867" s="6" t="s">
        <v>4511</v>
      </c>
      <c r="C867" s="6" t="s">
        <v>3732</v>
      </c>
      <c r="D867" s="13" t="n">
        <v>103.572441101074</v>
      </c>
      <c r="E867" s="25" t="n">
        <v>1.06840658187866</v>
      </c>
      <c r="F867" s="25" t="n">
        <v>21.6915321350098</v>
      </c>
      <c r="G867" s="25" t="n">
        <v>1.12237811088562</v>
      </c>
      <c r="H867" s="25" t="n">
        <v>3.41177845001221</v>
      </c>
      <c r="I867" s="25" t="n">
        <v>18.6766700744629</v>
      </c>
      <c r="J867" s="25" t="n">
        <v>0.147904846191406</v>
      </c>
      <c r="K867" s="25" t="n">
        <v>0.243264770507813</v>
      </c>
      <c r="L867" s="25" t="n">
        <v>0.628949645996094</v>
      </c>
      <c r="M867" s="25" t="n">
        <v>0</v>
      </c>
      <c r="N867" s="25" t="n">
        <v>76.7681427001953</v>
      </c>
      <c r="O867" s="25" t="n">
        <v>288.059936523438</v>
      </c>
      <c r="P867" s="25" t="n">
        <v>28.7162532806397</v>
      </c>
      <c r="Q867" s="25" t="n">
        <v>29.427547454834</v>
      </c>
      <c r="R867" s="25" t="n">
        <v>29.1562557220459</v>
      </c>
      <c r="S867" s="25" t="n">
        <v>1.18648707866669</v>
      </c>
      <c r="T867" s="25" t="n">
        <v>0.264404356479645</v>
      </c>
      <c r="U867" s="25" t="n">
        <v>0.128386080265045</v>
      </c>
      <c r="V867" s="25" t="n">
        <v>0.663794457912445</v>
      </c>
      <c r="W867" s="25" t="n">
        <v>0.292398512363434</v>
      </c>
      <c r="X867" s="25" t="n">
        <v>0</v>
      </c>
      <c r="Y867" s="25" t="n">
        <v>3224.31274414063</v>
      </c>
      <c r="Z867" s="25" t="n">
        <v>0.41442745923996</v>
      </c>
      <c r="AA867" s="25" t="n">
        <v>8.13974952697754</v>
      </c>
      <c r="AB867" s="25" t="n">
        <v>1.29200613498688</v>
      </c>
      <c r="AC867" s="25" t="n">
        <v>0.0224644653499126</v>
      </c>
      <c r="AD867" s="25" t="n">
        <v>0.0276841148734093</v>
      </c>
      <c r="AE867" s="25" t="n">
        <v>0.584638595581055</v>
      </c>
      <c r="AF867" s="25" t="n">
        <v>0.156343474984169</v>
      </c>
      <c r="AG867" s="25" t="n">
        <v>0.0512398146092892</v>
      </c>
      <c r="AH867" s="25" t="n">
        <v>0.257869094610214</v>
      </c>
      <c r="AI867" s="25" t="n">
        <v>6.54436588287354</v>
      </c>
      <c r="AJ867" s="6" t="n">
        <v>263.8</v>
      </c>
      <c r="AK867" s="6" t="n">
        <v>273.3</v>
      </c>
      <c r="AL867" s="26"/>
    </row>
    <row r="868" customFormat="false" ht="15" hidden="false" customHeight="false" outlineLevel="0" collapsed="false">
      <c r="A868" s="6" t="s">
        <v>4512</v>
      </c>
      <c r="B868" s="6" t="s">
        <v>4513</v>
      </c>
      <c r="C868" s="6" t="s">
        <v>3007</v>
      </c>
      <c r="D868" s="13" t="n">
        <v>338.194061279297</v>
      </c>
      <c r="E868" s="25" t="n">
        <v>15.3279047012329</v>
      </c>
      <c r="F868" s="25" t="n">
        <v>1.30289471149445</v>
      </c>
      <c r="G868" s="25" t="n">
        <v>30.2565479278565</v>
      </c>
      <c r="H868" s="25" t="n">
        <v>1.99574899673462</v>
      </c>
      <c r="I868" s="25" t="n">
        <v>0.961953461170197</v>
      </c>
      <c r="J868" s="25" t="n">
        <v>2.36032568359375</v>
      </c>
      <c r="K868" s="25" t="n">
        <v>16.2551572265625</v>
      </c>
      <c r="L868" s="25" t="n">
        <v>6.57488330078125</v>
      </c>
      <c r="M868" s="25" t="n">
        <v>47.6234817504883</v>
      </c>
      <c r="N868" s="25" t="n">
        <v>50.6174087524414</v>
      </c>
      <c r="O868" s="25" t="n">
        <v>284.459503173828</v>
      </c>
      <c r="P868" s="25" t="n">
        <v>43.194149017334</v>
      </c>
      <c r="Q868" s="25" t="n">
        <v>168.544906616211</v>
      </c>
      <c r="R868" s="25" t="n">
        <v>58.5334815979004</v>
      </c>
      <c r="S868" s="25" t="n">
        <v>1.23291492462158</v>
      </c>
      <c r="T868" s="25" t="n">
        <v>0.980829954147339</v>
      </c>
      <c r="U868" s="25" t="n">
        <v>0.3161740899086</v>
      </c>
      <c r="V868" s="25" t="n">
        <v>11.1781578063965</v>
      </c>
      <c r="W868" s="25" t="n">
        <v>0.395425111055374</v>
      </c>
      <c r="X868" s="25" t="n">
        <v>21.3133602142334</v>
      </c>
      <c r="Y868" s="25" t="n">
        <v>90.4271545410156</v>
      </c>
      <c r="Z868" s="25" t="n">
        <v>8.83245944976807</v>
      </c>
      <c r="AA868" s="25" t="n">
        <v>2.33378553390503</v>
      </c>
      <c r="AB868" s="25" t="n">
        <v>1.99273276329041</v>
      </c>
      <c r="AC868" s="25" t="n">
        <v>0.0806983783841133</v>
      </c>
      <c r="AD868" s="25" t="n">
        <v>0.0956781357526779</v>
      </c>
      <c r="AE868" s="25" t="n">
        <v>5.12580966949463</v>
      </c>
      <c r="AF868" s="25" t="n">
        <v>0.809281408786774</v>
      </c>
      <c r="AG868" s="25" t="n">
        <v>0.336720645427704</v>
      </c>
      <c r="AH868" s="25" t="n">
        <v>2.96510124206543</v>
      </c>
      <c r="AI868" s="25" t="n">
        <v>14.371750831604</v>
      </c>
      <c r="AJ868" s="6" t="n">
        <v>247</v>
      </c>
      <c r="AK868" s="6" t="n">
        <v>835.3</v>
      </c>
      <c r="AL868" s="26"/>
    </row>
    <row r="869" customFormat="false" ht="15" hidden="false" customHeight="false" outlineLevel="0" collapsed="false">
      <c r="A869" s="6" t="s">
        <v>4514</v>
      </c>
      <c r="B869" s="6" t="s">
        <v>4515</v>
      </c>
      <c r="C869" s="6" t="s">
        <v>2949</v>
      </c>
      <c r="D869" s="13" t="n">
        <v>262.192596435547</v>
      </c>
      <c r="E869" s="25" t="n">
        <v>5.01569986343384</v>
      </c>
      <c r="F869" s="25" t="n">
        <v>21.6284503936768</v>
      </c>
      <c r="G869" s="25" t="n">
        <v>17.7823371887207</v>
      </c>
      <c r="H869" s="25" t="n">
        <v>0.555027186870575</v>
      </c>
      <c r="I869" s="25" t="n">
        <v>3.72634148597717</v>
      </c>
      <c r="J869" s="25" t="n">
        <v>3.22833984375</v>
      </c>
      <c r="K869" s="25" t="n">
        <v>9.044052734375</v>
      </c>
      <c r="L869" s="25" t="n">
        <v>3.85798193359375</v>
      </c>
      <c r="M869" s="25" t="n">
        <v>58.6369972229004</v>
      </c>
      <c r="N869" s="25" t="n">
        <v>163.989105224609</v>
      </c>
      <c r="O869" s="25" t="n">
        <v>147.090560913086</v>
      </c>
      <c r="P869" s="25" t="n">
        <v>35.6993446350098</v>
      </c>
      <c r="Q869" s="25" t="n">
        <v>84.2889099121094</v>
      </c>
      <c r="R869" s="25" t="n">
        <v>18.7153301239014</v>
      </c>
      <c r="S869" s="25" t="n">
        <v>0.773767113685608</v>
      </c>
      <c r="T869" s="25" t="n">
        <v>0.573060810565949</v>
      </c>
      <c r="U869" s="25" t="n">
        <v>0.106895215809345</v>
      </c>
      <c r="V869" s="25" t="n">
        <v>10.2086544036865</v>
      </c>
      <c r="W869" s="25" t="n">
        <v>0.240033641457558</v>
      </c>
      <c r="X869" s="25" t="n">
        <v>56.3518753051758</v>
      </c>
      <c r="Y869" s="25" t="n">
        <v>470.638610839844</v>
      </c>
      <c r="Z869" s="25" t="n">
        <v>4.09680223464966</v>
      </c>
      <c r="AA869" s="25" t="n">
        <v>4.61142539978027</v>
      </c>
      <c r="AB869" s="25" t="n">
        <v>13.7541217803955</v>
      </c>
      <c r="AC869" s="25" t="n">
        <v>0.0641811117529869</v>
      </c>
      <c r="AD869" s="25" t="n">
        <v>0.0819922387599945</v>
      </c>
      <c r="AE869" s="25" t="n">
        <v>0.916470885276794</v>
      </c>
      <c r="AF869" s="25" t="n">
        <v>0.416238039731979</v>
      </c>
      <c r="AG869" s="25" t="n">
        <v>0.105860285460949</v>
      </c>
      <c r="AH869" s="25" t="n">
        <v>3.02113580703735</v>
      </c>
      <c r="AI869" s="25" t="n">
        <v>21.5409526824951</v>
      </c>
      <c r="AJ869" s="6" t="n">
        <v>161</v>
      </c>
      <c r="AK869" s="6" t="n">
        <v>422.2</v>
      </c>
      <c r="AL869" s="26"/>
    </row>
    <row r="870" customFormat="false" ht="15" hidden="false" customHeight="false" outlineLevel="0" collapsed="false">
      <c r="A870" s="6" t="s">
        <v>4516</v>
      </c>
      <c r="B870" s="6" t="s">
        <v>4517</v>
      </c>
      <c r="C870" s="6" t="s">
        <v>3007</v>
      </c>
      <c r="D870" s="13" t="n">
        <v>84.8369598388672</v>
      </c>
      <c r="E870" s="25" t="n">
        <v>3.2444281578064</v>
      </c>
      <c r="F870" s="25" t="n">
        <v>5.24712038040161</v>
      </c>
      <c r="G870" s="25" t="n">
        <v>5.75958633422852</v>
      </c>
      <c r="H870" s="25" t="n">
        <v>0.925567507743835</v>
      </c>
      <c r="I870" s="25" t="n">
        <v>4.21410942077637</v>
      </c>
      <c r="J870" s="25" t="n">
        <v>3.16676000976563</v>
      </c>
      <c r="K870" s="25" t="n">
        <v>1.41148779296875</v>
      </c>
      <c r="L870" s="25" t="n">
        <v>0.254906097412109</v>
      </c>
      <c r="M870" s="25" t="n">
        <v>16.2610378265381</v>
      </c>
      <c r="N870" s="25" t="n">
        <v>125.313049316406</v>
      </c>
      <c r="O870" s="25" t="n">
        <v>210.132034301758</v>
      </c>
      <c r="P870" s="25" t="n">
        <v>118.489952087402</v>
      </c>
      <c r="Q870" s="25" t="n">
        <v>93.8727188110352</v>
      </c>
      <c r="R870" s="25" t="n">
        <v>15.5474538803101</v>
      </c>
      <c r="S870" s="25" t="n">
        <v>0.189015716314316</v>
      </c>
      <c r="T870" s="25" t="n">
        <v>0.393691569566727</v>
      </c>
      <c r="U870" s="25" t="n">
        <v>0.0186840407550335</v>
      </c>
      <c r="V870" s="25" t="n">
        <v>1.91471028327942</v>
      </c>
      <c r="W870" s="25" t="n">
        <v>0.0678957626223564</v>
      </c>
      <c r="X870" s="25" t="n">
        <v>35.1066131591797</v>
      </c>
      <c r="Y870" s="25" t="n">
        <v>136.862152099609</v>
      </c>
      <c r="Z870" s="25" t="n">
        <v>0.144499242305756</v>
      </c>
      <c r="AA870" s="25" t="n">
        <v>36.9659576416016</v>
      </c>
      <c r="AB870" s="25" t="n">
        <v>12.1872301101685</v>
      </c>
      <c r="AC870" s="25" t="n">
        <v>0.0379000641405582</v>
      </c>
      <c r="AD870" s="25" t="n">
        <v>0.154561713337898</v>
      </c>
      <c r="AE870" s="25" t="n">
        <v>0.178843423724175</v>
      </c>
      <c r="AF870" s="25" t="n">
        <v>0.284570336341858</v>
      </c>
      <c r="AG870" s="25" t="n">
        <v>0.0902950689196587</v>
      </c>
      <c r="AH870" s="25" t="n">
        <v>1.55584537982941</v>
      </c>
      <c r="AI870" s="25" t="n">
        <v>23.1461334228516</v>
      </c>
      <c r="AJ870" s="6" t="n">
        <v>232.2</v>
      </c>
      <c r="AK870" s="6" t="n">
        <v>196.9</v>
      </c>
      <c r="AL870" s="26"/>
    </row>
    <row r="871" customFormat="false" ht="15" hidden="false" customHeight="false" outlineLevel="0" collapsed="false">
      <c r="A871" s="6" t="s">
        <v>4518</v>
      </c>
      <c r="B871" s="6" t="s">
        <v>4519</v>
      </c>
      <c r="C871" s="6" t="s">
        <v>3007</v>
      </c>
      <c r="D871" s="13" t="n">
        <v>72.6445083618164</v>
      </c>
      <c r="E871" s="25" t="n">
        <v>4.04769515991211</v>
      </c>
      <c r="F871" s="25" t="n">
        <v>7.15195846557617</v>
      </c>
      <c r="G871" s="25" t="n">
        <v>3.23828411102295</v>
      </c>
      <c r="H871" s="25" t="n">
        <v>0.599930703639984</v>
      </c>
      <c r="I871" s="25" t="n">
        <v>7.01225328445435</v>
      </c>
      <c r="J871" s="25" t="n">
        <v>1.95297485351563</v>
      </c>
      <c r="K871" s="25" t="n">
        <v>0.871853332519531</v>
      </c>
      <c r="L871" s="25" t="n">
        <v>0.141280990600586</v>
      </c>
      <c r="M871" s="25" t="n">
        <v>4.67071056365967</v>
      </c>
      <c r="N871" s="25" t="n">
        <v>195.183212280273</v>
      </c>
      <c r="O871" s="25" t="n">
        <v>208.121322631836</v>
      </c>
      <c r="P871" s="25" t="n">
        <v>138.309448242188</v>
      </c>
      <c r="Q871" s="25" t="n">
        <v>118.153900146484</v>
      </c>
      <c r="R871" s="25" t="n">
        <v>14.7266721725464</v>
      </c>
      <c r="S871" s="25" t="n">
        <v>0.248266890645027</v>
      </c>
      <c r="T871" s="25" t="n">
        <v>0.484315425157547</v>
      </c>
      <c r="U871" s="25" t="n">
        <v>0.037798959761858</v>
      </c>
      <c r="V871" s="25" t="n">
        <v>1.33424615859985</v>
      </c>
      <c r="W871" s="25" t="n">
        <v>0.0369497388601303</v>
      </c>
      <c r="X871" s="25" t="n">
        <v>11.8890810012817</v>
      </c>
      <c r="Y871" s="25" t="n">
        <v>161.856781005859</v>
      </c>
      <c r="Z871" s="25" t="n">
        <v>0.119844019412994</v>
      </c>
      <c r="AA871" s="25" t="n">
        <v>3.40883874893189</v>
      </c>
      <c r="AB871" s="25" t="n">
        <v>3.19138646125794</v>
      </c>
      <c r="AC871" s="25" t="n">
        <v>0.0487694963812828</v>
      </c>
      <c r="AD871" s="25" t="n">
        <v>0.165389940142632</v>
      </c>
      <c r="AE871" s="25" t="n">
        <v>0.193535521626473</v>
      </c>
      <c r="AF871" s="25" t="n">
        <v>0.420519918203354</v>
      </c>
      <c r="AG871" s="25" t="n">
        <v>0.110779896378517</v>
      </c>
      <c r="AH871" s="25" t="n">
        <v>2.020103931427</v>
      </c>
      <c r="AI871" s="25" t="n">
        <v>16.5384216308594</v>
      </c>
      <c r="AJ871" s="6" t="n">
        <v>144.3</v>
      </c>
      <c r="AK871" s="6" t="n">
        <v>104.8</v>
      </c>
      <c r="AL871" s="26"/>
    </row>
    <row r="872" customFormat="false" ht="15" hidden="false" customHeight="false" outlineLevel="0" collapsed="false">
      <c r="A872" s="6" t="s">
        <v>4520</v>
      </c>
      <c r="B872" s="6" t="s">
        <v>4521</v>
      </c>
      <c r="C872" s="6" t="s">
        <v>3007</v>
      </c>
      <c r="D872" s="13" t="n">
        <v>71.5574111938477</v>
      </c>
      <c r="E872" s="25" t="n">
        <v>4.85539960861206</v>
      </c>
      <c r="F872" s="25" t="n">
        <v>7.86297130584717</v>
      </c>
      <c r="G872" s="25" t="n">
        <v>2.42523956298828</v>
      </c>
      <c r="H872" s="25" t="n">
        <v>0.647987246513367</v>
      </c>
      <c r="I872" s="25" t="n">
        <v>7.06993627548218</v>
      </c>
      <c r="J872" s="25" t="n">
        <v>1.513982421875</v>
      </c>
      <c r="K872" s="25" t="n">
        <v>0.625889526367188</v>
      </c>
      <c r="L872" s="25" t="n">
        <v>0.115718849182129</v>
      </c>
      <c r="M872" s="25" t="n">
        <v>8.6102237701416</v>
      </c>
      <c r="N872" s="25" t="n">
        <v>189.964859008789</v>
      </c>
      <c r="O872" s="25" t="n">
        <v>269.875396728516</v>
      </c>
      <c r="P872" s="25" t="n">
        <v>163.795532226563</v>
      </c>
      <c r="Q872" s="25" t="n">
        <v>141.309677124023</v>
      </c>
      <c r="R872" s="25" t="n">
        <v>20.5522689819336</v>
      </c>
      <c r="S872" s="25" t="n">
        <v>0.30479234457016</v>
      </c>
      <c r="T872" s="25" t="n">
        <v>0.627987205982208</v>
      </c>
      <c r="U872" s="25" t="n">
        <v>0.0279872193932533</v>
      </c>
      <c r="V872" s="25" t="n">
        <v>1.6314697265625</v>
      </c>
      <c r="W872" s="25" t="n">
        <v>0.0687539950013161</v>
      </c>
      <c r="X872" s="25" t="n">
        <v>21.9169330596924</v>
      </c>
      <c r="Y872" s="25" t="n">
        <v>382.511169433594</v>
      </c>
      <c r="Z872" s="25" t="n">
        <v>0.0660383403301239</v>
      </c>
      <c r="AA872" s="25" t="n">
        <v>7.45942497253418</v>
      </c>
      <c r="AB872" s="25" t="n">
        <v>5.39070272445679</v>
      </c>
      <c r="AC872" s="25" t="n">
        <v>0.0582428127527237</v>
      </c>
      <c r="AD872" s="25" t="n">
        <v>0.217571884393692</v>
      </c>
      <c r="AE872" s="25" t="n">
        <v>0.255623012781143</v>
      </c>
      <c r="AF872" s="25" t="n">
        <v>0.460415333509445</v>
      </c>
      <c r="AG872" s="25" t="n">
        <v>0.10744409263134</v>
      </c>
      <c r="AH872" s="25" t="n">
        <v>2.56546330451965</v>
      </c>
      <c r="AI872" s="25" t="n">
        <v>20.530574798584</v>
      </c>
      <c r="AJ872" s="6" t="n">
        <v>156.5</v>
      </c>
      <c r="AK872" s="6" t="n">
        <v>112</v>
      </c>
      <c r="AL872" s="26"/>
    </row>
    <row r="873" customFormat="false" ht="15" hidden="false" customHeight="false" outlineLevel="0" collapsed="false">
      <c r="A873" s="6" t="s">
        <v>4522</v>
      </c>
      <c r="B873" s="6" t="s">
        <v>4523</v>
      </c>
      <c r="C873" s="6" t="s">
        <v>3007</v>
      </c>
      <c r="D873" s="13" t="n">
        <v>77.1293640136719</v>
      </c>
      <c r="E873" s="25" t="n">
        <v>5.57892322540283</v>
      </c>
      <c r="F873" s="25" t="n">
        <v>7.66093683242798</v>
      </c>
      <c r="G873" s="25" t="n">
        <v>2.92440891265869</v>
      </c>
      <c r="H873" s="25" t="n">
        <v>0.25872415304184</v>
      </c>
      <c r="I873" s="25" t="n">
        <v>7.49317598342896</v>
      </c>
      <c r="J873" s="25" t="n">
        <v>1.8365458984375</v>
      </c>
      <c r="K873" s="25" t="n">
        <v>0.762545349121094</v>
      </c>
      <c r="L873" s="25" t="n">
        <v>0.127088958740234</v>
      </c>
      <c r="M873" s="25" t="n">
        <v>10.5150213241577</v>
      </c>
      <c r="N873" s="25" t="n">
        <v>161.313888549805</v>
      </c>
      <c r="O873" s="25" t="n">
        <v>286.936401367188</v>
      </c>
      <c r="P873" s="25" t="n">
        <v>193.582260131836</v>
      </c>
      <c r="Q873" s="25" t="n">
        <v>165.245544433594</v>
      </c>
      <c r="R873" s="25" t="n">
        <v>20.1240463256836</v>
      </c>
      <c r="S873" s="25" t="n">
        <v>0.210144355893135</v>
      </c>
      <c r="T873" s="25" t="n">
        <v>0.691771388053894</v>
      </c>
      <c r="U873" s="25" t="n">
        <v>0.00883730035275221</v>
      </c>
      <c r="V873" s="25" t="n">
        <v>1.91533362865448</v>
      </c>
      <c r="W873" s="25" t="n">
        <v>0.0198751464486122</v>
      </c>
      <c r="X873" s="25" t="n">
        <v>26.7655086517334</v>
      </c>
      <c r="Y873" s="25" t="n">
        <v>206.149429321289</v>
      </c>
      <c r="Z873" s="25" t="n">
        <v>0.0601287558674812</v>
      </c>
      <c r="AA873" s="25" t="n">
        <v>2.96544671058655</v>
      </c>
      <c r="AB873" s="25" t="n">
        <v>4.19048404693604</v>
      </c>
      <c r="AC873" s="25" t="n">
        <v>0.0614592283964157</v>
      </c>
      <c r="AD873" s="25" t="n">
        <v>0.263882160186768</v>
      </c>
      <c r="AE873" s="25" t="n">
        <v>0.24833008646965</v>
      </c>
      <c r="AF873" s="25" t="n">
        <v>0.491732358932495</v>
      </c>
      <c r="AG873" s="25" t="n">
        <v>0.110238000750542</v>
      </c>
      <c r="AH873" s="25" t="n">
        <v>2.53831052780151</v>
      </c>
      <c r="AI873" s="25" t="n">
        <v>18.3553256988525</v>
      </c>
      <c r="AJ873" s="6" t="n">
        <v>102.5</v>
      </c>
      <c r="AK873" s="6" t="n">
        <v>79.1</v>
      </c>
      <c r="AL873" s="26"/>
    </row>
    <row r="874" customFormat="false" ht="15" hidden="false" customHeight="false" outlineLevel="0" collapsed="false">
      <c r="A874" s="6" t="s">
        <v>4524</v>
      </c>
      <c r="B874" s="6" t="s">
        <v>4525</v>
      </c>
      <c r="C874" s="6" t="s">
        <v>3007</v>
      </c>
      <c r="D874" s="13" t="n">
        <v>177.713943481445</v>
      </c>
      <c r="E874" s="25" t="n">
        <v>4.85511350631714</v>
      </c>
      <c r="F874" s="25" t="n">
        <v>5.00632524490356</v>
      </c>
      <c r="G874" s="25" t="n">
        <v>15.3285789489746</v>
      </c>
      <c r="H874" s="25" t="n">
        <v>1.35934770107269</v>
      </c>
      <c r="I874" s="25" t="n">
        <v>3.30633664131165</v>
      </c>
      <c r="J874" s="25" t="n">
        <v>2.9901474609375</v>
      </c>
      <c r="K874" s="25" t="n">
        <v>8.729318359375</v>
      </c>
      <c r="L874" s="25" t="n">
        <v>2.23525805664063</v>
      </c>
      <c r="M874" s="25" t="n">
        <v>6.11531734466553</v>
      </c>
      <c r="N874" s="25" t="n">
        <v>292.035583496094</v>
      </c>
      <c r="O874" s="25" t="n">
        <v>336.765869140625</v>
      </c>
      <c r="P874" s="25" t="n">
        <v>109.105529785156</v>
      </c>
      <c r="Q874" s="25" t="n">
        <v>97.055908203125</v>
      </c>
      <c r="R874" s="25" t="n">
        <v>32.1990699768066</v>
      </c>
      <c r="S874" s="25" t="n">
        <v>1.29513108730316</v>
      </c>
      <c r="T874" s="25" t="n">
        <v>0.478124648332596</v>
      </c>
      <c r="U874" s="25" t="n">
        <v>0.102347120642662</v>
      </c>
      <c r="V874" s="25" t="n">
        <v>2.29834580421448</v>
      </c>
      <c r="W874" s="25" t="n">
        <v>0.477478176355362</v>
      </c>
      <c r="X874" s="25" t="n">
        <v>19.2195682525635</v>
      </c>
      <c r="Y874" s="25" t="n">
        <v>1605.04125976563</v>
      </c>
      <c r="Z874" s="25" t="n">
        <v>3.91290640830994</v>
      </c>
      <c r="AA874" s="25" t="n">
        <v>307.012725830078</v>
      </c>
      <c r="AB874" s="25" t="n">
        <v>56.8209686279297</v>
      </c>
      <c r="AC874" s="25" t="n">
        <v>0.124041929841042</v>
      </c>
      <c r="AD874" s="25" t="n">
        <v>0.067315086722374</v>
      </c>
      <c r="AE874" s="25" t="n">
        <v>0.617553889751434</v>
      </c>
      <c r="AF874" s="25" t="n">
        <v>0.144076883792877</v>
      </c>
      <c r="AG874" s="25" t="n">
        <v>0.213197439908981</v>
      </c>
      <c r="AH874" s="25" t="n">
        <v>1.54335463047028</v>
      </c>
      <c r="AI874" s="25" t="n">
        <v>65.9604339599609</v>
      </c>
      <c r="AJ874" s="6" t="n">
        <v>53.7</v>
      </c>
      <c r="AK874" s="6" t="n">
        <v>95.4</v>
      </c>
      <c r="AL874" s="26"/>
    </row>
    <row r="875" customFormat="false" ht="15" hidden="false" customHeight="false" outlineLevel="0" collapsed="false">
      <c r="A875" s="6" t="s">
        <v>4526</v>
      </c>
      <c r="B875" s="6" t="s">
        <v>4527</v>
      </c>
      <c r="C875" s="6" t="s">
        <v>4071</v>
      </c>
      <c r="D875" s="13" t="n">
        <v>186.194732666016</v>
      </c>
      <c r="E875" s="25" t="n">
        <v>7.56134128570557</v>
      </c>
      <c r="F875" s="25" t="n">
        <v>9.64064311981201</v>
      </c>
      <c r="G875" s="25" t="n">
        <v>13.4935035705566</v>
      </c>
      <c r="H875" s="25" t="n">
        <v>1.06843686103821</v>
      </c>
      <c r="I875" s="25" t="n">
        <v>2.80560970306397</v>
      </c>
      <c r="J875" s="25" t="n">
        <v>7.830509765625</v>
      </c>
      <c r="K875" s="25" t="n">
        <v>3.74427172851563</v>
      </c>
      <c r="L875" s="25" t="n">
        <v>0.624807922363281</v>
      </c>
      <c r="M875" s="25" t="n">
        <v>76.0210647583008</v>
      </c>
      <c r="N875" s="25" t="n">
        <v>434.684967041016</v>
      </c>
      <c r="O875" s="25" t="n">
        <v>197.90022277832</v>
      </c>
      <c r="P875" s="25" t="n">
        <v>114.315757751465</v>
      </c>
      <c r="Q875" s="25" t="n">
        <v>118.653656005859</v>
      </c>
      <c r="R875" s="25" t="n">
        <v>21.0023937225342</v>
      </c>
      <c r="S875" s="25" t="n">
        <v>1.40498888492584</v>
      </c>
      <c r="T875" s="25" t="n">
        <v>0.651807069778442</v>
      </c>
      <c r="U875" s="25" t="n">
        <v>0.0683148577809334</v>
      </c>
      <c r="V875" s="25" t="n">
        <v>7.31542110443115</v>
      </c>
      <c r="W875" s="25" t="n">
        <v>0.223303765058518</v>
      </c>
      <c r="X875" s="25" t="n">
        <v>145.350326538086</v>
      </c>
      <c r="Y875" s="25" t="n">
        <v>825.930541992188</v>
      </c>
      <c r="Z875" s="25" t="n">
        <v>0.591563224792481</v>
      </c>
      <c r="AA875" s="25" t="n">
        <v>23.1031036376953</v>
      </c>
      <c r="AB875" s="25" t="n">
        <v>2.40021061897278</v>
      </c>
      <c r="AC875" s="25" t="n">
        <v>0.0706430152058601</v>
      </c>
      <c r="AD875" s="25" t="n">
        <v>0.170044347643852</v>
      </c>
      <c r="AE875" s="25" t="n">
        <v>0.653237223625183</v>
      </c>
      <c r="AF875" s="25" t="n">
        <v>0.323237240314484</v>
      </c>
      <c r="AG875" s="25" t="n">
        <v>0.0856873616576195</v>
      </c>
      <c r="AH875" s="25" t="n">
        <v>3.79594230651856</v>
      </c>
      <c r="AI875" s="25" t="n">
        <v>29.6999988555908</v>
      </c>
      <c r="AJ875" s="6" t="n">
        <v>451</v>
      </c>
      <c r="AK875" s="6" t="n">
        <v>839.7</v>
      </c>
      <c r="AL875" s="26"/>
    </row>
    <row r="876" customFormat="false" ht="15" hidden="false" customHeight="false" outlineLevel="0" collapsed="false">
      <c r="A876" s="6" t="s">
        <v>4528</v>
      </c>
      <c r="B876" s="6" t="s">
        <v>4529</v>
      </c>
      <c r="C876" s="6" t="s">
        <v>4071</v>
      </c>
      <c r="D876" s="13" t="n">
        <v>123.5146484375</v>
      </c>
      <c r="E876" s="25" t="n">
        <v>6.38327646255493</v>
      </c>
      <c r="F876" s="25" t="n">
        <v>8.0204963684082</v>
      </c>
      <c r="G876" s="25" t="n">
        <v>7.36500024795532</v>
      </c>
      <c r="H876" s="25" t="n">
        <v>1.24201345443726</v>
      </c>
      <c r="I876" s="25" t="n">
        <v>1.8366391658783</v>
      </c>
      <c r="J876" s="25" t="n">
        <v>3.94726025390625</v>
      </c>
      <c r="K876" s="25" t="n">
        <v>2.13454296875</v>
      </c>
      <c r="L876" s="25" t="n">
        <v>0.484167724609375</v>
      </c>
      <c r="M876" s="25" t="n">
        <v>86.4541397094727</v>
      </c>
      <c r="N876" s="25" t="n">
        <v>131.141082763672</v>
      </c>
      <c r="O876" s="25" t="n">
        <v>274.754913330078</v>
      </c>
      <c r="P876" s="25" t="n">
        <v>103.678268432617</v>
      </c>
      <c r="Q876" s="25" t="n">
        <v>119.811294555664</v>
      </c>
      <c r="R876" s="25" t="n">
        <v>18.3001670837402</v>
      </c>
      <c r="S876" s="25" t="n">
        <v>0.741593360900879</v>
      </c>
      <c r="T876" s="25" t="n">
        <v>0.815700173377991</v>
      </c>
      <c r="U876" s="25" t="n">
        <v>0.0688479542732239</v>
      </c>
      <c r="V876" s="25" t="n">
        <v>9.24515342712402</v>
      </c>
      <c r="W876" s="25" t="n">
        <v>0.132519230246544</v>
      </c>
      <c r="X876" s="25" t="n">
        <v>89.7942962646484</v>
      </c>
      <c r="Y876" s="25" t="n">
        <v>442.745910644531</v>
      </c>
      <c r="Z876" s="25" t="n">
        <v>0.989722371101379</v>
      </c>
      <c r="AA876" s="25" t="n">
        <v>5.15399026870728</v>
      </c>
      <c r="AB876" s="25" t="n">
        <v>25.7730617523193</v>
      </c>
      <c r="AC876" s="25" t="n">
        <v>0.049995556473732</v>
      </c>
      <c r="AD876" s="25" t="n">
        <v>0.109207764267921</v>
      </c>
      <c r="AE876" s="25" t="n">
        <v>0.612784922122955</v>
      </c>
      <c r="AF876" s="25" t="n">
        <v>0.58445930480957</v>
      </c>
      <c r="AG876" s="25" t="n">
        <v>0.156754404306412</v>
      </c>
      <c r="AH876" s="25" t="n">
        <v>4.94290685653687</v>
      </c>
      <c r="AI876" s="25" t="n">
        <v>24.504810333252</v>
      </c>
      <c r="AJ876" s="6" t="n">
        <v>1484.7</v>
      </c>
      <c r="AK876" s="6" t="n">
        <v>1833.8</v>
      </c>
      <c r="AL876" s="26" t="s">
        <v>3070</v>
      </c>
    </row>
    <row r="877" customFormat="false" ht="15" hidden="false" customHeight="false" outlineLevel="0" collapsed="false">
      <c r="A877" s="6" t="s">
        <v>4530</v>
      </c>
      <c r="B877" s="6" t="s">
        <v>4531</v>
      </c>
      <c r="C877" s="6" t="s">
        <v>4071</v>
      </c>
      <c r="D877" s="13" t="n">
        <v>182.354248046875</v>
      </c>
      <c r="E877" s="25" t="n">
        <v>9.06814575195313</v>
      </c>
      <c r="F877" s="25" t="n">
        <v>3.46606135368347</v>
      </c>
      <c r="G877" s="25" t="n">
        <v>14.7382478713989</v>
      </c>
      <c r="H877" s="25" t="n">
        <v>0.256496161222458</v>
      </c>
      <c r="I877" s="25" t="n">
        <v>2.4645779132843</v>
      </c>
      <c r="J877" s="25" t="n">
        <v>7.72866015625</v>
      </c>
      <c r="K877" s="25" t="n">
        <v>3.67939794921875</v>
      </c>
      <c r="L877" s="25" t="n">
        <v>0.638333740234375</v>
      </c>
      <c r="M877" s="25" t="n">
        <v>89.2448883056641</v>
      </c>
      <c r="N877" s="25" t="n">
        <v>120.931282043457</v>
      </c>
      <c r="O877" s="25" t="n">
        <v>160.391296386719</v>
      </c>
      <c r="P877" s="25" t="n">
        <v>61.7090797424316</v>
      </c>
      <c r="Q877" s="25" t="n">
        <v>115.105247497559</v>
      </c>
      <c r="R877" s="25" t="n">
        <v>12.2469692230225</v>
      </c>
      <c r="S877" s="25" t="n">
        <v>0.634654760360718</v>
      </c>
      <c r="T877" s="25" t="n">
        <v>0.555115103721619</v>
      </c>
      <c r="U877" s="25" t="n">
        <v>0.0981074199080467</v>
      </c>
      <c r="V877" s="25" t="n">
        <v>10.2251024246216</v>
      </c>
      <c r="W877" s="25" t="n">
        <v>0.0444437339901924</v>
      </c>
      <c r="X877" s="25" t="n">
        <v>145.909713745117</v>
      </c>
      <c r="Y877" s="25" t="n">
        <v>154.226333618164</v>
      </c>
      <c r="Z877" s="25" t="n">
        <v>0.578145802021027</v>
      </c>
      <c r="AA877" s="25" t="n">
        <v>1.140664935112</v>
      </c>
      <c r="AB877" s="25" t="n">
        <v>1.22736573219299</v>
      </c>
      <c r="AC877" s="25" t="n">
        <v>0.0497186705470085</v>
      </c>
      <c r="AD877" s="25" t="n">
        <v>0.108676470816135</v>
      </c>
      <c r="AE877" s="25" t="n">
        <v>2.11424565315247</v>
      </c>
      <c r="AF877" s="25" t="n">
        <v>0.629002571105957</v>
      </c>
      <c r="AG877" s="25" t="n">
        <v>0.175946280360222</v>
      </c>
      <c r="AH877" s="25" t="n">
        <v>4.38177728652954</v>
      </c>
      <c r="AI877" s="25" t="n">
        <v>14.718337059021</v>
      </c>
      <c r="AJ877" s="6" t="n">
        <v>195.5</v>
      </c>
      <c r="AK877" s="6" t="n">
        <v>356.5</v>
      </c>
      <c r="AL877" s="26"/>
    </row>
    <row r="878" customFormat="false" ht="15" hidden="false" customHeight="false" outlineLevel="0" collapsed="false">
      <c r="A878" s="6" t="s">
        <v>4532</v>
      </c>
      <c r="B878" s="6" t="s">
        <v>4533</v>
      </c>
      <c r="C878" s="6" t="s">
        <v>102</v>
      </c>
      <c r="D878" s="13" t="n">
        <v>109.147613525391</v>
      </c>
      <c r="E878" s="25" t="n">
        <v>0.877680361270905</v>
      </c>
      <c r="F878" s="25" t="n">
        <v>25.0658779144287</v>
      </c>
      <c r="G878" s="25" t="n">
        <v>0.483513981103897</v>
      </c>
      <c r="H878" s="25" t="n">
        <v>1.64828789234161</v>
      </c>
      <c r="I878" s="25" t="n">
        <v>22.8494129180908</v>
      </c>
      <c r="J878" s="25" t="n">
        <v>0.198947616577148</v>
      </c>
      <c r="K878" s="25" t="n">
        <v>0.142177429199219</v>
      </c>
      <c r="L878" s="25" t="n">
        <v>0.0812557830810547</v>
      </c>
      <c r="M878" s="25" t="n">
        <v>0.679323434829712</v>
      </c>
      <c r="N878" s="25" t="n">
        <v>75.609489440918</v>
      </c>
      <c r="O878" s="25" t="n">
        <v>235.596481323242</v>
      </c>
      <c r="P878" s="25" t="n">
        <v>40.2950630187988</v>
      </c>
      <c r="Q878" s="25" t="n">
        <v>30.3607082366943</v>
      </c>
      <c r="R878" s="25" t="n">
        <v>32.9098587036133</v>
      </c>
      <c r="S878" s="25" t="n">
        <v>1.94651019573212</v>
      </c>
      <c r="T878" s="25" t="n">
        <v>0.224991366267204</v>
      </c>
      <c r="U878" s="25" t="n">
        <v>0.098536416888237</v>
      </c>
      <c r="V878" s="25" t="n">
        <v>0.272288590669632</v>
      </c>
      <c r="W878" s="25" t="n">
        <v>0.293041080236435</v>
      </c>
      <c r="X878" s="25" t="n">
        <v>2.54608225822449</v>
      </c>
      <c r="Y878" s="25" t="n">
        <v>453.732116699219</v>
      </c>
      <c r="Z878" s="25" t="n">
        <v>0.0371729359030724</v>
      </c>
      <c r="AA878" s="25" t="n">
        <v>1.20673799514771</v>
      </c>
      <c r="AB878" s="25" t="n">
        <v>0.807138383388519</v>
      </c>
      <c r="AC878" s="25" t="n">
        <v>0.0397997908294201</v>
      </c>
      <c r="AD878" s="25" t="n">
        <v>0.0155229549854994</v>
      </c>
      <c r="AE878" s="25" t="n">
        <v>0.357090085744858</v>
      </c>
      <c r="AF878" s="25" t="n">
        <v>0.103969626128674</v>
      </c>
      <c r="AG878" s="25" t="n">
        <v>0.129589229822159</v>
      </c>
      <c r="AH878" s="25" t="n">
        <v>0.223441481590271</v>
      </c>
      <c r="AI878" s="25" t="n">
        <v>4.90112543106079</v>
      </c>
      <c r="AJ878" s="6" t="n">
        <v>3.6</v>
      </c>
      <c r="AK878" s="6" t="n">
        <v>4</v>
      </c>
      <c r="AL878" s="26"/>
    </row>
    <row r="879" customFormat="false" ht="15" hidden="false" customHeight="false" outlineLevel="0" collapsed="false">
      <c r="A879" s="6" t="s">
        <v>4534</v>
      </c>
      <c r="B879" s="6" t="s">
        <v>4535</v>
      </c>
      <c r="C879" s="6" t="s">
        <v>4536</v>
      </c>
      <c r="D879" s="13" t="n">
        <v>230.466400146484</v>
      </c>
      <c r="E879" s="25" t="n">
        <v>9.12929534912109</v>
      </c>
      <c r="F879" s="25" t="n">
        <v>29.1489429473877</v>
      </c>
      <c r="G879" s="25" t="n">
        <v>10.9644050598145</v>
      </c>
      <c r="H879" s="25" t="n">
        <v>24.3048458099365</v>
      </c>
      <c r="I879" s="25" t="n">
        <v>1.48123347759247</v>
      </c>
      <c r="J879" s="25" t="n">
        <v>1.02617175292969</v>
      </c>
      <c r="K879" s="25" t="n">
        <v>4.773466796875</v>
      </c>
      <c r="L879" s="25" t="n">
        <v>2.027017578125</v>
      </c>
      <c r="M879" s="25" t="n">
        <v>0</v>
      </c>
      <c r="N879" s="25" t="n">
        <v>1814.6640625</v>
      </c>
      <c r="O879" s="25" t="n">
        <v>1258.15417480469</v>
      </c>
      <c r="P879" s="25" t="n">
        <v>588.910339355469</v>
      </c>
      <c r="Q879" s="25" t="n">
        <v>237.56916809082</v>
      </c>
      <c r="R879" s="25" t="n">
        <v>269.436126708984</v>
      </c>
      <c r="S879" s="25" t="n">
        <v>12.8434362411499</v>
      </c>
      <c r="T879" s="25" t="n">
        <v>2.59916305541992</v>
      </c>
      <c r="U879" s="25" t="n">
        <v>0.928237915039063</v>
      </c>
      <c r="V879" s="25" t="n">
        <v>4.60136556625366</v>
      </c>
      <c r="W879" s="25" t="n">
        <v>9.00198268890381</v>
      </c>
      <c r="X879" s="25" t="n">
        <v>0</v>
      </c>
      <c r="Y879" s="25" t="n">
        <v>4355.876953125</v>
      </c>
      <c r="Z879" s="25" t="n">
        <v>0.894361257553101</v>
      </c>
      <c r="AA879" s="25" t="n">
        <v>76.2871322631836</v>
      </c>
      <c r="AB879" s="25" t="n">
        <v>5.48898649215698</v>
      </c>
      <c r="AC879" s="25" t="n">
        <v>0.251497805118561</v>
      </c>
      <c r="AD879" s="25" t="n">
        <v>0.164008811116219</v>
      </c>
      <c r="AE879" s="25" t="n">
        <v>2.75022029876709</v>
      </c>
      <c r="AF879" s="25" t="n">
        <v>0.217312768101692</v>
      </c>
      <c r="AG879" s="25" t="n">
        <v>0.181145370006561</v>
      </c>
      <c r="AH879" s="25" t="n">
        <v>1.24537444114685</v>
      </c>
      <c r="AI879" s="25" t="n">
        <v>18.8362998962402</v>
      </c>
      <c r="AJ879" s="6" t="n">
        <v>1.1</v>
      </c>
      <c r="AK879" s="6" t="n">
        <v>2.6</v>
      </c>
      <c r="AL879" s="26" t="s">
        <v>3053</v>
      </c>
    </row>
    <row r="880" customFormat="false" ht="15" hidden="false" customHeight="false" outlineLevel="0" collapsed="false">
      <c r="A880" s="6" t="s">
        <v>4537</v>
      </c>
      <c r="B880" s="6" t="s">
        <v>4538</v>
      </c>
      <c r="C880" s="6" t="s">
        <v>4539</v>
      </c>
      <c r="D880" s="13" t="n">
        <v>79.4174270629883</v>
      </c>
      <c r="E880" s="25" t="n">
        <v>5.42323875427246</v>
      </c>
      <c r="F880" s="25" t="n">
        <v>10.0081605911255</v>
      </c>
      <c r="G880" s="25" t="n">
        <v>1.6046245098114</v>
      </c>
      <c r="H880" s="25" t="n">
        <v>5.83663606643677</v>
      </c>
      <c r="I880" s="25" t="n">
        <v>0.918391227722168</v>
      </c>
      <c r="J880" s="25" t="n">
        <v>0.230489776611328</v>
      </c>
      <c r="K880" s="25" t="n">
        <v>0.302703369140625</v>
      </c>
      <c r="L880" s="25" t="n">
        <v>0.691265930175781</v>
      </c>
      <c r="M880" s="25" t="n">
        <v>0</v>
      </c>
      <c r="N880" s="25" t="n">
        <v>262.809631347656</v>
      </c>
      <c r="O880" s="25" t="n">
        <v>508.960845947266</v>
      </c>
      <c r="P880" s="25" t="n">
        <v>112.744163513184</v>
      </c>
      <c r="Q880" s="25" t="n">
        <v>91.2911758422852</v>
      </c>
      <c r="R880" s="25" t="n">
        <v>73.9256057739258</v>
      </c>
      <c r="S880" s="25" t="n">
        <v>4.57775402069092</v>
      </c>
      <c r="T880" s="25" t="n">
        <v>0.965004622936249</v>
      </c>
      <c r="U880" s="25" t="n">
        <v>0.294999480247498</v>
      </c>
      <c r="V880" s="25" t="n">
        <v>8.40152645111084</v>
      </c>
      <c r="W880" s="25" t="n">
        <v>1.00973153114319</v>
      </c>
      <c r="X880" s="25" t="n">
        <v>0</v>
      </c>
      <c r="Y880" s="25" t="n">
        <v>7902.3486328125</v>
      </c>
      <c r="Z880" s="25" t="n">
        <v>0.33614918589592</v>
      </c>
      <c r="AA880" s="25" t="n">
        <v>123.507484436035</v>
      </c>
      <c r="AB880" s="25" t="n">
        <v>30.1251583099365</v>
      </c>
      <c r="AC880" s="25" t="n">
        <v>0.108787782490253</v>
      </c>
      <c r="AD880" s="25" t="n">
        <v>0.0871134325861931</v>
      </c>
      <c r="AE880" s="25" t="n">
        <v>0.789615750312805</v>
      </c>
      <c r="AF880" s="25" t="n">
        <v>0.544269919395447</v>
      </c>
      <c r="AG880" s="25" t="n">
        <v>0.176039546728134</v>
      </c>
      <c r="AH880" s="25" t="n">
        <v>2.3739492893219</v>
      </c>
      <c r="AI880" s="25" t="n">
        <v>63.6455307006836</v>
      </c>
      <c r="AJ880" s="6" t="n">
        <v>24.4</v>
      </c>
      <c r="AK880" s="6" t="n">
        <v>19.4</v>
      </c>
      <c r="AL880" s="26"/>
    </row>
    <row r="881" customFormat="false" ht="15" hidden="false" customHeight="false" outlineLevel="0" collapsed="false">
      <c r="A881" s="6" t="s">
        <v>457</v>
      </c>
      <c r="B881" s="6" t="s">
        <v>4540</v>
      </c>
      <c r="C881" s="6" t="s">
        <v>3007</v>
      </c>
      <c r="D881" s="13" t="n">
        <v>187.164474487305</v>
      </c>
      <c r="E881" s="25" t="n">
        <v>2.721275806427</v>
      </c>
      <c r="F881" s="25" t="n">
        <v>22.4138011932373</v>
      </c>
      <c r="G881" s="25" t="n">
        <v>10.1012802124023</v>
      </c>
      <c r="H881" s="25" t="n">
        <v>1.82369565963745</v>
      </c>
      <c r="I881" s="25" t="n">
        <v>1.03352081775665</v>
      </c>
      <c r="J881" s="25" t="n">
        <v>4.72975048828125</v>
      </c>
      <c r="K881" s="25" t="n">
        <v>3.0563935546875</v>
      </c>
      <c r="L881" s="25" t="n">
        <v>1.33099584960938</v>
      </c>
      <c r="M881" s="25" t="n">
        <v>12.2383546829224</v>
      </c>
      <c r="N881" s="25" t="n">
        <v>100.261123657227</v>
      </c>
      <c r="O881" s="25" t="n">
        <v>189.276580810547</v>
      </c>
      <c r="P881" s="25" t="n">
        <v>15.1294078826904</v>
      </c>
      <c r="Q881" s="25" t="n">
        <v>55.2769393920898</v>
      </c>
      <c r="R881" s="25" t="n">
        <v>27.7136192321777</v>
      </c>
      <c r="S881" s="25" t="n">
        <v>0.859271824359894</v>
      </c>
      <c r="T881" s="25" t="n">
        <v>0.393203496932983</v>
      </c>
      <c r="U881" s="25" t="n">
        <v>0.134424135088921</v>
      </c>
      <c r="V881" s="25" t="n">
        <v>1.11312770843506</v>
      </c>
      <c r="W881" s="25" t="n">
        <v>0.245341241359711</v>
      </c>
      <c r="X881" s="25" t="n">
        <v>45.8689575195313</v>
      </c>
      <c r="Y881" s="25" t="n">
        <v>380.080413818359</v>
      </c>
      <c r="Z881" s="25" t="n">
        <v>0.845781862735748</v>
      </c>
      <c r="AA881" s="25" t="n">
        <v>5.37738227844238</v>
      </c>
      <c r="AB881" s="25" t="n">
        <v>4.94352912902832</v>
      </c>
      <c r="AC881" s="25" t="n">
        <v>0.0656749978661537</v>
      </c>
      <c r="AD881" s="25" t="n">
        <v>0.0153409987688065</v>
      </c>
      <c r="AE881" s="25" t="n">
        <v>1.237757563591</v>
      </c>
      <c r="AF881" s="25" t="n">
        <v>0.173039004206657</v>
      </c>
      <c r="AG881" s="25" t="n">
        <v>0.048090972006321</v>
      </c>
      <c r="AH881" s="25" t="n">
        <v>0.476480066776276</v>
      </c>
      <c r="AI881" s="25" t="n">
        <v>12.5974626541138</v>
      </c>
      <c r="AJ881" s="6" t="n">
        <v>271.4</v>
      </c>
      <c r="AK881" s="6" t="n">
        <v>507.9</v>
      </c>
      <c r="AL881" s="26"/>
    </row>
    <row r="882" customFormat="false" ht="15" hidden="false" customHeight="false" outlineLevel="0" collapsed="false">
      <c r="A882" s="6" t="s">
        <v>480</v>
      </c>
      <c r="B882" s="6" t="s">
        <v>4541</v>
      </c>
      <c r="C882" s="6" t="s">
        <v>3670</v>
      </c>
      <c r="D882" s="13" t="n">
        <v>135.930099487305</v>
      </c>
      <c r="E882" s="25" t="n">
        <v>7.80244112014771</v>
      </c>
      <c r="F882" s="25" t="n">
        <v>21.0288772583008</v>
      </c>
      <c r="G882" s="25" t="n">
        <v>2.85210514068604</v>
      </c>
      <c r="H882" s="25" t="n">
        <v>4.25090026855469</v>
      </c>
      <c r="I882" s="25" t="n">
        <v>1.86861062049866</v>
      </c>
      <c r="J882" s="25" t="n">
        <v>0.367775543212891</v>
      </c>
      <c r="K882" s="25" t="n">
        <v>0.552731384277344</v>
      </c>
      <c r="L882" s="25" t="n">
        <v>1.55240588378906</v>
      </c>
      <c r="M882" s="25" t="n">
        <v>0</v>
      </c>
      <c r="N882" s="25" t="n">
        <v>135.572052001953</v>
      </c>
      <c r="O882" s="25" t="n">
        <v>168.702346801758</v>
      </c>
      <c r="P882" s="25" t="n">
        <v>28.3808479309082</v>
      </c>
      <c r="Q882" s="25" t="n">
        <v>80.1960906982422</v>
      </c>
      <c r="R882" s="25" t="n">
        <v>27.7130069732666</v>
      </c>
      <c r="S882" s="25" t="n">
        <v>2.18690323829651</v>
      </c>
      <c r="T882" s="25" t="n">
        <v>0.645193338394165</v>
      </c>
      <c r="U882" s="25" t="n">
        <v>0.116638399660587</v>
      </c>
      <c r="V882" s="25" t="n">
        <v>1.34525835514069</v>
      </c>
      <c r="W882" s="25" t="n">
        <v>1.17084014415741</v>
      </c>
      <c r="X882" s="25" t="n">
        <v>0</v>
      </c>
      <c r="Y882" s="25" t="n">
        <v>701.379028320313</v>
      </c>
      <c r="Z882" s="25" t="n">
        <v>1.3265368938446</v>
      </c>
      <c r="AA882" s="25" t="n">
        <v>9.07693958282471</v>
      </c>
      <c r="AB882" s="25" t="n">
        <v>3.32080149650574</v>
      </c>
      <c r="AC882" s="25" t="n">
        <v>0.154208481311798</v>
      </c>
      <c r="AD882" s="25" t="n">
        <v>0.0634131357073784</v>
      </c>
      <c r="AE882" s="25" t="n">
        <v>0.822311162948608</v>
      </c>
      <c r="AF882" s="25" t="n">
        <v>0.476641297340393</v>
      </c>
      <c r="AG882" s="25" t="n">
        <v>0.18784599006176</v>
      </c>
      <c r="AH882" s="25" t="n">
        <v>3.08510684967041</v>
      </c>
      <c r="AI882" s="25" t="n">
        <v>66.6110458374023</v>
      </c>
      <c r="AJ882" s="6" t="n">
        <v>52.1</v>
      </c>
      <c r="AK882" s="6" t="n">
        <v>70.8</v>
      </c>
      <c r="AL882" s="26"/>
    </row>
    <row r="883" customFormat="false" ht="15" hidden="false" customHeight="false" outlineLevel="0" collapsed="false">
      <c r="A883" s="6" t="s">
        <v>4542</v>
      </c>
      <c r="B883" s="6" t="s">
        <v>4543</v>
      </c>
      <c r="C883" s="6" t="s">
        <v>3112</v>
      </c>
      <c r="D883" s="13" t="n">
        <v>112.230606079102</v>
      </c>
      <c r="E883" s="25" t="n">
        <v>2.93087792396545</v>
      </c>
      <c r="F883" s="25" t="n">
        <v>18.9771995544434</v>
      </c>
      <c r="G883" s="25" t="n">
        <v>2.50601601600647</v>
      </c>
      <c r="H883" s="25" t="n">
        <v>2.8592631816864</v>
      </c>
      <c r="I883" s="25" t="n">
        <v>1.0416624546051</v>
      </c>
      <c r="J883" s="25" t="n">
        <v>0.956976135253906</v>
      </c>
      <c r="K883" s="25" t="n">
        <v>0.581745300292969</v>
      </c>
      <c r="L883" s="25" t="n">
        <v>0.718798706054688</v>
      </c>
      <c r="M883" s="25" t="n">
        <v>3.40927743911743</v>
      </c>
      <c r="N883" s="25" t="n">
        <v>32.1285591125488</v>
      </c>
      <c r="O883" s="25" t="n">
        <v>91.361213684082</v>
      </c>
      <c r="P883" s="25" t="n">
        <v>10.3208618164063</v>
      </c>
      <c r="Q883" s="25" t="n">
        <v>32.7720184326172</v>
      </c>
      <c r="R883" s="25" t="n">
        <v>14.3886756896973</v>
      </c>
      <c r="S883" s="25" t="n">
        <v>1.06536793708801</v>
      </c>
      <c r="T883" s="25" t="n">
        <v>0.317182570695877</v>
      </c>
      <c r="U883" s="25" t="n">
        <v>0.0743772089481354</v>
      </c>
      <c r="V883" s="25" t="n">
        <v>3.5685670375824</v>
      </c>
      <c r="W883" s="25" t="n">
        <v>0.465578734874725</v>
      </c>
      <c r="X883" s="25" t="n">
        <v>12.7778615951538</v>
      </c>
      <c r="Y883" s="25" t="n">
        <v>510.728881835938</v>
      </c>
      <c r="Z883" s="25" t="n">
        <v>0.562359690666199</v>
      </c>
      <c r="AA883" s="25" t="n">
        <v>4.49314594268799</v>
      </c>
      <c r="AB883" s="25" t="n">
        <v>3.4076623916626</v>
      </c>
      <c r="AC883" s="25" t="n">
        <v>0.0428087972104549</v>
      </c>
      <c r="AD883" s="25" t="n">
        <v>0.00795114878565073</v>
      </c>
      <c r="AE883" s="25" t="n">
        <v>0.321204394102097</v>
      </c>
      <c r="AF883" s="25" t="n">
        <v>0.180376008152962</v>
      </c>
      <c r="AG883" s="25" t="n">
        <v>0.0339552834630013</v>
      </c>
      <c r="AH883" s="25" t="n">
        <v>0.63357537984848</v>
      </c>
      <c r="AI883" s="25" t="n">
        <v>7.1875581741333</v>
      </c>
      <c r="AJ883" s="6" t="n">
        <v>365.3</v>
      </c>
      <c r="AK883" s="6" t="n">
        <v>410</v>
      </c>
      <c r="AL883" s="26"/>
    </row>
    <row r="884" customFormat="false" ht="15" hidden="false" customHeight="false" outlineLevel="0" collapsed="false">
      <c r="A884" s="6" t="s">
        <v>632</v>
      </c>
      <c r="B884" s="6" t="s">
        <v>4544</v>
      </c>
      <c r="C884" s="6" t="s">
        <v>4545</v>
      </c>
      <c r="D884" s="13" t="n">
        <v>178.495971679688</v>
      </c>
      <c r="E884" s="25" t="n">
        <v>4.77532625198364</v>
      </c>
      <c r="F884" s="25" t="n">
        <v>27.6625843048096</v>
      </c>
      <c r="G884" s="25" t="n">
        <v>5.31916570663452</v>
      </c>
      <c r="H884" s="25" t="n">
        <v>5.43374061584473</v>
      </c>
      <c r="I884" s="25" t="n">
        <v>0.880974352359772</v>
      </c>
      <c r="J884" s="25" t="n">
        <v>0.661216369628906</v>
      </c>
      <c r="K884" s="25" t="n">
        <v>1.02150146484375</v>
      </c>
      <c r="L884" s="25" t="n">
        <v>3.25578442382813</v>
      </c>
      <c r="M884" s="25" t="n">
        <v>0</v>
      </c>
      <c r="N884" s="25" t="n">
        <v>184.157531738281</v>
      </c>
      <c r="O884" s="25" t="n">
        <v>166.320388793945</v>
      </c>
      <c r="P884" s="25" t="n">
        <v>21.2739887237549</v>
      </c>
      <c r="Q884" s="25" t="n">
        <v>140.34001159668</v>
      </c>
      <c r="R884" s="25" t="n">
        <v>57.1123466491699</v>
      </c>
      <c r="S884" s="25" t="n">
        <v>2.14113116264343</v>
      </c>
      <c r="T884" s="25" t="n">
        <v>1.29197359085083</v>
      </c>
      <c r="U884" s="25" t="n">
        <v>0.222989276051521</v>
      </c>
      <c r="V884" s="25" t="n">
        <v>22.8361434936523</v>
      </c>
      <c r="W884" s="25" t="n">
        <v>1.32582986354828</v>
      </c>
      <c r="X884" s="25" t="n">
        <v>0</v>
      </c>
      <c r="Y884" s="25" t="n">
        <v>515.688659667969</v>
      </c>
      <c r="Z884" s="25" t="n">
        <v>2.31570601463318</v>
      </c>
      <c r="AA884" s="25" t="n">
        <v>7.6440954208374</v>
      </c>
      <c r="AB884" s="25" t="n">
        <v>0.734723389148712</v>
      </c>
      <c r="AC884" s="25" t="n">
        <v>0.185111477971077</v>
      </c>
      <c r="AD884" s="25" t="n">
        <v>0.0795705989003182</v>
      </c>
      <c r="AE884" s="25" t="n">
        <v>1.18216347694397</v>
      </c>
      <c r="AF884" s="25" t="n">
        <v>0.391618520021439</v>
      </c>
      <c r="AG884" s="25" t="n">
        <v>0.140016511082649</v>
      </c>
      <c r="AH884" s="25" t="n">
        <v>0.387299746274948</v>
      </c>
      <c r="AI884" s="25" t="n">
        <v>13.8720235824585</v>
      </c>
      <c r="AJ884" s="6" t="n">
        <v>75.7</v>
      </c>
      <c r="AK884" s="6" t="n">
        <v>135.1</v>
      </c>
      <c r="AL884" s="26"/>
    </row>
    <row r="885" customFormat="false" ht="15" hidden="false" customHeight="false" outlineLevel="0" collapsed="false">
      <c r="A885" s="6" t="s">
        <v>699</v>
      </c>
      <c r="B885" s="6" t="s">
        <v>4546</v>
      </c>
      <c r="C885" s="6" t="s">
        <v>4547</v>
      </c>
      <c r="D885" s="13" t="n">
        <v>285.955688476563</v>
      </c>
      <c r="E885" s="25" t="n">
        <v>12.3184928894043</v>
      </c>
      <c r="F885" s="25" t="n">
        <v>31.9060554504395</v>
      </c>
      <c r="G885" s="25" t="n">
        <v>11.665361404419</v>
      </c>
      <c r="H885" s="25" t="n">
        <v>6.04043054580689</v>
      </c>
      <c r="I885" s="25" t="n">
        <v>2.90051603317261</v>
      </c>
      <c r="J885" s="25" t="n">
        <v>4.86710791015625</v>
      </c>
      <c r="K885" s="25" t="n">
        <v>2.72441821289063</v>
      </c>
      <c r="L885" s="25" t="n">
        <v>2.9684873046875</v>
      </c>
      <c r="M885" s="25" t="n">
        <v>17.8649234771729</v>
      </c>
      <c r="N885" s="25" t="n">
        <v>61.3567619323731</v>
      </c>
      <c r="O885" s="25" t="n">
        <v>704.2119140625</v>
      </c>
      <c r="P885" s="25" t="n">
        <v>36.4352951049805</v>
      </c>
      <c r="Q885" s="25" t="n">
        <v>218.156585693359</v>
      </c>
      <c r="R885" s="25" t="n">
        <v>86.9467239379883</v>
      </c>
      <c r="S885" s="25" t="n">
        <v>3.38397479057312</v>
      </c>
      <c r="T885" s="25" t="n">
        <v>1.47363245487213</v>
      </c>
      <c r="U885" s="25" t="n">
        <v>0.524660408496857</v>
      </c>
      <c r="V885" s="25" t="n">
        <v>23.7742290496826</v>
      </c>
      <c r="W885" s="25" t="n">
        <v>1.3111035823822</v>
      </c>
      <c r="X885" s="25" t="n">
        <v>66.9571533203125</v>
      </c>
      <c r="Y885" s="25" t="n">
        <v>514.37890625</v>
      </c>
      <c r="Z885" s="25" t="n">
        <v>2.35216593742371</v>
      </c>
      <c r="AA885" s="25" t="n">
        <v>7.30025339126587</v>
      </c>
      <c r="AB885" s="25" t="n">
        <v>5.58835315704346</v>
      </c>
      <c r="AC885" s="25" t="n">
        <v>0.190451875329018</v>
      </c>
      <c r="AD885" s="25" t="n">
        <v>0.0710559710860252</v>
      </c>
      <c r="AE885" s="25" t="n">
        <v>1.22756826877594</v>
      </c>
      <c r="AF885" s="25" t="n">
        <v>0.944784164428711</v>
      </c>
      <c r="AG885" s="25" t="n">
        <v>0.166262403130531</v>
      </c>
      <c r="AH885" s="25" t="n">
        <v>1.1877920627594</v>
      </c>
      <c r="AI885" s="25" t="n">
        <v>53.9108390808106</v>
      </c>
      <c r="AJ885" s="6" t="n">
        <v>26.6</v>
      </c>
      <c r="AK885" s="6" t="n">
        <v>75.9</v>
      </c>
      <c r="AL885" s="26"/>
    </row>
    <row r="886" customFormat="false" ht="15" hidden="false" customHeight="false" outlineLevel="0" collapsed="false">
      <c r="A886" s="6" t="s">
        <v>529</v>
      </c>
      <c r="B886" s="6" t="s">
        <v>528</v>
      </c>
      <c r="C886" s="6" t="s">
        <v>4548</v>
      </c>
      <c r="D886" s="13" t="n">
        <v>346.156097412109</v>
      </c>
      <c r="E886" s="25" t="n">
        <v>8.98003005981445</v>
      </c>
      <c r="F886" s="25" t="n">
        <v>41.3390274047852</v>
      </c>
      <c r="G886" s="25" t="n">
        <v>15.9454193115234</v>
      </c>
      <c r="H886" s="25" t="n">
        <v>7.560302734375</v>
      </c>
      <c r="I886" s="25" t="n">
        <v>2.98232269287109</v>
      </c>
      <c r="J886" s="25" t="n">
        <v>2.2361220703125</v>
      </c>
      <c r="K886" s="25" t="n">
        <v>3.26319799804688</v>
      </c>
      <c r="L886" s="25" t="n">
        <v>9.3589052734375</v>
      </c>
      <c r="M886" s="25" t="n">
        <v>1.85203671455383</v>
      </c>
      <c r="N886" s="25" t="n">
        <v>543.266967773438</v>
      </c>
      <c r="O886" s="25" t="n">
        <v>298.367095947266</v>
      </c>
      <c r="P886" s="25" t="n">
        <v>73.51025390625</v>
      </c>
      <c r="Q886" s="25" t="n">
        <v>210.89225769043</v>
      </c>
      <c r="R886" s="25" t="n">
        <v>83.1714935302734</v>
      </c>
      <c r="S886" s="25" t="n">
        <v>4.52134656906128</v>
      </c>
      <c r="T886" s="25" t="n">
        <v>1.80155646800995</v>
      </c>
      <c r="U886" s="25" t="n">
        <v>0.303813815116882</v>
      </c>
      <c r="V886" s="25" t="n">
        <v>22.3850746154785</v>
      </c>
      <c r="W886" s="25" t="n">
        <v>2.24676370620728</v>
      </c>
      <c r="X886" s="25" t="n">
        <v>4.71427488327026</v>
      </c>
      <c r="Y886" s="25" t="n">
        <v>712.452209472656</v>
      </c>
      <c r="Z886" s="25" t="n">
        <v>7.02811098098755</v>
      </c>
      <c r="AA886" s="25" t="n">
        <v>24.7456302642822</v>
      </c>
      <c r="AB886" s="25" t="n">
        <v>2.91986966133118</v>
      </c>
      <c r="AC886" s="25" t="n">
        <v>0.249427556991577</v>
      </c>
      <c r="AD886" s="25" t="n">
        <v>0.159700185060501</v>
      </c>
      <c r="AE886" s="25" t="n">
        <v>1.46322369575501</v>
      </c>
      <c r="AF886" s="25" t="n">
        <v>0.609409093856812</v>
      </c>
      <c r="AG886" s="25" t="n">
        <v>0.246181443333626</v>
      </c>
      <c r="AH886" s="25" t="n">
        <v>1.84027588367462</v>
      </c>
      <c r="AI886" s="25" t="n">
        <v>41.8815422058106</v>
      </c>
      <c r="AJ886" s="6" t="n">
        <v>36.4</v>
      </c>
      <c r="AK886" s="6" t="n">
        <v>126.2</v>
      </c>
      <c r="AL886" s="26"/>
    </row>
    <row r="887" customFormat="false" ht="15" hidden="false" customHeight="false" outlineLevel="0" collapsed="false">
      <c r="A887" s="6" t="s">
        <v>723</v>
      </c>
      <c r="B887" s="6" t="s">
        <v>4549</v>
      </c>
      <c r="C887" s="6" t="s">
        <v>4550</v>
      </c>
      <c r="D887" s="13" t="n">
        <v>81.9818649291992</v>
      </c>
      <c r="E887" s="25" t="n">
        <v>1.26017618179321</v>
      </c>
      <c r="F887" s="25" t="n">
        <v>11.8214712142944</v>
      </c>
      <c r="G887" s="25" t="n">
        <v>3.12592244148254</v>
      </c>
      <c r="H887" s="25" t="n">
        <v>0.75601053237915</v>
      </c>
      <c r="I887" s="25" t="n">
        <v>0.329921454191208</v>
      </c>
      <c r="J887" s="25" t="n">
        <v>2.05370141601563</v>
      </c>
      <c r="K887" s="25" t="n">
        <v>0.176624618530273</v>
      </c>
      <c r="L887" s="25" t="n">
        <v>0.0442275657653809</v>
      </c>
      <c r="M887" s="25" t="n">
        <v>0</v>
      </c>
      <c r="N887" s="25" t="n">
        <v>48.2827911376953</v>
      </c>
      <c r="O887" s="25" t="n">
        <v>69.5655822753906</v>
      </c>
      <c r="P887" s="25" t="n">
        <v>4.96310377120972</v>
      </c>
      <c r="Q887" s="25" t="n">
        <v>28.2325630187988</v>
      </c>
      <c r="R887" s="25" t="n">
        <v>8.00333213806152</v>
      </c>
      <c r="S887" s="25" t="n">
        <v>0.420733153820038</v>
      </c>
      <c r="T887" s="25" t="n">
        <v>0.0672458931803703</v>
      </c>
      <c r="U887" s="25" t="n">
        <v>0.0715067833662033</v>
      </c>
      <c r="V887" s="25" t="n">
        <v>1.2020947933197</v>
      </c>
      <c r="W887" s="25" t="n">
        <v>0.0766484141349793</v>
      </c>
      <c r="X887" s="25" t="n">
        <v>0</v>
      </c>
      <c r="Y887" s="25" t="n">
        <v>8.37895774841309</v>
      </c>
      <c r="Z887" s="25" t="n">
        <v>0.288502752780914</v>
      </c>
      <c r="AA887" s="25" t="n">
        <v>0.137110203504562</v>
      </c>
      <c r="AB887" s="25" t="n">
        <v>0</v>
      </c>
      <c r="AC887" s="25" t="n">
        <v>0.016186622902751</v>
      </c>
      <c r="AD887" s="25" t="n">
        <v>0.00904546491801739</v>
      </c>
      <c r="AE887" s="25" t="n">
        <v>0.333730071783066</v>
      </c>
      <c r="AF887" s="25" t="n">
        <v>0.00999761931598187</v>
      </c>
      <c r="AG887" s="25" t="n">
        <v>0.0357057824730873</v>
      </c>
      <c r="AH887" s="25" t="n">
        <v>0.0480837896466255</v>
      </c>
      <c r="AI887" s="25" t="n">
        <v>1.15543925762177</v>
      </c>
      <c r="AJ887" s="6" t="n">
        <v>420.1</v>
      </c>
      <c r="AK887" s="6" t="n">
        <v>344.4</v>
      </c>
      <c r="AL887" s="26"/>
    </row>
    <row r="888" customFormat="false" ht="15" hidden="false" customHeight="false" outlineLevel="0" collapsed="false">
      <c r="A888" s="6" t="s">
        <v>4551</v>
      </c>
      <c r="B888" s="6" t="s">
        <v>4552</v>
      </c>
      <c r="C888" s="6" t="s">
        <v>3035</v>
      </c>
      <c r="D888" s="13" t="n">
        <v>263.298309326172</v>
      </c>
      <c r="E888" s="25" t="n">
        <v>2.90742230415344</v>
      </c>
      <c r="F888" s="25" t="n">
        <v>27.2772541046143</v>
      </c>
      <c r="G888" s="25" t="n">
        <v>16.4328498840332</v>
      </c>
      <c r="H888" s="25" t="n">
        <v>0.559170007705689</v>
      </c>
      <c r="I888" s="25" t="n">
        <v>0.640574634075165</v>
      </c>
      <c r="J888" s="25" t="n">
        <v>10.11573046875</v>
      </c>
      <c r="K888" s="25" t="n">
        <v>4.05974291992188</v>
      </c>
      <c r="L888" s="25" t="n">
        <v>0.592432556152344</v>
      </c>
      <c r="M888" s="25" t="n">
        <v>41.3080635070801</v>
      </c>
      <c r="N888" s="25" t="n">
        <v>69.9717788696289</v>
      </c>
      <c r="O888" s="25" t="n">
        <v>100.050277709961</v>
      </c>
      <c r="P888" s="25" t="n">
        <v>11.3244371414185</v>
      </c>
      <c r="Q888" s="25" t="n">
        <v>54.8305511474609</v>
      </c>
      <c r="R888" s="25" t="n">
        <v>16.7125606536865</v>
      </c>
      <c r="S888" s="25" t="n">
        <v>0.689225852489471</v>
      </c>
      <c r="T888" s="25" t="n">
        <v>0.792737424373627</v>
      </c>
      <c r="U888" s="25" t="n">
        <v>0.208324030041695</v>
      </c>
      <c r="V888" s="25" t="n">
        <v>2.46461296081543</v>
      </c>
      <c r="W888" s="25" t="n">
        <v>0.487821221351624</v>
      </c>
      <c r="X888" s="25" t="n">
        <v>185.789306640625</v>
      </c>
      <c r="Y888" s="25" t="n">
        <v>1088.74694824219</v>
      </c>
      <c r="Z888" s="25" t="n">
        <v>0.382625699043274</v>
      </c>
      <c r="AA888" s="25" t="n">
        <v>3.35754203796387</v>
      </c>
      <c r="AB888" s="25" t="n">
        <v>0.635403037071228</v>
      </c>
      <c r="AC888" s="25" t="n">
        <v>0.0872466117143631</v>
      </c>
      <c r="AD888" s="25" t="n">
        <v>0.0385075807571411</v>
      </c>
      <c r="AE888" s="25" t="n">
        <v>0.819122135639191</v>
      </c>
      <c r="AF888" s="25" t="n">
        <v>0.400438934564591</v>
      </c>
      <c r="AG888" s="25" t="n">
        <v>0.123607344925404</v>
      </c>
      <c r="AH888" s="25" t="n">
        <v>0.219792500138283</v>
      </c>
      <c r="AI888" s="25" t="n">
        <v>3.2339346408844</v>
      </c>
      <c r="AJ888" s="6" t="n">
        <v>104.4</v>
      </c>
      <c r="AK888" s="6" t="n">
        <v>274.9</v>
      </c>
      <c r="AL888" s="26"/>
    </row>
    <row r="889" customFormat="false" ht="15" hidden="false" customHeight="false" outlineLevel="0" collapsed="false">
      <c r="A889" s="6" t="s">
        <v>4553</v>
      </c>
      <c r="B889" s="6" t="s">
        <v>4554</v>
      </c>
      <c r="C889" s="6" t="s">
        <v>3007</v>
      </c>
      <c r="D889" s="13" t="n">
        <v>64.0108337402344</v>
      </c>
      <c r="E889" s="25" t="n">
        <v>3.17880201339722</v>
      </c>
      <c r="F889" s="25" t="n">
        <v>8.83124160766602</v>
      </c>
      <c r="G889" s="25" t="n">
        <v>1.59109973907471</v>
      </c>
      <c r="H889" s="25" t="n">
        <v>2.57671642303467</v>
      </c>
      <c r="I889" s="25" t="n">
        <v>0.687835812568665</v>
      </c>
      <c r="J889" s="25" t="n">
        <v>0.692186706542969</v>
      </c>
      <c r="K889" s="25" t="n">
        <v>0.392439514160156</v>
      </c>
      <c r="L889" s="25" t="n">
        <v>0.287281524658203</v>
      </c>
      <c r="M889" s="25" t="n">
        <v>2.60879802703857</v>
      </c>
      <c r="N889" s="25" t="n">
        <v>69.6434783935547</v>
      </c>
      <c r="O889" s="25" t="n">
        <v>174.762771606445</v>
      </c>
      <c r="P889" s="25" t="n">
        <v>24.5907592773438</v>
      </c>
      <c r="Q889" s="25" t="n">
        <v>52.5767021179199</v>
      </c>
      <c r="R889" s="25" t="n">
        <v>25.2959575653076</v>
      </c>
      <c r="S889" s="25" t="n">
        <v>1.1177179813385</v>
      </c>
      <c r="T889" s="25" t="n">
        <v>0.51627653837204</v>
      </c>
      <c r="U889" s="25" t="n">
        <v>0.126563236117363</v>
      </c>
      <c r="V889" s="25" t="n">
        <v>4.10282421112061</v>
      </c>
      <c r="W889" s="25" t="n">
        <v>0.30430480837822</v>
      </c>
      <c r="X889" s="25" t="n">
        <v>9.77769088745117</v>
      </c>
      <c r="Y889" s="25" t="n">
        <v>714.885314941406</v>
      </c>
      <c r="Z889" s="25" t="n">
        <v>0.270153194665909</v>
      </c>
      <c r="AA889" s="25" t="n">
        <v>5.68765115737915</v>
      </c>
      <c r="AB889" s="25" t="n">
        <v>2.86749410629273</v>
      </c>
      <c r="AC889" s="25" t="n">
        <v>0.102003142237663</v>
      </c>
      <c r="AD889" s="25" t="n">
        <v>0.0298428907990456</v>
      </c>
      <c r="AE889" s="25" t="n">
        <v>0.391708552837372</v>
      </c>
      <c r="AF889" s="25" t="n">
        <v>0.237258449196816</v>
      </c>
      <c r="AG889" s="25" t="n">
        <v>0.0689002349972725</v>
      </c>
      <c r="AH889" s="25" t="n">
        <v>0.736928522586823</v>
      </c>
      <c r="AI889" s="25" t="n">
        <v>25.9462776184082</v>
      </c>
      <c r="AJ889" s="6" t="n">
        <v>318.2</v>
      </c>
      <c r="AK889" s="6" t="n">
        <v>203.7</v>
      </c>
      <c r="AL889" s="26"/>
    </row>
    <row r="890" customFormat="false" ht="15" hidden="false" customHeight="false" outlineLevel="0" collapsed="false">
      <c r="A890" s="6" t="s">
        <v>4555</v>
      </c>
      <c r="B890" s="6" t="s">
        <v>4556</v>
      </c>
      <c r="C890" s="6" t="s">
        <v>3112</v>
      </c>
      <c r="D890" s="13" t="n">
        <v>358.663299560547</v>
      </c>
      <c r="E890" s="25" t="n">
        <v>4.52399969100952</v>
      </c>
      <c r="F890" s="25" t="n">
        <v>16.6423435211182</v>
      </c>
      <c r="G890" s="25" t="n">
        <v>30.6478996276856</v>
      </c>
      <c r="H890" s="25" t="n">
        <v>3.04158186912537</v>
      </c>
      <c r="I890" s="25" t="n">
        <v>3.26191997528076</v>
      </c>
      <c r="J890" s="25" t="n">
        <v>3.69812255859375</v>
      </c>
      <c r="K890" s="25" t="n">
        <v>6.26169189453125</v>
      </c>
      <c r="L890" s="25" t="n">
        <v>19.256306640625</v>
      </c>
      <c r="M890" s="25" t="n">
        <v>0.0588902421295643</v>
      </c>
      <c r="N890" s="25" t="n">
        <v>102.783683776856</v>
      </c>
      <c r="O890" s="25" t="n">
        <v>173.435424804688</v>
      </c>
      <c r="P890" s="25" t="n">
        <v>24.4903430938721</v>
      </c>
      <c r="Q890" s="25" t="n">
        <v>64.3926239013672</v>
      </c>
      <c r="R890" s="25" t="n">
        <v>27.2304515838623</v>
      </c>
      <c r="S890" s="25" t="n">
        <v>1.26105105876923</v>
      </c>
      <c r="T890" s="25" t="n">
        <v>0.512476444244385</v>
      </c>
      <c r="U890" s="25" t="n">
        <v>0.115224651992321</v>
      </c>
      <c r="V890" s="25" t="n">
        <v>4.17537212371826</v>
      </c>
      <c r="W890" s="25" t="n">
        <v>0.531510174274445</v>
      </c>
      <c r="X890" s="25" t="n">
        <v>0.220718711614609</v>
      </c>
      <c r="Y890" s="25" t="n">
        <v>744.347839355469</v>
      </c>
      <c r="Z890" s="25" t="n">
        <v>14.9741411209106</v>
      </c>
      <c r="AA890" s="25" t="n">
        <v>12.8145475387573</v>
      </c>
      <c r="AB890" s="25" t="n">
        <v>5.58560991287231</v>
      </c>
      <c r="AC890" s="25" t="n">
        <v>0.10940508544445</v>
      </c>
      <c r="AD890" s="25" t="n">
        <v>0.0447135530412197</v>
      </c>
      <c r="AE890" s="25" t="n">
        <v>0.628578841686249</v>
      </c>
      <c r="AF890" s="25" t="n">
        <v>0.327916085720062</v>
      </c>
      <c r="AG890" s="25" t="n">
        <v>0.130629509687424</v>
      </c>
      <c r="AH890" s="25" t="n">
        <v>1.6792699098587</v>
      </c>
      <c r="AI890" s="25" t="n">
        <v>37.4613914489746</v>
      </c>
      <c r="AJ890" s="6" t="n">
        <v>835.5</v>
      </c>
      <c r="AK890" s="6" t="n">
        <v>2996.5</v>
      </c>
      <c r="AL890" s="26" t="s">
        <v>3070</v>
      </c>
    </row>
    <row r="891" customFormat="false" ht="15" hidden="false" customHeight="false" outlineLevel="0" collapsed="false">
      <c r="A891" s="6" t="s">
        <v>4557</v>
      </c>
      <c r="B891" s="6" t="s">
        <v>4558</v>
      </c>
      <c r="C891" s="6" t="s">
        <v>3816</v>
      </c>
      <c r="D891" s="13" t="n">
        <v>469.805450439453</v>
      </c>
      <c r="E891" s="25" t="n">
        <v>1.16788637638092</v>
      </c>
      <c r="F891" s="25" t="n">
        <v>20.0576496124268</v>
      </c>
      <c r="G891" s="25" t="n">
        <v>42.5275917053223</v>
      </c>
      <c r="H891" s="25" t="n">
        <v>0.673870027065277</v>
      </c>
      <c r="I891" s="25" t="n">
        <v>9.94823932647705</v>
      </c>
      <c r="J891" s="25" t="n">
        <v>5.72734130859375</v>
      </c>
      <c r="K891" s="25" t="n">
        <v>8.5407958984375</v>
      </c>
      <c r="L891" s="25" t="n">
        <v>26.201353515625</v>
      </c>
      <c r="M891" s="25" t="n">
        <v>0</v>
      </c>
      <c r="N891" s="25" t="n">
        <v>20.1352653503418</v>
      </c>
      <c r="O891" s="25" t="n">
        <v>142.993118286133</v>
      </c>
      <c r="P891" s="25" t="n">
        <v>13.7382698059082</v>
      </c>
      <c r="Q891" s="25" t="n">
        <v>27.0473518371582</v>
      </c>
      <c r="R891" s="25" t="n">
        <v>19.4715461730957</v>
      </c>
      <c r="S891" s="25" t="n">
        <v>0.766319394111633</v>
      </c>
      <c r="T891" s="25" t="n">
        <v>0.0920878201723099</v>
      </c>
      <c r="U891" s="25" t="n">
        <v>0.0678088665008545</v>
      </c>
      <c r="V891" s="25" t="n">
        <v>0.444864422082901</v>
      </c>
      <c r="W891" s="25" t="n">
        <v>0.184399485588074</v>
      </c>
      <c r="X891" s="25" t="n">
        <v>0</v>
      </c>
      <c r="Y891" s="25" t="n">
        <v>49.707275390625</v>
      </c>
      <c r="Z891" s="25" t="n">
        <v>20.4645462036133</v>
      </c>
      <c r="AA891" s="25" t="n">
        <v>3.03780460357666</v>
      </c>
      <c r="AB891" s="25" t="n">
        <v>1.38786065578461</v>
      </c>
      <c r="AC891" s="25" t="n">
        <v>0.0162892807275057</v>
      </c>
      <c r="AD891" s="25" t="n">
        <v>0.0136633664369583</v>
      </c>
      <c r="AE891" s="25" t="n">
        <v>0.314532935619354</v>
      </c>
      <c r="AF891" s="25" t="n">
        <v>0.0839173495769501</v>
      </c>
      <c r="AG891" s="25" t="n">
        <v>0.172320276498795</v>
      </c>
      <c r="AH891" s="25" t="n">
        <v>0.336754202842712</v>
      </c>
      <c r="AI891" s="25" t="n">
        <v>4.74752473831177</v>
      </c>
      <c r="AJ891" s="6" t="n">
        <v>290.4</v>
      </c>
      <c r="AK891" s="6" t="n">
        <v>1364.2</v>
      </c>
      <c r="AL891" s="26" t="s">
        <v>3146</v>
      </c>
    </row>
    <row r="892" customFormat="false" ht="15" hidden="false" customHeight="false" outlineLevel="0" collapsed="false">
      <c r="A892" s="6" t="s">
        <v>1784</v>
      </c>
      <c r="B892" s="6" t="s">
        <v>4559</v>
      </c>
      <c r="C892" s="6" t="s">
        <v>3112</v>
      </c>
      <c r="D892" s="13" t="n">
        <v>585.640808105469</v>
      </c>
      <c r="E892" s="25" t="n">
        <v>0.889366090297699</v>
      </c>
      <c r="F892" s="25" t="n">
        <v>6.81890678405762</v>
      </c>
      <c r="G892" s="25" t="n">
        <v>61.6521072387695</v>
      </c>
      <c r="H892" s="25" t="n">
        <v>1.16109251976013</v>
      </c>
      <c r="I892" s="25" t="n">
        <v>0.757109999656677</v>
      </c>
      <c r="J892" s="25" t="n">
        <v>7.41222216796875</v>
      </c>
      <c r="K892" s="25" t="n">
        <v>12.631263671875</v>
      </c>
      <c r="L892" s="25" t="n">
        <v>39.0289609375</v>
      </c>
      <c r="M892" s="25" t="n">
        <v>0</v>
      </c>
      <c r="N892" s="25" t="n">
        <v>65.3126525878906</v>
      </c>
      <c r="O892" s="25" t="n">
        <v>83.295280456543</v>
      </c>
      <c r="P892" s="25" t="n">
        <v>16.7922382354736</v>
      </c>
      <c r="Q892" s="25" t="n">
        <v>16.3425369262695</v>
      </c>
      <c r="R892" s="25" t="n">
        <v>7.5339994430542</v>
      </c>
      <c r="S892" s="25" t="n">
        <v>0.308635532855988</v>
      </c>
      <c r="T892" s="25" t="n">
        <v>0.122414499521256</v>
      </c>
      <c r="U892" s="25" t="n">
        <v>0.0331652127206326</v>
      </c>
      <c r="V892" s="25" t="n">
        <v>0.331430524587631</v>
      </c>
      <c r="W892" s="25" t="n">
        <v>0.104287050664425</v>
      </c>
      <c r="X892" s="25" t="n">
        <v>0</v>
      </c>
      <c r="Y892" s="25" t="n">
        <v>912.780700683594</v>
      </c>
      <c r="Z892" s="25" t="n">
        <v>30.3320579528809</v>
      </c>
      <c r="AA892" s="25" t="n">
        <v>22.8038063049316</v>
      </c>
      <c r="AB892" s="25" t="n">
        <v>7.74553680419922</v>
      </c>
      <c r="AC892" s="25" t="n">
        <v>0.0204643551260233</v>
      </c>
      <c r="AD892" s="25" t="n">
        <v>0.0154337706044316</v>
      </c>
      <c r="AE892" s="25" t="n">
        <v>0.150847017765045</v>
      </c>
      <c r="AF892" s="25" t="n">
        <v>0.102825120091438</v>
      </c>
      <c r="AG892" s="25" t="n">
        <v>0.0525632537901402</v>
      </c>
      <c r="AH892" s="25" t="n">
        <v>0.704029381275177</v>
      </c>
      <c r="AI892" s="25" t="n">
        <v>13.6085338592529</v>
      </c>
      <c r="AJ892" s="6" t="n">
        <v>194.9</v>
      </c>
      <c r="AK892" s="6" t="n">
        <v>1141.7</v>
      </c>
      <c r="AL892" s="26" t="s">
        <v>3100</v>
      </c>
    </row>
    <row r="893" customFormat="false" ht="15" hidden="false" customHeight="false" outlineLevel="0" collapsed="false">
      <c r="A893" s="6" t="s">
        <v>1190</v>
      </c>
      <c r="B893" s="6" t="s">
        <v>4560</v>
      </c>
      <c r="C893" s="6"/>
      <c r="D893" s="13" t="n">
        <v>96.5254592895508</v>
      </c>
      <c r="E893" s="25" t="n">
        <v>2.66038870811462</v>
      </c>
      <c r="F893" s="25" t="n">
        <v>11.9930114746094</v>
      </c>
      <c r="G893" s="25" t="n">
        <v>4.31764268875122</v>
      </c>
      <c r="H893" s="25" t="n">
        <v>1.97959625720978</v>
      </c>
      <c r="I893" s="25" t="n">
        <v>2.05706000328064</v>
      </c>
      <c r="J893" s="25" t="n">
        <v>2.22301000976563</v>
      </c>
      <c r="K893" s="25" t="n">
        <v>0.943097412109375</v>
      </c>
      <c r="L893" s="25" t="n">
        <v>0.629001403808594</v>
      </c>
      <c r="M893" s="25" t="n">
        <v>8.90596961975098</v>
      </c>
      <c r="N893" s="25" t="n">
        <v>163.893783569336</v>
      </c>
      <c r="O893" s="25" t="n">
        <v>139.301177978516</v>
      </c>
      <c r="P893" s="25" t="n">
        <v>24.860143661499</v>
      </c>
      <c r="Q893" s="25" t="n">
        <v>19.1880950927734</v>
      </c>
      <c r="R893" s="25" t="n">
        <v>12.6923179626465</v>
      </c>
      <c r="S893" s="25" t="n">
        <v>0.96860009431839</v>
      </c>
      <c r="T893" s="25" t="n">
        <v>0.182285934686661</v>
      </c>
      <c r="U893" s="25" t="n">
        <v>0.0495732426643372</v>
      </c>
      <c r="V893" s="25" t="n">
        <v>0.272435039281845</v>
      </c>
      <c r="W893" s="25" t="n">
        <v>0.198006823658943</v>
      </c>
      <c r="X893" s="25" t="n">
        <v>40.0559539794922</v>
      </c>
      <c r="Y893" s="25" t="n">
        <v>1629.76416015625</v>
      </c>
      <c r="Z893" s="25" t="n">
        <v>0.151935189962387</v>
      </c>
      <c r="AA893" s="25" t="n">
        <v>11.6267347335815</v>
      </c>
      <c r="AB893" s="25" t="n">
        <v>13.1594762802124</v>
      </c>
      <c r="AC893" s="25" t="n">
        <v>0.212131932377815</v>
      </c>
      <c r="AD893" s="25" t="n">
        <v>0.0740325748920441</v>
      </c>
      <c r="AE893" s="25" t="n">
        <v>1.14392268657684</v>
      </c>
      <c r="AF893" s="25" t="n">
        <v>0.158443003892899</v>
      </c>
      <c r="AG893" s="25" t="n">
        <v>0.0570486523211002</v>
      </c>
      <c r="AH893" s="25" t="n">
        <v>0.952006280422211</v>
      </c>
      <c r="AI893" s="25" t="n">
        <v>29.3350944519043</v>
      </c>
      <c r="AJ893" s="6" t="n">
        <v>581.2</v>
      </c>
      <c r="AK893" s="6" t="n">
        <v>561</v>
      </c>
      <c r="AL893" s="26"/>
    </row>
    <row r="894" customFormat="false" ht="15" hidden="false" customHeight="false" outlineLevel="0" collapsed="false">
      <c r="A894" s="6" t="s">
        <v>1973</v>
      </c>
      <c r="B894" s="6" t="s">
        <v>4561</v>
      </c>
      <c r="C894" s="6" t="s">
        <v>3299</v>
      </c>
      <c r="D894" s="13" t="n">
        <v>593.989990234375</v>
      </c>
      <c r="E894" s="25" t="n">
        <v>5.41479635238648</v>
      </c>
      <c r="F894" s="25" t="n">
        <v>33.2929573059082</v>
      </c>
      <c r="G894" s="25" t="n">
        <v>48.2248420715332</v>
      </c>
      <c r="H894" s="25" t="n">
        <v>2.18283796310425</v>
      </c>
      <c r="I894" s="25" t="n">
        <v>0.170337960124016</v>
      </c>
      <c r="J894" s="25" t="n">
        <v>6.8395380859375</v>
      </c>
      <c r="K894" s="25" t="n">
        <v>10.0447080078125</v>
      </c>
      <c r="L894" s="25" t="n">
        <v>28.886181640625</v>
      </c>
      <c r="M894" s="25" t="n">
        <v>5.32499980926514</v>
      </c>
      <c r="N894" s="25" t="n">
        <v>63.3134460449219</v>
      </c>
      <c r="O894" s="25" t="n">
        <v>224.257400512695</v>
      </c>
      <c r="P894" s="25" t="n">
        <v>24.6287040710449</v>
      </c>
      <c r="Q894" s="25" t="n">
        <v>98.6917114257813</v>
      </c>
      <c r="R894" s="25" t="n">
        <v>29.1900005340576</v>
      </c>
      <c r="S894" s="25" t="n">
        <v>1.69572222232819</v>
      </c>
      <c r="T894" s="25" t="n">
        <v>0.582722187042236</v>
      </c>
      <c r="U894" s="25" t="n">
        <v>0.205314815044403</v>
      </c>
      <c r="V894" s="25" t="n">
        <v>7.0853796005249</v>
      </c>
      <c r="W894" s="25" t="n">
        <v>0.255722224712372</v>
      </c>
      <c r="X894" s="25" t="n">
        <v>23.9500007629395</v>
      </c>
      <c r="Y894" s="25" t="n">
        <v>173.216659545898</v>
      </c>
      <c r="Z894" s="25" t="n">
        <v>21.9813461303711</v>
      </c>
      <c r="AA894" s="25" t="n">
        <v>3.31275916099548</v>
      </c>
      <c r="AB894" s="25" t="n">
        <v>0.000925925909541547</v>
      </c>
      <c r="AC894" s="25" t="n">
        <v>0.0946111083030701</v>
      </c>
      <c r="AD894" s="25" t="n">
        <v>0.042328704148531</v>
      </c>
      <c r="AE894" s="25" t="n">
        <v>1.0354768037796</v>
      </c>
      <c r="AF894" s="25" t="n">
        <v>0.252101868391037</v>
      </c>
      <c r="AG894" s="25" t="n">
        <v>0.104731485247612</v>
      </c>
      <c r="AH894" s="25" t="n">
        <v>0.261143505573273</v>
      </c>
      <c r="AI894" s="25" t="n">
        <v>26.573278427124</v>
      </c>
      <c r="AJ894" s="6" t="n">
        <v>30.9</v>
      </c>
      <c r="AK894" s="6" t="n">
        <v>183.3</v>
      </c>
      <c r="AL894" s="26" t="s">
        <v>3100</v>
      </c>
    </row>
    <row r="895" customFormat="false" ht="15" hidden="false" customHeight="false" outlineLevel="0" collapsed="false">
      <c r="A895" s="6" t="s">
        <v>1675</v>
      </c>
      <c r="B895" s="6" t="s">
        <v>4562</v>
      </c>
      <c r="C895" s="6" t="s">
        <v>3112</v>
      </c>
      <c r="D895" s="13" t="n">
        <v>509.886962890625</v>
      </c>
      <c r="E895" s="25" t="n">
        <v>3.51751112937927</v>
      </c>
      <c r="F895" s="25" t="n">
        <v>16.4677085876465</v>
      </c>
      <c r="G895" s="25" t="n">
        <v>47.9115676879883</v>
      </c>
      <c r="H895" s="25" t="n">
        <v>2.2402548789978</v>
      </c>
      <c r="I895" s="25" t="n">
        <v>3.40826010704041</v>
      </c>
      <c r="J895" s="25" t="n">
        <v>5.7709267578125</v>
      </c>
      <c r="K895" s="25" t="n">
        <v>9.933392578125</v>
      </c>
      <c r="L895" s="25" t="n">
        <v>30.0804375</v>
      </c>
      <c r="M895" s="25" t="n">
        <v>0</v>
      </c>
      <c r="N895" s="25" t="n">
        <v>93.9774322509766</v>
      </c>
      <c r="O895" s="25" t="n">
        <v>150.563659667969</v>
      </c>
      <c r="P895" s="25" t="n">
        <v>24.2209796905518</v>
      </c>
      <c r="Q895" s="25" t="n">
        <v>47.0316848754883</v>
      </c>
      <c r="R895" s="25" t="n">
        <v>22.4162292480469</v>
      </c>
      <c r="S895" s="25" t="n">
        <v>1.2895929813385</v>
      </c>
      <c r="T895" s="25" t="n">
        <v>0.381341338157654</v>
      </c>
      <c r="U895" s="25" t="n">
        <v>0.0971398875117302</v>
      </c>
      <c r="V895" s="25" t="n">
        <v>0.717146813869476</v>
      </c>
      <c r="W895" s="25" t="n">
        <v>0.361979812383652</v>
      </c>
      <c r="X895" s="25" t="n">
        <v>0</v>
      </c>
      <c r="Y895" s="25" t="n">
        <v>359.336395263672</v>
      </c>
      <c r="Z895" s="25" t="n">
        <v>23.3259162902832</v>
      </c>
      <c r="AA895" s="25" t="n">
        <v>7.7856330871582</v>
      </c>
      <c r="AB895" s="25" t="n">
        <v>4.50965404510498</v>
      </c>
      <c r="AC895" s="25" t="n">
        <v>0.0747262686491013</v>
      </c>
      <c r="AD895" s="25" t="n">
        <v>0.0337941870093346</v>
      </c>
      <c r="AE895" s="25" t="n">
        <v>0.564907312393189</v>
      </c>
      <c r="AF895" s="25" t="n">
        <v>0.230840101838112</v>
      </c>
      <c r="AG895" s="25" t="n">
        <v>0.0945200026035309</v>
      </c>
      <c r="AH895" s="25" t="n">
        <v>1.04072082042694</v>
      </c>
      <c r="AI895" s="25" t="n">
        <v>22.4048805236816</v>
      </c>
      <c r="AJ895" s="6" t="n">
        <v>700.9</v>
      </c>
      <c r="AK895" s="6" t="n">
        <v>3573.6</v>
      </c>
      <c r="AL895" s="26" t="s">
        <v>3146</v>
      </c>
    </row>
    <row r="896" customFormat="false" ht="15" hidden="false" customHeight="false" outlineLevel="0" collapsed="false">
      <c r="A896" s="6" t="s">
        <v>620</v>
      </c>
      <c r="B896" s="6" t="s">
        <v>4563</v>
      </c>
      <c r="C896" s="6" t="s">
        <v>3112</v>
      </c>
      <c r="D896" s="13" t="n">
        <v>194.914688110352</v>
      </c>
      <c r="E896" s="25" t="n">
        <v>5.43558597564697</v>
      </c>
      <c r="F896" s="25" t="n">
        <v>30.8649787902832</v>
      </c>
      <c r="G896" s="25" t="n">
        <v>5.20139598846436</v>
      </c>
      <c r="H896" s="25" t="n">
        <v>5.11766290664673</v>
      </c>
      <c r="I896" s="25" t="n">
        <v>1.84711062908173</v>
      </c>
      <c r="J896" s="25" t="n">
        <v>1.59348974609375</v>
      </c>
      <c r="K896" s="25" t="n">
        <v>0.876991333007813</v>
      </c>
      <c r="L896" s="25" t="n">
        <v>2.05415649414063</v>
      </c>
      <c r="M896" s="25" t="n">
        <v>0</v>
      </c>
      <c r="N896" s="25" t="n">
        <v>443.388641357422</v>
      </c>
      <c r="O896" s="25" t="n">
        <v>194.278839111328</v>
      </c>
      <c r="P896" s="25" t="n">
        <v>31.1744003295898</v>
      </c>
      <c r="Q896" s="25" t="n">
        <v>67.3660049438477</v>
      </c>
      <c r="R896" s="25" t="n">
        <v>28.694902420044</v>
      </c>
      <c r="S896" s="25" t="n">
        <v>2.52378344535828</v>
      </c>
      <c r="T896" s="25" t="n">
        <v>1.08601713180542</v>
      </c>
      <c r="U896" s="25" t="n">
        <v>0.249184355139732</v>
      </c>
      <c r="V896" s="25" t="n">
        <v>5.52899646759033</v>
      </c>
      <c r="W896" s="25" t="n">
        <v>1.3941593170166</v>
      </c>
      <c r="X896" s="25" t="n">
        <v>0</v>
      </c>
      <c r="Y896" s="25" t="n">
        <v>732.85888671875</v>
      </c>
      <c r="Z896" s="25" t="n">
        <v>1.61622083187103</v>
      </c>
      <c r="AA896" s="25" t="n">
        <v>12.3763799667358</v>
      </c>
      <c r="AB896" s="25" t="n">
        <v>3.64708566665649</v>
      </c>
      <c r="AC896" s="25" t="n">
        <v>0.136928990483284</v>
      </c>
      <c r="AD896" s="25" t="n">
        <v>0.0264498256146908</v>
      </c>
      <c r="AE896" s="25" t="n">
        <v>0.655113875865936</v>
      </c>
      <c r="AF896" s="25" t="n">
        <v>0.382035136222839</v>
      </c>
      <c r="AG896" s="25" t="n">
        <v>0.0842351168394089</v>
      </c>
      <c r="AH896" s="25" t="n">
        <v>0.51370108127594</v>
      </c>
      <c r="AI896" s="25" t="n">
        <v>15.2277698516846</v>
      </c>
      <c r="AJ896" s="6" t="n">
        <v>100.2</v>
      </c>
      <c r="AK896" s="6" t="n">
        <v>195.4</v>
      </c>
      <c r="AL896" s="26"/>
    </row>
    <row r="897" customFormat="false" ht="15" hidden="false" customHeight="false" outlineLevel="0" collapsed="false">
      <c r="A897" s="6" t="s">
        <v>4564</v>
      </c>
      <c r="B897" s="6" t="s">
        <v>4565</v>
      </c>
      <c r="C897" s="6" t="s">
        <v>3112</v>
      </c>
      <c r="D897" s="13" t="n">
        <v>479.799072265625</v>
      </c>
      <c r="E897" s="25" t="n">
        <v>4.60701704025269</v>
      </c>
      <c r="F897" s="25" t="n">
        <v>11.4469203948975</v>
      </c>
      <c r="G897" s="25" t="n">
        <v>46.5518417358398</v>
      </c>
      <c r="H897" s="25" t="n">
        <v>2.16787314414978</v>
      </c>
      <c r="I897" s="25" t="n">
        <v>0.948085129261017</v>
      </c>
      <c r="J897" s="25" t="n">
        <v>6.35130029296875</v>
      </c>
      <c r="K897" s="25" t="n">
        <v>9.6805126953125</v>
      </c>
      <c r="L897" s="25" t="n">
        <v>28.3445234375</v>
      </c>
      <c r="M897" s="25" t="n">
        <v>3.89124441146851</v>
      </c>
      <c r="N897" s="25" t="n">
        <v>86.4997253417969</v>
      </c>
      <c r="O897" s="25" t="n">
        <v>124.800262451172</v>
      </c>
      <c r="P897" s="25" t="n">
        <v>17.2763957977295</v>
      </c>
      <c r="Q897" s="25" t="n">
        <v>58.6814498901367</v>
      </c>
      <c r="R897" s="25" t="n">
        <v>21.1766700744629</v>
      </c>
      <c r="S897" s="25" t="n">
        <v>0.839716732501984</v>
      </c>
      <c r="T897" s="25" t="n">
        <v>0.378774851560593</v>
      </c>
      <c r="U897" s="25" t="n">
        <v>0.0736456289887428</v>
      </c>
      <c r="V897" s="25" t="n">
        <v>0.724537909030914</v>
      </c>
      <c r="W897" s="25" t="n">
        <v>0.349482625722885</v>
      </c>
      <c r="X897" s="25" t="n">
        <v>17.50146484375</v>
      </c>
      <c r="Y897" s="25" t="n">
        <v>168.413009643555</v>
      </c>
      <c r="Z897" s="25" t="n">
        <v>22.0248336791992</v>
      </c>
      <c r="AA897" s="25" t="n">
        <v>5.47184801101685</v>
      </c>
      <c r="AB897" s="25" t="n">
        <v>2.54412913322449</v>
      </c>
      <c r="AC897" s="25" t="n">
        <v>0.110002256929874</v>
      </c>
      <c r="AD897" s="25" t="n">
        <v>0.0446817614138126</v>
      </c>
      <c r="AE897" s="25" t="n">
        <v>0.750782668590546</v>
      </c>
      <c r="AF897" s="25" t="n">
        <v>0.362411916255951</v>
      </c>
      <c r="AG897" s="25" t="n">
        <v>0.0892236903309822</v>
      </c>
      <c r="AH897" s="25" t="n">
        <v>1.47463130950928</v>
      </c>
      <c r="AI897" s="25" t="n">
        <v>41.0257034301758</v>
      </c>
      <c r="AJ897" s="6" t="n">
        <v>554.2</v>
      </c>
      <c r="AK897" s="6" t="n">
        <v>2659.2</v>
      </c>
      <c r="AL897" s="26" t="s">
        <v>3146</v>
      </c>
    </row>
    <row r="898" customFormat="false" ht="15" hidden="false" customHeight="false" outlineLevel="0" collapsed="false">
      <c r="A898" s="6" t="s">
        <v>4566</v>
      </c>
      <c r="B898" s="6" t="s">
        <v>4567</v>
      </c>
      <c r="C898" s="6" t="s">
        <v>4568</v>
      </c>
      <c r="D898" s="13" t="n">
        <v>597.787658691406</v>
      </c>
      <c r="E898" s="25" t="n">
        <v>2.34093856811523</v>
      </c>
      <c r="F898" s="25" t="n">
        <v>24.0022830963135</v>
      </c>
      <c r="G898" s="25" t="n">
        <v>54.4055786132813</v>
      </c>
      <c r="H898" s="25" t="n">
        <v>1.50072538852692</v>
      </c>
      <c r="I898" s="25" t="n">
        <v>11.480959892273</v>
      </c>
      <c r="J898" s="25" t="n">
        <v>7.8638837890625</v>
      </c>
      <c r="K898" s="25" t="n">
        <v>11.106462890625</v>
      </c>
      <c r="L898" s="25" t="n">
        <v>32.627244140625</v>
      </c>
      <c r="M898" s="25" t="n">
        <v>0</v>
      </c>
      <c r="N898" s="25" t="n">
        <v>46.3943290710449</v>
      </c>
      <c r="O898" s="25" t="n">
        <v>176.50666809082</v>
      </c>
      <c r="P898" s="25" t="n">
        <v>24.6185913085938</v>
      </c>
      <c r="Q898" s="25" t="n">
        <v>47.7432518005371</v>
      </c>
      <c r="R898" s="25" t="n">
        <v>30.819658279419</v>
      </c>
      <c r="S898" s="25" t="n">
        <v>1.14769601821899</v>
      </c>
      <c r="T898" s="25" t="n">
        <v>0.269903987646103</v>
      </c>
      <c r="U898" s="25" t="n">
        <v>0.151562660932541</v>
      </c>
      <c r="V898" s="25" t="n">
        <v>1.36213874816895</v>
      </c>
      <c r="W898" s="25" t="n">
        <v>0.291178673505783</v>
      </c>
      <c r="X898" s="25" t="n">
        <v>0</v>
      </c>
      <c r="Y898" s="25" t="n">
        <v>25.4899311065674</v>
      </c>
      <c r="Z898" s="25" t="n">
        <v>25.4711837768555</v>
      </c>
      <c r="AA898" s="25" t="n">
        <v>9.89988803863525</v>
      </c>
      <c r="AB898" s="25" t="n">
        <v>1.18447995185852</v>
      </c>
      <c r="AC898" s="25" t="n">
        <v>0.044970665127039</v>
      </c>
      <c r="AD898" s="25" t="n">
        <v>0.0124213332310319</v>
      </c>
      <c r="AE898" s="25" t="n">
        <v>0.422565340995789</v>
      </c>
      <c r="AF898" s="25" t="n">
        <v>0.102725334465504</v>
      </c>
      <c r="AG898" s="25" t="n">
        <v>0.152026668190956</v>
      </c>
      <c r="AH898" s="25" t="n">
        <v>0.876981317996979</v>
      </c>
      <c r="AI898" s="25" t="n">
        <v>9.23459720611572</v>
      </c>
      <c r="AJ898" s="6" t="n">
        <v>26.8</v>
      </c>
      <c r="AK898" s="6" t="n">
        <v>160.1</v>
      </c>
      <c r="AL898" s="26" t="s">
        <v>3100</v>
      </c>
    </row>
    <row r="899" customFormat="false" ht="15" hidden="false" customHeight="false" outlineLevel="0" collapsed="false">
      <c r="A899" s="6" t="s">
        <v>1977</v>
      </c>
      <c r="B899" s="6" t="s">
        <v>4569</v>
      </c>
      <c r="C899" s="6" t="s">
        <v>3007</v>
      </c>
      <c r="D899" s="13" t="n">
        <v>665.666076660156</v>
      </c>
      <c r="E899" s="25" t="n">
        <v>0.366837859153748</v>
      </c>
      <c r="F899" s="25" t="n">
        <v>7.32208395004273</v>
      </c>
      <c r="G899" s="25" t="n">
        <v>70.4563446044922</v>
      </c>
      <c r="H899" s="25" t="n">
        <v>0.648569345474243</v>
      </c>
      <c r="I899" s="25" t="n">
        <v>4.37270736694336</v>
      </c>
      <c r="J899" s="25" t="n">
        <v>8.4842255859375</v>
      </c>
      <c r="K899" s="25" t="n">
        <v>14.4429580078125</v>
      </c>
      <c r="L899" s="25" t="n">
        <v>44.6227421875</v>
      </c>
      <c r="M899" s="25" t="n">
        <v>0</v>
      </c>
      <c r="N899" s="25" t="n">
        <v>86.8672027587891</v>
      </c>
      <c r="O899" s="25" t="n">
        <v>106.432136535645</v>
      </c>
      <c r="P899" s="25" t="n">
        <v>2.00880408287048</v>
      </c>
      <c r="Q899" s="25" t="n">
        <v>6.12105655670166</v>
      </c>
      <c r="R899" s="25" t="n">
        <v>9.03594970703125</v>
      </c>
      <c r="S899" s="25" t="n">
        <v>0.188481286168098</v>
      </c>
      <c r="T899" s="25" t="n">
        <v>0.0442406460642815</v>
      </c>
      <c r="U899" s="25" t="n">
        <v>0.0424358025193214</v>
      </c>
      <c r="V899" s="25" t="n">
        <v>0</v>
      </c>
      <c r="W899" s="25" t="n">
        <v>0.105649307370186</v>
      </c>
      <c r="X899" s="25" t="n">
        <v>0</v>
      </c>
      <c r="Y899" s="25" t="n">
        <v>76.3022766113281</v>
      </c>
      <c r="Z899" s="25" t="n">
        <v>34.6934700012207</v>
      </c>
      <c r="AA899" s="25" t="n">
        <v>5.08290529251099</v>
      </c>
      <c r="AB899" s="25" t="n">
        <v>2.36537051200867</v>
      </c>
      <c r="AC899" s="25" t="n">
        <v>0.00293470290489495</v>
      </c>
      <c r="AD899" s="25" t="n">
        <v>0.0117388116195798</v>
      </c>
      <c r="AE899" s="25" t="n">
        <v>0.140865728259087</v>
      </c>
      <c r="AF899" s="25" t="n">
        <v>0.102714598178864</v>
      </c>
      <c r="AG899" s="25" t="n">
        <v>0.149669840931892</v>
      </c>
      <c r="AH899" s="25" t="n">
        <v>0.451944231987</v>
      </c>
      <c r="AI899" s="25" t="n">
        <v>5.26192235946655</v>
      </c>
      <c r="AJ899" s="6" t="n">
        <v>170.4</v>
      </c>
      <c r="AK899" s="6" t="n">
        <v>1134.1</v>
      </c>
      <c r="AL899" s="26" t="s">
        <v>3100</v>
      </c>
    </row>
    <row r="900" customFormat="false" ht="15" hidden="false" customHeight="false" outlineLevel="0" collapsed="false">
      <c r="A900" s="6" t="s">
        <v>4570</v>
      </c>
      <c r="B900" s="6" t="s">
        <v>4571</v>
      </c>
      <c r="C900" s="6" t="s">
        <v>3299</v>
      </c>
      <c r="D900" s="13" t="n">
        <v>314.629180908203</v>
      </c>
      <c r="E900" s="25" t="n">
        <v>4.78956031799316</v>
      </c>
      <c r="F900" s="25" t="n">
        <v>41.1333961486816</v>
      </c>
      <c r="G900" s="25" t="n">
        <v>14.9504585266113</v>
      </c>
      <c r="H900" s="25" t="n">
        <v>2.76295590400696</v>
      </c>
      <c r="I900" s="25" t="n">
        <v>25.7870903015137</v>
      </c>
      <c r="J900" s="25" t="n">
        <v>9.2656318359375</v>
      </c>
      <c r="K900" s="25" t="n">
        <v>3.82</v>
      </c>
      <c r="L900" s="25" t="n">
        <v>0.672306823730469</v>
      </c>
      <c r="M900" s="25" t="n">
        <v>40.1272201538086</v>
      </c>
      <c r="N900" s="25" t="n">
        <v>82.9620208740234</v>
      </c>
      <c r="O900" s="25" t="n">
        <v>183.289993286133</v>
      </c>
      <c r="P900" s="25" t="n">
        <v>98.9133758544922</v>
      </c>
      <c r="Q900" s="25" t="n">
        <v>187.848449707031</v>
      </c>
      <c r="R900" s="25" t="n">
        <v>39.2151565551758</v>
      </c>
      <c r="S900" s="25" t="n">
        <v>1.081010222435</v>
      </c>
      <c r="T900" s="25" t="n">
        <v>1.01500463485718</v>
      </c>
      <c r="U900" s="25" t="n">
        <v>0.12928718328476</v>
      </c>
      <c r="V900" s="25" t="n">
        <v>13.7728719711304</v>
      </c>
      <c r="W900" s="25" t="n">
        <v>0.725650131702423</v>
      </c>
      <c r="X900" s="25" t="n">
        <v>174.667922973633</v>
      </c>
      <c r="Y900" s="25" t="n">
        <v>179.981292724609</v>
      </c>
      <c r="Z900" s="25" t="n">
        <v>0.394162774085999</v>
      </c>
      <c r="AA900" s="25" t="n">
        <v>1.57478022575378</v>
      </c>
      <c r="AB900" s="25" t="n">
        <v>1.13751173019409</v>
      </c>
      <c r="AC900" s="25" t="n">
        <v>0.127786725759506</v>
      </c>
      <c r="AD900" s="25" t="n">
        <v>0.178129091858864</v>
      </c>
      <c r="AE900" s="25" t="n">
        <v>0.663330256938934</v>
      </c>
      <c r="AF900" s="25" t="n">
        <v>0.460935473442078</v>
      </c>
      <c r="AG900" s="25" t="n">
        <v>0.0808082297444344</v>
      </c>
      <c r="AH900" s="25" t="n">
        <v>1.32385408878326</v>
      </c>
      <c r="AI900" s="25" t="n">
        <v>11.3724975585938</v>
      </c>
      <c r="AJ900" s="6" t="n">
        <v>66.8</v>
      </c>
      <c r="AK900" s="6" t="n">
        <v>210.2</v>
      </c>
      <c r="AL900" s="26"/>
    </row>
    <row r="901" customFormat="false" ht="15" hidden="false" customHeight="false" outlineLevel="0" collapsed="false">
      <c r="A901" s="6" t="s">
        <v>4572</v>
      </c>
      <c r="B901" s="6" t="s">
        <v>4573</v>
      </c>
      <c r="C901" s="6" t="s">
        <v>3482</v>
      </c>
      <c r="D901" s="13" t="n">
        <v>152.458557128906</v>
      </c>
      <c r="E901" s="25" t="n">
        <v>2.38844275474548</v>
      </c>
      <c r="F901" s="25" t="n">
        <v>20.0612316131592</v>
      </c>
      <c r="G901" s="25" t="n">
        <v>7.30396127700806</v>
      </c>
      <c r="H901" s="25" t="n">
        <v>1.14485108852387</v>
      </c>
      <c r="I901" s="25" t="n">
        <v>15.3598489761353</v>
      </c>
      <c r="J901" s="25" t="n">
        <v>3.70542163085938</v>
      </c>
      <c r="K901" s="25" t="n">
        <v>2.165220703125</v>
      </c>
      <c r="L901" s="25" t="n">
        <v>0.449451385498047</v>
      </c>
      <c r="M901" s="25" t="n">
        <v>16.9023323059082</v>
      </c>
      <c r="N901" s="25" t="n">
        <v>107.123428344727</v>
      </c>
      <c r="O901" s="25" t="n">
        <v>139.641189575195</v>
      </c>
      <c r="P901" s="25" t="n">
        <v>55.095085144043</v>
      </c>
      <c r="Q901" s="25" t="n">
        <v>51.8313598632813</v>
      </c>
      <c r="R901" s="25" t="n">
        <v>13.9662714004517</v>
      </c>
      <c r="S901" s="25" t="n">
        <v>0.526462137699127</v>
      </c>
      <c r="T901" s="25" t="n">
        <v>0.357836395502091</v>
      </c>
      <c r="U901" s="25" t="n">
        <v>0.0772687494754791</v>
      </c>
      <c r="V901" s="25" t="n">
        <v>2.45245790481567</v>
      </c>
      <c r="W901" s="25" t="n">
        <v>0.207278445363045</v>
      </c>
      <c r="X901" s="25" t="n">
        <v>41.1912460327148</v>
      </c>
      <c r="Y901" s="25" t="n">
        <v>620.183715820313</v>
      </c>
      <c r="Z901" s="25" t="n">
        <v>0.621811985969544</v>
      </c>
      <c r="AA901" s="25" t="n">
        <v>2.43470406532288</v>
      </c>
      <c r="AB901" s="25" t="n">
        <v>14.3121643066406</v>
      </c>
      <c r="AC901" s="25" t="n">
        <v>0.0323767513036728</v>
      </c>
      <c r="AD901" s="25" t="n">
        <v>0.0768371000885963</v>
      </c>
      <c r="AE901" s="25" t="n">
        <v>0.309266239404678</v>
      </c>
      <c r="AF901" s="25" t="n">
        <v>0.283812344074249</v>
      </c>
      <c r="AG901" s="25" t="n">
        <v>0.0707674920558929</v>
      </c>
      <c r="AH901" s="25" t="n">
        <v>0.980265557765961</v>
      </c>
      <c r="AI901" s="25" t="n">
        <v>39.4305686950684</v>
      </c>
      <c r="AJ901" s="6" t="n">
        <v>174.2</v>
      </c>
      <c r="AK901" s="6" t="n">
        <v>265.6</v>
      </c>
      <c r="AL901" s="26"/>
    </row>
    <row r="902" customFormat="false" ht="15" hidden="false" customHeight="false" outlineLevel="0" collapsed="false">
      <c r="A902" s="6" t="s">
        <v>4574</v>
      </c>
      <c r="B902" s="6" t="s">
        <v>4575</v>
      </c>
      <c r="C902" s="6" t="s">
        <v>3482</v>
      </c>
      <c r="D902" s="13" t="n">
        <v>255.587066650391</v>
      </c>
      <c r="E902" s="25" t="n">
        <v>5.59983968734741</v>
      </c>
      <c r="F902" s="25" t="n">
        <v>35.9842414855957</v>
      </c>
      <c r="G902" s="25" t="n">
        <v>10.2700252532959</v>
      </c>
      <c r="H902" s="25" t="n">
        <v>2.93456220626831</v>
      </c>
      <c r="I902" s="25" t="n">
        <v>23.9568481445313</v>
      </c>
      <c r="J902" s="25" t="n">
        <v>3.1868603515625</v>
      </c>
      <c r="K902" s="25" t="n">
        <v>2.36866772460938</v>
      </c>
      <c r="L902" s="25" t="n">
        <v>4.1028447265625</v>
      </c>
      <c r="M902" s="25" t="n">
        <v>11.6058025360107</v>
      </c>
      <c r="N902" s="25" t="n">
        <v>158.739990234375</v>
      </c>
      <c r="O902" s="25" t="n">
        <v>273.117553710938</v>
      </c>
      <c r="P902" s="25" t="n">
        <v>156.100799560547</v>
      </c>
      <c r="Q902" s="25" t="n">
        <v>239.438537597656</v>
      </c>
      <c r="R902" s="25" t="n">
        <v>39.0659446716309</v>
      </c>
      <c r="S902" s="25" t="n">
        <v>1.03299152851105</v>
      </c>
      <c r="T902" s="25" t="n">
        <v>1.0409255027771</v>
      </c>
      <c r="U902" s="25" t="n">
        <v>0.108788393437862</v>
      </c>
      <c r="V902" s="25" t="n">
        <v>10.9610452651978</v>
      </c>
      <c r="W902" s="25" t="n">
        <v>0.6307253241539</v>
      </c>
      <c r="X902" s="25" t="n">
        <v>44.0220108032227</v>
      </c>
      <c r="Y902" s="25" t="n">
        <v>1939.44226074219</v>
      </c>
      <c r="Z902" s="25" t="n">
        <v>3.15257120132446</v>
      </c>
      <c r="AA902" s="25" t="n">
        <v>4.43412733078003</v>
      </c>
      <c r="AB902" s="25" t="n">
        <v>3.12398195266724</v>
      </c>
      <c r="AC902" s="25" t="n">
        <v>0.124134063720703</v>
      </c>
      <c r="AD902" s="25" t="n">
        <v>0.234132066369057</v>
      </c>
      <c r="AE902" s="25" t="n">
        <v>0.609469711780548</v>
      </c>
      <c r="AF902" s="25" t="n">
        <v>0.608949482440949</v>
      </c>
      <c r="AG902" s="25" t="n">
        <v>0.101852923631668</v>
      </c>
      <c r="AH902" s="25" t="n">
        <v>2.29220104217529</v>
      </c>
      <c r="AI902" s="25" t="n">
        <v>17.0678844451904</v>
      </c>
      <c r="AJ902" s="6" t="n">
        <v>100</v>
      </c>
      <c r="AK902" s="6" t="n">
        <v>255.5</v>
      </c>
      <c r="AL902" s="26"/>
    </row>
    <row r="903" customFormat="false" ht="15" hidden="false" customHeight="false" outlineLevel="0" collapsed="false">
      <c r="A903" s="6" t="s">
        <v>4576</v>
      </c>
      <c r="B903" s="6" t="s">
        <v>4577</v>
      </c>
      <c r="C903" s="6" t="s">
        <v>4184</v>
      </c>
      <c r="D903" s="13" t="n">
        <v>374.140441894531</v>
      </c>
      <c r="E903" s="25" t="n">
        <v>6.58126163482666</v>
      </c>
      <c r="F903" s="25" t="n">
        <v>31.3241233825684</v>
      </c>
      <c r="G903" s="25" t="n">
        <v>25.1798496246338</v>
      </c>
      <c r="H903" s="25" t="n">
        <v>5.37118625640869</v>
      </c>
      <c r="I903" s="25" t="n">
        <v>18.8614501953125</v>
      </c>
      <c r="J903" s="25" t="n">
        <v>16.2616884765625</v>
      </c>
      <c r="K903" s="25" t="n">
        <v>3.7450439453125</v>
      </c>
      <c r="L903" s="25" t="n">
        <v>0.716870056152344</v>
      </c>
      <c r="M903" s="25" t="n">
        <v>27.0640296936035</v>
      </c>
      <c r="N903" s="25" t="n">
        <v>91.3601913452148</v>
      </c>
      <c r="O903" s="25" t="n">
        <v>349.462341308594</v>
      </c>
      <c r="P903" s="25" t="n">
        <v>128.276077270508</v>
      </c>
      <c r="Q903" s="25" t="n">
        <v>197.625610351563</v>
      </c>
      <c r="R903" s="25" t="n">
        <v>39.5835227966309</v>
      </c>
      <c r="S903" s="25" t="n">
        <v>1.35591340065002</v>
      </c>
      <c r="T903" s="25" t="n">
        <v>1.08071565628052</v>
      </c>
      <c r="U903" s="25" t="n">
        <v>0.294199645519257</v>
      </c>
      <c r="V903" s="25" t="n">
        <v>8.75717544555664</v>
      </c>
      <c r="W903" s="25" t="n">
        <v>0.791864395141602</v>
      </c>
      <c r="X903" s="25" t="n">
        <v>101.809791564941</v>
      </c>
      <c r="Y903" s="25" t="n">
        <v>297.170440673828</v>
      </c>
      <c r="Z903" s="25" t="n">
        <v>1.95015060901642</v>
      </c>
      <c r="AA903" s="25" t="n">
        <v>0.981412470340729</v>
      </c>
      <c r="AB903" s="25" t="n">
        <v>1.5992466211319</v>
      </c>
      <c r="AC903" s="25" t="n">
        <v>0.0936911478638649</v>
      </c>
      <c r="AD903" s="25" t="n">
        <v>0.172862514853478</v>
      </c>
      <c r="AE903" s="25" t="n">
        <v>0.468700557947159</v>
      </c>
      <c r="AF903" s="25" t="n">
        <v>0.502297580242157</v>
      </c>
      <c r="AG903" s="25" t="n">
        <v>0.0829378515481949</v>
      </c>
      <c r="AH903" s="25" t="n">
        <v>1.88011300563812</v>
      </c>
      <c r="AI903" s="25" t="n">
        <v>15.9669494628906</v>
      </c>
      <c r="AJ903" s="6" t="n">
        <v>59</v>
      </c>
      <c r="AK903" s="6" t="n">
        <v>220.7</v>
      </c>
      <c r="AL903" s="26"/>
    </row>
    <row r="904" customFormat="false" ht="15" hidden="false" customHeight="false" outlineLevel="0" collapsed="false">
      <c r="A904" s="6" t="s">
        <v>4578</v>
      </c>
      <c r="B904" s="6" t="s">
        <v>4579</v>
      </c>
      <c r="C904" s="6" t="s">
        <v>3482</v>
      </c>
      <c r="D904" s="13" t="n">
        <v>279.461517333984</v>
      </c>
      <c r="E904" s="25" t="n">
        <v>3.95587706565857</v>
      </c>
      <c r="F904" s="25" t="n">
        <v>38.9322242736816</v>
      </c>
      <c r="G904" s="25" t="n">
        <v>12.2669048309326</v>
      </c>
      <c r="H904" s="25" t="n">
        <v>2.35305070877075</v>
      </c>
      <c r="I904" s="25" t="n">
        <v>24.7598609924316</v>
      </c>
      <c r="J904" s="25" t="n">
        <v>7.52113232421875</v>
      </c>
      <c r="K904" s="25" t="n">
        <v>3.19203515625</v>
      </c>
      <c r="L904" s="25" t="n">
        <v>0.514945922851563</v>
      </c>
      <c r="M904" s="25" t="n">
        <v>25.1978187561035</v>
      </c>
      <c r="N904" s="25" t="n">
        <v>98.2615356445313</v>
      </c>
      <c r="O904" s="25" t="n">
        <v>191.326858520508</v>
      </c>
      <c r="P904" s="25" t="n">
        <v>118.383262634277</v>
      </c>
      <c r="Q904" s="25" t="n">
        <v>173.837677001953</v>
      </c>
      <c r="R904" s="25" t="n">
        <v>49.5679397583008</v>
      </c>
      <c r="S904" s="25" t="n">
        <v>1.34577488899231</v>
      </c>
      <c r="T904" s="25" t="n">
        <v>0.977526605129242</v>
      </c>
      <c r="U904" s="25" t="n">
        <v>0.280852615833283</v>
      </c>
      <c r="V904" s="25" t="n">
        <v>6.7802095413208</v>
      </c>
      <c r="W904" s="25" t="n">
        <v>0.655192673206329</v>
      </c>
      <c r="X904" s="25" t="n">
        <v>111.997299194336</v>
      </c>
      <c r="Y904" s="25" t="n">
        <v>186.397750854492</v>
      </c>
      <c r="Z904" s="25" t="n">
        <v>0.356494009494782</v>
      </c>
      <c r="AA904" s="25" t="n">
        <v>1.40115773677826</v>
      </c>
      <c r="AB904" s="25" t="n">
        <v>0.775477409362793</v>
      </c>
      <c r="AC904" s="25" t="n">
        <v>0.100827276706696</v>
      </c>
      <c r="AD904" s="25" t="n">
        <v>0.100320264697075</v>
      </c>
      <c r="AE904" s="25" t="n">
        <v>0.460875451564789</v>
      </c>
      <c r="AF904" s="25" t="n">
        <v>0.26618218421936</v>
      </c>
      <c r="AG904" s="25" t="n">
        <v>0.0496695972979069</v>
      </c>
      <c r="AH904" s="25" t="n">
        <v>1.06138241291046</v>
      </c>
      <c r="AI904" s="25" t="n">
        <v>11.5696725845337</v>
      </c>
      <c r="AJ904" s="6" t="n">
        <v>98.6</v>
      </c>
      <c r="AK904" s="6" t="n">
        <v>275.6</v>
      </c>
      <c r="AL904" s="26"/>
    </row>
    <row r="905" customFormat="false" ht="15" hidden="false" customHeight="false" outlineLevel="0" collapsed="false">
      <c r="A905" s="6" t="s">
        <v>4580</v>
      </c>
      <c r="B905" s="6" t="s">
        <v>4581</v>
      </c>
      <c r="C905" s="6" t="s">
        <v>3482</v>
      </c>
      <c r="D905" s="13" t="n">
        <v>333.593200683594</v>
      </c>
      <c r="E905" s="25" t="n">
        <v>3.07765936851502</v>
      </c>
      <c r="F905" s="25" t="n">
        <v>49.0407791137695</v>
      </c>
      <c r="G905" s="25" t="n">
        <v>14.702841758728</v>
      </c>
      <c r="H905" s="25" t="n">
        <v>0.505841910839081</v>
      </c>
      <c r="I905" s="25" t="n">
        <v>33.4337158203125</v>
      </c>
      <c r="J905" s="25" t="n">
        <v>2.18363842773438</v>
      </c>
      <c r="K905" s="25" t="n">
        <v>3.04926782226563</v>
      </c>
      <c r="L905" s="25" t="n">
        <v>8.7905791015625</v>
      </c>
      <c r="M905" s="25" t="n">
        <v>1.54352807998657</v>
      </c>
      <c r="N905" s="25" t="n">
        <v>72.5538787841797</v>
      </c>
      <c r="O905" s="25" t="n">
        <v>88.7581176757813</v>
      </c>
      <c r="P905" s="25" t="n">
        <v>50.8575782775879</v>
      </c>
      <c r="Q905" s="25" t="n">
        <v>95.6347427368164</v>
      </c>
      <c r="R905" s="25" t="n">
        <v>9.73020172119141</v>
      </c>
      <c r="S905" s="25" t="n">
        <v>0.455757945775986</v>
      </c>
      <c r="T905" s="25" t="n">
        <v>0.445127904415131</v>
      </c>
      <c r="U905" s="25" t="n">
        <v>0.0628476515412331</v>
      </c>
      <c r="V905" s="25" t="n">
        <v>0.506300091743469</v>
      </c>
      <c r="W905" s="25" t="n">
        <v>0.15831233561039</v>
      </c>
      <c r="X905" s="25" t="n">
        <v>3.92898058891296</v>
      </c>
      <c r="Y905" s="25" t="n">
        <v>70.7588806152344</v>
      </c>
      <c r="Z905" s="25" t="n">
        <v>6.80197620391846</v>
      </c>
      <c r="AA905" s="25" t="n">
        <v>1.04925549030304</v>
      </c>
      <c r="AB905" s="25" t="n">
        <v>0.324513167142868</v>
      </c>
      <c r="AC905" s="25" t="n">
        <v>0.0386765971779823</v>
      </c>
      <c r="AD905" s="25" t="n">
        <v>0.0660385638475418</v>
      </c>
      <c r="AE905" s="25" t="n">
        <v>0.204887360334396</v>
      </c>
      <c r="AF905" s="25" t="n">
        <v>0.233329519629479</v>
      </c>
      <c r="AG905" s="25" t="n">
        <v>0.0323993898928165</v>
      </c>
      <c r="AH905" s="25" t="n">
        <v>0.652577340602875</v>
      </c>
      <c r="AI905" s="25" t="n">
        <v>6.14822435379028</v>
      </c>
      <c r="AJ905" s="6" t="n">
        <v>163.7</v>
      </c>
      <c r="AK905" s="6" t="n">
        <v>546.1</v>
      </c>
      <c r="AL905" s="26"/>
    </row>
    <row r="906" customFormat="false" ht="15" hidden="false" customHeight="false" outlineLevel="0" collapsed="false">
      <c r="A906" s="6" t="s">
        <v>4582</v>
      </c>
      <c r="B906" s="6" t="s">
        <v>4583</v>
      </c>
      <c r="C906" s="6" t="s">
        <v>3482</v>
      </c>
      <c r="D906" s="13" t="n">
        <v>356.347961425781</v>
      </c>
      <c r="E906" s="25" t="n">
        <v>7.177490234375</v>
      </c>
      <c r="F906" s="25" t="n">
        <v>34.5315818786621</v>
      </c>
      <c r="G906" s="25" t="n">
        <v>21.3557586669922</v>
      </c>
      <c r="H906" s="25" t="n">
        <v>2.34862112998962</v>
      </c>
      <c r="I906" s="25" t="n">
        <v>18.0577774047852</v>
      </c>
      <c r="J906" s="25" t="n">
        <v>8.7814775390625</v>
      </c>
      <c r="K906" s="25" t="n">
        <v>8.6352392578125</v>
      </c>
      <c r="L906" s="25" t="n">
        <v>2.37344506835938</v>
      </c>
      <c r="M906" s="25" t="n">
        <v>74.3203887939453</v>
      </c>
      <c r="N906" s="25" t="n">
        <v>155.373138427734</v>
      </c>
      <c r="O906" s="25" t="n">
        <v>173.383361816406</v>
      </c>
      <c r="P906" s="25" t="n">
        <v>81.2913513183594</v>
      </c>
      <c r="Q906" s="25" t="n">
        <v>207.42317199707</v>
      </c>
      <c r="R906" s="25" t="n">
        <v>52.8958702087402</v>
      </c>
      <c r="S906" s="25" t="n">
        <v>1.28938865661621</v>
      </c>
      <c r="T906" s="25" t="n">
        <v>0.935622155666351</v>
      </c>
      <c r="U906" s="25" t="n">
        <v>0.215284615755081</v>
      </c>
      <c r="V906" s="25" t="n">
        <v>5.64216756820679</v>
      </c>
      <c r="W906" s="25" t="n">
        <v>0.523454606533051</v>
      </c>
      <c r="X906" s="25" t="n">
        <v>157.178833007813</v>
      </c>
      <c r="Y906" s="25" t="n">
        <v>206.281875610352</v>
      </c>
      <c r="Z906" s="25" t="n">
        <v>3.89340281486511</v>
      </c>
      <c r="AA906" s="25" t="n">
        <v>2.35721182823181</v>
      </c>
      <c r="AB906" s="25" t="n">
        <v>0.539486408233643</v>
      </c>
      <c r="AC906" s="25" t="n">
        <v>0.0668046474456787</v>
      </c>
      <c r="AD906" s="25" t="n">
        <v>0.104787528514862</v>
      </c>
      <c r="AE906" s="25" t="n">
        <v>0.689547538757324</v>
      </c>
      <c r="AF906" s="25" t="n">
        <v>0.516181588172913</v>
      </c>
      <c r="AG906" s="25" t="n">
        <v>0.0580305717885494</v>
      </c>
      <c r="AH906" s="25" t="n">
        <v>3.14126253128052</v>
      </c>
      <c r="AI906" s="25" t="n">
        <v>15.9407949447632</v>
      </c>
      <c r="AJ906" s="6" t="n">
        <v>68.1</v>
      </c>
      <c r="AK906" s="6" t="n">
        <v>242.8</v>
      </c>
      <c r="AL906" s="26"/>
    </row>
    <row r="907" customFormat="false" ht="15" hidden="false" customHeight="false" outlineLevel="0" collapsed="false">
      <c r="A907" s="6" t="s">
        <v>4584</v>
      </c>
      <c r="B907" s="6" t="s">
        <v>4585</v>
      </c>
      <c r="C907" s="6" t="s">
        <v>4586</v>
      </c>
      <c r="D907" s="13" t="n">
        <v>347.721588134766</v>
      </c>
      <c r="E907" s="25" t="n">
        <v>4.49068069458008</v>
      </c>
      <c r="F907" s="25" t="n">
        <v>52.9368133544922</v>
      </c>
      <c r="G907" s="25" t="n">
        <v>12.6822519302368</v>
      </c>
      <c r="H907" s="25" t="n">
        <v>0.845977008342743</v>
      </c>
      <c r="I907" s="25" t="n">
        <v>28.084644317627</v>
      </c>
      <c r="J907" s="25" t="n">
        <v>1.87272973632813</v>
      </c>
      <c r="K907" s="25" t="n">
        <v>2.60923828125</v>
      </c>
      <c r="L907" s="25" t="n">
        <v>7.58996533203125</v>
      </c>
      <c r="M907" s="25" t="n">
        <v>2.46389627456665</v>
      </c>
      <c r="N907" s="25" t="n">
        <v>106.358268737793</v>
      </c>
      <c r="O907" s="25" t="n">
        <v>109.793395996094</v>
      </c>
      <c r="P907" s="25" t="n">
        <v>61.4070129394531</v>
      </c>
      <c r="Q907" s="25" t="n">
        <v>134.122604370117</v>
      </c>
      <c r="R907" s="25" t="n">
        <v>14.158148765564</v>
      </c>
      <c r="S907" s="25" t="n">
        <v>0.617082238197327</v>
      </c>
      <c r="T907" s="25" t="n">
        <v>0.467456549406052</v>
      </c>
      <c r="U907" s="25" t="n">
        <v>0.0775054544210434</v>
      </c>
      <c r="V907" s="25" t="n">
        <v>0.447981119155884</v>
      </c>
      <c r="W907" s="25" t="n">
        <v>0.193645745515823</v>
      </c>
      <c r="X907" s="25" t="n">
        <v>6.27173614501953</v>
      </c>
      <c r="Y907" s="25" t="n">
        <v>87.4624252319336</v>
      </c>
      <c r="Z907" s="25" t="n">
        <v>5.82906007766724</v>
      </c>
      <c r="AA907" s="25" t="n">
        <v>1.04921901226044</v>
      </c>
      <c r="AB907" s="25" t="n">
        <v>0.223990559577942</v>
      </c>
      <c r="AC907" s="25" t="n">
        <v>0.0594423785805702</v>
      </c>
      <c r="AD907" s="25" t="n">
        <v>0.0790922492742539</v>
      </c>
      <c r="AE907" s="25" t="n">
        <v>0.281815499067307</v>
      </c>
      <c r="AF907" s="25" t="n">
        <v>0.332767456769943</v>
      </c>
      <c r="AG907" s="25" t="n">
        <v>0.0469814315438271</v>
      </c>
      <c r="AH907" s="25" t="n">
        <v>0.760153293609619</v>
      </c>
      <c r="AI907" s="25" t="n">
        <v>9.01267337799072</v>
      </c>
      <c r="AJ907" s="6" t="n">
        <v>848.2</v>
      </c>
      <c r="AK907" s="6" t="n">
        <v>2949.5</v>
      </c>
      <c r="AL907" s="26" t="s">
        <v>3070</v>
      </c>
    </row>
    <row r="908" customFormat="false" ht="15" hidden="false" customHeight="false" outlineLevel="0" collapsed="false">
      <c r="A908" s="6" t="s">
        <v>4587</v>
      </c>
      <c r="B908" s="6" t="s">
        <v>4588</v>
      </c>
      <c r="C908" s="6" t="s">
        <v>3007</v>
      </c>
      <c r="D908" s="13" t="n">
        <v>96.0418930053711</v>
      </c>
      <c r="E908" s="25" t="n">
        <v>10.6073904037476</v>
      </c>
      <c r="F908" s="25" t="n">
        <v>4.17656898498535</v>
      </c>
      <c r="G908" s="25" t="n">
        <v>4.15070056915283</v>
      </c>
      <c r="H908" s="25" t="n">
        <v>0.543123602867127</v>
      </c>
      <c r="I908" s="25" t="n">
        <v>1.43490421772003</v>
      </c>
      <c r="J908" s="25" t="n">
        <v>0.865296508789063</v>
      </c>
      <c r="K908" s="25" t="n">
        <v>2.29771215820313</v>
      </c>
      <c r="L908" s="25" t="n">
        <v>0.634527099609375</v>
      </c>
      <c r="M908" s="25" t="n">
        <v>25.9156093597412</v>
      </c>
      <c r="N908" s="25" t="n">
        <v>378.144012451172</v>
      </c>
      <c r="O908" s="25" t="n">
        <v>309.303649902344</v>
      </c>
      <c r="P908" s="25" t="n">
        <v>20.5165710449219</v>
      </c>
      <c r="Q908" s="25" t="n">
        <v>207.481811523438</v>
      </c>
      <c r="R908" s="25" t="n">
        <v>22.9695014953613</v>
      </c>
      <c r="S908" s="25" t="n">
        <v>0.876465260982513</v>
      </c>
      <c r="T908" s="25" t="n">
        <v>1.19852030277252</v>
      </c>
      <c r="U908" s="25" t="n">
        <v>0.113007545471191</v>
      </c>
      <c r="V908" s="25" t="n">
        <v>5.22425603866577</v>
      </c>
      <c r="W908" s="25" t="n">
        <v>0.133482545614243</v>
      </c>
      <c r="X908" s="25" t="n">
        <v>0</v>
      </c>
      <c r="Y908" s="25" t="n">
        <v>720.425842285156</v>
      </c>
      <c r="Z908" s="25" t="n">
        <v>0.322287142276764</v>
      </c>
      <c r="AA908" s="25" t="n">
        <v>7.51714754104614</v>
      </c>
      <c r="AB908" s="25" t="n">
        <v>14.7937288284302</v>
      </c>
      <c r="AC908" s="25" t="n">
        <v>0.38041365146637</v>
      </c>
      <c r="AD908" s="25" t="n">
        <v>0.0966517478227615</v>
      </c>
      <c r="AE908" s="25" t="n">
        <v>4.15273141860962</v>
      </c>
      <c r="AF908" s="25" t="n">
        <v>2.35609292984009</v>
      </c>
      <c r="AG908" s="25" t="n">
        <v>0.311941474676132</v>
      </c>
      <c r="AH908" s="25" t="n">
        <v>2.81235599517822</v>
      </c>
      <c r="AI908" s="25" t="n">
        <v>68.7751693725586</v>
      </c>
      <c r="AJ908" s="6" t="n">
        <v>150.8</v>
      </c>
      <c r="AK908" s="6" t="n">
        <v>144.8</v>
      </c>
      <c r="AL908" s="26"/>
    </row>
    <row r="909" customFormat="false" ht="15" hidden="false" customHeight="false" outlineLevel="0" collapsed="false">
      <c r="A909" s="6" t="s">
        <v>4589</v>
      </c>
      <c r="B909" s="6" t="s">
        <v>4590</v>
      </c>
      <c r="C909" s="6" t="s">
        <v>3007</v>
      </c>
      <c r="D909" s="13" t="n">
        <v>68.9104843139648</v>
      </c>
      <c r="E909" s="25" t="n">
        <v>3.45471048355103</v>
      </c>
      <c r="F909" s="25" t="n">
        <v>6.25919628143311</v>
      </c>
      <c r="G909" s="25" t="n">
        <v>3.33776712417603</v>
      </c>
      <c r="H909" s="25" t="n">
        <v>0.839466333389282</v>
      </c>
      <c r="I909" s="25" t="n">
        <v>5.86748886108398</v>
      </c>
      <c r="J909" s="25" t="n">
        <v>1.39065258789063</v>
      </c>
      <c r="K909" s="25" t="n">
        <v>0.993059814453125</v>
      </c>
      <c r="L909" s="25" t="n">
        <v>0.683138854980469</v>
      </c>
      <c r="M909" s="25" t="n">
        <v>0.825808167457581</v>
      </c>
      <c r="N909" s="25" t="n">
        <v>87.0750198364258</v>
      </c>
      <c r="O909" s="25" t="n">
        <v>158.886001586914</v>
      </c>
      <c r="P909" s="25" t="n">
        <v>164.916641235352</v>
      </c>
      <c r="Q909" s="25" t="n">
        <v>116.085990905762</v>
      </c>
      <c r="R909" s="25" t="n">
        <v>19.0843296051025</v>
      </c>
      <c r="S909" s="25" t="n">
        <v>0.545552611351013</v>
      </c>
      <c r="T909" s="25" t="n">
        <v>0.809997975826263</v>
      </c>
      <c r="U909" s="25" t="n">
        <v>0.0665351897478104</v>
      </c>
      <c r="V909" s="25" t="n">
        <v>4.78410387039185</v>
      </c>
      <c r="W909" s="25" t="n">
        <v>0.0797873958945274</v>
      </c>
      <c r="X909" s="25" t="n">
        <v>1.65161633491516</v>
      </c>
      <c r="Y909" s="25" t="n">
        <v>54.2140731811523</v>
      </c>
      <c r="Z909" s="25" t="n">
        <v>0.466202169656754</v>
      </c>
      <c r="AA909" s="25" t="n">
        <v>1.24892926216126</v>
      </c>
      <c r="AB909" s="25" t="n">
        <v>1.14051818847656</v>
      </c>
      <c r="AC909" s="25" t="n">
        <v>0.0428304634988308</v>
      </c>
      <c r="AD909" s="25" t="n">
        <v>0.134237140417099</v>
      </c>
      <c r="AE909" s="25" t="n">
        <v>0.118207275867462</v>
      </c>
      <c r="AF909" s="25" t="n">
        <v>0.388840854167938</v>
      </c>
      <c r="AG909" s="25" t="n">
        <v>0.0442149788141251</v>
      </c>
      <c r="AH909" s="25" t="n">
        <v>2.92743635177612</v>
      </c>
      <c r="AI909" s="25" t="n">
        <v>15.0938100814819</v>
      </c>
      <c r="AJ909" s="6" t="n">
        <v>223.4</v>
      </c>
      <c r="AK909" s="6" t="n">
        <v>154</v>
      </c>
      <c r="AL909" s="26"/>
    </row>
    <row r="910" customFormat="false" ht="15" hidden="false" customHeight="false" outlineLevel="0" collapsed="false">
      <c r="A910" s="6" t="s">
        <v>4591</v>
      </c>
      <c r="B910" s="6" t="s">
        <v>4592</v>
      </c>
      <c r="C910" s="6" t="s">
        <v>3007</v>
      </c>
      <c r="D910" s="13" t="n">
        <v>23.048173904419</v>
      </c>
      <c r="E910" s="25" t="n">
        <v>0.453706115484238</v>
      </c>
      <c r="F910" s="25" t="n">
        <v>1.16089737415314</v>
      </c>
      <c r="G910" s="25" t="n">
        <v>1.79461789131165</v>
      </c>
      <c r="H910" s="25" t="n">
        <v>0.958529233932495</v>
      </c>
      <c r="I910" s="25" t="n">
        <v>0.388523787260056</v>
      </c>
      <c r="J910" s="25" t="n">
        <v>0.358396270751953</v>
      </c>
      <c r="K910" s="25" t="n">
        <v>1.17007836914063</v>
      </c>
      <c r="L910" s="25" t="n">
        <v>0.162302749633789</v>
      </c>
      <c r="M910" s="25" t="n">
        <v>0.720143675804138</v>
      </c>
      <c r="N910" s="25" t="n">
        <v>53.8056793212891</v>
      </c>
      <c r="O910" s="25" t="n">
        <v>61.6769256591797</v>
      </c>
      <c r="P910" s="25" t="n">
        <v>15.1442890167236</v>
      </c>
      <c r="Q910" s="25" t="n">
        <v>14.6778497695923</v>
      </c>
      <c r="R910" s="25" t="n">
        <v>5.92092561721802</v>
      </c>
      <c r="S910" s="25" t="n">
        <v>0.256369352340698</v>
      </c>
      <c r="T910" s="25" t="n">
        <v>0.103573717176914</v>
      </c>
      <c r="U910" s="25" t="n">
        <v>0.0265717767179012</v>
      </c>
      <c r="V910" s="25" t="n">
        <v>0.764613211154938</v>
      </c>
      <c r="W910" s="25" t="n">
        <v>0.08326555788517</v>
      </c>
      <c r="X910" s="25" t="n">
        <v>2.28751516342163</v>
      </c>
      <c r="Y910" s="25" t="n">
        <v>56.9805030822754</v>
      </c>
      <c r="Z910" s="25" t="n">
        <v>0.093177892267704</v>
      </c>
      <c r="AA910" s="25" t="n">
        <v>2.01831150054932</v>
      </c>
      <c r="AB910" s="25" t="n">
        <v>2.03464603424072</v>
      </c>
      <c r="AC910" s="25" t="n">
        <v>0.0141819166019559</v>
      </c>
      <c r="AD910" s="25" t="n">
        <v>0.00757037661969662</v>
      </c>
      <c r="AE910" s="25" t="n">
        <v>0.0773338302969933</v>
      </c>
      <c r="AF910" s="25" t="n">
        <v>0.239982381463051</v>
      </c>
      <c r="AG910" s="25" t="n">
        <v>0.013741809874773</v>
      </c>
      <c r="AH910" s="25" t="n">
        <v>1.14980411529541</v>
      </c>
      <c r="AI910" s="25" t="n">
        <v>17.871265411377</v>
      </c>
      <c r="AJ910" s="6" t="n">
        <v>295.1</v>
      </c>
      <c r="AK910" s="6" t="n">
        <v>68</v>
      </c>
      <c r="AL910" s="26"/>
    </row>
    <row r="911" customFormat="false" ht="15" hidden="false" customHeight="false" outlineLevel="0" collapsed="false">
      <c r="A911" s="6" t="s">
        <v>4593</v>
      </c>
      <c r="B911" s="6" t="s">
        <v>4594</v>
      </c>
      <c r="C911" s="6" t="s">
        <v>3007</v>
      </c>
      <c r="D911" s="13" t="n">
        <v>147.054244995117</v>
      </c>
      <c r="E911" s="25" t="n">
        <v>5.73205137252808</v>
      </c>
      <c r="F911" s="25" t="n">
        <v>5.85116529464722</v>
      </c>
      <c r="G911" s="25" t="n">
        <v>11.2081623077393</v>
      </c>
      <c r="H911" s="25" t="n">
        <v>0.298764795064926</v>
      </c>
      <c r="I911" s="25" t="n">
        <v>3.43836760520935</v>
      </c>
      <c r="J911" s="25" t="n">
        <v>6.18845263671875</v>
      </c>
      <c r="K911" s="25" t="n">
        <v>3.29793188476563</v>
      </c>
      <c r="L911" s="25" t="n">
        <v>0.657613647460938</v>
      </c>
      <c r="M911" s="25" t="n">
        <v>26.3070163726807</v>
      </c>
      <c r="N911" s="25" t="n">
        <v>268.692474365234</v>
      </c>
      <c r="O911" s="25" t="n">
        <v>184.874374389648</v>
      </c>
      <c r="P911" s="25" t="n">
        <v>106.562843322754</v>
      </c>
      <c r="Q911" s="25" t="n">
        <v>128.168151855469</v>
      </c>
      <c r="R911" s="25" t="n">
        <v>12.6516742706299</v>
      </c>
      <c r="S911" s="25" t="n">
        <v>0.268254160881043</v>
      </c>
      <c r="T911" s="25" t="n">
        <v>0.575251519680023</v>
      </c>
      <c r="U911" s="25" t="n">
        <v>0.0423666127026081</v>
      </c>
      <c r="V911" s="25" t="n">
        <v>2.36382913589478</v>
      </c>
      <c r="W911" s="25" t="n">
        <v>0.0426206551492214</v>
      </c>
      <c r="X911" s="25" t="n">
        <v>64.9654922485352</v>
      </c>
      <c r="Y911" s="25" t="n">
        <v>167.061828613281</v>
      </c>
      <c r="Z911" s="25" t="n">
        <v>0.26749649643898</v>
      </c>
      <c r="AA911" s="25" t="n">
        <v>1.00072586536408</v>
      </c>
      <c r="AB911" s="25" t="n">
        <v>3.61568832397461</v>
      </c>
      <c r="AC911" s="25" t="n">
        <v>0.125627145171166</v>
      </c>
      <c r="AD911" s="25" t="n">
        <v>0.106661148369312</v>
      </c>
      <c r="AE911" s="25" t="n">
        <v>1.02592635154724</v>
      </c>
      <c r="AF911" s="25" t="n">
        <v>0.422109395265579</v>
      </c>
      <c r="AG911" s="25" t="n">
        <v>0.112316943705082</v>
      </c>
      <c r="AH911" s="25" t="n">
        <v>1.89631354808807</v>
      </c>
      <c r="AI911" s="25" t="n">
        <v>8.15057277679443</v>
      </c>
      <c r="AJ911" s="6" t="n">
        <v>523.5</v>
      </c>
      <c r="AK911" s="6" t="n">
        <v>769.9</v>
      </c>
      <c r="AL911" s="26"/>
    </row>
    <row r="912" customFormat="false" ht="15" hidden="false" customHeight="false" outlineLevel="0" collapsed="false">
      <c r="A912" s="6" t="s">
        <v>4595</v>
      </c>
      <c r="B912" s="6" t="s">
        <v>4596</v>
      </c>
      <c r="C912" s="6" t="s">
        <v>3007</v>
      </c>
      <c r="D912" s="13" t="n">
        <v>40.0454521179199</v>
      </c>
      <c r="E912" s="25" t="n">
        <v>0.470094203948975</v>
      </c>
      <c r="F912" s="25" t="n">
        <v>2.0762312412262</v>
      </c>
      <c r="G912" s="25" t="n">
        <v>3.20116710662842</v>
      </c>
      <c r="H912" s="25" t="n">
        <v>1.19078516960144</v>
      </c>
      <c r="I912" s="25" t="n">
        <v>1.4695315361023</v>
      </c>
      <c r="J912" s="25" t="n">
        <v>0.616279602050781</v>
      </c>
      <c r="K912" s="25" t="n">
        <v>2.15390600585938</v>
      </c>
      <c r="L912" s="25" t="n">
        <v>0.272499633789063</v>
      </c>
      <c r="M912" s="25" t="n">
        <v>0.863648235797882</v>
      </c>
      <c r="N912" s="25" t="n">
        <v>45.4972839355469</v>
      </c>
      <c r="O912" s="25" t="n">
        <v>115.186859130859</v>
      </c>
      <c r="P912" s="25" t="n">
        <v>12.1716175079346</v>
      </c>
      <c r="Q912" s="25" t="n">
        <v>11.8473701477051</v>
      </c>
      <c r="R912" s="25" t="n">
        <v>5.37558221817017</v>
      </c>
      <c r="S912" s="25" t="n">
        <v>0.189489662647247</v>
      </c>
      <c r="T912" s="25" t="n">
        <v>0.0642266422510147</v>
      </c>
      <c r="U912" s="25" t="n">
        <v>0.0309316925704479</v>
      </c>
      <c r="V912" s="25" t="n">
        <v>0.179107561707497</v>
      </c>
      <c r="W912" s="25" t="n">
        <v>0.0451190806925297</v>
      </c>
      <c r="X912" s="25" t="n">
        <v>4.56948471069336</v>
      </c>
      <c r="Y912" s="25" t="n">
        <v>614.566955566406</v>
      </c>
      <c r="Z912" s="25" t="n">
        <v>0.405752420425415</v>
      </c>
      <c r="AA912" s="25" t="n">
        <v>36.9981651306152</v>
      </c>
      <c r="AB912" s="25" t="n">
        <v>3.61021971702576</v>
      </c>
      <c r="AC912" s="25" t="n">
        <v>0.0146139748394489</v>
      </c>
      <c r="AD912" s="25" t="n">
        <v>0.0162549074739218</v>
      </c>
      <c r="AE912" s="25" t="n">
        <v>0.185291811823845</v>
      </c>
      <c r="AF912" s="25" t="n">
        <v>0.0917953476309776</v>
      </c>
      <c r="AG912" s="25" t="n">
        <v>0.0384009405970573</v>
      </c>
      <c r="AH912" s="25" t="n">
        <v>0.815456688404083</v>
      </c>
      <c r="AI912" s="25" t="n">
        <v>11.2199058532715</v>
      </c>
      <c r="AJ912" s="6" t="n">
        <v>318.4</v>
      </c>
      <c r="AK912" s="6" t="n">
        <v>127.5</v>
      </c>
      <c r="AL912" s="26"/>
    </row>
    <row r="913" customFormat="false" ht="15" hidden="false" customHeight="false" outlineLevel="0" collapsed="false">
      <c r="A913" s="6" t="s">
        <v>1812</v>
      </c>
      <c r="B913" s="6" t="s">
        <v>4597</v>
      </c>
      <c r="C913" s="6" t="s">
        <v>3007</v>
      </c>
      <c r="D913" s="13" t="n">
        <v>32.2457580566406</v>
      </c>
      <c r="E913" s="25" t="n">
        <v>0.99030464887619</v>
      </c>
      <c r="F913" s="25" t="n">
        <v>3.56477808952332</v>
      </c>
      <c r="G913" s="25" t="n">
        <v>1.63231015205383</v>
      </c>
      <c r="H913" s="25" t="n">
        <v>0.311352133750916</v>
      </c>
      <c r="I913" s="25" t="n">
        <v>0.895712077617645</v>
      </c>
      <c r="J913" s="25" t="n">
        <v>0.198920043945313</v>
      </c>
      <c r="K913" s="25" t="n">
        <v>0.364539672851563</v>
      </c>
      <c r="L913" s="25" t="n">
        <v>0.915439636230469</v>
      </c>
      <c r="M913" s="25" t="n">
        <v>0</v>
      </c>
      <c r="N913" s="25" t="n">
        <v>22.3505992889404</v>
      </c>
      <c r="O913" s="25" t="n">
        <v>86.9209136962891</v>
      </c>
      <c r="P913" s="25" t="n">
        <v>3.72121596336365</v>
      </c>
      <c r="Q913" s="25" t="n">
        <v>26.1358947753906</v>
      </c>
      <c r="R913" s="25" t="n">
        <v>11.2228937149048</v>
      </c>
      <c r="S913" s="25" t="n">
        <v>0.407674372196198</v>
      </c>
      <c r="T913" s="25" t="n">
        <v>0.142293512821198</v>
      </c>
      <c r="U913" s="25" t="n">
        <v>0.0176155585795641</v>
      </c>
      <c r="V913" s="25" t="n">
        <v>0.0146804116666317</v>
      </c>
      <c r="W913" s="25" t="n">
        <v>0.171254470944405</v>
      </c>
      <c r="X913" s="25" t="n">
        <v>0</v>
      </c>
      <c r="Y913" s="25" t="n">
        <v>320.706939697266</v>
      </c>
      <c r="Z913" s="25" t="n">
        <v>0.655640184879303</v>
      </c>
      <c r="AA913" s="25" t="n">
        <v>1.07165431976318</v>
      </c>
      <c r="AB913" s="25" t="n">
        <v>2.63252234458923</v>
      </c>
      <c r="AC913" s="25" t="n">
        <v>0.0433061942458153</v>
      </c>
      <c r="AD913" s="25" t="n">
        <v>0.0163179989904165</v>
      </c>
      <c r="AE913" s="25" t="n">
        <v>0.51665997505188</v>
      </c>
      <c r="AF913" s="25" t="n">
        <v>0.205823048949242</v>
      </c>
      <c r="AG913" s="25" t="n">
        <v>0.0256437230855227</v>
      </c>
      <c r="AH913" s="25" t="n">
        <v>0.182682052254677</v>
      </c>
      <c r="AI913" s="25" t="n">
        <v>12.7817840576172</v>
      </c>
      <c r="AJ913" s="6" t="n">
        <v>392.2</v>
      </c>
      <c r="AK913" s="6" t="n">
        <v>126.5</v>
      </c>
      <c r="AL913" s="26"/>
    </row>
    <row r="914" customFormat="false" ht="15" hidden="false" customHeight="false" outlineLevel="0" collapsed="false">
      <c r="A914" s="6" t="s">
        <v>4598</v>
      </c>
      <c r="B914" s="6" t="s">
        <v>4599</v>
      </c>
      <c r="C914" s="6" t="s">
        <v>3007</v>
      </c>
      <c r="D914" s="13" t="n">
        <v>47.8507957458496</v>
      </c>
      <c r="E914" s="25" t="n">
        <v>3.22196483612061</v>
      </c>
      <c r="F914" s="25" t="n">
        <v>2.42407274246216</v>
      </c>
      <c r="G914" s="25" t="n">
        <v>2.80072855949402</v>
      </c>
      <c r="H914" s="25" t="n">
        <v>0.280278354883194</v>
      </c>
      <c r="I914" s="25" t="n">
        <v>1.97734749317169</v>
      </c>
      <c r="J914" s="25" t="n">
        <v>1.49712512207031</v>
      </c>
      <c r="K914" s="25" t="n">
        <v>0.792662658691406</v>
      </c>
      <c r="L914" s="25" t="n">
        <v>0.294541900634766</v>
      </c>
      <c r="M914" s="25" t="n">
        <v>0</v>
      </c>
      <c r="N914" s="25" t="n">
        <v>68.0322036743164</v>
      </c>
      <c r="O914" s="25" t="n">
        <v>27.6614818572998</v>
      </c>
      <c r="P914" s="25" t="n">
        <v>82.7610168457031</v>
      </c>
      <c r="Q914" s="25" t="n">
        <v>56.7443771362305</v>
      </c>
      <c r="R914" s="25" t="n">
        <v>6.55105638504028</v>
      </c>
      <c r="S914" s="25" t="n">
        <v>0.303237825632095</v>
      </c>
      <c r="T914" s="25" t="n">
        <v>0.472934931516647</v>
      </c>
      <c r="U914" s="25" t="n">
        <v>0.0256283264607191</v>
      </c>
      <c r="V914" s="25" t="n">
        <v>3.95521068572998</v>
      </c>
      <c r="W914" s="25" t="n">
        <v>0.104977488517761</v>
      </c>
      <c r="X914" s="25" t="n">
        <v>0</v>
      </c>
      <c r="Y914" s="25" t="n">
        <v>85.7343063354492</v>
      </c>
      <c r="Z914" s="25" t="n">
        <v>0.174699142575264</v>
      </c>
      <c r="AA914" s="25" t="n">
        <v>5.1594762802124</v>
      </c>
      <c r="AB914" s="25" t="n">
        <v>1.24342620372772</v>
      </c>
      <c r="AC914" s="25" t="n">
        <v>0.0055382726714015</v>
      </c>
      <c r="AD914" s="25" t="n">
        <v>0.0196602549403906</v>
      </c>
      <c r="AE914" s="25" t="n">
        <v>0.0462546050548554</v>
      </c>
      <c r="AF914" s="25" t="n">
        <v>0.0957347527146339</v>
      </c>
      <c r="AG914" s="25" t="n">
        <v>0.0162136722356081</v>
      </c>
      <c r="AH914" s="25" t="n">
        <v>3.51598453521729</v>
      </c>
      <c r="AI914" s="25" t="n">
        <v>17.4368400573731</v>
      </c>
      <c r="AJ914" s="6" t="n">
        <v>610.7</v>
      </c>
      <c r="AK914" s="6" t="n">
        <v>292.2</v>
      </c>
      <c r="AL914" s="26"/>
    </row>
    <row r="915" customFormat="false" ht="15" hidden="false" customHeight="false" outlineLevel="0" collapsed="false">
      <c r="A915" s="6" t="s">
        <v>4600</v>
      </c>
      <c r="B915" s="6" t="s">
        <v>4601</v>
      </c>
      <c r="C915" s="6" t="s">
        <v>2949</v>
      </c>
      <c r="D915" s="13" t="n">
        <v>37.3232421875</v>
      </c>
      <c r="E915" s="25" t="n">
        <v>6.71507835388184</v>
      </c>
      <c r="F915" s="25" t="n">
        <v>3.11688542366028</v>
      </c>
      <c r="G915" s="25" t="n">
        <v>9.77326011657715</v>
      </c>
      <c r="H915" s="25" t="n">
        <v>2.33840394020081</v>
      </c>
      <c r="I915" s="25" t="n">
        <v>1.79097199440002</v>
      </c>
      <c r="J915" s="25" t="n">
        <v>1.28194030761719</v>
      </c>
      <c r="K915" s="25" t="n">
        <v>0.538985107421875</v>
      </c>
      <c r="L915" s="25" t="n">
        <v>0.179053024291992</v>
      </c>
      <c r="M915" s="25" t="n">
        <v>4.77309465408325</v>
      </c>
      <c r="N915" s="25" t="n">
        <v>7311.4384765625</v>
      </c>
      <c r="O915" s="25" t="n">
        <v>333.505737304688</v>
      </c>
      <c r="P915" s="25" t="n">
        <v>37.2512054443359</v>
      </c>
      <c r="Q915" s="25" t="n">
        <v>74.4792022705078</v>
      </c>
      <c r="R915" s="25" t="n">
        <v>33.7068481445313</v>
      </c>
      <c r="S915" s="25" t="n">
        <v>2.11867618560791</v>
      </c>
      <c r="T915" s="25" t="n">
        <v>0.354092925786972</v>
      </c>
      <c r="U915" s="25" t="n">
        <v>0.0591448396444321</v>
      </c>
      <c r="V915" s="25" t="n">
        <v>0.234070643782616</v>
      </c>
      <c r="W915" s="25" t="n">
        <v>0.427940785884857</v>
      </c>
      <c r="X915" s="25" t="n">
        <v>17.889404296875</v>
      </c>
      <c r="Y915" s="25" t="n">
        <v>92.2746505737305</v>
      </c>
      <c r="Z915" s="25" t="n">
        <v>0.141035526990891</v>
      </c>
      <c r="AA915" s="25" t="n">
        <v>5.00702095031738</v>
      </c>
      <c r="AB915" s="25" t="n">
        <v>14.9079341888428</v>
      </c>
      <c r="AC915" s="25" t="n">
        <v>0.0215191692113876</v>
      </c>
      <c r="AD915" s="25" t="n">
        <v>0.0322906114161015</v>
      </c>
      <c r="AE915" s="25" t="n">
        <v>0.186743557453156</v>
      </c>
      <c r="AF915" s="25" t="n">
        <v>0.218560606241226</v>
      </c>
      <c r="AG915" s="25" t="n">
        <v>0.0585146062076092</v>
      </c>
      <c r="AH915" s="25" t="n">
        <v>0.881047785282135</v>
      </c>
      <c r="AI915" s="25" t="n">
        <v>15.2585439682007</v>
      </c>
      <c r="AJ915" s="6" t="n">
        <v>347.9</v>
      </c>
      <c r="AK915" s="6" t="n">
        <v>129.8</v>
      </c>
      <c r="AL915" s="26" t="s">
        <v>3053</v>
      </c>
    </row>
    <row r="916" customFormat="false" ht="15" hidden="false" customHeight="false" outlineLevel="0" collapsed="false">
      <c r="A916" s="6" t="s">
        <v>4602</v>
      </c>
      <c r="B916" s="6" t="s">
        <v>4603</v>
      </c>
      <c r="C916" s="6" t="s">
        <v>3007</v>
      </c>
      <c r="D916" s="13" t="n">
        <v>55.9933242797852</v>
      </c>
      <c r="E916" s="25" t="n">
        <v>11.2629718780518</v>
      </c>
      <c r="F916" s="25" t="n">
        <v>8.22038650512695</v>
      </c>
      <c r="G916" s="25" t="n">
        <v>12.5699939727783</v>
      </c>
      <c r="H916" s="25" t="n">
        <v>2.82297277450562</v>
      </c>
      <c r="I916" s="25" t="n">
        <v>1.45300984382629</v>
      </c>
      <c r="J916" s="25" t="n">
        <v>0.394343627929688</v>
      </c>
      <c r="K916" s="25" t="n">
        <v>0.289286773681641</v>
      </c>
      <c r="L916" s="25" t="n">
        <v>0.480652709960938</v>
      </c>
      <c r="M916" s="25" t="n">
        <v>1.45496368408203</v>
      </c>
      <c r="N916" s="25" t="n">
        <v>10918.8310546875</v>
      </c>
      <c r="O916" s="25" t="n">
        <v>382.181915283203</v>
      </c>
      <c r="P916" s="25" t="n">
        <v>65.2061309814453</v>
      </c>
      <c r="Q916" s="25" t="n">
        <v>138.845321655273</v>
      </c>
      <c r="R916" s="25" t="n">
        <v>48.4665336608887</v>
      </c>
      <c r="S916" s="25" t="n">
        <v>2.73583269119263</v>
      </c>
      <c r="T916" s="25" t="n">
        <v>0.701704025268555</v>
      </c>
      <c r="U916" s="25" t="n">
        <v>0.114776760339737</v>
      </c>
      <c r="V916" s="25" t="n">
        <v>3.96588635444641</v>
      </c>
      <c r="W916" s="25" t="n">
        <v>0.418139159679413</v>
      </c>
      <c r="X916" s="25" t="n">
        <v>3.7035436630249</v>
      </c>
      <c r="Y916" s="25" t="n">
        <v>532.974914550781</v>
      </c>
      <c r="Z916" s="25" t="n">
        <v>0.264091432094574</v>
      </c>
      <c r="AA916" s="25" t="n">
        <v>3.82419157028198</v>
      </c>
      <c r="AB916" s="25" t="n">
        <v>1.82744860649109</v>
      </c>
      <c r="AC916" s="25" t="n">
        <v>0.0463483929634094</v>
      </c>
      <c r="AD916" s="25" t="n">
        <v>0.0590348653495312</v>
      </c>
      <c r="AE916" s="25" t="n">
        <v>0.223108753561974</v>
      </c>
      <c r="AF916" s="25" t="n">
        <v>0.189333096146584</v>
      </c>
      <c r="AG916" s="25" t="n">
        <v>0.0626865848898888</v>
      </c>
      <c r="AH916" s="25" t="n">
        <v>0.721640467643738</v>
      </c>
      <c r="AI916" s="25" t="n">
        <v>11.3958625793457</v>
      </c>
      <c r="AJ916" s="6" t="n">
        <v>231.5</v>
      </c>
      <c r="AK916" s="6" t="n">
        <v>129.6</v>
      </c>
      <c r="AL916" s="26" t="s">
        <v>3053</v>
      </c>
    </row>
    <row r="917" customFormat="false" ht="15" hidden="false" customHeight="false" outlineLevel="0" collapsed="false">
      <c r="A917" s="6" t="s">
        <v>1830</v>
      </c>
      <c r="B917" s="6" t="s">
        <v>1829</v>
      </c>
      <c r="C917" s="6" t="s">
        <v>3007</v>
      </c>
      <c r="D917" s="13" t="n">
        <v>108.062286376953</v>
      </c>
      <c r="E917" s="25" t="n">
        <v>2.26829123497009</v>
      </c>
      <c r="F917" s="25" t="n">
        <v>10.3163185119629</v>
      </c>
      <c r="G917" s="25" t="n">
        <v>6.258704662323</v>
      </c>
      <c r="H917" s="25" t="n">
        <v>6.7692928314209</v>
      </c>
      <c r="I917" s="25" t="n">
        <v>2.19516468048096</v>
      </c>
      <c r="J917" s="25" t="n">
        <v>0.682174865722656</v>
      </c>
      <c r="K917" s="25" t="n">
        <v>1.98895666503906</v>
      </c>
      <c r="L917" s="25" t="n">
        <v>2.993291015625</v>
      </c>
      <c r="M917" s="25" t="n">
        <v>0</v>
      </c>
      <c r="N917" s="25" t="n">
        <v>219.174545288086</v>
      </c>
      <c r="O917" s="25" t="n">
        <v>368.813507080078</v>
      </c>
      <c r="P917" s="25" t="n">
        <v>102.571090698242</v>
      </c>
      <c r="Q917" s="25" t="n">
        <v>62.7153930664063</v>
      </c>
      <c r="R917" s="25" t="n">
        <v>54.5152206420898</v>
      </c>
      <c r="S917" s="25" t="n">
        <v>3.4687352180481</v>
      </c>
      <c r="T917" s="25" t="n">
        <v>0.793801546096802</v>
      </c>
      <c r="U917" s="25" t="n">
        <v>0.233473911881447</v>
      </c>
      <c r="V917" s="25" t="n">
        <v>1.00316321849823</v>
      </c>
      <c r="W917" s="25" t="n">
        <v>0.771333158016205</v>
      </c>
      <c r="X917" s="25" t="n">
        <v>0</v>
      </c>
      <c r="Y917" s="25" t="n">
        <v>2068.80200195313</v>
      </c>
      <c r="Z917" s="25" t="n">
        <v>2.22010803222656</v>
      </c>
      <c r="AA917" s="25" t="n">
        <v>28.2697277069092</v>
      </c>
      <c r="AB917" s="25" t="n">
        <v>17.6853694915772</v>
      </c>
      <c r="AC917" s="25" t="n">
        <v>0.0548698678612709</v>
      </c>
      <c r="AD917" s="25" t="n">
        <v>0.0603394731879234</v>
      </c>
      <c r="AE917" s="25" t="n">
        <v>0.449857532978058</v>
      </c>
      <c r="AF917" s="25" t="n">
        <v>0.228126734495163</v>
      </c>
      <c r="AG917" s="25" t="n">
        <v>0.105262316763401</v>
      </c>
      <c r="AH917" s="25" t="n">
        <v>1.23472166061401</v>
      </c>
      <c r="AI917" s="25" t="n">
        <v>25.6567478179932</v>
      </c>
      <c r="AJ917" s="6" t="n">
        <v>48.6</v>
      </c>
      <c r="AK917" s="6" t="n">
        <v>52.5</v>
      </c>
      <c r="AL917" s="26"/>
    </row>
    <row r="918" customFormat="false" ht="15" hidden="false" customHeight="false" outlineLevel="0" collapsed="false">
      <c r="A918" s="6" t="s">
        <v>4604</v>
      </c>
      <c r="B918" s="6" t="s">
        <v>4605</v>
      </c>
      <c r="C918" s="6" t="s">
        <v>3007</v>
      </c>
      <c r="D918" s="13" t="n">
        <v>194.858383178711</v>
      </c>
      <c r="E918" s="25" t="n">
        <v>2.38354158401489</v>
      </c>
      <c r="F918" s="25" t="n">
        <v>6.98513889312744</v>
      </c>
      <c r="G918" s="25" t="n">
        <v>17.6192359924316</v>
      </c>
      <c r="H918" s="25" t="n">
        <v>1.66319441795349</v>
      </c>
      <c r="I918" s="25" t="n">
        <v>2.38673615455627</v>
      </c>
      <c r="J918" s="25" t="n">
        <v>6.4569443359375</v>
      </c>
      <c r="K918" s="25" t="n">
        <v>9.0244296875</v>
      </c>
      <c r="L918" s="25" t="n">
        <v>1.16608374023438</v>
      </c>
      <c r="M918" s="25" t="n">
        <v>22.9166660308838</v>
      </c>
      <c r="N918" s="25" t="n">
        <v>179.25520324707</v>
      </c>
      <c r="O918" s="25" t="n">
        <v>247.465286254883</v>
      </c>
      <c r="P918" s="25" t="n">
        <v>60.5498275756836</v>
      </c>
      <c r="Q918" s="25" t="n">
        <v>56.6625022888184</v>
      </c>
      <c r="R918" s="25" t="n">
        <v>18.0812511444092</v>
      </c>
      <c r="S918" s="25" t="n">
        <v>0.729097187519074</v>
      </c>
      <c r="T918" s="25" t="n">
        <v>0.343888878822327</v>
      </c>
      <c r="U918" s="25" t="n">
        <v>0.0631944462656975</v>
      </c>
      <c r="V918" s="25" t="n">
        <v>0.310277760028839</v>
      </c>
      <c r="W918" s="25" t="n">
        <v>0.15065972507</v>
      </c>
      <c r="X918" s="25" t="n">
        <v>121.250007629395</v>
      </c>
      <c r="Y918" s="25" t="n">
        <v>272.615966796875</v>
      </c>
      <c r="Z918" s="25" t="n">
        <v>0.70517361164093</v>
      </c>
      <c r="AA918" s="25" t="n">
        <v>8.13993072509766</v>
      </c>
      <c r="AB918" s="25" t="n">
        <v>7.72135400772095</v>
      </c>
      <c r="AC918" s="25" t="n">
        <v>0.0436805561184883</v>
      </c>
      <c r="AD918" s="25" t="n">
        <v>0.0983333364129067</v>
      </c>
      <c r="AE918" s="25" t="n">
        <v>0.493993043899536</v>
      </c>
      <c r="AF918" s="25" t="n">
        <v>0.319409728050232</v>
      </c>
      <c r="AG918" s="25" t="n">
        <v>0.0941666662693024</v>
      </c>
      <c r="AH918" s="25" t="n">
        <v>2.08680558204651</v>
      </c>
      <c r="AI918" s="25" t="n">
        <v>15.1749649047852</v>
      </c>
      <c r="AJ918" s="6" t="n">
        <v>144</v>
      </c>
      <c r="AK918" s="6" t="n">
        <v>280.6</v>
      </c>
      <c r="AL918" s="26"/>
    </row>
    <row r="919" customFormat="false" ht="15" hidden="false" customHeight="false" outlineLevel="0" collapsed="false">
      <c r="A919" s="6" t="s">
        <v>1008</v>
      </c>
      <c r="B919" s="6" t="s">
        <v>4606</v>
      </c>
      <c r="C919" s="6" t="s">
        <v>3007</v>
      </c>
      <c r="D919" s="13" t="n">
        <v>74.0401992797852</v>
      </c>
      <c r="E919" s="25" t="n">
        <v>3.31516790390015</v>
      </c>
      <c r="F919" s="25" t="n">
        <v>7.95949029922485</v>
      </c>
      <c r="G919" s="25" t="n">
        <v>3.06330299377441</v>
      </c>
      <c r="H919" s="25" t="n">
        <v>2.27113652229309</v>
      </c>
      <c r="I919" s="25" t="n">
        <v>0.79794979095459</v>
      </c>
      <c r="J919" s="25" t="n">
        <v>1.77174682617188</v>
      </c>
      <c r="K919" s="25" t="n">
        <v>0.729787109375</v>
      </c>
      <c r="L919" s="25" t="n">
        <v>0.225149322509766</v>
      </c>
      <c r="M919" s="25" t="n">
        <v>7.24941205978394</v>
      </c>
      <c r="N919" s="25" t="n">
        <v>41.8450927734375</v>
      </c>
      <c r="O919" s="25" t="n">
        <v>199.3994140625</v>
      </c>
      <c r="P919" s="25" t="n">
        <v>20.6212291717529</v>
      </c>
      <c r="Q919" s="25" t="n">
        <v>58.3088493347168</v>
      </c>
      <c r="R919" s="25" t="n">
        <v>27.3920860290527</v>
      </c>
      <c r="S919" s="25" t="n">
        <v>1.22572720050812</v>
      </c>
      <c r="T919" s="25" t="n">
        <v>0.479454159736633</v>
      </c>
      <c r="U919" s="25" t="n">
        <v>0.105807170271874</v>
      </c>
      <c r="V919" s="25" t="n">
        <v>3.14959788322449</v>
      </c>
      <c r="W919" s="25" t="n">
        <v>0.602568805217743</v>
      </c>
      <c r="X919" s="25" t="n">
        <v>30.8463478088379</v>
      </c>
      <c r="Y919" s="25" t="n">
        <v>621.911560058594</v>
      </c>
      <c r="Z919" s="25" t="n">
        <v>0.109150044620037</v>
      </c>
      <c r="AA919" s="25" t="n">
        <v>6.3271369934082</v>
      </c>
      <c r="AB919" s="25" t="n">
        <v>2.60006809234619</v>
      </c>
      <c r="AC919" s="25" t="n">
        <v>0.0376941487193108</v>
      </c>
      <c r="AD919" s="25" t="n">
        <v>0.0261106174439192</v>
      </c>
      <c r="AE919" s="25" t="n">
        <v>0.367069989442825</v>
      </c>
      <c r="AF919" s="25" t="n">
        <v>0.411352694034576</v>
      </c>
      <c r="AG919" s="25" t="n">
        <v>0.0536873899400234</v>
      </c>
      <c r="AH919" s="25" t="n">
        <v>0.353822529315949</v>
      </c>
      <c r="AI919" s="25" t="n">
        <v>21.271167755127</v>
      </c>
      <c r="AJ919" s="6" t="n">
        <v>353.4</v>
      </c>
      <c r="AK919" s="6" t="n">
        <v>261.6</v>
      </c>
      <c r="AL919" s="26"/>
    </row>
    <row r="920" customFormat="false" ht="15" hidden="false" customHeight="false" outlineLevel="0" collapsed="false">
      <c r="A920" s="6" t="s">
        <v>1063</v>
      </c>
      <c r="B920" s="6" t="s">
        <v>4607</v>
      </c>
      <c r="C920" s="6" t="s">
        <v>3007</v>
      </c>
      <c r="D920" s="13" t="n">
        <v>118.926368713379</v>
      </c>
      <c r="E920" s="25" t="n">
        <v>4.90837621688843</v>
      </c>
      <c r="F920" s="25" t="n">
        <v>15.0427560806274</v>
      </c>
      <c r="G920" s="25" t="n">
        <v>4.58409309387207</v>
      </c>
      <c r="H920" s="25" t="n">
        <v>2.1592481136322</v>
      </c>
      <c r="I920" s="25" t="n">
        <v>3.09631204605103</v>
      </c>
      <c r="J920" s="25" t="n">
        <v>0.531778747558594</v>
      </c>
      <c r="K920" s="25" t="n">
        <v>2.17406127929688</v>
      </c>
      <c r="L920" s="25" t="n">
        <v>1.30452465820313</v>
      </c>
      <c r="M920" s="25" t="n">
        <v>0</v>
      </c>
      <c r="N920" s="25" t="n">
        <v>49.3530921936035</v>
      </c>
      <c r="O920" s="25" t="n">
        <v>390.384124755859</v>
      </c>
      <c r="P920" s="25" t="n">
        <v>54.280460357666</v>
      </c>
      <c r="Q920" s="25" t="n">
        <v>85.4589614868164</v>
      </c>
      <c r="R920" s="25" t="n">
        <v>43.2480125427246</v>
      </c>
      <c r="S920" s="25" t="n">
        <v>2.09593749046326</v>
      </c>
      <c r="T920" s="25" t="n">
        <v>0.771448254585266</v>
      </c>
      <c r="U920" s="25" t="n">
        <v>0.244463115930557</v>
      </c>
      <c r="V920" s="25" t="n">
        <v>1.30050051212311</v>
      </c>
      <c r="W920" s="25" t="n">
        <v>0.849196374416351</v>
      </c>
      <c r="X920" s="25" t="n">
        <v>0</v>
      </c>
      <c r="Y920" s="25" t="n">
        <v>1068.3212890625</v>
      </c>
      <c r="Z920" s="25" t="n">
        <v>0.622762501239777</v>
      </c>
      <c r="AA920" s="25" t="n">
        <v>6.83394527435303</v>
      </c>
      <c r="AB920" s="25" t="n">
        <v>13.8883514404297</v>
      </c>
      <c r="AC920" s="25" t="n">
        <v>0.101698011159897</v>
      </c>
      <c r="AD920" s="25" t="n">
        <v>0.0716606304049492</v>
      </c>
      <c r="AE920" s="25" t="n">
        <v>0.708360075950623</v>
      </c>
      <c r="AF920" s="25" t="n">
        <v>0.492877006530762</v>
      </c>
      <c r="AG920" s="25" t="n">
        <v>0.1529271453619</v>
      </c>
      <c r="AH920" s="25" t="n">
        <v>0.899093568325043</v>
      </c>
      <c r="AI920" s="25" t="n">
        <v>52.0933456420898</v>
      </c>
      <c r="AJ920" s="6" t="n">
        <v>263.8</v>
      </c>
      <c r="AK920" s="6" t="n">
        <v>313.7</v>
      </c>
      <c r="AL920" s="26"/>
    </row>
    <row r="921" customFormat="false" ht="15" hidden="false" customHeight="false" outlineLevel="0" collapsed="false">
      <c r="A921" s="6" t="s">
        <v>985</v>
      </c>
      <c r="B921" s="6" t="s">
        <v>4608</v>
      </c>
      <c r="C921" s="6" t="s">
        <v>3007</v>
      </c>
      <c r="D921" s="13" t="n">
        <v>99.6711654663086</v>
      </c>
      <c r="E921" s="25" t="n">
        <v>4.151535987854</v>
      </c>
      <c r="F921" s="25" t="n">
        <v>9.99417304992676</v>
      </c>
      <c r="G921" s="25" t="n">
        <v>4.62237787246704</v>
      </c>
      <c r="H921" s="25" t="n">
        <v>3.7171425819397</v>
      </c>
      <c r="I921" s="25" t="n">
        <v>0.975598573684692</v>
      </c>
      <c r="J921" s="25" t="n">
        <v>2.14691674804688</v>
      </c>
      <c r="K921" s="25" t="n">
        <v>1.19006811523438</v>
      </c>
      <c r="L921" s="25" t="n">
        <v>0.646871215820313</v>
      </c>
      <c r="M921" s="25" t="n">
        <v>8.52514839172363</v>
      </c>
      <c r="N921" s="25" t="n">
        <v>46.3989028930664</v>
      </c>
      <c r="O921" s="25" t="n">
        <v>232.716613769531</v>
      </c>
      <c r="P921" s="25" t="n">
        <v>21.989278793335</v>
      </c>
      <c r="Q921" s="25" t="n">
        <v>66.0071182250977</v>
      </c>
      <c r="R921" s="25" t="n">
        <v>29.5019645690918</v>
      </c>
      <c r="S921" s="25" t="n">
        <v>1.91923487186432</v>
      </c>
      <c r="T921" s="25" t="n">
        <v>0.769571125507355</v>
      </c>
      <c r="U921" s="25" t="n">
        <v>0.17700357735157</v>
      </c>
      <c r="V921" s="25" t="n">
        <v>8.82550525665283</v>
      </c>
      <c r="W921" s="25" t="n">
        <v>0.6686931848526</v>
      </c>
      <c r="X921" s="25" t="n">
        <v>31.9519786834717</v>
      </c>
      <c r="Y921" s="25" t="n">
        <v>1176.57409667969</v>
      </c>
      <c r="Z921" s="25" t="n">
        <v>0.28492459654808</v>
      </c>
      <c r="AA921" s="25" t="n">
        <v>5.12776184082031</v>
      </c>
      <c r="AB921" s="25" t="n">
        <v>4.57966804504395</v>
      </c>
      <c r="AC921" s="25" t="n">
        <v>0.072957918047905</v>
      </c>
      <c r="AD921" s="25" t="n">
        <v>0.0359945595264435</v>
      </c>
      <c r="AE921" s="25" t="n">
        <v>0.501986026763916</v>
      </c>
      <c r="AF921" s="25" t="n">
        <v>0.338005244731903</v>
      </c>
      <c r="AG921" s="25" t="n">
        <v>0.066106989979744</v>
      </c>
      <c r="AH921" s="25" t="n">
        <v>0.44875755906105</v>
      </c>
      <c r="AI921" s="25" t="n">
        <v>35.4069328308106</v>
      </c>
      <c r="AJ921" s="6" t="n">
        <v>292.2</v>
      </c>
      <c r="AK921" s="6" t="n">
        <v>291.2</v>
      </c>
      <c r="AL921" s="26"/>
    </row>
    <row r="922" customFormat="false" ht="15" hidden="false" customHeight="false" outlineLevel="0" collapsed="false">
      <c r="A922" s="6" t="s">
        <v>1072</v>
      </c>
      <c r="B922" s="6" t="s">
        <v>4609</v>
      </c>
      <c r="C922" s="6" t="s">
        <v>3007</v>
      </c>
      <c r="D922" s="13" t="n">
        <v>55.6474113464356</v>
      </c>
      <c r="E922" s="25" t="n">
        <v>2.90936851501465</v>
      </c>
      <c r="F922" s="25" t="n">
        <v>8.2066535949707</v>
      </c>
      <c r="G922" s="25" t="n">
        <v>1.13461756706238</v>
      </c>
      <c r="H922" s="25" t="n">
        <v>1.52172350883484</v>
      </c>
      <c r="I922" s="25" t="n">
        <v>0.722146809101105</v>
      </c>
      <c r="J922" s="25" t="n">
        <v>0.148039306640625</v>
      </c>
      <c r="K922" s="25" t="n">
        <v>0.239396377563477</v>
      </c>
      <c r="L922" s="25" t="n">
        <v>0.668434997558594</v>
      </c>
      <c r="M922" s="25" t="n">
        <v>0</v>
      </c>
      <c r="N922" s="25" t="n">
        <v>63.6284675598145</v>
      </c>
      <c r="O922" s="25" t="n">
        <v>173.060241699219</v>
      </c>
      <c r="P922" s="25" t="n">
        <v>38.2188682556152</v>
      </c>
      <c r="Q922" s="25" t="n">
        <v>42.1782112121582</v>
      </c>
      <c r="R922" s="25" t="n">
        <v>23.0143260955811</v>
      </c>
      <c r="S922" s="25" t="n">
        <v>1.3026168346405</v>
      </c>
      <c r="T922" s="25" t="n">
        <v>0.393312036991119</v>
      </c>
      <c r="U922" s="25" t="n">
        <v>0.175562411546707</v>
      </c>
      <c r="V922" s="25" t="n">
        <v>3.62326693534851</v>
      </c>
      <c r="W922" s="25" t="n">
        <v>0.465515434741974</v>
      </c>
      <c r="X922" s="25" t="n">
        <v>0</v>
      </c>
      <c r="Y922" s="25" t="n">
        <v>795.680480957031</v>
      </c>
      <c r="Z922" s="25" t="n">
        <v>0.530387461185455</v>
      </c>
      <c r="AA922" s="25" t="n">
        <v>5.08781719207764</v>
      </c>
      <c r="AB922" s="25" t="n">
        <v>3.87357926368713</v>
      </c>
      <c r="AC922" s="25" t="n">
        <v>0.0484918206930161</v>
      </c>
      <c r="AD922" s="25" t="n">
        <v>0.0346152968704701</v>
      </c>
      <c r="AE922" s="25" t="n">
        <v>0.339886724948883</v>
      </c>
      <c r="AF922" s="25" t="n">
        <v>0.239136308431625</v>
      </c>
      <c r="AG922" s="25" t="n">
        <v>0.0480156317353249</v>
      </c>
      <c r="AH922" s="25" t="n">
        <v>0.394755810499191</v>
      </c>
      <c r="AI922" s="25" t="n">
        <v>23.8622589111328</v>
      </c>
      <c r="AJ922" s="6" t="n">
        <v>360.8</v>
      </c>
      <c r="AK922" s="6" t="n">
        <v>200.8</v>
      </c>
      <c r="AL922" s="26"/>
    </row>
    <row r="923" customFormat="false" ht="15" hidden="false" customHeight="false" outlineLevel="0" collapsed="false">
      <c r="A923" s="6" t="s">
        <v>1000</v>
      </c>
      <c r="B923" s="6" t="s">
        <v>4610</v>
      </c>
      <c r="C923" s="6" t="s">
        <v>3007</v>
      </c>
      <c r="D923" s="13" t="n">
        <v>111.222450256348</v>
      </c>
      <c r="E923" s="25" t="n">
        <v>4.62501907348633</v>
      </c>
      <c r="F923" s="25" t="n">
        <v>10.7089242935181</v>
      </c>
      <c r="G923" s="25" t="n">
        <v>5.35563039779663</v>
      </c>
      <c r="H923" s="25" t="n">
        <v>3.19672751426697</v>
      </c>
      <c r="I923" s="25" t="n">
        <v>0.746546745300293</v>
      </c>
      <c r="J923" s="25" t="n">
        <v>2.90087744140625</v>
      </c>
      <c r="K923" s="25" t="n">
        <v>1.36142724609375</v>
      </c>
      <c r="L923" s="25" t="n">
        <v>0.489162963867188</v>
      </c>
      <c r="M923" s="25" t="n">
        <v>11.85680103302</v>
      </c>
      <c r="N923" s="25" t="n">
        <v>79.4616012573242</v>
      </c>
      <c r="O923" s="25" t="n">
        <v>269.921875</v>
      </c>
      <c r="P923" s="25" t="n">
        <v>23.0543975830078</v>
      </c>
      <c r="Q923" s="25" t="n">
        <v>72.5314483642578</v>
      </c>
      <c r="R923" s="25" t="n">
        <v>32.4904670715332</v>
      </c>
      <c r="S923" s="25" t="n">
        <v>1.41927123069763</v>
      </c>
      <c r="T923" s="25" t="n">
        <v>0.657960295677185</v>
      </c>
      <c r="U923" s="25" t="n">
        <v>0.194958865642548</v>
      </c>
      <c r="V923" s="25" t="n">
        <v>7.55862760543823</v>
      </c>
      <c r="W923" s="25" t="n">
        <v>0.460233837366104</v>
      </c>
      <c r="X923" s="25" t="n">
        <v>44.4389038085938</v>
      </c>
      <c r="Y923" s="25" t="n">
        <v>1481.13256835938</v>
      </c>
      <c r="Z923" s="25" t="n">
        <v>0.359137564897537</v>
      </c>
      <c r="AA923" s="25" t="n">
        <v>10.6989469528198</v>
      </c>
      <c r="AB923" s="25" t="n">
        <v>2.82143759727478</v>
      </c>
      <c r="AC923" s="25" t="n">
        <v>0.0798165947198868</v>
      </c>
      <c r="AD923" s="25" t="n">
        <v>0.0373801700770855</v>
      </c>
      <c r="AE923" s="25" t="n">
        <v>0.529926955699921</v>
      </c>
      <c r="AF923" s="25" t="n">
        <v>0.388222306966782</v>
      </c>
      <c r="AG923" s="25" t="n">
        <v>0.0720916390419006</v>
      </c>
      <c r="AH923" s="25" t="n">
        <v>0.450935065746307</v>
      </c>
      <c r="AI923" s="25" t="n">
        <v>26.4522304534912</v>
      </c>
      <c r="AJ923" s="6" t="n">
        <v>300.8</v>
      </c>
      <c r="AK923" s="6" t="n">
        <v>334.6</v>
      </c>
      <c r="AL923" s="26"/>
    </row>
    <row r="924" customFormat="false" ht="15" hidden="false" customHeight="false" outlineLevel="0" collapsed="false">
      <c r="A924" s="6" t="s">
        <v>1049</v>
      </c>
      <c r="B924" s="6" t="s">
        <v>1048</v>
      </c>
      <c r="C924" s="6" t="s">
        <v>3007</v>
      </c>
      <c r="D924" s="13" t="n">
        <v>68.7371444702148</v>
      </c>
      <c r="E924" s="25" t="n">
        <v>2.95713710784912</v>
      </c>
      <c r="F924" s="25" t="n">
        <v>8.54523086547852</v>
      </c>
      <c r="G924" s="25" t="n">
        <v>2.4705216884613</v>
      </c>
      <c r="H924" s="25" t="n">
        <v>1.86129057407379</v>
      </c>
      <c r="I924" s="25" t="n">
        <v>1.12233424186707</v>
      </c>
      <c r="J924" s="25" t="n">
        <v>0.410281463623047</v>
      </c>
      <c r="K924" s="25" t="n">
        <v>0.823531555175781</v>
      </c>
      <c r="L924" s="25" t="n">
        <v>1.06680859375</v>
      </c>
      <c r="M924" s="25" t="n">
        <v>0</v>
      </c>
      <c r="N924" s="25" t="n">
        <v>37.5338401794434</v>
      </c>
      <c r="O924" s="25" t="n">
        <v>152.234558105469</v>
      </c>
      <c r="P924" s="25" t="n">
        <v>14.5396308898926</v>
      </c>
      <c r="Q924" s="25" t="n">
        <v>53.6010322570801</v>
      </c>
      <c r="R924" s="25" t="n">
        <v>23.6314239501953</v>
      </c>
      <c r="S924" s="25" t="n">
        <v>0.792149543762207</v>
      </c>
      <c r="T924" s="25" t="n">
        <v>0.452158391475678</v>
      </c>
      <c r="U924" s="25" t="n">
        <v>0.139467343688011</v>
      </c>
      <c r="V924" s="25" t="n">
        <v>3.77585172653198</v>
      </c>
      <c r="W924" s="25" t="n">
        <v>0.313004732131958</v>
      </c>
      <c r="X924" s="25" t="n">
        <v>0</v>
      </c>
      <c r="Y924" s="25" t="n">
        <v>505.540924072266</v>
      </c>
      <c r="Z924" s="25" t="n">
        <v>0.628880918025971</v>
      </c>
      <c r="AA924" s="25" t="n">
        <v>7.38689613342285</v>
      </c>
      <c r="AB924" s="25" t="n">
        <v>0.822536110877991</v>
      </c>
      <c r="AC924" s="25" t="n">
        <v>0.0745095238089562</v>
      </c>
      <c r="AD924" s="25" t="n">
        <v>0.0239522811025381</v>
      </c>
      <c r="AE924" s="25" t="n">
        <v>0.67200493812561</v>
      </c>
      <c r="AF924" s="25" t="n">
        <v>0.175257086753845</v>
      </c>
      <c r="AG924" s="25" t="n">
        <v>0.045465674251318</v>
      </c>
      <c r="AH924" s="25" t="n">
        <v>0.226307481527329</v>
      </c>
      <c r="AI924" s="25" t="n">
        <v>13.4592752456665</v>
      </c>
      <c r="AJ924" s="6" t="n">
        <v>336.7</v>
      </c>
      <c r="AK924" s="6" t="n">
        <v>231.4</v>
      </c>
      <c r="AL924" s="26"/>
    </row>
    <row r="925" customFormat="false" ht="15" hidden="false" customHeight="false" outlineLevel="0" collapsed="false">
      <c r="A925" s="6" t="s">
        <v>627</v>
      </c>
      <c r="B925" s="6" t="s">
        <v>4611</v>
      </c>
      <c r="C925" s="6" t="s">
        <v>4586</v>
      </c>
      <c r="D925" s="13" t="n">
        <v>207.089447021484</v>
      </c>
      <c r="E925" s="25" t="n">
        <v>8.23966884613037</v>
      </c>
      <c r="F925" s="25" t="n">
        <v>31.8553314208984</v>
      </c>
      <c r="G925" s="25" t="n">
        <v>4.80089521408081</v>
      </c>
      <c r="H925" s="25" t="n">
        <v>4.95442581176758</v>
      </c>
      <c r="I925" s="25" t="n">
        <v>2.51076126098633</v>
      </c>
      <c r="J925" s="25" t="n">
        <v>0.871463623046875</v>
      </c>
      <c r="K925" s="25" t="n">
        <v>1.0141796875</v>
      </c>
      <c r="L925" s="25" t="n">
        <v>2.44465087890625</v>
      </c>
      <c r="M925" s="25" t="n">
        <v>1.93445122241974</v>
      </c>
      <c r="N925" s="25" t="n">
        <v>308.546356201172</v>
      </c>
      <c r="O925" s="25" t="n">
        <v>411.197967529297</v>
      </c>
      <c r="P925" s="25" t="n">
        <v>68.209716796875</v>
      </c>
      <c r="Q925" s="25" t="n">
        <v>151.076553344727</v>
      </c>
      <c r="R925" s="25" t="n">
        <v>47.3240585327148</v>
      </c>
      <c r="S925" s="25" t="n">
        <v>2.02908635139465</v>
      </c>
      <c r="T925" s="25" t="n">
        <v>1.24898302555084</v>
      </c>
      <c r="U925" s="25" t="n">
        <v>0.298636913299561</v>
      </c>
      <c r="V925" s="25" t="n">
        <v>9.93713569641113</v>
      </c>
      <c r="W925" s="25" t="n">
        <v>0.750326454639435</v>
      </c>
      <c r="X925" s="25" t="n">
        <v>4.9240574836731</v>
      </c>
      <c r="Y925" s="25" t="n">
        <v>1162.55334472656</v>
      </c>
      <c r="Z925" s="25" t="n">
        <v>1.53701162338257</v>
      </c>
      <c r="AA925" s="25" t="n">
        <v>21.4600429534912</v>
      </c>
      <c r="AB925" s="25" t="n">
        <v>4.50565338134766</v>
      </c>
      <c r="AC925" s="25" t="n">
        <v>0.150050535798073</v>
      </c>
      <c r="AD925" s="25" t="n">
        <v>0.103051766753197</v>
      </c>
      <c r="AE925" s="25" t="n">
        <v>1.18262255191803</v>
      </c>
      <c r="AF925" s="25" t="n">
        <v>0.740683197975159</v>
      </c>
      <c r="AG925" s="25" t="n">
        <v>0.149476587772369</v>
      </c>
      <c r="AH925" s="25" t="n">
        <v>1.43651175498962</v>
      </c>
      <c r="AI925" s="25" t="n">
        <v>53.7061424255371</v>
      </c>
      <c r="AJ925" s="6" t="n">
        <v>696.6</v>
      </c>
      <c r="AK925" s="6" t="n">
        <v>1442.5</v>
      </c>
      <c r="AL925" s="26" t="s">
        <v>3070</v>
      </c>
    </row>
    <row r="926" customFormat="false" ht="15" hidden="false" customHeight="false" outlineLevel="0" collapsed="false">
      <c r="A926" s="6" t="s">
        <v>1963</v>
      </c>
      <c r="B926" s="6" t="s">
        <v>4612</v>
      </c>
      <c r="C926" s="6" t="s">
        <v>3112</v>
      </c>
      <c r="D926" s="13" t="n">
        <v>609.142761230469</v>
      </c>
      <c r="E926" s="25" t="n">
        <v>5.11639070510864</v>
      </c>
      <c r="F926" s="25" t="n">
        <v>12.869951248169</v>
      </c>
      <c r="G926" s="25" t="n">
        <v>60.076416015625</v>
      </c>
      <c r="H926" s="25" t="n">
        <v>2.34695029258728</v>
      </c>
      <c r="I926" s="25" t="n">
        <v>0.525489807128906</v>
      </c>
      <c r="J926" s="25" t="n">
        <v>7.2096796875</v>
      </c>
      <c r="K926" s="25" t="n">
        <v>12.30585546875</v>
      </c>
      <c r="L926" s="25" t="n">
        <v>37.9243984375</v>
      </c>
      <c r="M926" s="25" t="n">
        <v>0</v>
      </c>
      <c r="N926" s="25" t="n">
        <v>53.1886520385742</v>
      </c>
      <c r="O926" s="25" t="n">
        <v>71.9558181762695</v>
      </c>
      <c r="P926" s="25" t="n">
        <v>13.9481563568115</v>
      </c>
      <c r="Q926" s="25" t="n">
        <v>49.9787559509277</v>
      </c>
      <c r="R926" s="25" t="n">
        <v>14.5488624572754</v>
      </c>
      <c r="S926" s="25" t="n">
        <v>0.721131801605225</v>
      </c>
      <c r="T926" s="25" t="n">
        <v>0.344673246145248</v>
      </c>
      <c r="U926" s="25" t="n">
        <v>0.0694048926234245</v>
      </c>
      <c r="V926" s="25" t="n">
        <v>0.917407810688019</v>
      </c>
      <c r="W926" s="25" t="n">
        <v>0.382492393255234</v>
      </c>
      <c r="X926" s="25" t="n">
        <v>0</v>
      </c>
      <c r="Y926" s="25" t="n">
        <v>30.8501873016357</v>
      </c>
      <c r="Z926" s="25" t="n">
        <v>29.5639991760254</v>
      </c>
      <c r="AA926" s="25" t="n">
        <v>5.99944019317627</v>
      </c>
      <c r="AB926" s="25" t="n">
        <v>0.00121698912698776</v>
      </c>
      <c r="AC926" s="25" t="n">
        <v>0.101657539606094</v>
      </c>
      <c r="AD926" s="25" t="n">
        <v>0.0392904952168465</v>
      </c>
      <c r="AE926" s="25" t="n">
        <v>0.44159060716629</v>
      </c>
      <c r="AF926" s="25" t="n">
        <v>0.279150545597076</v>
      </c>
      <c r="AG926" s="25" t="n">
        <v>0.103626631200314</v>
      </c>
      <c r="AH926" s="25" t="n">
        <v>1.88546311855316</v>
      </c>
      <c r="AI926" s="25" t="n">
        <v>43.2938919067383</v>
      </c>
      <c r="AJ926" s="6" t="n">
        <v>136.9</v>
      </c>
      <c r="AK926" s="6" t="n">
        <v>834.2</v>
      </c>
      <c r="AL926" s="26" t="s">
        <v>3100</v>
      </c>
    </row>
    <row r="927" customFormat="false" ht="15" hidden="false" customHeight="false" outlineLevel="0" collapsed="false">
      <c r="A927" s="6" t="s">
        <v>4613</v>
      </c>
      <c r="B927" s="6" t="s">
        <v>4614</v>
      </c>
      <c r="C927" s="6" t="s">
        <v>3112</v>
      </c>
      <c r="D927" s="13" t="n">
        <v>708.961059570313</v>
      </c>
      <c r="E927" s="25" t="n">
        <v>1.82946383953095</v>
      </c>
      <c r="F927" s="25" t="n">
        <v>12.893328666687</v>
      </c>
      <c r="G927" s="25" t="n">
        <v>72.1114807128906</v>
      </c>
      <c r="H927" s="25" t="n">
        <v>0.564087808132172</v>
      </c>
      <c r="I927" s="25" t="n">
        <v>0.313148617744446</v>
      </c>
      <c r="J927" s="25" t="n">
        <v>8.659322265625</v>
      </c>
      <c r="K927" s="25" t="n">
        <v>14.7937529296875</v>
      </c>
      <c r="L927" s="25" t="n">
        <v>45.65039453125</v>
      </c>
      <c r="M927" s="25" t="n">
        <v>0</v>
      </c>
      <c r="N927" s="25" t="n">
        <v>28.9093914031982</v>
      </c>
      <c r="O927" s="25" t="n">
        <v>31.0564956665039</v>
      </c>
      <c r="P927" s="25" t="n">
        <v>6.05829429626465</v>
      </c>
      <c r="Q927" s="25" t="n">
        <v>20.1000366210938</v>
      </c>
      <c r="R927" s="25" t="n">
        <v>6.62799549102783</v>
      </c>
      <c r="S927" s="25" t="n">
        <v>0.437186032533646</v>
      </c>
      <c r="T927" s="25" t="n">
        <v>0.164418861269951</v>
      </c>
      <c r="U927" s="25" t="n">
        <v>0.0399028435349464</v>
      </c>
      <c r="V927" s="25" t="n">
        <v>0.0115437209606171</v>
      </c>
      <c r="W927" s="25" t="n">
        <v>0.120935589075089</v>
      </c>
      <c r="X927" s="25" t="n">
        <v>0</v>
      </c>
      <c r="Y927" s="25" t="n">
        <v>48.2274208068848</v>
      </c>
      <c r="Z927" s="25" t="n">
        <v>35.4534492492676</v>
      </c>
      <c r="AA927" s="25" t="n">
        <v>5.12929105758667</v>
      </c>
      <c r="AB927" s="25" t="n">
        <v>0.0230298656970263</v>
      </c>
      <c r="AC927" s="25" t="n">
        <v>0.0274055432528257</v>
      </c>
      <c r="AD927" s="25" t="n">
        <v>0.010737675242126</v>
      </c>
      <c r="AE927" s="25" t="n">
        <v>0.141259446740151</v>
      </c>
      <c r="AF927" s="25" t="n">
        <v>0.124994605779648</v>
      </c>
      <c r="AG927" s="25" t="n">
        <v>0.014940625987947</v>
      </c>
      <c r="AH927" s="25" t="n">
        <v>0.103634394705296</v>
      </c>
      <c r="AI927" s="25" t="n">
        <v>2.88676500320435</v>
      </c>
      <c r="AJ927" s="6" t="n">
        <v>173.7</v>
      </c>
      <c r="AK927" s="6" t="n">
        <v>1231.4</v>
      </c>
      <c r="AL927" s="26" t="s">
        <v>3146</v>
      </c>
    </row>
    <row r="928" customFormat="false" ht="15" hidden="false" customHeight="false" outlineLevel="0" collapsed="false">
      <c r="A928" s="6" t="s">
        <v>4615</v>
      </c>
      <c r="B928" s="6" t="s">
        <v>4616</v>
      </c>
      <c r="C928" s="6" t="s">
        <v>3158</v>
      </c>
      <c r="D928" s="13" t="n">
        <v>294.347015380859</v>
      </c>
      <c r="E928" s="25" t="n">
        <v>8.50350379943848</v>
      </c>
      <c r="F928" s="25" t="n">
        <v>40.5322113037109</v>
      </c>
      <c r="G928" s="25" t="n">
        <v>10.2763328552246</v>
      </c>
      <c r="H928" s="25" t="n">
        <v>5.56193256378174</v>
      </c>
      <c r="I928" s="25" t="n">
        <v>0.592258453369141</v>
      </c>
      <c r="J928" s="25" t="n">
        <v>1.2545634765625</v>
      </c>
      <c r="K928" s="25" t="n">
        <v>2.060990234375</v>
      </c>
      <c r="L928" s="25" t="n">
        <v>6.2859638671875</v>
      </c>
      <c r="M928" s="25" t="n">
        <v>0</v>
      </c>
      <c r="N928" s="25" t="n">
        <v>97.2453994750977</v>
      </c>
      <c r="O928" s="25" t="n">
        <v>339.771820068359</v>
      </c>
      <c r="P928" s="25" t="n">
        <v>19.4584980010986</v>
      </c>
      <c r="Q928" s="25" t="n">
        <v>166.777648925781</v>
      </c>
      <c r="R928" s="25" t="n">
        <v>71.5590209960938</v>
      </c>
      <c r="S928" s="25" t="n">
        <v>2.02516865730286</v>
      </c>
      <c r="T928" s="25" t="n">
        <v>1.27334105968475</v>
      </c>
      <c r="U928" s="25" t="n">
        <v>0.287927836179733</v>
      </c>
      <c r="V928" s="25" t="n">
        <v>11.2417116165161</v>
      </c>
      <c r="W928" s="25" t="n">
        <v>0.723515748977661</v>
      </c>
      <c r="X928" s="25" t="n">
        <v>0</v>
      </c>
      <c r="Y928" s="25" t="n">
        <v>116.343421936035</v>
      </c>
      <c r="Z928" s="25" t="n">
        <v>4.7066240310669</v>
      </c>
      <c r="AA928" s="25" t="n">
        <v>12.768684387207</v>
      </c>
      <c r="AB928" s="25" t="n">
        <v>0</v>
      </c>
      <c r="AC928" s="25" t="n">
        <v>0.156263098120689</v>
      </c>
      <c r="AD928" s="25" t="n">
        <v>0.0622700825333595</v>
      </c>
      <c r="AE928" s="25" t="n">
        <v>1.3164027929306</v>
      </c>
      <c r="AF928" s="25" t="n">
        <v>0.766612350940704</v>
      </c>
      <c r="AG928" s="25" t="n">
        <v>0.151885911822319</v>
      </c>
      <c r="AH928" s="25" t="n">
        <v>0.387532025575638</v>
      </c>
      <c r="AI928" s="25" t="n">
        <v>29.1342945098877</v>
      </c>
      <c r="AJ928" s="6" t="n">
        <v>33</v>
      </c>
      <c r="AK928" s="6" t="n">
        <v>97.2</v>
      </c>
      <c r="AL928" s="26"/>
    </row>
    <row r="929" customFormat="false" ht="15" hidden="false" customHeight="false" outlineLevel="0" collapsed="false">
      <c r="A929" s="6" t="s">
        <v>4617</v>
      </c>
      <c r="B929" s="6" t="s">
        <v>842</v>
      </c>
      <c r="C929" s="6" t="s">
        <v>4618</v>
      </c>
      <c r="D929" s="13" t="n">
        <v>435.456115722656</v>
      </c>
      <c r="E929" s="25" t="n">
        <v>2.8546462059021</v>
      </c>
      <c r="F929" s="25" t="n">
        <v>16.1175117492676</v>
      </c>
      <c r="G929" s="25" t="n">
        <v>40.2493743896484</v>
      </c>
      <c r="H929" s="25" t="n">
        <v>1.44611871242523</v>
      </c>
      <c r="I929" s="25" t="n">
        <v>0.943802714347839</v>
      </c>
      <c r="J929" s="25" t="n">
        <v>4.7770703125</v>
      </c>
      <c r="K929" s="25" t="n">
        <v>8.13965869140625</v>
      </c>
      <c r="L929" s="25" t="n">
        <v>25.156748046875</v>
      </c>
      <c r="M929" s="25" t="n">
        <v>0</v>
      </c>
      <c r="N929" s="25" t="n">
        <v>139.342819213867</v>
      </c>
      <c r="O929" s="25" t="n">
        <v>153.416839599609</v>
      </c>
      <c r="P929" s="25" t="n">
        <v>44.8293724060059</v>
      </c>
      <c r="Q929" s="25" t="n">
        <v>36.8382873535156</v>
      </c>
      <c r="R929" s="25" t="n">
        <v>12.9978332519531</v>
      </c>
      <c r="S929" s="25" t="n">
        <v>0.707434415817261</v>
      </c>
      <c r="T929" s="25" t="n">
        <v>0.287376970052719</v>
      </c>
      <c r="U929" s="25" t="n">
        <v>0.0702144503593445</v>
      </c>
      <c r="V929" s="25" t="n">
        <v>1.92653977870941</v>
      </c>
      <c r="W929" s="25" t="n">
        <v>0.19201934337616</v>
      </c>
      <c r="X929" s="25" t="n">
        <v>0</v>
      </c>
      <c r="Y929" s="25" t="n">
        <v>503.472503662109</v>
      </c>
      <c r="Z929" s="25" t="n">
        <v>19.5729560852051</v>
      </c>
      <c r="AA929" s="25" t="n">
        <v>7.96560096740723</v>
      </c>
      <c r="AB929" s="25" t="n">
        <v>5.61358642578125</v>
      </c>
      <c r="AC929" s="25" t="n">
        <v>0.0774261429905891</v>
      </c>
      <c r="AD929" s="25" t="n">
        <v>0.0232614353299141</v>
      </c>
      <c r="AE929" s="25" t="n">
        <v>0.652510225772858</v>
      </c>
      <c r="AF929" s="25" t="n">
        <v>0.110775589942932</v>
      </c>
      <c r="AG929" s="25" t="n">
        <v>0.0485380776226521</v>
      </c>
      <c r="AH929" s="25" t="n">
        <v>0.450065702199936</v>
      </c>
      <c r="AI929" s="25" t="n">
        <v>12.9662446975708</v>
      </c>
      <c r="AJ929" s="6" t="n">
        <v>121</v>
      </c>
      <c r="AK929" s="6" t="n">
        <v>526.9</v>
      </c>
      <c r="AL929" s="26" t="s">
        <v>3100</v>
      </c>
    </row>
    <row r="930" customFormat="false" ht="15" hidden="false" customHeight="false" outlineLevel="0" collapsed="false">
      <c r="A930" s="6" t="s">
        <v>4619</v>
      </c>
      <c r="B930" s="6" t="s">
        <v>4620</v>
      </c>
      <c r="C930" s="6" t="s">
        <v>3296</v>
      </c>
      <c r="D930" s="13" t="n">
        <v>115.049415588379</v>
      </c>
      <c r="E930" s="25" t="n">
        <v>5.39538240432739</v>
      </c>
      <c r="F930" s="25" t="n">
        <v>10.0004272460938</v>
      </c>
      <c r="G930" s="25" t="n">
        <v>5.87825393676758</v>
      </c>
      <c r="H930" s="25" t="n">
        <v>2.23740649223328</v>
      </c>
      <c r="I930" s="25" t="n">
        <v>0.514795362949371</v>
      </c>
      <c r="J930" s="25" t="n">
        <v>0.707064147949219</v>
      </c>
      <c r="K930" s="25" t="n">
        <v>1.19037255859375</v>
      </c>
      <c r="L930" s="25" t="n">
        <v>3.393712890625</v>
      </c>
      <c r="M930" s="25" t="n">
        <v>0</v>
      </c>
      <c r="N930" s="25" t="n">
        <v>92.2463531494141</v>
      </c>
      <c r="O930" s="25" t="n">
        <v>306.022155761719</v>
      </c>
      <c r="P930" s="25" t="n">
        <v>15.6707105636597</v>
      </c>
      <c r="Q930" s="25" t="n">
        <v>69.8873825073242</v>
      </c>
      <c r="R930" s="25" t="n">
        <v>28.7746772766113</v>
      </c>
      <c r="S930" s="25" t="n">
        <v>1.26066875457764</v>
      </c>
      <c r="T930" s="25" t="n">
        <v>0.611947119235992</v>
      </c>
      <c r="U930" s="25" t="n">
        <v>0.164814814925194</v>
      </c>
      <c r="V930" s="25" t="n">
        <v>0.693798005580902</v>
      </c>
      <c r="W930" s="25" t="n">
        <v>0.409818202257156</v>
      </c>
      <c r="X930" s="25" t="n">
        <v>0</v>
      </c>
      <c r="Y930" s="25" t="n">
        <v>318.636108398438</v>
      </c>
      <c r="Z930" s="25" t="n">
        <v>2.41662287712097</v>
      </c>
      <c r="AA930" s="25" t="n">
        <v>8.31349277496338</v>
      </c>
      <c r="AB930" s="25" t="n">
        <v>14.9840965270996</v>
      </c>
      <c r="AC930" s="25" t="n">
        <v>0.0994556248188019</v>
      </c>
      <c r="AD930" s="25" t="n">
        <v>0.025008263066411</v>
      </c>
      <c r="AE930" s="25" t="n">
        <v>0.742354452610016</v>
      </c>
      <c r="AF930" s="25" t="n">
        <v>0.312273740768433</v>
      </c>
      <c r="AG930" s="25" t="n">
        <v>0.114620395004749</v>
      </c>
      <c r="AH930" s="25" t="n">
        <v>1.36667633056641</v>
      </c>
      <c r="AI930" s="25" t="n">
        <v>25.1645278930664</v>
      </c>
      <c r="AJ930" s="6" t="n">
        <v>57.1</v>
      </c>
      <c r="AK930" s="6" t="n">
        <v>65.8</v>
      </c>
      <c r="AL930" s="26"/>
    </row>
    <row r="931" customFormat="false" ht="15" hidden="false" customHeight="false" outlineLevel="0" collapsed="false">
      <c r="A931" s="6" t="s">
        <v>4621</v>
      </c>
      <c r="B931" s="6" t="s">
        <v>4622</v>
      </c>
      <c r="C931" s="6" t="s">
        <v>3007</v>
      </c>
      <c r="D931" s="13" t="n">
        <v>28.7784824371338</v>
      </c>
      <c r="E931" s="25" t="n">
        <v>8.00721168518066</v>
      </c>
      <c r="F931" s="25" t="n">
        <v>7.65642642974854</v>
      </c>
      <c r="G931" s="25" t="n">
        <v>8.28331565856934</v>
      </c>
      <c r="H931" s="25" t="n">
        <v>3.50639843940735</v>
      </c>
      <c r="I931" s="25" t="n">
        <v>0.441331714391708</v>
      </c>
      <c r="J931" s="25" t="n">
        <v>0.00949913501739502</v>
      </c>
      <c r="K931" s="25" t="n">
        <v>0.0357775230407715</v>
      </c>
      <c r="L931" s="25" t="n">
        <v>0.0266170349121094</v>
      </c>
      <c r="M931" s="25" t="n">
        <v>0</v>
      </c>
      <c r="N931" s="25" t="n">
        <v>7989.0732421875</v>
      </c>
      <c r="O931" s="25" t="n">
        <v>201.485382080078</v>
      </c>
      <c r="P931" s="25" t="n">
        <v>40.1136245727539</v>
      </c>
      <c r="Q931" s="25" t="n">
        <v>58.8559532165527</v>
      </c>
      <c r="R931" s="25" t="n">
        <v>23.452766418457</v>
      </c>
      <c r="S931" s="25" t="n">
        <v>1.89995265007019</v>
      </c>
      <c r="T931" s="25" t="n">
        <v>0.22709259390831</v>
      </c>
      <c r="U931" s="25" t="n">
        <v>0.0352567844092846</v>
      </c>
      <c r="V931" s="25" t="n">
        <v>0.0445521622896195</v>
      </c>
      <c r="W931" s="25" t="n">
        <v>0.157076522707939</v>
      </c>
      <c r="X931" s="25" t="n">
        <v>0</v>
      </c>
      <c r="Y931" s="25" t="n">
        <v>41.7451629638672</v>
      </c>
      <c r="Z931" s="25" t="n">
        <v>0.0798354297876358</v>
      </c>
      <c r="AA931" s="25" t="n">
        <v>1.18878281116486</v>
      </c>
      <c r="AB931" s="25" t="n">
        <v>4.84494924545288</v>
      </c>
      <c r="AC931" s="25" t="n">
        <v>0.00589047558605671</v>
      </c>
      <c r="AD931" s="25" t="n">
        <v>0.00374633492901921</v>
      </c>
      <c r="AE931" s="25" t="n">
        <v>0.0586210153996944</v>
      </c>
      <c r="AF931" s="25" t="n">
        <v>0.0305400565266609</v>
      </c>
      <c r="AG931" s="25" t="n">
        <v>0.0187496449798346</v>
      </c>
      <c r="AH931" s="25" t="n">
        <v>0.163463532924652</v>
      </c>
      <c r="AI931" s="25" t="n">
        <v>2.61576652526856</v>
      </c>
      <c r="AJ931" s="6" t="n">
        <v>176.2</v>
      </c>
      <c r="AK931" s="6" t="n">
        <v>50.7</v>
      </c>
      <c r="AL931" s="26" t="s">
        <v>3053</v>
      </c>
    </row>
    <row r="932" customFormat="false" ht="15" hidden="false" customHeight="false" outlineLevel="0" collapsed="false">
      <c r="A932" s="6" t="s">
        <v>4623</v>
      </c>
      <c r="B932" s="6" t="s">
        <v>4624</v>
      </c>
      <c r="C932" s="6" t="s">
        <v>3007</v>
      </c>
      <c r="D932" s="13" t="n">
        <v>344.665710449219</v>
      </c>
      <c r="E932" s="25" t="n">
        <v>19.8002548217773</v>
      </c>
      <c r="F932" s="25" t="n">
        <v>43.1088600158691</v>
      </c>
      <c r="G932" s="25" t="n">
        <v>9.50415802001953</v>
      </c>
      <c r="H932" s="25" t="n">
        <v>13.4505338668823</v>
      </c>
      <c r="I932" s="25" t="n">
        <v>1.05395007133484</v>
      </c>
      <c r="J932" s="25" t="n">
        <v>3.98590454101563</v>
      </c>
      <c r="K932" s="25" t="n">
        <v>2.18878002929688</v>
      </c>
      <c r="L932" s="25" t="n">
        <v>1.7846259765625</v>
      </c>
      <c r="M932" s="25" t="n">
        <v>15.3607769012451</v>
      </c>
      <c r="N932" s="25" t="n">
        <v>43.305477142334</v>
      </c>
      <c r="O932" s="25" t="n">
        <v>923.916748046875</v>
      </c>
      <c r="P932" s="25" t="n">
        <v>68.649284362793</v>
      </c>
      <c r="Q932" s="25" t="n">
        <v>298.930572509766</v>
      </c>
      <c r="R932" s="25" t="n">
        <v>123.316886901856</v>
      </c>
      <c r="S932" s="25" t="n">
        <v>5.96530818939209</v>
      </c>
      <c r="T932" s="25" t="n">
        <v>3.07771039009094</v>
      </c>
      <c r="U932" s="25" t="n">
        <v>0.707468390464783</v>
      </c>
      <c r="V932" s="25" t="n">
        <v>37.7375526428223</v>
      </c>
      <c r="W932" s="25" t="n">
        <v>1.6230126619339</v>
      </c>
      <c r="X932" s="25" t="n">
        <v>57.5716934204102</v>
      </c>
      <c r="Y932" s="25" t="n">
        <v>938.765441894531</v>
      </c>
      <c r="Z932" s="25" t="n">
        <v>0.554059505462647</v>
      </c>
      <c r="AA932" s="25" t="n">
        <v>6.72092962265015</v>
      </c>
      <c r="AB932" s="25" t="n">
        <v>1.76444029808044</v>
      </c>
      <c r="AC932" s="25" t="n">
        <v>0.290021568536758</v>
      </c>
      <c r="AD932" s="25" t="n">
        <v>0.137866169214249</v>
      </c>
      <c r="AE932" s="25" t="n">
        <v>1.83769345283508</v>
      </c>
      <c r="AF932" s="25" t="n">
        <v>1.79441571235657</v>
      </c>
      <c r="AG932" s="25" t="n">
        <v>0.243587717413902</v>
      </c>
      <c r="AH932" s="25" t="n">
        <v>0.881432354450226</v>
      </c>
      <c r="AI932" s="25" t="n">
        <v>126.316398620606</v>
      </c>
      <c r="AJ932" s="6" t="n">
        <v>81.1</v>
      </c>
      <c r="AK932" s="6" t="n">
        <v>279.4</v>
      </c>
      <c r="AL932" s="26"/>
    </row>
    <row r="933" customFormat="false" ht="15" hidden="false" customHeight="false" outlineLevel="0" collapsed="false">
      <c r="A933" s="6" t="s">
        <v>4625</v>
      </c>
      <c r="B933" s="6" t="s">
        <v>4626</v>
      </c>
      <c r="C933" s="6" t="s">
        <v>3052</v>
      </c>
      <c r="D933" s="13" t="n">
        <v>89.5304641723633</v>
      </c>
      <c r="E933" s="25" t="n">
        <v>4.44768238067627</v>
      </c>
      <c r="F933" s="25" t="n">
        <v>13.917947769165</v>
      </c>
      <c r="G933" s="25" t="n">
        <v>2.01441407203674</v>
      </c>
      <c r="H933" s="25" t="n">
        <v>2.83964252471924</v>
      </c>
      <c r="I933" s="25" t="n">
        <v>2.6529541015625</v>
      </c>
      <c r="J933" s="25" t="n">
        <v>0.236121612548828</v>
      </c>
      <c r="K933" s="25" t="n">
        <v>0.811059265136719</v>
      </c>
      <c r="L933" s="25" t="n">
        <v>0.650298583984375</v>
      </c>
      <c r="M933" s="25" t="n">
        <v>0</v>
      </c>
      <c r="N933" s="25" t="n">
        <v>79.7325897216797</v>
      </c>
      <c r="O933" s="25" t="n">
        <v>177.331146240234</v>
      </c>
      <c r="P933" s="25" t="n">
        <v>13.9281396865845</v>
      </c>
      <c r="Q933" s="25" t="n">
        <v>55.935359954834</v>
      </c>
      <c r="R933" s="25" t="n">
        <v>18.7890682220459</v>
      </c>
      <c r="S933" s="25" t="n">
        <v>0.955441892147064</v>
      </c>
      <c r="T933" s="25" t="n">
        <v>0.605270385742188</v>
      </c>
      <c r="U933" s="25" t="n">
        <v>0.146459341049194</v>
      </c>
      <c r="V933" s="25" t="n">
        <v>0.0130601013079286</v>
      </c>
      <c r="W933" s="25" t="n">
        <v>0.889185547828674</v>
      </c>
      <c r="X933" s="25" t="n">
        <v>0</v>
      </c>
      <c r="Y933" s="25" t="n">
        <v>711.013854980469</v>
      </c>
      <c r="Z933" s="25" t="n">
        <v>0.2358687967062</v>
      </c>
      <c r="AA933" s="25" t="n">
        <v>5.50095081329346</v>
      </c>
      <c r="AB933" s="25" t="n">
        <v>4.16191148757935</v>
      </c>
      <c r="AC933" s="25" t="n">
        <v>0.106380775570869</v>
      </c>
      <c r="AD933" s="25" t="n">
        <v>0.0477150715887547</v>
      </c>
      <c r="AE933" s="25" t="n">
        <v>0.397729456424713</v>
      </c>
      <c r="AF933" s="25" t="n">
        <v>0.366536617279053</v>
      </c>
      <c r="AG933" s="25" t="n">
        <v>0.12645149230957</v>
      </c>
      <c r="AH933" s="25" t="n">
        <v>0.220428183674812</v>
      </c>
      <c r="AI933" s="25" t="n">
        <v>119.603607177734</v>
      </c>
      <c r="AJ933" s="6" t="n">
        <v>318.2</v>
      </c>
      <c r="AK933" s="6" t="n">
        <v>284.9</v>
      </c>
      <c r="AL933" s="26"/>
    </row>
    <row r="934" customFormat="false" ht="15" hidden="false" customHeight="false" outlineLevel="0" collapsed="false">
      <c r="A934" s="6" t="s">
        <v>4627</v>
      </c>
      <c r="B934" s="6" t="s">
        <v>4628</v>
      </c>
      <c r="C934" s="6"/>
      <c r="D934" s="13" t="n">
        <v>115.168739318848</v>
      </c>
      <c r="E934" s="25" t="n">
        <v>3.31293654441834</v>
      </c>
      <c r="F934" s="25" t="n">
        <v>6.57808065414429</v>
      </c>
      <c r="G934" s="25" t="n">
        <v>8.40775394439697</v>
      </c>
      <c r="H934" s="25" t="n">
        <v>0.0741650685667992</v>
      </c>
      <c r="I934" s="25" t="n">
        <v>4.58437633514404</v>
      </c>
      <c r="J934" s="25" t="n">
        <v>5.19610302734375</v>
      </c>
      <c r="K934" s="25" t="n">
        <v>2.20345288085938</v>
      </c>
      <c r="L934" s="25" t="n">
        <v>0.283017272949219</v>
      </c>
      <c r="M934" s="25" t="n">
        <v>11.038387298584</v>
      </c>
      <c r="N934" s="25" t="n">
        <v>23.9123992919922</v>
      </c>
      <c r="O934" s="25" t="n">
        <v>111.326293945313</v>
      </c>
      <c r="P934" s="25" t="n">
        <v>110.195014953613</v>
      </c>
      <c r="Q934" s="25" t="n">
        <v>93.1090240478516</v>
      </c>
      <c r="R934" s="25" t="n">
        <v>8.55673694610596</v>
      </c>
      <c r="S934" s="25" t="n">
        <v>0.185758158564568</v>
      </c>
      <c r="T934" s="25" t="n">
        <v>0.332859873771668</v>
      </c>
      <c r="U934" s="25" t="n">
        <v>0.032725527882576</v>
      </c>
      <c r="V934" s="25" t="n">
        <v>0.875239908695221</v>
      </c>
      <c r="W934" s="25" t="n">
        <v>0.0261420346796513</v>
      </c>
      <c r="X934" s="25" t="n">
        <v>49.6468353271484</v>
      </c>
      <c r="Y934" s="25" t="n">
        <v>223.024948120117</v>
      </c>
      <c r="Z934" s="25" t="n">
        <v>0.299904018640518</v>
      </c>
      <c r="AA934" s="25" t="n">
        <v>0.41036468744278</v>
      </c>
      <c r="AB934" s="25" t="n">
        <v>1.85182332992554</v>
      </c>
      <c r="AC934" s="25" t="n">
        <v>0.0316698625683785</v>
      </c>
      <c r="AD934" s="25" t="n">
        <v>0.106583490967751</v>
      </c>
      <c r="AE934" s="25" t="n">
        <v>0.0943953916430473</v>
      </c>
      <c r="AF934" s="25" t="n">
        <v>0.335182338953018</v>
      </c>
      <c r="AG934" s="25" t="n">
        <v>0.0390019193291664</v>
      </c>
      <c r="AH934" s="25" t="n">
        <v>1.85013425350189</v>
      </c>
      <c r="AI934" s="25" t="n">
        <v>6.91343545913696</v>
      </c>
      <c r="AJ934" s="6"/>
      <c r="AK934" s="6"/>
      <c r="AL934" s="26"/>
    </row>
    <row r="935" customFormat="false" ht="15" hidden="false" customHeight="false" outlineLevel="0" collapsed="false">
      <c r="A935" s="6" t="s">
        <v>4629</v>
      </c>
      <c r="B935" s="6" t="s">
        <v>4630</v>
      </c>
      <c r="C935" s="6"/>
      <c r="D935" s="13" t="n">
        <v>151.2744140625</v>
      </c>
      <c r="E935" s="25" t="n">
        <v>3.35814952850342</v>
      </c>
      <c r="F935" s="25" t="n">
        <v>7.97715330123901</v>
      </c>
      <c r="G935" s="25" t="n">
        <v>11.7624197006226</v>
      </c>
      <c r="H935" s="25" t="n">
        <v>0.137508898973465</v>
      </c>
      <c r="I935" s="25" t="n">
        <v>4.32334518432617</v>
      </c>
      <c r="J935" s="25" t="n">
        <v>7.32202734375</v>
      </c>
      <c r="K935" s="25" t="n">
        <v>3.04853735351563</v>
      </c>
      <c r="L935" s="25" t="n">
        <v>0.406875427246094</v>
      </c>
      <c r="M935" s="25" t="n">
        <v>20.4661922454834</v>
      </c>
      <c r="N935" s="25" t="n">
        <v>22.5906047821045</v>
      </c>
      <c r="O935" s="25" t="n">
        <v>108.188613891602</v>
      </c>
      <c r="P935" s="25" t="n">
        <v>103.528831481934</v>
      </c>
      <c r="Q935" s="25" t="n">
        <v>90.1615676879883</v>
      </c>
      <c r="R935" s="25" t="n">
        <v>8.79309558868408</v>
      </c>
      <c r="S935" s="25" t="n">
        <v>0.216298937797546</v>
      </c>
      <c r="T935" s="25" t="n">
        <v>0.335302501916885</v>
      </c>
      <c r="U935" s="25" t="n">
        <v>0.0350533798336983</v>
      </c>
      <c r="V935" s="25" t="n">
        <v>0.811387896537781</v>
      </c>
      <c r="W935" s="25" t="n">
        <v>0.0399288274347782</v>
      </c>
      <c r="X935" s="25" t="n">
        <v>92.0498199462891</v>
      </c>
      <c r="Y935" s="25" t="n">
        <v>242.690399169922</v>
      </c>
      <c r="Z935" s="25" t="n">
        <v>0.36814945936203</v>
      </c>
      <c r="AA935" s="25" t="n">
        <v>0.760854125022888</v>
      </c>
      <c r="AB935" s="25" t="n">
        <v>1.71672594547272</v>
      </c>
      <c r="AC935" s="25" t="n">
        <v>0.033096082508564</v>
      </c>
      <c r="AD935" s="25" t="n">
        <v>0.103665478527546</v>
      </c>
      <c r="AE935" s="25" t="n">
        <v>0.106690391898155</v>
      </c>
      <c r="AF935" s="25" t="n">
        <v>0.331067621707916</v>
      </c>
      <c r="AG935" s="25" t="n">
        <v>0.0381494648754597</v>
      </c>
      <c r="AH935" s="25" t="n">
        <v>1.73921704292297</v>
      </c>
      <c r="AI935" s="25" t="n">
        <v>6.81387901306152</v>
      </c>
      <c r="AJ935" s="6"/>
      <c r="AK935" s="6"/>
      <c r="AL935" s="26"/>
    </row>
    <row r="936" customFormat="false" ht="15" hidden="false" customHeight="false" outlineLevel="0" collapsed="false">
      <c r="A936" s="6" t="s">
        <v>4631</v>
      </c>
      <c r="B936" s="6" t="s">
        <v>4632</v>
      </c>
      <c r="C936" s="6"/>
      <c r="D936" s="13" t="n">
        <v>209.693862915039</v>
      </c>
      <c r="E936" s="25" t="n">
        <v>3.43130421638489</v>
      </c>
      <c r="F936" s="25" t="n">
        <v>10.2408695220947</v>
      </c>
      <c r="G936" s="25" t="n">
        <v>17.1903114318848</v>
      </c>
      <c r="H936" s="25" t="n">
        <v>0.240000009536743</v>
      </c>
      <c r="I936" s="25" t="n">
        <v>3.90099382400513</v>
      </c>
      <c r="J936" s="25" t="n">
        <v>10.761798828125</v>
      </c>
      <c r="K936" s="25" t="n">
        <v>4.41589453125</v>
      </c>
      <c r="L936" s="25" t="n">
        <v>0.607279479980469</v>
      </c>
      <c r="M936" s="25" t="n">
        <v>35.7204971313477</v>
      </c>
      <c r="N936" s="25" t="n">
        <v>20.45192527771</v>
      </c>
      <c r="O936" s="25" t="n">
        <v>103.111801147461</v>
      </c>
      <c r="P936" s="25" t="n">
        <v>92.7428588867188</v>
      </c>
      <c r="Q936" s="25" t="n">
        <v>85.3925476074219</v>
      </c>
      <c r="R936" s="25" t="n">
        <v>9.17552757263184</v>
      </c>
      <c r="S936" s="25" t="n">
        <v>0.265714287757874</v>
      </c>
      <c r="T936" s="25" t="n">
        <v>0.339254647493362</v>
      </c>
      <c r="U936" s="25" t="n">
        <v>0.0388198755681515</v>
      </c>
      <c r="V936" s="25" t="n">
        <v>0.708074510097504</v>
      </c>
      <c r="W936" s="25" t="n">
        <v>0.062236025929451</v>
      </c>
      <c r="X936" s="25" t="n">
        <v>160.658386230469</v>
      </c>
      <c r="Y936" s="25" t="n">
        <v>274.509307861328</v>
      </c>
      <c r="Z936" s="25" t="n">
        <v>0.478571444749832</v>
      </c>
      <c r="AA936" s="25" t="n">
        <v>1.32795035839081</v>
      </c>
      <c r="AB936" s="25" t="n">
        <v>1.49813663959503</v>
      </c>
      <c r="AC936" s="25" t="n">
        <v>0.0354037247598171</v>
      </c>
      <c r="AD936" s="25" t="n">
        <v>0.0989440977573395</v>
      </c>
      <c r="AE936" s="25" t="n">
        <v>0.126583844423294</v>
      </c>
      <c r="AF936" s="25" t="n">
        <v>0.324409931898117</v>
      </c>
      <c r="AG936" s="25" t="n">
        <v>0.036770187318325</v>
      </c>
      <c r="AH936" s="25" t="n">
        <v>1.55975151062012</v>
      </c>
      <c r="AI936" s="25" t="n">
        <v>6.65279483795166</v>
      </c>
      <c r="AJ936" s="6"/>
      <c r="AK936" s="6"/>
      <c r="AL936" s="26"/>
    </row>
    <row r="937" customFormat="false" ht="15" hidden="false" customHeight="false" outlineLevel="0" collapsed="false">
      <c r="A937" s="6" t="s">
        <v>4633</v>
      </c>
      <c r="B937" s="6" t="s">
        <v>4634</v>
      </c>
      <c r="C937" s="6"/>
      <c r="D937" s="13" t="n">
        <v>194.761642456055</v>
      </c>
      <c r="E937" s="25" t="n">
        <v>7.68352651596069</v>
      </c>
      <c r="F937" s="25" t="n">
        <v>7.08181953430176</v>
      </c>
      <c r="G937" s="25" t="n">
        <v>15.1247730255127</v>
      </c>
      <c r="H937" s="25" t="n">
        <v>0.117981314659119</v>
      </c>
      <c r="I937" s="25" t="n">
        <v>4.52750158309937</v>
      </c>
      <c r="J937" s="25" t="n">
        <v>9.411849609375</v>
      </c>
      <c r="K937" s="25" t="n">
        <v>4.03300048828125</v>
      </c>
      <c r="L937" s="25" t="n">
        <v>0.538154541015625</v>
      </c>
      <c r="M937" s="25" t="n">
        <v>39.7532691955566</v>
      </c>
      <c r="N937" s="25" t="n">
        <v>317.378082275391</v>
      </c>
      <c r="O937" s="25" t="n">
        <v>130.214324951172</v>
      </c>
      <c r="P937" s="25" t="n">
        <v>255.137939453125</v>
      </c>
      <c r="Q937" s="25" t="n">
        <v>293.010345458984</v>
      </c>
      <c r="R937" s="25" t="n">
        <v>14.3255081176758</v>
      </c>
      <c r="S937" s="25" t="n">
        <v>0.31178817152977</v>
      </c>
      <c r="T937" s="25" t="n">
        <v>1.01506543159485</v>
      </c>
      <c r="U937" s="25" t="n">
        <v>0.0251713395118713</v>
      </c>
      <c r="V937" s="25" t="n">
        <v>2.06355142593384</v>
      </c>
      <c r="W937" s="25" t="n">
        <v>0.0409844256937504</v>
      </c>
      <c r="X937" s="25" t="n">
        <v>145.211212158203</v>
      </c>
      <c r="Y937" s="25" t="n">
        <v>209.454208374023</v>
      </c>
      <c r="Z937" s="25" t="n">
        <v>0.422305315732956</v>
      </c>
      <c r="AA937" s="25" t="n">
        <v>1.07719624042511</v>
      </c>
      <c r="AB937" s="25" t="n">
        <v>1.20286595821381</v>
      </c>
      <c r="AC937" s="25" t="n">
        <v>0.0412772558629513</v>
      </c>
      <c r="AD937" s="25" t="n">
        <v>0.147950157523155</v>
      </c>
      <c r="AE937" s="25" t="n">
        <v>0.111850470304489</v>
      </c>
      <c r="AF937" s="25" t="n">
        <v>0.411844253540039</v>
      </c>
      <c r="AG937" s="25" t="n">
        <v>0.0489595010876656</v>
      </c>
      <c r="AH937" s="25" t="n">
        <v>2.89276003837585</v>
      </c>
      <c r="AI937" s="25" t="n">
        <v>9.27526473999023</v>
      </c>
      <c r="AJ937" s="6"/>
      <c r="AK937" s="6"/>
      <c r="AL937" s="26"/>
    </row>
    <row r="938" customFormat="false" ht="15" hidden="false" customHeight="false" outlineLevel="0" collapsed="false">
      <c r="A938" s="6" t="s">
        <v>4635</v>
      </c>
      <c r="B938" s="6" t="s">
        <v>4636</v>
      </c>
      <c r="C938" s="6"/>
      <c r="D938" s="13" t="n">
        <v>146.853012084961</v>
      </c>
      <c r="E938" s="25" t="n">
        <v>5.96725225448608</v>
      </c>
      <c r="F938" s="25" t="n">
        <v>5.879554271698</v>
      </c>
      <c r="G938" s="25" t="n">
        <v>11.0788593292236</v>
      </c>
      <c r="H938" s="25" t="n">
        <v>0.124170497059822</v>
      </c>
      <c r="I938" s="25" t="n">
        <v>3.19123935699463</v>
      </c>
      <c r="J938" s="25" t="n">
        <v>6.17417626953125</v>
      </c>
      <c r="K938" s="25" t="n">
        <v>3.16207592773438</v>
      </c>
      <c r="L938" s="25" t="n">
        <v>0.607303588867188</v>
      </c>
      <c r="M938" s="25" t="n">
        <v>111.084587097168</v>
      </c>
      <c r="N938" s="25" t="n">
        <v>51.5356330871582</v>
      </c>
      <c r="O938" s="25" t="n">
        <v>117.21573638916</v>
      </c>
      <c r="P938" s="25" t="n">
        <v>89.490104675293</v>
      </c>
      <c r="Q938" s="25" t="n">
        <v>115.174819946289</v>
      </c>
      <c r="R938" s="25" t="n">
        <v>9.72881317138672</v>
      </c>
      <c r="S938" s="25" t="n">
        <v>0.64814430475235</v>
      </c>
      <c r="T938" s="25" t="n">
        <v>0.572577059268951</v>
      </c>
      <c r="U938" s="25" t="n">
        <v>0.0448524579405785</v>
      </c>
      <c r="V938" s="25" t="n">
        <v>11.2052459716797</v>
      </c>
      <c r="W938" s="25" t="n">
        <v>0.0357901640236378</v>
      </c>
      <c r="X938" s="25" t="n">
        <v>119.779670715332</v>
      </c>
      <c r="Y938" s="25" t="n">
        <v>225.950164794922</v>
      </c>
      <c r="Z938" s="25" t="n">
        <v>0.667409837245941</v>
      </c>
      <c r="AA938" s="25" t="n">
        <v>0.630098342895508</v>
      </c>
      <c r="AB938" s="25" t="n">
        <v>1.26596713066101</v>
      </c>
      <c r="AC938" s="25" t="n">
        <v>0.0402950793504715</v>
      </c>
      <c r="AD938" s="25" t="n">
        <v>0.1268590092659</v>
      </c>
      <c r="AE938" s="25" t="n">
        <v>0.11509507894516</v>
      </c>
      <c r="AF938" s="25" t="n">
        <v>0.630170524120331</v>
      </c>
      <c r="AG938" s="25" t="n">
        <v>0.0714622959494591</v>
      </c>
      <c r="AH938" s="25" t="n">
        <v>6.0661506652832</v>
      </c>
      <c r="AI938" s="25" t="n">
        <v>17.9769172668457</v>
      </c>
      <c r="AJ938" s="6"/>
      <c r="AK938" s="6"/>
      <c r="AL938" s="26"/>
    </row>
    <row r="939" customFormat="false" ht="15" hidden="false" customHeight="false" outlineLevel="0" collapsed="false">
      <c r="A939" s="6" t="s">
        <v>4637</v>
      </c>
      <c r="B939" s="6" t="s">
        <v>4638</v>
      </c>
      <c r="C939" s="6"/>
      <c r="D939" s="13" t="n">
        <v>137.563568115234</v>
      </c>
      <c r="E939" s="25" t="n">
        <v>3.39379739761353</v>
      </c>
      <c r="F939" s="25" t="n">
        <v>7.31291151046753</v>
      </c>
      <c r="G939" s="25" t="n">
        <v>10.5061388015747</v>
      </c>
      <c r="H939" s="25" t="n">
        <v>0.466740518808365</v>
      </c>
      <c r="I939" s="25" t="n">
        <v>3.85556960105896</v>
      </c>
      <c r="J939" s="25" t="n">
        <v>6.5180087890625</v>
      </c>
      <c r="K939" s="25" t="n">
        <v>2.71163818359375</v>
      </c>
      <c r="L939" s="25" t="n">
        <v>0.390939880371094</v>
      </c>
      <c r="M939" s="25" t="n">
        <v>18.1993656158447</v>
      </c>
      <c r="N939" s="25" t="n">
        <v>20.9435443878174</v>
      </c>
      <c r="O939" s="25" t="n">
        <v>131.427215576172</v>
      </c>
      <c r="P939" s="25" t="n">
        <v>94.097785949707</v>
      </c>
      <c r="Q939" s="25" t="n">
        <v>89.8235778808594</v>
      </c>
      <c r="R939" s="25" t="n">
        <v>9.84607601165772</v>
      </c>
      <c r="S939" s="25" t="n">
        <v>0.224462032318115</v>
      </c>
      <c r="T939" s="25" t="n">
        <v>0.316993683576584</v>
      </c>
      <c r="U939" s="25" t="n">
        <v>0.0411392413079739</v>
      </c>
      <c r="V939" s="25" t="n">
        <v>0.721518993377686</v>
      </c>
      <c r="W939" s="25" t="n">
        <v>0.052120253443718</v>
      </c>
      <c r="X939" s="25" t="n">
        <v>81.8544311523438</v>
      </c>
      <c r="Y939" s="25" t="n">
        <v>215.810134887695</v>
      </c>
      <c r="Z939" s="25" t="n">
        <v>0.328481018543243</v>
      </c>
      <c r="AA939" s="25" t="n">
        <v>2.06107592582703</v>
      </c>
      <c r="AB939" s="25" t="n">
        <v>1.52658224105835</v>
      </c>
      <c r="AC939" s="25" t="n">
        <v>0.0305379740893841</v>
      </c>
      <c r="AD939" s="25" t="n">
        <v>0.0955063253641129</v>
      </c>
      <c r="AE939" s="25" t="n">
        <v>0.170189872384071</v>
      </c>
      <c r="AF939" s="25" t="n">
        <v>0.342025309801102</v>
      </c>
      <c r="AG939" s="25" t="n">
        <v>0.0472151897847652</v>
      </c>
      <c r="AH939" s="25" t="n">
        <v>2.56889224052429</v>
      </c>
      <c r="AI939" s="25" t="n">
        <v>6.9762659072876</v>
      </c>
      <c r="AJ939" s="6"/>
      <c r="AK939" s="6"/>
      <c r="AL939" s="26"/>
    </row>
    <row r="940" customFormat="false" ht="15" hidden="false" customHeight="false" outlineLevel="0" collapsed="false">
      <c r="A940" s="6" t="s">
        <v>4639</v>
      </c>
      <c r="B940" s="6" t="s">
        <v>4640</v>
      </c>
      <c r="C940" s="6"/>
      <c r="D940" s="13" t="n">
        <v>158.583724975586</v>
      </c>
      <c r="E940" s="25" t="n">
        <v>3.97895836830139</v>
      </c>
      <c r="F940" s="25" t="n">
        <v>8.28638935089111</v>
      </c>
      <c r="G940" s="25" t="n">
        <v>12.1740970611572</v>
      </c>
      <c r="H940" s="25" t="n">
        <v>0.134166672825813</v>
      </c>
      <c r="I940" s="25" t="n">
        <v>4.21826410293579</v>
      </c>
      <c r="J940" s="25" t="n">
        <v>7.18051953125</v>
      </c>
      <c r="K940" s="25" t="n">
        <v>3.45569091796875</v>
      </c>
      <c r="L940" s="25" t="n">
        <v>0.528236083984375</v>
      </c>
      <c r="M940" s="25" t="n">
        <v>19.96875</v>
      </c>
      <c r="N940" s="25" t="n">
        <v>22.1630554199219</v>
      </c>
      <c r="O940" s="25" t="n">
        <v>128.40625</v>
      </c>
      <c r="P940" s="25" t="n">
        <v>109.033340454102</v>
      </c>
      <c r="Q940" s="25" t="n">
        <v>92.3451385498047</v>
      </c>
      <c r="R940" s="25" t="n">
        <v>14.8988199234009</v>
      </c>
      <c r="S940" s="25" t="n">
        <v>0.441944450139999</v>
      </c>
      <c r="T940" s="25" t="n">
        <v>0.485138893127441</v>
      </c>
      <c r="U940" s="25" t="n">
        <v>0.0390625</v>
      </c>
      <c r="V940" s="25" t="n">
        <v>0.791666626930237</v>
      </c>
      <c r="W940" s="25" t="n">
        <v>0.0802777782082558</v>
      </c>
      <c r="X940" s="25" t="n">
        <v>89.8125</v>
      </c>
      <c r="Y940" s="25" t="n">
        <v>236.79167175293</v>
      </c>
      <c r="Z940" s="25" t="n">
        <v>0.359201401472092</v>
      </c>
      <c r="AA940" s="25" t="n">
        <v>0.742361128330231</v>
      </c>
      <c r="AB940" s="25" t="n">
        <v>1.67499995231628</v>
      </c>
      <c r="AC940" s="25" t="n">
        <v>0.0322916656732559</v>
      </c>
      <c r="AD940" s="25" t="n">
        <v>0.101145833730698</v>
      </c>
      <c r="AE940" s="25" t="n">
        <v>0.104097224771977</v>
      </c>
      <c r="AF940" s="25" t="n">
        <v>0.323020815849304</v>
      </c>
      <c r="AG940" s="25" t="n">
        <v>0.037222221493721</v>
      </c>
      <c r="AH940" s="25" t="n">
        <v>1.69694435596466</v>
      </c>
      <c r="AI940" s="25" t="n">
        <v>6.64826393127441</v>
      </c>
      <c r="AJ940" s="6"/>
      <c r="AK940" s="6"/>
      <c r="AL940" s="26"/>
    </row>
    <row r="941" customFormat="false" ht="15" hidden="false" customHeight="false" outlineLevel="0" collapsed="false">
      <c r="A941" s="6" t="s">
        <v>4641</v>
      </c>
      <c r="B941" s="6" t="s">
        <v>4642</v>
      </c>
      <c r="C941" s="6"/>
      <c r="D941" s="13" t="n">
        <v>109.175750732422</v>
      </c>
      <c r="E941" s="25" t="n">
        <v>11.9226207733154</v>
      </c>
      <c r="F941" s="25" t="n">
        <v>5.37817239761353</v>
      </c>
      <c r="G941" s="25" t="n">
        <v>23.6733112335205</v>
      </c>
      <c r="H941" s="25" t="n">
        <v>1.68951725959778</v>
      </c>
      <c r="I941" s="25" t="n">
        <v>0.129620686173439</v>
      </c>
      <c r="J941" s="25" t="n">
        <v>1.12437780761719</v>
      </c>
      <c r="K941" s="25" t="n">
        <v>1.91228771972656</v>
      </c>
      <c r="L941" s="25" t="n">
        <v>5.9182861328125</v>
      </c>
      <c r="M941" s="25" t="n">
        <v>0</v>
      </c>
      <c r="N941" s="25" t="n">
        <v>14174.5947265625</v>
      </c>
      <c r="O941" s="25" t="n">
        <v>334.089660644531</v>
      </c>
      <c r="P941" s="25" t="n">
        <v>40.4427604675293</v>
      </c>
      <c r="Q941" s="25" t="n">
        <v>107.282760620117</v>
      </c>
      <c r="R941" s="25" t="n">
        <v>39.1603088378906</v>
      </c>
      <c r="S941" s="25" t="n">
        <v>2.45679306983948</v>
      </c>
      <c r="T941" s="25" t="n">
        <v>0.395448267459869</v>
      </c>
      <c r="U941" s="25" t="n">
        <v>0.0551724135875702</v>
      </c>
      <c r="V941" s="25" t="n">
        <v>0</v>
      </c>
      <c r="W941" s="25" t="n">
        <v>0.260793119668961</v>
      </c>
      <c r="X941" s="25" t="n">
        <v>0</v>
      </c>
      <c r="Y941" s="25" t="n">
        <v>19.5517234802246</v>
      </c>
      <c r="Z941" s="25" t="n">
        <v>4.58617258071899</v>
      </c>
      <c r="AA941" s="25" t="n">
        <v>0.658965528011322</v>
      </c>
      <c r="AB941" s="25" t="n">
        <v>0</v>
      </c>
      <c r="AC941" s="25" t="n">
        <v>0.0108620692044497</v>
      </c>
      <c r="AD941" s="25" t="n">
        <v>0.00434482749551535</v>
      </c>
      <c r="AE941" s="25" t="n">
        <v>0.0557586178183556</v>
      </c>
      <c r="AF941" s="25" t="n">
        <v>0.0521379299461842</v>
      </c>
      <c r="AG941" s="25" t="n">
        <v>0.00579310301691294</v>
      </c>
      <c r="AH941" s="25" t="n">
        <v>0.0419999994337559</v>
      </c>
      <c r="AI941" s="25" t="n">
        <v>1.17672407627106</v>
      </c>
      <c r="AJ941" s="6"/>
      <c r="AK941" s="6"/>
      <c r="AL941" s="26" t="s">
        <v>3053</v>
      </c>
    </row>
    <row r="942" customFormat="false" ht="15" hidden="false" customHeight="false" outlineLevel="0" collapsed="false">
      <c r="A942" s="6" t="s">
        <v>4643</v>
      </c>
      <c r="B942" s="6" t="s">
        <v>4644</v>
      </c>
      <c r="C942" s="6"/>
      <c r="D942" s="13" t="n">
        <v>42.1199989318848</v>
      </c>
      <c r="E942" s="25" t="n">
        <v>0.572342455387116</v>
      </c>
      <c r="F942" s="25" t="n">
        <v>4.40220403671265</v>
      </c>
      <c r="G942" s="25" t="n">
        <v>2.45322108268738</v>
      </c>
      <c r="H942" s="25" t="n">
        <v>1.36205625534058</v>
      </c>
      <c r="I942" s="25" t="n">
        <v>2.9394793510437</v>
      </c>
      <c r="J942" s="25" t="n">
        <v>0.64752734375</v>
      </c>
      <c r="K942" s="25" t="n">
        <v>0.513453491210938</v>
      </c>
      <c r="L942" s="25" t="n">
        <v>1.11574694824219</v>
      </c>
      <c r="M942" s="25" t="n">
        <v>1.69924223423004</v>
      </c>
      <c r="N942" s="25" t="n">
        <v>49.0354347229004</v>
      </c>
      <c r="O942" s="25" t="n">
        <v>105.017448425293</v>
      </c>
      <c r="P942" s="25" t="n">
        <v>19.5531272888184</v>
      </c>
      <c r="Q942" s="25" t="n">
        <v>13.8293781280518</v>
      </c>
      <c r="R942" s="25" t="n">
        <v>9.20672130584717</v>
      </c>
      <c r="S942" s="25" t="n">
        <v>0.407743334770203</v>
      </c>
      <c r="T942" s="25" t="n">
        <v>0.115785799920559</v>
      </c>
      <c r="U942" s="25" t="n">
        <v>0.0383536107838154</v>
      </c>
      <c r="V942" s="25" t="n">
        <v>0.0949541255831718</v>
      </c>
      <c r="W942" s="25" t="n">
        <v>0.258476257324219</v>
      </c>
      <c r="X942" s="25" t="n">
        <v>7.64260053634644</v>
      </c>
      <c r="Y942" s="25" t="n">
        <v>2709.14599609375</v>
      </c>
      <c r="Z942" s="25" t="n">
        <v>0.893632829189301</v>
      </c>
      <c r="AA942" s="25" t="n">
        <v>10.0716590881348</v>
      </c>
      <c r="AB942" s="25" t="n">
        <v>8.62617111206055</v>
      </c>
      <c r="AC942" s="25" t="n">
        <v>0.0214379727840424</v>
      </c>
      <c r="AD942" s="25" t="n">
        <v>0.0136677296832204</v>
      </c>
      <c r="AE942" s="25" t="n">
        <v>0.230110689997673</v>
      </c>
      <c r="AF942" s="25" t="n">
        <v>0.113203033804894</v>
      </c>
      <c r="AG942" s="25" t="n">
        <v>0.0459762662649155</v>
      </c>
      <c r="AH942" s="25" t="n">
        <v>0.651730179786682</v>
      </c>
      <c r="AI942" s="25" t="n">
        <v>9.62205791473389</v>
      </c>
      <c r="AJ942" s="6"/>
      <c r="AK942" s="6"/>
      <c r="AL942" s="26"/>
    </row>
    <row r="943" customFormat="false" ht="15" hidden="false" customHeight="false" outlineLevel="0" collapsed="false">
      <c r="A943" s="6" t="s">
        <v>4645</v>
      </c>
      <c r="B943" s="6" t="s">
        <v>4646</v>
      </c>
      <c r="C943" s="6"/>
      <c r="D943" s="13" t="n">
        <v>85.4644241333008</v>
      </c>
      <c r="E943" s="25" t="n">
        <v>1.76494359970093</v>
      </c>
      <c r="F943" s="25" t="n">
        <v>1.76013457775116</v>
      </c>
      <c r="G943" s="25" t="n">
        <v>7.8962721824646</v>
      </c>
      <c r="H943" s="25" t="n">
        <v>0.859714508056641</v>
      </c>
      <c r="I943" s="25" t="n">
        <v>1.041579246521</v>
      </c>
      <c r="J943" s="25" t="n">
        <v>2.69635668945313</v>
      </c>
      <c r="K943" s="25" t="n">
        <v>4.13641748046875</v>
      </c>
      <c r="L943" s="25" t="n">
        <v>0.596398071289063</v>
      </c>
      <c r="M943" s="25" t="n">
        <v>9.3359546661377</v>
      </c>
      <c r="N943" s="25" t="n">
        <v>115.785469055176</v>
      </c>
      <c r="O943" s="25" t="n">
        <v>251.045852661133</v>
      </c>
      <c r="P943" s="25" t="n">
        <v>58.5733070373535</v>
      </c>
      <c r="Q943" s="25" t="n">
        <v>45.4055938720703</v>
      </c>
      <c r="R943" s="25" t="n">
        <v>32.1502075195313</v>
      </c>
      <c r="S943" s="25" t="n">
        <v>1.23033154010773</v>
      </c>
      <c r="T943" s="25" t="n">
        <v>0.305468618869782</v>
      </c>
      <c r="U943" s="25" t="n">
        <v>0.066918671131134</v>
      </c>
      <c r="V943" s="25" t="n">
        <v>0.883943915367127</v>
      </c>
      <c r="W943" s="25" t="n">
        <v>0.407662004232407</v>
      </c>
      <c r="X943" s="25" t="n">
        <v>41.1554985046387</v>
      </c>
      <c r="Y943" s="25" t="n">
        <v>3271.21826171875</v>
      </c>
      <c r="Z943" s="25" t="n">
        <v>0.735757172107697</v>
      </c>
      <c r="AA943" s="25" t="n">
        <v>111.316314697266</v>
      </c>
      <c r="AB943" s="25" t="n">
        <v>12.7829580307007</v>
      </c>
      <c r="AC943" s="25" t="n">
        <v>0.0628261044621468</v>
      </c>
      <c r="AD943" s="25" t="n">
        <v>0.0588741563260555</v>
      </c>
      <c r="AE943" s="25" t="n">
        <v>0.172098100185394</v>
      </c>
      <c r="AF943" s="25" t="n">
        <v>0.124616995453835</v>
      </c>
      <c r="AG943" s="25" t="n">
        <v>0.0693702772259712</v>
      </c>
      <c r="AH943" s="25" t="n">
        <v>1.76638519763947</v>
      </c>
      <c r="AI943" s="25" t="n">
        <v>53.7453842163086</v>
      </c>
      <c r="AJ943" s="6"/>
      <c r="AK943" s="6"/>
      <c r="AL943" s="26"/>
    </row>
    <row r="944" customFormat="false" ht="15" hidden="false" customHeight="false" outlineLevel="0" collapsed="false">
      <c r="A944" s="6" t="s">
        <v>4647</v>
      </c>
      <c r="B944" s="6" t="s">
        <v>4648</v>
      </c>
      <c r="C944" s="6"/>
      <c r="D944" s="13" t="n">
        <v>149.26318359375</v>
      </c>
      <c r="E944" s="25" t="n">
        <v>4.33173036575317</v>
      </c>
      <c r="F944" s="25" t="n">
        <v>9.00258636474609</v>
      </c>
      <c r="G944" s="25" t="n">
        <v>10.8416032791138</v>
      </c>
      <c r="H944" s="25" t="n">
        <v>0.137814208865166</v>
      </c>
      <c r="I944" s="25" t="n">
        <v>4.21606540679932</v>
      </c>
      <c r="J944" s="25" t="n">
        <v>6.73266650390625</v>
      </c>
      <c r="K944" s="25" t="n">
        <v>2.8669453125</v>
      </c>
      <c r="L944" s="25" t="n">
        <v>0.380976318359375</v>
      </c>
      <c r="M944" s="25" t="n">
        <v>22.2240428924561</v>
      </c>
      <c r="N944" s="25" t="n">
        <v>255.950958251953</v>
      </c>
      <c r="O944" s="25" t="n">
        <v>114.386154174805</v>
      </c>
      <c r="P944" s="25" t="n">
        <v>152.684875488281</v>
      </c>
      <c r="Q944" s="25" t="n">
        <v>148.588348388672</v>
      </c>
      <c r="R944" s="25" t="n">
        <v>10.400728225708</v>
      </c>
      <c r="S944" s="25" t="n">
        <v>0.24974499642849</v>
      </c>
      <c r="T944" s="25" t="n">
        <v>0.537049174308777</v>
      </c>
      <c r="U944" s="25" t="n">
        <v>0.0269945356994867</v>
      </c>
      <c r="V944" s="25" t="n">
        <v>1.17874312400818</v>
      </c>
      <c r="W944" s="25" t="n">
        <v>0.0336794182658196</v>
      </c>
      <c r="X944" s="25" t="n">
        <v>92.9071044921875</v>
      </c>
      <c r="Y944" s="25" t="n">
        <v>202.488159179688</v>
      </c>
      <c r="Z944" s="25" t="n">
        <v>0.337923496961594</v>
      </c>
      <c r="AA944" s="25" t="n">
        <v>0.821129322052002</v>
      </c>
      <c r="AB944" s="25" t="n">
        <v>1.54098355770111</v>
      </c>
      <c r="AC944" s="25" t="n">
        <v>0.0309653915464878</v>
      </c>
      <c r="AD944" s="25" t="n">
        <v>0.121329687535763</v>
      </c>
      <c r="AE944" s="25" t="n">
        <v>0.0846083760261536</v>
      </c>
      <c r="AF944" s="25" t="n">
        <v>0.32890710234642</v>
      </c>
      <c r="AG944" s="25" t="n">
        <v>0.0400910750031471</v>
      </c>
      <c r="AH944" s="25" t="n">
        <v>2.17284154891968</v>
      </c>
      <c r="AI944" s="25" t="n">
        <v>7.42602920532227</v>
      </c>
      <c r="AJ944" s="6"/>
      <c r="AK944" s="6"/>
      <c r="AL944" s="26"/>
    </row>
    <row r="945" customFormat="false" ht="15" hidden="false" customHeight="false" outlineLevel="0" collapsed="false">
      <c r="A945" s="6" t="s">
        <v>4649</v>
      </c>
      <c r="B945" s="6" t="s">
        <v>4650</v>
      </c>
      <c r="C945" s="6"/>
      <c r="D945" s="13" t="n">
        <v>774.858215332031</v>
      </c>
      <c r="E945" s="25" t="n">
        <v>1.86496591567993</v>
      </c>
      <c r="F945" s="25" t="n">
        <v>1.6493878364563</v>
      </c>
      <c r="G945" s="25" t="n">
        <v>84.5248947143555</v>
      </c>
      <c r="H945" s="25" t="n">
        <v>0.112789116799831</v>
      </c>
      <c r="I945" s="25" t="n">
        <v>1.4419047832489</v>
      </c>
      <c r="J945" s="25" t="n">
        <v>10.7371220703125</v>
      </c>
      <c r="K945" s="25" t="n">
        <v>17.899453125</v>
      </c>
      <c r="L945" s="25" t="n">
        <v>52.04793359375</v>
      </c>
      <c r="M945" s="25" t="n">
        <v>117.115646362305</v>
      </c>
      <c r="N945" s="25" t="n">
        <v>272.889923095703</v>
      </c>
      <c r="O945" s="25" t="n">
        <v>23.4727878570557</v>
      </c>
      <c r="P945" s="25" t="n">
        <v>15.3639450073242</v>
      </c>
      <c r="Q945" s="25" t="n">
        <v>61.3537406921387</v>
      </c>
      <c r="R945" s="25" t="n">
        <v>3.69197273254395</v>
      </c>
      <c r="S945" s="25" t="n">
        <v>0.513095259666443</v>
      </c>
      <c r="T945" s="25" t="n">
        <v>0.211632654070854</v>
      </c>
      <c r="U945" s="25" t="n">
        <v>0.0274149663746357</v>
      </c>
      <c r="V945" s="25" t="n">
        <v>5.68778896331787</v>
      </c>
      <c r="W945" s="25" t="n">
        <v>0.0350340157747269</v>
      </c>
      <c r="X945" s="25" t="n">
        <v>58.6666641235352</v>
      </c>
      <c r="Y945" s="25" t="n">
        <v>33.7789115905762</v>
      </c>
      <c r="Z945" s="25" t="n">
        <v>40.5071754455566</v>
      </c>
      <c r="AA945" s="25" t="n">
        <v>5.72448968887329</v>
      </c>
      <c r="AB945" s="25" t="n">
        <v>0</v>
      </c>
      <c r="AC945" s="25" t="n">
        <v>0.0121768703684211</v>
      </c>
      <c r="AD945" s="25" t="n">
        <v>0.0177210886031389</v>
      </c>
      <c r="AE945" s="25" t="n">
        <v>0.0779931992292404</v>
      </c>
      <c r="AF945" s="25" t="n">
        <v>0.303605437278748</v>
      </c>
      <c r="AG945" s="25" t="n">
        <v>0.0324829928576946</v>
      </c>
      <c r="AH945" s="25" t="n">
        <v>7.11064624786377</v>
      </c>
      <c r="AI945" s="25" t="n">
        <v>12.264931678772</v>
      </c>
      <c r="AJ945" s="6"/>
      <c r="AK945" s="6"/>
      <c r="AL945" s="26"/>
    </row>
    <row r="946" customFormat="false" ht="15" hidden="false" customHeight="false" outlineLevel="0" collapsed="false">
      <c r="A946" s="6" t="s">
        <v>4651</v>
      </c>
      <c r="B946" s="6" t="s">
        <v>4652</v>
      </c>
      <c r="C946" s="6"/>
      <c r="D946" s="13" t="n">
        <v>242.891418457031</v>
      </c>
      <c r="E946" s="25" t="n">
        <v>1.40588688850403</v>
      </c>
      <c r="F946" s="25" t="n">
        <v>4.71134519577026</v>
      </c>
      <c r="G946" s="25" t="n">
        <v>24.3501739501953</v>
      </c>
      <c r="H946" s="25" t="n">
        <v>0.0646393746137619</v>
      </c>
      <c r="I946" s="25" t="n">
        <v>0.826354742050171</v>
      </c>
      <c r="J946" s="25" t="n">
        <v>3.10361401367188</v>
      </c>
      <c r="K946" s="25" t="n">
        <v>5.17819287109375</v>
      </c>
      <c r="L946" s="25" t="n">
        <v>14.944203125</v>
      </c>
      <c r="M946" s="25" t="n">
        <v>35.6725158691406</v>
      </c>
      <c r="N946" s="25" t="n">
        <v>165.941680908203</v>
      </c>
      <c r="O946" s="25" t="n">
        <v>19.6647167205811</v>
      </c>
      <c r="P946" s="25" t="n">
        <v>6.46978569030762</v>
      </c>
      <c r="Q946" s="25" t="n">
        <v>19.643274307251</v>
      </c>
      <c r="R946" s="25" t="n">
        <v>2.5467836856842</v>
      </c>
      <c r="S946" s="25" t="n">
        <v>0.254405468702316</v>
      </c>
      <c r="T946" s="25" t="n">
        <v>0.159337237477303</v>
      </c>
      <c r="U946" s="25" t="n">
        <v>0.0139571148902178</v>
      </c>
      <c r="V946" s="25" t="n">
        <v>3.99245595932007</v>
      </c>
      <c r="W946" s="25" t="n">
        <v>0.0201559457927942</v>
      </c>
      <c r="X946" s="25" t="n">
        <v>19.298246383667</v>
      </c>
      <c r="Y946" s="25" t="n">
        <v>17.4834308624268</v>
      </c>
      <c r="Z946" s="25" t="n">
        <v>11.6630992889404</v>
      </c>
      <c r="AA946" s="25" t="n">
        <v>1.80701756477356</v>
      </c>
      <c r="AB946" s="25" t="n">
        <v>0</v>
      </c>
      <c r="AC946" s="25" t="n">
        <v>0.00678362557664514</v>
      </c>
      <c r="AD946" s="25" t="n">
        <v>0.018693957477808</v>
      </c>
      <c r="AE946" s="25" t="n">
        <v>0.012378167361021</v>
      </c>
      <c r="AF946" s="25" t="n">
        <v>0.143859654664993</v>
      </c>
      <c r="AG946" s="25" t="n">
        <v>0.0161208566278219</v>
      </c>
      <c r="AH946" s="25" t="n">
        <v>1.78458082675934</v>
      </c>
      <c r="AI946" s="25" t="n">
        <v>4.93155956268311</v>
      </c>
      <c r="AJ946" s="6"/>
      <c r="AK946" s="6"/>
      <c r="AL946" s="26"/>
    </row>
    <row r="947" customFormat="false" ht="15" hidden="false" customHeight="false" outlineLevel="0" collapsed="false">
      <c r="A947" s="6" t="s">
        <v>4653</v>
      </c>
      <c r="B947" s="6" t="s">
        <v>4654</v>
      </c>
      <c r="C947" s="6"/>
      <c r="D947" s="13" t="n">
        <v>407.873413085938</v>
      </c>
      <c r="E947" s="25" t="n">
        <v>1.36555552482605</v>
      </c>
      <c r="F947" s="25" t="n">
        <v>4.49444437026978</v>
      </c>
      <c r="G947" s="25" t="n">
        <v>42.8651847839356</v>
      </c>
      <c r="H947" s="25" t="n">
        <v>0.456296294927597</v>
      </c>
      <c r="I947" s="25" t="n">
        <v>3.10481476783752</v>
      </c>
      <c r="J947" s="25" t="n">
        <v>3.54909936523438</v>
      </c>
      <c r="K947" s="25" t="n">
        <v>25.79830078125</v>
      </c>
      <c r="L947" s="25" t="n">
        <v>11.3373330078125</v>
      </c>
      <c r="M947" s="25" t="n">
        <v>34</v>
      </c>
      <c r="N947" s="25" t="n">
        <v>946.099243164063</v>
      </c>
      <c r="O947" s="25" t="n">
        <v>97.9444427490234</v>
      </c>
      <c r="P947" s="25" t="n">
        <v>9.1133337020874</v>
      </c>
      <c r="Q947" s="25" t="n">
        <v>17.1177768707275</v>
      </c>
      <c r="R947" s="25" t="n">
        <v>6.67037057876587</v>
      </c>
      <c r="S947" s="25" t="n">
        <v>0.450740724802017</v>
      </c>
      <c r="T947" s="25" t="n">
        <v>0.166666656732559</v>
      </c>
      <c r="U947" s="25" t="n">
        <v>0.0246296301484108</v>
      </c>
      <c r="V947" s="25" t="n">
        <v>0.261481463909149</v>
      </c>
      <c r="W947" s="25" t="n">
        <v>0.0568518526852131</v>
      </c>
      <c r="X947" s="25" t="n">
        <v>49.1111106872559</v>
      </c>
      <c r="Y947" s="25" t="n">
        <v>462.04443359375</v>
      </c>
      <c r="Z947" s="25" t="n">
        <v>12.7227783203125</v>
      </c>
      <c r="AA947" s="25" t="n">
        <v>2.16000008583069</v>
      </c>
      <c r="AB947" s="25" t="n">
        <v>11.8288888931274</v>
      </c>
      <c r="AC947" s="25" t="n">
        <v>0.0316666662693024</v>
      </c>
      <c r="AD947" s="25" t="n">
        <v>0.0679629594087601</v>
      </c>
      <c r="AE947" s="25" t="n">
        <v>0.36666664481163</v>
      </c>
      <c r="AF947" s="25" t="n">
        <v>0.182222232222557</v>
      </c>
      <c r="AG947" s="25" t="n">
        <v>0.105185188353062</v>
      </c>
      <c r="AH947" s="25" t="n">
        <v>1.24444437026978</v>
      </c>
      <c r="AI947" s="25" t="n">
        <v>13.5355558395386</v>
      </c>
      <c r="AJ947" s="6"/>
      <c r="AK947" s="6"/>
      <c r="AL947" s="26"/>
    </row>
    <row r="948" customFormat="false" ht="15" hidden="false" customHeight="false" outlineLevel="0" collapsed="false">
      <c r="A948" s="6" t="s">
        <v>4655</v>
      </c>
      <c r="B948" s="6" t="s">
        <v>4656</v>
      </c>
      <c r="C948" s="6"/>
      <c r="D948" s="13" t="n">
        <v>79.9541549682617</v>
      </c>
      <c r="E948" s="25" t="n">
        <v>5.0438289642334</v>
      </c>
      <c r="F948" s="25" t="n">
        <v>7.94830989837647</v>
      </c>
      <c r="G948" s="25" t="n">
        <v>3.3587372303009</v>
      </c>
      <c r="H948" s="25" t="n">
        <v>0.103380858898163</v>
      </c>
      <c r="I948" s="25" t="n">
        <v>7.11918544769287</v>
      </c>
      <c r="J948" s="25" t="n">
        <v>1.850619140625</v>
      </c>
      <c r="K948" s="25" t="n">
        <v>1.00297961425781</v>
      </c>
      <c r="L948" s="25" t="n">
        <v>0.262883911132813</v>
      </c>
      <c r="M948" s="25" t="n">
        <v>10.5906314849854</v>
      </c>
      <c r="N948" s="25" t="n">
        <v>301.0673828125</v>
      </c>
      <c r="O948" s="25" t="n">
        <v>279.399200439453</v>
      </c>
      <c r="P948" s="25" t="n">
        <v>167.171081542969</v>
      </c>
      <c r="Q948" s="25" t="n">
        <v>145.600814819336</v>
      </c>
      <c r="R948" s="25" t="n">
        <v>18.0611000061035</v>
      </c>
      <c r="S948" s="25" t="n">
        <v>0.250325858592987</v>
      </c>
      <c r="T948" s="25" t="n">
        <v>0.623706698417664</v>
      </c>
      <c r="U948" s="25" t="n">
        <v>0.00993890035897493</v>
      </c>
      <c r="V948" s="25" t="n">
        <v>1.81696534156799</v>
      </c>
      <c r="W948" s="25" t="n">
        <v>0.0343380868434906</v>
      </c>
      <c r="X948" s="25" t="n">
        <v>27.0468425750732</v>
      </c>
      <c r="Y948" s="25" t="n">
        <v>205.252548217773</v>
      </c>
      <c r="Z948" s="25" t="n">
        <v>0.314928710460663</v>
      </c>
      <c r="AA948" s="25" t="n">
        <v>0.348268836736679</v>
      </c>
      <c r="AB948" s="25" t="n">
        <v>2.2484724521637</v>
      </c>
      <c r="AC948" s="25" t="n">
        <v>0.0670875757932663</v>
      </c>
      <c r="AD948" s="25" t="n">
        <v>0.224867627024651</v>
      </c>
      <c r="AE948" s="25" t="n">
        <v>0.369959264993668</v>
      </c>
      <c r="AF948" s="25" t="n">
        <v>0.447372704744339</v>
      </c>
      <c r="AG948" s="25" t="n">
        <v>0.106456212699413</v>
      </c>
      <c r="AH948" s="25" t="n">
        <v>2.33704686164856</v>
      </c>
      <c r="AI948" s="25" t="n">
        <v>16.3378620147705</v>
      </c>
      <c r="AJ948" s="6"/>
      <c r="AK948" s="6"/>
      <c r="AL948" s="26"/>
    </row>
    <row r="949" customFormat="false" ht="15" hidden="false" customHeight="false" outlineLevel="0" collapsed="false">
      <c r="A949" s="6" t="s">
        <v>4657</v>
      </c>
      <c r="B949" s="6" t="s">
        <v>4658</v>
      </c>
      <c r="C949" s="6"/>
      <c r="D949" s="13" t="n">
        <v>422.095275878906</v>
      </c>
      <c r="E949" s="25" t="n">
        <v>6.10596656799316</v>
      </c>
      <c r="F949" s="25" t="n">
        <v>44.715991973877</v>
      </c>
      <c r="G949" s="25" t="n">
        <v>23.9770889282227</v>
      </c>
      <c r="H949" s="25" t="n">
        <v>1.58090698719025</v>
      </c>
      <c r="I949" s="25" t="n">
        <v>3.17899751663208</v>
      </c>
      <c r="J949" s="25" t="n">
        <v>14.974826171875</v>
      </c>
      <c r="K949" s="25" t="n">
        <v>6.01755029296875</v>
      </c>
      <c r="L949" s="25" t="n">
        <v>1.00696899414063</v>
      </c>
      <c r="M949" s="25" t="n">
        <v>61.0023880004883</v>
      </c>
      <c r="N949" s="25" t="n">
        <v>97.197135925293</v>
      </c>
      <c r="O949" s="25" t="n">
        <v>92.9284057617188</v>
      </c>
      <c r="P949" s="25" t="n">
        <v>16.9021472930908</v>
      </c>
      <c r="Q949" s="25" t="n">
        <v>69.6157531738281</v>
      </c>
      <c r="R949" s="25" t="n">
        <v>18.3331737518311</v>
      </c>
      <c r="S949" s="25" t="n">
        <v>1.02410507202148</v>
      </c>
      <c r="T949" s="25" t="n">
        <v>0.534844875335693</v>
      </c>
      <c r="U949" s="25" t="n">
        <v>0.101384244859219</v>
      </c>
      <c r="V949" s="25" t="n">
        <v>0</v>
      </c>
      <c r="W949" s="25" t="n">
        <v>0.36085918545723</v>
      </c>
      <c r="X949" s="25" t="n">
        <v>274.367523193359</v>
      </c>
      <c r="Y949" s="25" t="n">
        <v>328.782806396484</v>
      </c>
      <c r="Z949" s="25" t="n">
        <v>0.558472573757172</v>
      </c>
      <c r="AA949" s="25" t="n">
        <v>2.69212412834168</v>
      </c>
      <c r="AB949" s="25" t="n">
        <v>0</v>
      </c>
      <c r="AC949" s="25" t="n">
        <v>0.0859188586473465</v>
      </c>
      <c r="AD949" s="25" t="n">
        <v>0.0544152744114399</v>
      </c>
      <c r="AE949" s="25" t="n">
        <v>0.441050142049789</v>
      </c>
      <c r="AF949" s="25" t="n">
        <v>0.426730334758759</v>
      </c>
      <c r="AG949" s="25" t="n">
        <v>0.0458233878016472</v>
      </c>
      <c r="AH949" s="25" t="n">
        <v>0.389498800039291</v>
      </c>
      <c r="AI949" s="25" t="n">
        <v>9.30787563323975</v>
      </c>
      <c r="AJ949" s="6"/>
      <c r="AK949" s="6"/>
      <c r="AL949" s="26"/>
    </row>
    <row r="950" customFormat="false" ht="15" hidden="false" customHeight="false" outlineLevel="0" collapsed="false">
      <c r="A950" s="6" t="s">
        <v>4659</v>
      </c>
      <c r="B950" s="6" t="s">
        <v>4660</v>
      </c>
      <c r="C950" s="6"/>
      <c r="D950" s="13" t="n">
        <v>222.370223999023</v>
      </c>
      <c r="E950" s="25" t="n">
        <v>5.55139255523682</v>
      </c>
      <c r="F950" s="25" t="n">
        <v>16.1954441070557</v>
      </c>
      <c r="G950" s="25" t="n">
        <v>14.9564552307129</v>
      </c>
      <c r="H950" s="25" t="n">
        <v>0.558987319469452</v>
      </c>
      <c r="I950" s="25" t="n">
        <v>1.50481009483337</v>
      </c>
      <c r="J950" s="25" t="n">
        <v>8.6812255859375</v>
      </c>
      <c r="K950" s="25" t="n">
        <v>4.067724609375</v>
      </c>
      <c r="L950" s="25" t="n">
        <v>0.790987365722656</v>
      </c>
      <c r="M950" s="25" t="n">
        <v>125.012657165527</v>
      </c>
      <c r="N950" s="25" t="n">
        <v>132.281524658203</v>
      </c>
      <c r="O950" s="25" t="n">
        <v>69.349365234375</v>
      </c>
      <c r="P950" s="25" t="n">
        <v>19.4278469085693</v>
      </c>
      <c r="Q950" s="25" t="n">
        <v>72.6202545166016</v>
      </c>
      <c r="R950" s="25" t="n">
        <v>9.75240516662598</v>
      </c>
      <c r="S950" s="25" t="n">
        <v>0.825063288211823</v>
      </c>
      <c r="T950" s="25" t="n">
        <v>0.506075978279114</v>
      </c>
      <c r="U950" s="25" t="n">
        <v>0.0543797500431538</v>
      </c>
      <c r="V950" s="25" t="n">
        <v>10.2379741668701</v>
      </c>
      <c r="W950" s="25" t="n">
        <v>0.13265822827816</v>
      </c>
      <c r="X950" s="25" t="n">
        <v>195.645568847656</v>
      </c>
      <c r="Y950" s="25" t="n">
        <v>181.215179443359</v>
      </c>
      <c r="Z950" s="25" t="n">
        <v>0.673417747020721</v>
      </c>
      <c r="AA950" s="25" t="n">
        <v>1.32658231258392</v>
      </c>
      <c r="AB950" s="25" t="n">
        <v>0</v>
      </c>
      <c r="AC950" s="25" t="n">
        <v>0.045569621026516</v>
      </c>
      <c r="AD950" s="25" t="n">
        <v>0.0708860754966736</v>
      </c>
      <c r="AE950" s="25" t="n">
        <v>0.183797463774681</v>
      </c>
      <c r="AF950" s="25" t="n">
        <v>0.525569617748261</v>
      </c>
      <c r="AG950" s="25" t="n">
        <v>0.0567088611423969</v>
      </c>
      <c r="AH950" s="25" t="n">
        <v>4.76556968688965</v>
      </c>
      <c r="AI950" s="25" t="n">
        <v>15.7772150039673</v>
      </c>
      <c r="AJ950" s="6"/>
      <c r="AK950" s="6"/>
      <c r="AL950" s="26"/>
    </row>
    <row r="951" customFormat="false" ht="15" hidden="false" customHeight="false" outlineLevel="0" collapsed="false">
      <c r="A951" s="6" t="s">
        <v>4661</v>
      </c>
      <c r="B951" s="6" t="s">
        <v>4662</v>
      </c>
      <c r="C951" s="6"/>
      <c r="D951" s="13" t="n">
        <v>443.940277099609</v>
      </c>
      <c r="E951" s="25" t="n">
        <v>4.68778276443481</v>
      </c>
      <c r="F951" s="25" t="n">
        <v>33.6063346862793</v>
      </c>
      <c r="G951" s="25" t="n">
        <v>31.9864253997803</v>
      </c>
      <c r="H951" s="25" t="n">
        <v>1.24886882305145</v>
      </c>
      <c r="I951" s="25" t="n">
        <v>0.809954762458801</v>
      </c>
      <c r="J951" s="25" t="n">
        <v>3.84549780273438</v>
      </c>
      <c r="K951" s="25" t="n">
        <v>6.51612646484375</v>
      </c>
      <c r="L951" s="25" t="n">
        <v>20.2049765625</v>
      </c>
      <c r="M951" s="25" t="n">
        <v>0</v>
      </c>
      <c r="N951" s="25" t="n">
        <v>178.524887084961</v>
      </c>
      <c r="O951" s="25" t="n">
        <v>67.3710403442383</v>
      </c>
      <c r="P951" s="25" t="n">
        <v>9.2760181427002</v>
      </c>
      <c r="Q951" s="25" t="n">
        <v>49.7782821655273</v>
      </c>
      <c r="R951" s="25" t="n">
        <v>14.2307691574097</v>
      </c>
      <c r="S951" s="25" t="n">
        <v>0.833936631679535</v>
      </c>
      <c r="T951" s="25" t="n">
        <v>0.398642539978027</v>
      </c>
      <c r="U951" s="25" t="n">
        <v>0.080452486872673</v>
      </c>
      <c r="V951" s="25" t="n">
        <v>0</v>
      </c>
      <c r="W951" s="25" t="n">
        <v>0.285067856311798</v>
      </c>
      <c r="X951" s="25" t="n">
        <v>0</v>
      </c>
      <c r="Y951" s="25" t="n">
        <v>122.171943664551</v>
      </c>
      <c r="Z951" s="25" t="n">
        <v>15.6126689910889</v>
      </c>
      <c r="AA951" s="25" t="n">
        <v>2.44796371459961</v>
      </c>
      <c r="AB951" s="25" t="n">
        <v>0</v>
      </c>
      <c r="AC951" s="25" t="n">
        <v>0.0678733065724373</v>
      </c>
      <c r="AD951" s="25" t="n">
        <v>0.0271493215113878</v>
      </c>
      <c r="AE951" s="25" t="n">
        <v>0.348416268825531</v>
      </c>
      <c r="AF951" s="25" t="n">
        <v>0.325791865587235</v>
      </c>
      <c r="AG951" s="25" t="n">
        <v>0.0361990928649902</v>
      </c>
      <c r="AH951" s="25" t="n">
        <v>0.262443423271179</v>
      </c>
      <c r="AI951" s="25" t="n">
        <v>7.35294103622437</v>
      </c>
      <c r="AJ951" s="6"/>
      <c r="AK951" s="6"/>
      <c r="AL951" s="26"/>
    </row>
    <row r="952" customFormat="false" ht="15" hidden="false" customHeight="false" outlineLevel="0" collapsed="false">
      <c r="A952" s="6" t="s">
        <v>4663</v>
      </c>
      <c r="B952" s="6" t="s">
        <v>4664</v>
      </c>
      <c r="C952" s="6"/>
      <c r="D952" s="13" t="n">
        <v>253.771148681641</v>
      </c>
      <c r="E952" s="25" t="n">
        <v>9.18437767028809</v>
      </c>
      <c r="F952" s="25" t="n">
        <v>44.6323394775391</v>
      </c>
      <c r="G952" s="25" t="n">
        <v>4.7415919303894</v>
      </c>
      <c r="H952" s="25" t="n">
        <v>0.686567187309265</v>
      </c>
      <c r="I952" s="25" t="n">
        <v>26.328857421875</v>
      </c>
      <c r="J952" s="25" t="n">
        <v>1.49620642089844</v>
      </c>
      <c r="K952" s="25" t="n">
        <v>1.74448754882813</v>
      </c>
      <c r="L952" s="25" t="n">
        <v>0.658477600097656</v>
      </c>
      <c r="M952" s="25" t="n">
        <v>182.089553833008</v>
      </c>
      <c r="N952" s="25" t="n">
        <v>64.6069641113281</v>
      </c>
      <c r="O952" s="25" t="n">
        <v>108.945274353027</v>
      </c>
      <c r="P952" s="25" t="n">
        <v>30.2238807678223</v>
      </c>
      <c r="Q952" s="25" t="n">
        <v>119.681594848633</v>
      </c>
      <c r="R952" s="25" t="n">
        <v>13.6691541671753</v>
      </c>
      <c r="S952" s="25" t="n">
        <v>1.47074627876282</v>
      </c>
      <c r="T952" s="25" t="n">
        <v>0.856268644332886</v>
      </c>
      <c r="U952" s="25" t="n">
        <v>0.0899104475975037</v>
      </c>
      <c r="V952" s="25" t="n">
        <v>20.1194019317627</v>
      </c>
      <c r="W952" s="25" t="n">
        <v>0.167810946702957</v>
      </c>
      <c r="X952" s="25" t="n">
        <v>98.5074615478516</v>
      </c>
      <c r="Y952" s="25" t="n">
        <v>134.328353881836</v>
      </c>
      <c r="Z952" s="25" t="n">
        <v>0.763681590557098</v>
      </c>
      <c r="AA952" s="25" t="n">
        <v>0.248756214976311</v>
      </c>
      <c r="AB952" s="25" t="n">
        <v>0</v>
      </c>
      <c r="AC952" s="25" t="n">
        <v>0.0672189071774483</v>
      </c>
      <c r="AD952" s="25" t="n">
        <v>0.109925374388695</v>
      </c>
      <c r="AE952" s="25" t="n">
        <v>0.248383074998856</v>
      </c>
      <c r="AF952" s="25" t="n">
        <v>0.91062194108963</v>
      </c>
      <c r="AG952" s="25" t="n">
        <v>0.0996318385004997</v>
      </c>
      <c r="AH952" s="25" t="n">
        <v>9.21890544891357</v>
      </c>
      <c r="AI952" s="25" t="n">
        <v>28.5796012878418</v>
      </c>
      <c r="AJ952" s="6"/>
      <c r="AK952" s="6"/>
      <c r="AL952" s="26"/>
    </row>
    <row r="953" customFormat="false" ht="15" hidden="false" customHeight="false" outlineLevel="0" collapsed="false">
      <c r="A953" s="6" t="s">
        <v>4665</v>
      </c>
      <c r="B953" s="6" t="s">
        <v>4666</v>
      </c>
      <c r="C953" s="6"/>
      <c r="D953" s="13" t="n">
        <v>323.514617919922</v>
      </c>
      <c r="E953" s="25" t="n">
        <v>0.00561643857508898</v>
      </c>
      <c r="F953" s="25" t="n">
        <v>86.3146591186523</v>
      </c>
      <c r="G953" s="25" t="n">
        <v>0.0102739734575152</v>
      </c>
      <c r="H953" s="25" t="n">
        <v>0</v>
      </c>
      <c r="I953" s="25" t="n">
        <v>85.3505477905273</v>
      </c>
      <c r="J953" s="25" t="n">
        <v>0.00276712346076965</v>
      </c>
      <c r="K953" s="25" t="n">
        <v>0.000649315059185028</v>
      </c>
      <c r="L953" s="25" t="n">
        <v>0.00483561611175537</v>
      </c>
      <c r="M953" s="25" t="n">
        <v>0</v>
      </c>
      <c r="N953" s="25" t="n">
        <v>9.87958908081055</v>
      </c>
      <c r="O953" s="25" t="n">
        <v>10.5890407562256</v>
      </c>
      <c r="P953" s="25" t="n">
        <v>1.95452058315277</v>
      </c>
      <c r="Q953" s="25" t="n">
        <v>0.956986308097839</v>
      </c>
      <c r="R953" s="25" t="n">
        <v>0.121917806565762</v>
      </c>
      <c r="S953" s="25" t="n">
        <v>0.412602752447128</v>
      </c>
      <c r="T953" s="25" t="n">
        <v>0.0832876712083817</v>
      </c>
      <c r="U953" s="25" t="n">
        <v>0.0415068492293358</v>
      </c>
      <c r="V953" s="25" t="n">
        <v>0</v>
      </c>
      <c r="W953" s="25" t="n">
        <v>0.000273972604190931</v>
      </c>
      <c r="X953" s="25" t="n">
        <v>0</v>
      </c>
      <c r="Y953" s="25" t="n">
        <v>1.17794525623322</v>
      </c>
      <c r="Z953" s="25" t="n">
        <v>0.000821917841676623</v>
      </c>
      <c r="AA953" s="25" t="n">
        <v>0.0246575344353914</v>
      </c>
      <c r="AB953" s="25" t="n">
        <v>0.659726023674011</v>
      </c>
      <c r="AC953" s="25" t="n">
        <v>0.000547945208381861</v>
      </c>
      <c r="AD953" s="25" t="n">
        <v>0.000136986302095465</v>
      </c>
      <c r="AE953" s="25" t="n">
        <v>0.00136986293364316</v>
      </c>
      <c r="AF953" s="25" t="n">
        <v>0.00164383568335325</v>
      </c>
      <c r="AG953" s="25" t="n">
        <v>0.000410958920838311</v>
      </c>
      <c r="AH953" s="25" t="n">
        <v>0.0263013709336519</v>
      </c>
      <c r="AI953" s="25" t="n">
        <v>0.170273974537849</v>
      </c>
      <c r="AJ953" s="6"/>
      <c r="AK953" s="6"/>
      <c r="AL953" s="26"/>
    </row>
    <row r="954" customFormat="false" ht="15" hidden="false" customHeight="false" outlineLevel="0" collapsed="false">
      <c r="A954" s="6" t="s">
        <v>4667</v>
      </c>
      <c r="B954" s="6" t="s">
        <v>4668</v>
      </c>
      <c r="C954" s="6"/>
      <c r="D954" s="13" t="n">
        <v>332.583435058594</v>
      </c>
      <c r="E954" s="25" t="n">
        <v>1.73950588703156</v>
      </c>
      <c r="F954" s="25" t="n">
        <v>86.5295257568359</v>
      </c>
      <c r="G954" s="25" t="n">
        <v>0.0187058821320534</v>
      </c>
      <c r="H954" s="25" t="n">
        <v>0</v>
      </c>
      <c r="I954" s="25" t="n">
        <v>85.5721130371094</v>
      </c>
      <c r="J954" s="25" t="n">
        <v>0.00242352938652039</v>
      </c>
      <c r="K954" s="25" t="n">
        <v>0.00060470587015152</v>
      </c>
      <c r="L954" s="25" t="n">
        <v>0.00417176485061646</v>
      </c>
      <c r="M954" s="25" t="n">
        <v>0</v>
      </c>
      <c r="N954" s="25" t="n">
        <v>36.4989395141602</v>
      </c>
      <c r="O954" s="25" t="n">
        <v>35.4047050476074</v>
      </c>
      <c r="P954" s="25" t="n">
        <v>2.86804699897766</v>
      </c>
      <c r="Q954" s="25" t="n">
        <v>3.49736475944519</v>
      </c>
      <c r="R954" s="25" t="n">
        <v>1.98837649822235</v>
      </c>
      <c r="S954" s="25" t="n">
        <v>0.424941182136536</v>
      </c>
      <c r="T954" s="25" t="n">
        <v>0.0886117666959763</v>
      </c>
      <c r="U954" s="25" t="n">
        <v>0.0466682352125645</v>
      </c>
      <c r="V954" s="25" t="n">
        <v>3.39680004119873</v>
      </c>
      <c r="W954" s="25" t="n">
        <v>0.00131764705292881</v>
      </c>
      <c r="X954" s="25" t="n">
        <v>0</v>
      </c>
      <c r="Y954" s="25" t="n">
        <v>1.01164710521698</v>
      </c>
      <c r="Z954" s="25" t="n">
        <v>0.000705882383044809</v>
      </c>
      <c r="AA954" s="25" t="n">
        <v>0.0211764723062515</v>
      </c>
      <c r="AB954" s="25" t="n">
        <v>0.566588222980499</v>
      </c>
      <c r="AC954" s="25" t="n">
        <v>0.00372235290706158</v>
      </c>
      <c r="AD954" s="25" t="n">
        <v>0.0261647067964077</v>
      </c>
      <c r="AE954" s="25" t="n">
        <v>0.00477647082880139</v>
      </c>
      <c r="AF954" s="25" t="n">
        <v>0.21757647395134</v>
      </c>
      <c r="AG954" s="25" t="n">
        <v>0.00047529413131997</v>
      </c>
      <c r="AH954" s="25" t="n">
        <v>0.720188200473785</v>
      </c>
      <c r="AI954" s="25" t="n">
        <v>0.9398353099823</v>
      </c>
      <c r="AJ954" s="6"/>
      <c r="AK954" s="6"/>
      <c r="AL954" s="26"/>
    </row>
    <row r="955" customFormat="false" ht="15" hidden="false" customHeight="false" outlineLevel="0" collapsed="false">
      <c r="A955" s="6" t="s">
        <v>4669</v>
      </c>
      <c r="B955" s="6" t="s">
        <v>4670</v>
      </c>
      <c r="C955" s="6"/>
      <c r="D955" s="13" t="n">
        <v>257.573944091797</v>
      </c>
      <c r="E955" s="25" t="n">
        <v>1.05374014377594</v>
      </c>
      <c r="F955" s="25" t="n">
        <v>67.476692199707</v>
      </c>
      <c r="G955" s="25" t="n">
        <v>0.00850107055157423</v>
      </c>
      <c r="H955" s="25" t="n">
        <v>0</v>
      </c>
      <c r="I955" s="25" t="n">
        <v>67.461067199707</v>
      </c>
      <c r="J955" s="25" t="n">
        <v>0.000720913648605347</v>
      </c>
      <c r="K955" s="25" t="n">
        <v>0.000169164881110191</v>
      </c>
      <c r="L955" s="25" t="n">
        <v>0.00125981438159943</v>
      </c>
      <c r="M955" s="25" t="n">
        <v>0</v>
      </c>
      <c r="N955" s="25" t="n">
        <v>19.3305130004883</v>
      </c>
      <c r="O955" s="25" t="n">
        <v>18.3704490661621</v>
      </c>
      <c r="P955" s="25" t="n">
        <v>7.05241966247559</v>
      </c>
      <c r="Q955" s="25" t="n">
        <v>2.21231985092163</v>
      </c>
      <c r="R955" s="25" t="n">
        <v>2.42513918876648</v>
      </c>
      <c r="S955" s="25" t="n">
        <v>0.135703071951866</v>
      </c>
      <c r="T955" s="25" t="n">
        <v>0.067437544465065</v>
      </c>
      <c r="U955" s="25" t="n">
        <v>0.0801070705056191</v>
      </c>
      <c r="V955" s="25" t="n">
        <v>2.060870885849</v>
      </c>
      <c r="W955" s="25" t="n">
        <v>7.13775880285539E-005</v>
      </c>
      <c r="X955" s="25" t="n">
        <v>0</v>
      </c>
      <c r="Y955" s="25" t="n">
        <v>0.306887924671173</v>
      </c>
      <c r="Z955" s="25" t="n">
        <v>0.000214132771361619</v>
      </c>
      <c r="AA955" s="25" t="n">
        <v>0.0064239832572639</v>
      </c>
      <c r="AB955" s="25" t="n">
        <v>0.171877235174179</v>
      </c>
      <c r="AC955" s="25" t="n">
        <v>0.00208422564901412</v>
      </c>
      <c r="AD955" s="25" t="n">
        <v>0.0155674517154694</v>
      </c>
      <c r="AE955" s="25" t="n">
        <v>0.00132762314751744</v>
      </c>
      <c r="AF955" s="25" t="n">
        <v>0.131477519869804</v>
      </c>
      <c r="AG955" s="25" t="n">
        <v>0.00010706638568081</v>
      </c>
      <c r="AH955" s="25" t="n">
        <v>0.43009278178215</v>
      </c>
      <c r="AI955" s="25" t="n">
        <v>0.52584582567215</v>
      </c>
      <c r="AJ955" s="6"/>
      <c r="AK955" s="6"/>
      <c r="AL955" s="26"/>
    </row>
    <row r="956" customFormat="false" ht="15" hidden="false" customHeight="false" outlineLevel="0" collapsed="false">
      <c r="A956" s="6" t="s">
        <v>4671</v>
      </c>
      <c r="B956" s="6" t="s">
        <v>4672</v>
      </c>
      <c r="C956" s="6"/>
      <c r="D956" s="13" t="n">
        <v>223.070419311523</v>
      </c>
      <c r="E956" s="25" t="n">
        <v>5.9436616897583</v>
      </c>
      <c r="F956" s="25" t="n">
        <v>53.1887321472168</v>
      </c>
      <c r="G956" s="25" t="n">
        <v>0</v>
      </c>
      <c r="H956" s="25" t="n">
        <v>0</v>
      </c>
      <c r="I956" s="25" t="n">
        <v>52.6309852600098</v>
      </c>
      <c r="J956" s="25" t="n">
        <v>0</v>
      </c>
      <c r="K956" s="25" t="n">
        <v>0</v>
      </c>
      <c r="L956" s="25" t="n">
        <v>0</v>
      </c>
      <c r="M956" s="25" t="n">
        <v>0</v>
      </c>
      <c r="N956" s="25" t="n">
        <v>29.3239440917969</v>
      </c>
      <c r="O956" s="25" t="n">
        <v>6.07042264938355</v>
      </c>
      <c r="P956" s="25" t="n">
        <v>18.6197185516357</v>
      </c>
      <c r="Q956" s="25" t="n">
        <v>2.76056337356567</v>
      </c>
      <c r="R956" s="25" t="n">
        <v>1.05633807182312</v>
      </c>
      <c r="S956" s="25" t="n">
        <v>0.401408463716507</v>
      </c>
      <c r="T956" s="25" t="n">
        <v>0.0647887289524078</v>
      </c>
      <c r="U956" s="25" t="n">
        <v>0.0288732387125492</v>
      </c>
      <c r="V956" s="25" t="n">
        <v>1.33802819252014</v>
      </c>
      <c r="W956" s="25" t="n">
        <v>0.00915492977946997</v>
      </c>
      <c r="X956" s="25" t="n">
        <v>0</v>
      </c>
      <c r="Y956" s="25" t="n">
        <v>0</v>
      </c>
      <c r="Z956" s="25" t="n">
        <v>0</v>
      </c>
      <c r="AA956" s="25" t="n">
        <v>0</v>
      </c>
      <c r="AB956" s="25" t="n">
        <v>0</v>
      </c>
      <c r="AC956" s="25" t="n">
        <v>0</v>
      </c>
      <c r="AD956" s="25" t="n">
        <v>0</v>
      </c>
      <c r="AE956" s="25" t="n">
        <v>0</v>
      </c>
      <c r="AF956" s="25" t="n">
        <v>0</v>
      </c>
      <c r="AG956" s="25" t="n">
        <v>0</v>
      </c>
      <c r="AH956" s="25" t="n">
        <v>0</v>
      </c>
      <c r="AI956" s="25" t="n">
        <v>0</v>
      </c>
      <c r="AJ956" s="6"/>
      <c r="AK956" s="6"/>
      <c r="AL956" s="26"/>
    </row>
    <row r="957" customFormat="false" ht="15" hidden="false" customHeight="false" outlineLevel="0" collapsed="false">
      <c r="A957" s="6" t="s">
        <v>4673</v>
      </c>
      <c r="B957" s="6" t="s">
        <v>4674</v>
      </c>
      <c r="C957" s="6"/>
      <c r="D957" s="13" t="n">
        <v>339.092224121094</v>
      </c>
      <c r="E957" s="25" t="n">
        <v>10.5869998931885</v>
      </c>
      <c r="F957" s="25" t="n">
        <v>72.588996887207</v>
      </c>
      <c r="G957" s="25" t="n">
        <v>3.27600002288818</v>
      </c>
      <c r="H957" s="25" t="n">
        <v>8.21199989318848</v>
      </c>
      <c r="I957" s="25" t="n">
        <v>1.51900005340576</v>
      </c>
      <c r="J957" s="25" t="n">
        <v>0.0327879981994629</v>
      </c>
      <c r="K957" s="25" t="n">
        <v>0.0278390007019043</v>
      </c>
      <c r="L957" s="25" t="n">
        <v>0.0313600006103516</v>
      </c>
      <c r="M957" s="25" t="n">
        <v>0</v>
      </c>
      <c r="N957" s="25" t="n">
        <v>206.282989501953</v>
      </c>
      <c r="O957" s="25" t="n">
        <v>344.299987792969</v>
      </c>
      <c r="P957" s="25" t="n">
        <v>21.3629989624023</v>
      </c>
      <c r="Q957" s="25" t="n">
        <v>106.400001525879</v>
      </c>
      <c r="R957" s="25" t="n">
        <v>45.2130012512207</v>
      </c>
      <c r="S957" s="25" t="n">
        <v>4.57699966430664</v>
      </c>
      <c r="T957" s="25" t="n">
        <v>1.01499998569489</v>
      </c>
      <c r="U957" s="25" t="n">
        <v>0.174999997019768</v>
      </c>
      <c r="V957" s="25" t="n">
        <v>0</v>
      </c>
      <c r="W957" s="25" t="n">
        <v>0.637000024318695</v>
      </c>
      <c r="X957" s="25" t="n">
        <v>0</v>
      </c>
      <c r="Y957" s="25" t="n">
        <v>35.3219985961914</v>
      </c>
      <c r="Z957" s="25" t="n">
        <v>0.0280000008642674</v>
      </c>
      <c r="AA957" s="25" t="n">
        <v>0.699999988079071</v>
      </c>
      <c r="AB957" s="25" t="n">
        <v>0</v>
      </c>
      <c r="AC957" s="25" t="n">
        <v>0.0769999995827675</v>
      </c>
      <c r="AD957" s="25" t="n">
        <v>0.0280000008642674</v>
      </c>
      <c r="AE957" s="25" t="n">
        <v>1.30900001525879</v>
      </c>
      <c r="AF957" s="25" t="n">
        <v>0.266000002622604</v>
      </c>
      <c r="AG957" s="25" t="n">
        <v>0.0489999987185001</v>
      </c>
      <c r="AH957" s="25" t="n">
        <v>0.882000029087067</v>
      </c>
      <c r="AI957" s="25" t="n">
        <v>0</v>
      </c>
      <c r="AJ957" s="6"/>
      <c r="AK957" s="6"/>
      <c r="AL957" s="26"/>
    </row>
    <row r="958" customFormat="false" ht="15" hidden="false" customHeight="false" outlineLevel="0" collapsed="false">
      <c r="A958" s="6" t="s">
        <v>4675</v>
      </c>
      <c r="B958" s="6" t="s">
        <v>4676</v>
      </c>
      <c r="C958" s="6"/>
      <c r="D958" s="13" t="n">
        <v>362.157806396484</v>
      </c>
      <c r="E958" s="25" t="n">
        <v>15.8909997940064</v>
      </c>
      <c r="F958" s="25" t="n">
        <v>64.745002746582</v>
      </c>
      <c r="G958" s="25" t="n">
        <v>5.1080002784729</v>
      </c>
      <c r="H958" s="25" t="n">
        <v>11.6619997024536</v>
      </c>
      <c r="I958" s="25" t="n">
        <v>0.631999969482422</v>
      </c>
      <c r="J958" s="25" t="n">
        <v>0.863800048828125</v>
      </c>
      <c r="K958" s="25" t="n">
        <v>1.84086999511719</v>
      </c>
      <c r="L958" s="25" t="n">
        <v>1.26520007324219</v>
      </c>
      <c r="M958" s="25" t="n">
        <v>0</v>
      </c>
      <c r="N958" s="25" t="n">
        <v>3.24900007247925</v>
      </c>
      <c r="O958" s="25" t="n">
        <v>321.5</v>
      </c>
      <c r="P958" s="25" t="n">
        <v>49.0260009765625</v>
      </c>
      <c r="Q958" s="25" t="n">
        <v>122.299995422363</v>
      </c>
      <c r="R958" s="25" t="n">
        <v>50.7000007629395</v>
      </c>
      <c r="S958" s="25" t="n">
        <v>4.28000020980835</v>
      </c>
      <c r="T958" s="25" t="n">
        <v>0.815999984741211</v>
      </c>
      <c r="U958" s="25" t="n">
        <v>0.28600001335144</v>
      </c>
      <c r="V958" s="25" t="n">
        <v>10.3689994812012</v>
      </c>
      <c r="W958" s="25" t="n">
        <v>0.357999980449677</v>
      </c>
      <c r="X958" s="25" t="n">
        <v>0</v>
      </c>
      <c r="Y958" s="25" t="n">
        <v>132.080001831055</v>
      </c>
      <c r="Z958" s="25" t="n">
        <v>0.474000006914139</v>
      </c>
      <c r="AA958" s="25" t="n">
        <v>1.9099999666214</v>
      </c>
      <c r="AB958" s="25" t="n">
        <v>0</v>
      </c>
      <c r="AC958" s="25" t="n">
        <v>0.127000004053116</v>
      </c>
      <c r="AD958" s="25" t="n">
        <v>0.0359999984502792</v>
      </c>
      <c r="AE958" s="25" t="n">
        <v>1.50300002098084</v>
      </c>
      <c r="AF958" s="25" t="n">
        <v>0.437000006437302</v>
      </c>
      <c r="AG958" s="25" t="n">
        <v>0.0609999969601631</v>
      </c>
      <c r="AH958" s="25" t="n">
        <v>0.291000008583069</v>
      </c>
      <c r="AI958" s="25" t="n">
        <v>27.5090007781982</v>
      </c>
      <c r="AJ958" s="6"/>
      <c r="AK958" s="6"/>
      <c r="AL958" s="26"/>
    </row>
    <row r="959" customFormat="false" ht="15" hidden="false" customHeight="false" outlineLevel="0" collapsed="false">
      <c r="A959" s="6" t="s">
        <v>4677</v>
      </c>
      <c r="B959" s="6" t="s">
        <v>4678</v>
      </c>
      <c r="C959" s="6"/>
      <c r="D959" s="13" t="n">
        <v>333.403991699219</v>
      </c>
      <c r="E959" s="25" t="n">
        <v>10.5659999847412</v>
      </c>
      <c r="F959" s="25" t="n">
        <v>71.9379959106445</v>
      </c>
      <c r="G959" s="25" t="n">
        <v>2.94000005722046</v>
      </c>
      <c r="H959" s="25" t="n">
        <v>8.8420000076294</v>
      </c>
      <c r="I959" s="25" t="n">
        <v>1.30900001525879</v>
      </c>
      <c r="J959" s="25" t="n">
        <v>0.198800003051758</v>
      </c>
      <c r="K959" s="25" t="n">
        <v>0.2975</v>
      </c>
      <c r="L959" s="25" t="n">
        <v>0.403899993896484</v>
      </c>
      <c r="M959" s="25" t="n">
        <v>0</v>
      </c>
      <c r="N959" s="25" t="n">
        <v>205.505996704102</v>
      </c>
      <c r="O959" s="25" t="n">
        <v>349.899993896484</v>
      </c>
      <c r="P959" s="25" t="n">
        <v>17.2329998016357</v>
      </c>
      <c r="Q959" s="25" t="n">
        <v>136.5</v>
      </c>
      <c r="R959" s="25" t="n">
        <v>54.5439987182617</v>
      </c>
      <c r="S959" s="25" t="n">
        <v>4.51399993896484</v>
      </c>
      <c r="T959" s="25" t="n">
        <v>1.04299998283386</v>
      </c>
      <c r="U959" s="25" t="n">
        <v>0.181999996304512</v>
      </c>
      <c r="V959" s="25" t="n">
        <v>0</v>
      </c>
      <c r="W959" s="25" t="n">
        <v>0.623000025749207</v>
      </c>
      <c r="X959" s="25" t="n">
        <v>0</v>
      </c>
      <c r="Y959" s="25" t="n">
        <v>23.5270004272461</v>
      </c>
      <c r="Z959" s="25" t="n">
        <v>0.0350000001490116</v>
      </c>
      <c r="AA959" s="25" t="n">
        <v>0.699999988079071</v>
      </c>
      <c r="AB959" s="25" t="n">
        <v>0</v>
      </c>
      <c r="AC959" s="25" t="n">
        <v>0.0839999988675118</v>
      </c>
      <c r="AD959" s="25" t="n">
        <v>0.0280000008642674</v>
      </c>
      <c r="AE959" s="25" t="n">
        <v>1.12000000476837</v>
      </c>
      <c r="AF959" s="25" t="n">
        <v>0.335999995470047</v>
      </c>
      <c r="AG959" s="25" t="n">
        <v>0.0140000004321337</v>
      </c>
      <c r="AH959" s="25" t="n">
        <v>0.273000001907349</v>
      </c>
      <c r="AI959" s="25" t="n">
        <v>5.92199993133545</v>
      </c>
      <c r="AJ959" s="6"/>
      <c r="AK959" s="6"/>
      <c r="AL959" s="26"/>
    </row>
    <row r="960" customFormat="false" ht="15" hidden="false" customHeight="false" outlineLevel="0" collapsed="false">
      <c r="A960" s="6" t="s">
        <v>4679</v>
      </c>
      <c r="B960" s="6" t="s">
        <v>4680</v>
      </c>
      <c r="C960" s="6"/>
      <c r="D960" s="13" t="n">
        <v>56.7226638793945</v>
      </c>
      <c r="E960" s="25" t="n">
        <v>2.88666677474976</v>
      </c>
      <c r="F960" s="25" t="n">
        <v>3.97666668891907</v>
      </c>
      <c r="G960" s="25" t="n">
        <v>3.20000004768372</v>
      </c>
      <c r="H960" s="25" t="n">
        <v>0.793333351612091</v>
      </c>
      <c r="I960" s="25" t="n">
        <v>3.33999991416931</v>
      </c>
      <c r="J960" s="25" t="n">
        <v>1.86566662597656</v>
      </c>
      <c r="K960" s="25" t="n">
        <v>0.823609985351563</v>
      </c>
      <c r="L960" s="25" t="n">
        <v>0.19033332824707</v>
      </c>
      <c r="M960" s="25" t="n">
        <v>0</v>
      </c>
      <c r="N960" s="25" t="n">
        <v>31.156665802002</v>
      </c>
      <c r="O960" s="25" t="n">
        <v>285</v>
      </c>
      <c r="P960" s="25" t="n">
        <v>106.096664428711</v>
      </c>
      <c r="Q960" s="25" t="n">
        <v>75.2366638183594</v>
      </c>
      <c r="R960" s="25" t="n">
        <v>34.5100021362305</v>
      </c>
      <c r="S960" s="25" t="n">
        <v>1.08333337306976</v>
      </c>
      <c r="T960" s="25" t="n">
        <v>0.373333334922791</v>
      </c>
      <c r="U960" s="25" t="n">
        <v>0.0766666680574417</v>
      </c>
      <c r="V960" s="25" t="n">
        <v>1.32999992370606</v>
      </c>
      <c r="W960" s="25" t="n">
        <v>0.379999995231628</v>
      </c>
      <c r="X960" s="25" t="n">
        <v>0</v>
      </c>
      <c r="Y960" s="25" t="n">
        <v>3317.66674804688</v>
      </c>
      <c r="Z960" s="25" t="n">
        <v>0.576666653156281</v>
      </c>
      <c r="AA960" s="25" t="n">
        <v>108.333335876465</v>
      </c>
      <c r="AB960" s="25" t="n">
        <v>11.4333333969116</v>
      </c>
      <c r="AC960" s="25" t="n">
        <v>0.0733333304524422</v>
      </c>
      <c r="AD960" s="25" t="n">
        <v>0.106666669249535</v>
      </c>
      <c r="AE960" s="25" t="n">
        <v>0.163333341479302</v>
      </c>
      <c r="AF960" s="25" t="n">
        <v>0.300000011920929</v>
      </c>
      <c r="AG960" s="25" t="n">
        <v>0.0766666680574417</v>
      </c>
      <c r="AH960" s="25" t="n">
        <v>2.70000004768372</v>
      </c>
      <c r="AI960" s="25" t="n">
        <v>52.0200004577637</v>
      </c>
      <c r="AJ960" s="6"/>
      <c r="AK960" s="6"/>
      <c r="AL960" s="26"/>
    </row>
    <row r="961" customFormat="false" ht="15" hidden="false" customHeight="false" outlineLevel="0" collapsed="false">
      <c r="A961" s="6" t="s">
        <v>4681</v>
      </c>
      <c r="B961" s="6" t="s">
        <v>4682</v>
      </c>
      <c r="C961" s="6"/>
      <c r="D961" s="13" t="n">
        <v>55.2060813903809</v>
      </c>
      <c r="E961" s="25" t="n">
        <v>2.21725487709045</v>
      </c>
      <c r="F961" s="25" t="n">
        <v>7.60156869888306</v>
      </c>
      <c r="G961" s="25" t="n">
        <v>1.55019617080689</v>
      </c>
      <c r="H961" s="25" t="n">
        <v>3.0137255191803</v>
      </c>
      <c r="I961" s="25" t="n">
        <v>1.60941183567047</v>
      </c>
      <c r="J961" s="25" t="n">
        <v>0.865251037597656</v>
      </c>
      <c r="K961" s="25" t="n">
        <v>0.352427459716797</v>
      </c>
      <c r="L961" s="25" t="n">
        <v>0.179537246704102</v>
      </c>
      <c r="M961" s="25" t="n">
        <v>3.34117674827576</v>
      </c>
      <c r="N961" s="25" t="n">
        <v>170.678436279297</v>
      </c>
      <c r="O961" s="25" t="n">
        <v>274.694122314453</v>
      </c>
      <c r="P961" s="25" t="n">
        <v>18.0960788726807</v>
      </c>
      <c r="Q961" s="25" t="n">
        <v>34.3509788513184</v>
      </c>
      <c r="R961" s="25" t="n">
        <v>20.8450984954834</v>
      </c>
      <c r="S961" s="25" t="n">
        <v>0.62666666507721</v>
      </c>
      <c r="T961" s="25" t="n">
        <v>0.362745106220245</v>
      </c>
      <c r="U961" s="25" t="n">
        <v>0.0926274508237839</v>
      </c>
      <c r="V961" s="25" t="n">
        <v>0.509803891181946</v>
      </c>
      <c r="W961" s="25" t="n">
        <v>0.198039218783379</v>
      </c>
      <c r="X961" s="25" t="n">
        <v>15.0274505615234</v>
      </c>
      <c r="Y961" s="25" t="n">
        <v>4425.8115234375</v>
      </c>
      <c r="Z961" s="25" t="n">
        <v>0.209411755204201</v>
      </c>
      <c r="AA961" s="25" t="n">
        <v>22.2592163085938</v>
      </c>
      <c r="AB961" s="25" t="n">
        <v>23.1980400085449</v>
      </c>
      <c r="AC961" s="25" t="n">
        <v>0.0882352963089943</v>
      </c>
      <c r="AD961" s="25" t="n">
        <v>0.0226666666567326</v>
      </c>
      <c r="AE961" s="25" t="n">
        <v>0.698039174079895</v>
      </c>
      <c r="AF961" s="25" t="n">
        <v>0.338039219379425</v>
      </c>
      <c r="AG961" s="25" t="n">
        <v>0.109803922474384</v>
      </c>
      <c r="AH961" s="25" t="n">
        <v>1.78156864643097</v>
      </c>
      <c r="AI961" s="25" t="n">
        <v>24.5372543334961</v>
      </c>
      <c r="AJ961" s="6"/>
      <c r="AK961" s="6"/>
      <c r="AL961" s="26"/>
    </row>
    <row r="962" customFormat="false" ht="15" hidden="false" customHeight="false" outlineLevel="0" collapsed="false">
      <c r="A962" s="6" t="s">
        <v>4683</v>
      </c>
      <c r="B962" s="6" t="s">
        <v>4684</v>
      </c>
      <c r="C962" s="6"/>
      <c r="D962" s="13" t="n">
        <v>95.4345169067383</v>
      </c>
      <c r="E962" s="25" t="n">
        <v>2.50645160675049</v>
      </c>
      <c r="F962" s="25" t="n">
        <v>14.6225805282593</v>
      </c>
      <c r="G962" s="25" t="n">
        <v>2.99354839324951</v>
      </c>
      <c r="H962" s="25" t="n">
        <v>0.712903261184692</v>
      </c>
      <c r="I962" s="25" t="n">
        <v>11.3483867645264</v>
      </c>
      <c r="J962" s="25" t="n">
        <v>1.78193542480469</v>
      </c>
      <c r="K962" s="25" t="n">
        <v>0.787864501953125</v>
      </c>
      <c r="L962" s="25" t="n">
        <v>0.131612899780273</v>
      </c>
      <c r="M962" s="25" t="n">
        <v>0</v>
      </c>
      <c r="N962" s="25" t="n">
        <v>16.9903221130371</v>
      </c>
      <c r="O962" s="25" t="n">
        <v>191.129028320313</v>
      </c>
      <c r="P962" s="25" t="n">
        <v>78.6354827880859</v>
      </c>
      <c r="Q962" s="25" t="n">
        <v>69.0548400878906</v>
      </c>
      <c r="R962" s="25" t="n">
        <v>15.1548385620117</v>
      </c>
      <c r="S962" s="25" t="n">
        <v>0.232258066534996</v>
      </c>
      <c r="T962" s="25" t="n">
        <v>0.264516144990921</v>
      </c>
      <c r="U962" s="25" t="n">
        <v>0.0619354844093323</v>
      </c>
      <c r="V962" s="25" t="n">
        <v>0.612903237342835</v>
      </c>
      <c r="W962" s="25" t="n">
        <v>0.122580647468567</v>
      </c>
      <c r="X962" s="25" t="n">
        <v>0</v>
      </c>
      <c r="Y962" s="25" t="n">
        <v>212.903228759766</v>
      </c>
      <c r="Z962" s="25" t="n">
        <v>0.170967742800713</v>
      </c>
      <c r="AA962" s="25" t="n">
        <v>0.709677457809448</v>
      </c>
      <c r="AB962" s="25" t="n">
        <v>3.89677429199219</v>
      </c>
      <c r="AC962" s="25" t="n">
        <v>0.0225806441158056</v>
      </c>
      <c r="AD962" s="25" t="n">
        <v>0.0838709697127342</v>
      </c>
      <c r="AE962" s="25" t="n">
        <v>0.206451609730721</v>
      </c>
      <c r="AF962" s="25" t="n">
        <v>0.332258075475693</v>
      </c>
      <c r="AG962" s="25" t="n">
        <v>0.190322577953339</v>
      </c>
      <c r="AH962" s="25" t="n">
        <v>1.77419352531433</v>
      </c>
      <c r="AI962" s="25" t="n">
        <v>10.3193550109863</v>
      </c>
      <c r="AJ962" s="6"/>
      <c r="AK962" s="6"/>
      <c r="AL962" s="26"/>
    </row>
    <row r="963" customFormat="false" ht="15" hidden="false" customHeight="false" outlineLevel="0" collapsed="false">
      <c r="A963" s="6" t="s">
        <v>4685</v>
      </c>
      <c r="B963" s="6" t="s">
        <v>4686</v>
      </c>
      <c r="C963" s="6"/>
      <c r="D963" s="13" t="n">
        <v>173.324569702148</v>
      </c>
      <c r="E963" s="25" t="n">
        <v>6.0113697052002</v>
      </c>
      <c r="F963" s="25" t="n">
        <v>26.723424911499</v>
      </c>
      <c r="G963" s="25" t="n">
        <v>4.65363025665283</v>
      </c>
      <c r="H963" s="25" t="n">
        <v>1.09438347816467</v>
      </c>
      <c r="I963" s="25" t="n">
        <v>5.46047973632813</v>
      </c>
      <c r="J963" s="25" t="n">
        <v>2.82434252929688</v>
      </c>
      <c r="K963" s="25" t="n">
        <v>1.2334794921875</v>
      </c>
      <c r="L963" s="25" t="n">
        <v>0.317397247314453</v>
      </c>
      <c r="M963" s="25" t="n">
        <v>13.3698635101318</v>
      </c>
      <c r="N963" s="25" t="n">
        <v>325.065826416016</v>
      </c>
      <c r="O963" s="25" t="n">
        <v>249.938354492188</v>
      </c>
      <c r="P963" s="25" t="n">
        <v>140.9013671875</v>
      </c>
      <c r="Q963" s="25" t="n">
        <v>172.390411376953</v>
      </c>
      <c r="R963" s="25" t="n">
        <v>36.7178077697754</v>
      </c>
      <c r="S963" s="25" t="n">
        <v>1.60808217525482</v>
      </c>
      <c r="T963" s="25" t="n">
        <v>0.909178078174591</v>
      </c>
      <c r="U963" s="25" t="n">
        <v>0.0750684961676598</v>
      </c>
      <c r="V963" s="25" t="n">
        <v>1.41376709938049</v>
      </c>
      <c r="W963" s="25" t="n">
        <v>0.299246579408646</v>
      </c>
      <c r="X963" s="25" t="n">
        <v>45.4246559143066</v>
      </c>
      <c r="Y963" s="25" t="n">
        <v>43.1739730834961</v>
      </c>
      <c r="Z963" s="25" t="n">
        <v>0.118630141019821</v>
      </c>
      <c r="AA963" s="25" t="n">
        <v>0.564383566379547</v>
      </c>
      <c r="AB963" s="25" t="n">
        <v>0.684931516647339</v>
      </c>
      <c r="AC963" s="25" t="n">
        <v>0.0743835642933846</v>
      </c>
      <c r="AD963" s="25" t="n">
        <v>0.19787672162056</v>
      </c>
      <c r="AE963" s="25" t="n">
        <v>0.585958898067474</v>
      </c>
      <c r="AF963" s="25" t="n">
        <v>0.476232886314392</v>
      </c>
      <c r="AG963" s="25" t="n">
        <v>0.0748630166053772</v>
      </c>
      <c r="AH963" s="25" t="n">
        <v>1.89835608005524</v>
      </c>
      <c r="AI963" s="25" t="n">
        <v>14.7415065765381</v>
      </c>
      <c r="AJ963" s="6"/>
      <c r="AK963" s="6"/>
      <c r="AL963" s="26"/>
    </row>
    <row r="964" customFormat="false" ht="15" hidden="false" customHeight="false" outlineLevel="0" collapsed="false">
      <c r="A964" s="6" t="s">
        <v>4687</v>
      </c>
      <c r="B964" s="6" t="s">
        <v>4688</v>
      </c>
      <c r="C964" s="6"/>
      <c r="D964" s="13" t="n">
        <v>73.1800765991211</v>
      </c>
      <c r="E964" s="25" t="n">
        <v>3.19123506546021</v>
      </c>
      <c r="F964" s="25" t="n">
        <v>12.0059757232666</v>
      </c>
      <c r="G964" s="25" t="n">
        <v>1.33266937732697</v>
      </c>
      <c r="H964" s="25" t="n">
        <v>1.02191233634949</v>
      </c>
      <c r="I964" s="25" t="n">
        <v>3.29880475997925</v>
      </c>
      <c r="J964" s="25" t="n">
        <v>0.786988037109375</v>
      </c>
      <c r="K964" s="25" t="n">
        <v>0.323</v>
      </c>
      <c r="L964" s="25" t="n">
        <v>0.116932273864746</v>
      </c>
      <c r="M964" s="25" t="n">
        <v>4.38247013092041</v>
      </c>
      <c r="N964" s="25" t="n">
        <v>190.902389526367</v>
      </c>
      <c r="O964" s="25" t="n">
        <v>435.215148925781</v>
      </c>
      <c r="P964" s="25" t="n">
        <v>85.4103622436523</v>
      </c>
      <c r="Q964" s="25" t="n">
        <v>93.6812744140625</v>
      </c>
      <c r="R964" s="25" t="n">
        <v>22.2569713592529</v>
      </c>
      <c r="S964" s="25" t="n">
        <v>0.38167330622673</v>
      </c>
      <c r="T964" s="25" t="n">
        <v>0.446613550186157</v>
      </c>
      <c r="U964" s="25" t="n">
        <v>0.0541035868227482</v>
      </c>
      <c r="V964" s="25" t="n">
        <v>1.24501991271973</v>
      </c>
      <c r="W964" s="25" t="n">
        <v>0.0836653336882591</v>
      </c>
      <c r="X964" s="25" t="n">
        <v>11.1553783416748</v>
      </c>
      <c r="Y964" s="25" t="n">
        <v>132.669326782227</v>
      </c>
      <c r="Z964" s="25" t="n">
        <v>0.0557768940925598</v>
      </c>
      <c r="AA964" s="25" t="n">
        <v>1.26693224906921</v>
      </c>
      <c r="AB964" s="25" t="n">
        <v>14.2330675125122</v>
      </c>
      <c r="AC964" s="25" t="n">
        <v>0.0597609579563141</v>
      </c>
      <c r="AD964" s="25" t="n">
        <v>0.113545820116997</v>
      </c>
      <c r="AE964" s="25" t="n">
        <v>0.701195180416107</v>
      </c>
      <c r="AF964" s="25" t="n">
        <v>0.426294803619385</v>
      </c>
      <c r="AG964" s="25" t="n">
        <v>0.0996015965938568</v>
      </c>
      <c r="AH964" s="25" t="n">
        <v>1.84262943267822</v>
      </c>
      <c r="AI964" s="25" t="n">
        <v>16.4402389526367</v>
      </c>
      <c r="AJ964" s="6"/>
      <c r="AK964" s="6"/>
      <c r="AL964" s="26"/>
    </row>
    <row r="965" customFormat="false" ht="15" hidden="false" customHeight="false" outlineLevel="0" collapsed="false">
      <c r="A965" s="6" t="s">
        <v>4689</v>
      </c>
      <c r="B965" s="6" t="s">
        <v>4690</v>
      </c>
      <c r="C965" s="6"/>
      <c r="D965" s="13" t="n">
        <v>140.663055419922</v>
      </c>
      <c r="E965" s="25" t="n">
        <v>5.11499977111816</v>
      </c>
      <c r="F965" s="25" t="n">
        <v>23.7677783966065</v>
      </c>
      <c r="G965" s="25" t="n">
        <v>2.79388880729675</v>
      </c>
      <c r="H965" s="25" t="n">
        <v>2.36500000953674</v>
      </c>
      <c r="I965" s="25" t="n">
        <v>12.2338886260986</v>
      </c>
      <c r="J965" s="25" t="n">
        <v>1.54713781738281</v>
      </c>
      <c r="K965" s="25" t="n">
        <v>0.690212768554688</v>
      </c>
      <c r="L965" s="25" t="n">
        <v>0.148177780151367</v>
      </c>
      <c r="M965" s="25" t="n">
        <v>0</v>
      </c>
      <c r="N965" s="25" t="n">
        <v>24.6266670227051</v>
      </c>
      <c r="O965" s="25" t="n">
        <v>265.944458007813</v>
      </c>
      <c r="P965" s="25" t="n">
        <v>99.1772232055664</v>
      </c>
      <c r="Q965" s="25" t="n">
        <v>84.5794448852539</v>
      </c>
      <c r="R965" s="25" t="n">
        <v>36.0222206115723</v>
      </c>
      <c r="S965" s="25" t="n">
        <v>1.9816666841507</v>
      </c>
      <c r="T965" s="25" t="n">
        <v>0.510555565357208</v>
      </c>
      <c r="U965" s="25" t="n">
        <v>0.106111109256744</v>
      </c>
      <c r="V965" s="25" t="n">
        <v>3.62611103057861</v>
      </c>
      <c r="W965" s="25" t="n">
        <v>0.33666667342186</v>
      </c>
      <c r="X965" s="25" t="n">
        <v>0</v>
      </c>
      <c r="Y965" s="25" t="n">
        <v>1750.44323730469</v>
      </c>
      <c r="Z965" s="25" t="n">
        <v>0.350555539131165</v>
      </c>
      <c r="AA965" s="25" t="n">
        <v>54.375</v>
      </c>
      <c r="AB965" s="25" t="n">
        <v>6.16333293914795</v>
      </c>
      <c r="AC965" s="25" t="n">
        <v>0.0666666701436043</v>
      </c>
      <c r="AD965" s="25" t="n">
        <v>0.087777778506279</v>
      </c>
      <c r="AE965" s="25" t="n">
        <v>0.202222213149071</v>
      </c>
      <c r="AF965" s="25" t="n">
        <v>0.324444442987442</v>
      </c>
      <c r="AG965" s="25" t="n">
        <v>0.136111110448837</v>
      </c>
      <c r="AH965" s="25" t="n">
        <v>1.92388892173767</v>
      </c>
      <c r="AI965" s="25" t="n">
        <v>31.9494438171387</v>
      </c>
      <c r="AJ965" s="6"/>
      <c r="AK965" s="6"/>
      <c r="AL965" s="26"/>
    </row>
    <row r="966" customFormat="false" ht="15" hidden="false" customHeight="false" outlineLevel="0" collapsed="false">
      <c r="A966" s="6" t="s">
        <v>916</v>
      </c>
      <c r="B966" s="6" t="s">
        <v>4691</v>
      </c>
      <c r="C966" s="6"/>
      <c r="D966" s="13" t="n">
        <v>143.165496826172</v>
      </c>
      <c r="E966" s="25" t="n">
        <v>5.61070108413696</v>
      </c>
      <c r="F966" s="25" t="n">
        <v>19.5726928710938</v>
      </c>
      <c r="G966" s="25" t="n">
        <v>4.52583026885986</v>
      </c>
      <c r="H966" s="25" t="n">
        <v>2.4538745880127</v>
      </c>
      <c r="I966" s="25" t="n">
        <v>3.70959424972534</v>
      </c>
      <c r="J966" s="25" t="n">
        <v>2.71725268554688</v>
      </c>
      <c r="K966" s="25" t="n">
        <v>1.09031518554688</v>
      </c>
      <c r="L966" s="25" t="n">
        <v>0.316125457763672</v>
      </c>
      <c r="M966" s="25" t="n">
        <v>11.9188184738159</v>
      </c>
      <c r="N966" s="25" t="n">
        <v>193.554244995117</v>
      </c>
      <c r="O966" s="25" t="n">
        <v>384.867156982422</v>
      </c>
      <c r="P966" s="25" t="n">
        <v>100.53874206543</v>
      </c>
      <c r="Q966" s="25" t="n">
        <v>128.905899047852</v>
      </c>
      <c r="R966" s="25" t="n">
        <v>41.8811798095703</v>
      </c>
      <c r="S966" s="25" t="n">
        <v>1.08929896354675</v>
      </c>
      <c r="T966" s="25" t="n">
        <v>0.736531376838684</v>
      </c>
      <c r="U966" s="25" t="n">
        <v>0.158228784799576</v>
      </c>
      <c r="V966" s="25" t="n">
        <v>5.04022121429443</v>
      </c>
      <c r="W966" s="25" t="n">
        <v>0.438007384538651</v>
      </c>
      <c r="X966" s="25" t="n">
        <v>45.6826591491699</v>
      </c>
      <c r="Y966" s="25" t="n">
        <v>3575.40966796875</v>
      </c>
      <c r="Z966" s="25" t="n">
        <v>0.393726915121079</v>
      </c>
      <c r="AA966" s="25" t="n">
        <v>64.4557189941406</v>
      </c>
      <c r="AB966" s="25" t="n">
        <v>7.10332107543945</v>
      </c>
      <c r="AC966" s="25" t="n">
        <v>0.109963096678257</v>
      </c>
      <c r="AD966" s="25" t="n">
        <v>0.143911436200142</v>
      </c>
      <c r="AE966" s="25" t="n">
        <v>0.681549787521362</v>
      </c>
      <c r="AF966" s="25" t="n">
        <v>0.487453877925873</v>
      </c>
      <c r="AG966" s="25" t="n">
        <v>0.131365314126015</v>
      </c>
      <c r="AH966" s="25" t="n">
        <v>2.10110688209534</v>
      </c>
      <c r="AI966" s="25" t="n">
        <v>45.5136528015137</v>
      </c>
      <c r="AJ966" s="6"/>
      <c r="AK966" s="6"/>
      <c r="AL966" s="26"/>
    </row>
    <row r="967" customFormat="false" ht="15" hidden="false" customHeight="false" outlineLevel="0" collapsed="false">
      <c r="A967" s="6" t="s">
        <v>4692</v>
      </c>
      <c r="B967" s="6" t="s">
        <v>4693</v>
      </c>
      <c r="C967" s="6"/>
      <c r="D967" s="13" t="n">
        <v>158.835754394531</v>
      </c>
      <c r="E967" s="25" t="n">
        <v>4.62081098556519</v>
      </c>
      <c r="F967" s="25" t="n">
        <v>33.9256744384766</v>
      </c>
      <c r="G967" s="25" t="n">
        <v>1.00297296047211</v>
      </c>
      <c r="H967" s="25" t="n">
        <v>1.89729726314545</v>
      </c>
      <c r="I967" s="25" t="n">
        <v>24.6829738616943</v>
      </c>
      <c r="J967" s="25" t="n">
        <v>0.49412109375</v>
      </c>
      <c r="K967" s="25" t="n">
        <v>0.188216217041016</v>
      </c>
      <c r="L967" s="25" t="n">
        <v>0.180567565917969</v>
      </c>
      <c r="M967" s="25" t="n">
        <v>2.37837839126587</v>
      </c>
      <c r="N967" s="25" t="n">
        <v>29.5959453582764</v>
      </c>
      <c r="O967" s="25" t="n">
        <v>453.864868164063</v>
      </c>
      <c r="P967" s="25" t="n">
        <v>70.5318908691406</v>
      </c>
      <c r="Q967" s="25" t="n">
        <v>98.6470260620117</v>
      </c>
      <c r="R967" s="25" t="n">
        <v>45.5464859008789</v>
      </c>
      <c r="S967" s="25" t="n">
        <v>1.25405406951904</v>
      </c>
      <c r="T967" s="25" t="n">
        <v>0.604324340820313</v>
      </c>
      <c r="U967" s="25" t="n">
        <v>0.187837839126587</v>
      </c>
      <c r="V967" s="25" t="n">
        <v>6.46702718734741</v>
      </c>
      <c r="W967" s="25" t="n">
        <v>0.378918915987015</v>
      </c>
      <c r="X967" s="25" t="n">
        <v>6.05405378341675</v>
      </c>
      <c r="Y967" s="25" t="n">
        <v>2184.27001953125</v>
      </c>
      <c r="Z967" s="25" t="n">
        <v>0.32918918132782</v>
      </c>
      <c r="AA967" s="25" t="n">
        <v>71.6745910644531</v>
      </c>
      <c r="AB967" s="25" t="n">
        <v>13.0702705383301</v>
      </c>
      <c r="AC967" s="25" t="n">
        <v>0.0994594618678093</v>
      </c>
      <c r="AD967" s="25" t="n">
        <v>0.0954054072499275</v>
      </c>
      <c r="AE967" s="25" t="n">
        <v>0.541081070899963</v>
      </c>
      <c r="AF967" s="25" t="n">
        <v>0.422702699899674</v>
      </c>
      <c r="AG967" s="25" t="n">
        <v>0.097027026116848</v>
      </c>
      <c r="AH967" s="25" t="n">
        <v>1.87135136127472</v>
      </c>
      <c r="AI967" s="25" t="n">
        <v>48.2418899536133</v>
      </c>
      <c r="AJ967" s="6"/>
      <c r="AK967" s="6"/>
      <c r="AL967" s="26"/>
    </row>
    <row r="968" customFormat="false" ht="15" hidden="false" customHeight="false" outlineLevel="0" collapsed="false">
      <c r="A968" s="6" t="s">
        <v>4694</v>
      </c>
      <c r="B968" s="6" t="s">
        <v>4695</v>
      </c>
      <c r="C968" s="6"/>
      <c r="D968" s="13" t="n">
        <v>167.453033447266</v>
      </c>
      <c r="E968" s="25" t="n">
        <v>7.55656099319458</v>
      </c>
      <c r="F968" s="25" t="n">
        <v>22.3488693237305</v>
      </c>
      <c r="G968" s="25" t="n">
        <v>5.5158371925354</v>
      </c>
      <c r="H968" s="25" t="n">
        <v>3.74479627609253</v>
      </c>
      <c r="I968" s="25" t="n">
        <v>3.78733038902283</v>
      </c>
      <c r="J968" s="25" t="n">
        <v>3.27090673828125</v>
      </c>
      <c r="K968" s="25" t="n">
        <v>1.32344567871094</v>
      </c>
      <c r="L968" s="25" t="n">
        <v>0.270452484130859</v>
      </c>
      <c r="M968" s="25" t="n">
        <v>14.6153841018677</v>
      </c>
      <c r="N968" s="25" t="n">
        <v>224.945251464844</v>
      </c>
      <c r="O968" s="25" t="n">
        <v>340.855194091797</v>
      </c>
      <c r="P968" s="25" t="n">
        <v>123.035743713379</v>
      </c>
      <c r="Q968" s="25" t="n">
        <v>113.395927429199</v>
      </c>
      <c r="R968" s="25" t="n">
        <v>35.4674224853516</v>
      </c>
      <c r="S968" s="25" t="n">
        <v>2.16742086410523</v>
      </c>
      <c r="T968" s="25" t="n">
        <v>0.752488672733307</v>
      </c>
      <c r="U968" s="25" t="n">
        <v>0.126153841614723</v>
      </c>
      <c r="V968" s="25" t="n">
        <v>5.85746574401856</v>
      </c>
      <c r="W968" s="25" t="n">
        <v>0.358371049165726</v>
      </c>
      <c r="X968" s="25" t="n">
        <v>56.0181007385254</v>
      </c>
      <c r="Y968" s="25" t="n">
        <v>2271.81005859375</v>
      </c>
      <c r="Z968" s="25" t="n">
        <v>0.412669688463211</v>
      </c>
      <c r="AA968" s="25" t="n">
        <v>74.2036209106445</v>
      </c>
      <c r="AB968" s="25" t="n">
        <v>7.30316734313965</v>
      </c>
      <c r="AC968" s="25" t="n">
        <v>0.0941176488995552</v>
      </c>
      <c r="AD968" s="25" t="n">
        <v>0.162443444132805</v>
      </c>
      <c r="AE968" s="25" t="n">
        <v>0.328959286212921</v>
      </c>
      <c r="AF968" s="25" t="n">
        <v>0.397737562656403</v>
      </c>
      <c r="AG968" s="25" t="n">
        <v>0.0954751148819923</v>
      </c>
      <c r="AH968" s="25" t="n">
        <v>2.23529410362244</v>
      </c>
      <c r="AI968" s="25" t="n">
        <v>44.7954750061035</v>
      </c>
      <c r="AJ968" s="6"/>
      <c r="AK968" s="6"/>
      <c r="AL968" s="26"/>
    </row>
    <row r="969" customFormat="false" ht="15" hidden="false" customHeight="false" outlineLevel="0" collapsed="false">
      <c r="A969" s="6" t="s">
        <v>4696</v>
      </c>
      <c r="B969" s="6" t="s">
        <v>4697</v>
      </c>
      <c r="C969" s="6"/>
      <c r="D969" s="13" t="n">
        <v>91.9308547973633</v>
      </c>
      <c r="E969" s="25" t="n">
        <v>0.165714278817177</v>
      </c>
      <c r="F969" s="25" t="n">
        <v>22.4914283752441</v>
      </c>
      <c r="G969" s="25" t="n">
        <v>0.365714281797409</v>
      </c>
      <c r="H969" s="25" t="n">
        <v>1.4799998998642</v>
      </c>
      <c r="I969" s="25" t="n">
        <v>20.4457149505615</v>
      </c>
      <c r="J969" s="25" t="n">
        <v>0.088</v>
      </c>
      <c r="K969" s="25" t="n">
        <v>0.0292171440124512</v>
      </c>
      <c r="L969" s="25" t="n">
        <v>0.161142852783203</v>
      </c>
      <c r="M969" s="25" t="n">
        <v>0</v>
      </c>
      <c r="N969" s="25" t="n">
        <v>1.53142857551575</v>
      </c>
      <c r="O969" s="25" t="n">
        <v>67</v>
      </c>
      <c r="P969" s="25" t="n">
        <v>9.24571418762207</v>
      </c>
      <c r="Q969" s="25" t="n">
        <v>6.10857105255127</v>
      </c>
      <c r="R969" s="25" t="n">
        <v>4.90857172012329</v>
      </c>
      <c r="S969" s="25" t="n">
        <v>0.177142858505249</v>
      </c>
      <c r="T969" s="25" t="n">
        <v>0.0657142847776413</v>
      </c>
      <c r="U969" s="25" t="n">
        <v>0.0399999991059303</v>
      </c>
      <c r="V969" s="25" t="n">
        <v>0.268571436405182</v>
      </c>
      <c r="W969" s="25" t="n">
        <v>0.0285714287310839</v>
      </c>
      <c r="X969" s="25" t="n">
        <v>0</v>
      </c>
      <c r="Y969" s="25" t="n">
        <v>130.857147216797</v>
      </c>
      <c r="Z969" s="25" t="n">
        <v>0.0857142880558968</v>
      </c>
      <c r="AA969" s="25" t="n">
        <v>2.08571434020996</v>
      </c>
      <c r="AB969" s="25" t="n">
        <v>2.03999996185303</v>
      </c>
      <c r="AC969" s="25" t="n">
        <v>0.0171428564935923</v>
      </c>
      <c r="AD969" s="25" t="n">
        <v>0.00571428565308452</v>
      </c>
      <c r="AE969" s="25" t="n">
        <v>0.142857149243355</v>
      </c>
      <c r="AF969" s="25" t="n">
        <v>0.0514285750687122</v>
      </c>
      <c r="AG969" s="25" t="n">
        <v>0.0228571426123381</v>
      </c>
      <c r="AH969" s="25" t="n">
        <v>0.194285720586777</v>
      </c>
      <c r="AI969" s="25" t="n">
        <v>1.73714280128479</v>
      </c>
      <c r="AJ969" s="6"/>
      <c r="AK969" s="6"/>
      <c r="AL969" s="26"/>
    </row>
    <row r="970" customFormat="false" ht="15" hidden="false" customHeight="false" outlineLevel="0" collapsed="false">
      <c r="A970" s="6" t="s">
        <v>4698</v>
      </c>
      <c r="B970" s="6" t="s">
        <v>4699</v>
      </c>
      <c r="C970" s="6"/>
      <c r="D970" s="13" t="n">
        <v>184.55859375</v>
      </c>
      <c r="E970" s="25" t="n">
        <v>0.153798833489418</v>
      </c>
      <c r="F970" s="25" t="n">
        <v>48.8772697448731</v>
      </c>
      <c r="G970" s="25" t="n">
        <v>0.0615195333957672</v>
      </c>
      <c r="H970" s="25" t="n">
        <v>0</v>
      </c>
      <c r="I970" s="25" t="n">
        <v>48.8772697448731</v>
      </c>
      <c r="J970" s="25" t="n">
        <v>0.030759765625</v>
      </c>
      <c r="K970" s="25" t="n">
        <v>0</v>
      </c>
      <c r="L970" s="25" t="n">
        <v>0.030759765625</v>
      </c>
      <c r="M970" s="25" t="n">
        <v>0</v>
      </c>
      <c r="N970" s="25" t="n">
        <v>15.0107660293579</v>
      </c>
      <c r="O970" s="25" t="n">
        <v>30.0181484222412</v>
      </c>
      <c r="P970" s="25" t="n">
        <v>9.84620094299316</v>
      </c>
      <c r="Q970" s="25" t="n">
        <v>3.53768062591553</v>
      </c>
      <c r="R970" s="25" t="n">
        <v>2.79175639152527</v>
      </c>
      <c r="S970" s="25" t="n">
        <v>0.184650883078575</v>
      </c>
      <c r="T970" s="25" t="n">
        <v>0.0769301727414131</v>
      </c>
      <c r="U970" s="25" t="n">
        <v>0.055392187088728</v>
      </c>
      <c r="V970" s="25" t="n">
        <v>0.307597666978836</v>
      </c>
      <c r="W970" s="25" t="n">
        <v>0</v>
      </c>
      <c r="X970" s="25" t="n">
        <v>0</v>
      </c>
      <c r="Y970" s="25" t="n">
        <v>1.23039066791534</v>
      </c>
      <c r="Z970" s="25" t="n">
        <v>0</v>
      </c>
      <c r="AA970" s="25" t="n">
        <v>0</v>
      </c>
      <c r="AB970" s="25" t="n">
        <v>10.4583206176758</v>
      </c>
      <c r="AC970" s="25" t="n">
        <v>0.00922793056815863</v>
      </c>
      <c r="AD970" s="25" t="n">
        <v>0.00307597662322223</v>
      </c>
      <c r="AE970" s="25" t="n">
        <v>0.0307597666978836</v>
      </c>
      <c r="AF970" s="25" t="n">
        <v>0.0369117222726345</v>
      </c>
      <c r="AG970" s="25" t="n">
        <v>0.0153798833489418</v>
      </c>
      <c r="AH970" s="25" t="n">
        <v>0</v>
      </c>
      <c r="AI970" s="25" t="n">
        <v>2.15318369865418</v>
      </c>
      <c r="AJ970" s="6"/>
      <c r="AK970" s="6"/>
      <c r="AL970" s="26"/>
    </row>
    <row r="971" customFormat="false" ht="15" hidden="false" customHeight="false" outlineLevel="0" collapsed="false">
      <c r="A971" s="6" t="s">
        <v>4700</v>
      </c>
      <c r="B971" s="6" t="s">
        <v>4701</v>
      </c>
      <c r="C971" s="6"/>
      <c r="D971" s="13" t="n">
        <v>193.258682250977</v>
      </c>
      <c r="E971" s="25" t="n">
        <v>0.215318366885185</v>
      </c>
      <c r="F971" s="25" t="n">
        <v>50.8828048706055</v>
      </c>
      <c r="G971" s="25" t="n">
        <v>0.0399876944720745</v>
      </c>
      <c r="H971" s="25" t="n">
        <v>0.396800965070725</v>
      </c>
      <c r="I971" s="25" t="n">
        <v>50.5567512512207</v>
      </c>
      <c r="J971" s="25" t="n">
        <v>0.0114149494171143</v>
      </c>
      <c r="K971" s="25" t="n">
        <v>0.0059243311882019</v>
      </c>
      <c r="L971" s="25" t="n">
        <v>0.0146508760452271</v>
      </c>
      <c r="M971" s="25" t="n">
        <v>0</v>
      </c>
      <c r="N971" s="25" t="n">
        <v>14.8477392196655</v>
      </c>
      <c r="O971" s="25" t="n">
        <v>52.7803764343262</v>
      </c>
      <c r="P971" s="25" t="n">
        <v>10.6213474273682</v>
      </c>
      <c r="Q971" s="25" t="n">
        <v>4.4297137260437</v>
      </c>
      <c r="R971" s="25" t="n">
        <v>4.3451247215271</v>
      </c>
      <c r="S971" s="25" t="n">
        <v>0.341525703668594</v>
      </c>
      <c r="T971" s="25" t="n">
        <v>0.0584743171930313</v>
      </c>
      <c r="U971" s="25" t="n">
        <v>0.0646201148629189</v>
      </c>
      <c r="V971" s="25" t="n">
        <v>0.0584435537457466</v>
      </c>
      <c r="W971" s="25" t="n">
        <v>0.00615195324644446</v>
      </c>
      <c r="X971" s="25" t="n">
        <v>0</v>
      </c>
      <c r="Y971" s="25" t="n">
        <v>207.62841796875</v>
      </c>
      <c r="Z971" s="25" t="n">
        <v>0.0123039064928889</v>
      </c>
      <c r="AA971" s="25" t="n">
        <v>0.768994152545929</v>
      </c>
      <c r="AB971" s="25" t="n">
        <v>13.1405725479126</v>
      </c>
      <c r="AC971" s="25" t="n">
        <v>0.0215318351984024</v>
      </c>
      <c r="AD971" s="25" t="n">
        <v>0.00615195324644446</v>
      </c>
      <c r="AE971" s="25" t="n">
        <v>0.0861273407936096</v>
      </c>
      <c r="AF971" s="25" t="n">
        <v>0.0615195333957672</v>
      </c>
      <c r="AG971" s="25" t="n">
        <v>0.0123039064928889</v>
      </c>
      <c r="AH971" s="25" t="n">
        <v>0.885881245136261</v>
      </c>
      <c r="AI971" s="25" t="n">
        <v>5.98585081100464</v>
      </c>
      <c r="AJ971" s="6"/>
      <c r="AK971" s="6"/>
      <c r="AL971" s="26"/>
    </row>
    <row r="972" customFormat="false" ht="15" hidden="false" customHeight="false" outlineLevel="0" collapsed="false">
      <c r="A972" s="6" t="s">
        <v>4702</v>
      </c>
      <c r="B972" s="6" t="s">
        <v>4703</v>
      </c>
      <c r="C972" s="6"/>
      <c r="D972" s="13" t="n">
        <v>198.331283569336</v>
      </c>
      <c r="E972" s="25" t="n">
        <v>0.304521679878235</v>
      </c>
      <c r="F972" s="25" t="n">
        <v>51.9563217163086</v>
      </c>
      <c r="G972" s="25" t="n">
        <v>0.079975388944149</v>
      </c>
      <c r="H972" s="25" t="n">
        <v>0.412180840969086</v>
      </c>
      <c r="I972" s="25" t="n">
        <v>51.3072891235352</v>
      </c>
      <c r="J972" s="25" t="n">
        <v>0.0281390342712402</v>
      </c>
      <c r="K972" s="25" t="n">
        <v>0.014035680770874</v>
      </c>
      <c r="L972" s="25" t="n">
        <v>0.0242663803100586</v>
      </c>
      <c r="M972" s="25" t="n">
        <v>0</v>
      </c>
      <c r="N972" s="25" t="n">
        <v>14.5616731643677</v>
      </c>
      <c r="O972" s="25" t="n">
        <v>51.8575820922852</v>
      </c>
      <c r="P972" s="25" t="n">
        <v>6.39187955856323</v>
      </c>
      <c r="Q972" s="25" t="n">
        <v>7.63488149642944</v>
      </c>
      <c r="R972" s="25" t="n">
        <v>5.43094444274902</v>
      </c>
      <c r="S972" s="25" t="n">
        <v>0.335373729467392</v>
      </c>
      <c r="T972" s="25" t="n">
        <v>0.119993850588799</v>
      </c>
      <c r="U972" s="25" t="n">
        <v>0.0892279297113419</v>
      </c>
      <c r="V972" s="25" t="n">
        <v>0.141494914889336</v>
      </c>
      <c r="W972" s="25" t="n">
        <v>0.0123039064928889</v>
      </c>
      <c r="X972" s="25" t="n">
        <v>0</v>
      </c>
      <c r="Y972" s="25" t="n">
        <v>39.6800994873047</v>
      </c>
      <c r="Z972" s="25" t="n">
        <v>0.0184558611363173</v>
      </c>
      <c r="AA972" s="25" t="n">
        <v>2.40233778953552</v>
      </c>
      <c r="AB972" s="25" t="n">
        <v>10.4029531478882</v>
      </c>
      <c r="AC972" s="25" t="n">
        <v>0.00615195324644446</v>
      </c>
      <c r="AD972" s="25" t="n">
        <v>0.0184558611363173</v>
      </c>
      <c r="AE972" s="25" t="n">
        <v>0.0707474574446678</v>
      </c>
      <c r="AF972" s="25" t="n">
        <v>0.0584435537457466</v>
      </c>
      <c r="AG972" s="25" t="n">
        <v>0.0215318351984024</v>
      </c>
      <c r="AH972" s="25" t="n">
        <v>0.861273467540741</v>
      </c>
      <c r="AI972" s="25" t="n">
        <v>4.82620716094971</v>
      </c>
      <c r="AJ972" s="6"/>
      <c r="AK972" s="6"/>
      <c r="AL972" s="26"/>
    </row>
    <row r="973" customFormat="false" ht="15" hidden="false" customHeight="false" outlineLevel="0" collapsed="false">
      <c r="A973" s="6" t="s">
        <v>4704</v>
      </c>
      <c r="B973" s="6" t="s">
        <v>4705</v>
      </c>
      <c r="C973" s="6"/>
      <c r="D973" s="13" t="n">
        <v>194.655487060547</v>
      </c>
      <c r="E973" s="25" t="n">
        <v>0.166102737188339</v>
      </c>
      <c r="F973" s="25" t="n">
        <v>50.9627799987793</v>
      </c>
      <c r="G973" s="25" t="n">
        <v>0.169178709387779</v>
      </c>
      <c r="H973" s="25" t="n">
        <v>0.578283607959747</v>
      </c>
      <c r="I973" s="25" t="n">
        <v>50.8366661071777</v>
      </c>
      <c r="J973" s="25" t="n">
        <v>0.0522916030883789</v>
      </c>
      <c r="K973" s="25" t="n">
        <v>0.0412180862426758</v>
      </c>
      <c r="L973" s="25" t="n">
        <v>0.0406028900146484</v>
      </c>
      <c r="M973" s="25" t="n">
        <v>0</v>
      </c>
      <c r="N973" s="25" t="n">
        <v>14.8077516555786</v>
      </c>
      <c r="O973" s="25" t="n">
        <v>46.6284217834473</v>
      </c>
      <c r="P973" s="25" t="n">
        <v>9.46785640716553</v>
      </c>
      <c r="Q973" s="25" t="n">
        <v>3.86681008338928</v>
      </c>
      <c r="R973" s="25" t="n">
        <v>5.05259943008423</v>
      </c>
      <c r="S973" s="25" t="n">
        <v>0.249246388673782</v>
      </c>
      <c r="T973" s="25" t="n">
        <v>0.0830821320414543</v>
      </c>
      <c r="U973" s="25" t="n">
        <v>0.0861519500613213</v>
      </c>
      <c r="V973" s="25" t="n">
        <v>0.587511539459229</v>
      </c>
      <c r="W973" s="25" t="n">
        <v>0.0676714852452278</v>
      </c>
      <c r="X973" s="25" t="n">
        <v>0</v>
      </c>
      <c r="Y973" s="25" t="n">
        <v>438.019073486328</v>
      </c>
      <c r="Z973" s="25" t="n">
        <v>0.0861273407936096</v>
      </c>
      <c r="AA973" s="25" t="n">
        <v>1.46724092960358</v>
      </c>
      <c r="AB973" s="25" t="n">
        <v>10.1414957046509</v>
      </c>
      <c r="AC973" s="25" t="n">
        <v>0.00922793056815863</v>
      </c>
      <c r="AD973" s="25" t="n">
        <v>0.0123039064928889</v>
      </c>
      <c r="AE973" s="25" t="n">
        <v>0.079975388944149</v>
      </c>
      <c r="AF973" s="25" t="n">
        <v>0.0369117222726345</v>
      </c>
      <c r="AG973" s="25" t="n">
        <v>0.0369117222726345</v>
      </c>
      <c r="AH973" s="25" t="n">
        <v>0.492156267166138</v>
      </c>
      <c r="AI973" s="25" t="n">
        <v>25.2383880615234</v>
      </c>
      <c r="AJ973" s="6"/>
      <c r="AK973" s="6"/>
      <c r="AL973" s="26"/>
    </row>
    <row r="974" customFormat="false" ht="15" hidden="false" customHeight="false" outlineLevel="0" collapsed="false">
      <c r="A974" s="6" t="s">
        <v>4706</v>
      </c>
      <c r="B974" s="6" t="s">
        <v>4707</v>
      </c>
      <c r="C974" s="6"/>
      <c r="D974" s="13" t="n">
        <v>195.023071289063</v>
      </c>
      <c r="E974" s="25" t="n">
        <v>0.159950777888298</v>
      </c>
      <c r="F974" s="25" t="n">
        <v>51.3442001342773</v>
      </c>
      <c r="G974" s="25" t="n">
        <v>0.0492156259715557</v>
      </c>
      <c r="H974" s="25" t="n">
        <v>1.06428790092468</v>
      </c>
      <c r="I974" s="25" t="n">
        <v>51.0796661376953</v>
      </c>
      <c r="J974" s="25" t="n">
        <v>0.0157151641845703</v>
      </c>
      <c r="K974" s="25" t="n">
        <v>0.00958166694641113</v>
      </c>
      <c r="L974" s="25" t="n">
        <v>0.0146908645629883</v>
      </c>
      <c r="M974" s="25" t="n">
        <v>0</v>
      </c>
      <c r="N974" s="25" t="n">
        <v>14.8354349136353</v>
      </c>
      <c r="O974" s="25" t="n">
        <v>46.3208236694336</v>
      </c>
      <c r="P974" s="25" t="n">
        <v>7.96370363235474</v>
      </c>
      <c r="Q974" s="25" t="n">
        <v>4.63272857666016</v>
      </c>
      <c r="R974" s="25" t="n">
        <v>4.84650897979736</v>
      </c>
      <c r="S974" s="25" t="n">
        <v>0.178498923778534</v>
      </c>
      <c r="T974" s="25" t="n">
        <v>0.0769301727414131</v>
      </c>
      <c r="U974" s="25" t="n">
        <v>0.0769240185618401</v>
      </c>
      <c r="V974" s="25" t="n">
        <v>0.0246078129857779</v>
      </c>
      <c r="W974" s="25" t="n">
        <v>0.393725007772446</v>
      </c>
      <c r="X974" s="25" t="n">
        <v>0</v>
      </c>
      <c r="Y974" s="25" t="n">
        <v>26.5487537384033</v>
      </c>
      <c r="Z974" s="25" t="n">
        <v>0.138418942689896</v>
      </c>
      <c r="AA974" s="25" t="n">
        <v>0.738234400749207</v>
      </c>
      <c r="AB974" s="25" t="n">
        <v>11.1873273849487</v>
      </c>
      <c r="AC974" s="25" t="n">
        <v>0.0153798833489418</v>
      </c>
      <c r="AD974" s="25" t="n">
        <v>0.00922793056815863</v>
      </c>
      <c r="AE974" s="25" t="n">
        <v>0.0369117222726345</v>
      </c>
      <c r="AF974" s="25" t="n">
        <v>0.0399876944720745</v>
      </c>
      <c r="AG974" s="25" t="n">
        <v>0.0399876944720745</v>
      </c>
      <c r="AH974" s="25" t="n">
        <v>0.322977542877197</v>
      </c>
      <c r="AI974" s="25" t="n">
        <v>5.60135364532471</v>
      </c>
      <c r="AJ974" s="6"/>
      <c r="AK974" s="6"/>
      <c r="AL974" s="26"/>
    </row>
    <row r="975" customFormat="false" ht="15" hidden="false" customHeight="false" outlineLevel="0" collapsed="false">
      <c r="A975" s="6" t="s">
        <v>4708</v>
      </c>
      <c r="B975" s="6" t="s">
        <v>4709</v>
      </c>
      <c r="C975" s="6"/>
      <c r="D975" s="13" t="n">
        <v>170.342895507813</v>
      </c>
      <c r="E975" s="25" t="n">
        <v>0.543836891651154</v>
      </c>
      <c r="F975" s="25" t="n">
        <v>44.0607833862305</v>
      </c>
      <c r="G975" s="25" t="n">
        <v>0.209937021136284</v>
      </c>
      <c r="H975" s="25" t="n">
        <v>1.07167851924896</v>
      </c>
      <c r="I975" s="25" t="n">
        <v>42.529239654541</v>
      </c>
      <c r="J975" s="25" t="n">
        <v>0.0661801452636719</v>
      </c>
      <c r="K975" s="25" t="n">
        <v>0.0135899229049683</v>
      </c>
      <c r="L975" s="25" t="n">
        <v>0.0961711502075195</v>
      </c>
      <c r="M975" s="25" t="n">
        <v>0</v>
      </c>
      <c r="N975" s="25" t="n">
        <v>16.1911430358887</v>
      </c>
      <c r="O975" s="25" t="n">
        <v>101.396278381348</v>
      </c>
      <c r="P975" s="25" t="n">
        <v>11.1756477355957</v>
      </c>
      <c r="Q975" s="25" t="n">
        <v>11.2689189910889</v>
      </c>
      <c r="R975" s="25" t="n">
        <v>12.9509143829346</v>
      </c>
      <c r="S975" s="25" t="n">
        <v>0.519933998584747</v>
      </c>
      <c r="T975" s="25" t="n">
        <v>0.137988612055779</v>
      </c>
      <c r="U975" s="25" t="n">
        <v>0.0740018039941788</v>
      </c>
      <c r="V975" s="25" t="n">
        <v>0.199940010905266</v>
      </c>
      <c r="W975" s="25" t="n">
        <v>0.769769072532654</v>
      </c>
      <c r="X975" s="25" t="n">
        <v>0</v>
      </c>
      <c r="Y975" s="25" t="n">
        <v>66.5800247192383</v>
      </c>
      <c r="Z975" s="25" t="n">
        <v>0.0639808103442192</v>
      </c>
      <c r="AA975" s="25" t="n">
        <v>5.10846757888794</v>
      </c>
      <c r="AB975" s="25" t="n">
        <v>7.8836350440979</v>
      </c>
      <c r="AC975" s="25" t="n">
        <v>0.0139958020299673</v>
      </c>
      <c r="AD975" s="25" t="n">
        <v>0.00999700091779232</v>
      </c>
      <c r="AE975" s="25" t="n">
        <v>0.103968806564808</v>
      </c>
      <c r="AF975" s="25" t="n">
        <v>0.0719784125685692</v>
      </c>
      <c r="AG975" s="25" t="n">
        <v>0.0499850027263165</v>
      </c>
      <c r="AH975" s="25" t="n">
        <v>0.213935822248459</v>
      </c>
      <c r="AI975" s="25" t="n">
        <v>3.56293106079102</v>
      </c>
      <c r="AJ975" s="6"/>
      <c r="AK975" s="6"/>
      <c r="AL975" s="26"/>
    </row>
    <row r="976" customFormat="false" ht="15" hidden="false" customHeight="false" outlineLevel="0" collapsed="false">
      <c r="A976" s="6" t="s">
        <v>4710</v>
      </c>
      <c r="B976" s="6" t="s">
        <v>4711</v>
      </c>
      <c r="C976" s="6"/>
      <c r="D976" s="13" t="n">
        <v>188.789505004883</v>
      </c>
      <c r="E976" s="25" t="n">
        <v>0.144999995827675</v>
      </c>
      <c r="F976" s="25" t="n">
        <v>48.5550003051758</v>
      </c>
      <c r="G976" s="25" t="n">
        <v>0.319999992847443</v>
      </c>
      <c r="H976" s="25" t="n">
        <v>1.29499995708466</v>
      </c>
      <c r="I976" s="25" t="n">
        <v>46.7649993896484</v>
      </c>
      <c r="J976" s="25" t="n">
        <v>0.077</v>
      </c>
      <c r="K976" s="25" t="n">
        <v>0.0255650005340576</v>
      </c>
      <c r="L976" s="25" t="n">
        <v>0.141</v>
      </c>
      <c r="M976" s="25" t="n">
        <v>0</v>
      </c>
      <c r="N976" s="25" t="n">
        <v>2.71499991416931</v>
      </c>
      <c r="O976" s="25" t="n">
        <v>60</v>
      </c>
      <c r="P976" s="25" t="n">
        <v>10.8400001525879</v>
      </c>
      <c r="Q976" s="25" t="n">
        <v>5.61999988555908</v>
      </c>
      <c r="R976" s="25" t="n">
        <v>4.84499979019165</v>
      </c>
      <c r="S976" s="25" t="n">
        <v>0.209999993443489</v>
      </c>
      <c r="T976" s="25" t="n">
        <v>0.0850000008940697</v>
      </c>
      <c r="U976" s="25" t="n">
        <v>0.068000003695488</v>
      </c>
      <c r="V976" s="25" t="n">
        <v>0.234999999403954</v>
      </c>
      <c r="W976" s="25" t="n">
        <v>0.025000000372529</v>
      </c>
      <c r="X976" s="25" t="n">
        <v>0</v>
      </c>
      <c r="Y976" s="25" t="n">
        <v>114.5</v>
      </c>
      <c r="Z976" s="25" t="n">
        <v>0.0750000029802322</v>
      </c>
      <c r="AA976" s="25" t="n">
        <v>1.82500004768372</v>
      </c>
      <c r="AB976" s="25" t="n">
        <v>1.7849999666214</v>
      </c>
      <c r="AC976" s="25" t="n">
        <v>0.0149999996647239</v>
      </c>
      <c r="AD976" s="25" t="n">
        <v>0.00499999988824129</v>
      </c>
      <c r="AE976" s="25" t="n">
        <v>0.125</v>
      </c>
      <c r="AF976" s="25" t="n">
        <v>0.0450000017881393</v>
      </c>
      <c r="AG976" s="25" t="n">
        <v>0.0199999995529652</v>
      </c>
      <c r="AH976" s="25" t="n">
        <v>0.170000001788139</v>
      </c>
      <c r="AI976" s="25" t="n">
        <v>1.51999998092651</v>
      </c>
      <c r="AJ976" s="6"/>
      <c r="AK976" s="6"/>
      <c r="AL976" s="26"/>
    </row>
    <row r="977" customFormat="false" ht="15" hidden="false" customHeight="false" outlineLevel="0" collapsed="false">
      <c r="A977" s="6" t="s">
        <v>4712</v>
      </c>
      <c r="B977" s="6" t="s">
        <v>4713</v>
      </c>
      <c r="C977" s="6"/>
      <c r="D977" s="13" t="n">
        <v>178.88557434082</v>
      </c>
      <c r="E977" s="25" t="n">
        <v>0.307692319154739</v>
      </c>
      <c r="F977" s="25" t="n">
        <v>46.2019233703613</v>
      </c>
      <c r="G977" s="25" t="n">
        <v>0.192307695746422</v>
      </c>
      <c r="H977" s="25" t="n">
        <v>0.995192289352417</v>
      </c>
      <c r="I977" s="25" t="n">
        <v>45.2548065185547</v>
      </c>
      <c r="J977" s="25" t="n">
        <v>0.00963942337036133</v>
      </c>
      <c r="K977" s="25" t="n">
        <v>0.0817307662963867</v>
      </c>
      <c r="L977" s="25" t="n">
        <v>0.0284038467407227</v>
      </c>
      <c r="M977" s="25" t="n">
        <v>0</v>
      </c>
      <c r="N977" s="25" t="n">
        <v>2.66826915740967</v>
      </c>
      <c r="O977" s="25" t="n">
        <v>79.8076934814453</v>
      </c>
      <c r="P977" s="25" t="n">
        <v>7.504807472229</v>
      </c>
      <c r="Q977" s="25" t="n">
        <v>7.0336537361145</v>
      </c>
      <c r="R977" s="25" t="n">
        <v>4.51442289352417</v>
      </c>
      <c r="S977" s="25" t="n">
        <v>0.197115391492844</v>
      </c>
      <c r="T977" s="25" t="n">
        <v>0.0865384638309479</v>
      </c>
      <c r="U977" s="25" t="n">
        <v>0.243269234895706</v>
      </c>
      <c r="V977" s="25" t="n">
        <v>0.269230782985687</v>
      </c>
      <c r="W977" s="25" t="n">
        <v>0.0288461539894342</v>
      </c>
      <c r="X977" s="25" t="n">
        <v>0</v>
      </c>
      <c r="Y977" s="25" t="n">
        <v>206.730773925781</v>
      </c>
      <c r="Z977" s="25" t="n">
        <v>0.240384608507156</v>
      </c>
      <c r="AA977" s="25" t="n">
        <v>4.08653831481934</v>
      </c>
      <c r="AB977" s="25" t="n">
        <v>1.08653843402863</v>
      </c>
      <c r="AC977" s="25" t="n">
        <v>0.00961538497358561</v>
      </c>
      <c r="AD977" s="25" t="n">
        <v>0.00961538497358561</v>
      </c>
      <c r="AE977" s="25" t="n">
        <v>0.211538463830948</v>
      </c>
      <c r="AF977" s="25" t="n">
        <v>0.0769230797886848</v>
      </c>
      <c r="AG977" s="25" t="n">
        <v>0.0240384619683027</v>
      </c>
      <c r="AH977" s="25" t="n">
        <v>0.144230768084526</v>
      </c>
      <c r="AI977" s="25" t="n">
        <v>6.870192527771</v>
      </c>
      <c r="AJ977" s="6"/>
      <c r="AK977" s="6"/>
      <c r="AL977" s="26"/>
    </row>
    <row r="978" customFormat="false" ht="15" hidden="false" customHeight="false" outlineLevel="0" collapsed="false">
      <c r="A978" s="6" t="s">
        <v>4714</v>
      </c>
      <c r="B978" s="6" t="s">
        <v>4715</v>
      </c>
      <c r="C978" s="6"/>
      <c r="D978" s="13" t="n">
        <v>149.179153442383</v>
      </c>
      <c r="E978" s="25" t="n">
        <v>0.321698129177094</v>
      </c>
      <c r="F978" s="25" t="n">
        <v>38.2669830322266</v>
      </c>
      <c r="G978" s="25" t="n">
        <v>0.150943398475647</v>
      </c>
      <c r="H978" s="25" t="n">
        <v>2.20283031463623</v>
      </c>
      <c r="I978" s="25" t="n">
        <v>37.4424514770508</v>
      </c>
      <c r="J978" s="25" t="n">
        <v>0.0434471702575684</v>
      </c>
      <c r="K978" s="25" t="n">
        <v>0.022455659866333</v>
      </c>
      <c r="L978" s="25" t="n">
        <v>0.0536377372741699</v>
      </c>
      <c r="M978" s="25" t="n">
        <v>0</v>
      </c>
      <c r="N978" s="25" t="n">
        <v>2.45377349853516</v>
      </c>
      <c r="O978" s="25" t="n">
        <v>93.3962249755859</v>
      </c>
      <c r="P978" s="25" t="n">
        <v>10.467924118042</v>
      </c>
      <c r="Q978" s="25" t="n">
        <v>8.96226406097412</v>
      </c>
      <c r="R978" s="25" t="n">
        <v>8.54433917999268</v>
      </c>
      <c r="S978" s="25" t="n">
        <v>0.2433962225914</v>
      </c>
      <c r="T978" s="25" t="n">
        <v>0.0952830165624619</v>
      </c>
      <c r="U978" s="25" t="n">
        <v>0.0796226412057877</v>
      </c>
      <c r="V978" s="25" t="n">
        <v>0.0896226391196251</v>
      </c>
      <c r="W978" s="25" t="n">
        <v>0.72924530506134</v>
      </c>
      <c r="X978" s="25" t="n">
        <v>0</v>
      </c>
      <c r="Y978" s="25" t="n">
        <v>70.4584884643555</v>
      </c>
      <c r="Z978" s="25" t="n">
        <v>0.268867909908295</v>
      </c>
      <c r="AA978" s="25" t="n">
        <v>1.70283019542694</v>
      </c>
      <c r="AB978" s="25" t="n">
        <v>20.923583984375</v>
      </c>
      <c r="AC978" s="25" t="n">
        <v>0.0311320759356022</v>
      </c>
      <c r="AD978" s="25" t="n">
        <v>0.0179245285689831</v>
      </c>
      <c r="AE978" s="25" t="n">
        <v>0.0915094316005707</v>
      </c>
      <c r="AF978" s="25" t="n">
        <v>0.0820754766464233</v>
      </c>
      <c r="AG978" s="25" t="n">
        <v>0.0773584917187691</v>
      </c>
      <c r="AH978" s="25" t="n">
        <v>0.626415073871613</v>
      </c>
      <c r="AI978" s="25" t="n">
        <v>10.5943393707275</v>
      </c>
      <c r="AJ978" s="6"/>
      <c r="AK978" s="6"/>
      <c r="AL978" s="26"/>
    </row>
    <row r="979" customFormat="false" ht="15" hidden="false" customHeight="false" outlineLevel="0" collapsed="false">
      <c r="A979" s="6" t="s">
        <v>4716</v>
      </c>
      <c r="B979" s="6" t="s">
        <v>4717</v>
      </c>
      <c r="C979" s="6"/>
      <c r="D979" s="13" t="n">
        <v>115.742309570313</v>
      </c>
      <c r="E979" s="25" t="n">
        <v>1.1076922416687</v>
      </c>
      <c r="F979" s="25" t="n">
        <v>28.1769237518311</v>
      </c>
      <c r="G979" s="25" t="n">
        <v>0.246153846383095</v>
      </c>
      <c r="H979" s="25" t="n">
        <v>6.6076922416687</v>
      </c>
      <c r="I979" s="25" t="n">
        <v>27.384614944458</v>
      </c>
      <c r="J979" s="25" t="n">
        <v>0.0379230766296387</v>
      </c>
      <c r="K979" s="25" t="n">
        <v>0.0274769248962402</v>
      </c>
      <c r="L979" s="25" t="n">
        <v>0.135384613037109</v>
      </c>
      <c r="M979" s="25" t="n">
        <v>0</v>
      </c>
      <c r="N979" s="25" t="n">
        <v>3.36153841018677</v>
      </c>
      <c r="O979" s="25" t="n">
        <v>218.846160888672</v>
      </c>
      <c r="P979" s="25" t="n">
        <v>16.5538463592529</v>
      </c>
      <c r="Q979" s="25" t="n">
        <v>18.3384609222412</v>
      </c>
      <c r="R979" s="25" t="n">
        <v>12.2000007629395</v>
      </c>
      <c r="S979" s="25" t="n">
        <v>0.292307704687119</v>
      </c>
      <c r="T979" s="25" t="n">
        <v>0.200000002980232</v>
      </c>
      <c r="U979" s="25" t="n">
        <v>0.150769233703613</v>
      </c>
      <c r="V979" s="25" t="n">
        <v>1.41538453102112</v>
      </c>
      <c r="W979" s="25" t="n">
        <v>0.169230774044991</v>
      </c>
      <c r="X979" s="25" t="n">
        <v>0</v>
      </c>
      <c r="Y979" s="25" t="n">
        <v>766.153869628906</v>
      </c>
      <c r="Z979" s="25" t="n">
        <v>0.0692307651042938</v>
      </c>
      <c r="AA979" s="25" t="n">
        <v>2.83076906204224</v>
      </c>
      <c r="AB979" s="25" t="n">
        <v>164.615386962891</v>
      </c>
      <c r="AC979" s="25" t="n">
        <v>0.0384615398943424</v>
      </c>
      <c r="AD979" s="25" t="n">
        <v>0.0307692307978869</v>
      </c>
      <c r="AE979" s="25" t="n">
        <v>0.461538463830948</v>
      </c>
      <c r="AF979" s="25" t="n">
        <v>0.192307695746422</v>
      </c>
      <c r="AG979" s="25" t="n">
        <v>0.0846153870224953</v>
      </c>
      <c r="AH979" s="25" t="n">
        <v>0.569230794906616</v>
      </c>
      <c r="AI979" s="25" t="n">
        <v>22.8923072814941</v>
      </c>
      <c r="AJ979" s="6"/>
      <c r="AK979" s="6"/>
      <c r="AL979" s="26"/>
    </row>
    <row r="980" customFormat="false" ht="15" hidden="false" customHeight="false" outlineLevel="0" collapsed="false">
      <c r="A980" s="6" t="s">
        <v>4718</v>
      </c>
      <c r="B980" s="6" t="s">
        <v>4719</v>
      </c>
      <c r="C980" s="6"/>
      <c r="D980" s="13" t="n">
        <v>104.167907714844</v>
      </c>
      <c r="E980" s="25" t="n">
        <v>0.66088330745697</v>
      </c>
      <c r="F980" s="25" t="n">
        <v>25.9427127838135</v>
      </c>
      <c r="G980" s="25" t="n">
        <v>0.129369080066681</v>
      </c>
      <c r="H980" s="25" t="n">
        <v>1.96697163581848</v>
      </c>
      <c r="I980" s="25" t="n">
        <v>25.0871295928955</v>
      </c>
      <c r="J980" s="25" t="n">
        <v>0.031624195098877</v>
      </c>
      <c r="K980" s="25" t="n">
        <v>0.0176915454864502</v>
      </c>
      <c r="L980" s="25" t="n">
        <v>0.0548129653930664</v>
      </c>
      <c r="M980" s="25" t="n">
        <v>0</v>
      </c>
      <c r="N980" s="25" t="n">
        <v>2.31479501724243</v>
      </c>
      <c r="O980" s="25" t="n">
        <v>148.921142578125</v>
      </c>
      <c r="P980" s="25" t="n">
        <v>17.5919246673584</v>
      </c>
      <c r="Q980" s="25" t="n">
        <v>11.9902210235596</v>
      </c>
      <c r="R980" s="25" t="n">
        <v>9.86829662322998</v>
      </c>
      <c r="S980" s="25" t="n">
        <v>0.632712960243225</v>
      </c>
      <c r="T980" s="25" t="n">
        <v>0.0753312334418297</v>
      </c>
      <c r="U980" s="25" t="n">
        <v>0.0634384900331497</v>
      </c>
      <c r="V980" s="25" t="n">
        <v>0.362239748239517</v>
      </c>
      <c r="W980" s="25" t="n">
        <v>0.0414511039853096</v>
      </c>
      <c r="X980" s="25" t="n">
        <v>0</v>
      </c>
      <c r="Y980" s="25" t="n">
        <v>587.744506835938</v>
      </c>
      <c r="Z980" s="25" t="n">
        <v>0.0387381725013256</v>
      </c>
      <c r="AA980" s="25" t="n">
        <v>2.17570972442627</v>
      </c>
      <c r="AB980" s="25" t="n">
        <v>56.2468147277832</v>
      </c>
      <c r="AC980" s="25" t="n">
        <v>0.0542271286249161</v>
      </c>
      <c r="AD980" s="25" t="n">
        <v>0.0187381710857153</v>
      </c>
      <c r="AE980" s="25" t="n">
        <v>0.267381697893143</v>
      </c>
      <c r="AF980" s="25" t="n">
        <v>0.168454259634018</v>
      </c>
      <c r="AG980" s="25" t="n">
        <v>0.0412618294358254</v>
      </c>
      <c r="AH980" s="25" t="n">
        <v>2.06485795974731</v>
      </c>
      <c r="AI980" s="25" t="n">
        <v>17.0764045715332</v>
      </c>
      <c r="AJ980" s="6"/>
      <c r="AK980" s="6"/>
      <c r="AL980" s="26"/>
    </row>
    <row r="981" customFormat="false" ht="15" hidden="false" customHeight="false" outlineLevel="0" collapsed="false">
      <c r="A981" s="6" t="s">
        <v>4720</v>
      </c>
      <c r="B981" s="6" t="s">
        <v>4721</v>
      </c>
      <c r="C981" s="6"/>
      <c r="D981" s="13" t="n">
        <v>175.240325927734</v>
      </c>
      <c r="E981" s="25" t="n">
        <v>0.316666662693024</v>
      </c>
      <c r="F981" s="25" t="n">
        <v>45.5999984741211</v>
      </c>
      <c r="G981" s="25" t="n">
        <v>0.156666666269302</v>
      </c>
      <c r="H981" s="25" t="n">
        <v>1.3933333158493</v>
      </c>
      <c r="I981" s="25" t="n">
        <v>44.8266677856445</v>
      </c>
      <c r="J981" s="25" t="n">
        <v>0.029236665725708</v>
      </c>
      <c r="K981" s="25" t="n">
        <v>0.007003333568573</v>
      </c>
      <c r="L981" s="25" t="n">
        <v>0.0886666641235352</v>
      </c>
      <c r="M981" s="25" t="n">
        <v>0</v>
      </c>
      <c r="N981" s="25" t="n">
        <v>19.5266666412354</v>
      </c>
      <c r="O981" s="25" t="n">
        <v>93.0833358764648</v>
      </c>
      <c r="P981" s="25" t="n">
        <v>15.8633327484131</v>
      </c>
      <c r="Q981" s="25" t="n">
        <v>14.7700004577637</v>
      </c>
      <c r="R981" s="25" t="n">
        <v>6.41000032424927</v>
      </c>
      <c r="S981" s="25" t="n">
        <v>0.283333331346512</v>
      </c>
      <c r="T981" s="25" t="n">
        <v>0.125</v>
      </c>
      <c r="U981" s="25" t="n">
        <v>0.0766666680574417</v>
      </c>
      <c r="V981" s="25" t="n">
        <v>0.0733333379030228</v>
      </c>
      <c r="W981" s="25" t="n">
        <v>0.0766666680574417</v>
      </c>
      <c r="X981" s="25" t="n">
        <v>0</v>
      </c>
      <c r="Y981" s="25" t="n">
        <v>3125.66674804688</v>
      </c>
      <c r="Z981" s="25" t="n">
        <v>0.0700000002980232</v>
      </c>
      <c r="AA981" s="25" t="n">
        <v>6.11666679382324</v>
      </c>
      <c r="AB981" s="25" t="n">
        <v>2.07333326339722</v>
      </c>
      <c r="AC981" s="25" t="n">
        <v>0.0133333336561918</v>
      </c>
      <c r="AD981" s="25" t="n">
        <v>0.0100000007078052</v>
      </c>
      <c r="AE981" s="25" t="n">
        <v>0.0733333379030228</v>
      </c>
      <c r="AF981" s="25" t="n">
        <v>0.100000001490116</v>
      </c>
      <c r="AG981" s="25" t="n">
        <v>0.0366666689515114</v>
      </c>
      <c r="AH981" s="25" t="n">
        <v>0.5</v>
      </c>
      <c r="AI981" s="25" t="n">
        <v>8.01333332061768</v>
      </c>
      <c r="AJ981" s="6"/>
      <c r="AK981" s="6"/>
      <c r="AL981" s="26"/>
    </row>
    <row r="982" customFormat="false" ht="15" hidden="false" customHeight="false" outlineLevel="0" collapsed="false">
      <c r="A982" s="6" t="s">
        <v>4722</v>
      </c>
      <c r="B982" s="6" t="s">
        <v>4723</v>
      </c>
      <c r="C982" s="6"/>
      <c r="D982" s="13" t="n">
        <v>123.160766601563</v>
      </c>
      <c r="E982" s="25" t="n">
        <v>0.136239781975746</v>
      </c>
      <c r="F982" s="25" t="n">
        <v>32.3433227539063</v>
      </c>
      <c r="G982" s="25" t="n">
        <v>0.0272479560226202</v>
      </c>
      <c r="H982" s="25" t="n">
        <v>0</v>
      </c>
      <c r="I982" s="25" t="n">
        <v>28.6103534698486</v>
      </c>
      <c r="J982" s="25" t="n">
        <v>0</v>
      </c>
      <c r="K982" s="25" t="n">
        <v>0</v>
      </c>
      <c r="L982" s="25" t="n">
        <v>0</v>
      </c>
      <c r="M982" s="25" t="n">
        <v>0</v>
      </c>
      <c r="N982" s="25" t="n">
        <v>216.893737792969</v>
      </c>
      <c r="O982" s="25" t="n">
        <v>64.517707824707</v>
      </c>
      <c r="P982" s="25" t="n">
        <v>16.4032688140869</v>
      </c>
      <c r="Q982" s="25" t="n">
        <v>5.72752046585083</v>
      </c>
      <c r="R982" s="25" t="n">
        <v>0.959128081798554</v>
      </c>
      <c r="S982" s="25" t="n">
        <v>0.383106261491776</v>
      </c>
      <c r="T982" s="25" t="n">
        <v>0.0277929157018662</v>
      </c>
      <c r="U982" s="25" t="n">
        <v>0.0821798369288445</v>
      </c>
      <c r="V982" s="25" t="n">
        <v>0</v>
      </c>
      <c r="W982" s="25" t="n">
        <v>0</v>
      </c>
      <c r="X982" s="25" t="n">
        <v>0</v>
      </c>
      <c r="Y982" s="25" t="n">
        <v>2.45231604576111</v>
      </c>
      <c r="Z982" s="25" t="n">
        <v>0</v>
      </c>
      <c r="AA982" s="25" t="n">
        <v>0</v>
      </c>
      <c r="AB982" s="25" t="n">
        <v>0</v>
      </c>
      <c r="AC982" s="25" t="n">
        <v>0.00817438680678606</v>
      </c>
      <c r="AD982" s="25" t="n">
        <v>0.00272479560226202</v>
      </c>
      <c r="AE982" s="25" t="n">
        <v>0.0544959120452404</v>
      </c>
      <c r="AF982" s="25" t="n">
        <v>0</v>
      </c>
      <c r="AG982" s="25" t="n">
        <v>0</v>
      </c>
      <c r="AH982" s="25" t="n">
        <v>0</v>
      </c>
      <c r="AI982" s="25" t="n">
        <v>0</v>
      </c>
      <c r="AJ982" s="6"/>
      <c r="AK982" s="6"/>
      <c r="AL982" s="26"/>
    </row>
    <row r="983" customFormat="false" ht="15" hidden="false" customHeight="false" outlineLevel="0" collapsed="false">
      <c r="A983" s="6" t="s">
        <v>4724</v>
      </c>
      <c r="B983" s="6" t="s">
        <v>4725</v>
      </c>
      <c r="C983" s="6"/>
      <c r="D983" s="13" t="n">
        <v>195.709381103516</v>
      </c>
      <c r="E983" s="25" t="n">
        <v>0.693750023841858</v>
      </c>
      <c r="F983" s="25" t="n">
        <v>50.3812484741211</v>
      </c>
      <c r="G983" s="25" t="n">
        <v>0.265625</v>
      </c>
      <c r="H983" s="25" t="n">
        <v>1.67499995231628</v>
      </c>
      <c r="I983" s="25" t="n">
        <v>47.9874992370606</v>
      </c>
      <c r="J983" s="25" t="n">
        <v>0.0721875</v>
      </c>
      <c r="K983" s="25" t="n">
        <v>0.0212406253814697</v>
      </c>
      <c r="L983" s="25" t="n">
        <v>0.1190625</v>
      </c>
      <c r="M983" s="25" t="n">
        <v>0</v>
      </c>
      <c r="N983" s="25" t="n">
        <v>5.40000009536743</v>
      </c>
      <c r="O983" s="25" t="n">
        <v>129.453125</v>
      </c>
      <c r="P983" s="25" t="n">
        <v>10.4312496185303</v>
      </c>
      <c r="Q983" s="25" t="n">
        <v>14.3156251907349</v>
      </c>
      <c r="R983" s="25" t="n">
        <v>17.9874992370606</v>
      </c>
      <c r="S983" s="25" t="n">
        <v>0.684374988079071</v>
      </c>
      <c r="T983" s="25" t="n">
        <v>0.167187511920929</v>
      </c>
      <c r="U983" s="25" t="n">
        <v>0.0949999988079071</v>
      </c>
      <c r="V983" s="25" t="n">
        <v>0</v>
      </c>
      <c r="W983" s="25" t="n">
        <v>1.203125</v>
      </c>
      <c r="X983" s="25" t="n">
        <v>0</v>
      </c>
      <c r="Y983" s="25" t="n">
        <v>102.8125</v>
      </c>
      <c r="Z983" s="25" t="n">
        <v>0.100000001490116</v>
      </c>
      <c r="AA983" s="25" t="n">
        <v>7.984375</v>
      </c>
      <c r="AB983" s="25" t="n">
        <v>1.69687497615814</v>
      </c>
      <c r="AC983" s="25" t="n">
        <v>0.0125000001862645</v>
      </c>
      <c r="AD983" s="25" t="n">
        <v>0.0125000001862645</v>
      </c>
      <c r="AE983" s="25" t="n">
        <v>0.131249994039536</v>
      </c>
      <c r="AF983" s="25" t="n">
        <v>0.0750000029802322</v>
      </c>
      <c r="AG983" s="25" t="n">
        <v>0.0625</v>
      </c>
      <c r="AH983" s="25" t="n">
        <v>0.334374994039536</v>
      </c>
      <c r="AI983" s="25" t="n">
        <v>3.38124990463257</v>
      </c>
      <c r="AJ983" s="6"/>
      <c r="AK983" s="6"/>
      <c r="AL983" s="26"/>
    </row>
    <row r="984" customFormat="false" ht="15" hidden="false" customHeight="false" outlineLevel="0" collapsed="false">
      <c r="A984" s="6" t="s">
        <v>1936</v>
      </c>
      <c r="B984" s="6" t="s">
        <v>4726</v>
      </c>
      <c r="C984" s="6"/>
      <c r="D984" s="13" t="n">
        <v>192.119155883789</v>
      </c>
      <c r="E984" s="25" t="n">
        <v>1.595898270607</v>
      </c>
      <c r="F984" s="25" t="n">
        <v>8.114914894104</v>
      </c>
      <c r="G984" s="25" t="n">
        <v>17.8880844116211</v>
      </c>
      <c r="H984" s="25" t="n">
        <v>3.67661023139954</v>
      </c>
      <c r="I984" s="25" t="n">
        <v>1.79466104507446</v>
      </c>
      <c r="J984" s="25" t="n">
        <v>2.065833984375</v>
      </c>
      <c r="K984" s="25" t="n">
        <v>10.28305078125</v>
      </c>
      <c r="L984" s="25" t="n">
        <v>3.86134228515625</v>
      </c>
      <c r="M984" s="25" t="n">
        <v>0</v>
      </c>
      <c r="N984" s="25" t="n">
        <v>3429.93896484375</v>
      </c>
      <c r="O984" s="25" t="n">
        <v>206.915252685547</v>
      </c>
      <c r="P984" s="25" t="n">
        <v>48.9661026000977</v>
      </c>
      <c r="Q984" s="25" t="n">
        <v>34.1491508483887</v>
      </c>
      <c r="R984" s="25" t="n">
        <v>32.7542381286621</v>
      </c>
      <c r="S984" s="25" t="n">
        <v>1.44305086135864</v>
      </c>
      <c r="T984" s="25" t="n">
        <v>0.299152553081513</v>
      </c>
      <c r="U984" s="25" t="n">
        <v>0.121186442673206</v>
      </c>
      <c r="V984" s="25" t="n">
        <v>0.223474562168121</v>
      </c>
      <c r="W984" s="25" t="n">
        <v>0.393474578857422</v>
      </c>
      <c r="X984" s="25" t="n">
        <v>0</v>
      </c>
      <c r="Y984" s="25" t="n">
        <v>707.686462402344</v>
      </c>
      <c r="Z984" s="25" t="n">
        <v>0.642033934593201</v>
      </c>
      <c r="AA984" s="25" t="n">
        <v>11.8808469772339</v>
      </c>
      <c r="AB984" s="25" t="n">
        <v>61.1983070373535</v>
      </c>
      <c r="AC984" s="25" t="n">
        <v>0.030423728749156</v>
      </c>
      <c r="AD984" s="25" t="n">
        <v>0.0394745767116547</v>
      </c>
      <c r="AE984" s="25" t="n">
        <v>0.600423753261566</v>
      </c>
      <c r="AF984" s="25" t="n">
        <v>0.110406778752804</v>
      </c>
      <c r="AG984" s="25" t="n">
        <v>0.14144067466259</v>
      </c>
      <c r="AH984" s="25" t="n">
        <v>0.988474607467651</v>
      </c>
      <c r="AI984" s="25" t="n">
        <v>19.0379657745361</v>
      </c>
      <c r="AJ984" s="6"/>
      <c r="AK984" s="6"/>
      <c r="AL984" s="26"/>
    </row>
    <row r="985" customFormat="false" ht="15" hidden="false" customHeight="false" outlineLevel="0" collapsed="false">
      <c r="A985" s="6" t="s">
        <v>4727</v>
      </c>
      <c r="B985" s="6" t="s">
        <v>4728</v>
      </c>
      <c r="C985" s="6"/>
      <c r="D985" s="13" t="n">
        <v>211.204711914063</v>
      </c>
      <c r="E985" s="25" t="n">
        <v>1.8994140625</v>
      </c>
      <c r="F985" s="25" t="n">
        <v>7.48342514038086</v>
      </c>
      <c r="G985" s="25" t="n">
        <v>19.6821060180664</v>
      </c>
      <c r="H985" s="25" t="n">
        <v>2.76364469528198</v>
      </c>
      <c r="I985" s="25" t="n">
        <v>2.76905226707459</v>
      </c>
      <c r="J985" s="25" t="n">
        <v>2.27207202148438</v>
      </c>
      <c r="K985" s="25" t="n">
        <v>11.262041015625</v>
      </c>
      <c r="L985" s="25" t="n">
        <v>4.262451171875</v>
      </c>
      <c r="M985" s="25" t="n">
        <v>0</v>
      </c>
      <c r="N985" s="25" t="n">
        <v>2488.32080078125</v>
      </c>
      <c r="O985" s="25" t="n">
        <v>283.151550292969</v>
      </c>
      <c r="P985" s="25" t="n">
        <v>42.8102149963379</v>
      </c>
      <c r="Q985" s="25" t="n">
        <v>47.4444961547852</v>
      </c>
      <c r="R985" s="25" t="n">
        <v>33.0075645446777</v>
      </c>
      <c r="S985" s="25" t="n">
        <v>2.12006950378418</v>
      </c>
      <c r="T985" s="25" t="n">
        <v>0.357001513242722</v>
      </c>
      <c r="U985" s="25" t="n">
        <v>0.143991619348526</v>
      </c>
      <c r="V985" s="25" t="n">
        <v>1.75142908096314</v>
      </c>
      <c r="W985" s="25" t="n">
        <v>0.59043562412262</v>
      </c>
      <c r="X985" s="25" t="n">
        <v>0</v>
      </c>
      <c r="Y985" s="25" t="n">
        <v>464.236083984375</v>
      </c>
      <c r="Z985" s="25" t="n">
        <v>0.27061739563942</v>
      </c>
      <c r="AA985" s="25" t="n">
        <v>14.0444593429565</v>
      </c>
      <c r="AB985" s="25" t="n">
        <v>30.3733196258545</v>
      </c>
      <c r="AC985" s="25" t="n">
        <v>0.0524188317358494</v>
      </c>
      <c r="AD985" s="25" t="n">
        <v>0.0510001108050346</v>
      </c>
      <c r="AE985" s="25" t="n">
        <v>0.508030533790588</v>
      </c>
      <c r="AF985" s="25" t="n">
        <v>0.142304629087448</v>
      </c>
      <c r="AG985" s="25" t="n">
        <v>0.138997927308083</v>
      </c>
      <c r="AH985" s="25" t="n">
        <v>1.39691388607025</v>
      </c>
      <c r="AI985" s="25" t="n">
        <v>15.9057512283325</v>
      </c>
      <c r="AJ985" s="6"/>
      <c r="AK985" s="6"/>
      <c r="AL985" s="26"/>
    </row>
    <row r="986" customFormat="false" ht="15" hidden="false" customHeight="false" outlineLevel="0" collapsed="false">
      <c r="A986" s="6" t="s">
        <v>4729</v>
      </c>
      <c r="B986" s="6" t="s">
        <v>4730</v>
      </c>
      <c r="C986" s="6"/>
      <c r="D986" s="13" t="n">
        <v>69.5416107177734</v>
      </c>
      <c r="E986" s="25" t="n">
        <v>1.22023499011993</v>
      </c>
      <c r="F986" s="25" t="n">
        <v>16.8696346282959</v>
      </c>
      <c r="G986" s="25" t="n">
        <v>0.208400785923004</v>
      </c>
      <c r="H986" s="25" t="n">
        <v>2.13449740409851</v>
      </c>
      <c r="I986" s="25" t="n">
        <v>14.631742477417</v>
      </c>
      <c r="J986" s="25" t="n">
        <v>0.100444519042969</v>
      </c>
      <c r="K986" s="25" t="n">
        <v>0.0126468667984009</v>
      </c>
      <c r="L986" s="25" t="n">
        <v>0.0959412536621094</v>
      </c>
      <c r="M986" s="25" t="n">
        <v>0</v>
      </c>
      <c r="N986" s="25" t="n">
        <v>6415.90234375</v>
      </c>
      <c r="O986" s="25" t="n">
        <v>148.648178100586</v>
      </c>
      <c r="P986" s="25" t="n">
        <v>42.5672302246094</v>
      </c>
      <c r="Q986" s="25" t="n">
        <v>10.6802806854248</v>
      </c>
      <c r="R986" s="25" t="n">
        <v>21.9780673980713</v>
      </c>
      <c r="S986" s="25" t="n">
        <v>1.02094650268555</v>
      </c>
      <c r="T986" s="25" t="n">
        <v>0.128400787711144</v>
      </c>
      <c r="U986" s="25" t="n">
        <v>0.075169712305069</v>
      </c>
      <c r="V986" s="25" t="n">
        <v>0.983270227909088</v>
      </c>
      <c r="W986" s="25" t="n">
        <v>0.238133162260056</v>
      </c>
      <c r="X986" s="25" t="n">
        <v>0</v>
      </c>
      <c r="Y986" s="25" t="n">
        <v>60.8903388977051</v>
      </c>
      <c r="Z986" s="25" t="n">
        <v>0.0341644920408726</v>
      </c>
      <c r="AA986" s="25" t="n">
        <v>4.60023498535156</v>
      </c>
      <c r="AB986" s="25" t="n">
        <v>22.1932106018066</v>
      </c>
      <c r="AC986" s="25" t="n">
        <v>0.0220300275832415</v>
      </c>
      <c r="AD986" s="25" t="n">
        <v>0.00902741495519877</v>
      </c>
      <c r="AE986" s="25" t="n">
        <v>0.0884986966848373</v>
      </c>
      <c r="AF986" s="25" t="n">
        <v>0.0864882543683052</v>
      </c>
      <c r="AG986" s="25" t="n">
        <v>0.039719320833683</v>
      </c>
      <c r="AH986" s="25" t="n">
        <v>0.0941775441169739</v>
      </c>
      <c r="AI986" s="25" t="n">
        <v>5.17930173873901</v>
      </c>
      <c r="AJ986" s="6"/>
      <c r="AK986" s="6"/>
      <c r="AL986" s="26"/>
    </row>
    <row r="987" customFormat="false" ht="15" hidden="false" customHeight="false" outlineLevel="0" collapsed="false">
      <c r="A987" s="6" t="s">
        <v>4731</v>
      </c>
      <c r="B987" s="6" t="s">
        <v>4732</v>
      </c>
      <c r="C987" s="6"/>
      <c r="D987" s="13" t="n">
        <v>177.108322143555</v>
      </c>
      <c r="E987" s="25" t="n">
        <v>0.465615779161453</v>
      </c>
      <c r="F987" s="25" t="n">
        <v>44.9540748596191</v>
      </c>
      <c r="G987" s="25" t="n">
        <v>0.285899013280869</v>
      </c>
      <c r="H987" s="25" t="n">
        <v>1.36832511425018</v>
      </c>
      <c r="I987" s="25" t="n">
        <v>43.9035720825195</v>
      </c>
      <c r="J987" s="25" t="n">
        <v>0.0272992610931397</v>
      </c>
      <c r="K987" s="25" t="n">
        <v>0.102277091979981</v>
      </c>
      <c r="L987" s="25" t="n">
        <v>0.0749125595092774</v>
      </c>
      <c r="M987" s="25" t="n">
        <v>0</v>
      </c>
      <c r="N987" s="25" t="n">
        <v>216.813537597656</v>
      </c>
      <c r="O987" s="25" t="n">
        <v>101.564041137695</v>
      </c>
      <c r="P987" s="25" t="n">
        <v>12.3842363357544</v>
      </c>
      <c r="Q987" s="25" t="n">
        <v>10.4176111221314</v>
      </c>
      <c r="R987" s="25" t="n">
        <v>7.31034469604492</v>
      </c>
      <c r="S987" s="25" t="n">
        <v>0.342820197343826</v>
      </c>
      <c r="T987" s="25" t="n">
        <v>0.129901483654976</v>
      </c>
      <c r="U987" s="25" t="n">
        <v>0.257241368293762</v>
      </c>
      <c r="V987" s="25" t="n">
        <v>0.441613286733627</v>
      </c>
      <c r="W987" s="25" t="n">
        <v>0.192869454622269</v>
      </c>
      <c r="X987" s="25" t="n">
        <v>0</v>
      </c>
      <c r="Y987" s="25" t="n">
        <v>303.298034667969</v>
      </c>
      <c r="Z987" s="25" t="n">
        <v>0.249766007065773</v>
      </c>
      <c r="AA987" s="25" t="n">
        <v>5.16355895996094</v>
      </c>
      <c r="AB987" s="25" t="n">
        <v>1.12315273284912</v>
      </c>
      <c r="AC987" s="25" t="n">
        <v>0.0119827585294843</v>
      </c>
      <c r="AD987" s="25" t="n">
        <v>0.0149999996647239</v>
      </c>
      <c r="AE987" s="25" t="n">
        <v>0.27934730052948</v>
      </c>
      <c r="AF987" s="25" t="n">
        <v>0.0847906395792961</v>
      </c>
      <c r="AG987" s="25" t="n">
        <v>0.0357265993952751</v>
      </c>
      <c r="AH987" s="25" t="n">
        <v>0.161133006215096</v>
      </c>
      <c r="AI987" s="25" t="n">
        <v>7.25560331344605</v>
      </c>
      <c r="AJ987" s="6"/>
      <c r="AK987" s="6"/>
      <c r="AL987" s="26"/>
    </row>
    <row r="988" customFormat="false" ht="15" hidden="false" customHeight="false" outlineLevel="0" collapsed="false">
      <c r="A988" s="6" t="s">
        <v>4733</v>
      </c>
      <c r="B988" s="6" t="s">
        <v>4734</v>
      </c>
      <c r="C988" s="6"/>
      <c r="D988" s="13" t="n">
        <v>193.13362121582</v>
      </c>
      <c r="E988" s="25" t="n">
        <v>0.514753758907318</v>
      </c>
      <c r="F988" s="25" t="n">
        <v>49.9405288696289</v>
      </c>
      <c r="G988" s="25" t="n">
        <v>0.155710905790329</v>
      </c>
      <c r="H988" s="25" t="n">
        <v>2.16967177391052</v>
      </c>
      <c r="I988" s="25" t="n">
        <v>45.2242774963379</v>
      </c>
      <c r="J988" s="25" t="n">
        <v>0.0375848617553711</v>
      </c>
      <c r="K988" s="25" t="n">
        <v>0.0280210075378418</v>
      </c>
      <c r="L988" s="25" t="n">
        <v>0.0719650802612305</v>
      </c>
      <c r="M988" s="25" t="n">
        <v>0</v>
      </c>
      <c r="N988" s="25" t="n">
        <v>480.678344726563</v>
      </c>
      <c r="O988" s="25" t="n">
        <v>105.506538391113</v>
      </c>
      <c r="P988" s="25" t="n">
        <v>25.9234828948975</v>
      </c>
      <c r="Q988" s="25" t="n">
        <v>11.2567472457886</v>
      </c>
      <c r="R988" s="25" t="n">
        <v>14.0996103286743</v>
      </c>
      <c r="S988" s="25" t="n">
        <v>0.484131872653961</v>
      </c>
      <c r="T988" s="25" t="n">
        <v>0.135486915707588</v>
      </c>
      <c r="U988" s="25" t="n">
        <v>0.108138285577297</v>
      </c>
      <c r="V988" s="25" t="n">
        <v>0.0566291026771069</v>
      </c>
      <c r="W988" s="25" t="n">
        <v>0.381836384534836</v>
      </c>
      <c r="X988" s="25" t="n">
        <v>0</v>
      </c>
      <c r="Y988" s="25" t="n">
        <v>394.815673828125</v>
      </c>
      <c r="Z988" s="25" t="n">
        <v>0.512952148914337</v>
      </c>
      <c r="AA988" s="25" t="n">
        <v>9.38259601593018</v>
      </c>
      <c r="AB988" s="25" t="n">
        <v>50.2309417724609</v>
      </c>
      <c r="AC988" s="25" t="n">
        <v>0.0138981640338898</v>
      </c>
      <c r="AD988" s="25" t="n">
        <v>0.0173622705042362</v>
      </c>
      <c r="AE988" s="25" t="n">
        <v>0.217209234833717</v>
      </c>
      <c r="AF988" s="25" t="n">
        <v>0.0799874737858772</v>
      </c>
      <c r="AG988" s="25" t="n">
        <v>0.0854062288999558</v>
      </c>
      <c r="AH988" s="25" t="n">
        <v>0.806886494159699</v>
      </c>
      <c r="AI988" s="25" t="n">
        <v>14.6834869384766</v>
      </c>
      <c r="AJ988" s="6"/>
      <c r="AK988" s="6"/>
      <c r="AL988" s="26"/>
    </row>
    <row r="989" customFormat="false" ht="15" hidden="false" customHeight="false" outlineLevel="0" collapsed="false">
      <c r="A989" s="6" t="s">
        <v>4735</v>
      </c>
      <c r="B989" s="6" t="s">
        <v>4736</v>
      </c>
      <c r="C989" s="6"/>
      <c r="D989" s="13" t="n">
        <v>34.3275985717773</v>
      </c>
      <c r="E989" s="25" t="n">
        <v>0.810624122619629</v>
      </c>
      <c r="F989" s="25" t="n">
        <v>7.23364019393921</v>
      </c>
      <c r="G989" s="25" t="n">
        <v>0.27367115020752</v>
      </c>
      <c r="H989" s="25" t="n">
        <v>1.78750622272492</v>
      </c>
      <c r="I989" s="25" t="n">
        <v>5.68747711181641</v>
      </c>
      <c r="J989" s="25" t="n">
        <v>0.0548874931335449</v>
      </c>
      <c r="K989" s="25" t="n">
        <v>0.0349838676452637</v>
      </c>
      <c r="L989" s="25" t="n">
        <v>0.128134201049805</v>
      </c>
      <c r="M989" s="25" t="n">
        <v>0</v>
      </c>
      <c r="N989" s="25" t="n">
        <v>174.792007446289</v>
      </c>
      <c r="O989" s="25" t="n">
        <v>168.407852172852</v>
      </c>
      <c r="P989" s="25" t="n">
        <v>12.995020866394</v>
      </c>
      <c r="Q989" s="25" t="n">
        <v>16.482048034668</v>
      </c>
      <c r="R989" s="25" t="n">
        <v>13.2570333480835</v>
      </c>
      <c r="S989" s="25" t="n">
        <v>0.311484456062317</v>
      </c>
      <c r="T989" s="25" t="n">
        <v>0.134676873683929</v>
      </c>
      <c r="U989" s="25" t="n">
        <v>0.0493036173284054</v>
      </c>
      <c r="V989" s="25" t="n">
        <v>0.0290904585272074</v>
      </c>
      <c r="W989" s="25" t="n">
        <v>0.256013184785843</v>
      </c>
      <c r="X989" s="25" t="n">
        <v>0</v>
      </c>
      <c r="Y989" s="25" t="n">
        <v>5288.513671875</v>
      </c>
      <c r="Z989" s="25" t="n">
        <v>0.206110283732414</v>
      </c>
      <c r="AA989" s="25" t="n">
        <v>22.6119499206543</v>
      </c>
      <c r="AB989" s="25" t="n">
        <v>23.1648941040039</v>
      </c>
      <c r="AC989" s="25" t="n">
        <v>0.039117556065321</v>
      </c>
      <c r="AD989" s="25" t="n">
        <v>0.0205758027732372</v>
      </c>
      <c r="AE989" s="25" t="n">
        <v>0.494431644678116</v>
      </c>
      <c r="AF989" s="25" t="n">
        <v>0.180438503623009</v>
      </c>
      <c r="AG989" s="25" t="n">
        <v>0.0818249583244324</v>
      </c>
      <c r="AH989" s="25" t="n">
        <v>1.10049676895142</v>
      </c>
      <c r="AI989" s="25" t="n">
        <v>15.2683153152466</v>
      </c>
      <c r="AJ989" s="6"/>
      <c r="AK989" s="6"/>
      <c r="AL989" s="26"/>
    </row>
    <row r="990" customFormat="false" ht="15" hidden="false" customHeight="false" outlineLevel="0" collapsed="false">
      <c r="A990" s="6" t="s">
        <v>4737</v>
      </c>
      <c r="B990" s="6" t="s">
        <v>4738</v>
      </c>
      <c r="C990" s="6"/>
      <c r="D990" s="13" t="n">
        <v>20.6241340637207</v>
      </c>
      <c r="E990" s="25" t="n">
        <v>0.751730978488922</v>
      </c>
      <c r="F990" s="25" t="n">
        <v>3.68447089195252</v>
      </c>
      <c r="G990" s="25" t="n">
        <v>0.247279927134514</v>
      </c>
      <c r="H990" s="25" t="n">
        <v>1.56280910968781</v>
      </c>
      <c r="I990" s="25" t="n">
        <v>2.31948566436768</v>
      </c>
      <c r="J990" s="25" t="n">
        <v>0.0471315536499024</v>
      </c>
      <c r="K990" s="25" t="n">
        <v>0.0301681499481201</v>
      </c>
      <c r="L990" s="25" t="n">
        <v>0.11770524597168</v>
      </c>
      <c r="M990" s="25" t="n">
        <v>0</v>
      </c>
      <c r="N990" s="25" t="n">
        <v>244.990112304688</v>
      </c>
      <c r="O990" s="25" t="n">
        <v>165.735900878906</v>
      </c>
      <c r="P990" s="25" t="n">
        <v>8.91196823120117</v>
      </c>
      <c r="Q990" s="25" t="n">
        <v>15.292778968811</v>
      </c>
      <c r="R990" s="25" t="n">
        <v>12.1918888092041</v>
      </c>
      <c r="S990" s="25" t="n">
        <v>0.220375865697861</v>
      </c>
      <c r="T990" s="25" t="n">
        <v>0.109891198575497</v>
      </c>
      <c r="U990" s="25" t="n">
        <v>0.040633037686348</v>
      </c>
      <c r="V990" s="25" t="n">
        <v>0</v>
      </c>
      <c r="W990" s="25" t="n">
        <v>0.089020773768425</v>
      </c>
      <c r="X990" s="25" t="n">
        <v>0</v>
      </c>
      <c r="Y990" s="25" t="n">
        <v>5762.611328125</v>
      </c>
      <c r="Z990" s="25" t="n">
        <v>0.217606335878372</v>
      </c>
      <c r="AA990" s="25" t="n">
        <v>23.8575668334961</v>
      </c>
      <c r="AB990" s="25" t="n">
        <v>24.9950542449951</v>
      </c>
      <c r="AC990" s="25" t="n">
        <v>0.0395647883415222</v>
      </c>
      <c r="AD990" s="25" t="n">
        <v>0.0197823941707611</v>
      </c>
      <c r="AE990" s="25" t="n">
        <v>0.504451036453247</v>
      </c>
      <c r="AF990" s="25" t="n">
        <v>0.17804154753685</v>
      </c>
      <c r="AG990" s="25" t="n">
        <v>0.0791295766830444</v>
      </c>
      <c r="AH990" s="25" t="n">
        <v>1.07814049720764</v>
      </c>
      <c r="AI990" s="25" t="n">
        <v>15.2423343658447</v>
      </c>
      <c r="AJ990" s="6"/>
      <c r="AK990" s="6"/>
      <c r="AL990" s="26"/>
    </row>
    <row r="991" customFormat="false" ht="15" hidden="false" customHeight="false" outlineLevel="0" collapsed="false">
      <c r="A991" s="6" t="s">
        <v>4739</v>
      </c>
      <c r="B991" s="6" t="s">
        <v>4740</v>
      </c>
      <c r="C991" s="6"/>
      <c r="D991" s="13" t="n">
        <v>254.214920043945</v>
      </c>
      <c r="E991" s="25" t="n">
        <v>9.88749980926514</v>
      </c>
      <c r="F991" s="25" t="n">
        <v>26.19553565979</v>
      </c>
      <c r="G991" s="25" t="n">
        <v>10.9723215103149</v>
      </c>
      <c r="H991" s="25" t="n">
        <v>35.5642852783203</v>
      </c>
      <c r="I991" s="25" t="n">
        <v>1.79107141494751</v>
      </c>
      <c r="J991" s="25" t="n">
        <v>0.900803588867188</v>
      </c>
      <c r="K991" s="25" t="n">
        <v>5.676875</v>
      </c>
      <c r="L991" s="25" t="n">
        <v>2.16446435546875</v>
      </c>
      <c r="M991" s="25" t="n">
        <v>0</v>
      </c>
      <c r="N991" s="25" t="n">
        <v>58.3303565979004</v>
      </c>
      <c r="O991" s="25" t="n">
        <v>1501.80358886719</v>
      </c>
      <c r="P991" s="25" t="n">
        <v>609.767883300781</v>
      </c>
      <c r="Q991" s="25" t="n">
        <v>228.026779174805</v>
      </c>
      <c r="R991" s="25" t="n">
        <v>318.392852783203</v>
      </c>
      <c r="S991" s="25" t="n">
        <v>14.5083932876587</v>
      </c>
      <c r="T991" s="25" t="n">
        <v>3.36517858505249</v>
      </c>
      <c r="U991" s="25" t="n">
        <v>1.22749996185303</v>
      </c>
      <c r="V991" s="25" t="n">
        <v>6.60446453094482</v>
      </c>
      <c r="W991" s="25" t="n">
        <v>14.3316068649292</v>
      </c>
      <c r="X991" s="25" t="n">
        <v>0</v>
      </c>
      <c r="Y991" s="25" t="n">
        <v>1088.69641113281</v>
      </c>
      <c r="Z991" s="25" t="n">
        <v>1.11874997615814</v>
      </c>
      <c r="AA991" s="25" t="n">
        <v>85.3142852783203</v>
      </c>
      <c r="AB991" s="25" t="n">
        <v>9</v>
      </c>
      <c r="AC991" s="25" t="n">
        <v>0.228035718202591</v>
      </c>
      <c r="AD991" s="25" t="n">
        <v>0.165000006556511</v>
      </c>
      <c r="AE991" s="25" t="n">
        <v>1.31160712242127</v>
      </c>
      <c r="AF991" s="25" t="n">
        <v>0.279642850160599</v>
      </c>
      <c r="AG991" s="25" t="n">
        <v>0.173392862081528</v>
      </c>
      <c r="AH991" s="25" t="n">
        <v>2.42410707473755</v>
      </c>
      <c r="AI991" s="25" t="n">
        <v>20.6758918762207</v>
      </c>
      <c r="AJ991" s="6"/>
      <c r="AK991" s="6"/>
      <c r="AL991" s="26" t="s">
        <v>3053</v>
      </c>
    </row>
    <row r="992" customFormat="false" ht="15" hidden="false" customHeight="false" outlineLevel="0" collapsed="false">
      <c r="A992" s="6" t="s">
        <v>4741</v>
      </c>
      <c r="B992" s="6" t="s">
        <v>4742</v>
      </c>
      <c r="C992" s="6"/>
      <c r="D992" s="13" t="n">
        <v>222.581909179688</v>
      </c>
      <c r="E992" s="25" t="n">
        <v>8.19000053405762</v>
      </c>
      <c r="F992" s="25" t="n">
        <v>23.8660011291504</v>
      </c>
      <c r="G992" s="25" t="n">
        <v>9.91300010681152</v>
      </c>
      <c r="H992" s="25" t="n">
        <v>18.621000289917</v>
      </c>
      <c r="I992" s="25" t="n">
        <v>0.789999961853027</v>
      </c>
      <c r="J992" s="25" t="n">
        <v>0.342799987792969</v>
      </c>
      <c r="K992" s="25" t="n">
        <v>4.4285</v>
      </c>
      <c r="L992" s="25" t="n">
        <v>1.94989990234375</v>
      </c>
      <c r="M992" s="25" t="n">
        <v>0</v>
      </c>
      <c r="N992" s="25" t="n">
        <v>11873.640625</v>
      </c>
      <c r="O992" s="25" t="n">
        <v>1051.15002441406</v>
      </c>
      <c r="P992" s="25" t="n">
        <v>519.5</v>
      </c>
      <c r="Q992" s="25" t="n">
        <v>221.150009155273</v>
      </c>
      <c r="R992" s="25" t="n">
        <v>247.900009155273</v>
      </c>
      <c r="S992" s="25" t="n">
        <v>13.2710008621216</v>
      </c>
      <c r="T992" s="25" t="n">
        <v>2.49199986457825</v>
      </c>
      <c r="U992" s="25" t="n">
        <v>0.76800000667572</v>
      </c>
      <c r="V992" s="25" t="n">
        <v>2.23799991607666</v>
      </c>
      <c r="W992" s="25" t="n">
        <v>2.56500005722046</v>
      </c>
      <c r="X992" s="25" t="n">
        <v>0</v>
      </c>
      <c r="Y992" s="25" t="n">
        <v>354.799987792969</v>
      </c>
      <c r="Z992" s="25" t="n">
        <v>0.697000026702881</v>
      </c>
      <c r="AA992" s="25" t="n">
        <v>61.9700012207031</v>
      </c>
      <c r="AB992" s="25" t="n">
        <v>6.5</v>
      </c>
      <c r="AC992" s="25" t="n">
        <v>0.261999994516373</v>
      </c>
      <c r="AD992" s="25" t="n">
        <v>0.108000002801418</v>
      </c>
      <c r="AE992" s="25" t="n">
        <v>1.51800000667572</v>
      </c>
      <c r="AF992" s="25" t="n">
        <v>0.11599999666214</v>
      </c>
      <c r="AG992" s="25" t="n">
        <v>0.159999996423721</v>
      </c>
      <c r="AH992" s="25" t="n">
        <v>0.625999987125397</v>
      </c>
      <c r="AI992" s="25" t="n">
        <v>13.3229999542236</v>
      </c>
      <c r="AJ992" s="6"/>
      <c r="AK992" s="6"/>
      <c r="AL992" s="26"/>
    </row>
    <row r="993" customFormat="false" ht="15" hidden="false" customHeight="false" outlineLevel="0" collapsed="false">
      <c r="A993" s="6" t="s">
        <v>4743</v>
      </c>
      <c r="B993" s="6" t="s">
        <v>4744</v>
      </c>
      <c r="C993" s="6"/>
      <c r="D993" s="13" t="n">
        <v>389.020599365234</v>
      </c>
      <c r="E993" s="25" t="n">
        <v>8.25822925567627</v>
      </c>
      <c r="F993" s="25" t="n">
        <v>23.160572052002</v>
      </c>
      <c r="G993" s="25" t="n">
        <v>31.0297908782959</v>
      </c>
      <c r="H993" s="25" t="n">
        <v>12.1202077865601</v>
      </c>
      <c r="I993" s="25" t="n">
        <v>2.41015625</v>
      </c>
      <c r="J993" s="25" t="n">
        <v>3.480796875</v>
      </c>
      <c r="K993" s="25" t="n">
        <v>17.010943359375</v>
      </c>
      <c r="L993" s="25" t="n">
        <v>6.38969287109375</v>
      </c>
      <c r="M993" s="25" t="n">
        <v>0</v>
      </c>
      <c r="N993" s="25" t="n">
        <v>3106.13793945313</v>
      </c>
      <c r="O993" s="25" t="n">
        <v>1020.75</v>
      </c>
      <c r="P993" s="25" t="n">
        <v>303.4921875</v>
      </c>
      <c r="Q993" s="25" t="n">
        <v>199.182495117188</v>
      </c>
      <c r="R993" s="25" t="n">
        <v>183.444793701172</v>
      </c>
      <c r="S993" s="25" t="n">
        <v>14.7169275283814</v>
      </c>
      <c r="T993" s="25" t="n">
        <v>2.09786462783814</v>
      </c>
      <c r="U993" s="25" t="n">
        <v>0.592343747615814</v>
      </c>
      <c r="V993" s="25" t="n">
        <v>5.15057277679443</v>
      </c>
      <c r="W993" s="25" t="n">
        <v>6.14375019073486</v>
      </c>
      <c r="X993" s="25" t="n">
        <v>0</v>
      </c>
      <c r="Y993" s="25" t="n">
        <v>8177.55224609375</v>
      </c>
      <c r="Z993" s="25" t="n">
        <v>0.510833323001862</v>
      </c>
      <c r="AA993" s="25" t="n">
        <v>38.3352088928223</v>
      </c>
      <c r="AB993" s="25" t="n">
        <v>2.015625</v>
      </c>
      <c r="AC993" s="25" t="n">
        <v>0.198958337306976</v>
      </c>
      <c r="AD993" s="25" t="n">
        <v>0.170729160308838</v>
      </c>
      <c r="AE993" s="25" t="n">
        <v>2.47088551521301</v>
      </c>
      <c r="AF993" s="25" t="n">
        <v>0.430312514305115</v>
      </c>
      <c r="AG993" s="25" t="n">
        <v>0.161874994635582</v>
      </c>
      <c r="AH993" s="25" t="n">
        <v>0.498541682958603</v>
      </c>
      <c r="AI993" s="25" t="n">
        <v>16.742395401001</v>
      </c>
      <c r="AJ993" s="6"/>
      <c r="AK993" s="6"/>
      <c r="AL993" s="26"/>
    </row>
    <row r="994" customFormat="false" ht="15" hidden="false" customHeight="false" outlineLevel="0" collapsed="false">
      <c r="A994" s="6" t="s">
        <v>4745</v>
      </c>
      <c r="B994" s="6" t="s">
        <v>4746</v>
      </c>
      <c r="C994" s="6"/>
      <c r="D994" s="13" t="n">
        <v>267.960876464844</v>
      </c>
      <c r="E994" s="25" t="n">
        <v>12.0374231338501</v>
      </c>
      <c r="F994" s="25" t="n">
        <v>25.1865978240967</v>
      </c>
      <c r="G994" s="25" t="n">
        <v>11.8022680282593</v>
      </c>
      <c r="H994" s="25" t="n">
        <v>35.7093811035156</v>
      </c>
      <c r="I994" s="25" t="n">
        <v>1.91092789173126</v>
      </c>
      <c r="J994" s="25" t="n">
        <v>0.779680419921875</v>
      </c>
      <c r="K994" s="25" t="n">
        <v>6.56174658203125</v>
      </c>
      <c r="L994" s="25" t="n">
        <v>2.0706494140625</v>
      </c>
      <c r="M994" s="25" t="n">
        <v>0</v>
      </c>
      <c r="N994" s="25" t="n">
        <v>38.7786598205566</v>
      </c>
      <c r="O994" s="25" t="n">
        <v>1524.89685058594</v>
      </c>
      <c r="P994" s="25" t="n">
        <v>562.148986816406</v>
      </c>
      <c r="Q994" s="25" t="n">
        <v>269.775054931641</v>
      </c>
      <c r="R994" s="25" t="n">
        <v>288.946380615234</v>
      </c>
      <c r="S994" s="25" t="n">
        <v>14.7165975570679</v>
      </c>
      <c r="T994" s="25" t="n">
        <v>3.09030938148499</v>
      </c>
      <c r="U994" s="25" t="n">
        <v>1.39989697933197</v>
      </c>
      <c r="V994" s="25" t="n">
        <v>8.91020679473877</v>
      </c>
      <c r="W994" s="25" t="n">
        <v>3.68010306358337</v>
      </c>
      <c r="X994" s="25" t="n">
        <v>0</v>
      </c>
      <c r="Y994" s="25" t="n">
        <v>6329.34033203125</v>
      </c>
      <c r="Z994" s="25" t="n">
        <v>1.02206182479858</v>
      </c>
      <c r="AA994" s="25" t="n">
        <v>88.1507263183594</v>
      </c>
      <c r="AB994" s="25" t="n">
        <v>11.6494846343994</v>
      </c>
      <c r="AC994" s="25" t="n">
        <v>0.250927835702896</v>
      </c>
      <c r="AD994" s="25" t="n">
        <v>0.204845353960991</v>
      </c>
      <c r="AE994" s="25" t="n">
        <v>1.67175257205963</v>
      </c>
      <c r="AF994" s="25" t="n">
        <v>0.392061859369278</v>
      </c>
      <c r="AG994" s="25" t="n">
        <v>0.163298964500427</v>
      </c>
      <c r="AH994" s="25" t="n">
        <v>1.7220618724823</v>
      </c>
      <c r="AI994" s="25" t="n">
        <v>33.0851554870606</v>
      </c>
      <c r="AJ994" s="6"/>
      <c r="AK994" s="6"/>
      <c r="AL994" s="26" t="s">
        <v>3053</v>
      </c>
    </row>
    <row r="995" customFormat="false" ht="15" hidden="false" customHeight="false" outlineLevel="0" collapsed="false">
      <c r="A995" s="6" t="s">
        <v>4747</v>
      </c>
      <c r="B995" s="6" t="s">
        <v>4748</v>
      </c>
      <c r="C995" s="6"/>
      <c r="D995" s="13" t="n">
        <v>297.464874267578</v>
      </c>
      <c r="E995" s="25" t="n">
        <v>12.496862411499</v>
      </c>
      <c r="F995" s="25" t="n">
        <v>23.3769607543945</v>
      </c>
      <c r="G995" s="25" t="n">
        <v>15.5771560668945</v>
      </c>
      <c r="H995" s="25" t="n">
        <v>34.5554924011231</v>
      </c>
      <c r="I995" s="25" t="n">
        <v>1.87117648124695</v>
      </c>
      <c r="J995" s="25" t="n">
        <v>5.02636279296875</v>
      </c>
      <c r="K995" s="25" t="n">
        <v>5.87833349609375</v>
      </c>
      <c r="L995" s="25" t="n">
        <v>2.18091162109375</v>
      </c>
      <c r="M995" s="25" t="n">
        <v>0</v>
      </c>
      <c r="N995" s="25" t="n">
        <v>27.6640205383301</v>
      </c>
      <c r="O995" s="25" t="n">
        <v>1350.04907226563</v>
      </c>
      <c r="P995" s="25" t="n">
        <v>439.951965332031</v>
      </c>
      <c r="Q995" s="25" t="n">
        <v>262.727264404297</v>
      </c>
      <c r="R995" s="25" t="n">
        <v>247.037261962891</v>
      </c>
      <c r="S995" s="25" t="n">
        <v>12.6260786056519</v>
      </c>
      <c r="T995" s="25" t="n">
        <v>3.00401973724365</v>
      </c>
      <c r="U995" s="25" t="n">
        <v>1.24156868457794</v>
      </c>
      <c r="V995" s="25" t="n">
        <v>14.9856863021851</v>
      </c>
      <c r="W995" s="25" t="n">
        <v>3.00607848167419</v>
      </c>
      <c r="X995" s="25" t="n">
        <v>0</v>
      </c>
      <c r="Y995" s="25" t="n">
        <v>11008.44140625</v>
      </c>
      <c r="Z995" s="25" t="n">
        <v>0.854313731193543</v>
      </c>
      <c r="AA995" s="25" t="n">
        <v>70.7658843994141</v>
      </c>
      <c r="AB995" s="25" t="n">
        <v>10.2941179275513</v>
      </c>
      <c r="AC995" s="25" t="n">
        <v>0.228333324193955</v>
      </c>
      <c r="AD995" s="25" t="n">
        <v>0.236470595002174</v>
      </c>
      <c r="AE995" s="25" t="n">
        <v>1.73539221286774</v>
      </c>
      <c r="AF995" s="25" t="n">
        <v>0.488529413938522</v>
      </c>
      <c r="AG995" s="25" t="n">
        <v>0.166568621993065</v>
      </c>
      <c r="AH995" s="25" t="n">
        <v>1.55823528766632</v>
      </c>
      <c r="AI995" s="25" t="n">
        <v>48.8721542358398</v>
      </c>
      <c r="AJ995" s="6"/>
      <c r="AK995" s="6"/>
      <c r="AL995" s="26" t="s">
        <v>3053</v>
      </c>
    </row>
    <row r="996" customFormat="false" ht="15" hidden="false" customHeight="false" outlineLevel="0" collapsed="false">
      <c r="A996" s="6" t="s">
        <v>4749</v>
      </c>
      <c r="B996" s="6" t="s">
        <v>4750</v>
      </c>
      <c r="C996" s="6"/>
      <c r="D996" s="13" t="n">
        <v>610.934997558594</v>
      </c>
      <c r="E996" s="25" t="n">
        <v>1.4358823299408</v>
      </c>
      <c r="F996" s="25" t="n">
        <v>2.96000003814697</v>
      </c>
      <c r="G996" s="25" t="n">
        <v>66.1176452636719</v>
      </c>
      <c r="H996" s="25" t="n">
        <v>0.415882349014282</v>
      </c>
      <c r="I996" s="25" t="n">
        <v>2.18235278129578</v>
      </c>
      <c r="J996" s="25" t="n">
        <v>5.0192939453125</v>
      </c>
      <c r="K996" s="25" t="n">
        <v>40.1968203125</v>
      </c>
      <c r="L996" s="25" t="n">
        <v>17.63117578125</v>
      </c>
      <c r="M996" s="25" t="n">
        <v>50.470588684082</v>
      </c>
      <c r="N996" s="25" t="n">
        <v>256.945892333984</v>
      </c>
      <c r="O996" s="25" t="n">
        <v>33.294116973877</v>
      </c>
      <c r="P996" s="25" t="n">
        <v>21.0588226318359</v>
      </c>
      <c r="Q996" s="25" t="n">
        <v>9.62117671966553</v>
      </c>
      <c r="R996" s="25" t="n">
        <v>4.8341178894043</v>
      </c>
      <c r="S996" s="25" t="n">
        <v>0.563529431819916</v>
      </c>
      <c r="T996" s="25" t="n">
        <v>0.182941183447838</v>
      </c>
      <c r="U996" s="25" t="n">
        <v>0.0331764705479145</v>
      </c>
      <c r="V996" s="25" t="n">
        <v>0.672941207885742</v>
      </c>
      <c r="W996" s="25" t="n">
        <v>0.0581176467239857</v>
      </c>
      <c r="X996" s="25" t="n">
        <v>68.8235321044922</v>
      </c>
      <c r="Y996" s="25" t="n">
        <v>390.647064208984</v>
      </c>
      <c r="Z996" s="25" t="n">
        <v>19.5723533630371</v>
      </c>
      <c r="AA996" s="25" t="n">
        <v>18.9411773681641</v>
      </c>
      <c r="AB996" s="25" t="n">
        <v>8.07647037506104</v>
      </c>
      <c r="AC996" s="25" t="n">
        <v>0.0122352940961719</v>
      </c>
      <c r="AD996" s="25" t="n">
        <v>0.102294117212296</v>
      </c>
      <c r="AE996" s="25" t="n">
        <v>0.0595294125378132</v>
      </c>
      <c r="AF996" s="25" t="n">
        <v>0.145705878734589</v>
      </c>
      <c r="AG996" s="25" t="n">
        <v>0.0919411778450012</v>
      </c>
      <c r="AH996" s="25" t="n">
        <v>1.4099999666214</v>
      </c>
      <c r="AI996" s="25" t="n">
        <v>20.8823528289795</v>
      </c>
      <c r="AJ996" s="6"/>
      <c r="AK996" s="6"/>
      <c r="AL996" s="26"/>
    </row>
    <row r="997" customFormat="false" ht="15" hidden="false" customHeight="false" outlineLevel="0" collapsed="false">
      <c r="A997" s="6" t="s">
        <v>4751</v>
      </c>
      <c r="B997" s="6" t="s">
        <v>4752</v>
      </c>
      <c r="C997" s="6"/>
      <c r="D997" s="13" t="n">
        <v>121.93416595459</v>
      </c>
      <c r="E997" s="25" t="n">
        <v>0.957167387008667</v>
      </c>
      <c r="F997" s="25" t="n">
        <v>20.4623184204102</v>
      </c>
      <c r="G997" s="25" t="n">
        <v>4.51347637176514</v>
      </c>
      <c r="H997" s="25" t="n">
        <v>0.689527928829193</v>
      </c>
      <c r="I997" s="25" t="n">
        <v>18.878625869751</v>
      </c>
      <c r="J997" s="25" t="n">
        <v>0.544971252441406</v>
      </c>
      <c r="K997" s="25" t="n">
        <v>0.97186181640625</v>
      </c>
      <c r="L997" s="25" t="n">
        <v>2.7711845703125</v>
      </c>
      <c r="M997" s="25" t="n">
        <v>0</v>
      </c>
      <c r="N997" s="25" t="n">
        <v>504.953125</v>
      </c>
      <c r="O997" s="25" t="n">
        <v>186.463516235352</v>
      </c>
      <c r="P997" s="25" t="n">
        <v>28.6090126037598</v>
      </c>
      <c r="Q997" s="25" t="n">
        <v>17.5759658813477</v>
      </c>
      <c r="R997" s="25" t="n">
        <v>16.6987133026123</v>
      </c>
      <c r="S997" s="25" t="n">
        <v>1.15283262729645</v>
      </c>
      <c r="T997" s="25" t="n">
        <v>0.160257503390312</v>
      </c>
      <c r="U997" s="25" t="n">
        <v>0.0645493566989899</v>
      </c>
      <c r="V997" s="25" t="n">
        <v>0.311716735363007</v>
      </c>
      <c r="W997" s="25" t="n">
        <v>0.180257514119148</v>
      </c>
      <c r="X997" s="25" t="n">
        <v>0</v>
      </c>
      <c r="Y997" s="25" t="n">
        <v>144</v>
      </c>
      <c r="Z997" s="25" t="n">
        <v>2.12433481216431</v>
      </c>
      <c r="AA997" s="25" t="n">
        <v>1.58369100093842</v>
      </c>
      <c r="AB997" s="25" t="n">
        <v>5.75407695770264</v>
      </c>
      <c r="AC997" s="25" t="n">
        <v>0.266781121492386</v>
      </c>
      <c r="AD997" s="25" t="n">
        <v>0.0269957091659308</v>
      </c>
      <c r="AE997" s="25" t="n">
        <v>0.635407745838165</v>
      </c>
      <c r="AF997" s="25" t="n">
        <v>0.0553648062050343</v>
      </c>
      <c r="AG997" s="25" t="n">
        <v>0.0281974244862795</v>
      </c>
      <c r="AH997" s="25" t="n">
        <v>0.351030051708221</v>
      </c>
      <c r="AI997" s="25" t="n">
        <v>5.05703830718994</v>
      </c>
      <c r="AJ997" s="6"/>
      <c r="AK997" s="6"/>
      <c r="AL997" s="26"/>
    </row>
    <row r="998" customFormat="false" ht="15" hidden="false" customHeight="false" outlineLevel="0" collapsed="false">
      <c r="A998" s="6" t="s">
        <v>4753</v>
      </c>
      <c r="B998" s="6" t="s">
        <v>4754</v>
      </c>
      <c r="C998" s="6"/>
      <c r="D998" s="13" t="n">
        <v>111.042015075684</v>
      </c>
      <c r="E998" s="25" t="n">
        <v>3.46014213562012</v>
      </c>
      <c r="F998" s="25" t="n">
        <v>8.69238948822022</v>
      </c>
      <c r="G998" s="25" t="n">
        <v>7.05068445205689</v>
      </c>
      <c r="H998" s="25" t="n">
        <v>0.561511516571045</v>
      </c>
      <c r="I998" s="25" t="n">
        <v>4.62971019744873</v>
      </c>
      <c r="J998" s="25" t="n">
        <v>4.2412705078125</v>
      </c>
      <c r="K998" s="25" t="n">
        <v>1.80412719726563</v>
      </c>
      <c r="L998" s="25" t="n">
        <v>0.241550796508789</v>
      </c>
      <c r="M998" s="25" t="n">
        <v>8.4783992767334</v>
      </c>
      <c r="N998" s="25" t="n">
        <v>88.8441772460938</v>
      </c>
      <c r="O998" s="25" t="n">
        <v>122.764991760254</v>
      </c>
      <c r="P998" s="25" t="n">
        <v>110.720199584961</v>
      </c>
      <c r="Q998" s="25" t="n">
        <v>88.4158782958984</v>
      </c>
      <c r="R998" s="25" t="n">
        <v>11.0674028396606</v>
      </c>
      <c r="S998" s="25" t="n">
        <v>0.314104110002518</v>
      </c>
      <c r="T998" s="25" t="n">
        <v>0.355015397071838</v>
      </c>
      <c r="U998" s="25" t="n">
        <v>0.0480235666036606</v>
      </c>
      <c r="V998" s="25" t="n">
        <v>1.37807822227478</v>
      </c>
      <c r="W998" s="25" t="n">
        <v>0.240181505680084</v>
      </c>
      <c r="X998" s="25" t="n">
        <v>38.1328926086426</v>
      </c>
      <c r="Y998" s="25" t="n">
        <v>194.402130126953</v>
      </c>
      <c r="Z998" s="25" t="n">
        <v>0.262856930494309</v>
      </c>
      <c r="AA998" s="25" t="n">
        <v>1.30692076683044</v>
      </c>
      <c r="AB998" s="25" t="n">
        <v>2.13273549079895</v>
      </c>
      <c r="AC998" s="25" t="n">
        <v>0.0460672974586487</v>
      </c>
      <c r="AD998" s="25" t="n">
        <v>0.0974286198616028</v>
      </c>
      <c r="AE998" s="25" t="n">
        <v>0.222309201955795</v>
      </c>
      <c r="AF998" s="25" t="n">
        <v>0.297898322343826</v>
      </c>
      <c r="AG998" s="25" t="n">
        <v>0.0458151996135712</v>
      </c>
      <c r="AH998" s="25" t="n">
        <v>1.80303311347961</v>
      </c>
      <c r="AI998" s="25" t="n">
        <v>10.3204412460327</v>
      </c>
      <c r="AJ998" s="6"/>
      <c r="AK998" s="6"/>
      <c r="AL998" s="26"/>
    </row>
    <row r="999" customFormat="false" ht="15" hidden="false" customHeight="false" outlineLevel="0" collapsed="false">
      <c r="A999" s="6" t="s">
        <v>4755</v>
      </c>
      <c r="B999" s="6" t="s">
        <v>4756</v>
      </c>
      <c r="C999" s="6"/>
      <c r="D999" s="13" t="n">
        <v>46.0566673278809</v>
      </c>
      <c r="E999" s="25" t="n">
        <v>1.24814820289612</v>
      </c>
      <c r="F999" s="25" t="n">
        <v>7.36481475830078</v>
      </c>
      <c r="G999" s="25" t="n">
        <v>0.266666650772095</v>
      </c>
      <c r="H999" s="25" t="n">
        <v>1.7666666507721</v>
      </c>
      <c r="I999" s="25" t="n">
        <v>5.35925912857056</v>
      </c>
      <c r="J999" s="25" t="n">
        <v>0.047777774810791</v>
      </c>
      <c r="K999" s="25" t="n">
        <v>0.0119259262084961</v>
      </c>
      <c r="L999" s="25" t="n">
        <v>0.152962966918945</v>
      </c>
      <c r="M999" s="25" t="n">
        <v>0</v>
      </c>
      <c r="N999" s="25" t="n">
        <v>1037.03698730469</v>
      </c>
      <c r="O999" s="25" t="n">
        <v>155.759262084961</v>
      </c>
      <c r="P999" s="25" t="n">
        <v>9.88888931274414</v>
      </c>
      <c r="Q999" s="25" t="n">
        <v>26.7074069976807</v>
      </c>
      <c r="R999" s="25" t="n">
        <v>16.5407409667969</v>
      </c>
      <c r="S999" s="25" t="n">
        <v>0.642592549324036</v>
      </c>
      <c r="T999" s="25" t="n">
        <v>0.168518528342247</v>
      </c>
      <c r="U999" s="25" t="n">
        <v>0.0672222226858139</v>
      </c>
      <c r="V999" s="25" t="n">
        <v>0.518518507480621</v>
      </c>
      <c r="W999" s="25" t="n">
        <v>0.118888892233372</v>
      </c>
      <c r="X999" s="25" t="n">
        <v>0</v>
      </c>
      <c r="Y999" s="25" t="n">
        <v>498.888885498047</v>
      </c>
      <c r="Z999" s="25" t="n">
        <v>0.100000001490116</v>
      </c>
      <c r="AA999" s="25" t="n">
        <v>7.10370349884033</v>
      </c>
      <c r="AB999" s="25" t="n">
        <v>34.8407402038574</v>
      </c>
      <c r="AC999" s="25" t="n">
        <v>0.0361111089587212</v>
      </c>
      <c r="AD999" s="25" t="n">
        <v>0.0479629635810852</v>
      </c>
      <c r="AE999" s="25" t="n">
        <v>0.518518507480621</v>
      </c>
      <c r="AF999" s="25" t="n">
        <v>0.0814814791083336</v>
      </c>
      <c r="AG999" s="25" t="n">
        <v>0.103703707456589</v>
      </c>
      <c r="AH999" s="25" t="n">
        <v>0.233333334326744</v>
      </c>
      <c r="AI999" s="25" t="n">
        <v>8.57407474517822</v>
      </c>
      <c r="AJ999" s="6"/>
      <c r="AK999" s="6"/>
      <c r="AL999" s="26"/>
    </row>
    <row r="1000" customFormat="false" ht="15" hidden="false" customHeight="false" outlineLevel="0" collapsed="false">
      <c r="A1000" s="6" t="s">
        <v>4757</v>
      </c>
      <c r="B1000" s="6" t="s">
        <v>4758</v>
      </c>
      <c r="C1000" s="6"/>
      <c r="D1000" s="13" t="n">
        <v>238.779861450195</v>
      </c>
      <c r="E1000" s="25" t="n">
        <v>6.20788240432739</v>
      </c>
      <c r="F1000" s="25" t="n">
        <v>44.5038032531738</v>
      </c>
      <c r="G1000" s="25" t="n">
        <v>3.56360912322998</v>
      </c>
      <c r="H1000" s="25" t="n">
        <v>1.65383732318878</v>
      </c>
      <c r="I1000" s="25" t="n">
        <v>1.07259738445282</v>
      </c>
      <c r="J1000" s="25" t="n">
        <v>0.503970977783203</v>
      </c>
      <c r="K1000" s="25" t="n">
        <v>2.30160498046875</v>
      </c>
      <c r="L1000" s="25" t="n">
        <v>0.460659149169922</v>
      </c>
      <c r="M1000" s="25" t="n">
        <v>0</v>
      </c>
      <c r="N1000" s="25" t="n">
        <v>182.070526123047</v>
      </c>
      <c r="O1000" s="25" t="n">
        <v>89.0942611694336</v>
      </c>
      <c r="P1000" s="25" t="n">
        <v>12.2701091766357</v>
      </c>
      <c r="Q1000" s="25" t="n">
        <v>65.9184188842773</v>
      </c>
      <c r="R1000" s="25" t="n">
        <v>18.7402629852295</v>
      </c>
      <c r="S1000" s="25" t="n">
        <v>1.0744411945343</v>
      </c>
      <c r="T1000" s="25" t="n">
        <v>0.527771413326263</v>
      </c>
      <c r="U1000" s="25" t="n">
        <v>0.10254666954279</v>
      </c>
      <c r="V1000" s="25" t="n">
        <v>0</v>
      </c>
      <c r="W1000" s="25" t="n">
        <v>0.377506345510483</v>
      </c>
      <c r="X1000" s="25" t="n">
        <v>0</v>
      </c>
      <c r="Y1000" s="25" t="n">
        <v>161.788436889648</v>
      </c>
      <c r="Z1000" s="25" t="n">
        <v>0.188637927174568</v>
      </c>
      <c r="AA1000" s="25" t="n">
        <v>2.38822317123413</v>
      </c>
      <c r="AB1000" s="25" t="n">
        <v>0</v>
      </c>
      <c r="AC1000" s="25" t="n">
        <v>0.089882455766201</v>
      </c>
      <c r="AD1000" s="25" t="n">
        <v>0.0359529852867127</v>
      </c>
      <c r="AE1000" s="25" t="n">
        <v>0.461396664381027</v>
      </c>
      <c r="AF1000" s="25" t="n">
        <v>0.431435823440552</v>
      </c>
      <c r="AG1000" s="25" t="n">
        <v>0.0479373149573803</v>
      </c>
      <c r="AH1000" s="25" t="n">
        <v>0.34754553437233</v>
      </c>
      <c r="AI1000" s="25" t="n">
        <v>9.73726654052734</v>
      </c>
      <c r="AJ1000" s="6"/>
      <c r="AK1000" s="6"/>
      <c r="AL1000" s="26"/>
    </row>
    <row r="1001" customFormat="false" ht="15" hidden="false" customHeight="false" outlineLevel="0" collapsed="false">
      <c r="A1001" s="6" t="s">
        <v>4759</v>
      </c>
      <c r="B1001" s="6" t="s">
        <v>4760</v>
      </c>
      <c r="C1001" s="6"/>
      <c r="D1001" s="13" t="n">
        <v>43.6864395141602</v>
      </c>
      <c r="E1001" s="25" t="n">
        <v>2.20271253585815</v>
      </c>
      <c r="F1001" s="25" t="n">
        <v>4.9206395149231</v>
      </c>
      <c r="G1001" s="25" t="n">
        <v>1.61746251583099</v>
      </c>
      <c r="H1001" s="25" t="n">
        <v>1.07713210582733</v>
      </c>
      <c r="I1001" s="25" t="n">
        <v>0.126668110489845</v>
      </c>
      <c r="J1001" s="25" t="n">
        <v>0.873427612304688</v>
      </c>
      <c r="K1001" s="25" t="n">
        <v>0.401859680175781</v>
      </c>
      <c r="L1001" s="25" t="n">
        <v>0.141621505737305</v>
      </c>
      <c r="M1001" s="25" t="n">
        <v>3.54671287536621</v>
      </c>
      <c r="N1001" s="25" t="n">
        <v>117.738975524902</v>
      </c>
      <c r="O1001" s="25" t="n">
        <v>130.127105712891</v>
      </c>
      <c r="P1001" s="25" t="n">
        <v>7.69269132614136</v>
      </c>
      <c r="Q1001" s="25" t="n">
        <v>39.1976661682129</v>
      </c>
      <c r="R1001" s="25" t="n">
        <v>16.6204147338867</v>
      </c>
      <c r="S1001" s="25" t="n">
        <v>0.521835625171661</v>
      </c>
      <c r="T1001" s="25" t="n">
        <v>0.246170699596405</v>
      </c>
      <c r="U1001" s="25" t="n">
        <v>0.0932624042034149</v>
      </c>
      <c r="V1001" s="25" t="n">
        <v>4.35588932037354</v>
      </c>
      <c r="W1001" s="25" t="n">
        <v>0.169174164533615</v>
      </c>
      <c r="X1001" s="25" t="n">
        <v>13.2929639816284</v>
      </c>
      <c r="Y1001" s="25" t="n">
        <v>113.222007751465</v>
      </c>
      <c r="Z1001" s="25" t="n">
        <v>0.117415510118008</v>
      </c>
      <c r="AA1001" s="25" t="n">
        <v>1.78607964515686</v>
      </c>
      <c r="AB1001" s="25" t="n">
        <v>1.02999484539032</v>
      </c>
      <c r="AC1001" s="25" t="n">
        <v>0.0340717993676662</v>
      </c>
      <c r="AD1001" s="25" t="n">
        <v>0.0137315448373556</v>
      </c>
      <c r="AE1001" s="25" t="n">
        <v>0.19438436627388</v>
      </c>
      <c r="AF1001" s="25" t="n">
        <v>0.155047863721848</v>
      </c>
      <c r="AG1001" s="25" t="n">
        <v>0.0261727217584848</v>
      </c>
      <c r="AH1001" s="25" t="n">
        <v>0.0865239277482033</v>
      </c>
      <c r="AI1001" s="25" t="n">
        <v>8.58752536773682</v>
      </c>
      <c r="AJ1001" s="6"/>
      <c r="AK1001" s="6"/>
      <c r="AL1001" s="26"/>
    </row>
    <row r="1002" customFormat="false" ht="15" hidden="false" customHeight="false" outlineLevel="0" collapsed="false">
      <c r="A1002" s="6" t="s">
        <v>4761</v>
      </c>
      <c r="B1002" s="6" t="s">
        <v>4762</v>
      </c>
      <c r="C1002" s="6"/>
      <c r="D1002" s="13" t="n">
        <v>736.805541992188</v>
      </c>
      <c r="E1002" s="25" t="n">
        <v>3.33615398406982</v>
      </c>
      <c r="F1002" s="25" t="n">
        <v>5.21846151351929</v>
      </c>
      <c r="G1002" s="25" t="n">
        <v>78.767692565918</v>
      </c>
      <c r="H1002" s="25" t="n">
        <v>6.00769233703613</v>
      </c>
      <c r="I1002" s="25" t="n">
        <v>0.489230751991272</v>
      </c>
      <c r="J1002" s="25" t="n">
        <v>45.12830859375</v>
      </c>
      <c r="K1002" s="25" t="n">
        <v>21.18176953125</v>
      </c>
      <c r="L1002" s="25" t="n">
        <v>4.4793076171875</v>
      </c>
      <c r="M1002" s="25" t="n">
        <v>189.230773925781</v>
      </c>
      <c r="N1002" s="25" t="n">
        <v>177.576919555664</v>
      </c>
      <c r="O1002" s="25" t="n">
        <v>420.923095703125</v>
      </c>
      <c r="P1002" s="25" t="n">
        <v>177.769226074219</v>
      </c>
      <c r="Q1002" s="25" t="n">
        <v>85.3076934814453</v>
      </c>
      <c r="R1002" s="25" t="n">
        <v>86.4230804443359</v>
      </c>
      <c r="S1002" s="25" t="n">
        <v>5.08538436889648</v>
      </c>
      <c r="T1002" s="25" t="n">
        <v>0.971538484096527</v>
      </c>
      <c r="U1002" s="25" t="n">
        <v>0.276153862476349</v>
      </c>
      <c r="V1002" s="25" t="n">
        <v>0.616923093795776</v>
      </c>
      <c r="W1002" s="25" t="n">
        <v>0.943846166133881</v>
      </c>
      <c r="X1002" s="25" t="n">
        <v>709.230773925781</v>
      </c>
      <c r="Y1002" s="25" t="n">
        <v>2215.46142578125</v>
      </c>
      <c r="Z1002" s="25" t="n">
        <v>4.65999984741211</v>
      </c>
      <c r="AA1002" s="25" t="n">
        <v>26.5269241333008</v>
      </c>
      <c r="AB1002" s="25" t="n">
        <v>1.26923072338104</v>
      </c>
      <c r="AC1002" s="25" t="n">
        <v>0.103076919913292</v>
      </c>
      <c r="AD1002" s="25" t="n">
        <v>0.0688461512327194</v>
      </c>
      <c r="AE1002" s="25" t="n">
        <v>0.983846127986908</v>
      </c>
      <c r="AF1002" s="25" t="n">
        <v>0.0680769234895706</v>
      </c>
      <c r="AG1002" s="25" t="n">
        <v>0.140769228339195</v>
      </c>
      <c r="AH1002" s="25" t="n">
        <v>0.184615388512611</v>
      </c>
      <c r="AI1002" s="25" t="n">
        <v>5.35230779647827</v>
      </c>
      <c r="AJ1002" s="6"/>
      <c r="AK1002" s="6"/>
      <c r="AL1002" s="26"/>
    </row>
    <row r="1003" customFormat="false" ht="15" hidden="false" customHeight="false" outlineLevel="0" collapsed="false">
      <c r="A1003" s="6" t="s">
        <v>4763</v>
      </c>
      <c r="B1003" s="6" t="s">
        <v>4764</v>
      </c>
      <c r="C1003" s="6"/>
      <c r="D1003" s="13" t="n">
        <v>137.52409362793</v>
      </c>
      <c r="E1003" s="25" t="n">
        <v>1.25957322120667</v>
      </c>
      <c r="F1003" s="25" t="n">
        <v>6.17230701446533</v>
      </c>
      <c r="G1003" s="25" t="n">
        <v>11.9777660369873</v>
      </c>
      <c r="H1003" s="25" t="n">
        <v>2.11918187141419</v>
      </c>
      <c r="I1003" s="25" t="n">
        <v>3.50530958175659</v>
      </c>
      <c r="J1003" s="25" t="n">
        <v>6.99220703125</v>
      </c>
      <c r="K1003" s="25" t="n">
        <v>3.09701147460938</v>
      </c>
      <c r="L1003" s="25" t="n">
        <v>0.697586181640625</v>
      </c>
      <c r="M1003" s="25" t="n">
        <v>29.1676559448242</v>
      </c>
      <c r="N1003" s="25" t="n">
        <v>31.3332939147949</v>
      </c>
      <c r="O1003" s="25" t="n">
        <v>174.163391113281</v>
      </c>
      <c r="P1003" s="25" t="n">
        <v>20.4508304595947</v>
      </c>
      <c r="Q1003" s="25" t="n">
        <v>26.9402351379395</v>
      </c>
      <c r="R1003" s="25" t="n">
        <v>16.7448825836182</v>
      </c>
      <c r="S1003" s="25" t="n">
        <v>0.625539481639862</v>
      </c>
      <c r="T1003" s="25" t="n">
        <v>0.263834476470947</v>
      </c>
      <c r="U1003" s="25" t="n">
        <v>0.0878705233335495</v>
      </c>
      <c r="V1003" s="25" t="n">
        <v>0.16599477827549</v>
      </c>
      <c r="W1003" s="25" t="n">
        <v>0.202575296163559</v>
      </c>
      <c r="X1003" s="25" t="n">
        <v>109.31941986084</v>
      </c>
      <c r="Y1003" s="25" t="n">
        <v>2496.30053710938</v>
      </c>
      <c r="Z1003" s="25" t="n">
        <v>0.79561060667038</v>
      </c>
      <c r="AA1003" s="25" t="n">
        <v>12.0999670028687</v>
      </c>
      <c r="AB1003" s="25" t="n">
        <v>15.8927412033081</v>
      </c>
      <c r="AC1003" s="25" t="n">
        <v>0.0403201319277287</v>
      </c>
      <c r="AD1003" s="25" t="n">
        <v>0.0237419959157705</v>
      </c>
      <c r="AE1003" s="25" t="n">
        <v>0.461496323347092</v>
      </c>
      <c r="AF1003" s="25" t="n">
        <v>0.220296412706375</v>
      </c>
      <c r="AG1003" s="25" t="n">
        <v>0.099421389400959</v>
      </c>
      <c r="AH1003" s="25" t="n">
        <v>1.65051221847534</v>
      </c>
      <c r="AI1003" s="25" t="n">
        <v>20.1957550048828</v>
      </c>
      <c r="AJ1003" s="6"/>
      <c r="AK1003" s="6"/>
      <c r="AL1003" s="26"/>
    </row>
    <row r="1004" customFormat="false" ht="15" hidden="false" customHeight="false" outlineLevel="0" collapsed="false">
      <c r="A1004" s="6" t="s">
        <v>4765</v>
      </c>
      <c r="B1004" s="6" t="s">
        <v>4766</v>
      </c>
      <c r="C1004" s="6"/>
      <c r="D1004" s="13" t="n">
        <v>552.592407226563</v>
      </c>
      <c r="E1004" s="25" t="n">
        <v>4.73033952713013</v>
      </c>
      <c r="F1004" s="25" t="n">
        <v>10.4451379776001</v>
      </c>
      <c r="G1004" s="25" t="n">
        <v>54.2978248596191</v>
      </c>
      <c r="H1004" s="25" t="n">
        <v>9.74209117889404</v>
      </c>
      <c r="I1004" s="25" t="n">
        <v>1.14453291893005</v>
      </c>
      <c r="J1004" s="25" t="n">
        <v>31.33635546875</v>
      </c>
      <c r="K1004" s="25" t="n">
        <v>14.349384765625</v>
      </c>
      <c r="L1004" s="25" t="n">
        <v>3.38340869140625</v>
      </c>
      <c r="M1004" s="25" t="n">
        <v>130.573257446289</v>
      </c>
      <c r="N1004" s="25" t="n">
        <v>8.89745235443115</v>
      </c>
      <c r="O1004" s="25" t="n">
        <v>553.412963867188</v>
      </c>
      <c r="P1004" s="25" t="n">
        <v>182.931655883789</v>
      </c>
      <c r="Q1004" s="25" t="n">
        <v>89.9654922485352</v>
      </c>
      <c r="R1004" s="25" t="n">
        <v>91.7696380615234</v>
      </c>
      <c r="S1004" s="25" t="n">
        <v>4.13551998138428</v>
      </c>
      <c r="T1004" s="25" t="n">
        <v>0.703789830207825</v>
      </c>
      <c r="U1004" s="25" t="n">
        <v>0.281889587640762</v>
      </c>
      <c r="V1004" s="25" t="n">
        <v>9.60972404479981</v>
      </c>
      <c r="W1004" s="25" t="n">
        <v>0.787579596042633</v>
      </c>
      <c r="X1004" s="25" t="n">
        <v>489.38427734375</v>
      </c>
      <c r="Y1004" s="25" t="n">
        <v>23706.771484375</v>
      </c>
      <c r="Z1004" s="25" t="n">
        <v>3.69682574272156</v>
      </c>
      <c r="AA1004" s="25" t="n">
        <v>109.650741577148</v>
      </c>
      <c r="AB1004" s="25" t="n">
        <v>1.28237795829773</v>
      </c>
      <c r="AC1004" s="25" t="n">
        <v>0.154532909393311</v>
      </c>
      <c r="AD1004" s="25" t="n">
        <v>0.184033960103989</v>
      </c>
      <c r="AE1004" s="25" t="n">
        <v>1.53447985649109</v>
      </c>
      <c r="AF1004" s="25" t="n">
        <v>0.229501068592072</v>
      </c>
      <c r="AG1004" s="25" t="n">
        <v>0.202908709645271</v>
      </c>
      <c r="AH1004" s="25" t="n">
        <v>0.697866261005402</v>
      </c>
      <c r="AI1004" s="25" t="n">
        <v>37.8837585449219</v>
      </c>
      <c r="AJ1004" s="6"/>
      <c r="AK1004" s="6"/>
      <c r="AL1004" s="26"/>
    </row>
    <row r="1005" customFormat="false" ht="15" hidden="false" customHeight="false" outlineLevel="0" collapsed="false">
      <c r="A1005" s="6" t="s">
        <v>4767</v>
      </c>
      <c r="B1005" s="6" t="s">
        <v>4768</v>
      </c>
      <c r="C1005" s="6"/>
      <c r="D1005" s="13" t="n">
        <v>252.740570068359</v>
      </c>
      <c r="E1005" s="25" t="n">
        <v>0.132339596748352</v>
      </c>
      <c r="F1005" s="25" t="n">
        <v>67.9457550048828</v>
      </c>
      <c r="G1005" s="25" t="n">
        <v>0.0712896957993507</v>
      </c>
      <c r="H1005" s="25" t="n">
        <v>0</v>
      </c>
      <c r="I1005" s="25" t="n">
        <v>17.6506805419922</v>
      </c>
      <c r="J1005" s="25" t="n">
        <v>0.0163318214416504</v>
      </c>
      <c r="K1005" s="25" t="n">
        <v>0.00631237840652466</v>
      </c>
      <c r="L1005" s="25" t="n">
        <v>0.0325988349914551</v>
      </c>
      <c r="M1005" s="25" t="n">
        <v>0</v>
      </c>
      <c r="N1005" s="25" t="n">
        <v>105.808174133301</v>
      </c>
      <c r="O1005" s="25" t="n">
        <v>39.9753723144531</v>
      </c>
      <c r="P1005" s="25" t="n">
        <v>24.8191833496094</v>
      </c>
      <c r="Q1005" s="25" t="n">
        <v>9.97602081298828</v>
      </c>
      <c r="R1005" s="25" t="n">
        <v>6.69799089431763</v>
      </c>
      <c r="S1005" s="25" t="n">
        <v>0.454115360975266</v>
      </c>
      <c r="T1005" s="25" t="n">
        <v>0.0429682433605194</v>
      </c>
      <c r="U1005" s="25" t="n">
        <v>0.0192093327641487</v>
      </c>
      <c r="V1005" s="25" t="n">
        <v>0</v>
      </c>
      <c r="W1005" s="25" t="n">
        <v>0.00129617634229362</v>
      </c>
      <c r="X1005" s="25" t="n">
        <v>0</v>
      </c>
      <c r="Y1005" s="25" t="n">
        <v>7.0836033821106</v>
      </c>
      <c r="Z1005" s="25" t="n">
        <v>0.00388852879405022</v>
      </c>
      <c r="AA1005" s="25" t="n">
        <v>0.116655871272087</v>
      </c>
      <c r="AB1005" s="25" t="n">
        <v>3.12119245529175</v>
      </c>
      <c r="AC1005" s="25" t="n">
        <v>0.00946208741515875</v>
      </c>
      <c r="AD1005" s="25" t="n">
        <v>0.00686973473057151</v>
      </c>
      <c r="AE1005" s="25" t="n">
        <v>0.00648088147863746</v>
      </c>
      <c r="AF1005" s="25" t="n">
        <v>0.0202203504741192</v>
      </c>
      <c r="AG1005" s="25" t="n">
        <v>0.00816591084003449</v>
      </c>
      <c r="AH1005" s="25" t="n">
        <v>0.124432921409607</v>
      </c>
      <c r="AI1005" s="25" t="n">
        <v>0.870382368564606</v>
      </c>
      <c r="AJ1005" s="6"/>
      <c r="AK1005" s="6"/>
      <c r="AL1005" s="26"/>
    </row>
    <row r="1006" customFormat="false" ht="15" hidden="false" customHeight="false" outlineLevel="0" collapsed="false">
      <c r="A1006" s="6" t="s">
        <v>4769</v>
      </c>
      <c r="B1006" s="6" t="s">
        <v>4770</v>
      </c>
      <c r="C1006" s="6"/>
      <c r="D1006" s="13" t="n">
        <v>152.126327514648</v>
      </c>
      <c r="E1006" s="25" t="n">
        <v>0.0966666713356972</v>
      </c>
      <c r="F1006" s="25" t="n">
        <v>39.3699989318848</v>
      </c>
      <c r="G1006" s="25" t="n">
        <v>0.213333338499069</v>
      </c>
      <c r="H1006" s="25" t="n">
        <v>0.863333344459534</v>
      </c>
      <c r="I1006" s="25" t="n">
        <v>38.1766662597656</v>
      </c>
      <c r="J1006" s="25" t="n">
        <v>0.0513333320617676</v>
      </c>
      <c r="K1006" s="25" t="n">
        <v>0.0170433330535889</v>
      </c>
      <c r="L1006" s="25" t="n">
        <v>0.094</v>
      </c>
      <c r="M1006" s="25" t="n">
        <v>0</v>
      </c>
      <c r="N1006" s="25" t="n">
        <v>2.14333343505859</v>
      </c>
      <c r="O1006" s="25" t="n">
        <v>40.3333320617676</v>
      </c>
      <c r="P1006" s="25" t="n">
        <v>7.89333343505859</v>
      </c>
      <c r="Q1006" s="25" t="n">
        <v>3.81333327293396</v>
      </c>
      <c r="R1006" s="25" t="n">
        <v>3.36333346366882</v>
      </c>
      <c r="S1006" s="25" t="n">
        <v>0.153333336114883</v>
      </c>
      <c r="T1006" s="25" t="n">
        <v>0.0633333325386047</v>
      </c>
      <c r="U1006" s="25" t="n">
        <v>0.0533333346247673</v>
      </c>
      <c r="V1006" s="25" t="n">
        <v>0.156666666269302</v>
      </c>
      <c r="W1006" s="25" t="n">
        <v>0.0166666675359011</v>
      </c>
      <c r="X1006" s="25" t="n">
        <v>0</v>
      </c>
      <c r="Y1006" s="25" t="n">
        <v>76.3333358764648</v>
      </c>
      <c r="Z1006" s="25" t="n">
        <v>0.0500000007450581</v>
      </c>
      <c r="AA1006" s="25" t="n">
        <v>1.21666669845581</v>
      </c>
      <c r="AB1006" s="25" t="n">
        <v>1.19000005722046</v>
      </c>
      <c r="AC1006" s="25" t="n">
        <v>0.0100000007078052</v>
      </c>
      <c r="AD1006" s="25" t="n">
        <v>0.00333333341404796</v>
      </c>
      <c r="AE1006" s="25" t="n">
        <v>0.0833333358168602</v>
      </c>
      <c r="AF1006" s="25" t="n">
        <v>0.0299999993294478</v>
      </c>
      <c r="AG1006" s="25" t="n">
        <v>0.0133333336561918</v>
      </c>
      <c r="AH1006" s="25" t="n">
        <v>0.113333337008953</v>
      </c>
      <c r="AI1006" s="25" t="n">
        <v>1.01333332061768</v>
      </c>
      <c r="AJ1006" s="6"/>
      <c r="AK1006" s="6"/>
      <c r="AL1006" s="26"/>
    </row>
    <row r="1007" customFormat="false" ht="15" hidden="false" customHeight="false" outlineLevel="0" collapsed="false">
      <c r="A1007" s="6" t="s">
        <v>4771</v>
      </c>
      <c r="B1007" s="6" t="s">
        <v>4772</v>
      </c>
      <c r="C1007" s="6"/>
      <c r="D1007" s="13" t="n">
        <v>143.761337280273</v>
      </c>
      <c r="E1007" s="25" t="n">
        <v>0.233333334326744</v>
      </c>
      <c r="F1007" s="25" t="n">
        <v>37.6399993896484</v>
      </c>
      <c r="G1007" s="25" t="n">
        <v>0.0433333329856396</v>
      </c>
      <c r="H1007" s="25" t="n">
        <v>0.429999977350235</v>
      </c>
      <c r="I1007" s="25" t="n">
        <v>37.2866668701172</v>
      </c>
      <c r="J1007" s="25" t="n">
        <v>0.0123699998855591</v>
      </c>
      <c r="K1007" s="25" t="n">
        <v>0.00642000007629395</v>
      </c>
      <c r="L1007" s="25" t="n">
        <v>0.0158766660690308</v>
      </c>
      <c r="M1007" s="25" t="n">
        <v>0</v>
      </c>
      <c r="N1007" s="25" t="n">
        <v>2.15666675567627</v>
      </c>
      <c r="O1007" s="25" t="n">
        <v>56.3333320617676</v>
      </c>
      <c r="P1007" s="25" t="n">
        <v>9.84000015258789</v>
      </c>
      <c r="Q1007" s="25" t="n">
        <v>4.63333320617676</v>
      </c>
      <c r="R1007" s="25" t="n">
        <v>4.34999990463257</v>
      </c>
      <c r="S1007" s="25" t="n">
        <v>0.33666667342186</v>
      </c>
      <c r="T1007" s="25" t="n">
        <v>0.0466666668653488</v>
      </c>
      <c r="U1007" s="25" t="n">
        <v>0.0500000007450581</v>
      </c>
      <c r="V1007" s="25" t="n">
        <v>0.0633333325386047</v>
      </c>
      <c r="W1007" s="25" t="n">
        <v>0.00666666682809591</v>
      </c>
      <c r="X1007" s="25" t="n">
        <v>0</v>
      </c>
      <c r="Y1007" s="25" t="n">
        <v>225</v>
      </c>
      <c r="Z1007" s="25" t="n">
        <v>0.0133333336561918</v>
      </c>
      <c r="AA1007" s="25" t="n">
        <v>0.833333313465118</v>
      </c>
      <c r="AB1007" s="25" t="n">
        <v>14.2400007247925</v>
      </c>
      <c r="AC1007" s="25" t="n">
        <v>0.0233333334326744</v>
      </c>
      <c r="AD1007" s="25" t="n">
        <v>0.00666666682809591</v>
      </c>
      <c r="AE1007" s="25" t="n">
        <v>0.0933333337306976</v>
      </c>
      <c r="AF1007" s="25" t="n">
        <v>0.0666666701436043</v>
      </c>
      <c r="AG1007" s="25" t="n">
        <v>0.0133333336561918</v>
      </c>
      <c r="AH1007" s="25" t="n">
        <v>0.959999978542328</v>
      </c>
      <c r="AI1007" s="25" t="n">
        <v>6.48666667938232</v>
      </c>
      <c r="AJ1007" s="6"/>
      <c r="AK1007" s="6"/>
      <c r="AL1007" s="26"/>
    </row>
    <row r="1008" customFormat="false" ht="15" hidden="false" customHeight="false" outlineLevel="0" collapsed="false">
      <c r="A1008" s="6" t="s">
        <v>4773</v>
      </c>
      <c r="B1008" s="6" t="s">
        <v>4774</v>
      </c>
      <c r="C1008" s="6"/>
      <c r="D1008" s="13" t="n">
        <v>211.167709350586</v>
      </c>
      <c r="E1008" s="25" t="n">
        <v>0.159960016608238</v>
      </c>
      <c r="F1008" s="25" t="n">
        <v>55.5111236572266</v>
      </c>
      <c r="G1008" s="25" t="n">
        <v>0.0999750047922134</v>
      </c>
      <c r="H1008" s="25" t="n">
        <v>0.517370700836182</v>
      </c>
      <c r="I1008" s="25" t="n">
        <v>55.0187454223633</v>
      </c>
      <c r="J1008" s="25" t="n">
        <v>0.00501124715805054</v>
      </c>
      <c r="K1008" s="25" t="n">
        <v>0.0424893760681152</v>
      </c>
      <c r="L1008" s="25" t="n">
        <v>0.0147663078308106</v>
      </c>
      <c r="M1008" s="25" t="n">
        <v>0</v>
      </c>
      <c r="N1008" s="25" t="n">
        <v>12.7093229293823</v>
      </c>
      <c r="O1008" s="25" t="n">
        <v>43.0114974975586</v>
      </c>
      <c r="P1008" s="25" t="n">
        <v>6.90327405929565</v>
      </c>
      <c r="Q1008" s="25" t="n">
        <v>3.9567608833313</v>
      </c>
      <c r="R1008" s="25" t="n">
        <v>2.96575856208801</v>
      </c>
      <c r="S1008" s="25" t="n">
        <v>0.16253437101841</v>
      </c>
      <c r="T1008" s="25" t="n">
        <v>0.0750062465667725</v>
      </c>
      <c r="U1008" s="25" t="n">
        <v>0.162479385733604</v>
      </c>
      <c r="V1008" s="25" t="n">
        <v>0.139965012669563</v>
      </c>
      <c r="W1008" s="25" t="n">
        <v>0.0149962510913611</v>
      </c>
      <c r="X1008" s="25" t="n">
        <v>0</v>
      </c>
      <c r="Y1008" s="25" t="n">
        <v>107.473129272461</v>
      </c>
      <c r="Z1008" s="25" t="n">
        <v>0.124968759715557</v>
      </c>
      <c r="AA1008" s="25" t="n">
        <v>2.12446880340576</v>
      </c>
      <c r="AB1008" s="25" t="n">
        <v>0.564858794212341</v>
      </c>
      <c r="AC1008" s="25" t="n">
        <v>0.00499875051900744</v>
      </c>
      <c r="AD1008" s="25" t="n">
        <v>0.00499875051900744</v>
      </c>
      <c r="AE1008" s="25" t="n">
        <v>0.109972506761551</v>
      </c>
      <c r="AF1008" s="25" t="n">
        <v>0.0399900041520596</v>
      </c>
      <c r="AG1008" s="25" t="n">
        <v>0.0124968755990267</v>
      </c>
      <c r="AH1008" s="25" t="n">
        <v>0.0749812573194504</v>
      </c>
      <c r="AI1008" s="25" t="n">
        <v>3.57160687446594</v>
      </c>
      <c r="AJ1008" s="6"/>
      <c r="AK1008" s="6"/>
      <c r="AL1008" s="26"/>
    </row>
    <row r="1009" customFormat="false" ht="15" hidden="false" customHeight="false" outlineLevel="0" collapsed="false">
      <c r="A1009" s="6" t="s">
        <v>4775</v>
      </c>
      <c r="B1009" s="6" t="s">
        <v>4776</v>
      </c>
      <c r="C1009" s="6"/>
      <c r="D1009" s="13" t="n">
        <v>14.0741987228394</v>
      </c>
      <c r="E1009" s="25" t="n">
        <v>0.851346135139465</v>
      </c>
      <c r="F1009" s="25" t="n">
        <v>2.14179491996765</v>
      </c>
      <c r="G1009" s="25" t="n">
        <v>0.243589743971825</v>
      </c>
      <c r="H1009" s="25" t="n">
        <v>1.06955134868622</v>
      </c>
      <c r="I1009" s="25" t="n">
        <v>1.00480771064758</v>
      </c>
      <c r="J1009" s="25" t="n">
        <v>0.08875</v>
      </c>
      <c r="K1009" s="25" t="n">
        <v>0.00516025638580322</v>
      </c>
      <c r="L1009" s="25" t="n">
        <v>0.130288467407227</v>
      </c>
      <c r="M1009" s="25" t="n">
        <v>0</v>
      </c>
      <c r="N1009" s="25" t="n">
        <v>7559.375</v>
      </c>
      <c r="O1009" s="25" t="n">
        <v>138</v>
      </c>
      <c r="P1009" s="25" t="n">
        <v>20.052885055542</v>
      </c>
      <c r="Q1009" s="25" t="n">
        <v>14.7612180709839</v>
      </c>
      <c r="R1009" s="25" t="n">
        <v>23.1907043457031</v>
      </c>
      <c r="S1009" s="25" t="n">
        <v>0.546089768409729</v>
      </c>
      <c r="T1009" s="25" t="n">
        <v>0.126602560281754</v>
      </c>
      <c r="U1009" s="25" t="n">
        <v>0.0394230782985687</v>
      </c>
      <c r="V1009" s="25" t="n">
        <v>0.64102566242218</v>
      </c>
      <c r="W1009" s="25" t="n">
        <v>0.0448717959225178</v>
      </c>
      <c r="X1009" s="25" t="n">
        <v>0</v>
      </c>
      <c r="Y1009" s="25" t="n">
        <v>218.429489135742</v>
      </c>
      <c r="Z1009" s="25" t="n">
        <v>0.0432692319154739</v>
      </c>
      <c r="AA1009" s="25" t="n">
        <v>3.07371807098389</v>
      </c>
      <c r="AB1009" s="25" t="n">
        <v>36.8701934814453</v>
      </c>
      <c r="AC1009" s="25" t="n">
        <v>0.0336538478732109</v>
      </c>
      <c r="AD1009" s="25" t="n">
        <v>0.0240384619683027</v>
      </c>
      <c r="AE1009" s="25" t="n">
        <v>0.206730768084526</v>
      </c>
      <c r="AF1009" s="25" t="n">
        <v>0.112179487943649</v>
      </c>
      <c r="AG1009" s="25" t="n">
        <v>0.0769230797886848</v>
      </c>
      <c r="AH1009" s="25" t="n">
        <v>0.100961543619633</v>
      </c>
      <c r="AI1009" s="25" t="n">
        <v>7.932692527771</v>
      </c>
      <c r="AJ1009" s="6"/>
      <c r="AK1009" s="6"/>
      <c r="AL1009" s="26" t="s">
        <v>3053</v>
      </c>
    </row>
    <row r="1010" customFormat="false" ht="15" hidden="false" customHeight="false" outlineLevel="0" collapsed="false">
      <c r="A1010" s="6" t="s">
        <v>4777</v>
      </c>
      <c r="B1010" s="6" t="s">
        <v>4778</v>
      </c>
      <c r="C1010" s="6"/>
      <c r="D1010" s="13" t="n">
        <v>139.006500244141</v>
      </c>
      <c r="E1010" s="25" t="n">
        <v>2.2393479347229</v>
      </c>
      <c r="F1010" s="25" t="n">
        <v>4.22942018508911</v>
      </c>
      <c r="G1010" s="25" t="n">
        <v>12.9778261184692</v>
      </c>
      <c r="H1010" s="25" t="n">
        <v>4.61623191833496</v>
      </c>
      <c r="I1010" s="25" t="n">
        <v>1.06985509395599</v>
      </c>
      <c r="J1010" s="25" t="n">
        <v>1.47794921875</v>
      </c>
      <c r="K1010" s="25" t="n">
        <v>7.291876953125</v>
      </c>
      <c r="L1010" s="25" t="n">
        <v>2.95144921875</v>
      </c>
      <c r="M1010" s="25" t="n">
        <v>0</v>
      </c>
      <c r="N1010" s="25" t="n">
        <v>3507.5947265625</v>
      </c>
      <c r="O1010" s="25" t="n">
        <v>305.869567871094</v>
      </c>
      <c r="P1010" s="25" t="n">
        <v>37.2826080322266</v>
      </c>
      <c r="Q1010" s="25" t="n">
        <v>62.1086959838867</v>
      </c>
      <c r="R1010" s="25" t="n">
        <v>40.3550720214844</v>
      </c>
      <c r="S1010" s="25" t="n">
        <v>2.16079711914063</v>
      </c>
      <c r="T1010" s="25" t="n">
        <v>0.457753628492355</v>
      </c>
      <c r="U1010" s="25" t="n">
        <v>0.142971023917198</v>
      </c>
      <c r="V1010" s="25" t="n">
        <v>2.72884058952332</v>
      </c>
      <c r="W1010" s="25" t="n">
        <v>0.489275366067886</v>
      </c>
      <c r="X1010" s="25" t="n">
        <v>0</v>
      </c>
      <c r="Y1010" s="25" t="n">
        <v>644.391296386719</v>
      </c>
      <c r="Z1010" s="25" t="n">
        <v>0.166739135980606</v>
      </c>
      <c r="AA1010" s="25" t="n">
        <v>12.6775360107422</v>
      </c>
      <c r="AB1010" s="25" t="n">
        <v>1.53623187541962</v>
      </c>
      <c r="AC1010" s="25" t="n">
        <v>0.0701449289917946</v>
      </c>
      <c r="AD1010" s="25" t="n">
        <v>0.112318843603134</v>
      </c>
      <c r="AE1010" s="25" t="n">
        <v>0.807608723640442</v>
      </c>
      <c r="AF1010" s="25" t="n">
        <v>0.264202892780304</v>
      </c>
      <c r="AG1010" s="25" t="n">
        <v>0.10789854824543</v>
      </c>
      <c r="AH1010" s="25" t="n">
        <v>1.34442031383514</v>
      </c>
      <c r="AI1010" s="25" t="n">
        <v>28.9346370697022</v>
      </c>
      <c r="AJ1010" s="6"/>
      <c r="AK1010" s="6"/>
      <c r="AL1010" s="26"/>
    </row>
    <row r="1011" customFormat="false" ht="15" hidden="false" customHeight="false" outlineLevel="0" collapsed="false">
      <c r="A1011" s="6" t="s">
        <v>4779</v>
      </c>
      <c r="B1011" s="6" t="s">
        <v>4780</v>
      </c>
      <c r="C1011" s="6"/>
      <c r="D1011" s="13" t="n">
        <v>60.8769073486328</v>
      </c>
      <c r="E1011" s="25" t="n">
        <v>1.25798606872559</v>
      </c>
      <c r="F1011" s="25" t="n">
        <v>6.5540041923523</v>
      </c>
      <c r="G1011" s="25" t="n">
        <v>3.23891973495483</v>
      </c>
      <c r="H1011" s="25" t="n">
        <v>2.19536447525024</v>
      </c>
      <c r="I1011" s="25" t="n">
        <v>4.30906486511231</v>
      </c>
      <c r="J1011" s="25" t="n">
        <v>0.370916107177734</v>
      </c>
      <c r="K1011" s="25" t="n">
        <v>1.72859899902344</v>
      </c>
      <c r="L1011" s="25" t="n">
        <v>0.779181213378906</v>
      </c>
      <c r="M1011" s="25" t="n">
        <v>0</v>
      </c>
      <c r="N1011" s="25" t="n">
        <v>1281.93823242188</v>
      </c>
      <c r="O1011" s="25" t="n">
        <v>203.124771118164</v>
      </c>
      <c r="P1011" s="25" t="n">
        <v>15.1756105422974</v>
      </c>
      <c r="Q1011" s="25" t="n">
        <v>29.3737106323242</v>
      </c>
      <c r="R1011" s="25" t="n">
        <v>21.2619972229004</v>
      </c>
      <c r="S1011" s="25" t="n">
        <v>0.536998748779297</v>
      </c>
      <c r="T1011" s="25" t="n">
        <v>0.200411602854729</v>
      </c>
      <c r="U1011" s="25" t="n">
        <v>0.065649539232254</v>
      </c>
      <c r="V1011" s="25" t="n">
        <v>1.15216064453125</v>
      </c>
      <c r="W1011" s="25" t="n">
        <v>0.305981874465942</v>
      </c>
      <c r="X1011" s="25" t="n">
        <v>0</v>
      </c>
      <c r="Y1011" s="25" t="n">
        <v>6103.99609375</v>
      </c>
      <c r="Z1011" s="25" t="n">
        <v>0.222833469510078</v>
      </c>
      <c r="AA1011" s="25" t="n">
        <v>24.3905715942383</v>
      </c>
      <c r="AB1011" s="25" t="n">
        <v>20.9281120300293</v>
      </c>
      <c r="AC1011" s="25" t="n">
        <v>0.0508704967796803</v>
      </c>
      <c r="AD1011" s="25" t="n">
        <v>0.037617351859808</v>
      </c>
      <c r="AE1011" s="25" t="n">
        <v>0.576194524765015</v>
      </c>
      <c r="AF1011" s="25" t="n">
        <v>0.199280709028244</v>
      </c>
      <c r="AG1011" s="25" t="n">
        <v>0.0969093963503838</v>
      </c>
      <c r="AH1011" s="25" t="n">
        <v>1.00599849224091</v>
      </c>
      <c r="AI1011" s="25" t="n">
        <v>16.3362121582031</v>
      </c>
      <c r="AJ1011" s="6"/>
      <c r="AK1011" s="6"/>
      <c r="AL1011" s="26"/>
    </row>
    <row r="1012" customFormat="false" ht="15" hidden="false" customHeight="false" outlineLevel="0" collapsed="false">
      <c r="A1012" s="6" t="s">
        <v>4781</v>
      </c>
      <c r="B1012" s="6" t="s">
        <v>4782</v>
      </c>
      <c r="C1012" s="6"/>
      <c r="D1012" s="13" t="n">
        <v>91.2141494750977</v>
      </c>
      <c r="E1012" s="25" t="n">
        <v>1.98091292381287</v>
      </c>
      <c r="F1012" s="25" t="n">
        <v>6.32406616210938</v>
      </c>
      <c r="G1012" s="25" t="n">
        <v>6.5487551689148</v>
      </c>
      <c r="H1012" s="25" t="n">
        <v>5.07510375976563</v>
      </c>
      <c r="I1012" s="25" t="n">
        <v>3.03589200973511</v>
      </c>
      <c r="J1012" s="25" t="n">
        <v>0.716481323242188</v>
      </c>
      <c r="K1012" s="25" t="n">
        <v>3.40913696289063</v>
      </c>
      <c r="L1012" s="25" t="n">
        <v>1.64331945800781</v>
      </c>
      <c r="M1012" s="25" t="n">
        <v>0</v>
      </c>
      <c r="N1012" s="25" t="n">
        <v>2067.3349609375</v>
      </c>
      <c r="O1012" s="25" t="n">
        <v>341.402496337891</v>
      </c>
      <c r="P1012" s="25" t="n">
        <v>54.3070526123047</v>
      </c>
      <c r="Q1012" s="25" t="n">
        <v>76.1576766967773</v>
      </c>
      <c r="R1012" s="25" t="n">
        <v>36.5726127624512</v>
      </c>
      <c r="S1012" s="25" t="n">
        <v>2.31576776504517</v>
      </c>
      <c r="T1012" s="25" t="n">
        <v>0.505809128284454</v>
      </c>
      <c r="U1012" s="25" t="n">
        <v>0.124730288982391</v>
      </c>
      <c r="V1012" s="25" t="n">
        <v>3.28112030029297</v>
      </c>
      <c r="W1012" s="25" t="n">
        <v>0.562448143959045</v>
      </c>
      <c r="X1012" s="25" t="n">
        <v>0</v>
      </c>
      <c r="Y1012" s="25" t="n">
        <v>8113.8798828125</v>
      </c>
      <c r="Z1012" s="25" t="n">
        <v>0.29502072930336</v>
      </c>
      <c r="AA1012" s="25" t="n">
        <v>17.5883808135986</v>
      </c>
      <c r="AB1012" s="25" t="n">
        <v>5.1784234046936</v>
      </c>
      <c r="AC1012" s="25" t="n">
        <v>0.0614107884466648</v>
      </c>
      <c r="AD1012" s="25" t="n">
        <v>0.0543983429670334</v>
      </c>
      <c r="AE1012" s="25" t="n">
        <v>0.564937770366669</v>
      </c>
      <c r="AF1012" s="25" t="n">
        <v>0.286348551511765</v>
      </c>
      <c r="AG1012" s="25" t="n">
        <v>0.13879668712616</v>
      </c>
      <c r="AH1012" s="25" t="n">
        <v>1.32074689865112</v>
      </c>
      <c r="AI1012" s="25" t="n">
        <v>24.6394176483154</v>
      </c>
      <c r="AJ1012" s="6"/>
      <c r="AK1012" s="6"/>
      <c r="AL1012" s="26"/>
    </row>
    <row r="1013" customFormat="false" ht="15" hidden="false" customHeight="false" outlineLevel="0" collapsed="false">
      <c r="A1013" s="6" t="s">
        <v>4783</v>
      </c>
      <c r="B1013" s="6" t="s">
        <v>4784</v>
      </c>
      <c r="C1013" s="6"/>
      <c r="D1013" s="13" t="n">
        <v>176.069931030273</v>
      </c>
      <c r="E1013" s="25" t="n">
        <v>0.970114290714264</v>
      </c>
      <c r="F1013" s="25" t="n">
        <v>31.8452587127686</v>
      </c>
      <c r="G1013" s="25" t="n">
        <v>6.00974416732788</v>
      </c>
      <c r="H1013" s="25" t="n">
        <v>1.48965704441071</v>
      </c>
      <c r="I1013" s="25" t="n">
        <v>30.0162982940674</v>
      </c>
      <c r="J1013" s="25" t="n">
        <v>0.691446533203125</v>
      </c>
      <c r="K1013" s="25" t="n">
        <v>3.2775234375</v>
      </c>
      <c r="L1013" s="25" t="n">
        <v>1.31842578125</v>
      </c>
      <c r="M1013" s="25" t="n">
        <v>0</v>
      </c>
      <c r="N1013" s="25" t="n">
        <v>823.646423339844</v>
      </c>
      <c r="O1013" s="25" t="n">
        <v>157.352203369141</v>
      </c>
      <c r="P1013" s="25" t="n">
        <v>25.3357105255127</v>
      </c>
      <c r="Q1013" s="25" t="n">
        <v>21.4669570922852</v>
      </c>
      <c r="R1013" s="25" t="n">
        <v>17.5152969360352</v>
      </c>
      <c r="S1013" s="25" t="n">
        <v>0.960141539573669</v>
      </c>
      <c r="T1013" s="25" t="n">
        <v>0.227795317769051</v>
      </c>
      <c r="U1013" s="25" t="n">
        <v>0.102077305316925</v>
      </c>
      <c r="V1013" s="25" t="n">
        <v>0.0227000545710325</v>
      </c>
      <c r="W1013" s="25" t="n">
        <v>0.243347838521004</v>
      </c>
      <c r="X1013" s="25" t="n">
        <v>0</v>
      </c>
      <c r="Y1013" s="25" t="n">
        <v>3381.10229492188</v>
      </c>
      <c r="Z1013" s="25" t="n">
        <v>0.128034844994545</v>
      </c>
      <c r="AA1013" s="25" t="n">
        <v>14.9605331420898</v>
      </c>
      <c r="AB1013" s="25" t="n">
        <v>14.2937393188477</v>
      </c>
      <c r="AC1013" s="25" t="n">
        <v>0.0341317355632782</v>
      </c>
      <c r="AD1013" s="25" t="n">
        <v>0.0289602614939213</v>
      </c>
      <c r="AE1013" s="25" t="n">
        <v>0.472074031829834</v>
      </c>
      <c r="AF1013" s="25" t="n">
        <v>0.136145889759064</v>
      </c>
      <c r="AG1013" s="25" t="n">
        <v>0.0793140977621079</v>
      </c>
      <c r="AH1013" s="25" t="n">
        <v>0.766739249229431</v>
      </c>
      <c r="AI1013" s="25" t="n">
        <v>10.8714208602905</v>
      </c>
      <c r="AJ1013" s="6"/>
      <c r="AK1013" s="6"/>
      <c r="AL1013" s="26"/>
    </row>
    <row r="1014" customFormat="false" ht="15" hidden="false" customHeight="false" outlineLevel="0" collapsed="false">
      <c r="A1014" s="6" t="s">
        <v>4785</v>
      </c>
      <c r="B1014" s="6" t="s">
        <v>4786</v>
      </c>
      <c r="C1014" s="6"/>
      <c r="D1014" s="13" t="n">
        <v>33.0685806274414</v>
      </c>
      <c r="E1014" s="25" t="n">
        <v>0.905044615268707</v>
      </c>
      <c r="F1014" s="25" t="n">
        <v>6.47825145721436</v>
      </c>
      <c r="G1014" s="25" t="n">
        <v>0.300045698881149</v>
      </c>
      <c r="H1014" s="25" t="n">
        <v>1.89686191082001</v>
      </c>
      <c r="I1014" s="25" t="n">
        <v>4.68499279022217</v>
      </c>
      <c r="J1014" s="25" t="n">
        <v>0.0568585166931152</v>
      </c>
      <c r="K1014" s="25" t="n">
        <v>0.0495528030395508</v>
      </c>
      <c r="L1014" s="25" t="n">
        <v>0.133964172363281</v>
      </c>
      <c r="M1014" s="25" t="n">
        <v>0</v>
      </c>
      <c r="N1014" s="25" t="n">
        <v>177.968978881836</v>
      </c>
      <c r="O1014" s="25" t="n">
        <v>172.569259643555</v>
      </c>
      <c r="P1014" s="25" t="n">
        <v>15.3318281173706</v>
      </c>
      <c r="Q1014" s="25" t="n">
        <v>18.3732089996338</v>
      </c>
      <c r="R1014" s="25" t="n">
        <v>14.6634473800659</v>
      </c>
      <c r="S1014" s="25" t="n">
        <v>0.364523380994797</v>
      </c>
      <c r="T1014" s="25" t="n">
        <v>0.155362412333489</v>
      </c>
      <c r="U1014" s="25" t="n">
        <v>0.0587393566966057</v>
      </c>
      <c r="V1014" s="25" t="n">
        <v>0.151482865214348</v>
      </c>
      <c r="W1014" s="25" t="n">
        <v>0.304456889629364</v>
      </c>
      <c r="X1014" s="25" t="n">
        <v>0</v>
      </c>
      <c r="Y1014" s="25" t="n">
        <v>4874.18115234375</v>
      </c>
      <c r="Z1014" s="25" t="n">
        <v>0.197491183876991</v>
      </c>
      <c r="AA1014" s="25" t="n">
        <v>21.833553314209</v>
      </c>
      <c r="AB1014" s="25" t="n">
        <v>21.6363964080811</v>
      </c>
      <c r="AC1014" s="25" t="n">
        <v>0.0400706119835377</v>
      </c>
      <c r="AD1014" s="25" t="n">
        <v>0.020608514547348</v>
      </c>
      <c r="AE1014" s="25" t="n">
        <v>0.475626170635223</v>
      </c>
      <c r="AF1014" s="25" t="n">
        <v>0.185916930437088</v>
      </c>
      <c r="AG1014" s="25" t="n">
        <v>0.0826396718621254</v>
      </c>
      <c r="AH1014" s="25" t="n">
        <v>1.16096365451813</v>
      </c>
      <c r="AI1014" s="25" t="n">
        <v>15.8476762771606</v>
      </c>
      <c r="AJ1014" s="6"/>
      <c r="AK1014" s="6"/>
      <c r="AL1014" s="26"/>
    </row>
    <row r="1015" customFormat="false" ht="15" hidden="false" customHeight="false" outlineLevel="0" collapsed="false">
      <c r="A1015" s="6" t="s">
        <v>4787</v>
      </c>
      <c r="B1015" s="6" t="s">
        <v>4788</v>
      </c>
      <c r="C1015" s="6"/>
      <c r="D1015" s="13" t="n">
        <v>289.794189453125</v>
      </c>
      <c r="E1015" s="25" t="n">
        <v>18.2600002288818</v>
      </c>
      <c r="F1015" s="25" t="n">
        <v>19.9979991912842</v>
      </c>
      <c r="G1015" s="25" t="n">
        <v>22.1560001373291</v>
      </c>
      <c r="H1015" s="25" t="n">
        <v>18.3999996185303</v>
      </c>
      <c r="I1015" s="25" t="n">
        <v>1.39999997615814</v>
      </c>
      <c r="J1015" s="25" t="n">
        <v>0.800200012207031</v>
      </c>
      <c r="K1015" s="25" t="n">
        <v>7.9972001953125</v>
      </c>
      <c r="L1015" s="25" t="n">
        <v>3.61119995117188</v>
      </c>
      <c r="M1015" s="25" t="n">
        <v>0</v>
      </c>
      <c r="N1015" s="25" t="n">
        <v>51.4339981079102</v>
      </c>
      <c r="O1015" s="25" t="n">
        <v>1026.19995117188</v>
      </c>
      <c r="P1015" s="25" t="n">
        <v>523</v>
      </c>
      <c r="Q1015" s="25" t="n">
        <v>408.399993896484</v>
      </c>
      <c r="R1015" s="25" t="n">
        <v>253</v>
      </c>
      <c r="S1015" s="25" t="n">
        <v>13.3680000305176</v>
      </c>
      <c r="T1015" s="25" t="n">
        <v>3.16400003433228</v>
      </c>
      <c r="U1015" s="25" t="n">
        <v>0.812000036239624</v>
      </c>
      <c r="V1015" s="25" t="n">
        <v>17.0920009613037</v>
      </c>
      <c r="W1015" s="25" t="n">
        <v>3.30800008773804</v>
      </c>
      <c r="X1015" s="25" t="n">
        <v>0</v>
      </c>
      <c r="Y1015" s="25" t="n">
        <v>503.799987792969</v>
      </c>
      <c r="Z1015" s="25" t="n">
        <v>0.592000007629395</v>
      </c>
      <c r="AA1015" s="25" t="n">
        <v>31.1400012969971</v>
      </c>
      <c r="AB1015" s="25" t="n">
        <v>1.60000002384186</v>
      </c>
      <c r="AC1015" s="25" t="n">
        <v>0.351999998092651</v>
      </c>
      <c r="AD1015" s="25" t="n">
        <v>0.189999997615814</v>
      </c>
      <c r="AE1015" s="25" t="n">
        <v>3.63199996948242</v>
      </c>
      <c r="AF1015" s="25" t="n">
        <v>0.193999990820885</v>
      </c>
      <c r="AG1015" s="25" t="n">
        <v>0.280000001192093</v>
      </c>
      <c r="AH1015" s="25" t="n">
        <v>0.837999999523163</v>
      </c>
      <c r="AI1015" s="25" t="n">
        <v>34.7560005187988</v>
      </c>
      <c r="AJ1015" s="6"/>
      <c r="AK1015" s="6"/>
      <c r="AL1015" s="26" t="s">
        <v>3053</v>
      </c>
    </row>
  </sheetData>
  <autoFilter ref="A1:AL10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2026-10-03T15:35:25Z</dcterms:created>
  <dc:creator>openpyxl</dc:creator>
  <dc:description/>
  <dc:language>en-US</dc:language>
  <cp:lastModifiedBy/>
  <dcterms:modified xsi:type="dcterms:W3CDTF">2026-10-03T15:35:26Z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